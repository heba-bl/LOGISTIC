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book.xml" ContentType="application/vnd.ms-excel.sheet.macroEnabled.main+xml"/>
  <Override PartName="/xl/vbaProject.bin" ContentType="application/vnd.ms-office.vbaProject"/>
  <Override PartName="/customUI/customUI14.xml" ContentType="application/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Id="rIdCustomUI" Type="http://schemas.microsoft.com/office/2007/relationships/ui/extensibility" Target="customUI/customUI14.xml"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ACCUEIL" sheetId="1" state="visible" r:id="rId1"/>
    <sheet name="UTILISATEURS" sheetId="2" state="visible" r:id="rId2"/>
    <sheet name="ARTICLES" sheetId="3" state="visible" r:id="rId3"/>
    <sheet name="BOM_VEHICULE" sheetId="4" state="visible" r:id="rId4"/>
    <sheet name="RECEPTION" sheetId="5" state="visible" r:id="rId5"/>
    <sheet name="INSPECTION" sheetId="6" state="visible" r:id="rId6"/>
    <sheet name="QUALITE" sheetId="7" state="visible" r:id="rId7"/>
    <sheet name="RED_CAGE" sheetId="8" state="visible" r:id="rId8"/>
    <sheet name="WAREHOUSE" sheetId="9" state="visible" r:id="rId9"/>
    <sheet name="MOUVEMENTS_STOCK" sheetId="10" state="visible" r:id="rId10"/>
    <sheet name="PRODUCTION" sheetId="11" state="visible" r:id="rId11"/>
    <sheet name="SORTIES" sheetId="12" state="visible" r:id="rId12"/>
    <sheet name="EMPLACEMENTS" sheetId="13" state="visible" r:id="rId13"/>
    <sheet name="HISTORIQUE" sheetId="14" state="visible" r:id="rId14"/>
    <sheet name="LISTES" sheetId="15" state="veryHidden" r:id="rId15"/>
    <sheet name="CONFIGURATION" sheetId="16" state="veryHidden" r:id="rId16"/>
  </sheets>
  <definedNames>
    <definedName name="_xlnm._FilterDatabase" localSheetId="1" hidden="1">'UTILISATEURS'!$A$4:$G$29</definedName>
    <definedName name="_xlnm._FilterDatabase" localSheetId="2" hidden="1">'ARTICLES'!$A$4:$S$2243</definedName>
    <definedName name="_xlnm._FilterDatabase" localSheetId="3" hidden="1">'BOM_VEHICULE'!$A$4:$P$2204</definedName>
    <definedName name="_xlnm._FilterDatabase" localSheetId="12" hidden="1">'EMPLACEMENTS'!$A$4:$J$148</definedName>
  </definedNames>
  <calcPr calcId="124519" fullCalcOnLoad="1"/>
</workbook>
</file>

<file path=xl/styles.xml><?xml version="1.0" encoding="utf-8"?>
<styleSheet xmlns="http://schemas.openxmlformats.org/spreadsheetml/2006/main">
  <numFmts count="0"/>
  <fonts count="16">
    <font>
      <name val="Calibri"/>
      <family val="2"/>
      <color theme="1"/>
      <sz val="11"/>
      <scheme val="minor"/>
    </font>
    <font>
      <b val="1"/>
      <color rgb="001F2937"/>
      <sz val="15"/>
    </font>
    <font>
      <i val="1"/>
      <color rgb="006B7280"/>
      <sz val="9"/>
    </font>
    <font>
      <color rgb="001F2937"/>
      <sz val="10"/>
    </font>
    <font>
      <b val="1"/>
      <color rgb="001F3864"/>
      <sz val="11"/>
    </font>
    <font>
      <name val="Consolas"/>
      <color rgb="001F2937"/>
      <sz val="10"/>
    </font>
    <font>
      <b val="1"/>
      <color rgb="00FFFFFF"/>
      <sz val="10"/>
    </font>
    <font>
      <color rgb="001F2937"/>
      <sz val="9"/>
    </font>
    <font>
      <b val="1"/>
      <color rgb="001F3864"/>
      <sz val="10"/>
    </font>
    <font>
      <b val="1"/>
      <color rgb="001F2937"/>
      <sz val="12"/>
    </font>
    <font>
      <color rgb="00FFFFFF"/>
      <sz val="10"/>
    </font>
    <font>
      <i val="1"/>
      <color rgb="006B7280"/>
      <sz val="10"/>
    </font>
    <font>
      <b val="1"/>
      <color rgb="009B1C1C"/>
      <sz val="12"/>
    </font>
    <font>
      <b val="1"/>
      <color rgb="001F2937"/>
      <sz val="10"/>
    </font>
    <font>
      <sz val="10"/>
    </font>
    <font>
      <name val="Consolas"/>
      <sz val="9"/>
    </font>
  </fonts>
  <fills count="8">
    <fill>
      <patternFill/>
    </fill>
    <fill>
      <patternFill patternType="gray125"/>
    </fill>
    <fill>
      <patternFill patternType="solid">
        <fgColor rgb="001F3864"/>
      </patternFill>
    </fill>
    <fill>
      <patternFill patternType="solid">
        <fgColor rgb="00F2F5F9"/>
      </patternFill>
    </fill>
    <fill>
      <patternFill patternType="solid">
        <fgColor rgb="00FFF4CE"/>
      </patternFill>
    </fill>
    <fill>
      <patternFill patternType="solid">
        <fgColor rgb="007C8BA1"/>
      </patternFill>
    </fill>
    <fill>
      <patternFill patternType="solid">
        <fgColor rgb="00DDE3EA"/>
      </patternFill>
    </fill>
    <fill>
      <patternFill patternType="solid">
        <fgColor rgb="00FFFFFF"/>
      </patternFill>
    </fill>
  </fills>
  <borders count="2">
    <border>
      <left/>
      <right/>
      <top/>
      <bottom/>
      <diagonal/>
    </border>
    <border>
      <left style="thin">
        <color rgb="00D1D5DB"/>
      </left>
      <right style="thin">
        <color rgb="00D1D5DB"/>
      </right>
      <top style="thin">
        <color rgb="00D1D5DB"/>
      </top>
      <bottom style="thin">
        <color rgb="00D1D5DB"/>
      </bottom>
    </border>
  </borders>
  <cellStyleXfs count="1">
    <xf numFmtId="0" fontId="0" fillId="0" borderId="0"/>
  </cellStyleXfs>
  <cellXfs count="26">
    <xf numFmtId="0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0" borderId="0" pivotButton="0" quotePrefix="0" xfId="0"/>
    <xf numFmtId="0" fontId="6" fillId="2" borderId="1" applyAlignment="1" pivotButton="0" quotePrefix="0" xfId="0">
      <alignment horizontal="center" vertical="center" wrapText="1"/>
    </xf>
    <xf numFmtId="0" fontId="7" fillId="0" borderId="1" pivotButton="0" quotePrefix="0" xfId="0"/>
    <xf numFmtId="0" fontId="7" fillId="3" borderId="1" pivotButton="0" quotePrefix="0" xfId="0"/>
    <xf numFmtId="0" fontId="7" fillId="0" borderId="1" applyAlignment="1" pivotButton="0" quotePrefix="0" xfId="0">
      <alignment horizontal="right"/>
    </xf>
    <xf numFmtId="0" fontId="7" fillId="3" borderId="1" applyAlignment="1" pivotButton="0" quotePrefix="0" xfId="0">
      <alignment horizontal="right"/>
    </xf>
    <xf numFmtId="0" fontId="8" fillId="0" borderId="0" pivotButton="0" quotePrefix="0" xfId="0"/>
    <xf numFmtId="0" fontId="9" fillId="4" borderId="1" applyAlignment="1" applyProtection="1" pivotButton="0" quotePrefix="0" xfId="0">
      <alignment horizontal="center"/>
      <protection locked="0" hidden="0"/>
    </xf>
    <xf numFmtId="0" fontId="2" fillId="0" borderId="0" applyAlignment="1" pivotButton="0" quotePrefix="0" xfId="0">
      <alignment horizontal="left" vertical="center"/>
    </xf>
    <xf numFmtId="0" fontId="10" fillId="5" borderId="1" applyAlignment="1" pivotButton="0" quotePrefix="0" xfId="0">
      <alignment horizontal="center" vertical="center" wrapText="1"/>
    </xf>
    <xf numFmtId="0" fontId="6" fillId="5" borderId="1" applyAlignment="1" pivotButton="0" quotePrefix="0" xfId="0">
      <alignment horizontal="center" vertical="center" wrapText="1"/>
    </xf>
    <xf numFmtId="0" fontId="10" fillId="2" borderId="1" applyAlignment="1" pivotButton="0" quotePrefix="0" xfId="0">
      <alignment horizontal="center" vertical="center" wrapText="1"/>
    </xf>
    <xf numFmtId="0" fontId="3" fillId="6" borderId="1" pivotButton="0" quotePrefix="0" xfId="0"/>
    <xf numFmtId="0" fontId="11" fillId="6" borderId="1" pivotButton="0" quotePrefix="0" xfId="0"/>
    <xf numFmtId="0" fontId="3" fillId="7" borderId="1" applyProtection="1" pivotButton="0" quotePrefix="0" xfId="0">
      <protection locked="0" hidden="0"/>
    </xf>
    <xf numFmtId="0" fontId="10" fillId="0" borderId="0" pivotButton="0" quotePrefix="0" xfId="0"/>
    <xf numFmtId="0" fontId="12" fillId="0" borderId="0" pivotButton="0" quotePrefix="0" xfId="0"/>
    <xf numFmtId="0" fontId="13" fillId="0" borderId="0" pivotButton="0" quotePrefix="0" xfId="0"/>
    <xf numFmtId="0" fontId="6" fillId="2" borderId="0" pivotButton="0" quotePrefix="0" xfId="0"/>
    <xf numFmtId="0" fontId="14" fillId="0" borderId="0" pivotButton="0" quotePrefix="0" xfId="0"/>
    <xf numFmtId="0" fontId="15" fillId="0" borderId="0" pivotButton="0" quotePrefix="0" xfId="0"/>
  </cellXfs>
  <cellStyles count="1">
    <cellStyle name="Normal" xfId="0" builtinId="0" hidden="0"/>
  </cellStyles>
  <dxfs count="4">
    <dxf>
      <fill>
        <patternFill patternType="solid">
          <fgColor rgb="00DCF2E3"/>
        </patternFill>
      </fill>
    </dxf>
    <dxf>
      <fill>
        <patternFill patternType="solid">
          <fgColor rgb="00FDE9C8"/>
        </patternFill>
      </fill>
    </dxf>
    <dxf>
      <fill>
        <patternFill patternType="solid">
          <fgColor rgb="00FADBD8"/>
        </patternFill>
      </fill>
    </dxf>
    <dxf>
      <fill>
        <patternFill patternType="solid">
          <fgColor rgb="00FFF4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styles" Target="styles.xml" Id="rId17" /><Relationship Type="http://schemas.openxmlformats.org/officeDocument/2006/relationships/theme" Target="theme/theme1.xml" Id="rId18" /><Relationship Id="rIdVbaProject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A42"/>
  <sheetViews>
    <sheetView showGridLines="0" workbookViewId="0">
      <selection activeCell="A1" sqref="A1"/>
    </sheetView>
  </sheetViews>
  <sheetFormatPr baseColWidth="8" defaultRowHeight="15"/>
  <cols>
    <col width="78" customWidth="1" min="1" max="1"/>
  </cols>
  <sheetData>
    <row r="1">
      <c r="A1" s="1" t="inlineStr">
        <is>
          <t>SLCC - FICHIER LOGISTIQUE OPERATIONNEL</t>
        </is>
      </c>
    </row>
    <row r="2">
      <c r="A2" s="2" t="inlineStr">
        <is>
          <t>Jeu de donnees de demonstration. Les 2 200 references proviennent du fichier fourni WhAP_8x8_2200_pieces.xlsx; les quantites, emplacements et identites sont ajoutes pour la demonstration.</t>
        </is>
      </c>
    </row>
    <row r="3">
      <c r="A3" s="3" t="inlineStr"/>
    </row>
    <row r="4">
      <c r="A4" s="4" t="inlineStr">
        <is>
          <t>A QUOI SERT CE FICHIER</t>
        </is>
      </c>
    </row>
    <row r="5">
      <c r="A5" s="3" t="inlineStr">
        <is>
          <t>Chaque zone travaille dans sa propre feuille. Les donnees saisies ici</t>
        </is>
      </c>
    </row>
    <row r="6">
      <c r="A6" s="3" t="inlineStr">
        <is>
          <t>ne deviennent operationnelles dans SLCC qu'une fois validees par un</t>
        </is>
      </c>
    </row>
    <row r="7">
      <c r="A7" s="3" t="inlineStr">
        <is>
          <t>responsable different de la personne qui a saisi.</t>
        </is>
      </c>
    </row>
    <row r="8">
      <c r="A8" s="3" t="inlineStr"/>
    </row>
    <row r="9">
      <c r="A9" s="4" t="inlineStr">
        <is>
          <t>VOTRE JOURNEE, EN QUATRE GESTES</t>
        </is>
      </c>
    </row>
    <row r="10">
      <c r="A10" s="3" t="inlineStr">
        <is>
          <t>1. Ouvrez la feuille de votre zone (RECEPTION, INSPECTION, ...).</t>
        </is>
      </c>
    </row>
    <row r="11">
      <c r="A11" s="3" t="inlineStr">
        <is>
          <t>2. Remplissez une ligne. Les en-tetes en gras sont obligatoires.</t>
        </is>
      </c>
    </row>
    <row r="12">
      <c r="A12" s="3" t="inlineStr">
        <is>
          <t>3. Placez le curseur sur votre ligne, puis onglet SLCC &gt;</t>
        </is>
      </c>
    </row>
    <row r="13">
      <c r="A13" s="3" t="inlineStr">
        <is>
          <t xml:space="preserve">   TERMINER MA TACHE. La ligne passe EN ATTENTE DE VALIDATION</t>
        </is>
      </c>
    </row>
    <row r="14">
      <c r="A14" s="3" t="inlineStr">
        <is>
          <t xml:space="preserve">   et se verrouille: vous ne pouvez plus la modifier.</t>
        </is>
      </c>
    </row>
    <row r="15">
      <c r="A15" s="3" t="inlineStr">
        <is>
          <t>4. Un responsable de votre zone la valide ou la rejette.</t>
        </is>
      </c>
    </row>
    <row r="16">
      <c r="A16" s="3" t="inlineStr"/>
    </row>
    <row r="17">
      <c r="A17" s="4" t="inlineStr">
        <is>
          <t>POUR LE RESPONSABLE</t>
        </is>
      </c>
    </row>
    <row r="18">
      <c r="A18" s="3" t="inlineStr">
        <is>
          <t>Selectionnez une ligne EN ATTENTE DE VALIDATION, puis onglet SLCC &gt;</t>
        </is>
      </c>
    </row>
    <row r="19">
      <c r="A19" s="3" t="inlineStr">
        <is>
          <t>VALIDER (ou REJETER). Le fichier demande votre matricule et votre</t>
        </is>
      </c>
    </row>
    <row r="20">
      <c r="A20" s="3" t="inlineStr">
        <is>
          <t>code. Il refuse la validation si vous etes la personne qui a saisi,</t>
        </is>
      </c>
    </row>
    <row r="21">
      <c r="A21" s="3" t="inlineStr">
        <is>
          <t>si votre zone ne correspond pas, ou si le code est faux.</t>
        </is>
      </c>
    </row>
    <row r="22">
      <c r="A22" s="3" t="inlineStr">
        <is>
          <t>Un rejet exige un motif et renvoie la ligne a l'operateur.</t>
        </is>
      </c>
    </row>
    <row r="23">
      <c r="A23" s="3" t="inlineStr"/>
    </row>
    <row r="24">
      <c r="A24" s="4" t="inlineStr">
        <is>
          <t>ENVOYER VERS SLCC</t>
        </is>
      </c>
    </row>
    <row r="25">
      <c r="A25" s="3" t="inlineStr">
        <is>
          <t>Onglet SLCC &gt; ENREGISTRER &amp; SYNCHRONISER.</t>
        </is>
      </c>
    </row>
    <row r="26">
      <c r="A26" s="3" t="inlineStr">
        <is>
          <t>Seules les lignes VALIDE partent. Une ligne BROUILLON ou EN ATTENTE</t>
        </is>
      </c>
    </row>
    <row r="27">
      <c r="A27" s="3" t="inlineStr">
        <is>
          <t>DE VALIDATION n'est jamais consideree comme une donnee operationnelle.</t>
        </is>
      </c>
    </row>
    <row r="28">
      <c r="A28" s="3" t="inlineStr"/>
    </row>
    <row r="29">
      <c r="A29" s="4" t="inlineStr">
        <is>
          <t>LA REGLE DU STOCK - NON NEGOCIABLE</t>
        </is>
      </c>
    </row>
    <row r="30">
      <c r="A30" s="3" t="inlineStr">
        <is>
          <t>Une reception, une inspection ou une validation qualite ne modifient</t>
        </is>
      </c>
    </row>
    <row r="31">
      <c r="A31" s="3" t="inlineStr">
        <is>
          <t>JAMAIS le stock. Le stock augmente uniquement a la confirmation de</t>
        </is>
      </c>
    </row>
    <row r="32">
      <c r="A32" s="3" t="inlineStr">
        <is>
          <t>stockage, et diminue uniquement a la sortie confirmee.</t>
        </is>
      </c>
    </row>
    <row r="33">
      <c r="A33" s="3" t="inlineStr">
        <is>
          <t>Ce fichier ne peut pas contourner cette regle: c'est le serveur qui</t>
        </is>
      </c>
    </row>
    <row r="34">
      <c r="A34" s="3" t="inlineStr">
        <is>
          <t>l'applique.</t>
        </is>
      </c>
    </row>
    <row r="35">
      <c r="A35" s="3" t="inlineStr"/>
    </row>
    <row r="36">
      <c r="A36" s="4" t="inlineStr">
        <is>
          <t>CE QUE CONTIENT LE FICHIER</t>
        </is>
      </c>
    </row>
    <row r="37">
      <c r="A37" s="5" t="inlineStr">
        <is>
          <t>Articles ................   2239</t>
        </is>
      </c>
    </row>
    <row r="38">
      <c r="A38" s="5" t="inlineStr">
        <is>
          <t xml:space="preserve">  dont nomenclature .....   2200  (fichier WhAP fourni)</t>
        </is>
      </c>
    </row>
    <row r="39">
      <c r="A39" s="5" t="inlineStr">
        <is>
          <t xml:space="preserve">  dont hors nomenclature      39  (peinture, EPI, emballage...)</t>
        </is>
      </c>
    </row>
    <row r="40">
      <c r="A40" s="5" t="inlineStr">
        <is>
          <t>Systemes ................     27</t>
        </is>
      </c>
    </row>
    <row r="41">
      <c r="A41" s="3" t="inlineStr"/>
    </row>
    <row r="42">
      <c r="A42" s="2" t="inlineStr">
        <is>
          <t>Genere le 31/08/2026 a 02:59</t>
        </is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G29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4" customWidth="1" min="1" max="1"/>
    <col width="16" customWidth="1" min="2" max="2"/>
    <col width="14" customWidth="1" min="3" max="3"/>
    <col width="22" customWidth="1" min="4" max="4"/>
    <col width="14" customWidth="1" min="5" max="5"/>
    <col width="12" customWidth="1" min="6" max="6"/>
    <col width="18" customWidth="1" min="7" max="7"/>
  </cols>
  <sheetData>
    <row r="1" ht="22" customHeight="1">
      <c r="A1" s="1" t="inlineStr">
        <is>
          <t>UTILISATEURS</t>
        </is>
      </c>
    </row>
    <row r="2">
      <c r="A2" s="2" t="inlineStr">
        <is>
          <t>Un operateur n'est jamais anonyme: le matricule identifie chaque action. Les codes de validation ne figurent pas sur cette feuille.</t>
        </is>
      </c>
    </row>
    <row r="3" ht="6" customHeight="1"/>
    <row r="4" ht="28" customHeight="1">
      <c r="A4" s="6" t="inlineStr">
        <is>
          <t>MATRICULE</t>
        </is>
      </c>
      <c r="B4" s="6" t="inlineStr">
        <is>
          <t>NOM</t>
        </is>
      </c>
      <c r="C4" s="6" t="inlineStr">
        <is>
          <t>PRENOM</t>
        </is>
      </c>
      <c r="D4" s="6" t="inlineStr">
        <is>
          <t>ROLE</t>
        </is>
      </c>
      <c r="E4" s="6" t="inlineStr">
        <is>
          <t>ZONE</t>
        </is>
      </c>
      <c r="F4" s="6" t="inlineStr">
        <is>
          <t>STATUT</t>
        </is>
      </c>
      <c r="G4" s="6" t="inlineStr">
        <is>
          <t>DROIT_VALIDATION</t>
        </is>
      </c>
    </row>
    <row r="5">
      <c r="A5" s="7" t="inlineStr">
        <is>
          <t>LM-001</t>
        </is>
      </c>
      <c r="B5" s="7" t="inlineStr">
        <is>
          <t>Sahli</t>
        </is>
      </c>
      <c r="C5" s="7" t="inlineStr">
        <is>
          <t>Amine</t>
        </is>
      </c>
      <c r="D5" s="7" t="inlineStr">
        <is>
          <t>RESPONSABLE_LOGISTIQUE</t>
        </is>
      </c>
      <c r="E5" s="7" t="inlineStr">
        <is>
          <t>LOGISTICS</t>
        </is>
      </c>
      <c r="F5" s="7" t="inlineStr">
        <is>
          <t>ACTIF</t>
        </is>
      </c>
      <c r="G5" s="7" t="inlineStr">
        <is>
          <t>OUI</t>
        </is>
      </c>
    </row>
    <row r="6">
      <c r="A6" s="8" t="inlineStr">
        <is>
          <t>LM-002</t>
        </is>
      </c>
      <c r="B6" s="8" t="inlineStr">
        <is>
          <t>Benjelloun</t>
        </is>
      </c>
      <c r="C6" s="8" t="inlineStr">
        <is>
          <t>Khalid</t>
        </is>
      </c>
      <c r="D6" s="8" t="inlineStr">
        <is>
          <t>RESPONSABLE_LOGISTIQUE</t>
        </is>
      </c>
      <c r="E6" s="8" t="inlineStr">
        <is>
          <t>LOGISTICS</t>
        </is>
      </c>
      <c r="F6" s="8" t="inlineStr">
        <is>
          <t>ACTIF</t>
        </is>
      </c>
      <c r="G6" s="8" t="inlineStr">
        <is>
          <t>OUI</t>
        </is>
      </c>
    </row>
    <row r="7">
      <c r="A7" s="7" t="inlineStr">
        <is>
          <t>OP-1042</t>
        </is>
      </c>
      <c r="B7" s="7" t="inlineStr">
        <is>
          <t>Lahlou</t>
        </is>
      </c>
      <c r="C7" s="7" t="inlineStr">
        <is>
          <t>Karim</t>
        </is>
      </c>
      <c r="D7" s="7" t="inlineStr">
        <is>
          <t>OPERATEUR_RECEPTION</t>
        </is>
      </c>
      <c r="E7" s="7" t="inlineStr">
        <is>
          <t>RECEPTION</t>
        </is>
      </c>
      <c r="F7" s="7" t="inlineStr">
        <is>
          <t>ACTIF</t>
        </is>
      </c>
      <c r="G7" s="7" t="inlineStr">
        <is>
          <t>NON</t>
        </is>
      </c>
    </row>
    <row r="8">
      <c r="A8" s="8" t="inlineStr">
        <is>
          <t>OP-1051</t>
        </is>
      </c>
      <c r="B8" s="8" t="inlineStr">
        <is>
          <t>Bouzid</t>
        </is>
      </c>
      <c r="C8" s="8" t="inlineStr">
        <is>
          <t>Hicham</t>
        </is>
      </c>
      <c r="D8" s="8" t="inlineStr">
        <is>
          <t>OPERATEUR_RECEPTION</t>
        </is>
      </c>
      <c r="E8" s="8" t="inlineStr">
        <is>
          <t>RECEPTION</t>
        </is>
      </c>
      <c r="F8" s="8" t="inlineStr">
        <is>
          <t>ACTIF</t>
        </is>
      </c>
      <c r="G8" s="8" t="inlineStr">
        <is>
          <t>NON</t>
        </is>
      </c>
    </row>
    <row r="9">
      <c r="A9" s="7" t="inlineStr">
        <is>
          <t>OP-1063</t>
        </is>
      </c>
      <c r="B9" s="7" t="inlineStr">
        <is>
          <t>Berrada</t>
        </is>
      </c>
      <c r="C9" s="7" t="inlineStr">
        <is>
          <t>Nora</t>
        </is>
      </c>
      <c r="D9" s="7" t="inlineStr">
        <is>
          <t>OPERATEUR_RECEPTION</t>
        </is>
      </c>
      <c r="E9" s="7" t="inlineStr">
        <is>
          <t>RECEPTION</t>
        </is>
      </c>
      <c r="F9" s="7" t="inlineStr">
        <is>
          <t>ACTIF</t>
        </is>
      </c>
      <c r="G9" s="7" t="inlineStr">
        <is>
          <t>NON</t>
        </is>
      </c>
    </row>
    <row r="10">
      <c r="A10" s="8" t="inlineStr">
        <is>
          <t>OP-1078</t>
        </is>
      </c>
      <c r="B10" s="8" t="inlineStr">
        <is>
          <t>Lamrani</t>
        </is>
      </c>
      <c r="C10" s="8" t="inlineStr">
        <is>
          <t>Tarik</t>
        </is>
      </c>
      <c r="D10" s="8" t="inlineStr">
        <is>
          <t>OPERATEUR_RECEPTION</t>
        </is>
      </c>
      <c r="E10" s="8" t="inlineStr">
        <is>
          <t>RECEPTION</t>
        </is>
      </c>
      <c r="F10" s="8" t="inlineStr">
        <is>
          <t>ACTIF</t>
        </is>
      </c>
      <c r="G10" s="8" t="inlineStr">
        <is>
          <t>NON</t>
        </is>
      </c>
    </row>
    <row r="11">
      <c r="A11" s="7" t="inlineStr">
        <is>
          <t>PM-001</t>
        </is>
      </c>
      <c r="B11" s="7" t="inlineStr">
        <is>
          <t>Cherkaoui</t>
        </is>
      </c>
      <c r="C11" s="7" t="inlineStr">
        <is>
          <t>Younes</t>
        </is>
      </c>
      <c r="D11" s="7" t="inlineStr">
        <is>
          <t>RESPONSABLE_PRODUCTION</t>
        </is>
      </c>
      <c r="E11" s="7" t="inlineStr">
        <is>
          <t>PRODUCTION</t>
        </is>
      </c>
      <c r="F11" s="7" t="inlineStr">
        <is>
          <t>ACTIF</t>
        </is>
      </c>
      <c r="G11" s="7" t="inlineStr">
        <is>
          <t>OUI</t>
        </is>
      </c>
    </row>
    <row r="12">
      <c r="A12" s="8" t="inlineStr">
        <is>
          <t>PM-002</t>
        </is>
      </c>
      <c r="B12" s="8" t="inlineStr">
        <is>
          <t>Lemseffer</t>
        </is>
      </c>
      <c r="C12" s="8" t="inlineStr">
        <is>
          <t>Houda</t>
        </is>
      </c>
      <c r="D12" s="8" t="inlineStr">
        <is>
          <t>RESPONSABLE_PRODUCTION</t>
        </is>
      </c>
      <c r="E12" s="8" t="inlineStr">
        <is>
          <t>PRODUCTION</t>
        </is>
      </c>
      <c r="F12" s="8" t="inlineStr">
        <is>
          <t>ACTIF</t>
        </is>
      </c>
      <c r="G12" s="8" t="inlineStr">
        <is>
          <t>OUI</t>
        </is>
      </c>
    </row>
    <row r="13">
      <c r="A13" s="7" t="inlineStr">
        <is>
          <t>QL-1045</t>
        </is>
      </c>
      <c r="B13" s="7" t="inlineStr">
        <is>
          <t>Haddad</t>
        </is>
      </c>
      <c r="C13" s="7" t="inlineStr">
        <is>
          <t>Sara</t>
        </is>
      </c>
      <c r="D13" s="7" t="inlineStr">
        <is>
          <t>INSPECTEUR_QUALITE</t>
        </is>
      </c>
      <c r="E13" s="7" t="inlineStr">
        <is>
          <t>INSPECTION</t>
        </is>
      </c>
      <c r="F13" s="7" t="inlineStr">
        <is>
          <t>ACTIF</t>
        </is>
      </c>
      <c r="G13" s="7" t="inlineStr">
        <is>
          <t>NON</t>
        </is>
      </c>
    </row>
    <row r="14">
      <c r="A14" s="8" t="inlineStr">
        <is>
          <t>QL-1046</t>
        </is>
      </c>
      <c r="B14" s="8" t="inlineStr">
        <is>
          <t>Mansouri</t>
        </is>
      </c>
      <c r="C14" s="8" t="inlineStr">
        <is>
          <t>Omar</t>
        </is>
      </c>
      <c r="D14" s="8" t="inlineStr">
        <is>
          <t>INSPECTEUR_QUALITE</t>
        </is>
      </c>
      <c r="E14" s="8" t="inlineStr">
        <is>
          <t>INSPECTION</t>
        </is>
      </c>
      <c r="F14" s="8" t="inlineStr">
        <is>
          <t>ACTIF</t>
        </is>
      </c>
      <c r="G14" s="8" t="inlineStr">
        <is>
          <t>NON</t>
        </is>
      </c>
    </row>
    <row r="15">
      <c r="A15" s="7" t="inlineStr">
        <is>
          <t>QL-1052</t>
        </is>
      </c>
      <c r="B15" s="7" t="inlineStr">
        <is>
          <t>Rifai</t>
        </is>
      </c>
      <c r="C15" s="7" t="inlineStr">
        <is>
          <t>Jamila</t>
        </is>
      </c>
      <c r="D15" s="7" t="inlineStr">
        <is>
          <t>INSPECTEUR_QUALITE</t>
        </is>
      </c>
      <c r="E15" s="7" t="inlineStr">
        <is>
          <t>INSPECTION</t>
        </is>
      </c>
      <c r="F15" s="7" t="inlineStr">
        <is>
          <t>ACTIF</t>
        </is>
      </c>
      <c r="G15" s="7" t="inlineStr">
        <is>
          <t>NON</t>
        </is>
      </c>
    </row>
    <row r="16">
      <c r="A16" s="8" t="inlineStr">
        <is>
          <t>QL-1058</t>
        </is>
      </c>
      <c r="B16" s="8" t="inlineStr">
        <is>
          <t>Kacem</t>
        </is>
      </c>
      <c r="C16" s="8" t="inlineStr">
        <is>
          <t>Bilal</t>
        </is>
      </c>
      <c r="D16" s="8" t="inlineStr">
        <is>
          <t>INSPECTEUR_QUALITE</t>
        </is>
      </c>
      <c r="E16" s="8" t="inlineStr">
        <is>
          <t>INSPECTION</t>
        </is>
      </c>
      <c r="F16" s="8" t="inlineStr">
        <is>
          <t>ACTIF</t>
        </is>
      </c>
      <c r="G16" s="8" t="inlineStr">
        <is>
          <t>NON</t>
        </is>
      </c>
    </row>
    <row r="17">
      <c r="A17" s="7" t="inlineStr">
        <is>
          <t>QL-1064</t>
        </is>
      </c>
      <c r="B17" s="7" t="inlineStr">
        <is>
          <t>Doukkali</t>
        </is>
      </c>
      <c r="C17" s="7" t="inlineStr">
        <is>
          <t>Hafsa</t>
        </is>
      </c>
      <c r="D17" s="7" t="inlineStr">
        <is>
          <t>INSPECTEUR_QUALITE</t>
        </is>
      </c>
      <c r="E17" s="7" t="inlineStr">
        <is>
          <t>INSPECTION</t>
        </is>
      </c>
      <c r="F17" s="7" t="inlineStr">
        <is>
          <t>ACTIF</t>
        </is>
      </c>
      <c r="G17" s="7" t="inlineStr">
        <is>
          <t>NON</t>
        </is>
      </c>
    </row>
    <row r="18">
      <c r="A18" s="8" t="inlineStr">
        <is>
          <t>QM-002</t>
        </is>
      </c>
      <c r="B18" s="8" t="inlineStr">
        <is>
          <t>Benali</t>
        </is>
      </c>
      <c r="C18" s="8" t="inlineStr">
        <is>
          <t>Nadia</t>
        </is>
      </c>
      <c r="D18" s="8" t="inlineStr">
        <is>
          <t>RESPONSABLE_QUALITE</t>
        </is>
      </c>
      <c r="E18" s="8" t="inlineStr">
        <is>
          <t>QUALITY</t>
        </is>
      </c>
      <c r="F18" s="8" t="inlineStr">
        <is>
          <t>ACTIF</t>
        </is>
      </c>
      <c r="G18" s="8" t="inlineStr">
        <is>
          <t>OUI</t>
        </is>
      </c>
    </row>
    <row r="19">
      <c r="A19" s="7" t="inlineStr">
        <is>
          <t>QM-003</t>
        </is>
      </c>
      <c r="B19" s="7" t="inlineStr">
        <is>
          <t>Ouali</t>
        </is>
      </c>
      <c r="C19" s="7" t="inlineStr">
        <is>
          <t>Samir</t>
        </is>
      </c>
      <c r="D19" s="7" t="inlineStr">
        <is>
          <t>RESPONSABLE_QUALITE</t>
        </is>
      </c>
      <c r="E19" s="7" t="inlineStr">
        <is>
          <t>QUALITY</t>
        </is>
      </c>
      <c r="F19" s="7" t="inlineStr">
        <is>
          <t>ACTIF</t>
        </is>
      </c>
      <c r="G19" s="7" t="inlineStr">
        <is>
          <t>OUI</t>
        </is>
      </c>
    </row>
    <row r="20">
      <c r="A20" s="8" t="inlineStr">
        <is>
          <t>RM-004</t>
        </is>
      </c>
      <c r="B20" s="8" t="inlineStr">
        <is>
          <t>Chaoui</t>
        </is>
      </c>
      <c r="C20" s="8" t="inlineStr">
        <is>
          <t>Fatima</t>
        </is>
      </c>
      <c r="D20" s="8" t="inlineStr">
        <is>
          <t>RESPONSABLE_RECEPTION</t>
        </is>
      </c>
      <c r="E20" s="8" t="inlineStr">
        <is>
          <t>RECEPTION</t>
        </is>
      </c>
      <c r="F20" s="8" t="inlineStr">
        <is>
          <t>ACTIF</t>
        </is>
      </c>
      <c r="G20" s="8" t="inlineStr">
        <is>
          <t>OUI</t>
        </is>
      </c>
    </row>
    <row r="21">
      <c r="A21" s="7" t="inlineStr">
        <is>
          <t>RM-005</t>
        </is>
      </c>
      <c r="B21" s="7" t="inlineStr">
        <is>
          <t>Idrissi</t>
        </is>
      </c>
      <c r="C21" s="7" t="inlineStr">
        <is>
          <t>Amal</t>
        </is>
      </c>
      <c r="D21" s="7" t="inlineStr">
        <is>
          <t>RESPONSABLE_RECEPTION</t>
        </is>
      </c>
      <c r="E21" s="7" t="inlineStr">
        <is>
          <t>RECEPTION</t>
        </is>
      </c>
      <c r="F21" s="7" t="inlineStr">
        <is>
          <t>INACTIF</t>
        </is>
      </c>
      <c r="G21" s="7" t="inlineStr">
        <is>
          <t>OUI</t>
        </is>
      </c>
    </row>
    <row r="22">
      <c r="A22" s="8" t="inlineStr">
        <is>
          <t>ST-012</t>
        </is>
      </c>
      <c r="B22" s="8" t="inlineStr">
        <is>
          <t>Bennani</t>
        </is>
      </c>
      <c r="C22" s="8" t="inlineStr">
        <is>
          <t>Mehdi</t>
        </is>
      </c>
      <c r="D22" s="8" t="inlineStr">
        <is>
          <t>DEMANDEUR_PRODUCTION</t>
        </is>
      </c>
      <c r="E22" s="8" t="inlineStr">
        <is>
          <t>PRODUCTION</t>
        </is>
      </c>
      <c r="F22" s="8" t="inlineStr">
        <is>
          <t>ACTIF</t>
        </is>
      </c>
      <c r="G22" s="8" t="inlineStr">
        <is>
          <t>NON</t>
        </is>
      </c>
    </row>
    <row r="23">
      <c r="A23" s="7" t="inlineStr">
        <is>
          <t>ST-021</t>
        </is>
      </c>
      <c r="B23" s="7" t="inlineStr">
        <is>
          <t>Naciri</t>
        </is>
      </c>
      <c r="C23" s="7" t="inlineStr">
        <is>
          <t>Kenza</t>
        </is>
      </c>
      <c r="D23" s="7" t="inlineStr">
        <is>
          <t>DEMANDEUR_PRODUCTION</t>
        </is>
      </c>
      <c r="E23" s="7" t="inlineStr">
        <is>
          <t>PRODUCTION</t>
        </is>
      </c>
      <c r="F23" s="7" t="inlineStr">
        <is>
          <t>ACTIF</t>
        </is>
      </c>
      <c r="G23" s="7" t="inlineStr">
        <is>
          <t>NON</t>
        </is>
      </c>
    </row>
    <row r="24">
      <c r="A24" s="8" t="inlineStr">
        <is>
          <t>ST-034</t>
        </is>
      </c>
      <c r="B24" s="8" t="inlineStr">
        <is>
          <t>Ghazali</t>
        </is>
      </c>
      <c r="C24" s="8" t="inlineStr">
        <is>
          <t>Anas</t>
        </is>
      </c>
      <c r="D24" s="8" t="inlineStr">
        <is>
          <t>DEMANDEUR_PRODUCTION</t>
        </is>
      </c>
      <c r="E24" s="8" t="inlineStr">
        <is>
          <t>PRODUCTION</t>
        </is>
      </c>
      <c r="F24" s="8" t="inlineStr">
        <is>
          <t>ACTIF</t>
        </is>
      </c>
      <c r="G24" s="8" t="inlineStr">
        <is>
          <t>NON</t>
        </is>
      </c>
    </row>
    <row r="25">
      <c r="A25" s="7" t="inlineStr">
        <is>
          <t>WH-008</t>
        </is>
      </c>
      <c r="B25" s="7" t="inlineStr">
        <is>
          <t>Tazi</t>
        </is>
      </c>
      <c r="C25" s="7" t="inlineStr">
        <is>
          <t>Youssef</t>
        </is>
      </c>
      <c r="D25" s="7" t="inlineStr">
        <is>
          <t>OPERATEUR_WAREHOUSE</t>
        </is>
      </c>
      <c r="E25" s="7" t="inlineStr">
        <is>
          <t>WAREHOUSE</t>
        </is>
      </c>
      <c r="F25" s="7" t="inlineStr">
        <is>
          <t>ACTIF</t>
        </is>
      </c>
      <c r="G25" s="7" t="inlineStr">
        <is>
          <t>NON</t>
        </is>
      </c>
    </row>
    <row r="26">
      <c r="A26" s="8" t="inlineStr">
        <is>
          <t>WH-012</t>
        </is>
      </c>
      <c r="B26" s="8" t="inlineStr">
        <is>
          <t>Nakache</t>
        </is>
      </c>
      <c r="C26" s="8" t="inlineStr">
        <is>
          <t>Imane</t>
        </is>
      </c>
      <c r="D26" s="8" t="inlineStr">
        <is>
          <t>OPERATEUR_WAREHOUSE</t>
        </is>
      </c>
      <c r="E26" s="8" t="inlineStr">
        <is>
          <t>WAREHOUSE</t>
        </is>
      </c>
      <c r="F26" s="8" t="inlineStr">
        <is>
          <t>ACTIF</t>
        </is>
      </c>
      <c r="G26" s="8" t="inlineStr">
        <is>
          <t>NON</t>
        </is>
      </c>
    </row>
    <row r="27">
      <c r="A27" s="7" t="inlineStr">
        <is>
          <t>WH-019</t>
        </is>
      </c>
      <c r="B27" s="7" t="inlineStr">
        <is>
          <t>Moujahid</t>
        </is>
      </c>
      <c r="C27" s="7" t="inlineStr">
        <is>
          <t>Driss</t>
        </is>
      </c>
      <c r="D27" s="7" t="inlineStr">
        <is>
          <t>OPERATEUR_WAREHOUSE</t>
        </is>
      </c>
      <c r="E27" s="7" t="inlineStr">
        <is>
          <t>WAREHOUSE</t>
        </is>
      </c>
      <c r="F27" s="7" t="inlineStr">
        <is>
          <t>ACTIF</t>
        </is>
      </c>
      <c r="G27" s="7" t="inlineStr">
        <is>
          <t>NON</t>
        </is>
      </c>
    </row>
    <row r="28">
      <c r="A28" s="8" t="inlineStr">
        <is>
          <t>WH-024</t>
        </is>
      </c>
      <c r="B28" s="8" t="inlineStr">
        <is>
          <t>Belkacem</t>
        </is>
      </c>
      <c r="C28" s="8" t="inlineStr">
        <is>
          <t>Zineb</t>
        </is>
      </c>
      <c r="D28" s="8" t="inlineStr">
        <is>
          <t>OPERATEUR_WAREHOUSE</t>
        </is>
      </c>
      <c r="E28" s="8" t="inlineStr">
        <is>
          <t>WAREHOUSE</t>
        </is>
      </c>
      <c r="F28" s="8" t="inlineStr">
        <is>
          <t>ACTIF</t>
        </is>
      </c>
      <c r="G28" s="8" t="inlineStr">
        <is>
          <t>NON</t>
        </is>
      </c>
    </row>
    <row r="29">
      <c r="A29" s="7" t="inlineStr">
        <is>
          <t>WH-M01</t>
        </is>
      </c>
      <c r="B29" s="7" t="inlineStr">
        <is>
          <t>Alami</t>
        </is>
      </c>
      <c r="C29" s="7" t="inlineStr">
        <is>
          <t>Rachid</t>
        </is>
      </c>
      <c r="D29" s="7" t="inlineStr">
        <is>
          <t>RESPONSABLE_LOGISTIQUE</t>
        </is>
      </c>
      <c r="E29" s="7" t="inlineStr">
        <is>
          <t>WAREHOUSE</t>
        </is>
      </c>
      <c r="F29" s="7" t="inlineStr">
        <is>
          <t>ACTIF</t>
        </is>
      </c>
      <c r="G29" s="7" t="inlineStr">
        <is>
          <t>OUI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autoFilter ref="A4:G29"/>
  <mergeCells count="2">
    <mergeCell ref="A2:G2"/>
    <mergeCell ref="A1:G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S2243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4" customWidth="1" min="1" max="1"/>
    <col width="14" customWidth="1" min="2" max="2"/>
    <col width="42" customWidth="1" min="3" max="3"/>
    <col width="24" customWidth="1" min="4" max="4"/>
    <col width="24" customWidth="1" min="5" max="5"/>
    <col width="20" customWidth="1" min="6" max="6"/>
    <col width="10" customWidth="1" min="7" max="7"/>
    <col width="14" customWidth="1" min="8" max="8"/>
    <col width="14" customWidth="1" min="9" max="9"/>
    <col width="20" customWidth="1" min="10" max="10"/>
    <col width="34" customWidth="1" min="11" max="11"/>
    <col width="10" customWidth="1" min="12" max="12"/>
    <col width="12" customWidth="1" min="13" max="13"/>
    <col width="14" customWidth="1" min="14" max="14"/>
    <col width="12" customWidth="1" min="15" max="15"/>
    <col width="12" customWidth="1" min="16" max="16"/>
    <col width="10" customWidth="1" min="17" max="17"/>
    <col width="10" customWidth="1" min="18" max="18"/>
    <col width="22" customWidth="1" min="19" max="19"/>
  </cols>
  <sheetData>
    <row r="1" ht="22" customHeight="1">
      <c r="A1" s="1" t="inlineStr">
        <is>
          <t>ARTICLES</t>
        </is>
      </c>
    </row>
    <row r="2">
      <c r="A2" s="2" t="inlineStr">
        <is>
          <t>STOCK et STOCK_TOTAL sont synchronises depuis SLCC: la base est la seule source de verite du stock, ce classeur en affiche une photo datee. STOCK = solde disponible; STOCK_TOTAL = somme reellement localisee sur les emplacements. ORIGINE=WHAP: reference du fichier fourni, inchangee.</t>
        </is>
      </c>
    </row>
    <row r="3" ht="6" customHeight="1"/>
    <row r="4" ht="28" customHeight="1">
      <c r="A4" s="6" t="inlineStr">
        <is>
          <t>CODE</t>
        </is>
      </c>
      <c r="B4" s="6" t="inlineStr">
        <is>
          <t>REFERENCE</t>
        </is>
      </c>
      <c r="C4" s="6" t="inlineStr">
        <is>
          <t>DESIGNATION</t>
        </is>
      </c>
      <c r="D4" s="6" t="inlineStr">
        <is>
          <t>SYSTEME</t>
        </is>
      </c>
      <c r="E4" s="6" t="inlineStr">
        <is>
          <t>SOUS_SYSTEME</t>
        </is>
      </c>
      <c r="F4" s="6" t="inlineStr">
        <is>
          <t>CATEGORIE</t>
        </is>
      </c>
      <c r="G4" s="6" t="inlineStr">
        <is>
          <t>UNITE</t>
        </is>
      </c>
      <c r="H4" s="6" t="inlineStr">
        <is>
          <t>CLASSE_TAILLE</t>
        </is>
      </c>
      <c r="I4" s="6" t="inlineStr">
        <is>
          <t>TOLERANCE_PCT</t>
        </is>
      </c>
      <c r="J4" s="6" t="inlineStr">
        <is>
          <t>EMPLACEMENT_PRINCIPAL</t>
        </is>
      </c>
      <c r="K4" s="6" t="inlineStr">
        <is>
          <t>EMPLACEMENTS_SECONDAIRES</t>
        </is>
      </c>
      <c r="L4" s="6" t="inlineStr">
        <is>
          <t>STOCK</t>
        </is>
      </c>
      <c r="M4" s="6" t="inlineStr">
        <is>
          <t>STOCK_TOTAL</t>
        </is>
      </c>
      <c r="N4" s="6" t="inlineStr">
        <is>
          <t>SEUIL_MINIMUM</t>
        </is>
      </c>
      <c r="O4" s="6" t="inlineStr">
        <is>
          <t>FOURNISSEUR</t>
        </is>
      </c>
      <c r="P4" s="6" t="inlineStr">
        <is>
          <t>CRITICITE</t>
        </is>
      </c>
      <c r="Q4" s="6" t="inlineStr">
        <is>
          <t>ORIGINE</t>
        </is>
      </c>
      <c r="R4" s="6" t="inlineStr">
        <is>
          <t>DANS_BOM</t>
        </is>
      </c>
      <c r="S4" s="6" t="inlineStr">
        <is>
          <t>DERNIERE_SYNCHRONISATION</t>
        </is>
      </c>
    </row>
    <row r="5">
      <c r="A5" s="7" t="inlineStr">
        <is>
          <t>WHAP-0001</t>
        </is>
      </c>
      <c r="B5" s="7" t="inlineStr">
        <is>
          <t>MOT-0001</t>
        </is>
      </c>
      <c r="C5" s="7" t="inlineStr">
        <is>
          <t>bloc moteur</t>
        </is>
      </c>
      <c r="D5" s="7" t="inlineStr">
        <is>
          <t>Moteur</t>
        </is>
      </c>
      <c r="E5" s="7" t="inlineStr">
        <is>
          <t>Moteur</t>
        </is>
      </c>
      <c r="F5" s="7" t="inlineStr">
        <is>
          <t>PIECE_VEHICULE</t>
        </is>
      </c>
      <c r="G5" s="7" t="inlineStr">
        <is>
          <t>unité</t>
        </is>
      </c>
      <c r="H5" s="7" t="inlineStr">
        <is>
          <t>LARGE</t>
        </is>
      </c>
      <c r="I5" s="7" t="n">
        <v>0</v>
      </c>
      <c r="J5" s="7" t="inlineStr">
        <is>
          <t>C-03-04 : 215</t>
        </is>
      </c>
      <c r="K5" s="7" t="inlineStr"/>
      <c r="L5" s="9" t="n">
        <v>215</v>
      </c>
      <c r="M5" s="9" t="n">
        <v>215</v>
      </c>
      <c r="N5" s="9" t="n">
        <v>16</v>
      </c>
      <c r="O5" s="7" t="inlineStr">
        <is>
          <t>SUM</t>
        </is>
      </c>
      <c r="P5" s="7" t="inlineStr">
        <is>
          <t>CRITIQUE</t>
        </is>
      </c>
      <c r="Q5" s="7" t="inlineStr">
        <is>
          <t>WHAP</t>
        </is>
      </c>
      <c r="R5" s="7" t="inlineStr">
        <is>
          <t>OUI</t>
        </is>
      </c>
      <c r="S5" s="7" t="inlineStr">
        <is>
          <t>31/08/2026 02:59</t>
        </is>
      </c>
    </row>
    <row r="6">
      <c r="A6" s="8" t="inlineStr">
        <is>
          <t>WHAP-0002</t>
        </is>
      </c>
      <c r="B6" s="8" t="inlineStr">
        <is>
          <t>MOT-0002</t>
        </is>
      </c>
      <c r="C6" s="8" t="inlineStr">
        <is>
          <t>culasse</t>
        </is>
      </c>
      <c r="D6" s="8" t="inlineStr">
        <is>
          <t>Moteur</t>
        </is>
      </c>
      <c r="E6" s="8" t="inlineStr">
        <is>
          <t>Moteur</t>
        </is>
      </c>
      <c r="F6" s="8" t="inlineStr">
        <is>
          <t>PIECE_VEHICULE</t>
        </is>
      </c>
      <c r="G6" s="8" t="inlineStr">
        <is>
          <t>unité</t>
        </is>
      </c>
      <c r="H6" s="8" t="inlineStr">
        <is>
          <t>LARGE</t>
        </is>
      </c>
      <c r="I6" s="8" t="n">
        <v>0</v>
      </c>
      <c r="J6" s="8" t="inlineStr">
        <is>
          <t>A-02-03 : 262</t>
        </is>
      </c>
      <c r="K6" s="8" t="inlineStr"/>
      <c r="L6" s="10" t="n">
        <v>262</v>
      </c>
      <c r="M6" s="10" t="n">
        <v>262</v>
      </c>
      <c r="N6" s="10" t="n">
        <v>20</v>
      </c>
      <c r="O6" s="8" t="inlineStr">
        <is>
          <t>HEL</t>
        </is>
      </c>
      <c r="P6" s="8" t="inlineStr">
        <is>
          <t>CRITIQUE</t>
        </is>
      </c>
      <c r="Q6" s="8" t="inlineStr">
        <is>
          <t>WHAP</t>
        </is>
      </c>
      <c r="R6" s="8" t="inlineStr">
        <is>
          <t>OUI</t>
        </is>
      </c>
      <c r="S6" s="8" t="inlineStr">
        <is>
          <t>31/08/2026 02:59</t>
        </is>
      </c>
    </row>
    <row r="7">
      <c r="A7" s="7" t="inlineStr">
        <is>
          <t>WHAP-0003</t>
        </is>
      </c>
      <c r="B7" s="7" t="inlineStr">
        <is>
          <t>MOT-0003</t>
        </is>
      </c>
      <c r="C7" s="7" t="inlineStr">
        <is>
          <t>joint de culasse</t>
        </is>
      </c>
      <c r="D7" s="7" t="inlineStr">
        <is>
          <t>Moteur</t>
        </is>
      </c>
      <c r="E7" s="7" t="inlineStr">
        <is>
          <t>Moteur</t>
        </is>
      </c>
      <c r="F7" s="7" t="inlineStr">
        <is>
          <t>PIECE_VEHICULE</t>
        </is>
      </c>
      <c r="G7" s="7" t="inlineStr">
        <is>
          <t>unité</t>
        </is>
      </c>
      <c r="H7" s="7" t="inlineStr">
        <is>
          <t>LARGE</t>
        </is>
      </c>
      <c r="I7" s="7" t="n">
        <v>0</v>
      </c>
      <c r="J7" s="7" t="inlineStr">
        <is>
          <t>B-02-02</t>
        </is>
      </c>
      <c r="K7" s="7" t="inlineStr"/>
      <c r="L7" s="9" t="n">
        <v>0</v>
      </c>
      <c r="M7" s="9" t="n">
        <v>0</v>
      </c>
      <c r="N7" s="9" t="n">
        <v>19</v>
      </c>
      <c r="O7" s="7" t="inlineStr">
        <is>
          <t>YZK</t>
        </is>
      </c>
      <c r="P7" s="7" t="inlineStr">
        <is>
          <t>CRITIQUE</t>
        </is>
      </c>
      <c r="Q7" s="7" t="inlineStr">
        <is>
          <t>WHAP</t>
        </is>
      </c>
      <c r="R7" s="7" t="inlineStr">
        <is>
          <t>OUI</t>
        </is>
      </c>
      <c r="S7" s="7" t="inlineStr">
        <is>
          <t>31/08/2026 02:59</t>
        </is>
      </c>
    </row>
    <row r="8">
      <c r="A8" s="8" t="inlineStr">
        <is>
          <t>WHAP-0004</t>
        </is>
      </c>
      <c r="B8" s="8" t="inlineStr">
        <is>
          <t>MOT-0004</t>
        </is>
      </c>
      <c r="C8" s="8" t="inlineStr">
        <is>
          <t>cache-culbuteurs</t>
        </is>
      </c>
      <c r="D8" s="8" t="inlineStr">
        <is>
          <t>Moteur</t>
        </is>
      </c>
      <c r="E8" s="8" t="inlineStr">
        <is>
          <t>Moteur</t>
        </is>
      </c>
      <c r="F8" s="8" t="inlineStr">
        <is>
          <t>PIECE_VEHICULE</t>
        </is>
      </c>
      <c r="G8" s="8" t="inlineStr">
        <is>
          <t>unité</t>
        </is>
      </c>
      <c r="H8" s="8" t="inlineStr">
        <is>
          <t>LARGE</t>
        </is>
      </c>
      <c r="I8" s="8" t="n">
        <v>0</v>
      </c>
      <c r="J8" s="8" t="inlineStr">
        <is>
          <t>E-06-04</t>
        </is>
      </c>
      <c r="K8" s="8" t="inlineStr"/>
      <c r="L8" s="10" t="n">
        <v>0</v>
      </c>
      <c r="M8" s="10" t="n">
        <v>0</v>
      </c>
      <c r="N8" s="10" t="n">
        <v>17</v>
      </c>
      <c r="O8" s="8" t="inlineStr">
        <is>
          <t>DEL</t>
        </is>
      </c>
      <c r="P8" s="8" t="inlineStr">
        <is>
          <t>CRITIQUE</t>
        </is>
      </c>
      <c r="Q8" s="8" t="inlineStr">
        <is>
          <t>WHAP</t>
        </is>
      </c>
      <c r="R8" s="8" t="inlineStr">
        <is>
          <t>OUI</t>
        </is>
      </c>
      <c r="S8" s="8" t="inlineStr">
        <is>
          <t>31/08/2026 02:59</t>
        </is>
      </c>
    </row>
    <row r="9">
      <c r="A9" s="7" t="inlineStr">
        <is>
          <t>WHAP-0005</t>
        </is>
      </c>
      <c r="B9" s="7" t="inlineStr">
        <is>
          <t>MOT-0005</t>
        </is>
      </c>
      <c r="C9" s="7" t="inlineStr">
        <is>
          <t>couvre-culasse</t>
        </is>
      </c>
      <c r="D9" s="7" t="inlineStr">
        <is>
          <t>Moteur</t>
        </is>
      </c>
      <c r="E9" s="7" t="inlineStr">
        <is>
          <t>Moteur</t>
        </is>
      </c>
      <c r="F9" s="7" t="inlineStr">
        <is>
          <t>PIECE_VEHICULE</t>
        </is>
      </c>
      <c r="G9" s="7" t="inlineStr">
        <is>
          <t>unité</t>
        </is>
      </c>
      <c r="H9" s="7" t="inlineStr">
        <is>
          <t>LARGE</t>
        </is>
      </c>
      <c r="I9" s="7" t="n">
        <v>0</v>
      </c>
      <c r="J9" s="7" t="inlineStr">
        <is>
          <t>C-06-03</t>
        </is>
      </c>
      <c r="K9" s="7" t="inlineStr"/>
      <c r="L9" s="9" t="n">
        <v>0</v>
      </c>
      <c r="M9" s="9" t="n">
        <v>0</v>
      </c>
      <c r="N9" s="9" t="n">
        <v>18</v>
      </c>
      <c r="O9" s="7" t="inlineStr">
        <is>
          <t>MAG</t>
        </is>
      </c>
      <c r="P9" s="7" t="inlineStr">
        <is>
          <t>CRITIQUE</t>
        </is>
      </c>
      <c r="Q9" s="7" t="inlineStr">
        <is>
          <t>WHAP</t>
        </is>
      </c>
      <c r="R9" s="7" t="inlineStr">
        <is>
          <t>OUI</t>
        </is>
      </c>
      <c r="S9" s="7" t="inlineStr">
        <is>
          <t>31/08/2026 02:59</t>
        </is>
      </c>
    </row>
    <row r="10">
      <c r="A10" s="8" t="inlineStr">
        <is>
          <t>WHAP-0006</t>
        </is>
      </c>
      <c r="B10" s="8" t="inlineStr">
        <is>
          <t>MOT-0006</t>
        </is>
      </c>
      <c r="C10" s="8" t="inlineStr">
        <is>
          <t>carter moteur</t>
        </is>
      </c>
      <c r="D10" s="8" t="inlineStr">
        <is>
          <t>Moteur</t>
        </is>
      </c>
      <c r="E10" s="8" t="inlineStr">
        <is>
          <t>Moteur</t>
        </is>
      </c>
      <c r="F10" s="8" t="inlineStr">
        <is>
          <t>PIECE_VEHICULE</t>
        </is>
      </c>
      <c r="G10" s="8" t="inlineStr">
        <is>
          <t>unité</t>
        </is>
      </c>
      <c r="H10" s="8" t="inlineStr">
        <is>
          <t>LARGE</t>
        </is>
      </c>
      <c r="I10" s="8" t="n">
        <v>0</v>
      </c>
      <c r="J10" s="8" t="inlineStr">
        <is>
          <t>B-03-04</t>
        </is>
      </c>
      <c r="K10" s="8" t="inlineStr"/>
      <c r="L10" s="10" t="n">
        <v>0</v>
      </c>
      <c r="M10" s="10" t="n">
        <v>0</v>
      </c>
      <c r="N10" s="10" t="n">
        <v>12</v>
      </c>
      <c r="O10" s="8" t="inlineStr">
        <is>
          <t>SKF</t>
        </is>
      </c>
      <c r="P10" s="8" t="inlineStr">
        <is>
          <t>CRITIQUE</t>
        </is>
      </c>
      <c r="Q10" s="8" t="inlineStr">
        <is>
          <t>WHAP</t>
        </is>
      </c>
      <c r="R10" s="8" t="inlineStr">
        <is>
          <t>OUI</t>
        </is>
      </c>
      <c r="S10" s="8" t="inlineStr">
        <is>
          <t>31/08/2026 02:59</t>
        </is>
      </c>
    </row>
    <row r="11">
      <c r="A11" s="7" t="inlineStr">
        <is>
          <t>WHAP-0007</t>
        </is>
      </c>
      <c r="B11" s="7" t="inlineStr">
        <is>
          <t>MOT-0007</t>
        </is>
      </c>
      <c r="C11" s="7" t="inlineStr">
        <is>
          <t>carter d'huile</t>
        </is>
      </c>
      <c r="D11" s="7" t="inlineStr">
        <is>
          <t>Moteur</t>
        </is>
      </c>
      <c r="E11" s="7" t="inlineStr">
        <is>
          <t>Moteur</t>
        </is>
      </c>
      <c r="F11" s="7" t="inlineStr">
        <is>
          <t>PIECE_VEHICULE</t>
        </is>
      </c>
      <c r="G11" s="7" t="inlineStr">
        <is>
          <t>unité</t>
        </is>
      </c>
      <c r="H11" s="7" t="inlineStr">
        <is>
          <t>LARGE</t>
        </is>
      </c>
      <c r="I11" s="7" t="n">
        <v>0</v>
      </c>
      <c r="J11" s="7" t="inlineStr">
        <is>
          <t>B-04-03</t>
        </is>
      </c>
      <c r="K11" s="7" t="inlineStr"/>
      <c r="L11" s="9" t="n">
        <v>0</v>
      </c>
      <c r="M11" s="9" t="n">
        <v>0</v>
      </c>
      <c r="N11" s="9" t="n">
        <v>12</v>
      </c>
      <c r="O11" s="7" t="inlineStr">
        <is>
          <t>CTL</t>
        </is>
      </c>
      <c r="P11" s="7" t="inlineStr">
        <is>
          <t>CRITIQUE</t>
        </is>
      </c>
      <c r="Q11" s="7" t="inlineStr">
        <is>
          <t>WHAP</t>
        </is>
      </c>
      <c r="R11" s="7" t="inlineStr">
        <is>
          <t>OUI</t>
        </is>
      </c>
      <c r="S11" s="7" t="inlineStr">
        <is>
          <t>31/08/2026 02:59</t>
        </is>
      </c>
    </row>
    <row r="12">
      <c r="A12" s="8" t="inlineStr">
        <is>
          <t>WHAP-0008</t>
        </is>
      </c>
      <c r="B12" s="8" t="inlineStr">
        <is>
          <t>MOT-0008</t>
        </is>
      </c>
      <c r="C12" s="8" t="inlineStr">
        <is>
          <t>vilebrequin</t>
        </is>
      </c>
      <c r="D12" s="8" t="inlineStr">
        <is>
          <t>Moteur</t>
        </is>
      </c>
      <c r="E12" s="8" t="inlineStr">
        <is>
          <t>Moteur</t>
        </is>
      </c>
      <c r="F12" s="8" t="inlineStr">
        <is>
          <t>PIECE_VEHICULE</t>
        </is>
      </c>
      <c r="G12" s="8" t="inlineStr">
        <is>
          <t>unité</t>
        </is>
      </c>
      <c r="H12" s="8" t="inlineStr">
        <is>
          <t>LARGE</t>
        </is>
      </c>
      <c r="I12" s="8" t="n">
        <v>0</v>
      </c>
      <c r="J12" s="8" t="inlineStr">
        <is>
          <t>D-04-03</t>
        </is>
      </c>
      <c r="K12" s="8" t="inlineStr"/>
      <c r="L12" s="10" t="n">
        <v>0</v>
      </c>
      <c r="M12" s="10" t="n">
        <v>0</v>
      </c>
      <c r="N12" s="10" t="n">
        <v>19</v>
      </c>
      <c r="O12" s="8" t="inlineStr">
        <is>
          <t>YZK</t>
        </is>
      </c>
      <c r="P12" s="8" t="inlineStr">
        <is>
          <t>CRITIQUE</t>
        </is>
      </c>
      <c r="Q12" s="8" t="inlineStr">
        <is>
          <t>WHAP</t>
        </is>
      </c>
      <c r="R12" s="8" t="inlineStr">
        <is>
          <t>OUI</t>
        </is>
      </c>
      <c r="S12" s="8" t="inlineStr">
        <is>
          <t>31/08/2026 02:59</t>
        </is>
      </c>
    </row>
    <row r="13">
      <c r="A13" s="7" t="inlineStr">
        <is>
          <t>WHAP-0009</t>
        </is>
      </c>
      <c r="B13" s="7" t="inlineStr">
        <is>
          <t>MOT-0009</t>
        </is>
      </c>
      <c r="C13" s="7" t="inlineStr">
        <is>
          <t>palier principal</t>
        </is>
      </c>
      <c r="D13" s="7" t="inlineStr">
        <is>
          <t>Moteur</t>
        </is>
      </c>
      <c r="E13" s="7" t="inlineStr">
        <is>
          <t>Moteur</t>
        </is>
      </c>
      <c r="F13" s="7" t="inlineStr">
        <is>
          <t>PIECE_VEHICULE</t>
        </is>
      </c>
      <c r="G13" s="7" t="inlineStr">
        <is>
          <t>unité</t>
        </is>
      </c>
      <c r="H13" s="7" t="inlineStr">
        <is>
          <t>LARGE</t>
        </is>
      </c>
      <c r="I13" s="7" t="n">
        <v>0</v>
      </c>
      <c r="J13" s="7" t="inlineStr">
        <is>
          <t>E-04-03</t>
        </is>
      </c>
      <c r="K13" s="7" t="inlineStr"/>
      <c r="L13" s="9" t="n">
        <v>0</v>
      </c>
      <c r="M13" s="9" t="n">
        <v>0</v>
      </c>
      <c r="N13" s="9" t="n">
        <v>17</v>
      </c>
      <c r="O13" s="7" t="inlineStr">
        <is>
          <t>SUM</t>
        </is>
      </c>
      <c r="P13" s="7" t="inlineStr">
        <is>
          <t>CRITIQUE</t>
        </is>
      </c>
      <c r="Q13" s="7" t="inlineStr">
        <is>
          <t>WHAP</t>
        </is>
      </c>
      <c r="R13" s="7" t="inlineStr">
        <is>
          <t>OUI</t>
        </is>
      </c>
      <c r="S13" s="7" t="inlineStr">
        <is>
          <t>31/08/2026 02:59</t>
        </is>
      </c>
    </row>
    <row r="14">
      <c r="A14" s="8" t="inlineStr">
        <is>
          <t>WHAP-0010</t>
        </is>
      </c>
      <c r="B14" s="8" t="inlineStr">
        <is>
          <t>MOT-0010</t>
        </is>
      </c>
      <c r="C14" s="8" t="inlineStr">
        <is>
          <t>coussinet de vilebrequin</t>
        </is>
      </c>
      <c r="D14" s="8" t="inlineStr">
        <is>
          <t>Moteur</t>
        </is>
      </c>
      <c r="E14" s="8" t="inlineStr">
        <is>
          <t>Moteur</t>
        </is>
      </c>
      <c r="F14" s="8" t="inlineStr">
        <is>
          <t>PIECE_VEHICULE</t>
        </is>
      </c>
      <c r="G14" s="8" t="inlineStr">
        <is>
          <t>unité</t>
        </is>
      </c>
      <c r="H14" s="8" t="inlineStr">
        <is>
          <t>LARGE</t>
        </is>
      </c>
      <c r="I14" s="8" t="n">
        <v>0</v>
      </c>
      <c r="J14" s="8" t="inlineStr">
        <is>
          <t>A-02-02</t>
        </is>
      </c>
      <c r="K14" s="8" t="inlineStr"/>
      <c r="L14" s="10" t="n">
        <v>0</v>
      </c>
      <c r="M14" s="10" t="n">
        <v>0</v>
      </c>
      <c r="N14" s="10" t="n">
        <v>15</v>
      </c>
      <c r="O14" s="8" t="inlineStr">
        <is>
          <t>SUM</t>
        </is>
      </c>
      <c r="P14" s="8" t="inlineStr">
        <is>
          <t>CRITIQUE</t>
        </is>
      </c>
      <c r="Q14" s="8" t="inlineStr">
        <is>
          <t>WHAP</t>
        </is>
      </c>
      <c r="R14" s="8" t="inlineStr">
        <is>
          <t>OUI</t>
        </is>
      </c>
      <c r="S14" s="8" t="inlineStr">
        <is>
          <t>31/08/2026 02:59</t>
        </is>
      </c>
    </row>
    <row r="15">
      <c r="A15" s="7" t="inlineStr">
        <is>
          <t>WHAP-0011</t>
        </is>
      </c>
      <c r="B15" s="7" t="inlineStr">
        <is>
          <t>MOT-0011</t>
        </is>
      </c>
      <c r="C15" s="7" t="inlineStr">
        <is>
          <t>bielle</t>
        </is>
      </c>
      <c r="D15" s="7" t="inlineStr">
        <is>
          <t>Moteur</t>
        </is>
      </c>
      <c r="E15" s="7" t="inlineStr">
        <is>
          <t>Moteur</t>
        </is>
      </c>
      <c r="F15" s="7" t="inlineStr">
        <is>
          <t>PIECE_VEHICULE</t>
        </is>
      </c>
      <c r="G15" s="7" t="inlineStr">
        <is>
          <t>unité</t>
        </is>
      </c>
      <c r="H15" s="7" t="inlineStr">
        <is>
          <t>LARGE</t>
        </is>
      </c>
      <c r="I15" s="7" t="n">
        <v>0</v>
      </c>
      <c r="J15" s="7" t="inlineStr">
        <is>
          <t>F-03-02</t>
        </is>
      </c>
      <c r="K15" s="7" t="inlineStr"/>
      <c r="L15" s="9" t="n">
        <v>0</v>
      </c>
      <c r="M15" s="9" t="n">
        <v>0</v>
      </c>
      <c r="N15" s="9" t="n">
        <v>13</v>
      </c>
      <c r="O15" s="7" t="inlineStr">
        <is>
          <t>FAU</t>
        </is>
      </c>
      <c r="P15" s="7" t="inlineStr">
        <is>
          <t>CRITIQUE</t>
        </is>
      </c>
      <c r="Q15" s="7" t="inlineStr">
        <is>
          <t>WHAP</t>
        </is>
      </c>
      <c r="R15" s="7" t="inlineStr">
        <is>
          <t>OUI</t>
        </is>
      </c>
      <c r="S15" s="7" t="inlineStr">
        <is>
          <t>31/08/2026 02:59</t>
        </is>
      </c>
    </row>
    <row r="16">
      <c r="A16" s="8" t="inlineStr">
        <is>
          <t>WHAP-0012</t>
        </is>
      </c>
      <c r="B16" s="8" t="inlineStr">
        <is>
          <t>MOT-0012</t>
        </is>
      </c>
      <c r="C16" s="8" t="inlineStr">
        <is>
          <t>coussinet de bielle</t>
        </is>
      </c>
      <c r="D16" s="8" t="inlineStr">
        <is>
          <t>Moteur</t>
        </is>
      </c>
      <c r="E16" s="8" t="inlineStr">
        <is>
          <t>Moteur</t>
        </is>
      </c>
      <c r="F16" s="8" t="inlineStr">
        <is>
          <t>PIECE_VEHICULE</t>
        </is>
      </c>
      <c r="G16" s="8" t="inlineStr">
        <is>
          <t>unité</t>
        </is>
      </c>
      <c r="H16" s="8" t="inlineStr">
        <is>
          <t>LARGE</t>
        </is>
      </c>
      <c r="I16" s="8" t="n">
        <v>0</v>
      </c>
      <c r="J16" s="8" t="inlineStr">
        <is>
          <t>B-01-01</t>
        </is>
      </c>
      <c r="K16" s="8" t="inlineStr"/>
      <c r="L16" s="10" t="n">
        <v>0</v>
      </c>
      <c r="M16" s="10" t="n">
        <v>0</v>
      </c>
      <c r="N16" s="10" t="n">
        <v>16</v>
      </c>
      <c r="O16" s="8" t="inlineStr">
        <is>
          <t>YZK</t>
        </is>
      </c>
      <c r="P16" s="8" t="inlineStr">
        <is>
          <t>CRITIQUE</t>
        </is>
      </c>
      <c r="Q16" s="8" t="inlineStr">
        <is>
          <t>WHAP</t>
        </is>
      </c>
      <c r="R16" s="8" t="inlineStr">
        <is>
          <t>OUI</t>
        </is>
      </c>
      <c r="S16" s="8" t="inlineStr">
        <is>
          <t>31/08/2026 02:59</t>
        </is>
      </c>
    </row>
    <row r="17">
      <c r="A17" s="7" t="inlineStr">
        <is>
          <t>WHAP-0013</t>
        </is>
      </c>
      <c r="B17" s="7" t="inlineStr">
        <is>
          <t>MOT-0013</t>
        </is>
      </c>
      <c r="C17" s="7" t="inlineStr">
        <is>
          <t>piston</t>
        </is>
      </c>
      <c r="D17" s="7" t="inlineStr">
        <is>
          <t>Moteur</t>
        </is>
      </c>
      <c r="E17" s="7" t="inlineStr">
        <is>
          <t>Moteur</t>
        </is>
      </c>
      <c r="F17" s="7" t="inlineStr">
        <is>
          <t>PIECE_VEHICULE</t>
        </is>
      </c>
      <c r="G17" s="7" t="inlineStr">
        <is>
          <t>unité</t>
        </is>
      </c>
      <c r="H17" s="7" t="inlineStr">
        <is>
          <t>LARGE</t>
        </is>
      </c>
      <c r="I17" s="7" t="n">
        <v>0</v>
      </c>
      <c r="J17" s="7" t="inlineStr">
        <is>
          <t>A-04-04</t>
        </is>
      </c>
      <c r="K17" s="7" t="inlineStr"/>
      <c r="L17" s="9" t="n">
        <v>0</v>
      </c>
      <c r="M17" s="9" t="n">
        <v>0</v>
      </c>
      <c r="N17" s="9" t="n">
        <v>10</v>
      </c>
      <c r="O17" s="7" t="inlineStr">
        <is>
          <t>HEL</t>
        </is>
      </c>
      <c r="P17" s="7" t="inlineStr">
        <is>
          <t>CRITIQUE</t>
        </is>
      </c>
      <c r="Q17" s="7" t="inlineStr">
        <is>
          <t>WHAP</t>
        </is>
      </c>
      <c r="R17" s="7" t="inlineStr">
        <is>
          <t>OUI</t>
        </is>
      </c>
      <c r="S17" s="7" t="inlineStr">
        <is>
          <t>31/08/2026 02:59</t>
        </is>
      </c>
    </row>
    <row r="18">
      <c r="A18" s="8" t="inlineStr">
        <is>
          <t>WHAP-0014</t>
        </is>
      </c>
      <c r="B18" s="8" t="inlineStr">
        <is>
          <t>MOT-0014</t>
        </is>
      </c>
      <c r="C18" s="8" t="inlineStr">
        <is>
          <t>segments de piston</t>
        </is>
      </c>
      <c r="D18" s="8" t="inlineStr">
        <is>
          <t>Moteur</t>
        </is>
      </c>
      <c r="E18" s="8" t="inlineStr">
        <is>
          <t>Moteur</t>
        </is>
      </c>
      <c r="F18" s="8" t="inlineStr">
        <is>
          <t>PIECE_VEHICULE</t>
        </is>
      </c>
      <c r="G18" s="8" t="inlineStr">
        <is>
          <t>unité</t>
        </is>
      </c>
      <c r="H18" s="8" t="inlineStr">
        <is>
          <t>LARGE</t>
        </is>
      </c>
      <c r="I18" s="8" t="n">
        <v>0</v>
      </c>
      <c r="J18" s="8" t="inlineStr">
        <is>
          <t>D-05-03</t>
        </is>
      </c>
      <c r="K18" s="8" t="inlineStr"/>
      <c r="L18" s="10" t="n">
        <v>0</v>
      </c>
      <c r="M18" s="10" t="n">
        <v>0</v>
      </c>
      <c r="N18" s="10" t="n">
        <v>14</v>
      </c>
      <c r="O18" s="8" t="inlineStr">
        <is>
          <t>CTL</t>
        </is>
      </c>
      <c r="P18" s="8" t="inlineStr">
        <is>
          <t>CRITIQUE</t>
        </is>
      </c>
      <c r="Q18" s="8" t="inlineStr">
        <is>
          <t>WHAP</t>
        </is>
      </c>
      <c r="R18" s="8" t="inlineStr">
        <is>
          <t>OUI</t>
        </is>
      </c>
      <c r="S18" s="8" t="inlineStr">
        <is>
          <t>31/08/2026 02:59</t>
        </is>
      </c>
    </row>
    <row r="19">
      <c r="A19" s="7" t="inlineStr">
        <is>
          <t>WHAP-0015</t>
        </is>
      </c>
      <c r="B19" s="7" t="inlineStr">
        <is>
          <t>MOT-0015</t>
        </is>
      </c>
      <c r="C19" s="7" t="inlineStr">
        <is>
          <t>axe de piston</t>
        </is>
      </c>
      <c r="D19" s="7" t="inlineStr">
        <is>
          <t>Moteur</t>
        </is>
      </c>
      <c r="E19" s="7" t="inlineStr">
        <is>
          <t>Moteur</t>
        </is>
      </c>
      <c r="F19" s="7" t="inlineStr">
        <is>
          <t>PIECE_VEHICULE</t>
        </is>
      </c>
      <c r="G19" s="7" t="inlineStr">
        <is>
          <t>unité</t>
        </is>
      </c>
      <c r="H19" s="7" t="inlineStr">
        <is>
          <t>LARGE</t>
        </is>
      </c>
      <c r="I19" s="7" t="n">
        <v>0</v>
      </c>
      <c r="J19" s="7" t="inlineStr">
        <is>
          <t>C-01-02</t>
        </is>
      </c>
      <c r="K19" s="7" t="inlineStr"/>
      <c r="L19" s="9" t="n">
        <v>0</v>
      </c>
      <c r="M19" s="9" t="n">
        <v>0</v>
      </c>
      <c r="N19" s="9" t="n">
        <v>18</v>
      </c>
      <c r="O19" s="7" t="inlineStr">
        <is>
          <t>MAG</t>
        </is>
      </c>
      <c r="P19" s="7" t="inlineStr">
        <is>
          <t>CRITIQUE</t>
        </is>
      </c>
      <c r="Q19" s="7" t="inlineStr">
        <is>
          <t>WHAP</t>
        </is>
      </c>
      <c r="R19" s="7" t="inlineStr">
        <is>
          <t>OUI</t>
        </is>
      </c>
      <c r="S19" s="7" t="inlineStr">
        <is>
          <t>31/08/2026 02:59</t>
        </is>
      </c>
    </row>
    <row r="20">
      <c r="A20" s="8" t="inlineStr">
        <is>
          <t>WHAP-0016</t>
        </is>
      </c>
      <c r="B20" s="8" t="inlineStr">
        <is>
          <t>MOT-0016</t>
        </is>
      </c>
      <c r="C20" s="8" t="inlineStr">
        <is>
          <t>chemise de cylindre</t>
        </is>
      </c>
      <c r="D20" s="8" t="inlineStr">
        <is>
          <t>Moteur</t>
        </is>
      </c>
      <c r="E20" s="8" t="inlineStr">
        <is>
          <t>Moteur</t>
        </is>
      </c>
      <c r="F20" s="8" t="inlineStr">
        <is>
          <t>PIECE_VEHICULE</t>
        </is>
      </c>
      <c r="G20" s="8" t="inlineStr">
        <is>
          <t>unité</t>
        </is>
      </c>
      <c r="H20" s="8" t="inlineStr">
        <is>
          <t>LARGE</t>
        </is>
      </c>
      <c r="I20" s="8" t="n">
        <v>0</v>
      </c>
      <c r="J20" s="8" t="inlineStr">
        <is>
          <t>E-02-03</t>
        </is>
      </c>
      <c r="K20" s="8" t="inlineStr"/>
      <c r="L20" s="10" t="n">
        <v>0</v>
      </c>
      <c r="M20" s="10" t="n">
        <v>0</v>
      </c>
      <c r="N20" s="10" t="n">
        <v>13</v>
      </c>
      <c r="O20" s="8" t="inlineStr">
        <is>
          <t>DEL</t>
        </is>
      </c>
      <c r="P20" s="8" t="inlineStr">
        <is>
          <t>CRITIQUE</t>
        </is>
      </c>
      <c r="Q20" s="8" t="inlineStr">
        <is>
          <t>WHAP</t>
        </is>
      </c>
      <c r="R20" s="8" t="inlineStr">
        <is>
          <t>OUI</t>
        </is>
      </c>
      <c r="S20" s="8" t="inlineStr">
        <is>
          <t>31/08/2026 02:59</t>
        </is>
      </c>
    </row>
    <row r="21">
      <c r="A21" s="7" t="inlineStr">
        <is>
          <t>WHAP-0017</t>
        </is>
      </c>
      <c r="B21" s="7" t="inlineStr">
        <is>
          <t>MOT-0017</t>
        </is>
      </c>
      <c r="C21" s="7" t="inlineStr">
        <is>
          <t>arbre à cames</t>
        </is>
      </c>
      <c r="D21" s="7" t="inlineStr">
        <is>
          <t>Moteur</t>
        </is>
      </c>
      <c r="E21" s="7" t="inlineStr">
        <is>
          <t>Moteur</t>
        </is>
      </c>
      <c r="F21" s="7" t="inlineStr">
        <is>
          <t>PIECE_VEHICULE</t>
        </is>
      </c>
      <c r="G21" s="7" t="inlineStr">
        <is>
          <t>unité</t>
        </is>
      </c>
      <c r="H21" s="7" t="inlineStr">
        <is>
          <t>LARGE</t>
        </is>
      </c>
      <c r="I21" s="7" t="n">
        <v>0</v>
      </c>
      <c r="J21" s="7" t="inlineStr">
        <is>
          <t>E-01-01</t>
        </is>
      </c>
      <c r="K21" s="7" t="inlineStr"/>
      <c r="L21" s="9" t="n">
        <v>0</v>
      </c>
      <c r="M21" s="9" t="n">
        <v>0</v>
      </c>
      <c r="N21" s="9" t="n">
        <v>17</v>
      </c>
      <c r="O21" s="7" t="inlineStr">
        <is>
          <t>HEL</t>
        </is>
      </c>
      <c r="P21" s="7" t="inlineStr">
        <is>
          <t>CRITIQUE</t>
        </is>
      </c>
      <c r="Q21" s="7" t="inlineStr">
        <is>
          <t>WHAP</t>
        </is>
      </c>
      <c r="R21" s="7" t="inlineStr">
        <is>
          <t>OUI</t>
        </is>
      </c>
      <c r="S21" s="7" t="inlineStr">
        <is>
          <t>31/08/2026 02:59</t>
        </is>
      </c>
    </row>
    <row r="22">
      <c r="A22" s="8" t="inlineStr">
        <is>
          <t>WHAP-0018</t>
        </is>
      </c>
      <c r="B22" s="8" t="inlineStr">
        <is>
          <t>MOT-0018</t>
        </is>
      </c>
      <c r="C22" s="8" t="inlineStr">
        <is>
          <t>poussoir hydraulique</t>
        </is>
      </c>
      <c r="D22" s="8" t="inlineStr">
        <is>
          <t>Moteur</t>
        </is>
      </c>
      <c r="E22" s="8" t="inlineStr">
        <is>
          <t>Moteur</t>
        </is>
      </c>
      <c r="F22" s="8" t="inlineStr">
        <is>
          <t>PIECE_VEHICULE</t>
        </is>
      </c>
      <c r="G22" s="8" t="inlineStr">
        <is>
          <t>unité</t>
        </is>
      </c>
      <c r="H22" s="8" t="inlineStr">
        <is>
          <t>LARGE</t>
        </is>
      </c>
      <c r="I22" s="8" t="n">
        <v>0</v>
      </c>
      <c r="J22" s="8" t="inlineStr">
        <is>
          <t>E-01-02</t>
        </is>
      </c>
      <c r="K22" s="8" t="inlineStr"/>
      <c r="L22" s="10" t="n">
        <v>0</v>
      </c>
      <c r="M22" s="10" t="n">
        <v>0</v>
      </c>
      <c r="N22" s="10" t="n">
        <v>20</v>
      </c>
      <c r="O22" s="8" t="inlineStr">
        <is>
          <t>SUM</t>
        </is>
      </c>
      <c r="P22" s="8" t="inlineStr">
        <is>
          <t>CRITIQUE</t>
        </is>
      </c>
      <c r="Q22" s="8" t="inlineStr">
        <is>
          <t>WHAP</t>
        </is>
      </c>
      <c r="R22" s="8" t="inlineStr">
        <is>
          <t>OUI</t>
        </is>
      </c>
      <c r="S22" s="8" t="inlineStr">
        <is>
          <t>31/08/2026 02:59</t>
        </is>
      </c>
    </row>
    <row r="23">
      <c r="A23" s="7" t="inlineStr">
        <is>
          <t>WHAP-0019</t>
        </is>
      </c>
      <c r="B23" s="7" t="inlineStr">
        <is>
          <t>MOT-0019</t>
        </is>
      </c>
      <c r="C23" s="7" t="inlineStr">
        <is>
          <t>culbuteur</t>
        </is>
      </c>
      <c r="D23" s="7" t="inlineStr">
        <is>
          <t>Moteur</t>
        </is>
      </c>
      <c r="E23" s="7" t="inlineStr">
        <is>
          <t>Moteur</t>
        </is>
      </c>
      <c r="F23" s="7" t="inlineStr">
        <is>
          <t>PIECE_VEHICULE</t>
        </is>
      </c>
      <c r="G23" s="7" t="inlineStr">
        <is>
          <t>unité</t>
        </is>
      </c>
      <c r="H23" s="7" t="inlineStr">
        <is>
          <t>LARGE</t>
        </is>
      </c>
      <c r="I23" s="7" t="n">
        <v>0</v>
      </c>
      <c r="J23" s="7" t="inlineStr">
        <is>
          <t>A-05-04</t>
        </is>
      </c>
      <c r="K23" s="7" t="inlineStr"/>
      <c r="L23" s="9" t="n">
        <v>0</v>
      </c>
      <c r="M23" s="9" t="n">
        <v>0</v>
      </c>
      <c r="N23" s="9" t="n">
        <v>16</v>
      </c>
      <c r="O23" s="7" t="inlineStr">
        <is>
          <t>HEL</t>
        </is>
      </c>
      <c r="P23" s="7" t="inlineStr">
        <is>
          <t>CRITIQUE</t>
        </is>
      </c>
      <c r="Q23" s="7" t="inlineStr">
        <is>
          <t>WHAP</t>
        </is>
      </c>
      <c r="R23" s="7" t="inlineStr">
        <is>
          <t>OUI</t>
        </is>
      </c>
      <c r="S23" s="7" t="inlineStr">
        <is>
          <t>31/08/2026 02:59</t>
        </is>
      </c>
    </row>
    <row r="24">
      <c r="A24" s="8" t="inlineStr">
        <is>
          <t>WHAP-0020</t>
        </is>
      </c>
      <c r="B24" s="8" t="inlineStr">
        <is>
          <t>MOT-0020</t>
        </is>
      </c>
      <c r="C24" s="8" t="inlineStr">
        <is>
          <t>soupape d'admission</t>
        </is>
      </c>
      <c r="D24" s="8" t="inlineStr">
        <is>
          <t>Moteur</t>
        </is>
      </c>
      <c r="E24" s="8" t="inlineStr">
        <is>
          <t>Moteur</t>
        </is>
      </c>
      <c r="F24" s="8" t="inlineStr">
        <is>
          <t>PIECE_VEHICULE</t>
        </is>
      </c>
      <c r="G24" s="8" t="inlineStr">
        <is>
          <t>unité</t>
        </is>
      </c>
      <c r="H24" s="8" t="inlineStr">
        <is>
          <t>LARGE</t>
        </is>
      </c>
      <c r="I24" s="8" t="n">
        <v>0</v>
      </c>
      <c r="J24" s="8" t="inlineStr">
        <is>
          <t>D-03-04</t>
        </is>
      </c>
      <c r="K24" s="8" t="inlineStr"/>
      <c r="L24" s="10" t="n">
        <v>0</v>
      </c>
      <c r="M24" s="10" t="n">
        <v>0</v>
      </c>
      <c r="N24" s="10" t="n">
        <v>17</v>
      </c>
      <c r="O24" s="8" t="inlineStr">
        <is>
          <t>FAU</t>
        </is>
      </c>
      <c r="P24" s="8" t="inlineStr">
        <is>
          <t>CRITIQUE</t>
        </is>
      </c>
      <c r="Q24" s="8" t="inlineStr">
        <is>
          <t>WHAP</t>
        </is>
      </c>
      <c r="R24" s="8" t="inlineStr">
        <is>
          <t>OUI</t>
        </is>
      </c>
      <c r="S24" s="8" t="inlineStr">
        <is>
          <t>31/08/2026 02:59</t>
        </is>
      </c>
    </row>
    <row r="25">
      <c r="A25" s="7" t="inlineStr">
        <is>
          <t>WHAP-0021</t>
        </is>
      </c>
      <c r="B25" s="7" t="inlineStr">
        <is>
          <t>MOT-0021</t>
        </is>
      </c>
      <c r="C25" s="7" t="inlineStr">
        <is>
          <t>soupape d'échappement</t>
        </is>
      </c>
      <c r="D25" s="7" t="inlineStr">
        <is>
          <t>Moteur</t>
        </is>
      </c>
      <c r="E25" s="7" t="inlineStr">
        <is>
          <t>Moteur</t>
        </is>
      </c>
      <c r="F25" s="7" t="inlineStr">
        <is>
          <t>PIECE_VEHICULE</t>
        </is>
      </c>
      <c r="G25" s="7" t="inlineStr">
        <is>
          <t>unité</t>
        </is>
      </c>
      <c r="H25" s="7" t="inlineStr">
        <is>
          <t>LARGE</t>
        </is>
      </c>
      <c r="I25" s="7" t="n">
        <v>0</v>
      </c>
      <c r="J25" s="7" t="inlineStr">
        <is>
          <t>B-04-02</t>
        </is>
      </c>
      <c r="K25" s="7" t="inlineStr"/>
      <c r="L25" s="9" t="n">
        <v>0</v>
      </c>
      <c r="M25" s="9" t="n">
        <v>0</v>
      </c>
      <c r="N25" s="9" t="n">
        <v>19</v>
      </c>
      <c r="O25" s="7" t="inlineStr">
        <is>
          <t>FAU</t>
        </is>
      </c>
      <c r="P25" s="7" t="inlineStr">
        <is>
          <t>CRITIQUE</t>
        </is>
      </c>
      <c r="Q25" s="7" t="inlineStr">
        <is>
          <t>WHAP</t>
        </is>
      </c>
      <c r="R25" s="7" t="inlineStr">
        <is>
          <t>OUI</t>
        </is>
      </c>
      <c r="S25" s="7" t="inlineStr">
        <is>
          <t>31/08/2026 02:59</t>
        </is>
      </c>
    </row>
    <row r="26">
      <c r="A26" s="8" t="inlineStr">
        <is>
          <t>WHAP-0022</t>
        </is>
      </c>
      <c r="B26" s="8" t="inlineStr">
        <is>
          <t>MOT-0022</t>
        </is>
      </c>
      <c r="C26" s="8" t="inlineStr">
        <is>
          <t>guide de soupape</t>
        </is>
      </c>
      <c r="D26" s="8" t="inlineStr">
        <is>
          <t>Moteur</t>
        </is>
      </c>
      <c r="E26" s="8" t="inlineStr">
        <is>
          <t>Moteur</t>
        </is>
      </c>
      <c r="F26" s="8" t="inlineStr">
        <is>
          <t>PIECE_VEHICULE</t>
        </is>
      </c>
      <c r="G26" s="8" t="inlineStr">
        <is>
          <t>unité</t>
        </is>
      </c>
      <c r="H26" s="8" t="inlineStr">
        <is>
          <t>LARGE</t>
        </is>
      </c>
      <c r="I26" s="8" t="n">
        <v>0</v>
      </c>
      <c r="J26" s="8" t="inlineStr">
        <is>
          <t>E-05-02</t>
        </is>
      </c>
      <c r="K26" s="8" t="inlineStr"/>
      <c r="L26" s="10" t="n">
        <v>0</v>
      </c>
      <c r="M26" s="10" t="n">
        <v>0</v>
      </c>
      <c r="N26" s="10" t="n">
        <v>10</v>
      </c>
      <c r="O26" s="8" t="inlineStr">
        <is>
          <t>HEL</t>
        </is>
      </c>
      <c r="P26" s="8" t="inlineStr">
        <is>
          <t>CRITIQUE</t>
        </is>
      </c>
      <c r="Q26" s="8" t="inlineStr">
        <is>
          <t>WHAP</t>
        </is>
      </c>
      <c r="R26" s="8" t="inlineStr">
        <is>
          <t>OUI</t>
        </is>
      </c>
      <c r="S26" s="8" t="inlineStr">
        <is>
          <t>31/08/2026 02:59</t>
        </is>
      </c>
    </row>
    <row r="27">
      <c r="A27" s="7" t="inlineStr">
        <is>
          <t>WHAP-0023</t>
        </is>
      </c>
      <c r="B27" s="7" t="inlineStr">
        <is>
          <t>MOT-0023</t>
        </is>
      </c>
      <c r="C27" s="7" t="inlineStr">
        <is>
          <t>ressort de soupape</t>
        </is>
      </c>
      <c r="D27" s="7" t="inlineStr">
        <is>
          <t>Moteur</t>
        </is>
      </c>
      <c r="E27" s="7" t="inlineStr">
        <is>
          <t>Moteur</t>
        </is>
      </c>
      <c r="F27" s="7" t="inlineStr">
        <is>
          <t>PIECE_VEHICULE</t>
        </is>
      </c>
      <c r="G27" s="7" t="inlineStr">
        <is>
          <t>unité</t>
        </is>
      </c>
      <c r="H27" s="7" t="inlineStr">
        <is>
          <t>LARGE</t>
        </is>
      </c>
      <c r="I27" s="7" t="n">
        <v>0</v>
      </c>
      <c r="J27" s="7" t="inlineStr">
        <is>
          <t>E-04-03</t>
        </is>
      </c>
      <c r="K27" s="7" t="inlineStr"/>
      <c r="L27" s="9" t="n">
        <v>0</v>
      </c>
      <c r="M27" s="9" t="n">
        <v>0</v>
      </c>
      <c r="N27" s="9" t="n">
        <v>13</v>
      </c>
      <c r="O27" s="7" t="inlineStr">
        <is>
          <t>MAG</t>
        </is>
      </c>
      <c r="P27" s="7" t="inlineStr">
        <is>
          <t>CRITIQUE</t>
        </is>
      </c>
      <c r="Q27" s="7" t="inlineStr">
        <is>
          <t>WHAP</t>
        </is>
      </c>
      <c r="R27" s="7" t="inlineStr">
        <is>
          <t>OUI</t>
        </is>
      </c>
      <c r="S27" s="7" t="inlineStr">
        <is>
          <t>31/08/2026 02:59</t>
        </is>
      </c>
    </row>
    <row r="28">
      <c r="A28" s="8" t="inlineStr">
        <is>
          <t>WHAP-0024</t>
        </is>
      </c>
      <c r="B28" s="8" t="inlineStr">
        <is>
          <t>MOT-0024</t>
        </is>
      </c>
      <c r="C28" s="8" t="inlineStr">
        <is>
          <t>siège de soupape</t>
        </is>
      </c>
      <c r="D28" s="8" t="inlineStr">
        <is>
          <t>Moteur</t>
        </is>
      </c>
      <c r="E28" s="8" t="inlineStr">
        <is>
          <t>Moteur</t>
        </is>
      </c>
      <c r="F28" s="8" t="inlineStr">
        <is>
          <t>PIECE_VEHICULE</t>
        </is>
      </c>
      <c r="G28" s="8" t="inlineStr">
        <is>
          <t>unité</t>
        </is>
      </c>
      <c r="H28" s="8" t="inlineStr">
        <is>
          <t>LARGE</t>
        </is>
      </c>
      <c r="I28" s="8" t="n">
        <v>0</v>
      </c>
      <c r="J28" s="8" t="inlineStr">
        <is>
          <t>D-04-04</t>
        </is>
      </c>
      <c r="K28" s="8" t="inlineStr"/>
      <c r="L28" s="10" t="n">
        <v>0</v>
      </c>
      <c r="M28" s="10" t="n">
        <v>0</v>
      </c>
      <c r="N28" s="10" t="n">
        <v>12</v>
      </c>
      <c r="O28" s="8" t="inlineStr">
        <is>
          <t>CTL</t>
        </is>
      </c>
      <c r="P28" s="8" t="inlineStr">
        <is>
          <t>CRITIQUE</t>
        </is>
      </c>
      <c r="Q28" s="8" t="inlineStr">
        <is>
          <t>WHAP</t>
        </is>
      </c>
      <c r="R28" s="8" t="inlineStr">
        <is>
          <t>OUI</t>
        </is>
      </c>
      <c r="S28" s="8" t="inlineStr">
        <is>
          <t>31/08/2026 02:59</t>
        </is>
      </c>
    </row>
    <row r="29">
      <c r="A29" s="7" t="inlineStr">
        <is>
          <t>WHAP-0025</t>
        </is>
      </c>
      <c r="B29" s="7" t="inlineStr">
        <is>
          <t>MOT-0025</t>
        </is>
      </c>
      <c r="C29" s="7" t="inlineStr">
        <is>
          <t>injecteur</t>
        </is>
      </c>
      <c r="D29" s="7" t="inlineStr">
        <is>
          <t>Moteur</t>
        </is>
      </c>
      <c r="E29" s="7" t="inlineStr">
        <is>
          <t>Moteur</t>
        </is>
      </c>
      <c r="F29" s="7" t="inlineStr">
        <is>
          <t>PIECE_VEHICULE</t>
        </is>
      </c>
      <c r="G29" s="7" t="inlineStr">
        <is>
          <t>unité</t>
        </is>
      </c>
      <c r="H29" s="7" t="inlineStr">
        <is>
          <t>LARGE</t>
        </is>
      </c>
      <c r="I29" s="7" t="n">
        <v>0</v>
      </c>
      <c r="J29" s="7" t="inlineStr">
        <is>
          <t>D-03-02</t>
        </is>
      </c>
      <c r="K29" s="7" t="inlineStr"/>
      <c r="L29" s="9" t="n">
        <v>0</v>
      </c>
      <c r="M29" s="9" t="n">
        <v>0</v>
      </c>
      <c r="N29" s="9" t="n">
        <v>17</v>
      </c>
      <c r="O29" s="7" t="inlineStr">
        <is>
          <t>YZK</t>
        </is>
      </c>
      <c r="P29" s="7" t="inlineStr">
        <is>
          <t>CRITIQUE</t>
        </is>
      </c>
      <c r="Q29" s="7" t="inlineStr">
        <is>
          <t>WHAP</t>
        </is>
      </c>
      <c r="R29" s="7" t="inlineStr">
        <is>
          <t>OUI</t>
        </is>
      </c>
      <c r="S29" s="7" t="inlineStr">
        <is>
          <t>31/08/2026 02:59</t>
        </is>
      </c>
    </row>
    <row r="30">
      <c r="A30" s="8" t="inlineStr">
        <is>
          <t>WHAP-0026</t>
        </is>
      </c>
      <c r="B30" s="8" t="inlineStr">
        <is>
          <t>MOT-0026</t>
        </is>
      </c>
      <c r="C30" s="8" t="inlineStr">
        <is>
          <t>rampe commune</t>
        </is>
      </c>
      <c r="D30" s="8" t="inlineStr">
        <is>
          <t>Moteur</t>
        </is>
      </c>
      <c r="E30" s="8" t="inlineStr">
        <is>
          <t>Moteur</t>
        </is>
      </c>
      <c r="F30" s="8" t="inlineStr">
        <is>
          <t>PIECE_VEHICULE</t>
        </is>
      </c>
      <c r="G30" s="8" t="inlineStr">
        <is>
          <t>unité</t>
        </is>
      </c>
      <c r="H30" s="8" t="inlineStr">
        <is>
          <t>LARGE</t>
        </is>
      </c>
      <c r="I30" s="8" t="n">
        <v>0</v>
      </c>
      <c r="J30" s="8" t="inlineStr">
        <is>
          <t>E-05-02</t>
        </is>
      </c>
      <c r="K30" s="8" t="inlineStr"/>
      <c r="L30" s="10" t="n">
        <v>0</v>
      </c>
      <c r="M30" s="10" t="n">
        <v>0</v>
      </c>
      <c r="N30" s="10" t="n">
        <v>20</v>
      </c>
      <c r="O30" s="8" t="inlineStr">
        <is>
          <t>MAG</t>
        </is>
      </c>
      <c r="P30" s="8" t="inlineStr">
        <is>
          <t>CRITIQUE</t>
        </is>
      </c>
      <c r="Q30" s="8" t="inlineStr">
        <is>
          <t>WHAP</t>
        </is>
      </c>
      <c r="R30" s="8" t="inlineStr">
        <is>
          <t>OUI</t>
        </is>
      </c>
      <c r="S30" s="8" t="inlineStr">
        <is>
          <t>31/08/2026 02:59</t>
        </is>
      </c>
    </row>
    <row r="31">
      <c r="A31" s="7" t="inlineStr">
        <is>
          <t>WHAP-0027</t>
        </is>
      </c>
      <c r="B31" s="7" t="inlineStr">
        <is>
          <t>MOT-0027</t>
        </is>
      </c>
      <c r="C31" s="7" t="inlineStr">
        <is>
          <t>pompe haute pression</t>
        </is>
      </c>
      <c r="D31" s="7" t="inlineStr">
        <is>
          <t>Moteur</t>
        </is>
      </c>
      <c r="E31" s="7" t="inlineStr">
        <is>
          <t>Moteur</t>
        </is>
      </c>
      <c r="F31" s="7" t="inlineStr">
        <is>
          <t>PIECE_VEHICULE</t>
        </is>
      </c>
      <c r="G31" s="7" t="inlineStr">
        <is>
          <t>unité</t>
        </is>
      </c>
      <c r="H31" s="7" t="inlineStr">
        <is>
          <t>LARGE</t>
        </is>
      </c>
      <c r="I31" s="7" t="n">
        <v>0</v>
      </c>
      <c r="J31" s="7" t="inlineStr">
        <is>
          <t>D-05-03</t>
        </is>
      </c>
      <c r="K31" s="7" t="inlineStr"/>
      <c r="L31" s="9" t="n">
        <v>0</v>
      </c>
      <c r="M31" s="9" t="n">
        <v>0</v>
      </c>
      <c r="N31" s="9" t="n">
        <v>17</v>
      </c>
      <c r="O31" s="7" t="inlineStr">
        <is>
          <t>YZK</t>
        </is>
      </c>
      <c r="P31" s="7" t="inlineStr">
        <is>
          <t>CRITIQUE</t>
        </is>
      </c>
      <c r="Q31" s="7" t="inlineStr">
        <is>
          <t>WHAP</t>
        </is>
      </c>
      <c r="R31" s="7" t="inlineStr">
        <is>
          <t>OUI</t>
        </is>
      </c>
      <c r="S31" s="7" t="inlineStr">
        <is>
          <t>31/08/2026 02:59</t>
        </is>
      </c>
    </row>
    <row r="32">
      <c r="A32" s="8" t="inlineStr">
        <is>
          <t>WHAP-0028</t>
        </is>
      </c>
      <c r="B32" s="8" t="inlineStr">
        <is>
          <t>MOT-0028</t>
        </is>
      </c>
      <c r="C32" s="8" t="inlineStr">
        <is>
          <t>pompe à carburant</t>
        </is>
      </c>
      <c r="D32" s="8" t="inlineStr">
        <is>
          <t>Moteur</t>
        </is>
      </c>
      <c r="E32" s="8" t="inlineStr">
        <is>
          <t>Moteur</t>
        </is>
      </c>
      <c r="F32" s="8" t="inlineStr">
        <is>
          <t>PIECE_VEHICULE</t>
        </is>
      </c>
      <c r="G32" s="8" t="inlineStr">
        <is>
          <t>unité</t>
        </is>
      </c>
      <c r="H32" s="8" t="inlineStr">
        <is>
          <t>LARGE</t>
        </is>
      </c>
      <c r="I32" s="8" t="n">
        <v>0</v>
      </c>
      <c r="J32" s="8" t="inlineStr">
        <is>
          <t>C-01-02</t>
        </is>
      </c>
      <c r="K32" s="8" t="inlineStr"/>
      <c r="L32" s="10" t="n">
        <v>0</v>
      </c>
      <c r="M32" s="10" t="n">
        <v>0</v>
      </c>
      <c r="N32" s="10" t="n">
        <v>11</v>
      </c>
      <c r="O32" s="8" t="inlineStr">
        <is>
          <t>MAG</t>
        </is>
      </c>
      <c r="P32" s="8" t="inlineStr">
        <is>
          <t>CRITIQUE</t>
        </is>
      </c>
      <c r="Q32" s="8" t="inlineStr">
        <is>
          <t>WHAP</t>
        </is>
      </c>
      <c r="R32" s="8" t="inlineStr">
        <is>
          <t>OUI</t>
        </is>
      </c>
      <c r="S32" s="8" t="inlineStr">
        <is>
          <t>31/08/2026 02:59</t>
        </is>
      </c>
    </row>
    <row r="33">
      <c r="A33" s="7" t="inlineStr">
        <is>
          <t>WHAP-0029</t>
        </is>
      </c>
      <c r="B33" s="7" t="inlineStr">
        <is>
          <t>MOT-0029</t>
        </is>
      </c>
      <c r="C33" s="7" t="inlineStr">
        <is>
          <t>filtre à carburant</t>
        </is>
      </c>
      <c r="D33" s="7" t="inlineStr">
        <is>
          <t>Moteur</t>
        </is>
      </c>
      <c r="E33" s="7" t="inlineStr">
        <is>
          <t>Moteur</t>
        </is>
      </c>
      <c r="F33" s="7" t="inlineStr">
        <is>
          <t>PIECE_VEHICULE</t>
        </is>
      </c>
      <c r="G33" s="7" t="inlineStr">
        <is>
          <t>unité</t>
        </is>
      </c>
      <c r="H33" s="7" t="inlineStr">
        <is>
          <t>LARGE</t>
        </is>
      </c>
      <c r="I33" s="7" t="n">
        <v>0</v>
      </c>
      <c r="J33" s="7" t="inlineStr">
        <is>
          <t>B-03-03</t>
        </is>
      </c>
      <c r="K33" s="7" t="inlineStr"/>
      <c r="L33" s="9" t="n">
        <v>0</v>
      </c>
      <c r="M33" s="9" t="n">
        <v>0</v>
      </c>
      <c r="N33" s="9" t="n">
        <v>15</v>
      </c>
      <c r="O33" s="7" t="inlineStr">
        <is>
          <t>SKF</t>
        </is>
      </c>
      <c r="P33" s="7" t="inlineStr">
        <is>
          <t>CRITIQUE</t>
        </is>
      </c>
      <c r="Q33" s="7" t="inlineStr">
        <is>
          <t>WHAP</t>
        </is>
      </c>
      <c r="R33" s="7" t="inlineStr">
        <is>
          <t>OUI</t>
        </is>
      </c>
      <c r="S33" s="7" t="inlineStr">
        <is>
          <t>31/08/2026 02:59</t>
        </is>
      </c>
    </row>
    <row r="34">
      <c r="A34" s="8" t="inlineStr">
        <is>
          <t>WHAP-0030</t>
        </is>
      </c>
      <c r="B34" s="8" t="inlineStr">
        <is>
          <t>MOT-0030</t>
        </is>
      </c>
      <c r="C34" s="8" t="inlineStr">
        <is>
          <t>filtre à huile</t>
        </is>
      </c>
      <c r="D34" s="8" t="inlineStr">
        <is>
          <t>Moteur</t>
        </is>
      </c>
      <c r="E34" s="8" t="inlineStr">
        <is>
          <t>Moteur</t>
        </is>
      </c>
      <c r="F34" s="8" t="inlineStr">
        <is>
          <t>PIECE_VEHICULE</t>
        </is>
      </c>
      <c r="G34" s="8" t="inlineStr">
        <is>
          <t>unité</t>
        </is>
      </c>
      <c r="H34" s="8" t="inlineStr">
        <is>
          <t>LARGE</t>
        </is>
      </c>
      <c r="I34" s="8" t="n">
        <v>0</v>
      </c>
      <c r="J34" s="8" t="inlineStr">
        <is>
          <t>E-04-01</t>
        </is>
      </c>
      <c r="K34" s="8" t="inlineStr"/>
      <c r="L34" s="10" t="n">
        <v>0</v>
      </c>
      <c r="M34" s="10" t="n">
        <v>0</v>
      </c>
      <c r="N34" s="10" t="n">
        <v>14</v>
      </c>
      <c r="O34" s="8" t="inlineStr">
        <is>
          <t>HEL</t>
        </is>
      </c>
      <c r="P34" s="8" t="inlineStr">
        <is>
          <t>CRITIQUE</t>
        </is>
      </c>
      <c r="Q34" s="8" t="inlineStr">
        <is>
          <t>WHAP</t>
        </is>
      </c>
      <c r="R34" s="8" t="inlineStr">
        <is>
          <t>OUI</t>
        </is>
      </c>
      <c r="S34" s="8" t="inlineStr">
        <is>
          <t>31/08/2026 02:59</t>
        </is>
      </c>
    </row>
    <row r="35">
      <c r="A35" s="7" t="inlineStr">
        <is>
          <t>WHAP-0031</t>
        </is>
      </c>
      <c r="B35" s="7" t="inlineStr">
        <is>
          <t>MOT-0031</t>
        </is>
      </c>
      <c r="C35" s="7" t="inlineStr">
        <is>
          <t>filtre à air</t>
        </is>
      </c>
      <c r="D35" s="7" t="inlineStr">
        <is>
          <t>Moteur</t>
        </is>
      </c>
      <c r="E35" s="7" t="inlineStr">
        <is>
          <t>Moteur</t>
        </is>
      </c>
      <c r="F35" s="7" t="inlineStr">
        <is>
          <t>PIECE_VEHICULE</t>
        </is>
      </c>
      <c r="G35" s="7" t="inlineStr">
        <is>
          <t>unité</t>
        </is>
      </c>
      <c r="H35" s="7" t="inlineStr">
        <is>
          <t>LARGE</t>
        </is>
      </c>
      <c r="I35" s="7" t="n">
        <v>0</v>
      </c>
      <c r="J35" s="7" t="inlineStr">
        <is>
          <t>C-05-04</t>
        </is>
      </c>
      <c r="K35" s="7" t="inlineStr"/>
      <c r="L35" s="9" t="n">
        <v>0</v>
      </c>
      <c r="M35" s="9" t="n">
        <v>0</v>
      </c>
      <c r="N35" s="9" t="n">
        <v>17</v>
      </c>
      <c r="O35" s="7" t="inlineStr">
        <is>
          <t>MAG</t>
        </is>
      </c>
      <c r="P35" s="7" t="inlineStr">
        <is>
          <t>CRITIQUE</t>
        </is>
      </c>
      <c r="Q35" s="7" t="inlineStr">
        <is>
          <t>WHAP</t>
        </is>
      </c>
      <c r="R35" s="7" t="inlineStr">
        <is>
          <t>OUI</t>
        </is>
      </c>
      <c r="S35" s="7" t="inlineStr">
        <is>
          <t>31/08/2026 02:59</t>
        </is>
      </c>
    </row>
    <row r="36">
      <c r="A36" s="8" t="inlineStr">
        <is>
          <t>WHAP-0032</t>
        </is>
      </c>
      <c r="B36" s="8" t="inlineStr">
        <is>
          <t>MOT-0032</t>
        </is>
      </c>
      <c r="C36" s="8" t="inlineStr">
        <is>
          <t>boîtier de filtre à air</t>
        </is>
      </c>
      <c r="D36" s="8" t="inlineStr">
        <is>
          <t>Moteur</t>
        </is>
      </c>
      <c r="E36" s="8" t="inlineStr">
        <is>
          <t>Moteur</t>
        </is>
      </c>
      <c r="F36" s="8" t="inlineStr">
        <is>
          <t>PIECE_VEHICULE</t>
        </is>
      </c>
      <c r="G36" s="8" t="inlineStr">
        <is>
          <t>unité</t>
        </is>
      </c>
      <c r="H36" s="8" t="inlineStr">
        <is>
          <t>LARGE</t>
        </is>
      </c>
      <c r="I36" s="8" t="n">
        <v>0</v>
      </c>
      <c r="J36" s="8" t="inlineStr">
        <is>
          <t>F-04-04</t>
        </is>
      </c>
      <c r="K36" s="8" t="inlineStr"/>
      <c r="L36" s="10" t="n">
        <v>0</v>
      </c>
      <c r="M36" s="10" t="n">
        <v>0</v>
      </c>
      <c r="N36" s="10" t="n">
        <v>14</v>
      </c>
      <c r="O36" s="8" t="inlineStr">
        <is>
          <t>SKF</t>
        </is>
      </c>
      <c r="P36" s="8" t="inlineStr">
        <is>
          <t>CRITIQUE</t>
        </is>
      </c>
      <c r="Q36" s="8" t="inlineStr">
        <is>
          <t>WHAP</t>
        </is>
      </c>
      <c r="R36" s="8" t="inlineStr">
        <is>
          <t>OUI</t>
        </is>
      </c>
      <c r="S36" s="8" t="inlineStr">
        <is>
          <t>31/08/2026 02:59</t>
        </is>
      </c>
    </row>
    <row r="37">
      <c r="A37" s="7" t="inlineStr">
        <is>
          <t>WHAP-0033</t>
        </is>
      </c>
      <c r="B37" s="7" t="inlineStr">
        <is>
          <t>MOT-0033</t>
        </is>
      </c>
      <c r="C37" s="7" t="inlineStr">
        <is>
          <t>turbocompresseur</t>
        </is>
      </c>
      <c r="D37" s="7" t="inlineStr">
        <is>
          <t>Moteur</t>
        </is>
      </c>
      <c r="E37" s="7" t="inlineStr">
        <is>
          <t>Moteur</t>
        </is>
      </c>
      <c r="F37" s="7" t="inlineStr">
        <is>
          <t>PIECE_VEHICULE</t>
        </is>
      </c>
      <c r="G37" s="7" t="inlineStr">
        <is>
          <t>unité</t>
        </is>
      </c>
      <c r="H37" s="7" t="inlineStr">
        <is>
          <t>LARGE</t>
        </is>
      </c>
      <c r="I37" s="7" t="n">
        <v>0</v>
      </c>
      <c r="J37" s="7" t="inlineStr">
        <is>
          <t>F-04-01</t>
        </is>
      </c>
      <c r="K37" s="7" t="inlineStr"/>
      <c r="L37" s="9" t="n">
        <v>0</v>
      </c>
      <c r="M37" s="9" t="n">
        <v>0</v>
      </c>
      <c r="N37" s="9" t="n">
        <v>16</v>
      </c>
      <c r="O37" s="7" t="inlineStr">
        <is>
          <t>SKF</t>
        </is>
      </c>
      <c r="P37" s="7" t="inlineStr">
        <is>
          <t>CRITIQUE</t>
        </is>
      </c>
      <c r="Q37" s="7" t="inlineStr">
        <is>
          <t>WHAP</t>
        </is>
      </c>
      <c r="R37" s="7" t="inlineStr">
        <is>
          <t>OUI</t>
        </is>
      </c>
      <c r="S37" s="7" t="inlineStr">
        <is>
          <t>31/08/2026 02:59</t>
        </is>
      </c>
    </row>
    <row r="38">
      <c r="A38" s="8" t="inlineStr">
        <is>
          <t>WHAP-0034</t>
        </is>
      </c>
      <c r="B38" s="8" t="inlineStr">
        <is>
          <t>MOT-0034</t>
        </is>
      </c>
      <c r="C38" s="8" t="inlineStr">
        <is>
          <t>intercooler</t>
        </is>
      </c>
      <c r="D38" s="8" t="inlineStr">
        <is>
          <t>Moteur</t>
        </is>
      </c>
      <c r="E38" s="8" t="inlineStr">
        <is>
          <t>Moteur</t>
        </is>
      </c>
      <c r="F38" s="8" t="inlineStr">
        <is>
          <t>PIECE_VEHICULE</t>
        </is>
      </c>
      <c r="G38" s="8" t="inlineStr">
        <is>
          <t>unité</t>
        </is>
      </c>
      <c r="H38" s="8" t="inlineStr">
        <is>
          <t>LARGE</t>
        </is>
      </c>
      <c r="I38" s="8" t="n">
        <v>0</v>
      </c>
      <c r="J38" s="8" t="inlineStr">
        <is>
          <t>A-06-03</t>
        </is>
      </c>
      <c r="K38" s="8" t="inlineStr"/>
      <c r="L38" s="10" t="n">
        <v>0</v>
      </c>
      <c r="M38" s="10" t="n">
        <v>0</v>
      </c>
      <c r="N38" s="10" t="n">
        <v>11</v>
      </c>
      <c r="O38" s="8" t="inlineStr">
        <is>
          <t>HEL</t>
        </is>
      </c>
      <c r="P38" s="8" t="inlineStr">
        <is>
          <t>CRITIQUE</t>
        </is>
      </c>
      <c r="Q38" s="8" t="inlineStr">
        <is>
          <t>WHAP</t>
        </is>
      </c>
      <c r="R38" s="8" t="inlineStr">
        <is>
          <t>OUI</t>
        </is>
      </c>
      <c r="S38" s="8" t="inlineStr">
        <is>
          <t>31/08/2026 02:59</t>
        </is>
      </c>
    </row>
    <row r="39">
      <c r="A39" s="7" t="inlineStr">
        <is>
          <t>WHAP-0035</t>
        </is>
      </c>
      <c r="B39" s="7" t="inlineStr">
        <is>
          <t>MOT-0035</t>
        </is>
      </c>
      <c r="C39" s="7" t="inlineStr">
        <is>
          <t>collecteur d'admission</t>
        </is>
      </c>
      <c r="D39" s="7" t="inlineStr">
        <is>
          <t>Moteur</t>
        </is>
      </c>
      <c r="E39" s="7" t="inlineStr">
        <is>
          <t>Moteur</t>
        </is>
      </c>
      <c r="F39" s="7" t="inlineStr">
        <is>
          <t>PIECE_VEHICULE</t>
        </is>
      </c>
      <c r="G39" s="7" t="inlineStr">
        <is>
          <t>unité</t>
        </is>
      </c>
      <c r="H39" s="7" t="inlineStr">
        <is>
          <t>LARGE</t>
        </is>
      </c>
      <c r="I39" s="7" t="n">
        <v>0</v>
      </c>
      <c r="J39" s="7" t="inlineStr">
        <is>
          <t>B-02-04</t>
        </is>
      </c>
      <c r="K39" s="7" t="inlineStr"/>
      <c r="L39" s="9" t="n">
        <v>0</v>
      </c>
      <c r="M39" s="9" t="n">
        <v>0</v>
      </c>
      <c r="N39" s="9" t="n">
        <v>20</v>
      </c>
      <c r="O39" s="7" t="inlineStr">
        <is>
          <t>SKF</t>
        </is>
      </c>
      <c r="P39" s="7" t="inlineStr">
        <is>
          <t>CRITIQUE</t>
        </is>
      </c>
      <c r="Q39" s="7" t="inlineStr">
        <is>
          <t>WHAP</t>
        </is>
      </c>
      <c r="R39" s="7" t="inlineStr">
        <is>
          <t>OUI</t>
        </is>
      </c>
      <c r="S39" s="7" t="inlineStr">
        <is>
          <t>31/08/2026 02:59</t>
        </is>
      </c>
    </row>
    <row r="40">
      <c r="A40" s="8" t="inlineStr">
        <is>
          <t>WHAP-0036</t>
        </is>
      </c>
      <c r="B40" s="8" t="inlineStr">
        <is>
          <t>MOT-0036</t>
        </is>
      </c>
      <c r="C40" s="8" t="inlineStr">
        <is>
          <t>collecteur d'échappement</t>
        </is>
      </c>
      <c r="D40" s="8" t="inlineStr">
        <is>
          <t>Moteur</t>
        </is>
      </c>
      <c r="E40" s="8" t="inlineStr">
        <is>
          <t>Moteur</t>
        </is>
      </c>
      <c r="F40" s="8" t="inlineStr">
        <is>
          <t>PIECE_VEHICULE</t>
        </is>
      </c>
      <c r="G40" s="8" t="inlineStr">
        <is>
          <t>unité</t>
        </is>
      </c>
      <c r="H40" s="8" t="inlineStr">
        <is>
          <t>LARGE</t>
        </is>
      </c>
      <c r="I40" s="8" t="n">
        <v>0</v>
      </c>
      <c r="J40" s="8" t="inlineStr">
        <is>
          <t>A-03-02</t>
        </is>
      </c>
      <c r="K40" s="8" t="inlineStr"/>
      <c r="L40" s="10" t="n">
        <v>0</v>
      </c>
      <c r="M40" s="10" t="n">
        <v>0</v>
      </c>
      <c r="N40" s="10" t="n">
        <v>19</v>
      </c>
      <c r="O40" s="8" t="inlineStr">
        <is>
          <t>MAG</t>
        </is>
      </c>
      <c r="P40" s="8" t="inlineStr">
        <is>
          <t>CRITIQUE</t>
        </is>
      </c>
      <c r="Q40" s="8" t="inlineStr">
        <is>
          <t>WHAP</t>
        </is>
      </c>
      <c r="R40" s="8" t="inlineStr">
        <is>
          <t>OUI</t>
        </is>
      </c>
      <c r="S40" s="8" t="inlineStr">
        <is>
          <t>31/08/2026 02:59</t>
        </is>
      </c>
    </row>
    <row r="41">
      <c r="A41" s="7" t="inlineStr">
        <is>
          <t>WHAP-0037</t>
        </is>
      </c>
      <c r="B41" s="7" t="inlineStr">
        <is>
          <t>MOT-0037</t>
        </is>
      </c>
      <c r="C41" s="7" t="inlineStr">
        <is>
          <t>vanne EGR</t>
        </is>
      </c>
      <c r="D41" s="7" t="inlineStr">
        <is>
          <t>Moteur</t>
        </is>
      </c>
      <c r="E41" s="7" t="inlineStr">
        <is>
          <t>Moteur</t>
        </is>
      </c>
      <c r="F41" s="7" t="inlineStr">
        <is>
          <t>PIECE_VEHICULE</t>
        </is>
      </c>
      <c r="G41" s="7" t="inlineStr">
        <is>
          <t>unité</t>
        </is>
      </c>
      <c r="H41" s="7" t="inlineStr">
        <is>
          <t>LARGE</t>
        </is>
      </c>
      <c r="I41" s="7" t="n">
        <v>0</v>
      </c>
      <c r="J41" s="7" t="inlineStr">
        <is>
          <t>B-02-03</t>
        </is>
      </c>
      <c r="K41" s="7" t="inlineStr"/>
      <c r="L41" s="9" t="n">
        <v>0</v>
      </c>
      <c r="M41" s="9" t="n">
        <v>0</v>
      </c>
      <c r="N41" s="9" t="n">
        <v>14</v>
      </c>
      <c r="O41" s="7" t="inlineStr">
        <is>
          <t>CTL</t>
        </is>
      </c>
      <c r="P41" s="7" t="inlineStr">
        <is>
          <t>CRITIQUE</t>
        </is>
      </c>
      <c r="Q41" s="7" t="inlineStr">
        <is>
          <t>WHAP</t>
        </is>
      </c>
      <c r="R41" s="7" t="inlineStr">
        <is>
          <t>OUI</t>
        </is>
      </c>
      <c r="S41" s="7" t="inlineStr">
        <is>
          <t>31/08/2026 02:59</t>
        </is>
      </c>
    </row>
    <row r="42">
      <c r="A42" s="8" t="inlineStr">
        <is>
          <t>WHAP-0038</t>
        </is>
      </c>
      <c r="B42" s="8" t="inlineStr">
        <is>
          <t>MOT-0038</t>
        </is>
      </c>
      <c r="C42" s="8" t="inlineStr">
        <is>
          <t>actionneur EGR</t>
        </is>
      </c>
      <c r="D42" s="8" t="inlineStr">
        <is>
          <t>Moteur</t>
        </is>
      </c>
      <c r="E42" s="8" t="inlineStr">
        <is>
          <t>Moteur</t>
        </is>
      </c>
      <c r="F42" s="8" t="inlineStr">
        <is>
          <t>PIECE_VEHICULE</t>
        </is>
      </c>
      <c r="G42" s="8" t="inlineStr">
        <is>
          <t>unité</t>
        </is>
      </c>
      <c r="H42" s="8" t="inlineStr">
        <is>
          <t>LARGE</t>
        </is>
      </c>
      <c r="I42" s="8" t="n">
        <v>0</v>
      </c>
      <c r="J42" s="8" t="inlineStr">
        <is>
          <t>D-06-02</t>
        </is>
      </c>
      <c r="K42" s="8" t="inlineStr"/>
      <c r="L42" s="10" t="n">
        <v>0</v>
      </c>
      <c r="M42" s="10" t="n">
        <v>0</v>
      </c>
      <c r="N42" s="10" t="n">
        <v>18</v>
      </c>
      <c r="O42" s="8" t="inlineStr">
        <is>
          <t>CTL</t>
        </is>
      </c>
      <c r="P42" s="8" t="inlineStr">
        <is>
          <t>CRITIQUE</t>
        </is>
      </c>
      <c r="Q42" s="8" t="inlineStr">
        <is>
          <t>WHAP</t>
        </is>
      </c>
      <c r="R42" s="8" t="inlineStr">
        <is>
          <t>OUI</t>
        </is>
      </c>
      <c r="S42" s="8" t="inlineStr">
        <is>
          <t>31/08/2026 02:59</t>
        </is>
      </c>
    </row>
    <row r="43">
      <c r="A43" s="7" t="inlineStr">
        <is>
          <t>WHAP-0039</t>
        </is>
      </c>
      <c r="B43" s="7" t="inlineStr">
        <is>
          <t>MOT-0039</t>
        </is>
      </c>
      <c r="C43" s="7" t="inlineStr">
        <is>
          <t>capteur de pression d'admission</t>
        </is>
      </c>
      <c r="D43" s="7" t="inlineStr">
        <is>
          <t>Moteur</t>
        </is>
      </c>
      <c r="E43" s="7" t="inlineStr">
        <is>
          <t>Moteur</t>
        </is>
      </c>
      <c r="F43" s="7" t="inlineStr">
        <is>
          <t>PIECE_VEHICULE</t>
        </is>
      </c>
      <c r="G43" s="7" t="inlineStr">
        <is>
          <t>unité</t>
        </is>
      </c>
      <c r="H43" s="7" t="inlineStr">
        <is>
          <t>LARGE</t>
        </is>
      </c>
      <c r="I43" s="7" t="n">
        <v>0</v>
      </c>
      <c r="J43" s="7" t="inlineStr">
        <is>
          <t>C-04-04</t>
        </is>
      </c>
      <c r="K43" s="7" t="inlineStr"/>
      <c r="L43" s="9" t="n">
        <v>0</v>
      </c>
      <c r="M43" s="9" t="n">
        <v>0</v>
      </c>
      <c r="N43" s="9" t="n">
        <v>18</v>
      </c>
      <c r="O43" s="7" t="inlineStr">
        <is>
          <t>BOS</t>
        </is>
      </c>
      <c r="P43" s="7" t="inlineStr">
        <is>
          <t>CRITIQUE</t>
        </is>
      </c>
      <c r="Q43" s="7" t="inlineStr">
        <is>
          <t>WHAP</t>
        </is>
      </c>
      <c r="R43" s="7" t="inlineStr">
        <is>
          <t>OUI</t>
        </is>
      </c>
      <c r="S43" s="7" t="inlineStr">
        <is>
          <t>31/08/2026 02:59</t>
        </is>
      </c>
    </row>
    <row r="44">
      <c r="A44" s="8" t="inlineStr">
        <is>
          <t>WHAP-0040</t>
        </is>
      </c>
      <c r="B44" s="8" t="inlineStr">
        <is>
          <t>MOT-0040</t>
        </is>
      </c>
      <c r="C44" s="8" t="inlineStr">
        <is>
          <t>capteur de température d'admission</t>
        </is>
      </c>
      <c r="D44" s="8" t="inlineStr">
        <is>
          <t>Moteur</t>
        </is>
      </c>
      <c r="E44" s="8" t="inlineStr">
        <is>
          <t>Moteur</t>
        </is>
      </c>
      <c r="F44" s="8" t="inlineStr">
        <is>
          <t>PIECE_VEHICULE</t>
        </is>
      </c>
      <c r="G44" s="8" t="inlineStr">
        <is>
          <t>unité</t>
        </is>
      </c>
      <c r="H44" s="8" t="inlineStr">
        <is>
          <t>LARGE</t>
        </is>
      </c>
      <c r="I44" s="8" t="n">
        <v>0</v>
      </c>
      <c r="J44" s="8" t="inlineStr">
        <is>
          <t>B-05-04</t>
        </is>
      </c>
      <c r="K44" s="8" t="inlineStr"/>
      <c r="L44" s="10" t="n">
        <v>0</v>
      </c>
      <c r="M44" s="10" t="n">
        <v>0</v>
      </c>
      <c r="N44" s="10" t="n">
        <v>10</v>
      </c>
      <c r="O44" s="8" t="inlineStr">
        <is>
          <t>FAU</t>
        </is>
      </c>
      <c r="P44" s="8" t="inlineStr">
        <is>
          <t>CRITIQUE</t>
        </is>
      </c>
      <c r="Q44" s="8" t="inlineStr">
        <is>
          <t>WHAP</t>
        </is>
      </c>
      <c r="R44" s="8" t="inlineStr">
        <is>
          <t>OUI</t>
        </is>
      </c>
      <c r="S44" s="8" t="inlineStr">
        <is>
          <t>31/08/2026 02:59</t>
        </is>
      </c>
    </row>
    <row r="45">
      <c r="A45" s="7" t="inlineStr">
        <is>
          <t>WHAP-0041</t>
        </is>
      </c>
      <c r="B45" s="7" t="inlineStr">
        <is>
          <t>MOT-0041</t>
        </is>
      </c>
      <c r="C45" s="7" t="inlineStr">
        <is>
          <t>capteur de vilebrequin</t>
        </is>
      </c>
      <c r="D45" s="7" t="inlineStr">
        <is>
          <t>Moteur</t>
        </is>
      </c>
      <c r="E45" s="7" t="inlineStr">
        <is>
          <t>Moteur</t>
        </is>
      </c>
      <c r="F45" s="7" t="inlineStr">
        <is>
          <t>PIECE_VEHICULE</t>
        </is>
      </c>
      <c r="G45" s="7" t="inlineStr">
        <is>
          <t>unité</t>
        </is>
      </c>
      <c r="H45" s="7" t="inlineStr">
        <is>
          <t>LARGE</t>
        </is>
      </c>
      <c r="I45" s="7" t="n">
        <v>0</v>
      </c>
      <c r="J45" s="7" t="inlineStr">
        <is>
          <t>E-05-04</t>
        </is>
      </c>
      <c r="K45" s="7" t="inlineStr"/>
      <c r="L45" s="9" t="n">
        <v>0</v>
      </c>
      <c r="M45" s="9" t="n">
        <v>0</v>
      </c>
      <c r="N45" s="9" t="n">
        <v>10</v>
      </c>
      <c r="O45" s="7" t="inlineStr">
        <is>
          <t>BOS</t>
        </is>
      </c>
      <c r="P45" s="7" t="inlineStr">
        <is>
          <t>CRITIQUE</t>
        </is>
      </c>
      <c r="Q45" s="7" t="inlineStr">
        <is>
          <t>WHAP</t>
        </is>
      </c>
      <c r="R45" s="7" t="inlineStr">
        <is>
          <t>OUI</t>
        </is>
      </c>
      <c r="S45" s="7" t="inlineStr">
        <is>
          <t>31/08/2026 02:59</t>
        </is>
      </c>
    </row>
    <row r="46">
      <c r="A46" s="8" t="inlineStr">
        <is>
          <t>WHAP-0042</t>
        </is>
      </c>
      <c r="B46" s="8" t="inlineStr">
        <is>
          <t>MOT-0042</t>
        </is>
      </c>
      <c r="C46" s="8" t="inlineStr">
        <is>
          <t>capteur d'arbre à cames</t>
        </is>
      </c>
      <c r="D46" s="8" t="inlineStr">
        <is>
          <t>Moteur</t>
        </is>
      </c>
      <c r="E46" s="8" t="inlineStr">
        <is>
          <t>Moteur</t>
        </is>
      </c>
      <c r="F46" s="8" t="inlineStr">
        <is>
          <t>PIECE_VEHICULE</t>
        </is>
      </c>
      <c r="G46" s="8" t="inlineStr">
        <is>
          <t>unité</t>
        </is>
      </c>
      <c r="H46" s="8" t="inlineStr">
        <is>
          <t>LARGE</t>
        </is>
      </c>
      <c r="I46" s="8" t="n">
        <v>0</v>
      </c>
      <c r="J46" s="8" t="inlineStr">
        <is>
          <t>B-05-03</t>
        </is>
      </c>
      <c r="K46" s="8" t="inlineStr"/>
      <c r="L46" s="10" t="n">
        <v>0</v>
      </c>
      <c r="M46" s="10" t="n">
        <v>0</v>
      </c>
      <c r="N46" s="10" t="n">
        <v>11</v>
      </c>
      <c r="O46" s="8" t="inlineStr">
        <is>
          <t>VAL</t>
        </is>
      </c>
      <c r="P46" s="8" t="inlineStr">
        <is>
          <t>CRITIQUE</t>
        </is>
      </c>
      <c r="Q46" s="8" t="inlineStr">
        <is>
          <t>WHAP</t>
        </is>
      </c>
      <c r="R46" s="8" t="inlineStr">
        <is>
          <t>OUI</t>
        </is>
      </c>
      <c r="S46" s="8" t="inlineStr">
        <is>
          <t>31/08/2026 02:59</t>
        </is>
      </c>
    </row>
    <row r="47">
      <c r="A47" s="7" t="inlineStr">
        <is>
          <t>WHAP-0043</t>
        </is>
      </c>
      <c r="B47" s="7" t="inlineStr">
        <is>
          <t>MOT-0043</t>
        </is>
      </c>
      <c r="C47" s="7" t="inlineStr">
        <is>
          <t>capteur de pression d'huile</t>
        </is>
      </c>
      <c r="D47" s="7" t="inlineStr">
        <is>
          <t>Moteur</t>
        </is>
      </c>
      <c r="E47" s="7" t="inlineStr">
        <is>
          <t>Moteur</t>
        </is>
      </c>
      <c r="F47" s="7" t="inlineStr">
        <is>
          <t>PIECE_VEHICULE</t>
        </is>
      </c>
      <c r="G47" s="7" t="inlineStr">
        <is>
          <t>unité</t>
        </is>
      </c>
      <c r="H47" s="7" t="inlineStr">
        <is>
          <t>LARGE</t>
        </is>
      </c>
      <c r="I47" s="7" t="n">
        <v>0</v>
      </c>
      <c r="J47" s="7" t="inlineStr">
        <is>
          <t>C-01-01</t>
        </is>
      </c>
      <c r="K47" s="7" t="inlineStr"/>
      <c r="L47" s="9" t="n">
        <v>0</v>
      </c>
      <c r="M47" s="9" t="n">
        <v>0</v>
      </c>
      <c r="N47" s="9" t="n">
        <v>16</v>
      </c>
      <c r="O47" s="7" t="inlineStr">
        <is>
          <t>DEL</t>
        </is>
      </c>
      <c r="P47" s="7" t="inlineStr">
        <is>
          <t>CRITIQUE</t>
        </is>
      </c>
      <c r="Q47" s="7" t="inlineStr">
        <is>
          <t>WHAP</t>
        </is>
      </c>
      <c r="R47" s="7" t="inlineStr">
        <is>
          <t>OUI</t>
        </is>
      </c>
      <c r="S47" s="7" t="inlineStr">
        <is>
          <t>31/08/2026 02:59</t>
        </is>
      </c>
    </row>
    <row r="48">
      <c r="A48" s="8" t="inlineStr">
        <is>
          <t>WHAP-0044</t>
        </is>
      </c>
      <c r="B48" s="8" t="inlineStr">
        <is>
          <t>MOT-0044</t>
        </is>
      </c>
      <c r="C48" s="8" t="inlineStr">
        <is>
          <t>capteur de température moteur</t>
        </is>
      </c>
      <c r="D48" s="8" t="inlineStr">
        <is>
          <t>Moteur</t>
        </is>
      </c>
      <c r="E48" s="8" t="inlineStr">
        <is>
          <t>Moteur</t>
        </is>
      </c>
      <c r="F48" s="8" t="inlineStr">
        <is>
          <t>PIECE_VEHICULE</t>
        </is>
      </c>
      <c r="G48" s="8" t="inlineStr">
        <is>
          <t>unité</t>
        </is>
      </c>
      <c r="H48" s="8" t="inlineStr">
        <is>
          <t>LARGE</t>
        </is>
      </c>
      <c r="I48" s="8" t="n">
        <v>0</v>
      </c>
      <c r="J48" s="8" t="inlineStr">
        <is>
          <t>C-05-04</t>
        </is>
      </c>
      <c r="K48" s="8" t="inlineStr"/>
      <c r="L48" s="10" t="n">
        <v>0</v>
      </c>
      <c r="M48" s="10" t="n">
        <v>0</v>
      </c>
      <c r="N48" s="10" t="n">
        <v>11</v>
      </c>
      <c r="O48" s="8" t="inlineStr">
        <is>
          <t>BOS</t>
        </is>
      </c>
      <c r="P48" s="8" t="inlineStr">
        <is>
          <t>CRITIQUE</t>
        </is>
      </c>
      <c r="Q48" s="8" t="inlineStr">
        <is>
          <t>WHAP</t>
        </is>
      </c>
      <c r="R48" s="8" t="inlineStr">
        <is>
          <t>OUI</t>
        </is>
      </c>
      <c r="S48" s="8" t="inlineStr">
        <is>
          <t>31/08/2026 02:59</t>
        </is>
      </c>
    </row>
    <row r="49">
      <c r="A49" s="7" t="inlineStr">
        <is>
          <t>WHAP-0045</t>
        </is>
      </c>
      <c r="B49" s="7" t="inlineStr">
        <is>
          <t>MOT-0045</t>
        </is>
      </c>
      <c r="C49" s="7" t="inlineStr">
        <is>
          <t>thermostat</t>
        </is>
      </c>
      <c r="D49" s="7" t="inlineStr">
        <is>
          <t>Moteur</t>
        </is>
      </c>
      <c r="E49" s="7" t="inlineStr">
        <is>
          <t>Moteur</t>
        </is>
      </c>
      <c r="F49" s="7" t="inlineStr">
        <is>
          <t>PIECE_VEHICULE</t>
        </is>
      </c>
      <c r="G49" s="7" t="inlineStr">
        <is>
          <t>unité</t>
        </is>
      </c>
      <c r="H49" s="7" t="inlineStr">
        <is>
          <t>LARGE</t>
        </is>
      </c>
      <c r="I49" s="7" t="n">
        <v>0</v>
      </c>
      <c r="J49" s="7" t="inlineStr">
        <is>
          <t>E-02-04</t>
        </is>
      </c>
      <c r="K49" s="7" t="inlineStr"/>
      <c r="L49" s="9" t="n">
        <v>0</v>
      </c>
      <c r="M49" s="9" t="n">
        <v>0</v>
      </c>
      <c r="N49" s="9" t="n">
        <v>14</v>
      </c>
      <c r="O49" s="7" t="inlineStr">
        <is>
          <t>SUM</t>
        </is>
      </c>
      <c r="P49" s="7" t="inlineStr">
        <is>
          <t>CRITIQUE</t>
        </is>
      </c>
      <c r="Q49" s="7" t="inlineStr">
        <is>
          <t>WHAP</t>
        </is>
      </c>
      <c r="R49" s="7" t="inlineStr">
        <is>
          <t>OUI</t>
        </is>
      </c>
      <c r="S49" s="7" t="inlineStr">
        <is>
          <t>31/08/2026 02:59</t>
        </is>
      </c>
    </row>
    <row r="50">
      <c r="A50" s="8" t="inlineStr">
        <is>
          <t>WHAP-0046</t>
        </is>
      </c>
      <c r="B50" s="8" t="inlineStr">
        <is>
          <t>MOT-0046</t>
        </is>
      </c>
      <c r="C50" s="8" t="inlineStr">
        <is>
          <t>pompe à eau</t>
        </is>
      </c>
      <c r="D50" s="8" t="inlineStr">
        <is>
          <t>Moteur</t>
        </is>
      </c>
      <c r="E50" s="8" t="inlineStr">
        <is>
          <t>Moteur</t>
        </is>
      </c>
      <c r="F50" s="8" t="inlineStr">
        <is>
          <t>PIECE_VEHICULE</t>
        </is>
      </c>
      <c r="G50" s="8" t="inlineStr">
        <is>
          <t>unité</t>
        </is>
      </c>
      <c r="H50" s="8" t="inlineStr">
        <is>
          <t>LARGE</t>
        </is>
      </c>
      <c r="I50" s="8" t="n">
        <v>0</v>
      </c>
      <c r="J50" s="8" t="inlineStr">
        <is>
          <t>D-02-02</t>
        </is>
      </c>
      <c r="K50" s="8" t="inlineStr"/>
      <c r="L50" s="10" t="n">
        <v>0</v>
      </c>
      <c r="M50" s="10" t="n">
        <v>0</v>
      </c>
      <c r="N50" s="10" t="n">
        <v>12</v>
      </c>
      <c r="O50" s="8" t="inlineStr">
        <is>
          <t>YZK</t>
        </is>
      </c>
      <c r="P50" s="8" t="inlineStr">
        <is>
          <t>CRITIQUE</t>
        </is>
      </c>
      <c r="Q50" s="8" t="inlineStr">
        <is>
          <t>WHAP</t>
        </is>
      </c>
      <c r="R50" s="8" t="inlineStr">
        <is>
          <t>OUI</t>
        </is>
      </c>
      <c r="S50" s="8" t="inlineStr">
        <is>
          <t>31/08/2026 02:59</t>
        </is>
      </c>
    </row>
    <row r="51">
      <c r="A51" s="7" t="inlineStr">
        <is>
          <t>WHAP-0047</t>
        </is>
      </c>
      <c r="B51" s="7" t="inlineStr">
        <is>
          <t>MOT-0047</t>
        </is>
      </c>
      <c r="C51" s="7" t="inlineStr">
        <is>
          <t>courroie auxiliaire</t>
        </is>
      </c>
      <c r="D51" s="7" t="inlineStr">
        <is>
          <t>Moteur</t>
        </is>
      </c>
      <c r="E51" s="7" t="inlineStr">
        <is>
          <t>Moteur</t>
        </is>
      </c>
      <c r="F51" s="7" t="inlineStr">
        <is>
          <t>PIECE_VEHICULE</t>
        </is>
      </c>
      <c r="G51" s="7" t="inlineStr">
        <is>
          <t>unité</t>
        </is>
      </c>
      <c r="H51" s="7" t="inlineStr">
        <is>
          <t>LARGE</t>
        </is>
      </c>
      <c r="I51" s="7" t="n">
        <v>0</v>
      </c>
      <c r="J51" s="7" t="inlineStr">
        <is>
          <t>D-02-04</t>
        </is>
      </c>
      <c r="K51" s="7" t="inlineStr"/>
      <c r="L51" s="9" t="n">
        <v>0</v>
      </c>
      <c r="M51" s="9" t="n">
        <v>0</v>
      </c>
      <c r="N51" s="9" t="n">
        <v>11</v>
      </c>
      <c r="O51" s="7" t="inlineStr">
        <is>
          <t>VAL</t>
        </is>
      </c>
      <c r="P51" s="7" t="inlineStr">
        <is>
          <t>CRITIQUE</t>
        </is>
      </c>
      <c r="Q51" s="7" t="inlineStr">
        <is>
          <t>WHAP</t>
        </is>
      </c>
      <c r="R51" s="7" t="inlineStr">
        <is>
          <t>OUI</t>
        </is>
      </c>
      <c r="S51" s="7" t="inlineStr">
        <is>
          <t>31/08/2026 02:59</t>
        </is>
      </c>
    </row>
    <row r="52">
      <c r="A52" s="8" t="inlineStr">
        <is>
          <t>WHAP-0048</t>
        </is>
      </c>
      <c r="B52" s="8" t="inlineStr">
        <is>
          <t>MOT-0048</t>
        </is>
      </c>
      <c r="C52" s="8" t="inlineStr">
        <is>
          <t>galet tendeur</t>
        </is>
      </c>
      <c r="D52" s="8" t="inlineStr">
        <is>
          <t>Moteur</t>
        </is>
      </c>
      <c r="E52" s="8" t="inlineStr">
        <is>
          <t>Moteur</t>
        </is>
      </c>
      <c r="F52" s="8" t="inlineStr">
        <is>
          <t>PIECE_VEHICULE</t>
        </is>
      </c>
      <c r="G52" s="8" t="inlineStr">
        <is>
          <t>unité</t>
        </is>
      </c>
      <c r="H52" s="8" t="inlineStr">
        <is>
          <t>LARGE</t>
        </is>
      </c>
      <c r="I52" s="8" t="n">
        <v>0</v>
      </c>
      <c r="J52" s="8" t="inlineStr">
        <is>
          <t>C-03-01</t>
        </is>
      </c>
      <c r="K52" s="8" t="inlineStr"/>
      <c r="L52" s="10" t="n">
        <v>0</v>
      </c>
      <c r="M52" s="10" t="n">
        <v>0</v>
      </c>
      <c r="N52" s="10" t="n">
        <v>17</v>
      </c>
      <c r="O52" s="8" t="inlineStr">
        <is>
          <t>BOS</t>
        </is>
      </c>
      <c r="P52" s="8" t="inlineStr">
        <is>
          <t>CRITIQUE</t>
        </is>
      </c>
      <c r="Q52" s="8" t="inlineStr">
        <is>
          <t>WHAP</t>
        </is>
      </c>
      <c r="R52" s="8" t="inlineStr">
        <is>
          <t>OUI</t>
        </is>
      </c>
      <c r="S52" s="8" t="inlineStr">
        <is>
          <t>31/08/2026 02:59</t>
        </is>
      </c>
    </row>
    <row r="53">
      <c r="A53" s="7" t="inlineStr">
        <is>
          <t>WHAP-0049</t>
        </is>
      </c>
      <c r="B53" s="7" t="inlineStr">
        <is>
          <t>MOT-0049</t>
        </is>
      </c>
      <c r="C53" s="7" t="inlineStr">
        <is>
          <t>poulie damper</t>
        </is>
      </c>
      <c r="D53" s="7" t="inlineStr">
        <is>
          <t>Moteur</t>
        </is>
      </c>
      <c r="E53" s="7" t="inlineStr">
        <is>
          <t>Moteur</t>
        </is>
      </c>
      <c r="F53" s="7" t="inlineStr">
        <is>
          <t>PIECE_VEHICULE</t>
        </is>
      </c>
      <c r="G53" s="7" t="inlineStr">
        <is>
          <t>unité</t>
        </is>
      </c>
      <c r="H53" s="7" t="inlineStr">
        <is>
          <t>LARGE</t>
        </is>
      </c>
      <c r="I53" s="7" t="n">
        <v>0</v>
      </c>
      <c r="J53" s="7" t="inlineStr">
        <is>
          <t>C-04-02</t>
        </is>
      </c>
      <c r="K53" s="7" t="inlineStr"/>
      <c r="L53" s="9" t="n">
        <v>0</v>
      </c>
      <c r="M53" s="9" t="n">
        <v>0</v>
      </c>
      <c r="N53" s="9" t="n">
        <v>19</v>
      </c>
      <c r="O53" s="7" t="inlineStr">
        <is>
          <t>DEL</t>
        </is>
      </c>
      <c r="P53" s="7" t="inlineStr">
        <is>
          <t>CRITIQUE</t>
        </is>
      </c>
      <c r="Q53" s="7" t="inlineStr">
        <is>
          <t>WHAP</t>
        </is>
      </c>
      <c r="R53" s="7" t="inlineStr">
        <is>
          <t>OUI</t>
        </is>
      </c>
      <c r="S53" s="7" t="inlineStr">
        <is>
          <t>31/08/2026 02:59</t>
        </is>
      </c>
    </row>
    <row r="54">
      <c r="A54" s="8" t="inlineStr">
        <is>
          <t>WHAP-0050</t>
        </is>
      </c>
      <c r="B54" s="8" t="inlineStr">
        <is>
          <t>MOT-0050</t>
        </is>
      </c>
      <c r="C54" s="8" t="inlineStr">
        <is>
          <t>démarreur</t>
        </is>
      </c>
      <c r="D54" s="8" t="inlineStr">
        <is>
          <t>Moteur</t>
        </is>
      </c>
      <c r="E54" s="8" t="inlineStr">
        <is>
          <t>Moteur</t>
        </is>
      </c>
      <c r="F54" s="8" t="inlineStr">
        <is>
          <t>PIECE_VEHICULE</t>
        </is>
      </c>
      <c r="G54" s="8" t="inlineStr">
        <is>
          <t>unité</t>
        </is>
      </c>
      <c r="H54" s="8" t="inlineStr">
        <is>
          <t>LARGE</t>
        </is>
      </c>
      <c r="I54" s="8" t="n">
        <v>0</v>
      </c>
      <c r="J54" s="8" t="inlineStr">
        <is>
          <t>A-05-04</t>
        </is>
      </c>
      <c r="K54" s="8" t="inlineStr"/>
      <c r="L54" s="10" t="n">
        <v>0</v>
      </c>
      <c r="M54" s="10" t="n">
        <v>0</v>
      </c>
      <c r="N54" s="10" t="n">
        <v>10</v>
      </c>
      <c r="O54" s="8" t="inlineStr">
        <is>
          <t>DEL</t>
        </is>
      </c>
      <c r="P54" s="8" t="inlineStr">
        <is>
          <t>CRITIQUE</t>
        </is>
      </c>
      <c r="Q54" s="8" t="inlineStr">
        <is>
          <t>WHAP</t>
        </is>
      </c>
      <c r="R54" s="8" t="inlineStr">
        <is>
          <t>OUI</t>
        </is>
      </c>
      <c r="S54" s="8" t="inlineStr">
        <is>
          <t>31/08/2026 02:59</t>
        </is>
      </c>
    </row>
    <row r="55">
      <c r="A55" s="7" t="inlineStr">
        <is>
          <t>WHAP-0051</t>
        </is>
      </c>
      <c r="B55" s="7" t="inlineStr">
        <is>
          <t>MOT-0051</t>
        </is>
      </c>
      <c r="C55" s="7" t="inlineStr">
        <is>
          <t>alternateur</t>
        </is>
      </c>
      <c r="D55" s="7" t="inlineStr">
        <is>
          <t>Moteur</t>
        </is>
      </c>
      <c r="E55" s="7" t="inlineStr">
        <is>
          <t>Moteur</t>
        </is>
      </c>
      <c r="F55" s="7" t="inlineStr">
        <is>
          <t>PIECE_VEHICULE</t>
        </is>
      </c>
      <c r="G55" s="7" t="inlineStr">
        <is>
          <t>unité</t>
        </is>
      </c>
      <c r="H55" s="7" t="inlineStr">
        <is>
          <t>LARGE</t>
        </is>
      </c>
      <c r="I55" s="7" t="n">
        <v>0</v>
      </c>
      <c r="J55" s="7" t="inlineStr">
        <is>
          <t>B-05-03</t>
        </is>
      </c>
      <c r="K55" s="7" t="inlineStr"/>
      <c r="L55" s="9" t="n">
        <v>0</v>
      </c>
      <c r="M55" s="9" t="n">
        <v>0</v>
      </c>
      <c r="N55" s="9" t="n">
        <v>17</v>
      </c>
      <c r="O55" s="7" t="inlineStr">
        <is>
          <t>CTL</t>
        </is>
      </c>
      <c r="P55" s="7" t="inlineStr">
        <is>
          <t>CRITIQUE</t>
        </is>
      </c>
      <c r="Q55" s="7" t="inlineStr">
        <is>
          <t>WHAP</t>
        </is>
      </c>
      <c r="R55" s="7" t="inlineStr">
        <is>
          <t>OUI</t>
        </is>
      </c>
      <c r="S55" s="7" t="inlineStr">
        <is>
          <t>31/08/2026 02:59</t>
        </is>
      </c>
    </row>
    <row r="56">
      <c r="A56" s="8" t="inlineStr">
        <is>
          <t>WHAP-0052</t>
        </is>
      </c>
      <c r="B56" s="8" t="inlineStr">
        <is>
          <t>MOT-0052</t>
        </is>
      </c>
      <c r="C56" s="8" t="inlineStr">
        <is>
          <t>support moteur</t>
        </is>
      </c>
      <c r="D56" s="8" t="inlineStr">
        <is>
          <t>Moteur</t>
        </is>
      </c>
      <c r="E56" s="8" t="inlineStr">
        <is>
          <t>Moteur</t>
        </is>
      </c>
      <c r="F56" s="8" t="inlineStr">
        <is>
          <t>PIECE_VEHICULE</t>
        </is>
      </c>
      <c r="G56" s="8" t="inlineStr">
        <is>
          <t>unité</t>
        </is>
      </c>
      <c r="H56" s="8" t="inlineStr">
        <is>
          <t>LARGE</t>
        </is>
      </c>
      <c r="I56" s="8" t="n">
        <v>0</v>
      </c>
      <c r="J56" s="8" t="inlineStr">
        <is>
          <t>B-03-04</t>
        </is>
      </c>
      <c r="K56" s="8" t="inlineStr"/>
      <c r="L56" s="10" t="n">
        <v>0</v>
      </c>
      <c r="M56" s="10" t="n">
        <v>0</v>
      </c>
      <c r="N56" s="10" t="n">
        <v>17</v>
      </c>
      <c r="O56" s="8" t="inlineStr">
        <is>
          <t>YZK</t>
        </is>
      </c>
      <c r="P56" s="8" t="inlineStr">
        <is>
          <t>CRITIQUE</t>
        </is>
      </c>
      <c r="Q56" s="8" t="inlineStr">
        <is>
          <t>WHAP</t>
        </is>
      </c>
      <c r="R56" s="8" t="inlineStr">
        <is>
          <t>OUI</t>
        </is>
      </c>
      <c r="S56" s="8" t="inlineStr">
        <is>
          <t>31/08/2026 02:59</t>
        </is>
      </c>
    </row>
    <row r="57">
      <c r="A57" s="7" t="inlineStr">
        <is>
          <t>WHAP-0053</t>
        </is>
      </c>
      <c r="B57" s="7" t="inlineStr">
        <is>
          <t>MOT-0053</t>
        </is>
      </c>
      <c r="C57" s="7" t="inlineStr">
        <is>
          <t>silentbloc moteur</t>
        </is>
      </c>
      <c r="D57" s="7" t="inlineStr">
        <is>
          <t>Moteur</t>
        </is>
      </c>
      <c r="E57" s="7" t="inlineStr">
        <is>
          <t>Moteur</t>
        </is>
      </c>
      <c r="F57" s="7" t="inlineStr">
        <is>
          <t>PIECE_VEHICULE</t>
        </is>
      </c>
      <c r="G57" s="7" t="inlineStr">
        <is>
          <t>unité</t>
        </is>
      </c>
      <c r="H57" s="7" t="inlineStr">
        <is>
          <t>LARGE</t>
        </is>
      </c>
      <c r="I57" s="7" t="n">
        <v>0</v>
      </c>
      <c r="J57" s="7" t="inlineStr">
        <is>
          <t>D-04-03</t>
        </is>
      </c>
      <c r="K57" s="7" t="inlineStr"/>
      <c r="L57" s="9" t="n">
        <v>0</v>
      </c>
      <c r="M57" s="9" t="n">
        <v>0</v>
      </c>
      <c r="N57" s="9" t="n">
        <v>16</v>
      </c>
      <c r="O57" s="7" t="inlineStr">
        <is>
          <t>SKF</t>
        </is>
      </c>
      <c r="P57" s="7" t="inlineStr">
        <is>
          <t>CRITIQUE</t>
        </is>
      </c>
      <c r="Q57" s="7" t="inlineStr">
        <is>
          <t>WHAP</t>
        </is>
      </c>
      <c r="R57" s="7" t="inlineStr">
        <is>
          <t>OUI</t>
        </is>
      </c>
      <c r="S57" s="7" t="inlineStr">
        <is>
          <t>31/08/2026 02:59</t>
        </is>
      </c>
    </row>
    <row r="58">
      <c r="A58" s="8" t="inlineStr">
        <is>
          <t>WHAP-0054</t>
        </is>
      </c>
      <c r="B58" s="8" t="inlineStr">
        <is>
          <t>MOT-0054</t>
        </is>
      </c>
      <c r="C58" s="8" t="inlineStr">
        <is>
          <t>volant moteur</t>
        </is>
      </c>
      <c r="D58" s="8" t="inlineStr">
        <is>
          <t>Moteur</t>
        </is>
      </c>
      <c r="E58" s="8" t="inlineStr">
        <is>
          <t>Moteur</t>
        </is>
      </c>
      <c r="F58" s="8" t="inlineStr">
        <is>
          <t>PIECE_VEHICULE</t>
        </is>
      </c>
      <c r="G58" s="8" t="inlineStr">
        <is>
          <t>unité</t>
        </is>
      </c>
      <c r="H58" s="8" t="inlineStr">
        <is>
          <t>LARGE</t>
        </is>
      </c>
      <c r="I58" s="8" t="n">
        <v>0</v>
      </c>
      <c r="J58" s="8" t="inlineStr">
        <is>
          <t>D-03-03</t>
        </is>
      </c>
      <c r="K58" s="8" t="inlineStr"/>
      <c r="L58" s="10" t="n">
        <v>0</v>
      </c>
      <c r="M58" s="10" t="n">
        <v>0</v>
      </c>
      <c r="N58" s="10" t="n">
        <v>10</v>
      </c>
      <c r="O58" s="8" t="inlineStr">
        <is>
          <t>VAL</t>
        </is>
      </c>
      <c r="P58" s="8" t="inlineStr">
        <is>
          <t>CRITIQUE</t>
        </is>
      </c>
      <c r="Q58" s="8" t="inlineStr">
        <is>
          <t>WHAP</t>
        </is>
      </c>
      <c r="R58" s="8" t="inlineStr">
        <is>
          <t>OUI</t>
        </is>
      </c>
      <c r="S58" s="8" t="inlineStr">
        <is>
          <t>31/08/2026 02:59</t>
        </is>
      </c>
    </row>
    <row r="59">
      <c r="A59" s="7" t="inlineStr">
        <is>
          <t>WHAP-0055</t>
        </is>
      </c>
      <c r="B59" s="7" t="inlineStr">
        <is>
          <t>MOT-0055</t>
        </is>
      </c>
      <c r="C59" s="7" t="inlineStr">
        <is>
          <t>couronne de démarreur</t>
        </is>
      </c>
      <c r="D59" s="7" t="inlineStr">
        <is>
          <t>Moteur</t>
        </is>
      </c>
      <c r="E59" s="7" t="inlineStr">
        <is>
          <t>Moteur</t>
        </is>
      </c>
      <c r="F59" s="7" t="inlineStr">
        <is>
          <t>PIECE_VEHICULE</t>
        </is>
      </c>
      <c r="G59" s="7" t="inlineStr">
        <is>
          <t>unité</t>
        </is>
      </c>
      <c r="H59" s="7" t="inlineStr">
        <is>
          <t>LARGE</t>
        </is>
      </c>
      <c r="I59" s="7" t="n">
        <v>0</v>
      </c>
      <c r="J59" s="7" t="inlineStr">
        <is>
          <t>F-05-02</t>
        </is>
      </c>
      <c r="K59" s="7" t="inlineStr"/>
      <c r="L59" s="9" t="n">
        <v>0</v>
      </c>
      <c r="M59" s="9" t="n">
        <v>0</v>
      </c>
      <c r="N59" s="9" t="n">
        <v>19</v>
      </c>
      <c r="O59" s="7" t="inlineStr">
        <is>
          <t>CTL</t>
        </is>
      </c>
      <c r="P59" s="7" t="inlineStr">
        <is>
          <t>CRITIQUE</t>
        </is>
      </c>
      <c r="Q59" s="7" t="inlineStr">
        <is>
          <t>WHAP</t>
        </is>
      </c>
      <c r="R59" s="7" t="inlineStr">
        <is>
          <t>OUI</t>
        </is>
      </c>
      <c r="S59" s="7" t="inlineStr">
        <is>
          <t>31/08/2026 02:59</t>
        </is>
      </c>
    </row>
    <row r="60">
      <c r="A60" s="8" t="inlineStr">
        <is>
          <t>WHAP-0056</t>
        </is>
      </c>
      <c r="B60" s="8" t="inlineStr">
        <is>
          <t>REF-0056</t>
        </is>
      </c>
      <c r="C60" s="8" t="inlineStr">
        <is>
          <t>radiateur</t>
        </is>
      </c>
      <c r="D60" s="8" t="inlineStr">
        <is>
          <t>Refroidissement</t>
        </is>
      </c>
      <c r="E60" s="8" t="inlineStr">
        <is>
          <t>Refroidissement</t>
        </is>
      </c>
      <c r="F60" s="8" t="inlineStr">
        <is>
          <t>PIECE_VEHICULE</t>
        </is>
      </c>
      <c r="G60" s="8" t="inlineStr">
        <is>
          <t>unité</t>
        </is>
      </c>
      <c r="H60" s="8" t="inlineStr">
        <is>
          <t>LARGE</t>
        </is>
      </c>
      <c r="I60" s="8" t="n">
        <v>0</v>
      </c>
      <c r="J60" s="8" t="inlineStr">
        <is>
          <t>A-02-01 : 126</t>
        </is>
      </c>
      <c r="K60" s="8" t="inlineStr"/>
      <c r="L60" s="10" t="n">
        <v>126</v>
      </c>
      <c r="M60" s="10" t="n">
        <v>126</v>
      </c>
      <c r="N60" s="10" t="n">
        <v>30</v>
      </c>
      <c r="O60" s="8" t="inlineStr">
        <is>
          <t>SUM</t>
        </is>
      </c>
      <c r="P60" s="8" t="inlineStr">
        <is>
          <t>IMPORTANT</t>
        </is>
      </c>
      <c r="Q60" s="8" t="inlineStr">
        <is>
          <t>WHAP</t>
        </is>
      </c>
      <c r="R60" s="8" t="inlineStr">
        <is>
          <t>OUI</t>
        </is>
      </c>
      <c r="S60" s="8" t="inlineStr">
        <is>
          <t>31/08/2026 02:59</t>
        </is>
      </c>
    </row>
    <row r="61">
      <c r="A61" s="7" t="inlineStr">
        <is>
          <t>WHAP-0057</t>
        </is>
      </c>
      <c r="B61" s="7" t="inlineStr">
        <is>
          <t>REF-0057</t>
        </is>
      </c>
      <c r="C61" s="7" t="inlineStr">
        <is>
          <t>ventilateur</t>
        </is>
      </c>
      <c r="D61" s="7" t="inlineStr">
        <is>
          <t>Refroidissement</t>
        </is>
      </c>
      <c r="E61" s="7" t="inlineStr">
        <is>
          <t>Refroidissement</t>
        </is>
      </c>
      <c r="F61" s="7" t="inlineStr">
        <is>
          <t>PIECE_VEHICULE</t>
        </is>
      </c>
      <c r="G61" s="7" t="inlineStr">
        <is>
          <t>unité</t>
        </is>
      </c>
      <c r="H61" s="7" t="inlineStr">
        <is>
          <t>LARGE</t>
        </is>
      </c>
      <c r="I61" s="7" t="n">
        <v>0</v>
      </c>
      <c r="J61" s="7" t="inlineStr">
        <is>
          <t>F-06-03 : 169</t>
        </is>
      </c>
      <c r="K61" s="7" t="inlineStr"/>
      <c r="L61" s="9" t="n">
        <v>169</v>
      </c>
      <c r="M61" s="9" t="n">
        <v>169</v>
      </c>
      <c r="N61" s="9" t="n">
        <v>31</v>
      </c>
      <c r="O61" s="7" t="inlineStr">
        <is>
          <t>SKF</t>
        </is>
      </c>
      <c r="P61" s="7" t="inlineStr">
        <is>
          <t>IMPORTANT</t>
        </is>
      </c>
      <c r="Q61" s="7" t="inlineStr">
        <is>
          <t>WHAP</t>
        </is>
      </c>
      <c r="R61" s="7" t="inlineStr">
        <is>
          <t>OUI</t>
        </is>
      </c>
      <c r="S61" s="7" t="inlineStr">
        <is>
          <t>31/08/2026 02:59</t>
        </is>
      </c>
    </row>
    <row r="62">
      <c r="A62" s="8" t="inlineStr">
        <is>
          <t>WHAP-0058</t>
        </is>
      </c>
      <c r="B62" s="8" t="inlineStr">
        <is>
          <t>REF-0058</t>
        </is>
      </c>
      <c r="C62" s="8" t="inlineStr">
        <is>
          <t>moteur de ventilateur</t>
        </is>
      </c>
      <c r="D62" s="8" t="inlineStr">
        <is>
          <t>Refroidissement</t>
        </is>
      </c>
      <c r="E62" s="8" t="inlineStr">
        <is>
          <t>Refroidissement</t>
        </is>
      </c>
      <c r="F62" s="8" t="inlineStr">
        <is>
          <t>PIECE_VEHICULE</t>
        </is>
      </c>
      <c r="G62" s="8" t="inlineStr">
        <is>
          <t>unité</t>
        </is>
      </c>
      <c r="H62" s="8" t="inlineStr">
        <is>
          <t>LARGE</t>
        </is>
      </c>
      <c r="I62" s="8" t="n">
        <v>0</v>
      </c>
      <c r="J62" s="8" t="inlineStr">
        <is>
          <t>D-04-01</t>
        </is>
      </c>
      <c r="K62" s="8" t="inlineStr"/>
      <c r="L62" s="10" t="n">
        <v>0</v>
      </c>
      <c r="M62" s="10" t="n">
        <v>0</v>
      </c>
      <c r="N62" s="10" t="n">
        <v>31</v>
      </c>
      <c r="O62" s="8" t="inlineStr">
        <is>
          <t>FAU</t>
        </is>
      </c>
      <c r="P62" s="8" t="inlineStr">
        <is>
          <t>IMPORTANT</t>
        </is>
      </c>
      <c r="Q62" s="8" t="inlineStr">
        <is>
          <t>WHAP</t>
        </is>
      </c>
      <c r="R62" s="8" t="inlineStr">
        <is>
          <t>OUI</t>
        </is>
      </c>
      <c r="S62" s="8" t="inlineStr">
        <is>
          <t>31/08/2026 02:59</t>
        </is>
      </c>
    </row>
    <row r="63">
      <c r="A63" s="7" t="inlineStr">
        <is>
          <t>WHAP-0059</t>
        </is>
      </c>
      <c r="B63" s="7" t="inlineStr">
        <is>
          <t>REF-0059</t>
        </is>
      </c>
      <c r="C63" s="7" t="inlineStr">
        <is>
          <t>carénage ventilateur</t>
        </is>
      </c>
      <c r="D63" s="7" t="inlineStr">
        <is>
          <t>Refroidissement</t>
        </is>
      </c>
      <c r="E63" s="7" t="inlineStr">
        <is>
          <t>Refroidissement</t>
        </is>
      </c>
      <c r="F63" s="7" t="inlineStr">
        <is>
          <t>PIECE_VEHICULE</t>
        </is>
      </c>
      <c r="G63" s="7" t="inlineStr">
        <is>
          <t>unité</t>
        </is>
      </c>
      <c r="H63" s="7" t="inlineStr">
        <is>
          <t>LARGE</t>
        </is>
      </c>
      <c r="I63" s="7" t="n">
        <v>0</v>
      </c>
      <c r="J63" s="7" t="inlineStr">
        <is>
          <t>E-01-02</t>
        </is>
      </c>
      <c r="K63" s="7" t="inlineStr"/>
      <c r="L63" s="9" t="n">
        <v>0</v>
      </c>
      <c r="M63" s="9" t="n">
        <v>0</v>
      </c>
      <c r="N63" s="9" t="n">
        <v>24</v>
      </c>
      <c r="O63" s="7" t="inlineStr">
        <is>
          <t>DEL</t>
        </is>
      </c>
      <c r="P63" s="7" t="inlineStr">
        <is>
          <t>IMPORTANT</t>
        </is>
      </c>
      <c r="Q63" s="7" t="inlineStr">
        <is>
          <t>WHAP</t>
        </is>
      </c>
      <c r="R63" s="7" t="inlineStr">
        <is>
          <t>OUI</t>
        </is>
      </c>
      <c r="S63" s="7" t="inlineStr">
        <is>
          <t>31/08/2026 02:59</t>
        </is>
      </c>
    </row>
    <row r="64">
      <c r="A64" s="8" t="inlineStr">
        <is>
          <t>WHAP-0060</t>
        </is>
      </c>
      <c r="B64" s="8" t="inlineStr">
        <is>
          <t>REF-0060</t>
        </is>
      </c>
      <c r="C64" s="8" t="inlineStr">
        <is>
          <t>pompe à eau</t>
        </is>
      </c>
      <c r="D64" s="8" t="inlineStr">
        <is>
          <t>Refroidissement</t>
        </is>
      </c>
      <c r="E64" s="8" t="inlineStr">
        <is>
          <t>Refroidissement</t>
        </is>
      </c>
      <c r="F64" s="8" t="inlineStr">
        <is>
          <t>PIECE_VEHICULE</t>
        </is>
      </c>
      <c r="G64" s="8" t="inlineStr">
        <is>
          <t>unité</t>
        </is>
      </c>
      <c r="H64" s="8" t="inlineStr">
        <is>
          <t>LARGE</t>
        </is>
      </c>
      <c r="I64" s="8" t="n">
        <v>0</v>
      </c>
      <c r="J64" s="8" t="inlineStr">
        <is>
          <t>B-04-02</t>
        </is>
      </c>
      <c r="K64" s="8" t="inlineStr"/>
      <c r="L64" s="10" t="n">
        <v>0</v>
      </c>
      <c r="M64" s="10" t="n">
        <v>0</v>
      </c>
      <c r="N64" s="10" t="n">
        <v>24</v>
      </c>
      <c r="O64" s="8" t="inlineStr">
        <is>
          <t>FAU</t>
        </is>
      </c>
      <c r="P64" s="8" t="inlineStr">
        <is>
          <t>IMPORTANT</t>
        </is>
      </c>
      <c r="Q64" s="8" t="inlineStr">
        <is>
          <t>WHAP</t>
        </is>
      </c>
      <c r="R64" s="8" t="inlineStr">
        <is>
          <t>OUI</t>
        </is>
      </c>
      <c r="S64" s="8" t="inlineStr">
        <is>
          <t>31/08/2026 02:59</t>
        </is>
      </c>
    </row>
    <row r="65">
      <c r="A65" s="7" t="inlineStr">
        <is>
          <t>WHAP-0061</t>
        </is>
      </c>
      <c r="B65" s="7" t="inlineStr">
        <is>
          <t>REF-0061</t>
        </is>
      </c>
      <c r="C65" s="7" t="inlineStr">
        <is>
          <t>thermostat</t>
        </is>
      </c>
      <c r="D65" s="7" t="inlineStr">
        <is>
          <t>Refroidissement</t>
        </is>
      </c>
      <c r="E65" s="7" t="inlineStr">
        <is>
          <t>Refroidissement</t>
        </is>
      </c>
      <c r="F65" s="7" t="inlineStr">
        <is>
          <t>PIECE_VEHICULE</t>
        </is>
      </c>
      <c r="G65" s="7" t="inlineStr">
        <is>
          <t>unité</t>
        </is>
      </c>
      <c r="H65" s="7" t="inlineStr">
        <is>
          <t>LARGE</t>
        </is>
      </c>
      <c r="I65" s="7" t="n">
        <v>0</v>
      </c>
      <c r="J65" s="7" t="inlineStr">
        <is>
          <t>C-06-04</t>
        </is>
      </c>
      <c r="K65" s="7" t="inlineStr"/>
      <c r="L65" s="9" t="n">
        <v>0</v>
      </c>
      <c r="M65" s="9" t="n">
        <v>0</v>
      </c>
      <c r="N65" s="9" t="n">
        <v>26</v>
      </c>
      <c r="O65" s="7" t="inlineStr">
        <is>
          <t>BOS</t>
        </is>
      </c>
      <c r="P65" s="7" t="inlineStr">
        <is>
          <t>IMPORTANT</t>
        </is>
      </c>
      <c r="Q65" s="7" t="inlineStr">
        <is>
          <t>WHAP</t>
        </is>
      </c>
      <c r="R65" s="7" t="inlineStr">
        <is>
          <t>OUI</t>
        </is>
      </c>
      <c r="S65" s="7" t="inlineStr">
        <is>
          <t>31/08/2026 02:59</t>
        </is>
      </c>
    </row>
    <row r="66">
      <c r="A66" s="8" t="inlineStr">
        <is>
          <t>WHAP-0062</t>
        </is>
      </c>
      <c r="B66" s="8" t="inlineStr">
        <is>
          <t>REF-0062</t>
        </is>
      </c>
      <c r="C66" s="8" t="inlineStr">
        <is>
          <t>boîtier thermostat</t>
        </is>
      </c>
      <c r="D66" s="8" t="inlineStr">
        <is>
          <t>Refroidissement</t>
        </is>
      </c>
      <c r="E66" s="8" t="inlineStr">
        <is>
          <t>Refroidissement</t>
        </is>
      </c>
      <c r="F66" s="8" t="inlineStr">
        <is>
          <t>PIECE_VEHICULE</t>
        </is>
      </c>
      <c r="G66" s="8" t="inlineStr">
        <is>
          <t>unité</t>
        </is>
      </c>
      <c r="H66" s="8" t="inlineStr">
        <is>
          <t>LARGE</t>
        </is>
      </c>
      <c r="I66" s="8" t="n">
        <v>0</v>
      </c>
      <c r="J66" s="8" t="inlineStr">
        <is>
          <t>C-02-04</t>
        </is>
      </c>
      <c r="K66" s="8" t="inlineStr"/>
      <c r="L66" s="10" t="n">
        <v>0</v>
      </c>
      <c r="M66" s="10" t="n">
        <v>0</v>
      </c>
      <c r="N66" s="10" t="n">
        <v>32</v>
      </c>
      <c r="O66" s="8" t="inlineStr">
        <is>
          <t>BOS</t>
        </is>
      </c>
      <c r="P66" s="8" t="inlineStr">
        <is>
          <t>IMPORTANT</t>
        </is>
      </c>
      <c r="Q66" s="8" t="inlineStr">
        <is>
          <t>WHAP</t>
        </is>
      </c>
      <c r="R66" s="8" t="inlineStr">
        <is>
          <t>OUI</t>
        </is>
      </c>
      <c r="S66" s="8" t="inlineStr">
        <is>
          <t>31/08/2026 02:59</t>
        </is>
      </c>
    </row>
    <row r="67">
      <c r="A67" s="7" t="inlineStr">
        <is>
          <t>WHAP-0063</t>
        </is>
      </c>
      <c r="B67" s="7" t="inlineStr">
        <is>
          <t>REF-0063</t>
        </is>
      </c>
      <c r="C67" s="7" t="inlineStr">
        <is>
          <t>durite supérieure</t>
        </is>
      </c>
      <c r="D67" s="7" t="inlineStr">
        <is>
          <t>Refroidissement</t>
        </is>
      </c>
      <c r="E67" s="7" t="inlineStr">
        <is>
          <t>Refroidissement</t>
        </is>
      </c>
      <c r="F67" s="7" t="inlineStr">
        <is>
          <t>PIECE_VEHICULE</t>
        </is>
      </c>
      <c r="G67" s="7" t="inlineStr">
        <is>
          <t>unité</t>
        </is>
      </c>
      <c r="H67" s="7" t="inlineStr">
        <is>
          <t>LARGE</t>
        </is>
      </c>
      <c r="I67" s="7" t="n">
        <v>0</v>
      </c>
      <c r="J67" s="7" t="inlineStr">
        <is>
          <t>F-01-03</t>
        </is>
      </c>
      <c r="K67" s="7" t="inlineStr"/>
      <c r="L67" s="9" t="n">
        <v>0</v>
      </c>
      <c r="M67" s="9" t="n">
        <v>0</v>
      </c>
      <c r="N67" s="9" t="n">
        <v>23</v>
      </c>
      <c r="O67" s="7" t="inlineStr">
        <is>
          <t>VAL</t>
        </is>
      </c>
      <c r="P67" s="7" t="inlineStr">
        <is>
          <t>IMPORTANT</t>
        </is>
      </c>
      <c r="Q67" s="7" t="inlineStr">
        <is>
          <t>WHAP</t>
        </is>
      </c>
      <c r="R67" s="7" t="inlineStr">
        <is>
          <t>OUI</t>
        </is>
      </c>
      <c r="S67" s="7" t="inlineStr">
        <is>
          <t>31/08/2026 02:59</t>
        </is>
      </c>
    </row>
    <row r="68">
      <c r="A68" s="8" t="inlineStr">
        <is>
          <t>WHAP-0064</t>
        </is>
      </c>
      <c r="B68" s="8" t="inlineStr">
        <is>
          <t>REF-0064</t>
        </is>
      </c>
      <c r="C68" s="8" t="inlineStr">
        <is>
          <t>durite inférieure</t>
        </is>
      </c>
      <c r="D68" s="8" t="inlineStr">
        <is>
          <t>Refroidissement</t>
        </is>
      </c>
      <c r="E68" s="8" t="inlineStr">
        <is>
          <t>Refroidissement</t>
        </is>
      </c>
      <c r="F68" s="8" t="inlineStr">
        <is>
          <t>PIECE_VEHICULE</t>
        </is>
      </c>
      <c r="G68" s="8" t="inlineStr">
        <is>
          <t>unité</t>
        </is>
      </c>
      <c r="H68" s="8" t="inlineStr">
        <is>
          <t>LARGE</t>
        </is>
      </c>
      <c r="I68" s="8" t="n">
        <v>0</v>
      </c>
      <c r="J68" s="8" t="inlineStr">
        <is>
          <t>E-02-01</t>
        </is>
      </c>
      <c r="K68" s="8" t="inlineStr"/>
      <c r="L68" s="10" t="n">
        <v>0</v>
      </c>
      <c r="M68" s="10" t="n">
        <v>0</v>
      </c>
      <c r="N68" s="10" t="n">
        <v>32</v>
      </c>
      <c r="O68" s="8" t="inlineStr">
        <is>
          <t>DEL</t>
        </is>
      </c>
      <c r="P68" s="8" t="inlineStr">
        <is>
          <t>IMPORTANT</t>
        </is>
      </c>
      <c r="Q68" s="8" t="inlineStr">
        <is>
          <t>WHAP</t>
        </is>
      </c>
      <c r="R68" s="8" t="inlineStr">
        <is>
          <t>OUI</t>
        </is>
      </c>
      <c r="S68" s="8" t="inlineStr">
        <is>
          <t>31/08/2026 02:59</t>
        </is>
      </c>
    </row>
    <row r="69">
      <c r="A69" s="7" t="inlineStr">
        <is>
          <t>WHAP-0065</t>
        </is>
      </c>
      <c r="B69" s="7" t="inlineStr">
        <is>
          <t>REF-0065</t>
        </is>
      </c>
      <c r="C69" s="7" t="inlineStr">
        <is>
          <t>durite de dérivation</t>
        </is>
      </c>
      <c r="D69" s="7" t="inlineStr">
        <is>
          <t>Refroidissement</t>
        </is>
      </c>
      <c r="E69" s="7" t="inlineStr">
        <is>
          <t>Refroidissement</t>
        </is>
      </c>
      <c r="F69" s="7" t="inlineStr">
        <is>
          <t>PIECE_VEHICULE</t>
        </is>
      </c>
      <c r="G69" s="7" t="inlineStr">
        <is>
          <t>unité</t>
        </is>
      </c>
      <c r="H69" s="7" t="inlineStr">
        <is>
          <t>LARGE</t>
        </is>
      </c>
      <c r="I69" s="7" t="n">
        <v>0</v>
      </c>
      <c r="J69" s="7" t="inlineStr">
        <is>
          <t>C-06-01</t>
        </is>
      </c>
      <c r="K69" s="7" t="inlineStr"/>
      <c r="L69" s="9" t="n">
        <v>0</v>
      </c>
      <c r="M69" s="9" t="n">
        <v>0</v>
      </c>
      <c r="N69" s="9" t="n">
        <v>26</v>
      </c>
      <c r="O69" s="7" t="inlineStr">
        <is>
          <t>BOS</t>
        </is>
      </c>
      <c r="P69" s="7" t="inlineStr">
        <is>
          <t>IMPORTANT</t>
        </is>
      </c>
      <c r="Q69" s="7" t="inlineStr">
        <is>
          <t>WHAP</t>
        </is>
      </c>
      <c r="R69" s="7" t="inlineStr">
        <is>
          <t>OUI</t>
        </is>
      </c>
      <c r="S69" s="7" t="inlineStr">
        <is>
          <t>31/08/2026 02:59</t>
        </is>
      </c>
    </row>
    <row r="70">
      <c r="A70" s="8" t="inlineStr">
        <is>
          <t>WHAP-0066</t>
        </is>
      </c>
      <c r="B70" s="8" t="inlineStr">
        <is>
          <t>REF-0066</t>
        </is>
      </c>
      <c r="C70" s="8" t="inlineStr">
        <is>
          <t>durite chauffage</t>
        </is>
      </c>
      <c r="D70" s="8" t="inlineStr">
        <is>
          <t>Refroidissement</t>
        </is>
      </c>
      <c r="E70" s="8" t="inlineStr">
        <is>
          <t>Refroidissement</t>
        </is>
      </c>
      <c r="F70" s="8" t="inlineStr">
        <is>
          <t>PIECE_VEHICULE</t>
        </is>
      </c>
      <c r="G70" s="8" t="inlineStr">
        <is>
          <t>unité</t>
        </is>
      </c>
      <c r="H70" s="8" t="inlineStr">
        <is>
          <t>LARGE</t>
        </is>
      </c>
      <c r="I70" s="8" t="n">
        <v>0</v>
      </c>
      <c r="J70" s="8" t="inlineStr">
        <is>
          <t>D-05-03</t>
        </is>
      </c>
      <c r="K70" s="8" t="inlineStr"/>
      <c r="L70" s="10" t="n">
        <v>0</v>
      </c>
      <c r="M70" s="10" t="n">
        <v>0</v>
      </c>
      <c r="N70" s="10" t="n">
        <v>22</v>
      </c>
      <c r="O70" s="8" t="inlineStr">
        <is>
          <t>VAL</t>
        </is>
      </c>
      <c r="P70" s="8" t="inlineStr">
        <is>
          <t>IMPORTANT</t>
        </is>
      </c>
      <c r="Q70" s="8" t="inlineStr">
        <is>
          <t>WHAP</t>
        </is>
      </c>
      <c r="R70" s="8" t="inlineStr">
        <is>
          <t>OUI</t>
        </is>
      </c>
      <c r="S70" s="8" t="inlineStr">
        <is>
          <t>31/08/2026 02:59</t>
        </is>
      </c>
    </row>
    <row r="71">
      <c r="A71" s="7" t="inlineStr">
        <is>
          <t>WHAP-0067</t>
        </is>
      </c>
      <c r="B71" s="7" t="inlineStr">
        <is>
          <t>REF-0067</t>
        </is>
      </c>
      <c r="C71" s="7" t="inlineStr">
        <is>
          <t>vase d'expansion</t>
        </is>
      </c>
      <c r="D71" s="7" t="inlineStr">
        <is>
          <t>Refroidissement</t>
        </is>
      </c>
      <c r="E71" s="7" t="inlineStr">
        <is>
          <t>Refroidissement</t>
        </is>
      </c>
      <c r="F71" s="7" t="inlineStr">
        <is>
          <t>PIECE_VEHICULE</t>
        </is>
      </c>
      <c r="G71" s="7" t="inlineStr">
        <is>
          <t>unité</t>
        </is>
      </c>
      <c r="H71" s="7" t="inlineStr">
        <is>
          <t>LARGE</t>
        </is>
      </c>
      <c r="I71" s="7" t="n">
        <v>0</v>
      </c>
      <c r="J71" s="7" t="inlineStr">
        <is>
          <t>F-01-03</t>
        </is>
      </c>
      <c r="K71" s="7" t="inlineStr"/>
      <c r="L71" s="9" t="n">
        <v>0</v>
      </c>
      <c r="M71" s="9" t="n">
        <v>0</v>
      </c>
      <c r="N71" s="9" t="n">
        <v>30</v>
      </c>
      <c r="O71" s="7" t="inlineStr">
        <is>
          <t>SKF</t>
        </is>
      </c>
      <c r="P71" s="7" t="inlineStr">
        <is>
          <t>IMPORTANT</t>
        </is>
      </c>
      <c r="Q71" s="7" t="inlineStr">
        <is>
          <t>WHAP</t>
        </is>
      </c>
      <c r="R71" s="7" t="inlineStr">
        <is>
          <t>OUI</t>
        </is>
      </c>
      <c r="S71" s="7" t="inlineStr">
        <is>
          <t>31/08/2026 02:59</t>
        </is>
      </c>
    </row>
    <row r="72">
      <c r="A72" s="8" t="inlineStr">
        <is>
          <t>WHAP-0068</t>
        </is>
      </c>
      <c r="B72" s="8" t="inlineStr">
        <is>
          <t>REF-0068</t>
        </is>
      </c>
      <c r="C72" s="8" t="inlineStr">
        <is>
          <t>bouchon de vase</t>
        </is>
      </c>
      <c r="D72" s="8" t="inlineStr">
        <is>
          <t>Refroidissement</t>
        </is>
      </c>
      <c r="E72" s="8" t="inlineStr">
        <is>
          <t>Refroidissement</t>
        </is>
      </c>
      <c r="F72" s="8" t="inlineStr">
        <is>
          <t>PIECE_VEHICULE</t>
        </is>
      </c>
      <c r="G72" s="8" t="inlineStr">
        <is>
          <t>unité</t>
        </is>
      </c>
      <c r="H72" s="8" t="inlineStr">
        <is>
          <t>LARGE</t>
        </is>
      </c>
      <c r="I72" s="8" t="n">
        <v>0</v>
      </c>
      <c r="J72" s="8" t="inlineStr">
        <is>
          <t>A-04-04</t>
        </is>
      </c>
      <c r="K72" s="8" t="inlineStr"/>
      <c r="L72" s="10" t="n">
        <v>0</v>
      </c>
      <c r="M72" s="10" t="n">
        <v>0</v>
      </c>
      <c r="N72" s="10" t="n">
        <v>24</v>
      </c>
      <c r="O72" s="8" t="inlineStr">
        <is>
          <t>SUM</t>
        </is>
      </c>
      <c r="P72" s="8" t="inlineStr">
        <is>
          <t>IMPORTANT</t>
        </is>
      </c>
      <c r="Q72" s="8" t="inlineStr">
        <is>
          <t>WHAP</t>
        </is>
      </c>
      <c r="R72" s="8" t="inlineStr">
        <is>
          <t>OUI</t>
        </is>
      </c>
      <c r="S72" s="8" t="inlineStr">
        <is>
          <t>31/08/2026 02:59</t>
        </is>
      </c>
    </row>
    <row r="73">
      <c r="A73" s="7" t="inlineStr">
        <is>
          <t>WHAP-0069</t>
        </is>
      </c>
      <c r="B73" s="7" t="inlineStr">
        <is>
          <t>REF-0069</t>
        </is>
      </c>
      <c r="C73" s="7" t="inlineStr">
        <is>
          <t>échangeur thermique</t>
        </is>
      </c>
      <c r="D73" s="7" t="inlineStr">
        <is>
          <t>Refroidissement</t>
        </is>
      </c>
      <c r="E73" s="7" t="inlineStr">
        <is>
          <t>Refroidissement</t>
        </is>
      </c>
      <c r="F73" s="7" t="inlineStr">
        <is>
          <t>PIECE_VEHICULE</t>
        </is>
      </c>
      <c r="G73" s="7" t="inlineStr">
        <is>
          <t>unité</t>
        </is>
      </c>
      <c r="H73" s="7" t="inlineStr">
        <is>
          <t>LARGE</t>
        </is>
      </c>
      <c r="I73" s="7" t="n">
        <v>0</v>
      </c>
      <c r="J73" s="7" t="inlineStr">
        <is>
          <t>C-03-03</t>
        </is>
      </c>
      <c r="K73" s="7" t="inlineStr"/>
      <c r="L73" s="9" t="n">
        <v>0</v>
      </c>
      <c r="M73" s="9" t="n">
        <v>0</v>
      </c>
      <c r="N73" s="9" t="n">
        <v>32</v>
      </c>
      <c r="O73" s="7" t="inlineStr">
        <is>
          <t>HEL</t>
        </is>
      </c>
      <c r="P73" s="7" t="inlineStr">
        <is>
          <t>IMPORTANT</t>
        </is>
      </c>
      <c r="Q73" s="7" t="inlineStr">
        <is>
          <t>WHAP</t>
        </is>
      </c>
      <c r="R73" s="7" t="inlineStr">
        <is>
          <t>OUI</t>
        </is>
      </c>
      <c r="S73" s="7" t="inlineStr">
        <is>
          <t>31/08/2026 02:59</t>
        </is>
      </c>
    </row>
    <row r="74">
      <c r="A74" s="8" t="inlineStr">
        <is>
          <t>WHAP-0070</t>
        </is>
      </c>
      <c r="B74" s="8" t="inlineStr">
        <is>
          <t>REF-0070</t>
        </is>
      </c>
      <c r="C74" s="8" t="inlineStr">
        <is>
          <t>refroidisseur d'huile</t>
        </is>
      </c>
      <c r="D74" s="8" t="inlineStr">
        <is>
          <t>Refroidissement</t>
        </is>
      </c>
      <c r="E74" s="8" t="inlineStr">
        <is>
          <t>Refroidissement</t>
        </is>
      </c>
      <c r="F74" s="8" t="inlineStr">
        <is>
          <t>PIECE_VEHICULE</t>
        </is>
      </c>
      <c r="G74" s="8" t="inlineStr">
        <is>
          <t>unité</t>
        </is>
      </c>
      <c r="H74" s="8" t="inlineStr">
        <is>
          <t>LARGE</t>
        </is>
      </c>
      <c r="I74" s="8" t="n">
        <v>0</v>
      </c>
      <c r="J74" s="8" t="inlineStr">
        <is>
          <t>F-06-01</t>
        </is>
      </c>
      <c r="K74" s="8" t="inlineStr"/>
      <c r="L74" s="10" t="n">
        <v>0</v>
      </c>
      <c r="M74" s="10" t="n">
        <v>0</v>
      </c>
      <c r="N74" s="10" t="n">
        <v>32</v>
      </c>
      <c r="O74" s="8" t="inlineStr">
        <is>
          <t>YZK</t>
        </is>
      </c>
      <c r="P74" s="8" t="inlineStr">
        <is>
          <t>IMPORTANT</t>
        </is>
      </c>
      <c r="Q74" s="8" t="inlineStr">
        <is>
          <t>WHAP</t>
        </is>
      </c>
      <c r="R74" s="8" t="inlineStr">
        <is>
          <t>OUI</t>
        </is>
      </c>
      <c r="S74" s="8" t="inlineStr">
        <is>
          <t>31/08/2026 02:59</t>
        </is>
      </c>
    </row>
    <row r="75">
      <c r="A75" s="7" t="inlineStr">
        <is>
          <t>WHAP-0071</t>
        </is>
      </c>
      <c r="B75" s="7" t="inlineStr">
        <is>
          <t>REF-0071</t>
        </is>
      </c>
      <c r="C75" s="7" t="inlineStr">
        <is>
          <t>refroidisseur de transmission</t>
        </is>
      </c>
      <c r="D75" s="7" t="inlineStr">
        <is>
          <t>Refroidissement</t>
        </is>
      </c>
      <c r="E75" s="7" t="inlineStr">
        <is>
          <t>Refroidissement</t>
        </is>
      </c>
      <c r="F75" s="7" t="inlineStr">
        <is>
          <t>PIECE_VEHICULE</t>
        </is>
      </c>
      <c r="G75" s="7" t="inlineStr">
        <is>
          <t>unité</t>
        </is>
      </c>
      <c r="H75" s="7" t="inlineStr">
        <is>
          <t>LARGE</t>
        </is>
      </c>
      <c r="I75" s="7" t="n">
        <v>0</v>
      </c>
      <c r="J75" s="7" t="inlineStr">
        <is>
          <t>E-03-04</t>
        </is>
      </c>
      <c r="K75" s="7" t="inlineStr"/>
      <c r="L75" s="9" t="n">
        <v>0</v>
      </c>
      <c r="M75" s="9" t="n">
        <v>0</v>
      </c>
      <c r="N75" s="9" t="n">
        <v>28</v>
      </c>
      <c r="O75" s="7" t="inlineStr">
        <is>
          <t>BOS</t>
        </is>
      </c>
      <c r="P75" s="7" t="inlineStr">
        <is>
          <t>IMPORTANT</t>
        </is>
      </c>
      <c r="Q75" s="7" t="inlineStr">
        <is>
          <t>WHAP</t>
        </is>
      </c>
      <c r="R75" s="7" t="inlineStr">
        <is>
          <t>OUI</t>
        </is>
      </c>
      <c r="S75" s="7" t="inlineStr">
        <is>
          <t>31/08/2026 02:59</t>
        </is>
      </c>
    </row>
    <row r="76">
      <c r="A76" s="8" t="inlineStr">
        <is>
          <t>WHAP-0072</t>
        </is>
      </c>
      <c r="B76" s="8" t="inlineStr">
        <is>
          <t>REF-0072</t>
        </is>
      </c>
      <c r="C76" s="8" t="inlineStr">
        <is>
          <t>pompe de circulation</t>
        </is>
      </c>
      <c r="D76" s="8" t="inlineStr">
        <is>
          <t>Refroidissement</t>
        </is>
      </c>
      <c r="E76" s="8" t="inlineStr">
        <is>
          <t>Refroidissement</t>
        </is>
      </c>
      <c r="F76" s="8" t="inlineStr">
        <is>
          <t>PIECE_VEHICULE</t>
        </is>
      </c>
      <c r="G76" s="8" t="inlineStr">
        <is>
          <t>unité</t>
        </is>
      </c>
      <c r="H76" s="8" t="inlineStr">
        <is>
          <t>LARGE</t>
        </is>
      </c>
      <c r="I76" s="8" t="n">
        <v>0</v>
      </c>
      <c r="J76" s="8" t="inlineStr">
        <is>
          <t>D-03-02</t>
        </is>
      </c>
      <c r="K76" s="8" t="inlineStr"/>
      <c r="L76" s="10" t="n">
        <v>0</v>
      </c>
      <c r="M76" s="10" t="n">
        <v>0</v>
      </c>
      <c r="N76" s="10" t="n">
        <v>25</v>
      </c>
      <c r="O76" s="8" t="inlineStr">
        <is>
          <t>FAU</t>
        </is>
      </c>
      <c r="P76" s="8" t="inlineStr">
        <is>
          <t>IMPORTANT</t>
        </is>
      </c>
      <c r="Q76" s="8" t="inlineStr">
        <is>
          <t>WHAP</t>
        </is>
      </c>
      <c r="R76" s="8" t="inlineStr">
        <is>
          <t>OUI</t>
        </is>
      </c>
      <c r="S76" s="8" t="inlineStr">
        <is>
          <t>31/08/2026 02:59</t>
        </is>
      </c>
    </row>
    <row r="77">
      <c r="A77" s="7" t="inlineStr">
        <is>
          <t>WHAP-0073</t>
        </is>
      </c>
      <c r="B77" s="7" t="inlineStr">
        <is>
          <t>REF-0073</t>
        </is>
      </c>
      <c r="C77" s="7" t="inlineStr">
        <is>
          <t>vanne de régulation</t>
        </is>
      </c>
      <c r="D77" s="7" t="inlineStr">
        <is>
          <t>Refroidissement</t>
        </is>
      </c>
      <c r="E77" s="7" t="inlineStr">
        <is>
          <t>Refroidissement</t>
        </is>
      </c>
      <c r="F77" s="7" t="inlineStr">
        <is>
          <t>PIECE_VEHICULE</t>
        </is>
      </c>
      <c r="G77" s="7" t="inlineStr">
        <is>
          <t>unité</t>
        </is>
      </c>
      <c r="H77" s="7" t="inlineStr">
        <is>
          <t>LARGE</t>
        </is>
      </c>
      <c r="I77" s="7" t="n">
        <v>0</v>
      </c>
      <c r="J77" s="7" t="inlineStr">
        <is>
          <t>A-06-02</t>
        </is>
      </c>
      <c r="K77" s="7" t="inlineStr"/>
      <c r="L77" s="9" t="n">
        <v>0</v>
      </c>
      <c r="M77" s="9" t="n">
        <v>0</v>
      </c>
      <c r="N77" s="9" t="n">
        <v>26</v>
      </c>
      <c r="O77" s="7" t="inlineStr">
        <is>
          <t>MAG</t>
        </is>
      </c>
      <c r="P77" s="7" t="inlineStr">
        <is>
          <t>IMPORTANT</t>
        </is>
      </c>
      <c r="Q77" s="7" t="inlineStr">
        <is>
          <t>WHAP</t>
        </is>
      </c>
      <c r="R77" s="7" t="inlineStr">
        <is>
          <t>OUI</t>
        </is>
      </c>
      <c r="S77" s="7" t="inlineStr">
        <is>
          <t>31/08/2026 02:59</t>
        </is>
      </c>
    </row>
    <row r="78">
      <c r="A78" s="8" t="inlineStr">
        <is>
          <t>WHAP-0074</t>
        </is>
      </c>
      <c r="B78" s="8" t="inlineStr">
        <is>
          <t>REF-0074</t>
        </is>
      </c>
      <c r="C78" s="8" t="inlineStr">
        <is>
          <t>capteur température liquide</t>
        </is>
      </c>
      <c r="D78" s="8" t="inlineStr">
        <is>
          <t>Refroidissement</t>
        </is>
      </c>
      <c r="E78" s="8" t="inlineStr">
        <is>
          <t>Refroidissement</t>
        </is>
      </c>
      <c r="F78" s="8" t="inlineStr">
        <is>
          <t>PIECE_VEHICULE</t>
        </is>
      </c>
      <c r="G78" s="8" t="inlineStr">
        <is>
          <t>unité</t>
        </is>
      </c>
      <c r="H78" s="8" t="inlineStr">
        <is>
          <t>LARGE</t>
        </is>
      </c>
      <c r="I78" s="8" t="n">
        <v>0</v>
      </c>
      <c r="J78" s="8" t="inlineStr">
        <is>
          <t>F-01-04</t>
        </is>
      </c>
      <c r="K78" s="8" t="inlineStr"/>
      <c r="L78" s="10" t="n">
        <v>0</v>
      </c>
      <c r="M78" s="10" t="n">
        <v>0</v>
      </c>
      <c r="N78" s="10" t="n">
        <v>28</v>
      </c>
      <c r="O78" s="8" t="inlineStr">
        <is>
          <t>YZK</t>
        </is>
      </c>
      <c r="P78" s="8" t="inlineStr">
        <is>
          <t>IMPORTANT</t>
        </is>
      </c>
      <c r="Q78" s="8" t="inlineStr">
        <is>
          <t>WHAP</t>
        </is>
      </c>
      <c r="R78" s="8" t="inlineStr">
        <is>
          <t>OUI</t>
        </is>
      </c>
      <c r="S78" s="8" t="inlineStr">
        <is>
          <t>31/08/2026 02:59</t>
        </is>
      </c>
    </row>
    <row r="79">
      <c r="A79" s="7" t="inlineStr">
        <is>
          <t>WHAP-0075</t>
        </is>
      </c>
      <c r="B79" s="7" t="inlineStr">
        <is>
          <t>REF-0075</t>
        </is>
      </c>
      <c r="C79" s="7" t="inlineStr">
        <is>
          <t>sonde niveau liquide</t>
        </is>
      </c>
      <c r="D79" s="7" t="inlineStr">
        <is>
          <t>Refroidissement</t>
        </is>
      </c>
      <c r="E79" s="7" t="inlineStr">
        <is>
          <t>Refroidissement</t>
        </is>
      </c>
      <c r="F79" s="7" t="inlineStr">
        <is>
          <t>PIECE_VEHICULE</t>
        </is>
      </c>
      <c r="G79" s="7" t="inlineStr">
        <is>
          <t>unité</t>
        </is>
      </c>
      <c r="H79" s="7" t="inlineStr">
        <is>
          <t>LARGE</t>
        </is>
      </c>
      <c r="I79" s="7" t="n">
        <v>0</v>
      </c>
      <c r="J79" s="7" t="inlineStr">
        <is>
          <t>D-06-04</t>
        </is>
      </c>
      <c r="K79" s="7" t="inlineStr"/>
      <c r="L79" s="9" t="n">
        <v>0</v>
      </c>
      <c r="M79" s="9" t="n">
        <v>0</v>
      </c>
      <c r="N79" s="9" t="n">
        <v>30</v>
      </c>
      <c r="O79" s="7" t="inlineStr">
        <is>
          <t>VAL</t>
        </is>
      </c>
      <c r="P79" s="7" t="inlineStr">
        <is>
          <t>IMPORTANT</t>
        </is>
      </c>
      <c r="Q79" s="7" t="inlineStr">
        <is>
          <t>WHAP</t>
        </is>
      </c>
      <c r="R79" s="7" t="inlineStr">
        <is>
          <t>OUI</t>
        </is>
      </c>
      <c r="S79" s="7" t="inlineStr">
        <is>
          <t>31/08/2026 02:59</t>
        </is>
      </c>
    </row>
    <row r="80">
      <c r="A80" s="8" t="inlineStr">
        <is>
          <t>WHAP-0076</t>
        </is>
      </c>
      <c r="B80" s="8" t="inlineStr">
        <is>
          <t>REF-0076</t>
        </is>
      </c>
      <c r="C80" s="8" t="inlineStr">
        <is>
          <t>collier de durite</t>
        </is>
      </c>
      <c r="D80" s="8" t="inlineStr">
        <is>
          <t>Refroidissement</t>
        </is>
      </c>
      <c r="E80" s="8" t="inlineStr">
        <is>
          <t>Refroidissement</t>
        </is>
      </c>
      <c r="F80" s="8" t="inlineStr">
        <is>
          <t>PIECE_VEHICULE</t>
        </is>
      </c>
      <c r="G80" s="8" t="inlineStr">
        <is>
          <t>unité</t>
        </is>
      </c>
      <c r="H80" s="8" t="inlineStr">
        <is>
          <t>LARGE</t>
        </is>
      </c>
      <c r="I80" s="8" t="n">
        <v>0</v>
      </c>
      <c r="J80" s="8" t="inlineStr">
        <is>
          <t>C-02-03</t>
        </is>
      </c>
      <c r="K80" s="8" t="inlineStr"/>
      <c r="L80" s="10" t="n">
        <v>0</v>
      </c>
      <c r="M80" s="10" t="n">
        <v>0</v>
      </c>
      <c r="N80" s="10" t="n">
        <v>27</v>
      </c>
      <c r="O80" s="8" t="inlineStr">
        <is>
          <t>MAG</t>
        </is>
      </c>
      <c r="P80" s="8" t="inlineStr">
        <is>
          <t>IMPORTANT</t>
        </is>
      </c>
      <c r="Q80" s="8" t="inlineStr">
        <is>
          <t>WHAP</t>
        </is>
      </c>
      <c r="R80" s="8" t="inlineStr">
        <is>
          <t>OUI</t>
        </is>
      </c>
      <c r="S80" s="8" t="inlineStr">
        <is>
          <t>31/08/2026 02:59</t>
        </is>
      </c>
    </row>
    <row r="81">
      <c r="A81" s="7" t="inlineStr">
        <is>
          <t>WHAP-0077</t>
        </is>
      </c>
      <c r="B81" s="7" t="inlineStr">
        <is>
          <t>REF-0077</t>
        </is>
      </c>
      <c r="C81" s="7" t="inlineStr">
        <is>
          <t>raccord de durite</t>
        </is>
      </c>
      <c r="D81" s="7" t="inlineStr">
        <is>
          <t>Refroidissement</t>
        </is>
      </c>
      <c r="E81" s="7" t="inlineStr">
        <is>
          <t>Refroidissement</t>
        </is>
      </c>
      <c r="F81" s="7" t="inlineStr">
        <is>
          <t>PIECE_VEHICULE</t>
        </is>
      </c>
      <c r="G81" s="7" t="inlineStr">
        <is>
          <t>unité</t>
        </is>
      </c>
      <c r="H81" s="7" t="inlineStr">
        <is>
          <t>LARGE</t>
        </is>
      </c>
      <c r="I81" s="7" t="n">
        <v>0</v>
      </c>
      <c r="J81" s="7" t="inlineStr">
        <is>
          <t>B-02-02</t>
        </is>
      </c>
      <c r="K81" s="7" t="inlineStr"/>
      <c r="L81" s="9" t="n">
        <v>0</v>
      </c>
      <c r="M81" s="9" t="n">
        <v>0</v>
      </c>
      <c r="N81" s="9" t="n">
        <v>24</v>
      </c>
      <c r="O81" s="7" t="inlineStr">
        <is>
          <t>FAU</t>
        </is>
      </c>
      <c r="P81" s="7" t="inlineStr">
        <is>
          <t>IMPORTANT</t>
        </is>
      </c>
      <c r="Q81" s="7" t="inlineStr">
        <is>
          <t>WHAP</t>
        </is>
      </c>
      <c r="R81" s="7" t="inlineStr">
        <is>
          <t>OUI</t>
        </is>
      </c>
      <c r="S81" s="7" t="inlineStr">
        <is>
          <t>31/08/2026 02:59</t>
        </is>
      </c>
    </row>
    <row r="82">
      <c r="A82" s="8" t="inlineStr">
        <is>
          <t>WHAP-0078</t>
        </is>
      </c>
      <c r="B82" s="8" t="inlineStr">
        <is>
          <t>REF-0078</t>
        </is>
      </c>
      <c r="C82" s="8" t="inlineStr">
        <is>
          <t>joint de raccord</t>
        </is>
      </c>
      <c r="D82" s="8" t="inlineStr">
        <is>
          <t>Refroidissement</t>
        </is>
      </c>
      <c r="E82" s="8" t="inlineStr">
        <is>
          <t>Refroidissement</t>
        </is>
      </c>
      <c r="F82" s="8" t="inlineStr">
        <is>
          <t>PIECE_VEHICULE</t>
        </is>
      </c>
      <c r="G82" s="8" t="inlineStr">
        <is>
          <t>unité</t>
        </is>
      </c>
      <c r="H82" s="8" t="inlineStr">
        <is>
          <t>LARGE</t>
        </is>
      </c>
      <c r="I82" s="8" t="n">
        <v>0</v>
      </c>
      <c r="J82" s="8" t="inlineStr">
        <is>
          <t>D-04-01</t>
        </is>
      </c>
      <c r="K82" s="8" t="inlineStr"/>
      <c r="L82" s="10" t="n">
        <v>0</v>
      </c>
      <c r="M82" s="10" t="n">
        <v>0</v>
      </c>
      <c r="N82" s="10" t="n">
        <v>24</v>
      </c>
      <c r="O82" s="8" t="inlineStr">
        <is>
          <t>CTL</t>
        </is>
      </c>
      <c r="P82" s="8" t="inlineStr">
        <is>
          <t>IMPORTANT</t>
        </is>
      </c>
      <c r="Q82" s="8" t="inlineStr">
        <is>
          <t>WHAP</t>
        </is>
      </c>
      <c r="R82" s="8" t="inlineStr">
        <is>
          <t>OUI</t>
        </is>
      </c>
      <c r="S82" s="8" t="inlineStr">
        <is>
          <t>31/08/2026 02:59</t>
        </is>
      </c>
    </row>
    <row r="83">
      <c r="A83" s="7" t="inlineStr">
        <is>
          <t>WHAP-0079</t>
        </is>
      </c>
      <c r="B83" s="7" t="inlineStr">
        <is>
          <t>REF-0079</t>
        </is>
      </c>
      <c r="C83" s="7" t="inlineStr">
        <is>
          <t>support radiateur</t>
        </is>
      </c>
      <c r="D83" s="7" t="inlineStr">
        <is>
          <t>Refroidissement</t>
        </is>
      </c>
      <c r="E83" s="7" t="inlineStr">
        <is>
          <t>Refroidissement</t>
        </is>
      </c>
      <c r="F83" s="7" t="inlineStr">
        <is>
          <t>PIECE_VEHICULE</t>
        </is>
      </c>
      <c r="G83" s="7" t="inlineStr">
        <is>
          <t>unité</t>
        </is>
      </c>
      <c r="H83" s="7" t="inlineStr">
        <is>
          <t>LARGE</t>
        </is>
      </c>
      <c r="I83" s="7" t="n">
        <v>0</v>
      </c>
      <c r="J83" s="7" t="inlineStr">
        <is>
          <t>E-02-01</t>
        </is>
      </c>
      <c r="K83" s="7" t="inlineStr"/>
      <c r="L83" s="9" t="n">
        <v>0</v>
      </c>
      <c r="M83" s="9" t="n">
        <v>0</v>
      </c>
      <c r="N83" s="9" t="n">
        <v>27</v>
      </c>
      <c r="O83" s="7" t="inlineStr">
        <is>
          <t>BOS</t>
        </is>
      </c>
      <c r="P83" s="7" t="inlineStr">
        <is>
          <t>IMPORTANT</t>
        </is>
      </c>
      <c r="Q83" s="7" t="inlineStr">
        <is>
          <t>WHAP</t>
        </is>
      </c>
      <c r="R83" s="7" t="inlineStr">
        <is>
          <t>OUI</t>
        </is>
      </c>
      <c r="S83" s="7" t="inlineStr">
        <is>
          <t>31/08/2026 02:59</t>
        </is>
      </c>
    </row>
    <row r="84">
      <c r="A84" s="8" t="inlineStr">
        <is>
          <t>WHAP-0080</t>
        </is>
      </c>
      <c r="B84" s="8" t="inlineStr">
        <is>
          <t>REF-0080</t>
        </is>
      </c>
      <c r="C84" s="8" t="inlineStr">
        <is>
          <t>grille radiateur</t>
        </is>
      </c>
      <c r="D84" s="8" t="inlineStr">
        <is>
          <t>Refroidissement</t>
        </is>
      </c>
      <c r="E84" s="8" t="inlineStr">
        <is>
          <t>Refroidissement</t>
        </is>
      </c>
      <c r="F84" s="8" t="inlineStr">
        <is>
          <t>PIECE_VEHICULE</t>
        </is>
      </c>
      <c r="G84" s="8" t="inlineStr">
        <is>
          <t>unité</t>
        </is>
      </c>
      <c r="H84" s="8" t="inlineStr">
        <is>
          <t>LARGE</t>
        </is>
      </c>
      <c r="I84" s="8" t="n">
        <v>0</v>
      </c>
      <c r="J84" s="8" t="inlineStr">
        <is>
          <t>A-06-03</t>
        </is>
      </c>
      <c r="K84" s="8" t="inlineStr"/>
      <c r="L84" s="10" t="n">
        <v>0</v>
      </c>
      <c r="M84" s="10" t="n">
        <v>0</v>
      </c>
      <c r="N84" s="10" t="n">
        <v>26</v>
      </c>
      <c r="O84" s="8" t="inlineStr">
        <is>
          <t>HEL</t>
        </is>
      </c>
      <c r="P84" s="8" t="inlineStr">
        <is>
          <t>IMPORTANT</t>
        </is>
      </c>
      <c r="Q84" s="8" t="inlineStr">
        <is>
          <t>WHAP</t>
        </is>
      </c>
      <c r="R84" s="8" t="inlineStr">
        <is>
          <t>OUI</t>
        </is>
      </c>
      <c r="S84" s="8" t="inlineStr">
        <is>
          <t>31/08/2026 02:59</t>
        </is>
      </c>
    </row>
    <row r="85">
      <c r="A85" s="7" t="inlineStr">
        <is>
          <t>WHAP-0081</t>
        </is>
      </c>
      <c r="B85" s="7" t="inlineStr">
        <is>
          <t>CAR-0081</t>
        </is>
      </c>
      <c r="C85" s="7" t="inlineStr">
        <is>
          <t>réservoir principal</t>
        </is>
      </c>
      <c r="D85" s="7" t="inlineStr">
        <is>
          <t>Carburant</t>
        </is>
      </c>
      <c r="E85" s="7" t="inlineStr">
        <is>
          <t>Carburant</t>
        </is>
      </c>
      <c r="F85" s="7" t="inlineStr">
        <is>
          <t>PIECE_VEHICULE</t>
        </is>
      </c>
      <c r="G85" s="7" t="inlineStr">
        <is>
          <t>unité</t>
        </is>
      </c>
      <c r="H85" s="7" t="inlineStr">
        <is>
          <t>SMALL</t>
        </is>
      </c>
      <c r="I85" s="7" t="n">
        <v>5</v>
      </c>
      <c r="J85" s="7" t="inlineStr">
        <is>
          <t>B-05-04 : 360</t>
        </is>
      </c>
      <c r="K85" s="7" t="inlineStr"/>
      <c r="L85" s="9" t="n">
        <v>360</v>
      </c>
      <c r="M85" s="9" t="n">
        <v>360</v>
      </c>
      <c r="N85" s="9" t="n">
        <v>29</v>
      </c>
      <c r="O85" s="7" t="inlineStr">
        <is>
          <t>SKF</t>
        </is>
      </c>
      <c r="P85" s="7" t="inlineStr">
        <is>
          <t>IMPORTANT</t>
        </is>
      </c>
      <c r="Q85" s="7" t="inlineStr">
        <is>
          <t>WHAP</t>
        </is>
      </c>
      <c r="R85" s="7" t="inlineStr">
        <is>
          <t>OUI</t>
        </is>
      </c>
      <c r="S85" s="7" t="inlineStr">
        <is>
          <t>31/08/2026 02:59</t>
        </is>
      </c>
    </row>
    <row r="86">
      <c r="A86" s="8" t="inlineStr">
        <is>
          <t>WHAP-0082</t>
        </is>
      </c>
      <c r="B86" s="8" t="inlineStr">
        <is>
          <t>CAR-0082</t>
        </is>
      </c>
      <c r="C86" s="8" t="inlineStr">
        <is>
          <t>réservoir auxiliaire</t>
        </is>
      </c>
      <c r="D86" s="8" t="inlineStr">
        <is>
          <t>Carburant</t>
        </is>
      </c>
      <c r="E86" s="8" t="inlineStr">
        <is>
          <t>Carburant</t>
        </is>
      </c>
      <c r="F86" s="8" t="inlineStr">
        <is>
          <t>PIECE_VEHICULE</t>
        </is>
      </c>
      <c r="G86" s="8" t="inlineStr">
        <is>
          <t>unité</t>
        </is>
      </c>
      <c r="H86" s="8" t="inlineStr">
        <is>
          <t>SMALL</t>
        </is>
      </c>
      <c r="I86" s="8" t="n">
        <v>5</v>
      </c>
      <c r="J86" s="8" t="inlineStr">
        <is>
          <t>B-05-03 : 960</t>
        </is>
      </c>
      <c r="K86" s="8" t="inlineStr"/>
      <c r="L86" s="10" t="n">
        <v>960</v>
      </c>
      <c r="M86" s="10" t="n">
        <v>960</v>
      </c>
      <c r="N86" s="10" t="n">
        <v>31</v>
      </c>
      <c r="O86" s="8" t="inlineStr">
        <is>
          <t>SKF</t>
        </is>
      </c>
      <c r="P86" s="8" t="inlineStr">
        <is>
          <t>IMPORTANT</t>
        </is>
      </c>
      <c r="Q86" s="8" t="inlineStr">
        <is>
          <t>WHAP</t>
        </is>
      </c>
      <c r="R86" s="8" t="inlineStr">
        <is>
          <t>OUI</t>
        </is>
      </c>
      <c r="S86" s="8" t="inlineStr">
        <is>
          <t>31/08/2026 02:59</t>
        </is>
      </c>
    </row>
    <row r="87">
      <c r="A87" s="7" t="inlineStr">
        <is>
          <t>WHAP-0083</t>
        </is>
      </c>
      <c r="B87" s="7" t="inlineStr">
        <is>
          <t>CAR-0083</t>
        </is>
      </c>
      <c r="C87" s="7" t="inlineStr">
        <is>
          <t>bouchon de réservoir</t>
        </is>
      </c>
      <c r="D87" s="7" t="inlineStr">
        <is>
          <t>Carburant</t>
        </is>
      </c>
      <c r="E87" s="7" t="inlineStr">
        <is>
          <t>Carburant</t>
        </is>
      </c>
      <c r="F87" s="7" t="inlineStr">
        <is>
          <t>PIECE_VEHICULE</t>
        </is>
      </c>
      <c r="G87" s="7" t="inlineStr">
        <is>
          <t>unité</t>
        </is>
      </c>
      <c r="H87" s="7" t="inlineStr">
        <is>
          <t>SMALL</t>
        </is>
      </c>
      <c r="I87" s="7" t="n">
        <v>5</v>
      </c>
      <c r="J87" s="7" t="inlineStr">
        <is>
          <t>C-01-04 : 840</t>
        </is>
      </c>
      <c r="K87" s="7" t="inlineStr"/>
      <c r="L87" s="9" t="n">
        <v>840</v>
      </c>
      <c r="M87" s="9" t="n">
        <v>840</v>
      </c>
      <c r="N87" s="9" t="n">
        <v>22</v>
      </c>
      <c r="O87" s="7" t="inlineStr">
        <is>
          <t>MAG</t>
        </is>
      </c>
      <c r="P87" s="7" t="inlineStr">
        <is>
          <t>IMPORTANT</t>
        </is>
      </c>
      <c r="Q87" s="7" t="inlineStr">
        <is>
          <t>WHAP</t>
        </is>
      </c>
      <c r="R87" s="7" t="inlineStr">
        <is>
          <t>OUI</t>
        </is>
      </c>
      <c r="S87" s="7" t="inlineStr">
        <is>
          <t>31/08/2026 02:59</t>
        </is>
      </c>
    </row>
    <row r="88">
      <c r="A88" s="8" t="inlineStr">
        <is>
          <t>WHAP-0084</t>
        </is>
      </c>
      <c r="B88" s="8" t="inlineStr">
        <is>
          <t>CAR-0084</t>
        </is>
      </c>
      <c r="C88" s="8" t="inlineStr">
        <is>
          <t>goulotte de remplissage</t>
        </is>
      </c>
      <c r="D88" s="8" t="inlineStr">
        <is>
          <t>Carburant</t>
        </is>
      </c>
      <c r="E88" s="8" t="inlineStr">
        <is>
          <t>Carburant</t>
        </is>
      </c>
      <c r="F88" s="8" t="inlineStr">
        <is>
          <t>PIECE_VEHICULE</t>
        </is>
      </c>
      <c r="G88" s="8" t="inlineStr">
        <is>
          <t>unité</t>
        </is>
      </c>
      <c r="H88" s="8" t="inlineStr">
        <is>
          <t>SMALL</t>
        </is>
      </c>
      <c r="I88" s="8" t="n">
        <v>5</v>
      </c>
      <c r="J88" s="8" t="inlineStr">
        <is>
          <t>B-06-02</t>
        </is>
      </c>
      <c r="K88" s="8" t="inlineStr"/>
      <c r="L88" s="10" t="n">
        <v>0</v>
      </c>
      <c r="M88" s="10" t="n">
        <v>0</v>
      </c>
      <c r="N88" s="10" t="n">
        <v>23</v>
      </c>
      <c r="O88" s="8" t="inlineStr">
        <is>
          <t>FAU</t>
        </is>
      </c>
      <c r="P88" s="8" t="inlineStr">
        <is>
          <t>IMPORTANT</t>
        </is>
      </c>
      <c r="Q88" s="8" t="inlineStr">
        <is>
          <t>WHAP</t>
        </is>
      </c>
      <c r="R88" s="8" t="inlineStr">
        <is>
          <t>OUI</t>
        </is>
      </c>
      <c r="S88" s="8" t="inlineStr">
        <is>
          <t>31/08/2026 02:59</t>
        </is>
      </c>
    </row>
    <row r="89">
      <c r="A89" s="7" t="inlineStr">
        <is>
          <t>WHAP-0085</t>
        </is>
      </c>
      <c r="B89" s="7" t="inlineStr">
        <is>
          <t>CAR-0085</t>
        </is>
      </c>
      <c r="C89" s="7" t="inlineStr">
        <is>
          <t>filtre carburant primaire</t>
        </is>
      </c>
      <c r="D89" s="7" t="inlineStr">
        <is>
          <t>Carburant</t>
        </is>
      </c>
      <c r="E89" s="7" t="inlineStr">
        <is>
          <t>Carburant</t>
        </is>
      </c>
      <c r="F89" s="7" t="inlineStr">
        <is>
          <t>PIECE_VEHICULE</t>
        </is>
      </c>
      <c r="G89" s="7" t="inlineStr">
        <is>
          <t>unité</t>
        </is>
      </c>
      <c r="H89" s="7" t="inlineStr">
        <is>
          <t>SMALL</t>
        </is>
      </c>
      <c r="I89" s="7" t="n">
        <v>5</v>
      </c>
      <c r="J89" s="7" t="inlineStr">
        <is>
          <t>C-03-04</t>
        </is>
      </c>
      <c r="K89" s="7" t="inlineStr"/>
      <c r="L89" s="9" t="n">
        <v>0</v>
      </c>
      <c r="M89" s="9" t="n">
        <v>0</v>
      </c>
      <c r="N89" s="9" t="n">
        <v>32</v>
      </c>
      <c r="O89" s="7" t="inlineStr">
        <is>
          <t>DEL</t>
        </is>
      </c>
      <c r="P89" s="7" t="inlineStr">
        <is>
          <t>IMPORTANT</t>
        </is>
      </c>
      <c r="Q89" s="7" t="inlineStr">
        <is>
          <t>WHAP</t>
        </is>
      </c>
      <c r="R89" s="7" t="inlineStr">
        <is>
          <t>OUI</t>
        </is>
      </c>
      <c r="S89" s="7" t="inlineStr">
        <is>
          <t>31/08/2026 02:59</t>
        </is>
      </c>
    </row>
    <row r="90">
      <c r="A90" s="8" t="inlineStr">
        <is>
          <t>WHAP-0086</t>
        </is>
      </c>
      <c r="B90" s="8" t="inlineStr">
        <is>
          <t>CAR-0086</t>
        </is>
      </c>
      <c r="C90" s="8" t="inlineStr">
        <is>
          <t>filtre carburant secondaire</t>
        </is>
      </c>
      <c r="D90" s="8" t="inlineStr">
        <is>
          <t>Carburant</t>
        </is>
      </c>
      <c r="E90" s="8" t="inlineStr">
        <is>
          <t>Carburant</t>
        </is>
      </c>
      <c r="F90" s="8" t="inlineStr">
        <is>
          <t>PIECE_VEHICULE</t>
        </is>
      </c>
      <c r="G90" s="8" t="inlineStr">
        <is>
          <t>unité</t>
        </is>
      </c>
      <c r="H90" s="8" t="inlineStr">
        <is>
          <t>SMALL</t>
        </is>
      </c>
      <c r="I90" s="8" t="n">
        <v>5</v>
      </c>
      <c r="J90" s="8" t="inlineStr">
        <is>
          <t>D-02-04</t>
        </is>
      </c>
      <c r="K90" s="8" t="inlineStr"/>
      <c r="L90" s="10" t="n">
        <v>0</v>
      </c>
      <c r="M90" s="10" t="n">
        <v>0</v>
      </c>
      <c r="N90" s="10" t="n">
        <v>32</v>
      </c>
      <c r="O90" s="8" t="inlineStr">
        <is>
          <t>FAU</t>
        </is>
      </c>
      <c r="P90" s="8" t="inlineStr">
        <is>
          <t>IMPORTANT</t>
        </is>
      </c>
      <c r="Q90" s="8" t="inlineStr">
        <is>
          <t>WHAP</t>
        </is>
      </c>
      <c r="R90" s="8" t="inlineStr">
        <is>
          <t>OUI</t>
        </is>
      </c>
      <c r="S90" s="8" t="inlineStr">
        <is>
          <t>31/08/2026 02:59</t>
        </is>
      </c>
    </row>
    <row r="91">
      <c r="A91" s="7" t="inlineStr">
        <is>
          <t>WHAP-0087</t>
        </is>
      </c>
      <c r="B91" s="7" t="inlineStr">
        <is>
          <t>CAR-0087</t>
        </is>
      </c>
      <c r="C91" s="7" t="inlineStr">
        <is>
          <t>séparateur eau-carburant</t>
        </is>
      </c>
      <c r="D91" s="7" t="inlineStr">
        <is>
          <t>Carburant</t>
        </is>
      </c>
      <c r="E91" s="7" t="inlineStr">
        <is>
          <t>Carburant</t>
        </is>
      </c>
      <c r="F91" s="7" t="inlineStr">
        <is>
          <t>PIECE_VEHICULE</t>
        </is>
      </c>
      <c r="G91" s="7" t="inlineStr">
        <is>
          <t>unité</t>
        </is>
      </c>
      <c r="H91" s="7" t="inlineStr">
        <is>
          <t>SMALL</t>
        </is>
      </c>
      <c r="I91" s="7" t="n">
        <v>5</v>
      </c>
      <c r="J91" s="7" t="inlineStr">
        <is>
          <t>A-06-01</t>
        </is>
      </c>
      <c r="K91" s="7" t="inlineStr"/>
      <c r="L91" s="9" t="n">
        <v>0</v>
      </c>
      <c r="M91" s="9" t="n">
        <v>0</v>
      </c>
      <c r="N91" s="9" t="n">
        <v>32</v>
      </c>
      <c r="O91" s="7" t="inlineStr">
        <is>
          <t>SUM</t>
        </is>
      </c>
      <c r="P91" s="7" t="inlineStr">
        <is>
          <t>IMPORTANT</t>
        </is>
      </c>
      <c r="Q91" s="7" t="inlineStr">
        <is>
          <t>WHAP</t>
        </is>
      </c>
      <c r="R91" s="7" t="inlineStr">
        <is>
          <t>OUI</t>
        </is>
      </c>
      <c r="S91" s="7" t="inlineStr">
        <is>
          <t>31/08/2026 02:59</t>
        </is>
      </c>
    </row>
    <row r="92">
      <c r="A92" s="8" t="inlineStr">
        <is>
          <t>WHAP-0088</t>
        </is>
      </c>
      <c r="B92" s="8" t="inlineStr">
        <is>
          <t>CAR-0088</t>
        </is>
      </c>
      <c r="C92" s="8" t="inlineStr">
        <is>
          <t>pompe de transfert</t>
        </is>
      </c>
      <c r="D92" s="8" t="inlineStr">
        <is>
          <t>Carburant</t>
        </is>
      </c>
      <c r="E92" s="8" t="inlineStr">
        <is>
          <t>Carburant</t>
        </is>
      </c>
      <c r="F92" s="8" t="inlineStr">
        <is>
          <t>PIECE_VEHICULE</t>
        </is>
      </c>
      <c r="G92" s="8" t="inlineStr">
        <is>
          <t>unité</t>
        </is>
      </c>
      <c r="H92" s="8" t="inlineStr">
        <is>
          <t>SMALL</t>
        </is>
      </c>
      <c r="I92" s="8" t="n">
        <v>5</v>
      </c>
      <c r="J92" s="8" t="inlineStr">
        <is>
          <t>C-04-04</t>
        </is>
      </c>
      <c r="K92" s="8" t="inlineStr"/>
      <c r="L92" s="10" t="n">
        <v>0</v>
      </c>
      <c r="M92" s="10" t="n">
        <v>0</v>
      </c>
      <c r="N92" s="10" t="n">
        <v>26</v>
      </c>
      <c r="O92" s="8" t="inlineStr">
        <is>
          <t>BOS</t>
        </is>
      </c>
      <c r="P92" s="8" t="inlineStr">
        <is>
          <t>IMPORTANT</t>
        </is>
      </c>
      <c r="Q92" s="8" t="inlineStr">
        <is>
          <t>WHAP</t>
        </is>
      </c>
      <c r="R92" s="8" t="inlineStr">
        <is>
          <t>OUI</t>
        </is>
      </c>
      <c r="S92" s="8" t="inlineStr">
        <is>
          <t>31/08/2026 02:59</t>
        </is>
      </c>
    </row>
    <row r="93">
      <c r="A93" s="7" t="inlineStr">
        <is>
          <t>WHAP-0089</t>
        </is>
      </c>
      <c r="B93" s="7" t="inlineStr">
        <is>
          <t>CAR-0089</t>
        </is>
      </c>
      <c r="C93" s="7" t="inlineStr">
        <is>
          <t>pompe d'alimentation</t>
        </is>
      </c>
      <c r="D93" s="7" t="inlineStr">
        <is>
          <t>Carburant</t>
        </is>
      </c>
      <c r="E93" s="7" t="inlineStr">
        <is>
          <t>Carburant</t>
        </is>
      </c>
      <c r="F93" s="7" t="inlineStr">
        <is>
          <t>PIECE_VEHICULE</t>
        </is>
      </c>
      <c r="G93" s="7" t="inlineStr">
        <is>
          <t>unité</t>
        </is>
      </c>
      <c r="H93" s="7" t="inlineStr">
        <is>
          <t>SMALL</t>
        </is>
      </c>
      <c r="I93" s="7" t="n">
        <v>5</v>
      </c>
      <c r="J93" s="7" t="inlineStr">
        <is>
          <t>F-01-03</t>
        </is>
      </c>
      <c r="K93" s="7" t="inlineStr"/>
      <c r="L93" s="9" t="n">
        <v>0</v>
      </c>
      <c r="M93" s="9" t="n">
        <v>0</v>
      </c>
      <c r="N93" s="9" t="n">
        <v>27</v>
      </c>
      <c r="O93" s="7" t="inlineStr">
        <is>
          <t>YZK</t>
        </is>
      </c>
      <c r="P93" s="7" t="inlineStr">
        <is>
          <t>IMPORTANT</t>
        </is>
      </c>
      <c r="Q93" s="7" t="inlineStr">
        <is>
          <t>WHAP</t>
        </is>
      </c>
      <c r="R93" s="7" t="inlineStr">
        <is>
          <t>OUI</t>
        </is>
      </c>
      <c r="S93" s="7" t="inlineStr">
        <is>
          <t>31/08/2026 02:59</t>
        </is>
      </c>
    </row>
    <row r="94">
      <c r="A94" s="8" t="inlineStr">
        <is>
          <t>WHAP-0090</t>
        </is>
      </c>
      <c r="B94" s="8" t="inlineStr">
        <is>
          <t>CAR-0090</t>
        </is>
      </c>
      <c r="C94" s="8" t="inlineStr">
        <is>
          <t>conduite carburant</t>
        </is>
      </c>
      <c r="D94" s="8" t="inlineStr">
        <is>
          <t>Carburant</t>
        </is>
      </c>
      <c r="E94" s="8" t="inlineStr">
        <is>
          <t>Carburant</t>
        </is>
      </c>
      <c r="F94" s="8" t="inlineStr">
        <is>
          <t>PIECE_VEHICULE</t>
        </is>
      </c>
      <c r="G94" s="8" t="inlineStr">
        <is>
          <t>unité</t>
        </is>
      </c>
      <c r="H94" s="8" t="inlineStr">
        <is>
          <t>SMALL</t>
        </is>
      </c>
      <c r="I94" s="8" t="n">
        <v>5</v>
      </c>
      <c r="J94" s="8" t="inlineStr">
        <is>
          <t>B-05-01</t>
        </is>
      </c>
      <c r="K94" s="8" t="inlineStr"/>
      <c r="L94" s="10" t="n">
        <v>0</v>
      </c>
      <c r="M94" s="10" t="n">
        <v>0</v>
      </c>
      <c r="N94" s="10" t="n">
        <v>24</v>
      </c>
      <c r="O94" s="8" t="inlineStr">
        <is>
          <t>SKF</t>
        </is>
      </c>
      <c r="P94" s="8" t="inlineStr">
        <is>
          <t>IMPORTANT</t>
        </is>
      </c>
      <c r="Q94" s="8" t="inlineStr">
        <is>
          <t>WHAP</t>
        </is>
      </c>
      <c r="R94" s="8" t="inlineStr">
        <is>
          <t>OUI</t>
        </is>
      </c>
      <c r="S94" s="8" t="inlineStr">
        <is>
          <t>31/08/2026 02:59</t>
        </is>
      </c>
    </row>
    <row r="95">
      <c r="A95" s="7" t="inlineStr">
        <is>
          <t>WHAP-0091</t>
        </is>
      </c>
      <c r="B95" s="7" t="inlineStr">
        <is>
          <t>CAR-0091</t>
        </is>
      </c>
      <c r="C95" s="7" t="inlineStr">
        <is>
          <t>durite carburant</t>
        </is>
      </c>
      <c r="D95" s="7" t="inlineStr">
        <is>
          <t>Carburant</t>
        </is>
      </c>
      <c r="E95" s="7" t="inlineStr">
        <is>
          <t>Carburant</t>
        </is>
      </c>
      <c r="F95" s="7" t="inlineStr">
        <is>
          <t>PIECE_VEHICULE</t>
        </is>
      </c>
      <c r="G95" s="7" t="inlineStr">
        <is>
          <t>unité</t>
        </is>
      </c>
      <c r="H95" s="7" t="inlineStr">
        <is>
          <t>SMALL</t>
        </is>
      </c>
      <c r="I95" s="7" t="n">
        <v>5</v>
      </c>
      <c r="J95" s="7" t="inlineStr">
        <is>
          <t>D-03-04</t>
        </is>
      </c>
      <c r="K95" s="7" t="inlineStr"/>
      <c r="L95" s="9" t="n">
        <v>0</v>
      </c>
      <c r="M95" s="9" t="n">
        <v>0</v>
      </c>
      <c r="N95" s="9" t="n">
        <v>32</v>
      </c>
      <c r="O95" s="7" t="inlineStr">
        <is>
          <t>CTL</t>
        </is>
      </c>
      <c r="P95" s="7" t="inlineStr">
        <is>
          <t>IMPORTANT</t>
        </is>
      </c>
      <c r="Q95" s="7" t="inlineStr">
        <is>
          <t>WHAP</t>
        </is>
      </c>
      <c r="R95" s="7" t="inlineStr">
        <is>
          <t>OUI</t>
        </is>
      </c>
      <c r="S95" s="7" t="inlineStr">
        <is>
          <t>31/08/2026 02:59</t>
        </is>
      </c>
    </row>
    <row r="96">
      <c r="A96" s="8" t="inlineStr">
        <is>
          <t>WHAP-0092</t>
        </is>
      </c>
      <c r="B96" s="8" t="inlineStr">
        <is>
          <t>CAR-0092</t>
        </is>
      </c>
      <c r="C96" s="8" t="inlineStr">
        <is>
          <t>rampe d'injection</t>
        </is>
      </c>
      <c r="D96" s="8" t="inlineStr">
        <is>
          <t>Carburant</t>
        </is>
      </c>
      <c r="E96" s="8" t="inlineStr">
        <is>
          <t>Carburant</t>
        </is>
      </c>
      <c r="F96" s="8" t="inlineStr">
        <is>
          <t>PIECE_VEHICULE</t>
        </is>
      </c>
      <c r="G96" s="8" t="inlineStr">
        <is>
          <t>unité</t>
        </is>
      </c>
      <c r="H96" s="8" t="inlineStr">
        <is>
          <t>SMALL</t>
        </is>
      </c>
      <c r="I96" s="8" t="n">
        <v>5</v>
      </c>
      <c r="J96" s="8" t="inlineStr">
        <is>
          <t>D-05-02</t>
        </is>
      </c>
      <c r="K96" s="8" t="inlineStr"/>
      <c r="L96" s="10" t="n">
        <v>0</v>
      </c>
      <c r="M96" s="10" t="n">
        <v>0</v>
      </c>
      <c r="N96" s="10" t="n">
        <v>26</v>
      </c>
      <c r="O96" s="8" t="inlineStr">
        <is>
          <t>VAL</t>
        </is>
      </c>
      <c r="P96" s="8" t="inlineStr">
        <is>
          <t>IMPORTANT</t>
        </is>
      </c>
      <c r="Q96" s="8" t="inlineStr">
        <is>
          <t>WHAP</t>
        </is>
      </c>
      <c r="R96" s="8" t="inlineStr">
        <is>
          <t>OUI</t>
        </is>
      </c>
      <c r="S96" s="8" t="inlineStr">
        <is>
          <t>31/08/2026 02:59</t>
        </is>
      </c>
    </row>
    <row r="97">
      <c r="A97" s="7" t="inlineStr">
        <is>
          <t>WHAP-0093</t>
        </is>
      </c>
      <c r="B97" s="7" t="inlineStr">
        <is>
          <t>CAR-0093</t>
        </is>
      </c>
      <c r="C97" s="7" t="inlineStr">
        <is>
          <t>injecteur</t>
        </is>
      </c>
      <c r="D97" s="7" t="inlineStr">
        <is>
          <t>Carburant</t>
        </is>
      </c>
      <c r="E97" s="7" t="inlineStr">
        <is>
          <t>Carburant</t>
        </is>
      </c>
      <c r="F97" s="7" t="inlineStr">
        <is>
          <t>PIECE_VEHICULE</t>
        </is>
      </c>
      <c r="G97" s="7" t="inlineStr">
        <is>
          <t>unité</t>
        </is>
      </c>
      <c r="H97" s="7" t="inlineStr">
        <is>
          <t>SMALL</t>
        </is>
      </c>
      <c r="I97" s="7" t="n">
        <v>5</v>
      </c>
      <c r="J97" s="7" t="inlineStr">
        <is>
          <t>D-01-03</t>
        </is>
      </c>
      <c r="K97" s="7" t="inlineStr"/>
      <c r="L97" s="9" t="n">
        <v>0</v>
      </c>
      <c r="M97" s="9" t="n">
        <v>0</v>
      </c>
      <c r="N97" s="9" t="n">
        <v>25</v>
      </c>
      <c r="O97" s="7" t="inlineStr">
        <is>
          <t>VAL</t>
        </is>
      </c>
      <c r="P97" s="7" t="inlineStr">
        <is>
          <t>IMPORTANT</t>
        </is>
      </c>
      <c r="Q97" s="7" t="inlineStr">
        <is>
          <t>WHAP</t>
        </is>
      </c>
      <c r="R97" s="7" t="inlineStr">
        <is>
          <t>OUI</t>
        </is>
      </c>
      <c r="S97" s="7" t="inlineStr">
        <is>
          <t>31/08/2026 02:59</t>
        </is>
      </c>
    </row>
    <row r="98">
      <c r="A98" s="8" t="inlineStr">
        <is>
          <t>WHAP-0094</t>
        </is>
      </c>
      <c r="B98" s="8" t="inlineStr">
        <is>
          <t>CAR-0094</t>
        </is>
      </c>
      <c r="C98" s="8" t="inlineStr">
        <is>
          <t>régulateur de pression</t>
        </is>
      </c>
      <c r="D98" s="8" t="inlineStr">
        <is>
          <t>Carburant</t>
        </is>
      </c>
      <c r="E98" s="8" t="inlineStr">
        <is>
          <t>Carburant</t>
        </is>
      </c>
      <c r="F98" s="8" t="inlineStr">
        <is>
          <t>PIECE_VEHICULE</t>
        </is>
      </c>
      <c r="G98" s="8" t="inlineStr">
        <is>
          <t>unité</t>
        </is>
      </c>
      <c r="H98" s="8" t="inlineStr">
        <is>
          <t>SMALL</t>
        </is>
      </c>
      <c r="I98" s="8" t="n">
        <v>5</v>
      </c>
      <c r="J98" s="8" t="inlineStr">
        <is>
          <t>D-05-01</t>
        </is>
      </c>
      <c r="K98" s="8" t="inlineStr"/>
      <c r="L98" s="10" t="n">
        <v>0</v>
      </c>
      <c r="M98" s="10" t="n">
        <v>0</v>
      </c>
      <c r="N98" s="10" t="n">
        <v>24</v>
      </c>
      <c r="O98" s="8" t="inlineStr">
        <is>
          <t>CTL</t>
        </is>
      </c>
      <c r="P98" s="8" t="inlineStr">
        <is>
          <t>IMPORTANT</t>
        </is>
      </c>
      <c r="Q98" s="8" t="inlineStr">
        <is>
          <t>WHAP</t>
        </is>
      </c>
      <c r="R98" s="8" t="inlineStr">
        <is>
          <t>OUI</t>
        </is>
      </c>
      <c r="S98" s="8" t="inlineStr">
        <is>
          <t>31/08/2026 02:59</t>
        </is>
      </c>
    </row>
    <row r="99">
      <c r="A99" s="7" t="inlineStr">
        <is>
          <t>WHAP-0095</t>
        </is>
      </c>
      <c r="B99" s="7" t="inlineStr">
        <is>
          <t>CAR-0095</t>
        </is>
      </c>
      <c r="C99" s="7" t="inlineStr">
        <is>
          <t>capteur niveau carburant</t>
        </is>
      </c>
      <c r="D99" s="7" t="inlineStr">
        <is>
          <t>Carburant</t>
        </is>
      </c>
      <c r="E99" s="7" t="inlineStr">
        <is>
          <t>Carburant</t>
        </is>
      </c>
      <c r="F99" s="7" t="inlineStr">
        <is>
          <t>PIECE_VEHICULE</t>
        </is>
      </c>
      <c r="G99" s="7" t="inlineStr">
        <is>
          <t>unité</t>
        </is>
      </c>
      <c r="H99" s="7" t="inlineStr">
        <is>
          <t>SMALL</t>
        </is>
      </c>
      <c r="I99" s="7" t="n">
        <v>5</v>
      </c>
      <c r="J99" s="7" t="inlineStr">
        <is>
          <t>D-03-01</t>
        </is>
      </c>
      <c r="K99" s="7" t="inlineStr"/>
      <c r="L99" s="9" t="n">
        <v>0</v>
      </c>
      <c r="M99" s="9" t="n">
        <v>0</v>
      </c>
      <c r="N99" s="9" t="n">
        <v>22</v>
      </c>
      <c r="O99" s="7" t="inlineStr">
        <is>
          <t>SKF</t>
        </is>
      </c>
      <c r="P99" s="7" t="inlineStr">
        <is>
          <t>IMPORTANT</t>
        </is>
      </c>
      <c r="Q99" s="7" t="inlineStr">
        <is>
          <t>WHAP</t>
        </is>
      </c>
      <c r="R99" s="7" t="inlineStr">
        <is>
          <t>OUI</t>
        </is>
      </c>
      <c r="S99" s="7" t="inlineStr">
        <is>
          <t>31/08/2026 02:59</t>
        </is>
      </c>
    </row>
    <row r="100">
      <c r="A100" s="8" t="inlineStr">
        <is>
          <t>WHAP-0096</t>
        </is>
      </c>
      <c r="B100" s="8" t="inlineStr">
        <is>
          <t>CAR-0096</t>
        </is>
      </c>
      <c r="C100" s="8" t="inlineStr">
        <is>
          <t>capteur pression carburant</t>
        </is>
      </c>
      <c r="D100" s="8" t="inlineStr">
        <is>
          <t>Carburant</t>
        </is>
      </c>
      <c r="E100" s="8" t="inlineStr">
        <is>
          <t>Carburant</t>
        </is>
      </c>
      <c r="F100" s="8" t="inlineStr">
        <is>
          <t>PIECE_VEHICULE</t>
        </is>
      </c>
      <c r="G100" s="8" t="inlineStr">
        <is>
          <t>unité</t>
        </is>
      </c>
      <c r="H100" s="8" t="inlineStr">
        <is>
          <t>SMALL</t>
        </is>
      </c>
      <c r="I100" s="8" t="n">
        <v>5</v>
      </c>
      <c r="J100" s="8" t="inlineStr">
        <is>
          <t>F-04-03</t>
        </is>
      </c>
      <c r="K100" s="8" t="inlineStr"/>
      <c r="L100" s="10" t="n">
        <v>0</v>
      </c>
      <c r="M100" s="10" t="n">
        <v>0</v>
      </c>
      <c r="N100" s="10" t="n">
        <v>32</v>
      </c>
      <c r="O100" s="8" t="inlineStr">
        <is>
          <t>FAU</t>
        </is>
      </c>
      <c r="P100" s="8" t="inlineStr">
        <is>
          <t>IMPORTANT</t>
        </is>
      </c>
      <c r="Q100" s="8" t="inlineStr">
        <is>
          <t>WHAP</t>
        </is>
      </c>
      <c r="R100" s="8" t="inlineStr">
        <is>
          <t>OUI</t>
        </is>
      </c>
      <c r="S100" s="8" t="inlineStr">
        <is>
          <t>31/08/2026 02:59</t>
        </is>
      </c>
    </row>
    <row r="101">
      <c r="A101" s="7" t="inlineStr">
        <is>
          <t>WHAP-0097</t>
        </is>
      </c>
      <c r="B101" s="7" t="inlineStr">
        <is>
          <t>CAR-0097</t>
        </is>
      </c>
      <c r="C101" s="7" t="inlineStr">
        <is>
          <t>vanne d'arrêt</t>
        </is>
      </c>
      <c r="D101" s="7" t="inlineStr">
        <is>
          <t>Carburant</t>
        </is>
      </c>
      <c r="E101" s="7" t="inlineStr">
        <is>
          <t>Carburant</t>
        </is>
      </c>
      <c r="F101" s="7" t="inlineStr">
        <is>
          <t>PIECE_VEHICULE</t>
        </is>
      </c>
      <c r="G101" s="7" t="inlineStr">
        <is>
          <t>unité</t>
        </is>
      </c>
      <c r="H101" s="7" t="inlineStr">
        <is>
          <t>SMALL</t>
        </is>
      </c>
      <c r="I101" s="7" t="n">
        <v>5</v>
      </c>
      <c r="J101" s="7" t="inlineStr">
        <is>
          <t>C-05-02</t>
        </is>
      </c>
      <c r="K101" s="7" t="inlineStr"/>
      <c r="L101" s="9" t="n">
        <v>0</v>
      </c>
      <c r="M101" s="9" t="n">
        <v>0</v>
      </c>
      <c r="N101" s="9" t="n">
        <v>30</v>
      </c>
      <c r="O101" s="7" t="inlineStr">
        <is>
          <t>BOS</t>
        </is>
      </c>
      <c r="P101" s="7" t="inlineStr">
        <is>
          <t>IMPORTANT</t>
        </is>
      </c>
      <c r="Q101" s="7" t="inlineStr">
        <is>
          <t>WHAP</t>
        </is>
      </c>
      <c r="R101" s="7" t="inlineStr">
        <is>
          <t>OUI</t>
        </is>
      </c>
      <c r="S101" s="7" t="inlineStr">
        <is>
          <t>31/08/2026 02:59</t>
        </is>
      </c>
    </row>
    <row r="102">
      <c r="A102" s="8" t="inlineStr">
        <is>
          <t>WHAP-0098</t>
        </is>
      </c>
      <c r="B102" s="8" t="inlineStr">
        <is>
          <t>CAR-0098</t>
        </is>
      </c>
      <c r="C102" s="8" t="inlineStr">
        <is>
          <t>clapet anti-retour</t>
        </is>
      </c>
      <c r="D102" s="8" t="inlineStr">
        <is>
          <t>Carburant</t>
        </is>
      </c>
      <c r="E102" s="8" t="inlineStr">
        <is>
          <t>Carburant</t>
        </is>
      </c>
      <c r="F102" s="8" t="inlineStr">
        <is>
          <t>PIECE_VEHICULE</t>
        </is>
      </c>
      <c r="G102" s="8" t="inlineStr">
        <is>
          <t>unité</t>
        </is>
      </c>
      <c r="H102" s="8" t="inlineStr">
        <is>
          <t>SMALL</t>
        </is>
      </c>
      <c r="I102" s="8" t="n">
        <v>5</v>
      </c>
      <c r="J102" s="8" t="inlineStr">
        <is>
          <t>F-03-02</t>
        </is>
      </c>
      <c r="K102" s="8" t="inlineStr"/>
      <c r="L102" s="10" t="n">
        <v>0</v>
      </c>
      <c r="M102" s="10" t="n">
        <v>0</v>
      </c>
      <c r="N102" s="10" t="n">
        <v>30</v>
      </c>
      <c r="O102" s="8" t="inlineStr">
        <is>
          <t>YZK</t>
        </is>
      </c>
      <c r="P102" s="8" t="inlineStr">
        <is>
          <t>IMPORTANT</t>
        </is>
      </c>
      <c r="Q102" s="8" t="inlineStr">
        <is>
          <t>WHAP</t>
        </is>
      </c>
      <c r="R102" s="8" t="inlineStr">
        <is>
          <t>OUI</t>
        </is>
      </c>
      <c r="S102" s="8" t="inlineStr">
        <is>
          <t>31/08/2026 02:59</t>
        </is>
      </c>
    </row>
    <row r="103">
      <c r="A103" s="7" t="inlineStr">
        <is>
          <t>WHAP-0099</t>
        </is>
      </c>
      <c r="B103" s="7" t="inlineStr">
        <is>
          <t>CAR-0099</t>
        </is>
      </c>
      <c r="C103" s="7" t="inlineStr">
        <is>
          <t>raccord carburant</t>
        </is>
      </c>
      <c r="D103" s="7" t="inlineStr">
        <is>
          <t>Carburant</t>
        </is>
      </c>
      <c r="E103" s="7" t="inlineStr">
        <is>
          <t>Carburant</t>
        </is>
      </c>
      <c r="F103" s="7" t="inlineStr">
        <is>
          <t>PIECE_VEHICULE</t>
        </is>
      </c>
      <c r="G103" s="7" t="inlineStr">
        <is>
          <t>unité</t>
        </is>
      </c>
      <c r="H103" s="7" t="inlineStr">
        <is>
          <t>SMALL</t>
        </is>
      </c>
      <c r="I103" s="7" t="n">
        <v>5</v>
      </c>
      <c r="J103" s="7" t="inlineStr">
        <is>
          <t>F-04-04</t>
        </is>
      </c>
      <c r="K103" s="7" t="inlineStr"/>
      <c r="L103" s="9" t="n">
        <v>0</v>
      </c>
      <c r="M103" s="9" t="n">
        <v>0</v>
      </c>
      <c r="N103" s="9" t="n">
        <v>30</v>
      </c>
      <c r="O103" s="7" t="inlineStr">
        <is>
          <t>YZK</t>
        </is>
      </c>
      <c r="P103" s="7" t="inlineStr">
        <is>
          <t>IMPORTANT</t>
        </is>
      </c>
      <c r="Q103" s="7" t="inlineStr">
        <is>
          <t>WHAP</t>
        </is>
      </c>
      <c r="R103" s="7" t="inlineStr">
        <is>
          <t>OUI</t>
        </is>
      </c>
      <c r="S103" s="7" t="inlineStr">
        <is>
          <t>31/08/2026 02:59</t>
        </is>
      </c>
    </row>
    <row r="104">
      <c r="A104" s="8" t="inlineStr">
        <is>
          <t>WHAP-0100</t>
        </is>
      </c>
      <c r="B104" s="8" t="inlineStr">
        <is>
          <t>CAR-0100</t>
        </is>
      </c>
      <c r="C104" s="8" t="inlineStr">
        <is>
          <t>joint de raccord</t>
        </is>
      </c>
      <c r="D104" s="8" t="inlineStr">
        <is>
          <t>Carburant</t>
        </is>
      </c>
      <c r="E104" s="8" t="inlineStr">
        <is>
          <t>Carburant</t>
        </is>
      </c>
      <c r="F104" s="8" t="inlineStr">
        <is>
          <t>PIECE_VEHICULE</t>
        </is>
      </c>
      <c r="G104" s="8" t="inlineStr">
        <is>
          <t>unité</t>
        </is>
      </c>
      <c r="H104" s="8" t="inlineStr">
        <is>
          <t>SMALL</t>
        </is>
      </c>
      <c r="I104" s="8" t="n">
        <v>5</v>
      </c>
      <c r="J104" s="8" t="inlineStr">
        <is>
          <t>A-02-03</t>
        </is>
      </c>
      <c r="K104" s="8" t="inlineStr"/>
      <c r="L104" s="10" t="n">
        <v>0</v>
      </c>
      <c r="M104" s="10" t="n">
        <v>0</v>
      </c>
      <c r="N104" s="10" t="n">
        <v>25</v>
      </c>
      <c r="O104" s="8" t="inlineStr">
        <is>
          <t>HEL</t>
        </is>
      </c>
      <c r="P104" s="8" t="inlineStr">
        <is>
          <t>IMPORTANT</t>
        </is>
      </c>
      <c r="Q104" s="8" t="inlineStr">
        <is>
          <t>WHAP</t>
        </is>
      </c>
      <c r="R104" s="8" t="inlineStr">
        <is>
          <t>OUI</t>
        </is>
      </c>
      <c r="S104" s="8" t="inlineStr">
        <is>
          <t>31/08/2026 02:59</t>
        </is>
      </c>
    </row>
    <row r="105">
      <c r="A105" s="7" t="inlineStr">
        <is>
          <t>WHAP-0101</t>
        </is>
      </c>
      <c r="B105" s="7" t="inlineStr">
        <is>
          <t>CAR-0101</t>
        </is>
      </c>
      <c r="C105" s="7" t="inlineStr">
        <is>
          <t>support réservoir</t>
        </is>
      </c>
      <c r="D105" s="7" t="inlineStr">
        <is>
          <t>Carburant</t>
        </is>
      </c>
      <c r="E105" s="7" t="inlineStr">
        <is>
          <t>Carburant</t>
        </is>
      </c>
      <c r="F105" s="7" t="inlineStr">
        <is>
          <t>PIECE_VEHICULE</t>
        </is>
      </c>
      <c r="G105" s="7" t="inlineStr">
        <is>
          <t>unité</t>
        </is>
      </c>
      <c r="H105" s="7" t="inlineStr">
        <is>
          <t>SMALL</t>
        </is>
      </c>
      <c r="I105" s="7" t="n">
        <v>5</v>
      </c>
      <c r="J105" s="7" t="inlineStr">
        <is>
          <t>B-04-02</t>
        </is>
      </c>
      <c r="K105" s="7" t="inlineStr"/>
      <c r="L105" s="9" t="n">
        <v>0</v>
      </c>
      <c r="M105" s="9" t="n">
        <v>0</v>
      </c>
      <c r="N105" s="9" t="n">
        <v>32</v>
      </c>
      <c r="O105" s="7" t="inlineStr">
        <is>
          <t>SKF</t>
        </is>
      </c>
      <c r="P105" s="7" t="inlineStr">
        <is>
          <t>IMPORTANT</t>
        </is>
      </c>
      <c r="Q105" s="7" t="inlineStr">
        <is>
          <t>WHAP</t>
        </is>
      </c>
      <c r="R105" s="7" t="inlineStr">
        <is>
          <t>OUI</t>
        </is>
      </c>
      <c r="S105" s="7" t="inlineStr">
        <is>
          <t>31/08/2026 02:59</t>
        </is>
      </c>
    </row>
    <row r="106">
      <c r="A106" s="8" t="inlineStr">
        <is>
          <t>WHAP-0102</t>
        </is>
      </c>
      <c r="B106" s="8" t="inlineStr">
        <is>
          <t>CAR-0102</t>
        </is>
      </c>
      <c r="C106" s="8" t="inlineStr">
        <is>
          <t>sangle réservoir</t>
        </is>
      </c>
      <c r="D106" s="8" t="inlineStr">
        <is>
          <t>Carburant</t>
        </is>
      </c>
      <c r="E106" s="8" t="inlineStr">
        <is>
          <t>Carburant</t>
        </is>
      </c>
      <c r="F106" s="8" t="inlineStr">
        <is>
          <t>PIECE_VEHICULE</t>
        </is>
      </c>
      <c r="G106" s="8" t="inlineStr">
        <is>
          <t>unité</t>
        </is>
      </c>
      <c r="H106" s="8" t="inlineStr">
        <is>
          <t>SMALL</t>
        </is>
      </c>
      <c r="I106" s="8" t="n">
        <v>5</v>
      </c>
      <c r="J106" s="8" t="inlineStr">
        <is>
          <t>A-02-03</t>
        </is>
      </c>
      <c r="K106" s="8" t="inlineStr"/>
      <c r="L106" s="10" t="n">
        <v>0</v>
      </c>
      <c r="M106" s="10" t="n">
        <v>0</v>
      </c>
      <c r="N106" s="10" t="n">
        <v>29</v>
      </c>
      <c r="O106" s="8" t="inlineStr">
        <is>
          <t>DEL</t>
        </is>
      </c>
      <c r="P106" s="8" t="inlineStr">
        <is>
          <t>IMPORTANT</t>
        </is>
      </c>
      <c r="Q106" s="8" t="inlineStr">
        <is>
          <t>WHAP</t>
        </is>
      </c>
      <c r="R106" s="8" t="inlineStr">
        <is>
          <t>OUI</t>
        </is>
      </c>
      <c r="S106" s="8" t="inlineStr">
        <is>
          <t>31/08/2026 02:59</t>
        </is>
      </c>
    </row>
    <row r="107">
      <c r="A107" s="7" t="inlineStr">
        <is>
          <t>WHAP-0103</t>
        </is>
      </c>
      <c r="B107" s="7" t="inlineStr">
        <is>
          <t>TRA-0103</t>
        </is>
      </c>
      <c r="C107" s="7" t="inlineStr">
        <is>
          <t>boîte automatique</t>
        </is>
      </c>
      <c r="D107" s="7" t="inlineStr">
        <is>
          <t>Transmission</t>
        </is>
      </c>
      <c r="E107" s="7" t="inlineStr">
        <is>
          <t>Transmission</t>
        </is>
      </c>
      <c r="F107" s="7" t="inlineStr">
        <is>
          <t>PIECE_VEHICULE</t>
        </is>
      </c>
      <c r="G107" s="7" t="inlineStr">
        <is>
          <t>unité</t>
        </is>
      </c>
      <c r="H107" s="7" t="inlineStr">
        <is>
          <t>LARGE</t>
        </is>
      </c>
      <c r="I107" s="7" t="n">
        <v>0</v>
      </c>
      <c r="J107" s="7" t="inlineStr">
        <is>
          <t>E-01-04</t>
        </is>
      </c>
      <c r="K107" s="7" t="inlineStr"/>
      <c r="L107" s="9" t="n">
        <v>0</v>
      </c>
      <c r="M107" s="9" t="n">
        <v>0</v>
      </c>
      <c r="N107" s="9" t="n">
        <v>16</v>
      </c>
      <c r="O107" s="7" t="inlineStr">
        <is>
          <t>SUM</t>
        </is>
      </c>
      <c r="P107" s="7" t="inlineStr">
        <is>
          <t>CRITIQUE</t>
        </is>
      </c>
      <c r="Q107" s="7" t="inlineStr">
        <is>
          <t>WHAP</t>
        </is>
      </c>
      <c r="R107" s="7" t="inlineStr">
        <is>
          <t>OUI</t>
        </is>
      </c>
      <c r="S107" s="7" t="inlineStr">
        <is>
          <t>31/08/2026 02:59</t>
        </is>
      </c>
    </row>
    <row r="108">
      <c r="A108" s="8" t="inlineStr">
        <is>
          <t>WHAP-0104</t>
        </is>
      </c>
      <c r="B108" s="8" t="inlineStr">
        <is>
          <t>TRA-0104</t>
        </is>
      </c>
      <c r="C108" s="8" t="inlineStr">
        <is>
          <t>convertisseur de couple</t>
        </is>
      </c>
      <c r="D108" s="8" t="inlineStr">
        <is>
          <t>Transmission</t>
        </is>
      </c>
      <c r="E108" s="8" t="inlineStr">
        <is>
          <t>Transmission</t>
        </is>
      </c>
      <c r="F108" s="8" t="inlineStr">
        <is>
          <t>PIECE_VEHICULE</t>
        </is>
      </c>
      <c r="G108" s="8" t="inlineStr">
        <is>
          <t>unité</t>
        </is>
      </c>
      <c r="H108" s="8" t="inlineStr">
        <is>
          <t>LARGE</t>
        </is>
      </c>
      <c r="I108" s="8" t="n">
        <v>0</v>
      </c>
      <c r="J108" s="8" t="inlineStr">
        <is>
          <t>E-05-01 : 50</t>
        </is>
      </c>
      <c r="K108" s="8" t="inlineStr"/>
      <c r="L108" s="10" t="n">
        <v>50</v>
      </c>
      <c r="M108" s="10" t="n">
        <v>50</v>
      </c>
      <c r="N108" s="10" t="n">
        <v>14</v>
      </c>
      <c r="O108" s="8" t="inlineStr">
        <is>
          <t>SUM</t>
        </is>
      </c>
      <c r="P108" s="8" t="inlineStr">
        <is>
          <t>CRITIQUE</t>
        </is>
      </c>
      <c r="Q108" s="8" t="inlineStr">
        <is>
          <t>WHAP</t>
        </is>
      </c>
      <c r="R108" s="8" t="inlineStr">
        <is>
          <t>OUI</t>
        </is>
      </c>
      <c r="S108" s="8" t="inlineStr">
        <is>
          <t>31/08/2026 02:59</t>
        </is>
      </c>
    </row>
    <row r="109">
      <c r="A109" s="7" t="inlineStr">
        <is>
          <t>WHAP-0105</t>
        </is>
      </c>
      <c r="B109" s="7" t="inlineStr">
        <is>
          <t>TRA-0105</t>
        </is>
      </c>
      <c r="C109" s="7" t="inlineStr">
        <is>
          <t>pompe de boîte</t>
        </is>
      </c>
      <c r="D109" s="7" t="inlineStr">
        <is>
          <t>Transmission</t>
        </is>
      </c>
      <c r="E109" s="7" t="inlineStr">
        <is>
          <t>Transmission</t>
        </is>
      </c>
      <c r="F109" s="7" t="inlineStr">
        <is>
          <t>PIECE_VEHICULE</t>
        </is>
      </c>
      <c r="G109" s="7" t="inlineStr">
        <is>
          <t>unité</t>
        </is>
      </c>
      <c r="H109" s="7" t="inlineStr">
        <is>
          <t>LARGE</t>
        </is>
      </c>
      <c r="I109" s="7" t="n">
        <v>0</v>
      </c>
      <c r="J109" s="7" t="inlineStr">
        <is>
          <t>C-01-01</t>
        </is>
      </c>
      <c r="K109" s="7" t="inlineStr"/>
      <c r="L109" s="9" t="n">
        <v>0</v>
      </c>
      <c r="M109" s="9" t="n">
        <v>0</v>
      </c>
      <c r="N109" s="9" t="n">
        <v>18</v>
      </c>
      <c r="O109" s="7" t="inlineStr">
        <is>
          <t>BOS</t>
        </is>
      </c>
      <c r="P109" s="7" t="inlineStr">
        <is>
          <t>CRITIQUE</t>
        </is>
      </c>
      <c r="Q109" s="7" t="inlineStr">
        <is>
          <t>WHAP</t>
        </is>
      </c>
      <c r="R109" s="7" t="inlineStr">
        <is>
          <t>OUI</t>
        </is>
      </c>
      <c r="S109" s="7" t="inlineStr">
        <is>
          <t>31/08/2026 02:59</t>
        </is>
      </c>
    </row>
    <row r="110">
      <c r="A110" s="8" t="inlineStr">
        <is>
          <t>WHAP-0106</t>
        </is>
      </c>
      <c r="B110" s="8" t="inlineStr">
        <is>
          <t>TRA-0106</t>
        </is>
      </c>
      <c r="C110" s="8" t="inlineStr">
        <is>
          <t>corps de valve</t>
        </is>
      </c>
      <c r="D110" s="8" t="inlineStr">
        <is>
          <t>Transmission</t>
        </is>
      </c>
      <c r="E110" s="8" t="inlineStr">
        <is>
          <t>Transmission</t>
        </is>
      </c>
      <c r="F110" s="8" t="inlineStr">
        <is>
          <t>PIECE_VEHICULE</t>
        </is>
      </c>
      <c r="G110" s="8" t="inlineStr">
        <is>
          <t>unité</t>
        </is>
      </c>
      <c r="H110" s="8" t="inlineStr">
        <is>
          <t>LARGE</t>
        </is>
      </c>
      <c r="I110" s="8" t="n">
        <v>0</v>
      </c>
      <c r="J110" s="8" t="inlineStr">
        <is>
          <t>B-04-03</t>
        </is>
      </c>
      <c r="K110" s="8" t="inlineStr"/>
      <c r="L110" s="10" t="n">
        <v>0</v>
      </c>
      <c r="M110" s="10" t="n">
        <v>0</v>
      </c>
      <c r="N110" s="10" t="n">
        <v>19</v>
      </c>
      <c r="O110" s="8" t="inlineStr">
        <is>
          <t>FAU</t>
        </is>
      </c>
      <c r="P110" s="8" t="inlineStr">
        <is>
          <t>CRITIQUE</t>
        </is>
      </c>
      <c r="Q110" s="8" t="inlineStr">
        <is>
          <t>WHAP</t>
        </is>
      </c>
      <c r="R110" s="8" t="inlineStr">
        <is>
          <t>OUI</t>
        </is>
      </c>
      <c r="S110" s="8" t="inlineStr">
        <is>
          <t>31/08/2026 02:59</t>
        </is>
      </c>
    </row>
    <row r="111">
      <c r="A111" s="7" t="inlineStr">
        <is>
          <t>WHAP-0107</t>
        </is>
      </c>
      <c r="B111" s="7" t="inlineStr">
        <is>
          <t>TRA-0107</t>
        </is>
      </c>
      <c r="C111" s="7" t="inlineStr">
        <is>
          <t>bloc hydraulique</t>
        </is>
      </c>
      <c r="D111" s="7" t="inlineStr">
        <is>
          <t>Transmission</t>
        </is>
      </c>
      <c r="E111" s="7" t="inlineStr">
        <is>
          <t>Transmission</t>
        </is>
      </c>
      <c r="F111" s="7" t="inlineStr">
        <is>
          <t>PIECE_VEHICULE</t>
        </is>
      </c>
      <c r="G111" s="7" t="inlineStr">
        <is>
          <t>unité</t>
        </is>
      </c>
      <c r="H111" s="7" t="inlineStr">
        <is>
          <t>LARGE</t>
        </is>
      </c>
      <c r="I111" s="7" t="n">
        <v>0</v>
      </c>
      <c r="J111" s="7" t="inlineStr">
        <is>
          <t>C-04-02</t>
        </is>
      </c>
      <c r="K111" s="7" t="inlineStr"/>
      <c r="L111" s="9" t="n">
        <v>0</v>
      </c>
      <c r="M111" s="9" t="n">
        <v>0</v>
      </c>
      <c r="N111" s="9" t="n">
        <v>11</v>
      </c>
      <c r="O111" s="7" t="inlineStr">
        <is>
          <t>BOS</t>
        </is>
      </c>
      <c r="P111" s="7" t="inlineStr">
        <is>
          <t>CRITIQUE</t>
        </is>
      </c>
      <c r="Q111" s="7" t="inlineStr">
        <is>
          <t>WHAP</t>
        </is>
      </c>
      <c r="R111" s="7" t="inlineStr">
        <is>
          <t>OUI</t>
        </is>
      </c>
      <c r="S111" s="7" t="inlineStr">
        <is>
          <t>31/08/2026 02:59</t>
        </is>
      </c>
    </row>
    <row r="112">
      <c r="A112" s="8" t="inlineStr">
        <is>
          <t>WHAP-0108</t>
        </is>
      </c>
      <c r="B112" s="8" t="inlineStr">
        <is>
          <t>TRA-0108</t>
        </is>
      </c>
      <c r="C112" s="8" t="inlineStr">
        <is>
          <t>filtre de transmission</t>
        </is>
      </c>
      <c r="D112" s="8" t="inlineStr">
        <is>
          <t>Transmission</t>
        </is>
      </c>
      <c r="E112" s="8" t="inlineStr">
        <is>
          <t>Transmission</t>
        </is>
      </c>
      <c r="F112" s="8" t="inlineStr">
        <is>
          <t>PIECE_VEHICULE</t>
        </is>
      </c>
      <c r="G112" s="8" t="inlineStr">
        <is>
          <t>unité</t>
        </is>
      </c>
      <c r="H112" s="8" t="inlineStr">
        <is>
          <t>LARGE</t>
        </is>
      </c>
      <c r="I112" s="8" t="n">
        <v>0</v>
      </c>
      <c r="J112" s="8" t="inlineStr">
        <is>
          <t>B-04-01</t>
        </is>
      </c>
      <c r="K112" s="8" t="inlineStr"/>
      <c r="L112" s="10" t="n">
        <v>0</v>
      </c>
      <c r="M112" s="10" t="n">
        <v>0</v>
      </c>
      <c r="N112" s="10" t="n">
        <v>12</v>
      </c>
      <c r="O112" s="8" t="inlineStr">
        <is>
          <t>FAU</t>
        </is>
      </c>
      <c r="P112" s="8" t="inlineStr">
        <is>
          <t>CRITIQUE</t>
        </is>
      </c>
      <c r="Q112" s="8" t="inlineStr">
        <is>
          <t>WHAP</t>
        </is>
      </c>
      <c r="R112" s="8" t="inlineStr">
        <is>
          <t>OUI</t>
        </is>
      </c>
      <c r="S112" s="8" t="inlineStr">
        <is>
          <t>31/08/2026 02:59</t>
        </is>
      </c>
    </row>
    <row r="113">
      <c r="A113" s="7" t="inlineStr">
        <is>
          <t>WHAP-0109</t>
        </is>
      </c>
      <c r="B113" s="7" t="inlineStr">
        <is>
          <t>TRA-0109</t>
        </is>
      </c>
      <c r="C113" s="7" t="inlineStr">
        <is>
          <t>carter de transmission</t>
        </is>
      </c>
      <c r="D113" s="7" t="inlineStr">
        <is>
          <t>Transmission</t>
        </is>
      </c>
      <c r="E113" s="7" t="inlineStr">
        <is>
          <t>Transmission</t>
        </is>
      </c>
      <c r="F113" s="7" t="inlineStr">
        <is>
          <t>PIECE_VEHICULE</t>
        </is>
      </c>
      <c r="G113" s="7" t="inlineStr">
        <is>
          <t>unité</t>
        </is>
      </c>
      <c r="H113" s="7" t="inlineStr">
        <is>
          <t>LARGE</t>
        </is>
      </c>
      <c r="I113" s="7" t="n">
        <v>0</v>
      </c>
      <c r="J113" s="7" t="inlineStr">
        <is>
          <t>E-03-02</t>
        </is>
      </c>
      <c r="K113" s="7" t="inlineStr"/>
      <c r="L113" s="9" t="n">
        <v>0</v>
      </c>
      <c r="M113" s="9" t="n">
        <v>0</v>
      </c>
      <c r="N113" s="9" t="n">
        <v>15</v>
      </c>
      <c r="O113" s="7" t="inlineStr">
        <is>
          <t>MAG</t>
        </is>
      </c>
      <c r="P113" s="7" t="inlineStr">
        <is>
          <t>CRITIQUE</t>
        </is>
      </c>
      <c r="Q113" s="7" t="inlineStr">
        <is>
          <t>WHAP</t>
        </is>
      </c>
      <c r="R113" s="7" t="inlineStr">
        <is>
          <t>OUI</t>
        </is>
      </c>
      <c r="S113" s="7" t="inlineStr">
        <is>
          <t>31/08/2026 02:59</t>
        </is>
      </c>
    </row>
    <row r="114">
      <c r="A114" s="8" t="inlineStr">
        <is>
          <t>WHAP-0110</t>
        </is>
      </c>
      <c r="B114" s="8" t="inlineStr">
        <is>
          <t>TRA-0110</t>
        </is>
      </c>
      <c r="C114" s="8" t="inlineStr">
        <is>
          <t>joint de carter</t>
        </is>
      </c>
      <c r="D114" s="8" t="inlineStr">
        <is>
          <t>Transmission</t>
        </is>
      </c>
      <c r="E114" s="8" t="inlineStr">
        <is>
          <t>Transmission</t>
        </is>
      </c>
      <c r="F114" s="8" t="inlineStr">
        <is>
          <t>PIECE_VEHICULE</t>
        </is>
      </c>
      <c r="G114" s="8" t="inlineStr">
        <is>
          <t>unité</t>
        </is>
      </c>
      <c r="H114" s="8" t="inlineStr">
        <is>
          <t>LARGE</t>
        </is>
      </c>
      <c r="I114" s="8" t="n">
        <v>0</v>
      </c>
      <c r="J114" s="8" t="inlineStr">
        <is>
          <t>D-03-04</t>
        </is>
      </c>
      <c r="K114" s="8" t="inlineStr"/>
      <c r="L114" s="10" t="n">
        <v>0</v>
      </c>
      <c r="M114" s="10" t="n">
        <v>0</v>
      </c>
      <c r="N114" s="10" t="n">
        <v>19</v>
      </c>
      <c r="O114" s="8" t="inlineStr">
        <is>
          <t>YZK</t>
        </is>
      </c>
      <c r="P114" s="8" t="inlineStr">
        <is>
          <t>CRITIQUE</t>
        </is>
      </c>
      <c r="Q114" s="8" t="inlineStr">
        <is>
          <t>WHAP</t>
        </is>
      </c>
      <c r="R114" s="8" t="inlineStr">
        <is>
          <t>OUI</t>
        </is>
      </c>
      <c r="S114" s="8" t="inlineStr">
        <is>
          <t>31/08/2026 02:59</t>
        </is>
      </c>
    </row>
    <row r="115">
      <c r="A115" s="7" t="inlineStr">
        <is>
          <t>WHAP-0111</t>
        </is>
      </c>
      <c r="B115" s="7" t="inlineStr">
        <is>
          <t>TRA-0111</t>
        </is>
      </c>
      <c r="C115" s="7" t="inlineStr">
        <is>
          <t>arbre d'entrée</t>
        </is>
      </c>
      <c r="D115" s="7" t="inlineStr">
        <is>
          <t>Transmission</t>
        </is>
      </c>
      <c r="E115" s="7" t="inlineStr">
        <is>
          <t>Transmission</t>
        </is>
      </c>
      <c r="F115" s="7" t="inlineStr">
        <is>
          <t>PIECE_VEHICULE</t>
        </is>
      </c>
      <c r="G115" s="7" t="inlineStr">
        <is>
          <t>unité</t>
        </is>
      </c>
      <c r="H115" s="7" t="inlineStr">
        <is>
          <t>LARGE</t>
        </is>
      </c>
      <c r="I115" s="7" t="n">
        <v>0</v>
      </c>
      <c r="J115" s="7" t="inlineStr">
        <is>
          <t>D-05-01</t>
        </is>
      </c>
      <c r="K115" s="7" t="inlineStr"/>
      <c r="L115" s="9" t="n">
        <v>0</v>
      </c>
      <c r="M115" s="9" t="n">
        <v>0</v>
      </c>
      <c r="N115" s="9" t="n">
        <v>19</v>
      </c>
      <c r="O115" s="7" t="inlineStr">
        <is>
          <t>VAL</t>
        </is>
      </c>
      <c r="P115" s="7" t="inlineStr">
        <is>
          <t>CRITIQUE</t>
        </is>
      </c>
      <c r="Q115" s="7" t="inlineStr">
        <is>
          <t>WHAP</t>
        </is>
      </c>
      <c r="R115" s="7" t="inlineStr">
        <is>
          <t>OUI</t>
        </is>
      </c>
      <c r="S115" s="7" t="inlineStr">
        <is>
          <t>31/08/2026 02:59</t>
        </is>
      </c>
    </row>
    <row r="116">
      <c r="A116" s="8" t="inlineStr">
        <is>
          <t>WHAP-0112</t>
        </is>
      </c>
      <c r="B116" s="8" t="inlineStr">
        <is>
          <t>TRA-0112</t>
        </is>
      </c>
      <c r="C116" s="8" t="inlineStr">
        <is>
          <t>arbre de sortie</t>
        </is>
      </c>
      <c r="D116" s="8" t="inlineStr">
        <is>
          <t>Transmission</t>
        </is>
      </c>
      <c r="E116" s="8" t="inlineStr">
        <is>
          <t>Transmission</t>
        </is>
      </c>
      <c r="F116" s="8" t="inlineStr">
        <is>
          <t>PIECE_VEHICULE</t>
        </is>
      </c>
      <c r="G116" s="8" t="inlineStr">
        <is>
          <t>unité</t>
        </is>
      </c>
      <c r="H116" s="8" t="inlineStr">
        <is>
          <t>LARGE</t>
        </is>
      </c>
      <c r="I116" s="8" t="n">
        <v>0</v>
      </c>
      <c r="J116" s="8" t="inlineStr">
        <is>
          <t>E-01-04</t>
        </is>
      </c>
      <c r="K116" s="8" t="inlineStr"/>
      <c r="L116" s="10" t="n">
        <v>0</v>
      </c>
      <c r="M116" s="10" t="n">
        <v>0</v>
      </c>
      <c r="N116" s="10" t="n">
        <v>17</v>
      </c>
      <c r="O116" s="8" t="inlineStr">
        <is>
          <t>MAG</t>
        </is>
      </c>
      <c r="P116" s="8" t="inlineStr">
        <is>
          <t>CRITIQUE</t>
        </is>
      </c>
      <c r="Q116" s="8" t="inlineStr">
        <is>
          <t>WHAP</t>
        </is>
      </c>
      <c r="R116" s="8" t="inlineStr">
        <is>
          <t>OUI</t>
        </is>
      </c>
      <c r="S116" s="8" t="inlineStr">
        <is>
          <t>31/08/2026 02:59</t>
        </is>
      </c>
    </row>
    <row r="117">
      <c r="A117" s="7" t="inlineStr">
        <is>
          <t>WHAP-0113</t>
        </is>
      </c>
      <c r="B117" s="7" t="inlineStr">
        <is>
          <t>TRA-0113</t>
        </is>
      </c>
      <c r="C117" s="7" t="inlineStr">
        <is>
          <t>embrayage multidisque</t>
        </is>
      </c>
      <c r="D117" s="7" t="inlineStr">
        <is>
          <t>Transmission</t>
        </is>
      </c>
      <c r="E117" s="7" t="inlineStr">
        <is>
          <t>Transmission</t>
        </is>
      </c>
      <c r="F117" s="7" t="inlineStr">
        <is>
          <t>PIECE_VEHICULE</t>
        </is>
      </c>
      <c r="G117" s="7" t="inlineStr">
        <is>
          <t>unité</t>
        </is>
      </c>
      <c r="H117" s="7" t="inlineStr">
        <is>
          <t>LARGE</t>
        </is>
      </c>
      <c r="I117" s="7" t="n">
        <v>0</v>
      </c>
      <c r="J117" s="7" t="inlineStr">
        <is>
          <t>C-03-04</t>
        </is>
      </c>
      <c r="K117" s="7" t="inlineStr"/>
      <c r="L117" s="9" t="n">
        <v>0</v>
      </c>
      <c r="M117" s="9" t="n">
        <v>0</v>
      </c>
      <c r="N117" s="9" t="n">
        <v>13</v>
      </c>
      <c r="O117" s="7" t="inlineStr">
        <is>
          <t>SUM</t>
        </is>
      </c>
      <c r="P117" s="7" t="inlineStr">
        <is>
          <t>CRITIQUE</t>
        </is>
      </c>
      <c r="Q117" s="7" t="inlineStr">
        <is>
          <t>WHAP</t>
        </is>
      </c>
      <c r="R117" s="7" t="inlineStr">
        <is>
          <t>OUI</t>
        </is>
      </c>
      <c r="S117" s="7" t="inlineStr">
        <is>
          <t>31/08/2026 02:59</t>
        </is>
      </c>
    </row>
    <row r="118">
      <c r="A118" s="8" t="inlineStr">
        <is>
          <t>WHAP-0114</t>
        </is>
      </c>
      <c r="B118" s="8" t="inlineStr">
        <is>
          <t>TRA-0114</t>
        </is>
      </c>
      <c r="C118" s="8" t="inlineStr">
        <is>
          <t>disque d'embrayage</t>
        </is>
      </c>
      <c r="D118" s="8" t="inlineStr">
        <is>
          <t>Transmission</t>
        </is>
      </c>
      <c r="E118" s="8" t="inlineStr">
        <is>
          <t>Transmission</t>
        </is>
      </c>
      <c r="F118" s="8" t="inlineStr">
        <is>
          <t>PIECE_VEHICULE</t>
        </is>
      </c>
      <c r="G118" s="8" t="inlineStr">
        <is>
          <t>unité</t>
        </is>
      </c>
      <c r="H118" s="8" t="inlineStr">
        <is>
          <t>LARGE</t>
        </is>
      </c>
      <c r="I118" s="8" t="n">
        <v>0</v>
      </c>
      <c r="J118" s="8" t="inlineStr">
        <is>
          <t>E-05-03</t>
        </is>
      </c>
      <c r="K118" s="8" t="inlineStr"/>
      <c r="L118" s="10" t="n">
        <v>0</v>
      </c>
      <c r="M118" s="10" t="n">
        <v>0</v>
      </c>
      <c r="N118" s="10" t="n">
        <v>13</v>
      </c>
      <c r="O118" s="8" t="inlineStr">
        <is>
          <t>SUM</t>
        </is>
      </c>
      <c r="P118" s="8" t="inlineStr">
        <is>
          <t>CRITIQUE</t>
        </is>
      </c>
      <c r="Q118" s="8" t="inlineStr">
        <is>
          <t>WHAP</t>
        </is>
      </c>
      <c r="R118" s="8" t="inlineStr">
        <is>
          <t>OUI</t>
        </is>
      </c>
      <c r="S118" s="8" t="inlineStr">
        <is>
          <t>31/08/2026 02:59</t>
        </is>
      </c>
    </row>
    <row r="119">
      <c r="A119" s="7" t="inlineStr">
        <is>
          <t>WHAP-0115</t>
        </is>
      </c>
      <c r="B119" s="7" t="inlineStr">
        <is>
          <t>TRA-0115</t>
        </is>
      </c>
      <c r="C119" s="7" t="inlineStr">
        <is>
          <t>piston d'embrayage</t>
        </is>
      </c>
      <c r="D119" s="7" t="inlineStr">
        <is>
          <t>Transmission</t>
        </is>
      </c>
      <c r="E119" s="7" t="inlineStr">
        <is>
          <t>Transmission</t>
        </is>
      </c>
      <c r="F119" s="7" t="inlineStr">
        <is>
          <t>PIECE_VEHICULE</t>
        </is>
      </c>
      <c r="G119" s="7" t="inlineStr">
        <is>
          <t>unité</t>
        </is>
      </c>
      <c r="H119" s="7" t="inlineStr">
        <is>
          <t>LARGE</t>
        </is>
      </c>
      <c r="I119" s="7" t="n">
        <v>0</v>
      </c>
      <c r="J119" s="7" t="inlineStr">
        <is>
          <t>C-03-02</t>
        </is>
      </c>
      <c r="K119" s="7" t="inlineStr"/>
      <c r="L119" s="9" t="n">
        <v>0</v>
      </c>
      <c r="M119" s="9" t="n">
        <v>0</v>
      </c>
      <c r="N119" s="9" t="n">
        <v>13</v>
      </c>
      <c r="O119" s="7" t="inlineStr">
        <is>
          <t>SUM</t>
        </is>
      </c>
      <c r="P119" s="7" t="inlineStr">
        <is>
          <t>CRITIQUE</t>
        </is>
      </c>
      <c r="Q119" s="7" t="inlineStr">
        <is>
          <t>WHAP</t>
        </is>
      </c>
      <c r="R119" s="7" t="inlineStr">
        <is>
          <t>OUI</t>
        </is>
      </c>
      <c r="S119" s="7" t="inlineStr">
        <is>
          <t>31/08/2026 02:59</t>
        </is>
      </c>
    </row>
    <row r="120">
      <c r="A120" s="8" t="inlineStr">
        <is>
          <t>WHAP-0116</t>
        </is>
      </c>
      <c r="B120" s="8" t="inlineStr">
        <is>
          <t>TRA-0116</t>
        </is>
      </c>
      <c r="C120" s="8" t="inlineStr">
        <is>
          <t>train épicycloïdal</t>
        </is>
      </c>
      <c r="D120" s="8" t="inlineStr">
        <is>
          <t>Transmission</t>
        </is>
      </c>
      <c r="E120" s="8" t="inlineStr">
        <is>
          <t>Transmission</t>
        </is>
      </c>
      <c r="F120" s="8" t="inlineStr">
        <is>
          <t>PIECE_VEHICULE</t>
        </is>
      </c>
      <c r="G120" s="8" t="inlineStr">
        <is>
          <t>unité</t>
        </is>
      </c>
      <c r="H120" s="8" t="inlineStr">
        <is>
          <t>LARGE</t>
        </is>
      </c>
      <c r="I120" s="8" t="n">
        <v>0</v>
      </c>
      <c r="J120" s="8" t="inlineStr">
        <is>
          <t>F-01-03</t>
        </is>
      </c>
      <c r="K120" s="8" t="inlineStr"/>
      <c r="L120" s="10" t="n">
        <v>0</v>
      </c>
      <c r="M120" s="10" t="n">
        <v>0</v>
      </c>
      <c r="N120" s="10" t="n">
        <v>17</v>
      </c>
      <c r="O120" s="8" t="inlineStr">
        <is>
          <t>VAL</t>
        </is>
      </c>
      <c r="P120" s="8" t="inlineStr">
        <is>
          <t>CRITIQUE</t>
        </is>
      </c>
      <c r="Q120" s="8" t="inlineStr">
        <is>
          <t>WHAP</t>
        </is>
      </c>
      <c r="R120" s="8" t="inlineStr">
        <is>
          <t>OUI</t>
        </is>
      </c>
      <c r="S120" s="8" t="inlineStr">
        <is>
          <t>31/08/2026 02:59</t>
        </is>
      </c>
    </row>
    <row r="121">
      <c r="A121" s="7" t="inlineStr">
        <is>
          <t>WHAP-0117</t>
        </is>
      </c>
      <c r="B121" s="7" t="inlineStr">
        <is>
          <t>TRA-0117</t>
        </is>
      </c>
      <c r="C121" s="7" t="inlineStr">
        <is>
          <t>pignon planétaire</t>
        </is>
      </c>
      <c r="D121" s="7" t="inlineStr">
        <is>
          <t>Transmission</t>
        </is>
      </c>
      <c r="E121" s="7" t="inlineStr">
        <is>
          <t>Transmission</t>
        </is>
      </c>
      <c r="F121" s="7" t="inlineStr">
        <is>
          <t>PIECE_VEHICULE</t>
        </is>
      </c>
      <c r="G121" s="7" t="inlineStr">
        <is>
          <t>unité</t>
        </is>
      </c>
      <c r="H121" s="7" t="inlineStr">
        <is>
          <t>LARGE</t>
        </is>
      </c>
      <c r="I121" s="7" t="n">
        <v>0</v>
      </c>
      <c r="J121" s="7" t="inlineStr">
        <is>
          <t>B-04-04</t>
        </is>
      </c>
      <c r="K121" s="7" t="inlineStr"/>
      <c r="L121" s="9" t="n">
        <v>0</v>
      </c>
      <c r="M121" s="9" t="n">
        <v>0</v>
      </c>
      <c r="N121" s="9" t="n">
        <v>20</v>
      </c>
      <c r="O121" s="7" t="inlineStr">
        <is>
          <t>FAU</t>
        </is>
      </c>
      <c r="P121" s="7" t="inlineStr">
        <is>
          <t>CRITIQUE</t>
        </is>
      </c>
      <c r="Q121" s="7" t="inlineStr">
        <is>
          <t>WHAP</t>
        </is>
      </c>
      <c r="R121" s="7" t="inlineStr">
        <is>
          <t>OUI</t>
        </is>
      </c>
      <c r="S121" s="7" t="inlineStr">
        <is>
          <t>31/08/2026 02:59</t>
        </is>
      </c>
    </row>
    <row r="122">
      <c r="A122" s="8" t="inlineStr">
        <is>
          <t>WHAP-0118</t>
        </is>
      </c>
      <c r="B122" s="8" t="inlineStr">
        <is>
          <t>TRA-0118</t>
        </is>
      </c>
      <c r="C122" s="8" t="inlineStr">
        <is>
          <t>satellite</t>
        </is>
      </c>
      <c r="D122" s="8" t="inlineStr">
        <is>
          <t>Transmission</t>
        </is>
      </c>
      <c r="E122" s="8" t="inlineStr">
        <is>
          <t>Transmission</t>
        </is>
      </c>
      <c r="F122" s="8" t="inlineStr">
        <is>
          <t>PIECE_VEHICULE</t>
        </is>
      </c>
      <c r="G122" s="8" t="inlineStr">
        <is>
          <t>unité</t>
        </is>
      </c>
      <c r="H122" s="8" t="inlineStr">
        <is>
          <t>LARGE</t>
        </is>
      </c>
      <c r="I122" s="8" t="n">
        <v>0</v>
      </c>
      <c r="J122" s="8" t="inlineStr">
        <is>
          <t>F-04-01</t>
        </is>
      </c>
      <c r="K122" s="8" t="inlineStr"/>
      <c r="L122" s="10" t="n">
        <v>0</v>
      </c>
      <c r="M122" s="10" t="n">
        <v>0</v>
      </c>
      <c r="N122" s="10" t="n">
        <v>13</v>
      </c>
      <c r="O122" s="8" t="inlineStr">
        <is>
          <t>VAL</t>
        </is>
      </c>
      <c r="P122" s="8" t="inlineStr">
        <is>
          <t>CRITIQUE</t>
        </is>
      </c>
      <c r="Q122" s="8" t="inlineStr">
        <is>
          <t>WHAP</t>
        </is>
      </c>
      <c r="R122" s="8" t="inlineStr">
        <is>
          <t>OUI</t>
        </is>
      </c>
      <c r="S122" s="8" t="inlineStr">
        <is>
          <t>31/08/2026 02:59</t>
        </is>
      </c>
    </row>
    <row r="123">
      <c r="A123" s="7" t="inlineStr">
        <is>
          <t>WHAP-0119</t>
        </is>
      </c>
      <c r="B123" s="7" t="inlineStr">
        <is>
          <t>TRA-0119</t>
        </is>
      </c>
      <c r="C123" s="7" t="inlineStr">
        <is>
          <t>couronne</t>
        </is>
      </c>
      <c r="D123" s="7" t="inlineStr">
        <is>
          <t>Transmission</t>
        </is>
      </c>
      <c r="E123" s="7" t="inlineStr">
        <is>
          <t>Transmission</t>
        </is>
      </c>
      <c r="F123" s="7" t="inlineStr">
        <is>
          <t>PIECE_VEHICULE</t>
        </is>
      </c>
      <c r="G123" s="7" t="inlineStr">
        <is>
          <t>unité</t>
        </is>
      </c>
      <c r="H123" s="7" t="inlineStr">
        <is>
          <t>LARGE</t>
        </is>
      </c>
      <c r="I123" s="7" t="n">
        <v>0</v>
      </c>
      <c r="J123" s="7" t="inlineStr">
        <is>
          <t>F-04-03</t>
        </is>
      </c>
      <c r="K123" s="7" t="inlineStr"/>
      <c r="L123" s="9" t="n">
        <v>0</v>
      </c>
      <c r="M123" s="9" t="n">
        <v>0</v>
      </c>
      <c r="N123" s="9" t="n">
        <v>17</v>
      </c>
      <c r="O123" s="7" t="inlineStr">
        <is>
          <t>VAL</t>
        </is>
      </c>
      <c r="P123" s="7" t="inlineStr">
        <is>
          <t>CRITIQUE</t>
        </is>
      </c>
      <c r="Q123" s="7" t="inlineStr">
        <is>
          <t>WHAP</t>
        </is>
      </c>
      <c r="R123" s="7" t="inlineStr">
        <is>
          <t>OUI</t>
        </is>
      </c>
      <c r="S123" s="7" t="inlineStr">
        <is>
          <t>31/08/2026 02:59</t>
        </is>
      </c>
    </row>
    <row r="124">
      <c r="A124" s="8" t="inlineStr">
        <is>
          <t>WHAP-0120</t>
        </is>
      </c>
      <c r="B124" s="8" t="inlineStr">
        <is>
          <t>TRA-0120</t>
        </is>
      </c>
      <c r="C124" s="8" t="inlineStr">
        <is>
          <t>roulement d'arbre</t>
        </is>
      </c>
      <c r="D124" s="8" t="inlineStr">
        <is>
          <t>Transmission</t>
        </is>
      </c>
      <c r="E124" s="8" t="inlineStr">
        <is>
          <t>Transmission</t>
        </is>
      </c>
      <c r="F124" s="8" t="inlineStr">
        <is>
          <t>PIECE_VEHICULE</t>
        </is>
      </c>
      <c r="G124" s="8" t="inlineStr">
        <is>
          <t>unité</t>
        </is>
      </c>
      <c r="H124" s="8" t="inlineStr">
        <is>
          <t>LARGE</t>
        </is>
      </c>
      <c r="I124" s="8" t="n">
        <v>0</v>
      </c>
      <c r="J124" s="8" t="inlineStr">
        <is>
          <t>A-02-02</t>
        </is>
      </c>
      <c r="K124" s="8" t="inlineStr"/>
      <c r="L124" s="10" t="n">
        <v>0</v>
      </c>
      <c r="M124" s="10" t="n">
        <v>0</v>
      </c>
      <c r="N124" s="10" t="n">
        <v>11</v>
      </c>
      <c r="O124" s="8" t="inlineStr">
        <is>
          <t>SUM</t>
        </is>
      </c>
      <c r="P124" s="8" t="inlineStr">
        <is>
          <t>CRITIQUE</t>
        </is>
      </c>
      <c r="Q124" s="8" t="inlineStr">
        <is>
          <t>WHAP</t>
        </is>
      </c>
      <c r="R124" s="8" t="inlineStr">
        <is>
          <t>OUI</t>
        </is>
      </c>
      <c r="S124" s="8" t="inlineStr">
        <is>
          <t>31/08/2026 02:59</t>
        </is>
      </c>
    </row>
    <row r="125">
      <c r="A125" s="7" t="inlineStr">
        <is>
          <t>WHAP-0121</t>
        </is>
      </c>
      <c r="B125" s="7" t="inlineStr">
        <is>
          <t>TRA-0121</t>
        </is>
      </c>
      <c r="C125" s="7" t="inlineStr">
        <is>
          <t>joint spi</t>
        </is>
      </c>
      <c r="D125" s="7" t="inlineStr">
        <is>
          <t>Transmission</t>
        </is>
      </c>
      <c r="E125" s="7" t="inlineStr">
        <is>
          <t>Transmission</t>
        </is>
      </c>
      <c r="F125" s="7" t="inlineStr">
        <is>
          <t>PIECE_VEHICULE</t>
        </is>
      </c>
      <c r="G125" s="7" t="inlineStr">
        <is>
          <t>unité</t>
        </is>
      </c>
      <c r="H125" s="7" t="inlineStr">
        <is>
          <t>LARGE</t>
        </is>
      </c>
      <c r="I125" s="7" t="n">
        <v>0</v>
      </c>
      <c r="J125" s="7" t="inlineStr">
        <is>
          <t>E-05-03</t>
        </is>
      </c>
      <c r="K125" s="7" t="inlineStr"/>
      <c r="L125" s="9" t="n">
        <v>0</v>
      </c>
      <c r="M125" s="9" t="n">
        <v>0</v>
      </c>
      <c r="N125" s="9" t="n">
        <v>12</v>
      </c>
      <c r="O125" s="7" t="inlineStr">
        <is>
          <t>MAG</t>
        </is>
      </c>
      <c r="P125" s="7" t="inlineStr">
        <is>
          <t>CRITIQUE</t>
        </is>
      </c>
      <c r="Q125" s="7" t="inlineStr">
        <is>
          <t>WHAP</t>
        </is>
      </c>
      <c r="R125" s="7" t="inlineStr">
        <is>
          <t>OUI</t>
        </is>
      </c>
      <c r="S125" s="7" t="inlineStr">
        <is>
          <t>31/08/2026 02:59</t>
        </is>
      </c>
    </row>
    <row r="126">
      <c r="A126" s="8" t="inlineStr">
        <is>
          <t>WHAP-0122</t>
        </is>
      </c>
      <c r="B126" s="8" t="inlineStr">
        <is>
          <t>TRA-0122</t>
        </is>
      </c>
      <c r="C126" s="8" t="inlineStr">
        <is>
          <t>capteur vitesse entrée</t>
        </is>
      </c>
      <c r="D126" s="8" t="inlineStr">
        <is>
          <t>Transmission</t>
        </is>
      </c>
      <c r="E126" s="8" t="inlineStr">
        <is>
          <t>Transmission</t>
        </is>
      </c>
      <c r="F126" s="8" t="inlineStr">
        <is>
          <t>PIECE_VEHICULE</t>
        </is>
      </c>
      <c r="G126" s="8" t="inlineStr">
        <is>
          <t>unité</t>
        </is>
      </c>
      <c r="H126" s="8" t="inlineStr">
        <is>
          <t>LARGE</t>
        </is>
      </c>
      <c r="I126" s="8" t="n">
        <v>0</v>
      </c>
      <c r="J126" s="8" t="inlineStr">
        <is>
          <t>C-05-04</t>
        </is>
      </c>
      <c r="K126" s="8" t="inlineStr"/>
      <c r="L126" s="10" t="n">
        <v>0</v>
      </c>
      <c r="M126" s="10" t="n">
        <v>0</v>
      </c>
      <c r="N126" s="10" t="n">
        <v>19</v>
      </c>
      <c r="O126" s="8" t="inlineStr">
        <is>
          <t>BOS</t>
        </is>
      </c>
      <c r="P126" s="8" t="inlineStr">
        <is>
          <t>CRITIQUE</t>
        </is>
      </c>
      <c r="Q126" s="8" t="inlineStr">
        <is>
          <t>WHAP</t>
        </is>
      </c>
      <c r="R126" s="8" t="inlineStr">
        <is>
          <t>OUI</t>
        </is>
      </c>
      <c r="S126" s="8" t="inlineStr">
        <is>
          <t>31/08/2026 02:59</t>
        </is>
      </c>
    </row>
    <row r="127">
      <c r="A127" s="7" t="inlineStr">
        <is>
          <t>WHAP-0123</t>
        </is>
      </c>
      <c r="B127" s="7" t="inlineStr">
        <is>
          <t>TRA-0123</t>
        </is>
      </c>
      <c r="C127" s="7" t="inlineStr">
        <is>
          <t>capteur vitesse sortie</t>
        </is>
      </c>
      <c r="D127" s="7" t="inlineStr">
        <is>
          <t>Transmission</t>
        </is>
      </c>
      <c r="E127" s="7" t="inlineStr">
        <is>
          <t>Transmission</t>
        </is>
      </c>
      <c r="F127" s="7" t="inlineStr">
        <is>
          <t>PIECE_VEHICULE</t>
        </is>
      </c>
      <c r="G127" s="7" t="inlineStr">
        <is>
          <t>unité</t>
        </is>
      </c>
      <c r="H127" s="7" t="inlineStr">
        <is>
          <t>LARGE</t>
        </is>
      </c>
      <c r="I127" s="7" t="n">
        <v>0</v>
      </c>
      <c r="J127" s="7" t="inlineStr">
        <is>
          <t>A-01-04</t>
        </is>
      </c>
      <c r="K127" s="7" t="inlineStr"/>
      <c r="L127" s="9" t="n">
        <v>0</v>
      </c>
      <c r="M127" s="9" t="n">
        <v>0</v>
      </c>
      <c r="N127" s="9" t="n">
        <v>18</v>
      </c>
      <c r="O127" s="7" t="inlineStr">
        <is>
          <t>SUM</t>
        </is>
      </c>
      <c r="P127" s="7" t="inlineStr">
        <is>
          <t>CRITIQUE</t>
        </is>
      </c>
      <c r="Q127" s="7" t="inlineStr">
        <is>
          <t>WHAP</t>
        </is>
      </c>
      <c r="R127" s="7" t="inlineStr">
        <is>
          <t>OUI</t>
        </is>
      </c>
      <c r="S127" s="7" t="inlineStr">
        <is>
          <t>31/08/2026 02:59</t>
        </is>
      </c>
    </row>
    <row r="128">
      <c r="A128" s="8" t="inlineStr">
        <is>
          <t>WHAP-0124</t>
        </is>
      </c>
      <c r="B128" s="8" t="inlineStr">
        <is>
          <t>TRA-0124</t>
        </is>
      </c>
      <c r="C128" s="8" t="inlineStr">
        <is>
          <t>capteur température huile</t>
        </is>
      </c>
      <c r="D128" s="8" t="inlineStr">
        <is>
          <t>Transmission</t>
        </is>
      </c>
      <c r="E128" s="8" t="inlineStr">
        <is>
          <t>Transmission</t>
        </is>
      </c>
      <c r="F128" s="8" t="inlineStr">
        <is>
          <t>PIECE_VEHICULE</t>
        </is>
      </c>
      <c r="G128" s="8" t="inlineStr">
        <is>
          <t>unité</t>
        </is>
      </c>
      <c r="H128" s="8" t="inlineStr">
        <is>
          <t>LARGE</t>
        </is>
      </c>
      <c r="I128" s="8" t="n">
        <v>0</v>
      </c>
      <c r="J128" s="8" t="inlineStr">
        <is>
          <t>C-03-04</t>
        </is>
      </c>
      <c r="K128" s="8" t="inlineStr"/>
      <c r="L128" s="10" t="n">
        <v>0</v>
      </c>
      <c r="M128" s="10" t="n">
        <v>0</v>
      </c>
      <c r="N128" s="10" t="n">
        <v>12</v>
      </c>
      <c r="O128" s="8" t="inlineStr">
        <is>
          <t>DEL</t>
        </is>
      </c>
      <c r="P128" s="8" t="inlineStr">
        <is>
          <t>CRITIQUE</t>
        </is>
      </c>
      <c r="Q128" s="8" t="inlineStr">
        <is>
          <t>WHAP</t>
        </is>
      </c>
      <c r="R128" s="8" t="inlineStr">
        <is>
          <t>OUI</t>
        </is>
      </c>
      <c r="S128" s="8" t="inlineStr">
        <is>
          <t>31/08/2026 02:59</t>
        </is>
      </c>
    </row>
    <row r="129">
      <c r="A129" s="7" t="inlineStr">
        <is>
          <t>WHAP-0125</t>
        </is>
      </c>
      <c r="B129" s="7" t="inlineStr">
        <is>
          <t>TRA-0125</t>
        </is>
      </c>
      <c r="C129" s="7" t="inlineStr">
        <is>
          <t>faisceau transmission</t>
        </is>
      </c>
      <c r="D129" s="7" t="inlineStr">
        <is>
          <t>Transmission</t>
        </is>
      </c>
      <c r="E129" s="7" t="inlineStr">
        <is>
          <t>Transmission</t>
        </is>
      </c>
      <c r="F129" s="7" t="inlineStr">
        <is>
          <t>PIECE_VEHICULE</t>
        </is>
      </c>
      <c r="G129" s="7" t="inlineStr">
        <is>
          <t>unité</t>
        </is>
      </c>
      <c r="H129" s="7" t="inlineStr">
        <is>
          <t>LARGE</t>
        </is>
      </c>
      <c r="I129" s="7" t="n">
        <v>0</v>
      </c>
      <c r="J129" s="7" t="inlineStr">
        <is>
          <t>E-02-01</t>
        </is>
      </c>
      <c r="K129" s="7" t="inlineStr"/>
      <c r="L129" s="9" t="n">
        <v>0</v>
      </c>
      <c r="M129" s="9" t="n">
        <v>0</v>
      </c>
      <c r="N129" s="9" t="n">
        <v>17</v>
      </c>
      <c r="O129" s="7" t="inlineStr">
        <is>
          <t>DEL</t>
        </is>
      </c>
      <c r="P129" s="7" t="inlineStr">
        <is>
          <t>CRITIQUE</t>
        </is>
      </c>
      <c r="Q129" s="7" t="inlineStr">
        <is>
          <t>WHAP</t>
        </is>
      </c>
      <c r="R129" s="7" t="inlineStr">
        <is>
          <t>OUI</t>
        </is>
      </c>
      <c r="S129" s="7" t="inlineStr">
        <is>
          <t>31/08/2026 02:59</t>
        </is>
      </c>
    </row>
    <row r="130">
      <c r="A130" s="8" t="inlineStr">
        <is>
          <t>WHAP-0126</t>
        </is>
      </c>
      <c r="B130" s="8" t="inlineStr">
        <is>
          <t>TRA-0126</t>
        </is>
      </c>
      <c r="C130" s="8" t="inlineStr">
        <is>
          <t>connecteur transmission</t>
        </is>
      </c>
      <c r="D130" s="8" t="inlineStr">
        <is>
          <t>Transmission</t>
        </is>
      </c>
      <c r="E130" s="8" t="inlineStr">
        <is>
          <t>Transmission</t>
        </is>
      </c>
      <c r="F130" s="8" t="inlineStr">
        <is>
          <t>PIECE_VEHICULE</t>
        </is>
      </c>
      <c r="G130" s="8" t="inlineStr">
        <is>
          <t>unité</t>
        </is>
      </c>
      <c r="H130" s="8" t="inlineStr">
        <is>
          <t>LARGE</t>
        </is>
      </c>
      <c r="I130" s="8" t="n">
        <v>0</v>
      </c>
      <c r="J130" s="8" t="inlineStr">
        <is>
          <t>D-03-04</t>
        </is>
      </c>
      <c r="K130" s="8" t="inlineStr"/>
      <c r="L130" s="10" t="n">
        <v>0</v>
      </c>
      <c r="M130" s="10" t="n">
        <v>0</v>
      </c>
      <c r="N130" s="10" t="n">
        <v>10</v>
      </c>
      <c r="O130" s="8" t="inlineStr">
        <is>
          <t>YZK</t>
        </is>
      </c>
      <c r="P130" s="8" t="inlineStr">
        <is>
          <t>CRITIQUE</t>
        </is>
      </c>
      <c r="Q130" s="8" t="inlineStr">
        <is>
          <t>WHAP</t>
        </is>
      </c>
      <c r="R130" s="8" t="inlineStr">
        <is>
          <t>OUI</t>
        </is>
      </c>
      <c r="S130" s="8" t="inlineStr">
        <is>
          <t>31/08/2026 02:59</t>
        </is>
      </c>
    </row>
    <row r="131">
      <c r="A131" s="7" t="inlineStr">
        <is>
          <t>WHAP-0127</t>
        </is>
      </c>
      <c r="B131" s="7" t="inlineStr">
        <is>
          <t>TRA-0127</t>
        </is>
      </c>
      <c r="C131" s="7" t="inlineStr">
        <is>
          <t>échangeur huile</t>
        </is>
      </c>
      <c r="D131" s="7" t="inlineStr">
        <is>
          <t>Transmission</t>
        </is>
      </c>
      <c r="E131" s="7" t="inlineStr">
        <is>
          <t>Transmission</t>
        </is>
      </c>
      <c r="F131" s="7" t="inlineStr">
        <is>
          <t>PIECE_VEHICULE</t>
        </is>
      </c>
      <c r="G131" s="7" t="inlineStr">
        <is>
          <t>unité</t>
        </is>
      </c>
      <c r="H131" s="7" t="inlineStr">
        <is>
          <t>LARGE</t>
        </is>
      </c>
      <c r="I131" s="7" t="n">
        <v>0</v>
      </c>
      <c r="J131" s="7" t="inlineStr">
        <is>
          <t>C-06-02</t>
        </is>
      </c>
      <c r="K131" s="7" t="inlineStr"/>
      <c r="L131" s="9" t="n">
        <v>0</v>
      </c>
      <c r="M131" s="9" t="n">
        <v>0</v>
      </c>
      <c r="N131" s="9" t="n">
        <v>18</v>
      </c>
      <c r="O131" s="7" t="inlineStr">
        <is>
          <t>HEL</t>
        </is>
      </c>
      <c r="P131" s="7" t="inlineStr">
        <is>
          <t>CRITIQUE</t>
        </is>
      </c>
      <c r="Q131" s="7" t="inlineStr">
        <is>
          <t>WHAP</t>
        </is>
      </c>
      <c r="R131" s="7" t="inlineStr">
        <is>
          <t>OUI</t>
        </is>
      </c>
      <c r="S131" s="7" t="inlineStr">
        <is>
          <t>31/08/2026 02:59</t>
        </is>
      </c>
    </row>
    <row r="132">
      <c r="A132" s="8" t="inlineStr">
        <is>
          <t>WHAP-0128</t>
        </is>
      </c>
      <c r="B132" s="8" t="inlineStr">
        <is>
          <t>TRA-0128</t>
        </is>
      </c>
      <c r="C132" s="8" t="inlineStr">
        <is>
          <t>retarder</t>
        </is>
      </c>
      <c r="D132" s="8" t="inlineStr">
        <is>
          <t>Transmission</t>
        </is>
      </c>
      <c r="E132" s="8" t="inlineStr">
        <is>
          <t>Transmission</t>
        </is>
      </c>
      <c r="F132" s="8" t="inlineStr">
        <is>
          <t>PIECE_VEHICULE</t>
        </is>
      </c>
      <c r="G132" s="8" t="inlineStr">
        <is>
          <t>unité</t>
        </is>
      </c>
      <c r="H132" s="8" t="inlineStr">
        <is>
          <t>LARGE</t>
        </is>
      </c>
      <c r="I132" s="8" t="n">
        <v>0</v>
      </c>
      <c r="J132" s="8" t="inlineStr">
        <is>
          <t>D-02-02</t>
        </is>
      </c>
      <c r="K132" s="8" t="inlineStr"/>
      <c r="L132" s="10" t="n">
        <v>0</v>
      </c>
      <c r="M132" s="10" t="n">
        <v>0</v>
      </c>
      <c r="N132" s="10" t="n">
        <v>17</v>
      </c>
      <c r="O132" s="8" t="inlineStr">
        <is>
          <t>FAU</t>
        </is>
      </c>
      <c r="P132" s="8" t="inlineStr">
        <is>
          <t>CRITIQUE</t>
        </is>
      </c>
      <c r="Q132" s="8" t="inlineStr">
        <is>
          <t>WHAP</t>
        </is>
      </c>
      <c r="R132" s="8" t="inlineStr">
        <is>
          <t>OUI</t>
        </is>
      </c>
      <c r="S132" s="8" t="inlineStr">
        <is>
          <t>31/08/2026 02:59</t>
        </is>
      </c>
    </row>
    <row r="133">
      <c r="A133" s="7" t="inlineStr">
        <is>
          <t>WHAP-0129</t>
        </is>
      </c>
      <c r="B133" s="7" t="inlineStr">
        <is>
          <t>TRA-0129</t>
        </is>
      </c>
      <c r="C133" s="7" t="inlineStr">
        <is>
          <t>pompe de retarder</t>
        </is>
      </c>
      <c r="D133" s="7" t="inlineStr">
        <is>
          <t>Transmission</t>
        </is>
      </c>
      <c r="E133" s="7" t="inlineStr">
        <is>
          <t>Transmission</t>
        </is>
      </c>
      <c r="F133" s="7" t="inlineStr">
        <is>
          <t>PIECE_VEHICULE</t>
        </is>
      </c>
      <c r="G133" s="7" t="inlineStr">
        <is>
          <t>unité</t>
        </is>
      </c>
      <c r="H133" s="7" t="inlineStr">
        <is>
          <t>LARGE</t>
        </is>
      </c>
      <c r="I133" s="7" t="n">
        <v>0</v>
      </c>
      <c r="J133" s="7" t="inlineStr">
        <is>
          <t>B-02-02</t>
        </is>
      </c>
      <c r="K133" s="7" t="inlineStr"/>
      <c r="L133" s="9" t="n">
        <v>0</v>
      </c>
      <c r="M133" s="9" t="n">
        <v>0</v>
      </c>
      <c r="N133" s="9" t="n">
        <v>16</v>
      </c>
      <c r="O133" s="7" t="inlineStr">
        <is>
          <t>CTL</t>
        </is>
      </c>
      <c r="P133" s="7" t="inlineStr">
        <is>
          <t>CRITIQUE</t>
        </is>
      </c>
      <c r="Q133" s="7" t="inlineStr">
        <is>
          <t>WHAP</t>
        </is>
      </c>
      <c r="R133" s="7" t="inlineStr">
        <is>
          <t>OUI</t>
        </is>
      </c>
      <c r="S133" s="7" t="inlineStr">
        <is>
          <t>31/08/2026 02:59</t>
        </is>
      </c>
    </row>
    <row r="134">
      <c r="A134" s="8" t="inlineStr">
        <is>
          <t>WHAP-0130</t>
        </is>
      </c>
      <c r="B134" s="8" t="inlineStr">
        <is>
          <t>TRA-0130</t>
        </is>
      </c>
      <c r="C134" s="8" t="inlineStr">
        <is>
          <t>commande de transmission</t>
        </is>
      </c>
      <c r="D134" s="8" t="inlineStr">
        <is>
          <t>Transmission</t>
        </is>
      </c>
      <c r="E134" s="8" t="inlineStr">
        <is>
          <t>Transmission</t>
        </is>
      </c>
      <c r="F134" s="8" t="inlineStr">
        <is>
          <t>PIECE_VEHICULE</t>
        </is>
      </c>
      <c r="G134" s="8" t="inlineStr">
        <is>
          <t>unité</t>
        </is>
      </c>
      <c r="H134" s="8" t="inlineStr">
        <is>
          <t>LARGE</t>
        </is>
      </c>
      <c r="I134" s="8" t="n">
        <v>0</v>
      </c>
      <c r="J134" s="8" t="inlineStr">
        <is>
          <t>E-02-03</t>
        </is>
      </c>
      <c r="K134" s="8" t="inlineStr"/>
      <c r="L134" s="10" t="n">
        <v>0</v>
      </c>
      <c r="M134" s="10" t="n">
        <v>0</v>
      </c>
      <c r="N134" s="10" t="n">
        <v>16</v>
      </c>
      <c r="O134" s="8" t="inlineStr">
        <is>
          <t>HEL</t>
        </is>
      </c>
      <c r="P134" s="8" t="inlineStr">
        <is>
          <t>CRITIQUE</t>
        </is>
      </c>
      <c r="Q134" s="8" t="inlineStr">
        <is>
          <t>WHAP</t>
        </is>
      </c>
      <c r="R134" s="8" t="inlineStr">
        <is>
          <t>OUI</t>
        </is>
      </c>
      <c r="S134" s="8" t="inlineStr">
        <is>
          <t>31/08/2026 02:59</t>
        </is>
      </c>
    </row>
    <row r="135">
      <c r="A135" s="7" t="inlineStr">
        <is>
          <t>WHAP-0131</t>
        </is>
      </c>
      <c r="B135" s="7" t="inlineStr">
        <is>
          <t>BTR-0131</t>
        </is>
      </c>
      <c r="C135" s="7" t="inlineStr">
        <is>
          <t>boîte de transfert</t>
        </is>
      </c>
      <c r="D135" s="7" t="inlineStr">
        <is>
          <t>Boîte de transfert</t>
        </is>
      </c>
      <c r="E135" s="7" t="inlineStr">
        <is>
          <t>Boîte de transfert</t>
        </is>
      </c>
      <c r="F135" s="7" t="inlineStr">
        <is>
          <t>PIECE_VEHICULE</t>
        </is>
      </c>
      <c r="G135" s="7" t="inlineStr">
        <is>
          <t>unité</t>
        </is>
      </c>
      <c r="H135" s="7" t="inlineStr">
        <is>
          <t>LARGE</t>
        </is>
      </c>
      <c r="I135" s="7" t="n">
        <v>0</v>
      </c>
      <c r="J135" s="7" t="inlineStr">
        <is>
          <t>D-04-01</t>
        </is>
      </c>
      <c r="K135" s="7" t="inlineStr"/>
      <c r="L135" s="9" t="n">
        <v>0</v>
      </c>
      <c r="M135" s="9" t="n">
        <v>0</v>
      </c>
      <c r="N135" s="9" t="n">
        <v>31</v>
      </c>
      <c r="O135" s="7" t="inlineStr">
        <is>
          <t>SKF</t>
        </is>
      </c>
      <c r="P135" s="7" t="inlineStr">
        <is>
          <t>IMPORTANT</t>
        </is>
      </c>
      <c r="Q135" s="7" t="inlineStr">
        <is>
          <t>WHAP</t>
        </is>
      </c>
      <c r="R135" s="7" t="inlineStr">
        <is>
          <t>OUI</t>
        </is>
      </c>
      <c r="S135" s="7" t="inlineStr">
        <is>
          <t>31/08/2026 02:59</t>
        </is>
      </c>
    </row>
    <row r="136">
      <c r="A136" s="8" t="inlineStr">
        <is>
          <t>WHAP-0132</t>
        </is>
      </c>
      <c r="B136" s="8" t="inlineStr">
        <is>
          <t>BTR-0132</t>
        </is>
      </c>
      <c r="C136" s="8" t="inlineStr">
        <is>
          <t>carter de transfert</t>
        </is>
      </c>
      <c r="D136" s="8" t="inlineStr">
        <is>
          <t>Boîte de transfert</t>
        </is>
      </c>
      <c r="E136" s="8" t="inlineStr">
        <is>
          <t>Boîte de transfert</t>
        </is>
      </c>
      <c r="F136" s="8" t="inlineStr">
        <is>
          <t>PIECE_VEHICULE</t>
        </is>
      </c>
      <c r="G136" s="8" t="inlineStr">
        <is>
          <t>unité</t>
        </is>
      </c>
      <c r="H136" s="8" t="inlineStr">
        <is>
          <t>LARGE</t>
        </is>
      </c>
      <c r="I136" s="8" t="n">
        <v>0</v>
      </c>
      <c r="J136" s="8" t="inlineStr">
        <is>
          <t>E-03-03 : 260</t>
        </is>
      </c>
      <c r="K136" s="8" t="inlineStr"/>
      <c r="L136" s="10" t="n">
        <v>260</v>
      </c>
      <c r="M136" s="10" t="n">
        <v>260</v>
      </c>
      <c r="N136" s="10" t="n">
        <v>23</v>
      </c>
      <c r="O136" s="8" t="inlineStr">
        <is>
          <t>DEL</t>
        </is>
      </c>
      <c r="P136" s="8" t="inlineStr">
        <is>
          <t>IMPORTANT</t>
        </is>
      </c>
      <c r="Q136" s="8" t="inlineStr">
        <is>
          <t>WHAP</t>
        </is>
      </c>
      <c r="R136" s="8" t="inlineStr">
        <is>
          <t>OUI</t>
        </is>
      </c>
      <c r="S136" s="8" t="inlineStr">
        <is>
          <t>31/08/2026 02:59</t>
        </is>
      </c>
    </row>
    <row r="137">
      <c r="A137" s="7" t="inlineStr">
        <is>
          <t>WHAP-0133</t>
        </is>
      </c>
      <c r="B137" s="7" t="inlineStr">
        <is>
          <t>BTR-0133</t>
        </is>
      </c>
      <c r="C137" s="7" t="inlineStr">
        <is>
          <t>arbre primaire</t>
        </is>
      </c>
      <c r="D137" s="7" t="inlineStr">
        <is>
          <t>Boîte de transfert</t>
        </is>
      </c>
      <c r="E137" s="7" t="inlineStr">
        <is>
          <t>Boîte de transfert</t>
        </is>
      </c>
      <c r="F137" s="7" t="inlineStr">
        <is>
          <t>PIECE_VEHICULE</t>
        </is>
      </c>
      <c r="G137" s="7" t="inlineStr">
        <is>
          <t>unité</t>
        </is>
      </c>
      <c r="H137" s="7" t="inlineStr">
        <is>
          <t>LARGE</t>
        </is>
      </c>
      <c r="I137" s="7" t="n">
        <v>0</v>
      </c>
      <c r="J137" s="7" t="inlineStr">
        <is>
          <t>D-06-02 : 120</t>
        </is>
      </c>
      <c r="K137" s="7" t="inlineStr"/>
      <c r="L137" s="9" t="n">
        <v>120</v>
      </c>
      <c r="M137" s="9" t="n">
        <v>120</v>
      </c>
      <c r="N137" s="9" t="n">
        <v>31</v>
      </c>
      <c r="O137" s="7" t="inlineStr">
        <is>
          <t>CTL</t>
        </is>
      </c>
      <c r="P137" s="7" t="inlineStr">
        <is>
          <t>IMPORTANT</t>
        </is>
      </c>
      <c r="Q137" s="7" t="inlineStr">
        <is>
          <t>WHAP</t>
        </is>
      </c>
      <c r="R137" s="7" t="inlineStr">
        <is>
          <t>OUI</t>
        </is>
      </c>
      <c r="S137" s="7" t="inlineStr">
        <is>
          <t>31/08/2026 02:59</t>
        </is>
      </c>
    </row>
    <row r="138">
      <c r="A138" s="8" t="inlineStr">
        <is>
          <t>WHAP-0134</t>
        </is>
      </c>
      <c r="B138" s="8" t="inlineStr">
        <is>
          <t>BTR-0134</t>
        </is>
      </c>
      <c r="C138" s="8" t="inlineStr">
        <is>
          <t>arbre secondaire</t>
        </is>
      </c>
      <c r="D138" s="8" t="inlineStr">
        <is>
          <t>Boîte de transfert</t>
        </is>
      </c>
      <c r="E138" s="8" t="inlineStr">
        <is>
          <t>Boîte de transfert</t>
        </is>
      </c>
      <c r="F138" s="8" t="inlineStr">
        <is>
          <t>PIECE_VEHICULE</t>
        </is>
      </c>
      <c r="G138" s="8" t="inlineStr">
        <is>
          <t>unité</t>
        </is>
      </c>
      <c r="H138" s="8" t="inlineStr">
        <is>
          <t>LARGE</t>
        </is>
      </c>
      <c r="I138" s="8" t="n">
        <v>0</v>
      </c>
      <c r="J138" s="8" t="inlineStr">
        <is>
          <t>C-04-03</t>
        </is>
      </c>
      <c r="K138" s="8" t="inlineStr"/>
      <c r="L138" s="10" t="n">
        <v>0</v>
      </c>
      <c r="M138" s="10" t="n">
        <v>0</v>
      </c>
      <c r="N138" s="10" t="n">
        <v>27</v>
      </c>
      <c r="O138" s="8" t="inlineStr">
        <is>
          <t>BOS</t>
        </is>
      </c>
      <c r="P138" s="8" t="inlineStr">
        <is>
          <t>IMPORTANT</t>
        </is>
      </c>
      <c r="Q138" s="8" t="inlineStr">
        <is>
          <t>WHAP</t>
        </is>
      </c>
      <c r="R138" s="8" t="inlineStr">
        <is>
          <t>OUI</t>
        </is>
      </c>
      <c r="S138" s="8" t="inlineStr">
        <is>
          <t>31/08/2026 02:59</t>
        </is>
      </c>
    </row>
    <row r="139">
      <c r="A139" s="7" t="inlineStr">
        <is>
          <t>WHAP-0135</t>
        </is>
      </c>
      <c r="B139" s="7" t="inlineStr">
        <is>
          <t>BTR-0135</t>
        </is>
      </c>
      <c r="C139" s="7" t="inlineStr">
        <is>
          <t>pignon d'entrée</t>
        </is>
      </c>
      <c r="D139" s="7" t="inlineStr">
        <is>
          <t>Boîte de transfert</t>
        </is>
      </c>
      <c r="E139" s="7" t="inlineStr">
        <is>
          <t>Boîte de transfert</t>
        </is>
      </c>
      <c r="F139" s="7" t="inlineStr">
        <is>
          <t>PIECE_VEHICULE</t>
        </is>
      </c>
      <c r="G139" s="7" t="inlineStr">
        <is>
          <t>unité</t>
        </is>
      </c>
      <c r="H139" s="7" t="inlineStr">
        <is>
          <t>LARGE</t>
        </is>
      </c>
      <c r="I139" s="7" t="n">
        <v>0</v>
      </c>
      <c r="J139" s="7" t="inlineStr">
        <is>
          <t>F-02-01</t>
        </is>
      </c>
      <c r="K139" s="7" t="inlineStr"/>
      <c r="L139" s="9" t="n">
        <v>0</v>
      </c>
      <c r="M139" s="9" t="n">
        <v>0</v>
      </c>
      <c r="N139" s="9" t="n">
        <v>27</v>
      </c>
      <c r="O139" s="7" t="inlineStr">
        <is>
          <t>VAL</t>
        </is>
      </c>
      <c r="P139" s="7" t="inlineStr">
        <is>
          <t>IMPORTANT</t>
        </is>
      </c>
      <c r="Q139" s="7" t="inlineStr">
        <is>
          <t>WHAP</t>
        </is>
      </c>
      <c r="R139" s="7" t="inlineStr">
        <is>
          <t>OUI</t>
        </is>
      </c>
      <c r="S139" s="7" t="inlineStr">
        <is>
          <t>31/08/2026 02:59</t>
        </is>
      </c>
    </row>
    <row r="140">
      <c r="A140" s="8" t="inlineStr">
        <is>
          <t>WHAP-0136</t>
        </is>
      </c>
      <c r="B140" s="8" t="inlineStr">
        <is>
          <t>BTR-0136</t>
        </is>
      </c>
      <c r="C140" s="8" t="inlineStr">
        <is>
          <t>pignon de sortie</t>
        </is>
      </c>
      <c r="D140" s="8" t="inlineStr">
        <is>
          <t>Boîte de transfert</t>
        </is>
      </c>
      <c r="E140" s="8" t="inlineStr">
        <is>
          <t>Boîte de transfert</t>
        </is>
      </c>
      <c r="F140" s="8" t="inlineStr">
        <is>
          <t>PIECE_VEHICULE</t>
        </is>
      </c>
      <c r="G140" s="8" t="inlineStr">
        <is>
          <t>unité</t>
        </is>
      </c>
      <c r="H140" s="8" t="inlineStr">
        <is>
          <t>LARGE</t>
        </is>
      </c>
      <c r="I140" s="8" t="n">
        <v>0</v>
      </c>
      <c r="J140" s="8" t="inlineStr">
        <is>
          <t>F-05-01</t>
        </is>
      </c>
      <c r="K140" s="8" t="inlineStr"/>
      <c r="L140" s="10" t="n">
        <v>0</v>
      </c>
      <c r="M140" s="10" t="n">
        <v>0</v>
      </c>
      <c r="N140" s="10" t="n">
        <v>23</v>
      </c>
      <c r="O140" s="8" t="inlineStr">
        <is>
          <t>VAL</t>
        </is>
      </c>
      <c r="P140" s="8" t="inlineStr">
        <is>
          <t>IMPORTANT</t>
        </is>
      </c>
      <c r="Q140" s="8" t="inlineStr">
        <is>
          <t>WHAP</t>
        </is>
      </c>
      <c r="R140" s="8" t="inlineStr">
        <is>
          <t>OUI</t>
        </is>
      </c>
      <c r="S140" s="8" t="inlineStr">
        <is>
          <t>31/08/2026 02:59</t>
        </is>
      </c>
    </row>
    <row r="141">
      <c r="A141" s="7" t="inlineStr">
        <is>
          <t>WHAP-0137</t>
        </is>
      </c>
      <c r="B141" s="7" t="inlineStr">
        <is>
          <t>BTR-0137</t>
        </is>
      </c>
      <c r="C141" s="7" t="inlineStr">
        <is>
          <t>pignon intermédiaire</t>
        </is>
      </c>
      <c r="D141" s="7" t="inlineStr">
        <is>
          <t>Boîte de transfert</t>
        </is>
      </c>
      <c r="E141" s="7" t="inlineStr">
        <is>
          <t>Boîte de transfert</t>
        </is>
      </c>
      <c r="F141" s="7" t="inlineStr">
        <is>
          <t>PIECE_VEHICULE</t>
        </is>
      </c>
      <c r="G141" s="7" t="inlineStr">
        <is>
          <t>unité</t>
        </is>
      </c>
      <c r="H141" s="7" t="inlineStr">
        <is>
          <t>LARGE</t>
        </is>
      </c>
      <c r="I141" s="7" t="n">
        <v>0</v>
      </c>
      <c r="J141" s="7" t="inlineStr">
        <is>
          <t>B-02-03</t>
        </is>
      </c>
      <c r="K141" s="7" t="inlineStr"/>
      <c r="L141" s="9" t="n">
        <v>0</v>
      </c>
      <c r="M141" s="9" t="n">
        <v>0</v>
      </c>
      <c r="N141" s="9" t="n">
        <v>24</v>
      </c>
      <c r="O141" s="7" t="inlineStr">
        <is>
          <t>VAL</t>
        </is>
      </c>
      <c r="P141" s="7" t="inlineStr">
        <is>
          <t>IMPORTANT</t>
        </is>
      </c>
      <c r="Q141" s="7" t="inlineStr">
        <is>
          <t>WHAP</t>
        </is>
      </c>
      <c r="R141" s="7" t="inlineStr">
        <is>
          <t>OUI</t>
        </is>
      </c>
      <c r="S141" s="7" t="inlineStr">
        <is>
          <t>31/08/2026 02:59</t>
        </is>
      </c>
    </row>
    <row r="142">
      <c r="A142" s="8" t="inlineStr">
        <is>
          <t>WHAP-0138</t>
        </is>
      </c>
      <c r="B142" s="8" t="inlineStr">
        <is>
          <t>BTR-0138</t>
        </is>
      </c>
      <c r="C142" s="8" t="inlineStr">
        <is>
          <t>chaîne de transfert</t>
        </is>
      </c>
      <c r="D142" s="8" t="inlineStr">
        <is>
          <t>Boîte de transfert</t>
        </is>
      </c>
      <c r="E142" s="8" t="inlineStr">
        <is>
          <t>Boîte de transfert</t>
        </is>
      </c>
      <c r="F142" s="8" t="inlineStr">
        <is>
          <t>PIECE_VEHICULE</t>
        </is>
      </c>
      <c r="G142" s="8" t="inlineStr">
        <is>
          <t>unité</t>
        </is>
      </c>
      <c r="H142" s="8" t="inlineStr">
        <is>
          <t>LARGE</t>
        </is>
      </c>
      <c r="I142" s="8" t="n">
        <v>0</v>
      </c>
      <c r="J142" s="8" t="inlineStr">
        <is>
          <t>A-01-01</t>
        </is>
      </c>
      <c r="K142" s="8" t="inlineStr"/>
      <c r="L142" s="10" t="n">
        <v>0</v>
      </c>
      <c r="M142" s="10" t="n">
        <v>0</v>
      </c>
      <c r="N142" s="10" t="n">
        <v>26</v>
      </c>
      <c r="O142" s="8" t="inlineStr">
        <is>
          <t>BOS</t>
        </is>
      </c>
      <c r="P142" s="8" t="inlineStr">
        <is>
          <t>IMPORTANT</t>
        </is>
      </c>
      <c r="Q142" s="8" t="inlineStr">
        <is>
          <t>WHAP</t>
        </is>
      </c>
      <c r="R142" s="8" t="inlineStr">
        <is>
          <t>OUI</t>
        </is>
      </c>
      <c r="S142" s="8" t="inlineStr">
        <is>
          <t>31/08/2026 02:59</t>
        </is>
      </c>
    </row>
    <row r="143">
      <c r="A143" s="7" t="inlineStr">
        <is>
          <t>WHAP-0139</t>
        </is>
      </c>
      <c r="B143" s="7" t="inlineStr">
        <is>
          <t>BTR-0139</t>
        </is>
      </c>
      <c r="C143" s="7" t="inlineStr">
        <is>
          <t>fourchette de sélection</t>
        </is>
      </c>
      <c r="D143" s="7" t="inlineStr">
        <is>
          <t>Boîte de transfert</t>
        </is>
      </c>
      <c r="E143" s="7" t="inlineStr">
        <is>
          <t>Boîte de transfert</t>
        </is>
      </c>
      <c r="F143" s="7" t="inlineStr">
        <is>
          <t>PIECE_VEHICULE</t>
        </is>
      </c>
      <c r="G143" s="7" t="inlineStr">
        <is>
          <t>unité</t>
        </is>
      </c>
      <c r="H143" s="7" t="inlineStr">
        <is>
          <t>LARGE</t>
        </is>
      </c>
      <c r="I143" s="7" t="n">
        <v>0</v>
      </c>
      <c r="J143" s="7" t="inlineStr">
        <is>
          <t>A-03-03</t>
        </is>
      </c>
      <c r="K143" s="7" t="inlineStr"/>
      <c r="L143" s="9" t="n">
        <v>0</v>
      </c>
      <c r="M143" s="9" t="n">
        <v>0</v>
      </c>
      <c r="N143" s="9" t="n">
        <v>28</v>
      </c>
      <c r="O143" s="7" t="inlineStr">
        <is>
          <t>BOS</t>
        </is>
      </c>
      <c r="P143" s="7" t="inlineStr">
        <is>
          <t>IMPORTANT</t>
        </is>
      </c>
      <c r="Q143" s="7" t="inlineStr">
        <is>
          <t>WHAP</t>
        </is>
      </c>
      <c r="R143" s="7" t="inlineStr">
        <is>
          <t>OUI</t>
        </is>
      </c>
      <c r="S143" s="7" t="inlineStr">
        <is>
          <t>31/08/2026 02:59</t>
        </is>
      </c>
    </row>
    <row r="144">
      <c r="A144" s="8" t="inlineStr">
        <is>
          <t>WHAP-0140</t>
        </is>
      </c>
      <c r="B144" s="8" t="inlineStr">
        <is>
          <t>BTR-0140</t>
        </is>
      </c>
      <c r="C144" s="8" t="inlineStr">
        <is>
          <t>manchon de crabotage</t>
        </is>
      </c>
      <c r="D144" s="8" t="inlineStr">
        <is>
          <t>Boîte de transfert</t>
        </is>
      </c>
      <c r="E144" s="8" t="inlineStr">
        <is>
          <t>Boîte de transfert</t>
        </is>
      </c>
      <c r="F144" s="8" t="inlineStr">
        <is>
          <t>PIECE_VEHICULE</t>
        </is>
      </c>
      <c r="G144" s="8" t="inlineStr">
        <is>
          <t>unité</t>
        </is>
      </c>
      <c r="H144" s="8" t="inlineStr">
        <is>
          <t>LARGE</t>
        </is>
      </c>
      <c r="I144" s="8" t="n">
        <v>0</v>
      </c>
      <c r="J144" s="8" t="inlineStr">
        <is>
          <t>B-02-03</t>
        </is>
      </c>
      <c r="K144" s="8" t="inlineStr"/>
      <c r="L144" s="10" t="n">
        <v>0</v>
      </c>
      <c r="M144" s="10" t="n">
        <v>0</v>
      </c>
      <c r="N144" s="10" t="n">
        <v>29</v>
      </c>
      <c r="O144" s="8" t="inlineStr">
        <is>
          <t>VAL</t>
        </is>
      </c>
      <c r="P144" s="8" t="inlineStr">
        <is>
          <t>IMPORTANT</t>
        </is>
      </c>
      <c r="Q144" s="8" t="inlineStr">
        <is>
          <t>WHAP</t>
        </is>
      </c>
      <c r="R144" s="8" t="inlineStr">
        <is>
          <t>OUI</t>
        </is>
      </c>
      <c r="S144" s="8" t="inlineStr">
        <is>
          <t>31/08/2026 02:59</t>
        </is>
      </c>
    </row>
    <row r="145">
      <c r="A145" s="7" t="inlineStr">
        <is>
          <t>WHAP-0141</t>
        </is>
      </c>
      <c r="B145" s="7" t="inlineStr">
        <is>
          <t>BTR-0141</t>
        </is>
      </c>
      <c r="C145" s="7" t="inlineStr">
        <is>
          <t>synchroniseur</t>
        </is>
      </c>
      <c r="D145" s="7" t="inlineStr">
        <is>
          <t>Boîte de transfert</t>
        </is>
      </c>
      <c r="E145" s="7" t="inlineStr">
        <is>
          <t>Boîte de transfert</t>
        </is>
      </c>
      <c r="F145" s="7" t="inlineStr">
        <is>
          <t>PIECE_VEHICULE</t>
        </is>
      </c>
      <c r="G145" s="7" t="inlineStr">
        <is>
          <t>unité</t>
        </is>
      </c>
      <c r="H145" s="7" t="inlineStr">
        <is>
          <t>LARGE</t>
        </is>
      </c>
      <c r="I145" s="7" t="n">
        <v>0</v>
      </c>
      <c r="J145" s="7" t="inlineStr">
        <is>
          <t>E-05-01</t>
        </is>
      </c>
      <c r="K145" s="7" t="inlineStr"/>
      <c r="L145" s="9" t="n">
        <v>0</v>
      </c>
      <c r="M145" s="9" t="n">
        <v>0</v>
      </c>
      <c r="N145" s="9" t="n">
        <v>32</v>
      </c>
      <c r="O145" s="7" t="inlineStr">
        <is>
          <t>HEL</t>
        </is>
      </c>
      <c r="P145" s="7" t="inlineStr">
        <is>
          <t>IMPORTANT</t>
        </is>
      </c>
      <c r="Q145" s="7" t="inlineStr">
        <is>
          <t>WHAP</t>
        </is>
      </c>
      <c r="R145" s="7" t="inlineStr">
        <is>
          <t>OUI</t>
        </is>
      </c>
      <c r="S145" s="7" t="inlineStr">
        <is>
          <t>31/08/2026 02:59</t>
        </is>
      </c>
    </row>
    <row r="146">
      <c r="A146" s="8" t="inlineStr">
        <is>
          <t>WHAP-0142</t>
        </is>
      </c>
      <c r="B146" s="8" t="inlineStr">
        <is>
          <t>BTR-0142</t>
        </is>
      </c>
      <c r="C146" s="8" t="inlineStr">
        <is>
          <t>actionneur de gamme</t>
        </is>
      </c>
      <c r="D146" s="8" t="inlineStr">
        <is>
          <t>Boîte de transfert</t>
        </is>
      </c>
      <c r="E146" s="8" t="inlineStr">
        <is>
          <t>Boîte de transfert</t>
        </is>
      </c>
      <c r="F146" s="8" t="inlineStr">
        <is>
          <t>PIECE_VEHICULE</t>
        </is>
      </c>
      <c r="G146" s="8" t="inlineStr">
        <is>
          <t>unité</t>
        </is>
      </c>
      <c r="H146" s="8" t="inlineStr">
        <is>
          <t>LARGE</t>
        </is>
      </c>
      <c r="I146" s="8" t="n">
        <v>0</v>
      </c>
      <c r="J146" s="8" t="inlineStr">
        <is>
          <t>A-03-04</t>
        </is>
      </c>
      <c r="K146" s="8" t="inlineStr"/>
      <c r="L146" s="10" t="n">
        <v>0</v>
      </c>
      <c r="M146" s="10" t="n">
        <v>0</v>
      </c>
      <c r="N146" s="10" t="n">
        <v>24</v>
      </c>
      <c r="O146" s="8" t="inlineStr">
        <is>
          <t>HEL</t>
        </is>
      </c>
      <c r="P146" s="8" t="inlineStr">
        <is>
          <t>IMPORTANT</t>
        </is>
      </c>
      <c r="Q146" s="8" t="inlineStr">
        <is>
          <t>WHAP</t>
        </is>
      </c>
      <c r="R146" s="8" t="inlineStr">
        <is>
          <t>OUI</t>
        </is>
      </c>
      <c r="S146" s="8" t="inlineStr">
        <is>
          <t>31/08/2026 02:59</t>
        </is>
      </c>
    </row>
    <row r="147">
      <c r="A147" s="7" t="inlineStr">
        <is>
          <t>WHAP-0143</t>
        </is>
      </c>
      <c r="B147" s="7" t="inlineStr">
        <is>
          <t>BTR-0143</t>
        </is>
      </c>
      <c r="C147" s="7" t="inlineStr">
        <is>
          <t>capteur de gamme</t>
        </is>
      </c>
      <c r="D147" s="7" t="inlineStr">
        <is>
          <t>Boîte de transfert</t>
        </is>
      </c>
      <c r="E147" s="7" t="inlineStr">
        <is>
          <t>Boîte de transfert</t>
        </is>
      </c>
      <c r="F147" s="7" t="inlineStr">
        <is>
          <t>PIECE_VEHICULE</t>
        </is>
      </c>
      <c r="G147" s="7" t="inlineStr">
        <is>
          <t>unité</t>
        </is>
      </c>
      <c r="H147" s="7" t="inlineStr">
        <is>
          <t>LARGE</t>
        </is>
      </c>
      <c r="I147" s="7" t="n">
        <v>0</v>
      </c>
      <c r="J147" s="7" t="inlineStr">
        <is>
          <t>D-02-01</t>
        </is>
      </c>
      <c r="K147" s="7" t="inlineStr"/>
      <c r="L147" s="9" t="n">
        <v>0</v>
      </c>
      <c r="M147" s="9" t="n">
        <v>0</v>
      </c>
      <c r="N147" s="9" t="n">
        <v>30</v>
      </c>
      <c r="O147" s="7" t="inlineStr">
        <is>
          <t>VAL</t>
        </is>
      </c>
      <c r="P147" s="7" t="inlineStr">
        <is>
          <t>IMPORTANT</t>
        </is>
      </c>
      <c r="Q147" s="7" t="inlineStr">
        <is>
          <t>WHAP</t>
        </is>
      </c>
      <c r="R147" s="7" t="inlineStr">
        <is>
          <t>OUI</t>
        </is>
      </c>
      <c r="S147" s="7" t="inlineStr">
        <is>
          <t>31/08/2026 02:59</t>
        </is>
      </c>
    </row>
    <row r="148">
      <c r="A148" s="8" t="inlineStr">
        <is>
          <t>WHAP-0144</t>
        </is>
      </c>
      <c r="B148" s="8" t="inlineStr">
        <is>
          <t>BTR-0144</t>
        </is>
      </c>
      <c r="C148" s="8" t="inlineStr">
        <is>
          <t>capteur de vitesse</t>
        </is>
      </c>
      <c r="D148" s="8" t="inlineStr">
        <is>
          <t>Boîte de transfert</t>
        </is>
      </c>
      <c r="E148" s="8" t="inlineStr">
        <is>
          <t>Boîte de transfert</t>
        </is>
      </c>
      <c r="F148" s="8" t="inlineStr">
        <is>
          <t>PIECE_VEHICULE</t>
        </is>
      </c>
      <c r="G148" s="8" t="inlineStr">
        <is>
          <t>unité</t>
        </is>
      </c>
      <c r="H148" s="8" t="inlineStr">
        <is>
          <t>LARGE</t>
        </is>
      </c>
      <c r="I148" s="8" t="n">
        <v>0</v>
      </c>
      <c r="J148" s="8" t="inlineStr">
        <is>
          <t>C-02-01</t>
        </is>
      </c>
      <c r="K148" s="8" t="inlineStr"/>
      <c r="L148" s="10" t="n">
        <v>0</v>
      </c>
      <c r="M148" s="10" t="n">
        <v>0</v>
      </c>
      <c r="N148" s="10" t="n">
        <v>31</v>
      </c>
      <c r="O148" s="8" t="inlineStr">
        <is>
          <t>HEL</t>
        </is>
      </c>
      <c r="P148" s="8" t="inlineStr">
        <is>
          <t>IMPORTANT</t>
        </is>
      </c>
      <c r="Q148" s="8" t="inlineStr">
        <is>
          <t>WHAP</t>
        </is>
      </c>
      <c r="R148" s="8" t="inlineStr">
        <is>
          <t>OUI</t>
        </is>
      </c>
      <c r="S148" s="8" t="inlineStr">
        <is>
          <t>31/08/2026 02:59</t>
        </is>
      </c>
    </row>
    <row r="149">
      <c r="A149" s="7" t="inlineStr">
        <is>
          <t>WHAP-0145</t>
        </is>
      </c>
      <c r="B149" s="7" t="inlineStr">
        <is>
          <t>BTR-0145</t>
        </is>
      </c>
      <c r="C149" s="7" t="inlineStr">
        <is>
          <t>pompe de lubrification</t>
        </is>
      </c>
      <c r="D149" s="7" t="inlineStr">
        <is>
          <t>Boîte de transfert</t>
        </is>
      </c>
      <c r="E149" s="7" t="inlineStr">
        <is>
          <t>Boîte de transfert</t>
        </is>
      </c>
      <c r="F149" s="7" t="inlineStr">
        <is>
          <t>PIECE_VEHICULE</t>
        </is>
      </c>
      <c r="G149" s="7" t="inlineStr">
        <is>
          <t>unité</t>
        </is>
      </c>
      <c r="H149" s="7" t="inlineStr">
        <is>
          <t>LARGE</t>
        </is>
      </c>
      <c r="I149" s="7" t="n">
        <v>0</v>
      </c>
      <c r="J149" s="7" t="inlineStr">
        <is>
          <t>C-01-03</t>
        </is>
      </c>
      <c r="K149" s="7" t="inlineStr"/>
      <c r="L149" s="9" t="n">
        <v>0</v>
      </c>
      <c r="M149" s="9" t="n">
        <v>0</v>
      </c>
      <c r="N149" s="9" t="n">
        <v>25</v>
      </c>
      <c r="O149" s="7" t="inlineStr">
        <is>
          <t>SUM</t>
        </is>
      </c>
      <c r="P149" s="7" t="inlineStr">
        <is>
          <t>IMPORTANT</t>
        </is>
      </c>
      <c r="Q149" s="7" t="inlineStr">
        <is>
          <t>WHAP</t>
        </is>
      </c>
      <c r="R149" s="7" t="inlineStr">
        <is>
          <t>OUI</t>
        </is>
      </c>
      <c r="S149" s="7" t="inlineStr">
        <is>
          <t>31/08/2026 02:59</t>
        </is>
      </c>
    </row>
    <row r="150">
      <c r="A150" s="8" t="inlineStr">
        <is>
          <t>WHAP-0146</t>
        </is>
      </c>
      <c r="B150" s="8" t="inlineStr">
        <is>
          <t>BTR-0146</t>
        </is>
      </c>
      <c r="C150" s="8" t="inlineStr">
        <is>
          <t>filtre de lubrification</t>
        </is>
      </c>
      <c r="D150" s="8" t="inlineStr">
        <is>
          <t>Boîte de transfert</t>
        </is>
      </c>
      <c r="E150" s="8" t="inlineStr">
        <is>
          <t>Boîte de transfert</t>
        </is>
      </c>
      <c r="F150" s="8" t="inlineStr">
        <is>
          <t>PIECE_VEHICULE</t>
        </is>
      </c>
      <c r="G150" s="8" t="inlineStr">
        <is>
          <t>unité</t>
        </is>
      </c>
      <c r="H150" s="8" t="inlineStr">
        <is>
          <t>LARGE</t>
        </is>
      </c>
      <c r="I150" s="8" t="n">
        <v>0</v>
      </c>
      <c r="J150" s="8" t="inlineStr">
        <is>
          <t>A-02-04</t>
        </is>
      </c>
      <c r="K150" s="8" t="inlineStr"/>
      <c r="L150" s="10" t="n">
        <v>0</v>
      </c>
      <c r="M150" s="10" t="n">
        <v>0</v>
      </c>
      <c r="N150" s="10" t="n">
        <v>27</v>
      </c>
      <c r="O150" s="8" t="inlineStr">
        <is>
          <t>SUM</t>
        </is>
      </c>
      <c r="P150" s="8" t="inlineStr">
        <is>
          <t>IMPORTANT</t>
        </is>
      </c>
      <c r="Q150" s="8" t="inlineStr">
        <is>
          <t>WHAP</t>
        </is>
      </c>
      <c r="R150" s="8" t="inlineStr">
        <is>
          <t>OUI</t>
        </is>
      </c>
      <c r="S150" s="8" t="inlineStr">
        <is>
          <t>31/08/2026 02:59</t>
        </is>
      </c>
    </row>
    <row r="151">
      <c r="A151" s="7" t="inlineStr">
        <is>
          <t>WHAP-0147</t>
        </is>
      </c>
      <c r="B151" s="7" t="inlineStr">
        <is>
          <t>BTR-0147</t>
        </is>
      </c>
      <c r="C151" s="7" t="inlineStr">
        <is>
          <t>roulement</t>
        </is>
      </c>
      <c r="D151" s="7" t="inlineStr">
        <is>
          <t>Boîte de transfert</t>
        </is>
      </c>
      <c r="E151" s="7" t="inlineStr">
        <is>
          <t>Boîte de transfert</t>
        </is>
      </c>
      <c r="F151" s="7" t="inlineStr">
        <is>
          <t>PIECE_VEHICULE</t>
        </is>
      </c>
      <c r="G151" s="7" t="inlineStr">
        <is>
          <t>unité</t>
        </is>
      </c>
      <c r="H151" s="7" t="inlineStr">
        <is>
          <t>LARGE</t>
        </is>
      </c>
      <c r="I151" s="7" t="n">
        <v>0</v>
      </c>
      <c r="J151" s="7" t="inlineStr">
        <is>
          <t>F-06-04</t>
        </is>
      </c>
      <c r="K151" s="7" t="inlineStr"/>
      <c r="L151" s="9" t="n">
        <v>0</v>
      </c>
      <c r="M151" s="9" t="n">
        <v>0</v>
      </c>
      <c r="N151" s="9" t="n">
        <v>32</v>
      </c>
      <c r="O151" s="7" t="inlineStr">
        <is>
          <t>VAL</t>
        </is>
      </c>
      <c r="P151" s="7" t="inlineStr">
        <is>
          <t>IMPORTANT</t>
        </is>
      </c>
      <c r="Q151" s="7" t="inlineStr">
        <is>
          <t>WHAP</t>
        </is>
      </c>
      <c r="R151" s="7" t="inlineStr">
        <is>
          <t>OUI</t>
        </is>
      </c>
      <c r="S151" s="7" t="inlineStr">
        <is>
          <t>31/08/2026 02:59</t>
        </is>
      </c>
    </row>
    <row r="152">
      <c r="A152" s="8" t="inlineStr">
        <is>
          <t>WHAP-0148</t>
        </is>
      </c>
      <c r="B152" s="8" t="inlineStr">
        <is>
          <t>BTR-0148</t>
        </is>
      </c>
      <c r="C152" s="8" t="inlineStr">
        <is>
          <t>joint spi</t>
        </is>
      </c>
      <c r="D152" s="8" t="inlineStr">
        <is>
          <t>Boîte de transfert</t>
        </is>
      </c>
      <c r="E152" s="8" t="inlineStr">
        <is>
          <t>Boîte de transfert</t>
        </is>
      </c>
      <c r="F152" s="8" t="inlineStr">
        <is>
          <t>PIECE_VEHICULE</t>
        </is>
      </c>
      <c r="G152" s="8" t="inlineStr">
        <is>
          <t>unité</t>
        </is>
      </c>
      <c r="H152" s="8" t="inlineStr">
        <is>
          <t>LARGE</t>
        </is>
      </c>
      <c r="I152" s="8" t="n">
        <v>0</v>
      </c>
      <c r="J152" s="8" t="inlineStr">
        <is>
          <t>A-03-03</t>
        </is>
      </c>
      <c r="K152" s="8" t="inlineStr"/>
      <c r="L152" s="10" t="n">
        <v>0</v>
      </c>
      <c r="M152" s="10" t="n">
        <v>0</v>
      </c>
      <c r="N152" s="10" t="n">
        <v>31</v>
      </c>
      <c r="O152" s="8" t="inlineStr">
        <is>
          <t>MAG</t>
        </is>
      </c>
      <c r="P152" s="8" t="inlineStr">
        <is>
          <t>IMPORTANT</t>
        </is>
      </c>
      <c r="Q152" s="8" t="inlineStr">
        <is>
          <t>WHAP</t>
        </is>
      </c>
      <c r="R152" s="8" t="inlineStr">
        <is>
          <t>OUI</t>
        </is>
      </c>
      <c r="S152" s="8" t="inlineStr">
        <is>
          <t>31/08/2026 02:59</t>
        </is>
      </c>
    </row>
    <row r="153">
      <c r="A153" s="7" t="inlineStr">
        <is>
          <t>WHAP-0149</t>
        </is>
      </c>
      <c r="B153" s="7" t="inlineStr">
        <is>
          <t>BTR-0149</t>
        </is>
      </c>
      <c r="C153" s="7" t="inlineStr">
        <is>
          <t>joint torique</t>
        </is>
      </c>
      <c r="D153" s="7" t="inlineStr">
        <is>
          <t>Boîte de transfert</t>
        </is>
      </c>
      <c r="E153" s="7" t="inlineStr">
        <is>
          <t>Boîte de transfert</t>
        </is>
      </c>
      <c r="F153" s="7" t="inlineStr">
        <is>
          <t>PIECE_VEHICULE</t>
        </is>
      </c>
      <c r="G153" s="7" t="inlineStr">
        <is>
          <t>unité</t>
        </is>
      </c>
      <c r="H153" s="7" t="inlineStr">
        <is>
          <t>LARGE</t>
        </is>
      </c>
      <c r="I153" s="7" t="n">
        <v>0</v>
      </c>
      <c r="J153" s="7" t="inlineStr">
        <is>
          <t>B-02-03</t>
        </is>
      </c>
      <c r="K153" s="7" t="inlineStr"/>
      <c r="L153" s="9" t="n">
        <v>0</v>
      </c>
      <c r="M153" s="9" t="n">
        <v>0</v>
      </c>
      <c r="N153" s="9" t="n">
        <v>23</v>
      </c>
      <c r="O153" s="7" t="inlineStr">
        <is>
          <t>FAU</t>
        </is>
      </c>
      <c r="P153" s="7" t="inlineStr">
        <is>
          <t>IMPORTANT</t>
        </is>
      </c>
      <c r="Q153" s="7" t="inlineStr">
        <is>
          <t>WHAP</t>
        </is>
      </c>
      <c r="R153" s="7" t="inlineStr">
        <is>
          <t>OUI</t>
        </is>
      </c>
      <c r="S153" s="7" t="inlineStr">
        <is>
          <t>31/08/2026 02:59</t>
        </is>
      </c>
    </row>
    <row r="154">
      <c r="A154" s="8" t="inlineStr">
        <is>
          <t>WHAP-0150</t>
        </is>
      </c>
      <c r="B154" s="8" t="inlineStr">
        <is>
          <t>BTR-0150</t>
        </is>
      </c>
      <c r="C154" s="8" t="inlineStr">
        <is>
          <t>bouchon de vidange</t>
        </is>
      </c>
      <c r="D154" s="8" t="inlineStr">
        <is>
          <t>Boîte de transfert</t>
        </is>
      </c>
      <c r="E154" s="8" t="inlineStr">
        <is>
          <t>Boîte de transfert</t>
        </is>
      </c>
      <c r="F154" s="8" t="inlineStr">
        <is>
          <t>PIECE_VEHICULE</t>
        </is>
      </c>
      <c r="G154" s="8" t="inlineStr">
        <is>
          <t>unité</t>
        </is>
      </c>
      <c r="H154" s="8" t="inlineStr">
        <is>
          <t>LARGE</t>
        </is>
      </c>
      <c r="I154" s="8" t="n">
        <v>0</v>
      </c>
      <c r="J154" s="8" t="inlineStr">
        <is>
          <t>A-06-04</t>
        </is>
      </c>
      <c r="K154" s="8" t="inlineStr"/>
      <c r="L154" s="10" t="n">
        <v>0</v>
      </c>
      <c r="M154" s="10" t="n">
        <v>0</v>
      </c>
      <c r="N154" s="10" t="n">
        <v>28</v>
      </c>
      <c r="O154" s="8" t="inlineStr">
        <is>
          <t>MAG</t>
        </is>
      </c>
      <c r="P154" s="8" t="inlineStr">
        <is>
          <t>IMPORTANT</t>
        </is>
      </c>
      <c r="Q154" s="8" t="inlineStr">
        <is>
          <t>WHAP</t>
        </is>
      </c>
      <c r="R154" s="8" t="inlineStr">
        <is>
          <t>OUI</t>
        </is>
      </c>
      <c r="S154" s="8" t="inlineStr">
        <is>
          <t>31/08/2026 02:59</t>
        </is>
      </c>
    </row>
    <row r="155">
      <c r="A155" s="7" t="inlineStr">
        <is>
          <t>WHAP-0151</t>
        </is>
      </c>
      <c r="B155" s="7" t="inlineStr">
        <is>
          <t>ARB-0151</t>
        </is>
      </c>
      <c r="C155" s="7" t="inlineStr">
        <is>
          <t>arbre de transmission avant</t>
        </is>
      </c>
      <c r="D155" s="7" t="inlineStr">
        <is>
          <t>Arbres de transmission</t>
        </is>
      </c>
      <c r="E155" s="7" t="inlineStr">
        <is>
          <t>Arbres de transmission</t>
        </is>
      </c>
      <c r="F155" s="7" t="inlineStr">
        <is>
          <t>PIECE_VEHICULE</t>
        </is>
      </c>
      <c r="G155" s="7" t="inlineStr">
        <is>
          <t>unité</t>
        </is>
      </c>
      <c r="H155" s="7" t="inlineStr">
        <is>
          <t>LARGE</t>
        </is>
      </c>
      <c r="I155" s="7" t="n">
        <v>0</v>
      </c>
      <c r="J155" s="7" t="inlineStr">
        <is>
          <t>C-02-03 : 72</t>
        </is>
      </c>
      <c r="K155" s="7" t="inlineStr"/>
      <c r="L155" s="9" t="n">
        <v>72</v>
      </c>
      <c r="M155" s="9" t="n">
        <v>72</v>
      </c>
      <c r="N155" s="9" t="n">
        <v>27</v>
      </c>
      <c r="O155" s="7" t="inlineStr">
        <is>
          <t>HEL</t>
        </is>
      </c>
      <c r="P155" s="7" t="inlineStr">
        <is>
          <t>IMPORTANT</t>
        </is>
      </c>
      <c r="Q155" s="7" t="inlineStr">
        <is>
          <t>WHAP</t>
        </is>
      </c>
      <c r="R155" s="7" t="inlineStr">
        <is>
          <t>OUI</t>
        </is>
      </c>
      <c r="S155" s="7" t="inlineStr">
        <is>
          <t>31/08/2026 02:59</t>
        </is>
      </c>
    </row>
    <row r="156">
      <c r="A156" s="8" t="inlineStr">
        <is>
          <t>WHAP-0152</t>
        </is>
      </c>
      <c r="B156" s="8" t="inlineStr">
        <is>
          <t>ARB-0152</t>
        </is>
      </c>
      <c r="C156" s="8" t="inlineStr">
        <is>
          <t>arbre de transmission arrière</t>
        </is>
      </c>
      <c r="D156" s="8" t="inlineStr">
        <is>
          <t>Arbres de transmission</t>
        </is>
      </c>
      <c r="E156" s="8" t="inlineStr">
        <is>
          <t>Arbres de transmission</t>
        </is>
      </c>
      <c r="F156" s="8" t="inlineStr">
        <is>
          <t>PIECE_VEHICULE</t>
        </is>
      </c>
      <c r="G156" s="8" t="inlineStr">
        <is>
          <t>unité</t>
        </is>
      </c>
      <c r="H156" s="8" t="inlineStr">
        <is>
          <t>LARGE</t>
        </is>
      </c>
      <c r="I156" s="8" t="n">
        <v>0</v>
      </c>
      <c r="J156" s="8" t="inlineStr">
        <is>
          <t>D-05-04 : 186</t>
        </is>
      </c>
      <c r="K156" s="8" t="inlineStr"/>
      <c r="L156" s="10" t="n">
        <v>186</v>
      </c>
      <c r="M156" s="10" t="n">
        <v>186</v>
      </c>
      <c r="N156" s="10" t="n">
        <v>25</v>
      </c>
      <c r="O156" s="8" t="inlineStr">
        <is>
          <t>FAU</t>
        </is>
      </c>
      <c r="P156" s="8" t="inlineStr">
        <is>
          <t>IMPORTANT</t>
        </is>
      </c>
      <c r="Q156" s="8" t="inlineStr">
        <is>
          <t>WHAP</t>
        </is>
      </c>
      <c r="R156" s="8" t="inlineStr">
        <is>
          <t>OUI</t>
        </is>
      </c>
      <c r="S156" s="8" t="inlineStr">
        <is>
          <t>31/08/2026 02:59</t>
        </is>
      </c>
    </row>
    <row r="157">
      <c r="A157" s="7" t="inlineStr">
        <is>
          <t>WHAP-0153</t>
        </is>
      </c>
      <c r="B157" s="7" t="inlineStr">
        <is>
          <t>ARB-0153</t>
        </is>
      </c>
      <c r="C157" s="7" t="inlineStr">
        <is>
          <t>arbre intermédiaire</t>
        </is>
      </c>
      <c r="D157" s="7" t="inlineStr">
        <is>
          <t>Arbres de transmission</t>
        </is>
      </c>
      <c r="E157" s="7" t="inlineStr">
        <is>
          <t>Arbres de transmission</t>
        </is>
      </c>
      <c r="F157" s="7" t="inlineStr">
        <is>
          <t>PIECE_VEHICULE</t>
        </is>
      </c>
      <c r="G157" s="7" t="inlineStr">
        <is>
          <t>unité</t>
        </is>
      </c>
      <c r="H157" s="7" t="inlineStr">
        <is>
          <t>LARGE</t>
        </is>
      </c>
      <c r="I157" s="7" t="n">
        <v>0</v>
      </c>
      <c r="J157" s="7" t="inlineStr">
        <is>
          <t>F-02-01 : 114</t>
        </is>
      </c>
      <c r="K157" s="7" t="inlineStr"/>
      <c r="L157" s="9" t="n">
        <v>114</v>
      </c>
      <c r="M157" s="9" t="n">
        <v>114</v>
      </c>
      <c r="N157" s="9" t="n">
        <v>28</v>
      </c>
      <c r="O157" s="7" t="inlineStr">
        <is>
          <t>VAL</t>
        </is>
      </c>
      <c r="P157" s="7" t="inlineStr">
        <is>
          <t>IMPORTANT</t>
        </is>
      </c>
      <c r="Q157" s="7" t="inlineStr">
        <is>
          <t>WHAP</t>
        </is>
      </c>
      <c r="R157" s="7" t="inlineStr">
        <is>
          <t>OUI</t>
        </is>
      </c>
      <c r="S157" s="7" t="inlineStr">
        <is>
          <t>31/08/2026 02:59</t>
        </is>
      </c>
    </row>
    <row r="158">
      <c r="A158" s="8" t="inlineStr">
        <is>
          <t>WHAP-0154</t>
        </is>
      </c>
      <c r="B158" s="8" t="inlineStr">
        <is>
          <t>ARB-0154</t>
        </is>
      </c>
      <c r="C158" s="8" t="inlineStr">
        <is>
          <t>tube d'arbre</t>
        </is>
      </c>
      <c r="D158" s="8" t="inlineStr">
        <is>
          <t>Arbres de transmission</t>
        </is>
      </c>
      <c r="E158" s="8" t="inlineStr">
        <is>
          <t>Arbres de transmission</t>
        </is>
      </c>
      <c r="F158" s="8" t="inlineStr">
        <is>
          <t>PIECE_VEHICULE</t>
        </is>
      </c>
      <c r="G158" s="8" t="inlineStr">
        <is>
          <t>unité</t>
        </is>
      </c>
      <c r="H158" s="8" t="inlineStr">
        <is>
          <t>LARGE</t>
        </is>
      </c>
      <c r="I158" s="8" t="n">
        <v>0</v>
      </c>
      <c r="J158" s="8" t="inlineStr">
        <is>
          <t>D-02-01</t>
        </is>
      </c>
      <c r="K158" s="8" t="inlineStr"/>
      <c r="L158" s="10" t="n">
        <v>0</v>
      </c>
      <c r="M158" s="10" t="n">
        <v>0</v>
      </c>
      <c r="N158" s="10" t="n">
        <v>22</v>
      </c>
      <c r="O158" s="8" t="inlineStr">
        <is>
          <t>FAU</t>
        </is>
      </c>
      <c r="P158" s="8" t="inlineStr">
        <is>
          <t>IMPORTANT</t>
        </is>
      </c>
      <c r="Q158" s="8" t="inlineStr">
        <is>
          <t>WHAP</t>
        </is>
      </c>
      <c r="R158" s="8" t="inlineStr">
        <is>
          <t>OUI</t>
        </is>
      </c>
      <c r="S158" s="8" t="inlineStr">
        <is>
          <t>31/08/2026 02:59</t>
        </is>
      </c>
    </row>
    <row r="159">
      <c r="A159" s="7" t="inlineStr">
        <is>
          <t>WHAP-0155</t>
        </is>
      </c>
      <c r="B159" s="7" t="inlineStr">
        <is>
          <t>ARB-0155</t>
        </is>
      </c>
      <c r="C159" s="7" t="inlineStr">
        <is>
          <t>joint homocinétique</t>
        </is>
      </c>
      <c r="D159" s="7" t="inlineStr">
        <is>
          <t>Arbres de transmission</t>
        </is>
      </c>
      <c r="E159" s="7" t="inlineStr">
        <is>
          <t>Arbres de transmission</t>
        </is>
      </c>
      <c r="F159" s="7" t="inlineStr">
        <is>
          <t>PIECE_VEHICULE</t>
        </is>
      </c>
      <c r="G159" s="7" t="inlineStr">
        <is>
          <t>unité</t>
        </is>
      </c>
      <c r="H159" s="7" t="inlineStr">
        <is>
          <t>LARGE</t>
        </is>
      </c>
      <c r="I159" s="7" t="n">
        <v>0</v>
      </c>
      <c r="J159" s="7" t="inlineStr">
        <is>
          <t>B-02-01</t>
        </is>
      </c>
      <c r="K159" s="7" t="inlineStr"/>
      <c r="L159" s="9" t="n">
        <v>0</v>
      </c>
      <c r="M159" s="9" t="n">
        <v>0</v>
      </c>
      <c r="N159" s="9" t="n">
        <v>29</v>
      </c>
      <c r="O159" s="7" t="inlineStr">
        <is>
          <t>CTL</t>
        </is>
      </c>
      <c r="P159" s="7" t="inlineStr">
        <is>
          <t>IMPORTANT</t>
        </is>
      </c>
      <c r="Q159" s="7" t="inlineStr">
        <is>
          <t>WHAP</t>
        </is>
      </c>
      <c r="R159" s="7" t="inlineStr">
        <is>
          <t>OUI</t>
        </is>
      </c>
      <c r="S159" s="7" t="inlineStr">
        <is>
          <t>31/08/2026 02:59</t>
        </is>
      </c>
    </row>
    <row r="160">
      <c r="A160" s="8" t="inlineStr">
        <is>
          <t>WHAP-0156</t>
        </is>
      </c>
      <c r="B160" s="8" t="inlineStr">
        <is>
          <t>ARB-0156</t>
        </is>
      </c>
      <c r="C160" s="8" t="inlineStr">
        <is>
          <t>cardan</t>
        </is>
      </c>
      <c r="D160" s="8" t="inlineStr">
        <is>
          <t>Arbres de transmission</t>
        </is>
      </c>
      <c r="E160" s="8" t="inlineStr">
        <is>
          <t>Arbres de transmission</t>
        </is>
      </c>
      <c r="F160" s="8" t="inlineStr">
        <is>
          <t>PIECE_VEHICULE</t>
        </is>
      </c>
      <c r="G160" s="8" t="inlineStr">
        <is>
          <t>unité</t>
        </is>
      </c>
      <c r="H160" s="8" t="inlineStr">
        <is>
          <t>LARGE</t>
        </is>
      </c>
      <c r="I160" s="8" t="n">
        <v>0</v>
      </c>
      <c r="J160" s="8" t="inlineStr">
        <is>
          <t>F-06-04</t>
        </is>
      </c>
      <c r="K160" s="8" t="inlineStr"/>
      <c r="L160" s="10" t="n">
        <v>0</v>
      </c>
      <c r="M160" s="10" t="n">
        <v>0</v>
      </c>
      <c r="N160" s="10" t="n">
        <v>29</v>
      </c>
      <c r="O160" s="8" t="inlineStr">
        <is>
          <t>VAL</t>
        </is>
      </c>
      <c r="P160" s="8" t="inlineStr">
        <is>
          <t>IMPORTANT</t>
        </is>
      </c>
      <c r="Q160" s="8" t="inlineStr">
        <is>
          <t>WHAP</t>
        </is>
      </c>
      <c r="R160" s="8" t="inlineStr">
        <is>
          <t>OUI</t>
        </is>
      </c>
      <c r="S160" s="8" t="inlineStr">
        <is>
          <t>31/08/2026 02:59</t>
        </is>
      </c>
    </row>
    <row r="161">
      <c r="A161" s="7" t="inlineStr">
        <is>
          <t>WHAP-0157</t>
        </is>
      </c>
      <c r="B161" s="7" t="inlineStr">
        <is>
          <t>ARB-0157</t>
        </is>
      </c>
      <c r="C161" s="7" t="inlineStr">
        <is>
          <t>croisillon</t>
        </is>
      </c>
      <c r="D161" s="7" t="inlineStr">
        <is>
          <t>Arbres de transmission</t>
        </is>
      </c>
      <c r="E161" s="7" t="inlineStr">
        <is>
          <t>Arbres de transmission</t>
        </is>
      </c>
      <c r="F161" s="7" t="inlineStr">
        <is>
          <t>PIECE_VEHICULE</t>
        </is>
      </c>
      <c r="G161" s="7" t="inlineStr">
        <is>
          <t>unité</t>
        </is>
      </c>
      <c r="H161" s="7" t="inlineStr">
        <is>
          <t>LARGE</t>
        </is>
      </c>
      <c r="I161" s="7" t="n">
        <v>0</v>
      </c>
      <c r="J161" s="7" t="inlineStr">
        <is>
          <t>C-01-02</t>
        </is>
      </c>
      <c r="K161" s="7" t="inlineStr"/>
      <c r="L161" s="9" t="n">
        <v>0</v>
      </c>
      <c r="M161" s="9" t="n">
        <v>0</v>
      </c>
      <c r="N161" s="9" t="n">
        <v>25</v>
      </c>
      <c r="O161" s="7" t="inlineStr">
        <is>
          <t>HEL</t>
        </is>
      </c>
      <c r="P161" s="7" t="inlineStr">
        <is>
          <t>IMPORTANT</t>
        </is>
      </c>
      <c r="Q161" s="7" t="inlineStr">
        <is>
          <t>WHAP</t>
        </is>
      </c>
      <c r="R161" s="7" t="inlineStr">
        <is>
          <t>OUI</t>
        </is>
      </c>
      <c r="S161" s="7" t="inlineStr">
        <is>
          <t>31/08/2026 02:59</t>
        </is>
      </c>
    </row>
    <row r="162">
      <c r="A162" s="8" t="inlineStr">
        <is>
          <t>WHAP-0158</t>
        </is>
      </c>
      <c r="B162" s="8" t="inlineStr">
        <is>
          <t>ARB-0158</t>
        </is>
      </c>
      <c r="C162" s="8" t="inlineStr">
        <is>
          <t>palier central</t>
        </is>
      </c>
      <c r="D162" s="8" t="inlineStr">
        <is>
          <t>Arbres de transmission</t>
        </is>
      </c>
      <c r="E162" s="8" t="inlineStr">
        <is>
          <t>Arbres de transmission</t>
        </is>
      </c>
      <c r="F162" s="8" t="inlineStr">
        <is>
          <t>PIECE_VEHICULE</t>
        </is>
      </c>
      <c r="G162" s="8" t="inlineStr">
        <is>
          <t>unité</t>
        </is>
      </c>
      <c r="H162" s="8" t="inlineStr">
        <is>
          <t>LARGE</t>
        </is>
      </c>
      <c r="I162" s="8" t="n">
        <v>0</v>
      </c>
      <c r="J162" s="8" t="inlineStr">
        <is>
          <t>F-06-04</t>
        </is>
      </c>
      <c r="K162" s="8" t="inlineStr"/>
      <c r="L162" s="10" t="n">
        <v>0</v>
      </c>
      <c r="M162" s="10" t="n">
        <v>0</v>
      </c>
      <c r="N162" s="10" t="n">
        <v>24</v>
      </c>
      <c r="O162" s="8" t="inlineStr">
        <is>
          <t>FAU</t>
        </is>
      </c>
      <c r="P162" s="8" t="inlineStr">
        <is>
          <t>IMPORTANT</t>
        </is>
      </c>
      <c r="Q162" s="8" t="inlineStr">
        <is>
          <t>WHAP</t>
        </is>
      </c>
      <c r="R162" s="8" t="inlineStr">
        <is>
          <t>OUI</t>
        </is>
      </c>
      <c r="S162" s="8" t="inlineStr">
        <is>
          <t>31/08/2026 02:59</t>
        </is>
      </c>
    </row>
    <row r="163">
      <c r="A163" s="7" t="inlineStr">
        <is>
          <t>WHAP-0159</t>
        </is>
      </c>
      <c r="B163" s="7" t="inlineStr">
        <is>
          <t>ARB-0159</t>
        </is>
      </c>
      <c r="C163" s="7" t="inlineStr">
        <is>
          <t>support de palier</t>
        </is>
      </c>
      <c r="D163" s="7" t="inlineStr">
        <is>
          <t>Arbres de transmission</t>
        </is>
      </c>
      <c r="E163" s="7" t="inlineStr">
        <is>
          <t>Arbres de transmission</t>
        </is>
      </c>
      <c r="F163" s="7" t="inlineStr">
        <is>
          <t>PIECE_VEHICULE</t>
        </is>
      </c>
      <c r="G163" s="7" t="inlineStr">
        <is>
          <t>unité</t>
        </is>
      </c>
      <c r="H163" s="7" t="inlineStr">
        <is>
          <t>LARGE</t>
        </is>
      </c>
      <c r="I163" s="7" t="n">
        <v>0</v>
      </c>
      <c r="J163" s="7" t="inlineStr">
        <is>
          <t>D-04-03</t>
        </is>
      </c>
      <c r="K163" s="7" t="inlineStr"/>
      <c r="L163" s="9" t="n">
        <v>0</v>
      </c>
      <c r="M163" s="9" t="n">
        <v>0</v>
      </c>
      <c r="N163" s="9" t="n">
        <v>30</v>
      </c>
      <c r="O163" s="7" t="inlineStr">
        <is>
          <t>SKF</t>
        </is>
      </c>
      <c r="P163" s="7" t="inlineStr">
        <is>
          <t>IMPORTANT</t>
        </is>
      </c>
      <c r="Q163" s="7" t="inlineStr">
        <is>
          <t>WHAP</t>
        </is>
      </c>
      <c r="R163" s="7" t="inlineStr">
        <is>
          <t>OUI</t>
        </is>
      </c>
      <c r="S163" s="7" t="inlineStr">
        <is>
          <t>31/08/2026 02:59</t>
        </is>
      </c>
    </row>
    <row r="164">
      <c r="A164" s="8" t="inlineStr">
        <is>
          <t>WHAP-0160</t>
        </is>
      </c>
      <c r="B164" s="8" t="inlineStr">
        <is>
          <t>ARB-0160</t>
        </is>
      </c>
      <c r="C164" s="8" t="inlineStr">
        <is>
          <t>flasque d'arbre</t>
        </is>
      </c>
      <c r="D164" s="8" t="inlineStr">
        <is>
          <t>Arbres de transmission</t>
        </is>
      </c>
      <c r="E164" s="8" t="inlineStr">
        <is>
          <t>Arbres de transmission</t>
        </is>
      </c>
      <c r="F164" s="8" t="inlineStr">
        <is>
          <t>PIECE_VEHICULE</t>
        </is>
      </c>
      <c r="G164" s="8" t="inlineStr">
        <is>
          <t>unité</t>
        </is>
      </c>
      <c r="H164" s="8" t="inlineStr">
        <is>
          <t>LARGE</t>
        </is>
      </c>
      <c r="I164" s="8" t="n">
        <v>0</v>
      </c>
      <c r="J164" s="8" t="inlineStr">
        <is>
          <t>D-04-02</t>
        </is>
      </c>
      <c r="K164" s="8" t="inlineStr"/>
      <c r="L164" s="10" t="n">
        <v>0</v>
      </c>
      <c r="M164" s="10" t="n">
        <v>0</v>
      </c>
      <c r="N164" s="10" t="n">
        <v>25</v>
      </c>
      <c r="O164" s="8" t="inlineStr">
        <is>
          <t>FAU</t>
        </is>
      </c>
      <c r="P164" s="8" t="inlineStr">
        <is>
          <t>IMPORTANT</t>
        </is>
      </c>
      <c r="Q164" s="8" t="inlineStr">
        <is>
          <t>WHAP</t>
        </is>
      </c>
      <c r="R164" s="8" t="inlineStr">
        <is>
          <t>OUI</t>
        </is>
      </c>
      <c r="S164" s="8" t="inlineStr">
        <is>
          <t>31/08/2026 02:59</t>
        </is>
      </c>
    </row>
    <row r="165">
      <c r="A165" s="7" t="inlineStr">
        <is>
          <t>WHAP-0161</t>
        </is>
      </c>
      <c r="B165" s="7" t="inlineStr">
        <is>
          <t>ARB-0161</t>
        </is>
      </c>
      <c r="C165" s="7" t="inlineStr">
        <is>
          <t>fourche d'arbre</t>
        </is>
      </c>
      <c r="D165" s="7" t="inlineStr">
        <is>
          <t>Arbres de transmission</t>
        </is>
      </c>
      <c r="E165" s="7" t="inlineStr">
        <is>
          <t>Arbres de transmission</t>
        </is>
      </c>
      <c r="F165" s="7" t="inlineStr">
        <is>
          <t>PIECE_VEHICULE</t>
        </is>
      </c>
      <c r="G165" s="7" t="inlineStr">
        <is>
          <t>unité</t>
        </is>
      </c>
      <c r="H165" s="7" t="inlineStr">
        <is>
          <t>LARGE</t>
        </is>
      </c>
      <c r="I165" s="7" t="n">
        <v>0</v>
      </c>
      <c r="J165" s="7" t="inlineStr">
        <is>
          <t>A-04-02</t>
        </is>
      </c>
      <c r="K165" s="7" t="inlineStr"/>
      <c r="L165" s="9" t="n">
        <v>0</v>
      </c>
      <c r="M165" s="9" t="n">
        <v>0</v>
      </c>
      <c r="N165" s="9" t="n">
        <v>27</v>
      </c>
      <c r="O165" s="7" t="inlineStr">
        <is>
          <t>DEL</t>
        </is>
      </c>
      <c r="P165" s="7" t="inlineStr">
        <is>
          <t>IMPORTANT</t>
        </is>
      </c>
      <c r="Q165" s="7" t="inlineStr">
        <is>
          <t>WHAP</t>
        </is>
      </c>
      <c r="R165" s="7" t="inlineStr">
        <is>
          <t>OUI</t>
        </is>
      </c>
      <c r="S165" s="7" t="inlineStr">
        <is>
          <t>31/08/2026 02:59</t>
        </is>
      </c>
    </row>
    <row r="166">
      <c r="A166" s="8" t="inlineStr">
        <is>
          <t>WHAP-0162</t>
        </is>
      </c>
      <c r="B166" s="8" t="inlineStr">
        <is>
          <t>ARB-0162</t>
        </is>
      </c>
      <c r="C166" s="8" t="inlineStr">
        <is>
          <t>écrou de flasque</t>
        </is>
      </c>
      <c r="D166" s="8" t="inlineStr">
        <is>
          <t>Arbres de transmission</t>
        </is>
      </c>
      <c r="E166" s="8" t="inlineStr">
        <is>
          <t>Arbres de transmission</t>
        </is>
      </c>
      <c r="F166" s="8" t="inlineStr">
        <is>
          <t>PIECE_VEHICULE</t>
        </is>
      </c>
      <c r="G166" s="8" t="inlineStr">
        <is>
          <t>unité</t>
        </is>
      </c>
      <c r="H166" s="8" t="inlineStr">
        <is>
          <t>LARGE</t>
        </is>
      </c>
      <c r="I166" s="8" t="n">
        <v>0</v>
      </c>
      <c r="J166" s="8" t="inlineStr">
        <is>
          <t>B-02-01</t>
        </is>
      </c>
      <c r="K166" s="8" t="inlineStr"/>
      <c r="L166" s="10" t="n">
        <v>0</v>
      </c>
      <c r="M166" s="10" t="n">
        <v>0</v>
      </c>
      <c r="N166" s="10" t="n">
        <v>25</v>
      </c>
      <c r="O166" s="8" t="inlineStr">
        <is>
          <t>VAL</t>
        </is>
      </c>
      <c r="P166" s="8" t="inlineStr">
        <is>
          <t>IMPORTANT</t>
        </is>
      </c>
      <c r="Q166" s="8" t="inlineStr">
        <is>
          <t>WHAP</t>
        </is>
      </c>
      <c r="R166" s="8" t="inlineStr">
        <is>
          <t>OUI</t>
        </is>
      </c>
      <c r="S166" s="8" t="inlineStr">
        <is>
          <t>31/08/2026 02:59</t>
        </is>
      </c>
    </row>
    <row r="167">
      <c r="A167" s="7" t="inlineStr">
        <is>
          <t>WHAP-0163</t>
        </is>
      </c>
      <c r="B167" s="7" t="inlineStr">
        <is>
          <t>ARB-0163</t>
        </is>
      </c>
      <c r="C167" s="7" t="inlineStr">
        <is>
          <t>boulon de flasque</t>
        </is>
      </c>
      <c r="D167" s="7" t="inlineStr">
        <is>
          <t>Arbres de transmission</t>
        </is>
      </c>
      <c r="E167" s="7" t="inlineStr">
        <is>
          <t>Arbres de transmission</t>
        </is>
      </c>
      <c r="F167" s="7" t="inlineStr">
        <is>
          <t>PIECE_VEHICULE</t>
        </is>
      </c>
      <c r="G167" s="7" t="inlineStr">
        <is>
          <t>unité</t>
        </is>
      </c>
      <c r="H167" s="7" t="inlineStr">
        <is>
          <t>LARGE</t>
        </is>
      </c>
      <c r="I167" s="7" t="n">
        <v>0</v>
      </c>
      <c r="J167" s="7" t="inlineStr">
        <is>
          <t>C-04-04</t>
        </is>
      </c>
      <c r="K167" s="7" t="inlineStr"/>
      <c r="L167" s="9" t="n">
        <v>0</v>
      </c>
      <c r="M167" s="9" t="n">
        <v>0</v>
      </c>
      <c r="N167" s="9" t="n">
        <v>31</v>
      </c>
      <c r="O167" s="7" t="inlineStr">
        <is>
          <t>SUM</t>
        </is>
      </c>
      <c r="P167" s="7" t="inlineStr">
        <is>
          <t>IMPORTANT</t>
        </is>
      </c>
      <c r="Q167" s="7" t="inlineStr">
        <is>
          <t>WHAP</t>
        </is>
      </c>
      <c r="R167" s="7" t="inlineStr">
        <is>
          <t>OUI</t>
        </is>
      </c>
      <c r="S167" s="7" t="inlineStr">
        <is>
          <t>31/08/2026 02:59</t>
        </is>
      </c>
    </row>
    <row r="168">
      <c r="A168" s="8" t="inlineStr">
        <is>
          <t>WHAP-0164</t>
        </is>
      </c>
      <c r="B168" s="8" t="inlineStr">
        <is>
          <t>ARB-0164</t>
        </is>
      </c>
      <c r="C168" s="8" t="inlineStr">
        <is>
          <t>équilibreur d'arbre</t>
        </is>
      </c>
      <c r="D168" s="8" t="inlineStr">
        <is>
          <t>Arbres de transmission</t>
        </is>
      </c>
      <c r="E168" s="8" t="inlineStr">
        <is>
          <t>Arbres de transmission</t>
        </is>
      </c>
      <c r="F168" s="8" t="inlineStr">
        <is>
          <t>PIECE_VEHICULE</t>
        </is>
      </c>
      <c r="G168" s="8" t="inlineStr">
        <is>
          <t>unité</t>
        </is>
      </c>
      <c r="H168" s="8" t="inlineStr">
        <is>
          <t>LARGE</t>
        </is>
      </c>
      <c r="I168" s="8" t="n">
        <v>0</v>
      </c>
      <c r="J168" s="8" t="inlineStr">
        <is>
          <t>B-04-04</t>
        </is>
      </c>
      <c r="K168" s="8" t="inlineStr"/>
      <c r="L168" s="10" t="n">
        <v>0</v>
      </c>
      <c r="M168" s="10" t="n">
        <v>0</v>
      </c>
      <c r="N168" s="10" t="n">
        <v>31</v>
      </c>
      <c r="O168" s="8" t="inlineStr">
        <is>
          <t>SKF</t>
        </is>
      </c>
      <c r="P168" s="8" t="inlineStr">
        <is>
          <t>IMPORTANT</t>
        </is>
      </c>
      <c r="Q168" s="8" t="inlineStr">
        <is>
          <t>WHAP</t>
        </is>
      </c>
      <c r="R168" s="8" t="inlineStr">
        <is>
          <t>OUI</t>
        </is>
      </c>
      <c r="S168" s="8" t="inlineStr">
        <is>
          <t>31/08/2026 02:59</t>
        </is>
      </c>
    </row>
    <row r="169">
      <c r="A169" s="7" t="inlineStr">
        <is>
          <t>WHAP-0165</t>
        </is>
      </c>
      <c r="B169" s="7" t="inlineStr">
        <is>
          <t>ARB-0165</t>
        </is>
      </c>
      <c r="C169" s="7" t="inlineStr">
        <is>
          <t>protecteur d'arbre</t>
        </is>
      </c>
      <c r="D169" s="7" t="inlineStr">
        <is>
          <t>Arbres de transmission</t>
        </is>
      </c>
      <c r="E169" s="7" t="inlineStr">
        <is>
          <t>Arbres de transmission</t>
        </is>
      </c>
      <c r="F169" s="7" t="inlineStr">
        <is>
          <t>PIECE_VEHICULE</t>
        </is>
      </c>
      <c r="G169" s="7" t="inlineStr">
        <is>
          <t>unité</t>
        </is>
      </c>
      <c r="H169" s="7" t="inlineStr">
        <is>
          <t>LARGE</t>
        </is>
      </c>
      <c r="I169" s="7" t="n">
        <v>0</v>
      </c>
      <c r="J169" s="7" t="inlineStr">
        <is>
          <t>E-05-02</t>
        </is>
      </c>
      <c r="K169" s="7" t="inlineStr"/>
      <c r="L169" s="9" t="n">
        <v>0</v>
      </c>
      <c r="M169" s="9" t="n">
        <v>0</v>
      </c>
      <c r="N169" s="9" t="n">
        <v>24</v>
      </c>
      <c r="O169" s="7" t="inlineStr">
        <is>
          <t>SUM</t>
        </is>
      </c>
      <c r="P169" s="7" t="inlineStr">
        <is>
          <t>IMPORTANT</t>
        </is>
      </c>
      <c r="Q169" s="7" t="inlineStr">
        <is>
          <t>WHAP</t>
        </is>
      </c>
      <c r="R169" s="7" t="inlineStr">
        <is>
          <t>OUI</t>
        </is>
      </c>
      <c r="S169" s="7" t="inlineStr">
        <is>
          <t>31/08/2026 02:59</t>
        </is>
      </c>
    </row>
    <row r="170">
      <c r="A170" s="8" t="inlineStr">
        <is>
          <t>WHAP-0166</t>
        </is>
      </c>
      <c r="B170" s="8" t="inlineStr">
        <is>
          <t>ARB-0166</t>
        </is>
      </c>
      <c r="C170" s="8" t="inlineStr">
        <is>
          <t>joint coulissant</t>
        </is>
      </c>
      <c r="D170" s="8" t="inlineStr">
        <is>
          <t>Arbres de transmission</t>
        </is>
      </c>
      <c r="E170" s="8" t="inlineStr">
        <is>
          <t>Arbres de transmission</t>
        </is>
      </c>
      <c r="F170" s="8" t="inlineStr">
        <is>
          <t>PIECE_VEHICULE</t>
        </is>
      </c>
      <c r="G170" s="8" t="inlineStr">
        <is>
          <t>unité</t>
        </is>
      </c>
      <c r="H170" s="8" t="inlineStr">
        <is>
          <t>LARGE</t>
        </is>
      </c>
      <c r="I170" s="8" t="n">
        <v>0</v>
      </c>
      <c r="J170" s="8" t="inlineStr">
        <is>
          <t>A-06-01</t>
        </is>
      </c>
      <c r="K170" s="8" t="inlineStr"/>
      <c r="L170" s="10" t="n">
        <v>0</v>
      </c>
      <c r="M170" s="10" t="n">
        <v>0</v>
      </c>
      <c r="N170" s="10" t="n">
        <v>23</v>
      </c>
      <c r="O170" s="8" t="inlineStr">
        <is>
          <t>BOS</t>
        </is>
      </c>
      <c r="P170" s="8" t="inlineStr">
        <is>
          <t>IMPORTANT</t>
        </is>
      </c>
      <c r="Q170" s="8" t="inlineStr">
        <is>
          <t>WHAP</t>
        </is>
      </c>
      <c r="R170" s="8" t="inlineStr">
        <is>
          <t>OUI</t>
        </is>
      </c>
      <c r="S170" s="8" t="inlineStr">
        <is>
          <t>31/08/2026 02:59</t>
        </is>
      </c>
    </row>
    <row r="171">
      <c r="A171" s="7" t="inlineStr">
        <is>
          <t>WHAP-0167</t>
        </is>
      </c>
      <c r="B171" s="7" t="inlineStr">
        <is>
          <t>ARB-0167</t>
        </is>
      </c>
      <c r="C171" s="7" t="inlineStr">
        <is>
          <t>cannelures d'arbre</t>
        </is>
      </c>
      <c r="D171" s="7" t="inlineStr">
        <is>
          <t>Arbres de transmission</t>
        </is>
      </c>
      <c r="E171" s="7" t="inlineStr">
        <is>
          <t>Arbres de transmission</t>
        </is>
      </c>
      <c r="F171" s="7" t="inlineStr">
        <is>
          <t>PIECE_VEHICULE</t>
        </is>
      </c>
      <c r="G171" s="7" t="inlineStr">
        <is>
          <t>unité</t>
        </is>
      </c>
      <c r="H171" s="7" t="inlineStr">
        <is>
          <t>LARGE</t>
        </is>
      </c>
      <c r="I171" s="7" t="n">
        <v>0</v>
      </c>
      <c r="J171" s="7" t="inlineStr">
        <is>
          <t>F-02-01</t>
        </is>
      </c>
      <c r="K171" s="7" t="inlineStr"/>
      <c r="L171" s="9" t="n">
        <v>0</v>
      </c>
      <c r="M171" s="9" t="n">
        <v>0</v>
      </c>
      <c r="N171" s="9" t="n">
        <v>25</v>
      </c>
      <c r="O171" s="7" t="inlineStr">
        <is>
          <t>SKF</t>
        </is>
      </c>
      <c r="P171" s="7" t="inlineStr">
        <is>
          <t>IMPORTANT</t>
        </is>
      </c>
      <c r="Q171" s="7" t="inlineStr">
        <is>
          <t>WHAP</t>
        </is>
      </c>
      <c r="R171" s="7" t="inlineStr">
        <is>
          <t>OUI</t>
        </is>
      </c>
      <c r="S171" s="7" t="inlineStr">
        <is>
          <t>31/08/2026 02:59</t>
        </is>
      </c>
    </row>
    <row r="172">
      <c r="A172" s="8" t="inlineStr">
        <is>
          <t>WHAP-0168</t>
        </is>
      </c>
      <c r="B172" s="8" t="inlineStr">
        <is>
          <t>ARB-0168</t>
        </is>
      </c>
      <c r="C172" s="8" t="inlineStr">
        <is>
          <t>circlip</t>
        </is>
      </c>
      <c r="D172" s="8" t="inlineStr">
        <is>
          <t>Arbres de transmission</t>
        </is>
      </c>
      <c r="E172" s="8" t="inlineStr">
        <is>
          <t>Arbres de transmission</t>
        </is>
      </c>
      <c r="F172" s="8" t="inlineStr">
        <is>
          <t>PIECE_VEHICULE</t>
        </is>
      </c>
      <c r="G172" s="8" t="inlineStr">
        <is>
          <t>unité</t>
        </is>
      </c>
      <c r="H172" s="8" t="inlineStr">
        <is>
          <t>LARGE</t>
        </is>
      </c>
      <c r="I172" s="8" t="n">
        <v>0</v>
      </c>
      <c r="J172" s="8" t="inlineStr">
        <is>
          <t>A-04-04</t>
        </is>
      </c>
      <c r="K172" s="8" t="inlineStr"/>
      <c r="L172" s="10" t="n">
        <v>0</v>
      </c>
      <c r="M172" s="10" t="n">
        <v>0</v>
      </c>
      <c r="N172" s="10" t="n">
        <v>25</v>
      </c>
      <c r="O172" s="8" t="inlineStr">
        <is>
          <t>DEL</t>
        </is>
      </c>
      <c r="P172" s="8" t="inlineStr">
        <is>
          <t>IMPORTANT</t>
        </is>
      </c>
      <c r="Q172" s="8" t="inlineStr">
        <is>
          <t>WHAP</t>
        </is>
      </c>
      <c r="R172" s="8" t="inlineStr">
        <is>
          <t>OUI</t>
        </is>
      </c>
      <c r="S172" s="8" t="inlineStr">
        <is>
          <t>31/08/2026 02:59</t>
        </is>
      </c>
    </row>
    <row r="173">
      <c r="A173" s="7" t="inlineStr">
        <is>
          <t>WHAP-0169</t>
        </is>
      </c>
      <c r="B173" s="7" t="inlineStr">
        <is>
          <t>ARB-0169</t>
        </is>
      </c>
      <c r="C173" s="7" t="inlineStr">
        <is>
          <t>graisseur</t>
        </is>
      </c>
      <c r="D173" s="7" t="inlineStr">
        <is>
          <t>Arbres de transmission</t>
        </is>
      </c>
      <c r="E173" s="7" t="inlineStr">
        <is>
          <t>Arbres de transmission</t>
        </is>
      </c>
      <c r="F173" s="7" t="inlineStr">
        <is>
          <t>PIECE_VEHICULE</t>
        </is>
      </c>
      <c r="G173" s="7" t="inlineStr">
        <is>
          <t>unité</t>
        </is>
      </c>
      <c r="H173" s="7" t="inlineStr">
        <is>
          <t>LARGE</t>
        </is>
      </c>
      <c r="I173" s="7" t="n">
        <v>0</v>
      </c>
      <c r="J173" s="7" t="inlineStr">
        <is>
          <t>C-04-03</t>
        </is>
      </c>
      <c r="K173" s="7" t="inlineStr"/>
      <c r="L173" s="9" t="n">
        <v>0</v>
      </c>
      <c r="M173" s="9" t="n">
        <v>0</v>
      </c>
      <c r="N173" s="9" t="n">
        <v>27</v>
      </c>
      <c r="O173" s="7" t="inlineStr">
        <is>
          <t>SUM</t>
        </is>
      </c>
      <c r="P173" s="7" t="inlineStr">
        <is>
          <t>IMPORTANT</t>
        </is>
      </c>
      <c r="Q173" s="7" t="inlineStr">
        <is>
          <t>WHAP</t>
        </is>
      </c>
      <c r="R173" s="7" t="inlineStr">
        <is>
          <t>OUI</t>
        </is>
      </c>
      <c r="S173" s="7" t="inlineStr">
        <is>
          <t>31/08/2026 02:59</t>
        </is>
      </c>
    </row>
    <row r="174">
      <c r="A174" s="8" t="inlineStr">
        <is>
          <t>WHAP-0170</t>
        </is>
      </c>
      <c r="B174" s="8" t="inlineStr">
        <is>
          <t>ARB-0170</t>
        </is>
      </c>
      <c r="C174" s="8" t="inlineStr">
        <is>
          <t>bague d'étanchéité</t>
        </is>
      </c>
      <c r="D174" s="8" t="inlineStr">
        <is>
          <t>Arbres de transmission</t>
        </is>
      </c>
      <c r="E174" s="8" t="inlineStr">
        <is>
          <t>Arbres de transmission</t>
        </is>
      </c>
      <c r="F174" s="8" t="inlineStr">
        <is>
          <t>PIECE_VEHICULE</t>
        </is>
      </c>
      <c r="G174" s="8" t="inlineStr">
        <is>
          <t>unité</t>
        </is>
      </c>
      <c r="H174" s="8" t="inlineStr">
        <is>
          <t>LARGE</t>
        </is>
      </c>
      <c r="I174" s="8" t="n">
        <v>0</v>
      </c>
      <c r="J174" s="8" t="inlineStr">
        <is>
          <t>E-01-03</t>
        </is>
      </c>
      <c r="K174" s="8" t="inlineStr"/>
      <c r="L174" s="10" t="n">
        <v>0</v>
      </c>
      <c r="M174" s="10" t="n">
        <v>0</v>
      </c>
      <c r="N174" s="10" t="n">
        <v>24</v>
      </c>
      <c r="O174" s="8" t="inlineStr">
        <is>
          <t>MAG</t>
        </is>
      </c>
      <c r="P174" s="8" t="inlineStr">
        <is>
          <t>IMPORTANT</t>
        </is>
      </c>
      <c r="Q174" s="8" t="inlineStr">
        <is>
          <t>WHAP</t>
        </is>
      </c>
      <c r="R174" s="8" t="inlineStr">
        <is>
          <t>OUI</t>
        </is>
      </c>
      <c r="S174" s="8" t="inlineStr">
        <is>
          <t>31/08/2026 02:59</t>
        </is>
      </c>
    </row>
    <row r="175">
      <c r="A175" s="7" t="inlineStr">
        <is>
          <t>WHAP-0171</t>
        </is>
      </c>
      <c r="B175" s="7" t="inlineStr">
        <is>
          <t>ESS-0171</t>
        </is>
      </c>
      <c r="C175" s="7" t="inlineStr">
        <is>
          <t>essieu avant</t>
        </is>
      </c>
      <c r="D175" s="7" t="inlineStr">
        <is>
          <t>Essieux et différentiels</t>
        </is>
      </c>
      <c r="E175" s="7" t="inlineStr">
        <is>
          <t>Essieux et différentiels</t>
        </is>
      </c>
      <c r="F175" s="7" t="inlineStr">
        <is>
          <t>PIECE_VEHICULE</t>
        </is>
      </c>
      <c r="G175" s="7" t="inlineStr">
        <is>
          <t>unité</t>
        </is>
      </c>
      <c r="H175" s="7" t="inlineStr">
        <is>
          <t>LARGE</t>
        </is>
      </c>
      <c r="I175" s="7" t="n">
        <v>0</v>
      </c>
      <c r="J175" s="7" t="inlineStr">
        <is>
          <t>A-02-04 : 220</t>
        </is>
      </c>
      <c r="K175" s="7" t="inlineStr"/>
      <c r="L175" s="9" t="n">
        <v>220</v>
      </c>
      <c r="M175" s="9" t="n">
        <v>220</v>
      </c>
      <c r="N175" s="9" t="n">
        <v>19</v>
      </c>
      <c r="O175" s="7" t="inlineStr">
        <is>
          <t>MAG</t>
        </is>
      </c>
      <c r="P175" s="7" t="inlineStr">
        <is>
          <t>CRITIQUE</t>
        </is>
      </c>
      <c r="Q175" s="7" t="inlineStr">
        <is>
          <t>WHAP</t>
        </is>
      </c>
      <c r="R175" s="7" t="inlineStr">
        <is>
          <t>OUI</t>
        </is>
      </c>
      <c r="S175" s="7" t="inlineStr">
        <is>
          <t>31/08/2026 02:59</t>
        </is>
      </c>
    </row>
    <row r="176">
      <c r="A176" s="8" t="inlineStr">
        <is>
          <t>WHAP-0172</t>
        </is>
      </c>
      <c r="B176" s="8" t="inlineStr">
        <is>
          <t>ESS-0172</t>
        </is>
      </c>
      <c r="C176" s="8" t="inlineStr">
        <is>
          <t>essieu arrière</t>
        </is>
      </c>
      <c r="D176" s="8" t="inlineStr">
        <is>
          <t>Essieux et différentiels</t>
        </is>
      </c>
      <c r="E176" s="8" t="inlineStr">
        <is>
          <t>Essieux et différentiels</t>
        </is>
      </c>
      <c r="F176" s="8" t="inlineStr">
        <is>
          <t>PIECE_VEHICULE</t>
        </is>
      </c>
      <c r="G176" s="8" t="inlineStr">
        <is>
          <t>unité</t>
        </is>
      </c>
      <c r="H176" s="8" t="inlineStr">
        <is>
          <t>LARGE</t>
        </is>
      </c>
      <c r="I176" s="8" t="n">
        <v>0</v>
      </c>
      <c r="J176" s="8" t="inlineStr">
        <is>
          <t>F-02-04 : 208</t>
        </is>
      </c>
      <c r="K176" s="8" t="inlineStr"/>
      <c r="L176" s="10" t="n">
        <v>208</v>
      </c>
      <c r="M176" s="10" t="n">
        <v>208</v>
      </c>
      <c r="N176" s="10" t="n">
        <v>13</v>
      </c>
      <c r="O176" s="8" t="inlineStr">
        <is>
          <t>VAL</t>
        </is>
      </c>
      <c r="P176" s="8" t="inlineStr">
        <is>
          <t>CRITIQUE</t>
        </is>
      </c>
      <c r="Q176" s="8" t="inlineStr">
        <is>
          <t>WHAP</t>
        </is>
      </c>
      <c r="R176" s="8" t="inlineStr">
        <is>
          <t>OUI</t>
        </is>
      </c>
      <c r="S176" s="8" t="inlineStr">
        <is>
          <t>31/08/2026 02:59</t>
        </is>
      </c>
    </row>
    <row r="177">
      <c r="A177" s="7" t="inlineStr">
        <is>
          <t>WHAP-0173</t>
        </is>
      </c>
      <c r="B177" s="7" t="inlineStr">
        <is>
          <t>ESS-0173</t>
        </is>
      </c>
      <c r="C177" s="7" t="inlineStr">
        <is>
          <t>carter d'essieu</t>
        </is>
      </c>
      <c r="D177" s="7" t="inlineStr">
        <is>
          <t>Essieux et différentiels</t>
        </is>
      </c>
      <c r="E177" s="7" t="inlineStr">
        <is>
          <t>Essieux et différentiels</t>
        </is>
      </c>
      <c r="F177" s="7" t="inlineStr">
        <is>
          <t>PIECE_VEHICULE</t>
        </is>
      </c>
      <c r="G177" s="7" t="inlineStr">
        <is>
          <t>unité</t>
        </is>
      </c>
      <c r="H177" s="7" t="inlineStr">
        <is>
          <t>LARGE</t>
        </is>
      </c>
      <c r="I177" s="7" t="n">
        <v>0</v>
      </c>
      <c r="J177" s="7" t="inlineStr">
        <is>
          <t>A-03-03</t>
        </is>
      </c>
      <c r="K177" s="7" t="inlineStr"/>
      <c r="L177" s="9" t="n">
        <v>0</v>
      </c>
      <c r="M177" s="9" t="n">
        <v>0</v>
      </c>
      <c r="N177" s="9" t="n">
        <v>16</v>
      </c>
      <c r="O177" s="7" t="inlineStr">
        <is>
          <t>SUM</t>
        </is>
      </c>
      <c r="P177" s="7" t="inlineStr">
        <is>
          <t>CRITIQUE</t>
        </is>
      </c>
      <c r="Q177" s="7" t="inlineStr">
        <is>
          <t>WHAP</t>
        </is>
      </c>
      <c r="R177" s="7" t="inlineStr">
        <is>
          <t>OUI</t>
        </is>
      </c>
      <c r="S177" s="7" t="inlineStr">
        <is>
          <t>31/08/2026 02:59</t>
        </is>
      </c>
    </row>
    <row r="178">
      <c r="A178" s="8" t="inlineStr">
        <is>
          <t>WHAP-0174</t>
        </is>
      </c>
      <c r="B178" s="8" t="inlineStr">
        <is>
          <t>ESS-0174</t>
        </is>
      </c>
      <c r="C178" s="8" t="inlineStr">
        <is>
          <t>pont avant</t>
        </is>
      </c>
      <c r="D178" s="8" t="inlineStr">
        <is>
          <t>Essieux et différentiels</t>
        </is>
      </c>
      <c r="E178" s="8" t="inlineStr">
        <is>
          <t>Essieux et différentiels</t>
        </is>
      </c>
      <c r="F178" s="8" t="inlineStr">
        <is>
          <t>PIECE_VEHICULE</t>
        </is>
      </c>
      <c r="G178" s="8" t="inlineStr">
        <is>
          <t>unité</t>
        </is>
      </c>
      <c r="H178" s="8" t="inlineStr">
        <is>
          <t>LARGE</t>
        </is>
      </c>
      <c r="I178" s="8" t="n">
        <v>0</v>
      </c>
      <c r="J178" s="8" t="inlineStr">
        <is>
          <t>A-01-03</t>
        </is>
      </c>
      <c r="K178" s="8" t="inlineStr"/>
      <c r="L178" s="10" t="n">
        <v>0</v>
      </c>
      <c r="M178" s="10" t="n">
        <v>0</v>
      </c>
      <c r="N178" s="10" t="n">
        <v>12</v>
      </c>
      <c r="O178" s="8" t="inlineStr">
        <is>
          <t>HEL</t>
        </is>
      </c>
      <c r="P178" s="8" t="inlineStr">
        <is>
          <t>CRITIQUE</t>
        </is>
      </c>
      <c r="Q178" s="8" t="inlineStr">
        <is>
          <t>WHAP</t>
        </is>
      </c>
      <c r="R178" s="8" t="inlineStr">
        <is>
          <t>OUI</t>
        </is>
      </c>
      <c r="S178" s="8" t="inlineStr">
        <is>
          <t>31/08/2026 02:59</t>
        </is>
      </c>
    </row>
    <row r="179">
      <c r="A179" s="7" t="inlineStr">
        <is>
          <t>WHAP-0175</t>
        </is>
      </c>
      <c r="B179" s="7" t="inlineStr">
        <is>
          <t>ESS-0175</t>
        </is>
      </c>
      <c r="C179" s="7" t="inlineStr">
        <is>
          <t>pont arrière</t>
        </is>
      </c>
      <c r="D179" s="7" t="inlineStr">
        <is>
          <t>Essieux et différentiels</t>
        </is>
      </c>
      <c r="E179" s="7" t="inlineStr">
        <is>
          <t>Essieux et différentiels</t>
        </is>
      </c>
      <c r="F179" s="7" t="inlineStr">
        <is>
          <t>PIECE_VEHICULE</t>
        </is>
      </c>
      <c r="G179" s="7" t="inlineStr">
        <is>
          <t>unité</t>
        </is>
      </c>
      <c r="H179" s="7" t="inlineStr">
        <is>
          <t>LARGE</t>
        </is>
      </c>
      <c r="I179" s="7" t="n">
        <v>0</v>
      </c>
      <c r="J179" s="7" t="inlineStr">
        <is>
          <t>A-01-01</t>
        </is>
      </c>
      <c r="K179" s="7" t="inlineStr"/>
      <c r="L179" s="9" t="n">
        <v>0</v>
      </c>
      <c r="M179" s="9" t="n">
        <v>0</v>
      </c>
      <c r="N179" s="9" t="n">
        <v>16</v>
      </c>
      <c r="O179" s="7" t="inlineStr">
        <is>
          <t>SUM</t>
        </is>
      </c>
      <c r="P179" s="7" t="inlineStr">
        <is>
          <t>CRITIQUE</t>
        </is>
      </c>
      <c r="Q179" s="7" t="inlineStr">
        <is>
          <t>WHAP</t>
        </is>
      </c>
      <c r="R179" s="7" t="inlineStr">
        <is>
          <t>OUI</t>
        </is>
      </c>
      <c r="S179" s="7" t="inlineStr">
        <is>
          <t>31/08/2026 02:59</t>
        </is>
      </c>
    </row>
    <row r="180">
      <c r="A180" s="8" t="inlineStr">
        <is>
          <t>WHAP-0176</t>
        </is>
      </c>
      <c r="B180" s="8" t="inlineStr">
        <is>
          <t>ESS-0176</t>
        </is>
      </c>
      <c r="C180" s="8" t="inlineStr">
        <is>
          <t>différentiel avant</t>
        </is>
      </c>
      <c r="D180" s="8" t="inlineStr">
        <is>
          <t>Essieux et différentiels</t>
        </is>
      </c>
      <c r="E180" s="8" t="inlineStr">
        <is>
          <t>Essieux et différentiels</t>
        </is>
      </c>
      <c r="F180" s="8" t="inlineStr">
        <is>
          <t>PIECE_VEHICULE</t>
        </is>
      </c>
      <c r="G180" s="8" t="inlineStr">
        <is>
          <t>unité</t>
        </is>
      </c>
      <c r="H180" s="8" t="inlineStr">
        <is>
          <t>LARGE</t>
        </is>
      </c>
      <c r="I180" s="8" t="n">
        <v>0</v>
      </c>
      <c r="J180" s="8" t="inlineStr">
        <is>
          <t>C-03-03</t>
        </is>
      </c>
      <c r="K180" s="8" t="inlineStr"/>
      <c r="L180" s="10" t="n">
        <v>0</v>
      </c>
      <c r="M180" s="10" t="n">
        <v>0</v>
      </c>
      <c r="N180" s="10" t="n">
        <v>11</v>
      </c>
      <c r="O180" s="8" t="inlineStr">
        <is>
          <t>MAG</t>
        </is>
      </c>
      <c r="P180" s="8" t="inlineStr">
        <is>
          <t>CRITIQUE</t>
        </is>
      </c>
      <c r="Q180" s="8" t="inlineStr">
        <is>
          <t>WHAP</t>
        </is>
      </c>
      <c r="R180" s="8" t="inlineStr">
        <is>
          <t>OUI</t>
        </is>
      </c>
      <c r="S180" s="8" t="inlineStr">
        <is>
          <t>31/08/2026 02:59</t>
        </is>
      </c>
    </row>
    <row r="181">
      <c r="A181" s="7" t="inlineStr">
        <is>
          <t>WHAP-0177</t>
        </is>
      </c>
      <c r="B181" s="7" t="inlineStr">
        <is>
          <t>ESS-0177</t>
        </is>
      </c>
      <c r="C181" s="7" t="inlineStr">
        <is>
          <t>différentiel arrière</t>
        </is>
      </c>
      <c r="D181" s="7" t="inlineStr">
        <is>
          <t>Essieux et différentiels</t>
        </is>
      </c>
      <c r="E181" s="7" t="inlineStr">
        <is>
          <t>Essieux et différentiels</t>
        </is>
      </c>
      <c r="F181" s="7" t="inlineStr">
        <is>
          <t>PIECE_VEHICULE</t>
        </is>
      </c>
      <c r="G181" s="7" t="inlineStr">
        <is>
          <t>unité</t>
        </is>
      </c>
      <c r="H181" s="7" t="inlineStr">
        <is>
          <t>LARGE</t>
        </is>
      </c>
      <c r="I181" s="7" t="n">
        <v>0</v>
      </c>
      <c r="J181" s="7" t="inlineStr">
        <is>
          <t>B-03-01</t>
        </is>
      </c>
      <c r="K181" s="7" t="inlineStr"/>
      <c r="L181" s="9" t="n">
        <v>0</v>
      </c>
      <c r="M181" s="9" t="n">
        <v>0</v>
      </c>
      <c r="N181" s="9" t="n">
        <v>15</v>
      </c>
      <c r="O181" s="7" t="inlineStr">
        <is>
          <t>SKF</t>
        </is>
      </c>
      <c r="P181" s="7" t="inlineStr">
        <is>
          <t>CRITIQUE</t>
        </is>
      </c>
      <c r="Q181" s="7" t="inlineStr">
        <is>
          <t>WHAP</t>
        </is>
      </c>
      <c r="R181" s="7" t="inlineStr">
        <is>
          <t>OUI</t>
        </is>
      </c>
      <c r="S181" s="7" t="inlineStr">
        <is>
          <t>31/08/2026 02:59</t>
        </is>
      </c>
    </row>
    <row r="182">
      <c r="A182" s="8" t="inlineStr">
        <is>
          <t>WHAP-0178</t>
        </is>
      </c>
      <c r="B182" s="8" t="inlineStr">
        <is>
          <t>ESS-0178</t>
        </is>
      </c>
      <c r="C182" s="8" t="inlineStr">
        <is>
          <t>différentiel inter-roues</t>
        </is>
      </c>
      <c r="D182" s="8" t="inlineStr">
        <is>
          <t>Essieux et différentiels</t>
        </is>
      </c>
      <c r="E182" s="8" t="inlineStr">
        <is>
          <t>Essieux et différentiels</t>
        </is>
      </c>
      <c r="F182" s="8" t="inlineStr">
        <is>
          <t>PIECE_VEHICULE</t>
        </is>
      </c>
      <c r="G182" s="8" t="inlineStr">
        <is>
          <t>unité</t>
        </is>
      </c>
      <c r="H182" s="8" t="inlineStr">
        <is>
          <t>LARGE</t>
        </is>
      </c>
      <c r="I182" s="8" t="n">
        <v>0</v>
      </c>
      <c r="J182" s="8" t="inlineStr">
        <is>
          <t>C-04-01</t>
        </is>
      </c>
      <c r="K182" s="8" t="inlineStr"/>
      <c r="L182" s="10" t="n">
        <v>0</v>
      </c>
      <c r="M182" s="10" t="n">
        <v>0</v>
      </c>
      <c r="N182" s="10" t="n">
        <v>19</v>
      </c>
      <c r="O182" s="8" t="inlineStr">
        <is>
          <t>BOS</t>
        </is>
      </c>
      <c r="P182" s="8" t="inlineStr">
        <is>
          <t>CRITIQUE</t>
        </is>
      </c>
      <c r="Q182" s="8" t="inlineStr">
        <is>
          <t>WHAP</t>
        </is>
      </c>
      <c r="R182" s="8" t="inlineStr">
        <is>
          <t>OUI</t>
        </is>
      </c>
      <c r="S182" s="8" t="inlineStr">
        <is>
          <t>31/08/2026 02:59</t>
        </is>
      </c>
    </row>
    <row r="183">
      <c r="A183" s="7" t="inlineStr">
        <is>
          <t>WHAP-0179</t>
        </is>
      </c>
      <c r="B183" s="7" t="inlineStr">
        <is>
          <t>ESS-0179</t>
        </is>
      </c>
      <c r="C183" s="7" t="inlineStr">
        <is>
          <t>différentiel inter-ponts</t>
        </is>
      </c>
      <c r="D183" s="7" t="inlineStr">
        <is>
          <t>Essieux et différentiels</t>
        </is>
      </c>
      <c r="E183" s="7" t="inlineStr">
        <is>
          <t>Essieux et différentiels</t>
        </is>
      </c>
      <c r="F183" s="7" t="inlineStr">
        <is>
          <t>PIECE_VEHICULE</t>
        </is>
      </c>
      <c r="G183" s="7" t="inlineStr">
        <is>
          <t>unité</t>
        </is>
      </c>
      <c r="H183" s="7" t="inlineStr">
        <is>
          <t>LARGE</t>
        </is>
      </c>
      <c r="I183" s="7" t="n">
        <v>0</v>
      </c>
      <c r="J183" s="7" t="inlineStr">
        <is>
          <t>D-01-02</t>
        </is>
      </c>
      <c r="K183" s="7" t="inlineStr"/>
      <c r="L183" s="9" t="n">
        <v>0</v>
      </c>
      <c r="M183" s="9" t="n">
        <v>0</v>
      </c>
      <c r="N183" s="9" t="n">
        <v>10</v>
      </c>
      <c r="O183" s="7" t="inlineStr">
        <is>
          <t>YZK</t>
        </is>
      </c>
      <c r="P183" s="7" t="inlineStr">
        <is>
          <t>CRITIQUE</t>
        </is>
      </c>
      <c r="Q183" s="7" t="inlineStr">
        <is>
          <t>WHAP</t>
        </is>
      </c>
      <c r="R183" s="7" t="inlineStr">
        <is>
          <t>OUI</t>
        </is>
      </c>
      <c r="S183" s="7" t="inlineStr">
        <is>
          <t>31/08/2026 02:59</t>
        </is>
      </c>
    </row>
    <row r="184">
      <c r="A184" s="8" t="inlineStr">
        <is>
          <t>WHAP-0180</t>
        </is>
      </c>
      <c r="B184" s="8" t="inlineStr">
        <is>
          <t>ESS-0180</t>
        </is>
      </c>
      <c r="C184" s="8" t="inlineStr">
        <is>
          <t>couronne de différentiel</t>
        </is>
      </c>
      <c r="D184" s="8" t="inlineStr">
        <is>
          <t>Essieux et différentiels</t>
        </is>
      </c>
      <c r="E184" s="8" t="inlineStr">
        <is>
          <t>Essieux et différentiels</t>
        </is>
      </c>
      <c r="F184" s="8" t="inlineStr">
        <is>
          <t>PIECE_VEHICULE</t>
        </is>
      </c>
      <c r="G184" s="8" t="inlineStr">
        <is>
          <t>unité</t>
        </is>
      </c>
      <c r="H184" s="8" t="inlineStr">
        <is>
          <t>LARGE</t>
        </is>
      </c>
      <c r="I184" s="8" t="n">
        <v>0</v>
      </c>
      <c r="J184" s="8" t="inlineStr">
        <is>
          <t>A-01-02</t>
        </is>
      </c>
      <c r="K184" s="8" t="inlineStr"/>
      <c r="L184" s="10" t="n">
        <v>0</v>
      </c>
      <c r="M184" s="10" t="n">
        <v>0</v>
      </c>
      <c r="N184" s="10" t="n">
        <v>13</v>
      </c>
      <c r="O184" s="8" t="inlineStr">
        <is>
          <t>HEL</t>
        </is>
      </c>
      <c r="P184" s="8" t="inlineStr">
        <is>
          <t>CRITIQUE</t>
        </is>
      </c>
      <c r="Q184" s="8" t="inlineStr">
        <is>
          <t>WHAP</t>
        </is>
      </c>
      <c r="R184" s="8" t="inlineStr">
        <is>
          <t>OUI</t>
        </is>
      </c>
      <c r="S184" s="8" t="inlineStr">
        <is>
          <t>31/08/2026 02:59</t>
        </is>
      </c>
    </row>
    <row r="185">
      <c r="A185" s="7" t="inlineStr">
        <is>
          <t>WHAP-0181</t>
        </is>
      </c>
      <c r="B185" s="7" t="inlineStr">
        <is>
          <t>ESS-0181</t>
        </is>
      </c>
      <c r="C185" s="7" t="inlineStr">
        <is>
          <t>pignon d'attaque</t>
        </is>
      </c>
      <c r="D185" s="7" t="inlineStr">
        <is>
          <t>Essieux et différentiels</t>
        </is>
      </c>
      <c r="E185" s="7" t="inlineStr">
        <is>
          <t>Essieux et différentiels</t>
        </is>
      </c>
      <c r="F185" s="7" t="inlineStr">
        <is>
          <t>PIECE_VEHICULE</t>
        </is>
      </c>
      <c r="G185" s="7" t="inlineStr">
        <is>
          <t>unité</t>
        </is>
      </c>
      <c r="H185" s="7" t="inlineStr">
        <is>
          <t>LARGE</t>
        </is>
      </c>
      <c r="I185" s="7" t="n">
        <v>0</v>
      </c>
      <c r="J185" s="7" t="inlineStr">
        <is>
          <t>F-06-02</t>
        </is>
      </c>
      <c r="K185" s="7" t="inlineStr"/>
      <c r="L185" s="9" t="n">
        <v>0</v>
      </c>
      <c r="M185" s="9" t="n">
        <v>0</v>
      </c>
      <c r="N185" s="9" t="n">
        <v>18</v>
      </c>
      <c r="O185" s="7" t="inlineStr">
        <is>
          <t>VAL</t>
        </is>
      </c>
      <c r="P185" s="7" t="inlineStr">
        <is>
          <t>CRITIQUE</t>
        </is>
      </c>
      <c r="Q185" s="7" t="inlineStr">
        <is>
          <t>WHAP</t>
        </is>
      </c>
      <c r="R185" s="7" t="inlineStr">
        <is>
          <t>OUI</t>
        </is>
      </c>
      <c r="S185" s="7" t="inlineStr">
        <is>
          <t>31/08/2026 02:59</t>
        </is>
      </c>
    </row>
    <row r="186">
      <c r="A186" s="8" t="inlineStr">
        <is>
          <t>WHAP-0182</t>
        </is>
      </c>
      <c r="B186" s="8" t="inlineStr">
        <is>
          <t>ESS-0182</t>
        </is>
      </c>
      <c r="C186" s="8" t="inlineStr">
        <is>
          <t>satellites de différentiel</t>
        </is>
      </c>
      <c r="D186" s="8" t="inlineStr">
        <is>
          <t>Essieux et différentiels</t>
        </is>
      </c>
      <c r="E186" s="8" t="inlineStr">
        <is>
          <t>Essieux et différentiels</t>
        </is>
      </c>
      <c r="F186" s="8" t="inlineStr">
        <is>
          <t>PIECE_VEHICULE</t>
        </is>
      </c>
      <c r="G186" s="8" t="inlineStr">
        <is>
          <t>unité</t>
        </is>
      </c>
      <c r="H186" s="8" t="inlineStr">
        <is>
          <t>LARGE</t>
        </is>
      </c>
      <c r="I186" s="8" t="n">
        <v>0</v>
      </c>
      <c r="J186" s="8" t="inlineStr">
        <is>
          <t>E-04-01</t>
        </is>
      </c>
      <c r="K186" s="8" t="inlineStr"/>
      <c r="L186" s="10" t="n">
        <v>0</v>
      </c>
      <c r="M186" s="10" t="n">
        <v>0</v>
      </c>
      <c r="N186" s="10" t="n">
        <v>11</v>
      </c>
      <c r="O186" s="8" t="inlineStr">
        <is>
          <t>SUM</t>
        </is>
      </c>
      <c r="P186" s="8" t="inlineStr">
        <is>
          <t>CRITIQUE</t>
        </is>
      </c>
      <c r="Q186" s="8" t="inlineStr">
        <is>
          <t>WHAP</t>
        </is>
      </c>
      <c r="R186" s="8" t="inlineStr">
        <is>
          <t>OUI</t>
        </is>
      </c>
      <c r="S186" s="8" t="inlineStr">
        <is>
          <t>31/08/2026 02:59</t>
        </is>
      </c>
    </row>
    <row r="187">
      <c r="A187" s="7" t="inlineStr">
        <is>
          <t>WHAP-0183</t>
        </is>
      </c>
      <c r="B187" s="7" t="inlineStr">
        <is>
          <t>ESS-0183</t>
        </is>
      </c>
      <c r="C187" s="7" t="inlineStr">
        <is>
          <t>axes de satellites</t>
        </is>
      </c>
      <c r="D187" s="7" t="inlineStr">
        <is>
          <t>Essieux et différentiels</t>
        </is>
      </c>
      <c r="E187" s="7" t="inlineStr">
        <is>
          <t>Essieux et différentiels</t>
        </is>
      </c>
      <c r="F187" s="7" t="inlineStr">
        <is>
          <t>PIECE_VEHICULE</t>
        </is>
      </c>
      <c r="G187" s="7" t="inlineStr">
        <is>
          <t>unité</t>
        </is>
      </c>
      <c r="H187" s="7" t="inlineStr">
        <is>
          <t>LARGE</t>
        </is>
      </c>
      <c r="I187" s="7" t="n">
        <v>0</v>
      </c>
      <c r="J187" s="7" t="inlineStr">
        <is>
          <t>A-06-04</t>
        </is>
      </c>
      <c r="K187" s="7" t="inlineStr"/>
      <c r="L187" s="9" t="n">
        <v>0</v>
      </c>
      <c r="M187" s="9" t="n">
        <v>0</v>
      </c>
      <c r="N187" s="9" t="n">
        <v>16</v>
      </c>
      <c r="O187" s="7" t="inlineStr">
        <is>
          <t>BOS</t>
        </is>
      </c>
      <c r="P187" s="7" t="inlineStr">
        <is>
          <t>CRITIQUE</t>
        </is>
      </c>
      <c r="Q187" s="7" t="inlineStr">
        <is>
          <t>WHAP</t>
        </is>
      </c>
      <c r="R187" s="7" t="inlineStr">
        <is>
          <t>OUI</t>
        </is>
      </c>
      <c r="S187" s="7" t="inlineStr">
        <is>
          <t>31/08/2026 02:59</t>
        </is>
      </c>
    </row>
    <row r="188">
      <c r="A188" s="8" t="inlineStr">
        <is>
          <t>WHAP-0184</t>
        </is>
      </c>
      <c r="B188" s="8" t="inlineStr">
        <is>
          <t>ESS-0184</t>
        </is>
      </c>
      <c r="C188" s="8" t="inlineStr">
        <is>
          <t>roulement de différentiel</t>
        </is>
      </c>
      <c r="D188" s="8" t="inlineStr">
        <is>
          <t>Essieux et différentiels</t>
        </is>
      </c>
      <c r="E188" s="8" t="inlineStr">
        <is>
          <t>Essieux et différentiels</t>
        </is>
      </c>
      <c r="F188" s="8" t="inlineStr">
        <is>
          <t>PIECE_VEHICULE</t>
        </is>
      </c>
      <c r="G188" s="8" t="inlineStr">
        <is>
          <t>unité</t>
        </is>
      </c>
      <c r="H188" s="8" t="inlineStr">
        <is>
          <t>LARGE</t>
        </is>
      </c>
      <c r="I188" s="8" t="n">
        <v>0</v>
      </c>
      <c r="J188" s="8" t="inlineStr">
        <is>
          <t>A-03-04</t>
        </is>
      </c>
      <c r="K188" s="8" t="inlineStr"/>
      <c r="L188" s="10" t="n">
        <v>0</v>
      </c>
      <c r="M188" s="10" t="n">
        <v>0</v>
      </c>
      <c r="N188" s="10" t="n">
        <v>11</v>
      </c>
      <c r="O188" s="8" t="inlineStr">
        <is>
          <t>MAG</t>
        </is>
      </c>
      <c r="P188" s="8" t="inlineStr">
        <is>
          <t>CRITIQUE</t>
        </is>
      </c>
      <c r="Q188" s="8" t="inlineStr">
        <is>
          <t>WHAP</t>
        </is>
      </c>
      <c r="R188" s="8" t="inlineStr">
        <is>
          <t>OUI</t>
        </is>
      </c>
      <c r="S188" s="8" t="inlineStr">
        <is>
          <t>31/08/2026 02:59</t>
        </is>
      </c>
    </row>
    <row r="189">
      <c r="A189" s="7" t="inlineStr">
        <is>
          <t>WHAP-0185</t>
        </is>
      </c>
      <c r="B189" s="7" t="inlineStr">
        <is>
          <t>ESS-0185</t>
        </is>
      </c>
      <c r="C189" s="7" t="inlineStr">
        <is>
          <t>roulement de pignon</t>
        </is>
      </c>
      <c r="D189" s="7" t="inlineStr">
        <is>
          <t>Essieux et différentiels</t>
        </is>
      </c>
      <c r="E189" s="7" t="inlineStr">
        <is>
          <t>Essieux et différentiels</t>
        </is>
      </c>
      <c r="F189" s="7" t="inlineStr">
        <is>
          <t>PIECE_VEHICULE</t>
        </is>
      </c>
      <c r="G189" s="7" t="inlineStr">
        <is>
          <t>unité</t>
        </is>
      </c>
      <c r="H189" s="7" t="inlineStr">
        <is>
          <t>LARGE</t>
        </is>
      </c>
      <c r="I189" s="7" t="n">
        <v>0</v>
      </c>
      <c r="J189" s="7" t="inlineStr">
        <is>
          <t>F-01-01</t>
        </is>
      </c>
      <c r="K189" s="7" t="inlineStr"/>
      <c r="L189" s="9" t="n">
        <v>0</v>
      </c>
      <c r="M189" s="9" t="n">
        <v>0</v>
      </c>
      <c r="N189" s="9" t="n">
        <v>13</v>
      </c>
      <c r="O189" s="7" t="inlineStr">
        <is>
          <t>VAL</t>
        </is>
      </c>
      <c r="P189" s="7" t="inlineStr">
        <is>
          <t>CRITIQUE</t>
        </is>
      </c>
      <c r="Q189" s="7" t="inlineStr">
        <is>
          <t>WHAP</t>
        </is>
      </c>
      <c r="R189" s="7" t="inlineStr">
        <is>
          <t>OUI</t>
        </is>
      </c>
      <c r="S189" s="7" t="inlineStr">
        <is>
          <t>31/08/2026 02:59</t>
        </is>
      </c>
    </row>
    <row r="190">
      <c r="A190" s="8" t="inlineStr">
        <is>
          <t>WHAP-0186</t>
        </is>
      </c>
      <c r="B190" s="8" t="inlineStr">
        <is>
          <t>ESS-0186</t>
        </is>
      </c>
      <c r="C190" s="8" t="inlineStr">
        <is>
          <t>joint de pont</t>
        </is>
      </c>
      <c r="D190" s="8" t="inlineStr">
        <is>
          <t>Essieux et différentiels</t>
        </is>
      </c>
      <c r="E190" s="8" t="inlineStr">
        <is>
          <t>Essieux et différentiels</t>
        </is>
      </c>
      <c r="F190" s="8" t="inlineStr">
        <is>
          <t>PIECE_VEHICULE</t>
        </is>
      </c>
      <c r="G190" s="8" t="inlineStr">
        <is>
          <t>unité</t>
        </is>
      </c>
      <c r="H190" s="8" t="inlineStr">
        <is>
          <t>LARGE</t>
        </is>
      </c>
      <c r="I190" s="8" t="n">
        <v>0</v>
      </c>
      <c r="J190" s="8" t="inlineStr">
        <is>
          <t>A-06-03</t>
        </is>
      </c>
      <c r="K190" s="8" t="inlineStr"/>
      <c r="L190" s="10" t="n">
        <v>0</v>
      </c>
      <c r="M190" s="10" t="n">
        <v>0</v>
      </c>
      <c r="N190" s="10" t="n">
        <v>19</v>
      </c>
      <c r="O190" s="8" t="inlineStr">
        <is>
          <t>DEL</t>
        </is>
      </c>
      <c r="P190" s="8" t="inlineStr">
        <is>
          <t>CRITIQUE</t>
        </is>
      </c>
      <c r="Q190" s="8" t="inlineStr">
        <is>
          <t>WHAP</t>
        </is>
      </c>
      <c r="R190" s="8" t="inlineStr">
        <is>
          <t>OUI</t>
        </is>
      </c>
      <c r="S190" s="8" t="inlineStr">
        <is>
          <t>31/08/2026 02:59</t>
        </is>
      </c>
    </row>
    <row r="191">
      <c r="A191" s="7" t="inlineStr">
        <is>
          <t>WHAP-0187</t>
        </is>
      </c>
      <c r="B191" s="7" t="inlineStr">
        <is>
          <t>ESS-0187</t>
        </is>
      </c>
      <c r="C191" s="7" t="inlineStr">
        <is>
          <t>joint spi de pont</t>
        </is>
      </c>
      <c r="D191" s="7" t="inlineStr">
        <is>
          <t>Essieux et différentiels</t>
        </is>
      </c>
      <c r="E191" s="7" t="inlineStr">
        <is>
          <t>Essieux et différentiels</t>
        </is>
      </c>
      <c r="F191" s="7" t="inlineStr">
        <is>
          <t>PIECE_VEHICULE</t>
        </is>
      </c>
      <c r="G191" s="7" t="inlineStr">
        <is>
          <t>unité</t>
        </is>
      </c>
      <c r="H191" s="7" t="inlineStr">
        <is>
          <t>LARGE</t>
        </is>
      </c>
      <c r="I191" s="7" t="n">
        <v>0</v>
      </c>
      <c r="J191" s="7" t="inlineStr">
        <is>
          <t>E-05-01</t>
        </is>
      </c>
      <c r="K191" s="7" t="inlineStr"/>
      <c r="L191" s="9" t="n">
        <v>0</v>
      </c>
      <c r="M191" s="9" t="n">
        <v>0</v>
      </c>
      <c r="N191" s="9" t="n">
        <v>14</v>
      </c>
      <c r="O191" s="7" t="inlineStr">
        <is>
          <t>SUM</t>
        </is>
      </c>
      <c r="P191" s="7" t="inlineStr">
        <is>
          <t>CRITIQUE</t>
        </is>
      </c>
      <c r="Q191" s="7" t="inlineStr">
        <is>
          <t>WHAP</t>
        </is>
      </c>
      <c r="R191" s="7" t="inlineStr">
        <is>
          <t>OUI</t>
        </is>
      </c>
      <c r="S191" s="7" t="inlineStr">
        <is>
          <t>31/08/2026 02:59</t>
        </is>
      </c>
    </row>
    <row r="192">
      <c r="A192" s="8" t="inlineStr">
        <is>
          <t>WHAP-0188</t>
        </is>
      </c>
      <c r="B192" s="8" t="inlineStr">
        <is>
          <t>ESS-0188</t>
        </is>
      </c>
      <c r="C192" s="8" t="inlineStr">
        <is>
          <t>arbre de roue</t>
        </is>
      </c>
      <c r="D192" s="8" t="inlineStr">
        <is>
          <t>Essieux et différentiels</t>
        </is>
      </c>
      <c r="E192" s="8" t="inlineStr">
        <is>
          <t>Essieux et différentiels</t>
        </is>
      </c>
      <c r="F192" s="8" t="inlineStr">
        <is>
          <t>PIECE_VEHICULE</t>
        </is>
      </c>
      <c r="G192" s="8" t="inlineStr">
        <is>
          <t>unité</t>
        </is>
      </c>
      <c r="H192" s="8" t="inlineStr">
        <is>
          <t>LARGE</t>
        </is>
      </c>
      <c r="I192" s="8" t="n">
        <v>0</v>
      </c>
      <c r="J192" s="8" t="inlineStr">
        <is>
          <t>B-06-01</t>
        </is>
      </c>
      <c r="K192" s="8" t="inlineStr"/>
      <c r="L192" s="10" t="n">
        <v>0</v>
      </c>
      <c r="M192" s="10" t="n">
        <v>0</v>
      </c>
      <c r="N192" s="10" t="n">
        <v>11</v>
      </c>
      <c r="O192" s="8" t="inlineStr">
        <is>
          <t>FAU</t>
        </is>
      </c>
      <c r="P192" s="8" t="inlineStr">
        <is>
          <t>CRITIQUE</t>
        </is>
      </c>
      <c r="Q192" s="8" t="inlineStr">
        <is>
          <t>WHAP</t>
        </is>
      </c>
      <c r="R192" s="8" t="inlineStr">
        <is>
          <t>OUI</t>
        </is>
      </c>
      <c r="S192" s="8" t="inlineStr">
        <is>
          <t>31/08/2026 02:59</t>
        </is>
      </c>
    </row>
    <row r="193">
      <c r="A193" s="7" t="inlineStr">
        <is>
          <t>WHAP-0189</t>
        </is>
      </c>
      <c r="B193" s="7" t="inlineStr">
        <is>
          <t>ESS-0189</t>
        </is>
      </c>
      <c r="C193" s="7" t="inlineStr">
        <is>
          <t>demi-arbre</t>
        </is>
      </c>
      <c r="D193" s="7" t="inlineStr">
        <is>
          <t>Essieux et différentiels</t>
        </is>
      </c>
      <c r="E193" s="7" t="inlineStr">
        <is>
          <t>Essieux et différentiels</t>
        </is>
      </c>
      <c r="F193" s="7" t="inlineStr">
        <is>
          <t>PIECE_VEHICULE</t>
        </is>
      </c>
      <c r="G193" s="7" t="inlineStr">
        <is>
          <t>unité</t>
        </is>
      </c>
      <c r="H193" s="7" t="inlineStr">
        <is>
          <t>LARGE</t>
        </is>
      </c>
      <c r="I193" s="7" t="n">
        <v>0</v>
      </c>
      <c r="J193" s="7" t="inlineStr">
        <is>
          <t>B-03-01</t>
        </is>
      </c>
      <c r="K193" s="7" t="inlineStr"/>
      <c r="L193" s="9" t="n">
        <v>0</v>
      </c>
      <c r="M193" s="9" t="n">
        <v>0</v>
      </c>
      <c r="N193" s="9" t="n">
        <v>11</v>
      </c>
      <c r="O193" s="7" t="inlineStr">
        <is>
          <t>YZK</t>
        </is>
      </c>
      <c r="P193" s="7" t="inlineStr">
        <is>
          <t>CRITIQUE</t>
        </is>
      </c>
      <c r="Q193" s="7" t="inlineStr">
        <is>
          <t>WHAP</t>
        </is>
      </c>
      <c r="R193" s="7" t="inlineStr">
        <is>
          <t>OUI</t>
        </is>
      </c>
      <c r="S193" s="7" t="inlineStr">
        <is>
          <t>31/08/2026 02:59</t>
        </is>
      </c>
    </row>
    <row r="194">
      <c r="A194" s="8" t="inlineStr">
        <is>
          <t>WHAP-0190</t>
        </is>
      </c>
      <c r="B194" s="8" t="inlineStr">
        <is>
          <t>ESS-0190</t>
        </is>
      </c>
      <c r="C194" s="8" t="inlineStr">
        <is>
          <t>moyeu de roue</t>
        </is>
      </c>
      <c r="D194" s="8" t="inlineStr">
        <is>
          <t>Essieux et différentiels</t>
        </is>
      </c>
      <c r="E194" s="8" t="inlineStr">
        <is>
          <t>Essieux et différentiels</t>
        </is>
      </c>
      <c r="F194" s="8" t="inlineStr">
        <is>
          <t>PIECE_VEHICULE</t>
        </is>
      </c>
      <c r="G194" s="8" t="inlineStr">
        <is>
          <t>unité</t>
        </is>
      </c>
      <c r="H194" s="8" t="inlineStr">
        <is>
          <t>LARGE</t>
        </is>
      </c>
      <c r="I194" s="8" t="n">
        <v>0</v>
      </c>
      <c r="J194" s="8" t="inlineStr">
        <is>
          <t>F-04-02</t>
        </is>
      </c>
      <c r="K194" s="8" t="inlineStr"/>
      <c r="L194" s="10" t="n">
        <v>0</v>
      </c>
      <c r="M194" s="10" t="n">
        <v>0</v>
      </c>
      <c r="N194" s="10" t="n">
        <v>20</v>
      </c>
      <c r="O194" s="8" t="inlineStr">
        <is>
          <t>FAU</t>
        </is>
      </c>
      <c r="P194" s="8" t="inlineStr">
        <is>
          <t>CRITIQUE</t>
        </is>
      </c>
      <c r="Q194" s="8" t="inlineStr">
        <is>
          <t>WHAP</t>
        </is>
      </c>
      <c r="R194" s="8" t="inlineStr">
        <is>
          <t>OUI</t>
        </is>
      </c>
      <c r="S194" s="8" t="inlineStr">
        <is>
          <t>31/08/2026 02:59</t>
        </is>
      </c>
    </row>
    <row r="195">
      <c r="A195" s="7" t="inlineStr">
        <is>
          <t>WHAP-0191</t>
        </is>
      </c>
      <c r="B195" s="7" t="inlineStr">
        <is>
          <t>ESS-0191</t>
        </is>
      </c>
      <c r="C195" s="7" t="inlineStr">
        <is>
          <t>porte-moyeu</t>
        </is>
      </c>
      <c r="D195" s="7" t="inlineStr">
        <is>
          <t>Essieux et différentiels</t>
        </is>
      </c>
      <c r="E195" s="7" t="inlineStr">
        <is>
          <t>Essieux et différentiels</t>
        </is>
      </c>
      <c r="F195" s="7" t="inlineStr">
        <is>
          <t>PIECE_VEHICULE</t>
        </is>
      </c>
      <c r="G195" s="7" t="inlineStr">
        <is>
          <t>unité</t>
        </is>
      </c>
      <c r="H195" s="7" t="inlineStr">
        <is>
          <t>LARGE</t>
        </is>
      </c>
      <c r="I195" s="7" t="n">
        <v>0</v>
      </c>
      <c r="J195" s="7" t="inlineStr">
        <is>
          <t>F-05-04</t>
        </is>
      </c>
      <c r="K195" s="7" t="inlineStr"/>
      <c r="L195" s="9" t="n">
        <v>0</v>
      </c>
      <c r="M195" s="9" t="n">
        <v>0</v>
      </c>
      <c r="N195" s="9" t="n">
        <v>16</v>
      </c>
      <c r="O195" s="7" t="inlineStr">
        <is>
          <t>SKF</t>
        </is>
      </c>
      <c r="P195" s="7" t="inlineStr">
        <is>
          <t>CRITIQUE</t>
        </is>
      </c>
      <c r="Q195" s="7" t="inlineStr">
        <is>
          <t>WHAP</t>
        </is>
      </c>
      <c r="R195" s="7" t="inlineStr">
        <is>
          <t>OUI</t>
        </is>
      </c>
      <c r="S195" s="7" t="inlineStr">
        <is>
          <t>31/08/2026 02:59</t>
        </is>
      </c>
    </row>
    <row r="196">
      <c r="A196" s="8" t="inlineStr">
        <is>
          <t>WHAP-0192</t>
        </is>
      </c>
      <c r="B196" s="8" t="inlineStr">
        <is>
          <t>ESS-0192</t>
        </is>
      </c>
      <c r="C196" s="8" t="inlineStr">
        <is>
          <t>écrou de moyeu</t>
        </is>
      </c>
      <c r="D196" s="8" t="inlineStr">
        <is>
          <t>Essieux et différentiels</t>
        </is>
      </c>
      <c r="E196" s="8" t="inlineStr">
        <is>
          <t>Essieux et différentiels</t>
        </is>
      </c>
      <c r="F196" s="8" t="inlineStr">
        <is>
          <t>PIECE_VEHICULE</t>
        </is>
      </c>
      <c r="G196" s="8" t="inlineStr">
        <is>
          <t>unité</t>
        </is>
      </c>
      <c r="H196" s="8" t="inlineStr">
        <is>
          <t>LARGE</t>
        </is>
      </c>
      <c r="I196" s="8" t="n">
        <v>0</v>
      </c>
      <c r="J196" s="8" t="inlineStr">
        <is>
          <t>D-04-03</t>
        </is>
      </c>
      <c r="K196" s="8" t="inlineStr"/>
      <c r="L196" s="10" t="n">
        <v>0</v>
      </c>
      <c r="M196" s="10" t="n">
        <v>0</v>
      </c>
      <c r="N196" s="10" t="n">
        <v>15</v>
      </c>
      <c r="O196" s="8" t="inlineStr">
        <is>
          <t>VAL</t>
        </is>
      </c>
      <c r="P196" s="8" t="inlineStr">
        <is>
          <t>CRITIQUE</t>
        </is>
      </c>
      <c r="Q196" s="8" t="inlineStr">
        <is>
          <t>WHAP</t>
        </is>
      </c>
      <c r="R196" s="8" t="inlineStr">
        <is>
          <t>OUI</t>
        </is>
      </c>
      <c r="S196" s="8" t="inlineStr">
        <is>
          <t>31/08/2026 02:59</t>
        </is>
      </c>
    </row>
    <row r="197">
      <c r="A197" s="7" t="inlineStr">
        <is>
          <t>WHAP-0193</t>
        </is>
      </c>
      <c r="B197" s="7" t="inlineStr">
        <is>
          <t>ESS-0193</t>
        </is>
      </c>
      <c r="C197" s="7" t="inlineStr">
        <is>
          <t>frein de différentiel</t>
        </is>
      </c>
      <c r="D197" s="7" t="inlineStr">
        <is>
          <t>Essieux et différentiels</t>
        </is>
      </c>
      <c r="E197" s="7" t="inlineStr">
        <is>
          <t>Essieux et différentiels</t>
        </is>
      </c>
      <c r="F197" s="7" t="inlineStr">
        <is>
          <t>PIECE_VEHICULE</t>
        </is>
      </c>
      <c r="G197" s="7" t="inlineStr">
        <is>
          <t>unité</t>
        </is>
      </c>
      <c r="H197" s="7" t="inlineStr">
        <is>
          <t>LARGE</t>
        </is>
      </c>
      <c r="I197" s="7" t="n">
        <v>0</v>
      </c>
      <c r="J197" s="7" t="inlineStr">
        <is>
          <t>F-06-01</t>
        </is>
      </c>
      <c r="K197" s="7" t="inlineStr"/>
      <c r="L197" s="9" t="n">
        <v>0</v>
      </c>
      <c r="M197" s="9" t="n">
        <v>0</v>
      </c>
      <c r="N197" s="9" t="n">
        <v>16</v>
      </c>
      <c r="O197" s="7" t="inlineStr">
        <is>
          <t>CTL</t>
        </is>
      </c>
      <c r="P197" s="7" t="inlineStr">
        <is>
          <t>CRITIQUE</t>
        </is>
      </c>
      <c r="Q197" s="7" t="inlineStr">
        <is>
          <t>WHAP</t>
        </is>
      </c>
      <c r="R197" s="7" t="inlineStr">
        <is>
          <t>OUI</t>
        </is>
      </c>
      <c r="S197" s="7" t="inlineStr">
        <is>
          <t>31/08/2026 02:59</t>
        </is>
      </c>
    </row>
    <row r="198">
      <c r="A198" s="8" t="inlineStr">
        <is>
          <t>WHAP-0194</t>
        </is>
      </c>
      <c r="B198" s="8" t="inlineStr">
        <is>
          <t>ESS-0194</t>
        </is>
      </c>
      <c r="C198" s="8" t="inlineStr">
        <is>
          <t>blocage différentiel</t>
        </is>
      </c>
      <c r="D198" s="8" t="inlineStr">
        <is>
          <t>Essieux et différentiels</t>
        </is>
      </c>
      <c r="E198" s="8" t="inlineStr">
        <is>
          <t>Essieux et différentiels</t>
        </is>
      </c>
      <c r="F198" s="8" t="inlineStr">
        <is>
          <t>PIECE_VEHICULE</t>
        </is>
      </c>
      <c r="G198" s="8" t="inlineStr">
        <is>
          <t>unité</t>
        </is>
      </c>
      <c r="H198" s="8" t="inlineStr">
        <is>
          <t>LARGE</t>
        </is>
      </c>
      <c r="I198" s="8" t="n">
        <v>0</v>
      </c>
      <c r="J198" s="8" t="inlineStr">
        <is>
          <t>C-01-04</t>
        </is>
      </c>
      <c r="K198" s="8" t="inlineStr"/>
      <c r="L198" s="10" t="n">
        <v>0</v>
      </c>
      <c r="M198" s="10" t="n">
        <v>0</v>
      </c>
      <c r="N198" s="10" t="n">
        <v>15</v>
      </c>
      <c r="O198" s="8" t="inlineStr">
        <is>
          <t>DEL</t>
        </is>
      </c>
      <c r="P198" s="8" t="inlineStr">
        <is>
          <t>CRITIQUE</t>
        </is>
      </c>
      <c r="Q198" s="8" t="inlineStr">
        <is>
          <t>WHAP</t>
        </is>
      </c>
      <c r="R198" s="8" t="inlineStr">
        <is>
          <t>OUI</t>
        </is>
      </c>
      <c r="S198" s="8" t="inlineStr">
        <is>
          <t>31/08/2026 02:59</t>
        </is>
      </c>
    </row>
    <row r="199">
      <c r="A199" s="7" t="inlineStr">
        <is>
          <t>WHAP-0195</t>
        </is>
      </c>
      <c r="B199" s="7" t="inlineStr">
        <is>
          <t>ESS-0195</t>
        </is>
      </c>
      <c r="C199" s="7" t="inlineStr">
        <is>
          <t>actionneur de blocage</t>
        </is>
      </c>
      <c r="D199" s="7" t="inlineStr">
        <is>
          <t>Essieux et différentiels</t>
        </is>
      </c>
      <c r="E199" s="7" t="inlineStr">
        <is>
          <t>Essieux et différentiels</t>
        </is>
      </c>
      <c r="F199" s="7" t="inlineStr">
        <is>
          <t>PIECE_VEHICULE</t>
        </is>
      </c>
      <c r="G199" s="7" t="inlineStr">
        <is>
          <t>unité</t>
        </is>
      </c>
      <c r="H199" s="7" t="inlineStr">
        <is>
          <t>LARGE</t>
        </is>
      </c>
      <c r="I199" s="7" t="n">
        <v>0</v>
      </c>
      <c r="J199" s="7" t="inlineStr">
        <is>
          <t>C-03-03</t>
        </is>
      </c>
      <c r="K199" s="7" t="inlineStr"/>
      <c r="L199" s="9" t="n">
        <v>0</v>
      </c>
      <c r="M199" s="9" t="n">
        <v>0</v>
      </c>
      <c r="N199" s="9" t="n">
        <v>19</v>
      </c>
      <c r="O199" s="7" t="inlineStr">
        <is>
          <t>MAG</t>
        </is>
      </c>
      <c r="P199" s="7" t="inlineStr">
        <is>
          <t>CRITIQUE</t>
        </is>
      </c>
      <c r="Q199" s="7" t="inlineStr">
        <is>
          <t>WHAP</t>
        </is>
      </c>
      <c r="R199" s="7" t="inlineStr">
        <is>
          <t>OUI</t>
        </is>
      </c>
      <c r="S199" s="7" t="inlineStr">
        <is>
          <t>31/08/2026 02:59</t>
        </is>
      </c>
    </row>
    <row r="200">
      <c r="A200" s="8" t="inlineStr">
        <is>
          <t>WHAP-0196</t>
        </is>
      </c>
      <c r="B200" s="8" t="inlineStr">
        <is>
          <t>ESS-0196</t>
        </is>
      </c>
      <c r="C200" s="8" t="inlineStr">
        <is>
          <t>capteur de blocage</t>
        </is>
      </c>
      <c r="D200" s="8" t="inlineStr">
        <is>
          <t>Essieux et différentiels</t>
        </is>
      </c>
      <c r="E200" s="8" t="inlineStr">
        <is>
          <t>Essieux et différentiels</t>
        </is>
      </c>
      <c r="F200" s="8" t="inlineStr">
        <is>
          <t>PIECE_VEHICULE</t>
        </is>
      </c>
      <c r="G200" s="8" t="inlineStr">
        <is>
          <t>unité</t>
        </is>
      </c>
      <c r="H200" s="8" t="inlineStr">
        <is>
          <t>LARGE</t>
        </is>
      </c>
      <c r="I200" s="8" t="n">
        <v>0</v>
      </c>
      <c r="J200" s="8" t="inlineStr">
        <is>
          <t>D-05-01</t>
        </is>
      </c>
      <c r="K200" s="8" t="inlineStr"/>
      <c r="L200" s="10" t="n">
        <v>0</v>
      </c>
      <c r="M200" s="10" t="n">
        <v>0</v>
      </c>
      <c r="N200" s="10" t="n">
        <v>12</v>
      </c>
      <c r="O200" s="8" t="inlineStr">
        <is>
          <t>CTL</t>
        </is>
      </c>
      <c r="P200" s="8" t="inlineStr">
        <is>
          <t>CRITIQUE</t>
        </is>
      </c>
      <c r="Q200" s="8" t="inlineStr">
        <is>
          <t>WHAP</t>
        </is>
      </c>
      <c r="R200" s="8" t="inlineStr">
        <is>
          <t>OUI</t>
        </is>
      </c>
      <c r="S200" s="8" t="inlineStr">
        <is>
          <t>31/08/2026 02:59</t>
        </is>
      </c>
    </row>
    <row r="201">
      <c r="A201" s="7" t="inlineStr">
        <is>
          <t>WHAP-0197</t>
        </is>
      </c>
      <c r="B201" s="7" t="inlineStr">
        <is>
          <t>ESS-0197</t>
        </is>
      </c>
      <c r="C201" s="7" t="inlineStr">
        <is>
          <t>bouchon de remplissage</t>
        </is>
      </c>
      <c r="D201" s="7" t="inlineStr">
        <is>
          <t>Essieux et différentiels</t>
        </is>
      </c>
      <c r="E201" s="7" t="inlineStr">
        <is>
          <t>Essieux et différentiels</t>
        </is>
      </c>
      <c r="F201" s="7" t="inlineStr">
        <is>
          <t>PIECE_VEHICULE</t>
        </is>
      </c>
      <c r="G201" s="7" t="inlineStr">
        <is>
          <t>unité</t>
        </is>
      </c>
      <c r="H201" s="7" t="inlineStr">
        <is>
          <t>LARGE</t>
        </is>
      </c>
      <c r="I201" s="7" t="n">
        <v>0</v>
      </c>
      <c r="J201" s="7" t="inlineStr">
        <is>
          <t>C-04-01</t>
        </is>
      </c>
      <c r="K201" s="7" t="inlineStr"/>
      <c r="L201" s="9" t="n">
        <v>0</v>
      </c>
      <c r="M201" s="9" t="n">
        <v>0</v>
      </c>
      <c r="N201" s="9" t="n">
        <v>15</v>
      </c>
      <c r="O201" s="7" t="inlineStr">
        <is>
          <t>BOS</t>
        </is>
      </c>
      <c r="P201" s="7" t="inlineStr">
        <is>
          <t>CRITIQUE</t>
        </is>
      </c>
      <c r="Q201" s="7" t="inlineStr">
        <is>
          <t>WHAP</t>
        </is>
      </c>
      <c r="R201" s="7" t="inlineStr">
        <is>
          <t>OUI</t>
        </is>
      </c>
      <c r="S201" s="7" t="inlineStr">
        <is>
          <t>31/08/2026 02:59</t>
        </is>
      </c>
    </row>
    <row r="202">
      <c r="A202" s="8" t="inlineStr">
        <is>
          <t>WHAP-0198</t>
        </is>
      </c>
      <c r="B202" s="8" t="inlineStr">
        <is>
          <t>ESS-0198</t>
        </is>
      </c>
      <c r="C202" s="8" t="inlineStr">
        <is>
          <t>bouchon magnétique</t>
        </is>
      </c>
      <c r="D202" s="8" t="inlineStr">
        <is>
          <t>Essieux et différentiels</t>
        </is>
      </c>
      <c r="E202" s="8" t="inlineStr">
        <is>
          <t>Essieux et différentiels</t>
        </is>
      </c>
      <c r="F202" s="8" t="inlineStr">
        <is>
          <t>PIECE_VEHICULE</t>
        </is>
      </c>
      <c r="G202" s="8" t="inlineStr">
        <is>
          <t>unité</t>
        </is>
      </c>
      <c r="H202" s="8" t="inlineStr">
        <is>
          <t>LARGE</t>
        </is>
      </c>
      <c r="I202" s="8" t="n">
        <v>0</v>
      </c>
      <c r="J202" s="8" t="inlineStr">
        <is>
          <t>C-04-02</t>
        </is>
      </c>
      <c r="K202" s="8" t="inlineStr"/>
      <c r="L202" s="10" t="n">
        <v>0</v>
      </c>
      <c r="M202" s="10" t="n">
        <v>0</v>
      </c>
      <c r="N202" s="10" t="n">
        <v>19</v>
      </c>
      <c r="O202" s="8" t="inlineStr">
        <is>
          <t>SUM</t>
        </is>
      </c>
      <c r="P202" s="8" t="inlineStr">
        <is>
          <t>CRITIQUE</t>
        </is>
      </c>
      <c r="Q202" s="8" t="inlineStr">
        <is>
          <t>WHAP</t>
        </is>
      </c>
      <c r="R202" s="8" t="inlineStr">
        <is>
          <t>OUI</t>
        </is>
      </c>
      <c r="S202" s="8" t="inlineStr">
        <is>
          <t>31/08/2026 02:59</t>
        </is>
      </c>
    </row>
    <row r="203">
      <c r="A203" s="7" t="inlineStr">
        <is>
          <t>WHAP-0199</t>
        </is>
      </c>
      <c r="B203" s="7" t="inlineStr">
        <is>
          <t>SUS-0199</t>
        </is>
      </c>
      <c r="C203" s="7" t="inlineStr">
        <is>
          <t>bras supérieur</t>
        </is>
      </c>
      <c r="D203" s="7" t="inlineStr">
        <is>
          <t>Suspension</t>
        </is>
      </c>
      <c r="E203" s="7" t="inlineStr">
        <is>
          <t>Suspension</t>
        </is>
      </c>
      <c r="F203" s="7" t="inlineStr">
        <is>
          <t>PIECE_VEHICULE</t>
        </is>
      </c>
      <c r="G203" s="7" t="inlineStr">
        <is>
          <t>unité</t>
        </is>
      </c>
      <c r="H203" s="7" t="inlineStr">
        <is>
          <t>LARGE</t>
        </is>
      </c>
      <c r="I203" s="7" t="n">
        <v>0</v>
      </c>
      <c r="J203" s="7" t="inlineStr">
        <is>
          <t>A-02-04 : 106</t>
        </is>
      </c>
      <c r="K203" s="7" t="inlineStr"/>
      <c r="L203" s="9" t="n">
        <v>106</v>
      </c>
      <c r="M203" s="9" t="n">
        <v>106</v>
      </c>
      <c r="N203" s="9" t="n">
        <v>24</v>
      </c>
      <c r="O203" s="7" t="inlineStr">
        <is>
          <t>HEL</t>
        </is>
      </c>
      <c r="P203" s="7" t="inlineStr">
        <is>
          <t>IMPORTANT</t>
        </is>
      </c>
      <c r="Q203" s="7" t="inlineStr">
        <is>
          <t>WHAP</t>
        </is>
      </c>
      <c r="R203" s="7" t="inlineStr">
        <is>
          <t>OUI</t>
        </is>
      </c>
      <c r="S203" s="7" t="inlineStr">
        <is>
          <t>31/08/2026 02:59</t>
        </is>
      </c>
    </row>
    <row r="204">
      <c r="A204" s="8" t="inlineStr">
        <is>
          <t>WHAP-0200</t>
        </is>
      </c>
      <c r="B204" s="8" t="inlineStr">
        <is>
          <t>SUS-0200</t>
        </is>
      </c>
      <c r="C204" s="8" t="inlineStr">
        <is>
          <t>bras inférieur</t>
        </is>
      </c>
      <c r="D204" s="8" t="inlineStr">
        <is>
          <t>Suspension</t>
        </is>
      </c>
      <c r="E204" s="8" t="inlineStr">
        <is>
          <t>Suspension</t>
        </is>
      </c>
      <c r="F204" s="8" t="inlineStr">
        <is>
          <t>PIECE_VEHICULE</t>
        </is>
      </c>
      <c r="G204" s="8" t="inlineStr">
        <is>
          <t>unité</t>
        </is>
      </c>
      <c r="H204" s="8" t="inlineStr">
        <is>
          <t>LARGE</t>
        </is>
      </c>
      <c r="I204" s="8" t="n">
        <v>0</v>
      </c>
      <c r="J204" s="8" t="inlineStr">
        <is>
          <t>B-06-01 : 116</t>
        </is>
      </c>
      <c r="K204" s="8" t="inlineStr"/>
      <c r="L204" s="10" t="n">
        <v>116</v>
      </c>
      <c r="M204" s="10" t="n">
        <v>116</v>
      </c>
      <c r="N204" s="10" t="n">
        <v>31</v>
      </c>
      <c r="O204" s="8" t="inlineStr">
        <is>
          <t>VAL</t>
        </is>
      </c>
      <c r="P204" s="8" t="inlineStr">
        <is>
          <t>IMPORTANT</t>
        </is>
      </c>
      <c r="Q204" s="8" t="inlineStr">
        <is>
          <t>WHAP</t>
        </is>
      </c>
      <c r="R204" s="8" t="inlineStr">
        <is>
          <t>OUI</t>
        </is>
      </c>
      <c r="S204" s="8" t="inlineStr">
        <is>
          <t>31/08/2026 02:59</t>
        </is>
      </c>
    </row>
    <row r="205">
      <c r="A205" s="7" t="inlineStr">
        <is>
          <t>WHAP-0201</t>
        </is>
      </c>
      <c r="B205" s="7" t="inlineStr">
        <is>
          <t>SUS-0201</t>
        </is>
      </c>
      <c r="C205" s="7" t="inlineStr">
        <is>
          <t>triangle de suspension</t>
        </is>
      </c>
      <c r="D205" s="7" t="inlineStr">
        <is>
          <t>Suspension</t>
        </is>
      </c>
      <c r="E205" s="7" t="inlineStr">
        <is>
          <t>Suspension</t>
        </is>
      </c>
      <c r="F205" s="7" t="inlineStr">
        <is>
          <t>PIECE_VEHICULE</t>
        </is>
      </c>
      <c r="G205" s="7" t="inlineStr">
        <is>
          <t>unité</t>
        </is>
      </c>
      <c r="H205" s="7" t="inlineStr">
        <is>
          <t>LARGE</t>
        </is>
      </c>
      <c r="I205" s="7" t="n">
        <v>0</v>
      </c>
      <c r="J205" s="7" t="inlineStr">
        <is>
          <t>E-05-03</t>
        </is>
      </c>
      <c r="K205" s="7" t="inlineStr"/>
      <c r="L205" s="9" t="n">
        <v>0</v>
      </c>
      <c r="M205" s="9" t="n">
        <v>0</v>
      </c>
      <c r="N205" s="9" t="n">
        <v>30</v>
      </c>
      <c r="O205" s="7" t="inlineStr">
        <is>
          <t>MAG</t>
        </is>
      </c>
      <c r="P205" s="7" t="inlineStr">
        <is>
          <t>IMPORTANT</t>
        </is>
      </c>
      <c r="Q205" s="7" t="inlineStr">
        <is>
          <t>WHAP</t>
        </is>
      </c>
      <c r="R205" s="7" t="inlineStr">
        <is>
          <t>OUI</t>
        </is>
      </c>
      <c r="S205" s="7" t="inlineStr">
        <is>
          <t>31/08/2026 02:59</t>
        </is>
      </c>
    </row>
    <row r="206">
      <c r="A206" s="8" t="inlineStr">
        <is>
          <t>WHAP-0202</t>
        </is>
      </c>
      <c r="B206" s="8" t="inlineStr">
        <is>
          <t>SUS-0202</t>
        </is>
      </c>
      <c r="C206" s="8" t="inlineStr">
        <is>
          <t>porte-moyeu</t>
        </is>
      </c>
      <c r="D206" s="8" t="inlineStr">
        <is>
          <t>Suspension</t>
        </is>
      </c>
      <c r="E206" s="8" t="inlineStr">
        <is>
          <t>Suspension</t>
        </is>
      </c>
      <c r="F206" s="8" t="inlineStr">
        <is>
          <t>PIECE_VEHICULE</t>
        </is>
      </c>
      <c r="G206" s="8" t="inlineStr">
        <is>
          <t>unité</t>
        </is>
      </c>
      <c r="H206" s="8" t="inlineStr">
        <is>
          <t>LARGE</t>
        </is>
      </c>
      <c r="I206" s="8" t="n">
        <v>0</v>
      </c>
      <c r="J206" s="8" t="inlineStr">
        <is>
          <t>B-03-01</t>
        </is>
      </c>
      <c r="K206" s="8" t="inlineStr"/>
      <c r="L206" s="10" t="n">
        <v>0</v>
      </c>
      <c r="M206" s="10" t="n">
        <v>0</v>
      </c>
      <c r="N206" s="10" t="n">
        <v>25</v>
      </c>
      <c r="O206" s="8" t="inlineStr">
        <is>
          <t>SKF</t>
        </is>
      </c>
      <c r="P206" s="8" t="inlineStr">
        <is>
          <t>IMPORTANT</t>
        </is>
      </c>
      <c r="Q206" s="8" t="inlineStr">
        <is>
          <t>WHAP</t>
        </is>
      </c>
      <c r="R206" s="8" t="inlineStr">
        <is>
          <t>OUI</t>
        </is>
      </c>
      <c r="S206" s="8" t="inlineStr">
        <is>
          <t>31/08/2026 02:59</t>
        </is>
      </c>
    </row>
    <row r="207">
      <c r="A207" s="7" t="inlineStr">
        <is>
          <t>WHAP-0203</t>
        </is>
      </c>
      <c r="B207" s="7" t="inlineStr">
        <is>
          <t>SUS-0203</t>
        </is>
      </c>
      <c r="C207" s="7" t="inlineStr">
        <is>
          <t>rotule supérieure</t>
        </is>
      </c>
      <c r="D207" s="7" t="inlineStr">
        <is>
          <t>Suspension</t>
        </is>
      </c>
      <c r="E207" s="7" t="inlineStr">
        <is>
          <t>Suspension</t>
        </is>
      </c>
      <c r="F207" s="7" t="inlineStr">
        <is>
          <t>PIECE_VEHICULE</t>
        </is>
      </c>
      <c r="G207" s="7" t="inlineStr">
        <is>
          <t>unité</t>
        </is>
      </c>
      <c r="H207" s="7" t="inlineStr">
        <is>
          <t>LARGE</t>
        </is>
      </c>
      <c r="I207" s="7" t="n">
        <v>0</v>
      </c>
      <c r="J207" s="7" t="inlineStr">
        <is>
          <t>E-02-01</t>
        </is>
      </c>
      <c r="K207" s="7" t="inlineStr"/>
      <c r="L207" s="9" t="n">
        <v>0</v>
      </c>
      <c r="M207" s="9" t="n">
        <v>0</v>
      </c>
      <c r="N207" s="9" t="n">
        <v>26</v>
      </c>
      <c r="O207" s="7" t="inlineStr">
        <is>
          <t>MAG</t>
        </is>
      </c>
      <c r="P207" s="7" t="inlineStr">
        <is>
          <t>IMPORTANT</t>
        </is>
      </c>
      <c r="Q207" s="7" t="inlineStr">
        <is>
          <t>WHAP</t>
        </is>
      </c>
      <c r="R207" s="7" t="inlineStr">
        <is>
          <t>OUI</t>
        </is>
      </c>
      <c r="S207" s="7" t="inlineStr">
        <is>
          <t>31/08/2026 02:59</t>
        </is>
      </c>
    </row>
    <row r="208">
      <c r="A208" s="8" t="inlineStr">
        <is>
          <t>WHAP-0204</t>
        </is>
      </c>
      <c r="B208" s="8" t="inlineStr">
        <is>
          <t>SUS-0204</t>
        </is>
      </c>
      <c r="C208" s="8" t="inlineStr">
        <is>
          <t>rotule inférieure</t>
        </is>
      </c>
      <c r="D208" s="8" t="inlineStr">
        <is>
          <t>Suspension</t>
        </is>
      </c>
      <c r="E208" s="8" t="inlineStr">
        <is>
          <t>Suspension</t>
        </is>
      </c>
      <c r="F208" s="8" t="inlineStr">
        <is>
          <t>PIECE_VEHICULE</t>
        </is>
      </c>
      <c r="G208" s="8" t="inlineStr">
        <is>
          <t>unité</t>
        </is>
      </c>
      <c r="H208" s="8" t="inlineStr">
        <is>
          <t>LARGE</t>
        </is>
      </c>
      <c r="I208" s="8" t="n">
        <v>0</v>
      </c>
      <c r="J208" s="8" t="inlineStr">
        <is>
          <t>D-03-01</t>
        </is>
      </c>
      <c r="K208" s="8" t="inlineStr"/>
      <c r="L208" s="10" t="n">
        <v>0</v>
      </c>
      <c r="M208" s="10" t="n">
        <v>0</v>
      </c>
      <c r="N208" s="10" t="n">
        <v>31</v>
      </c>
      <c r="O208" s="8" t="inlineStr">
        <is>
          <t>FAU</t>
        </is>
      </c>
      <c r="P208" s="8" t="inlineStr">
        <is>
          <t>IMPORTANT</t>
        </is>
      </c>
      <c r="Q208" s="8" t="inlineStr">
        <is>
          <t>WHAP</t>
        </is>
      </c>
      <c r="R208" s="8" t="inlineStr">
        <is>
          <t>OUI</t>
        </is>
      </c>
      <c r="S208" s="8" t="inlineStr">
        <is>
          <t>31/08/2026 02:59</t>
        </is>
      </c>
    </row>
    <row r="209">
      <c r="A209" s="7" t="inlineStr">
        <is>
          <t>WHAP-0205</t>
        </is>
      </c>
      <c r="B209" s="7" t="inlineStr">
        <is>
          <t>SUS-0205</t>
        </is>
      </c>
      <c r="C209" s="7" t="inlineStr">
        <is>
          <t>amortisseur</t>
        </is>
      </c>
      <c r="D209" s="7" t="inlineStr">
        <is>
          <t>Suspension</t>
        </is>
      </c>
      <c r="E209" s="7" t="inlineStr">
        <is>
          <t>Suspension</t>
        </is>
      </c>
      <c r="F209" s="7" t="inlineStr">
        <is>
          <t>PIECE_VEHICULE</t>
        </is>
      </c>
      <c r="G209" s="7" t="inlineStr">
        <is>
          <t>unité</t>
        </is>
      </c>
      <c r="H209" s="7" t="inlineStr">
        <is>
          <t>LARGE</t>
        </is>
      </c>
      <c r="I209" s="7" t="n">
        <v>0</v>
      </c>
      <c r="J209" s="7" t="inlineStr">
        <is>
          <t>C-03-04</t>
        </is>
      </c>
      <c r="K209" s="7" t="inlineStr"/>
      <c r="L209" s="9" t="n">
        <v>0</v>
      </c>
      <c r="M209" s="9" t="n">
        <v>0</v>
      </c>
      <c r="N209" s="9" t="n">
        <v>23</v>
      </c>
      <c r="O209" s="7" t="inlineStr">
        <is>
          <t>SUM</t>
        </is>
      </c>
      <c r="P209" s="7" t="inlineStr">
        <is>
          <t>IMPORTANT</t>
        </is>
      </c>
      <c r="Q209" s="7" t="inlineStr">
        <is>
          <t>WHAP</t>
        </is>
      </c>
      <c r="R209" s="7" t="inlineStr">
        <is>
          <t>OUI</t>
        </is>
      </c>
      <c r="S209" s="7" t="inlineStr">
        <is>
          <t>31/08/2026 02:59</t>
        </is>
      </c>
    </row>
    <row r="210">
      <c r="A210" s="8" t="inlineStr">
        <is>
          <t>WHAP-0206</t>
        </is>
      </c>
      <c r="B210" s="8" t="inlineStr">
        <is>
          <t>SUS-0206</t>
        </is>
      </c>
      <c r="C210" s="8" t="inlineStr">
        <is>
          <t>jambe hydropneumatique</t>
        </is>
      </c>
      <c r="D210" s="8" t="inlineStr">
        <is>
          <t>Suspension</t>
        </is>
      </c>
      <c r="E210" s="8" t="inlineStr">
        <is>
          <t>Suspension</t>
        </is>
      </c>
      <c r="F210" s="8" t="inlineStr">
        <is>
          <t>PIECE_VEHICULE</t>
        </is>
      </c>
      <c r="G210" s="8" t="inlineStr">
        <is>
          <t>unité</t>
        </is>
      </c>
      <c r="H210" s="8" t="inlineStr">
        <is>
          <t>LARGE</t>
        </is>
      </c>
      <c r="I210" s="8" t="n">
        <v>0</v>
      </c>
      <c r="J210" s="8" t="inlineStr">
        <is>
          <t>A-01-02</t>
        </is>
      </c>
      <c r="K210" s="8" t="inlineStr"/>
      <c r="L210" s="10" t="n">
        <v>0</v>
      </c>
      <c r="M210" s="10" t="n">
        <v>0</v>
      </c>
      <c r="N210" s="10" t="n">
        <v>32</v>
      </c>
      <c r="O210" s="8" t="inlineStr">
        <is>
          <t>MAG</t>
        </is>
      </c>
      <c r="P210" s="8" t="inlineStr">
        <is>
          <t>IMPORTANT</t>
        </is>
      </c>
      <c r="Q210" s="8" t="inlineStr">
        <is>
          <t>WHAP</t>
        </is>
      </c>
      <c r="R210" s="8" t="inlineStr">
        <is>
          <t>OUI</t>
        </is>
      </c>
      <c r="S210" s="8" t="inlineStr">
        <is>
          <t>31/08/2026 02:59</t>
        </is>
      </c>
    </row>
    <row r="211">
      <c r="A211" s="7" t="inlineStr">
        <is>
          <t>WHAP-0207</t>
        </is>
      </c>
      <c r="B211" s="7" t="inlineStr">
        <is>
          <t>SUS-0207</t>
        </is>
      </c>
      <c r="C211" s="7" t="inlineStr">
        <is>
          <t>accumulateur hydropneumatique</t>
        </is>
      </c>
      <c r="D211" s="7" t="inlineStr">
        <is>
          <t>Suspension</t>
        </is>
      </c>
      <c r="E211" s="7" t="inlineStr">
        <is>
          <t>Suspension</t>
        </is>
      </c>
      <c r="F211" s="7" t="inlineStr">
        <is>
          <t>PIECE_VEHICULE</t>
        </is>
      </c>
      <c r="G211" s="7" t="inlineStr">
        <is>
          <t>unité</t>
        </is>
      </c>
      <c r="H211" s="7" t="inlineStr">
        <is>
          <t>LARGE</t>
        </is>
      </c>
      <c r="I211" s="7" t="n">
        <v>0</v>
      </c>
      <c r="J211" s="7" t="inlineStr">
        <is>
          <t>D-05-01</t>
        </is>
      </c>
      <c r="K211" s="7" t="inlineStr"/>
      <c r="L211" s="9" t="n">
        <v>0</v>
      </c>
      <c r="M211" s="9" t="n">
        <v>0</v>
      </c>
      <c r="N211" s="9" t="n">
        <v>25</v>
      </c>
      <c r="O211" s="7" t="inlineStr">
        <is>
          <t>CTL</t>
        </is>
      </c>
      <c r="P211" s="7" t="inlineStr">
        <is>
          <t>IMPORTANT</t>
        </is>
      </c>
      <c r="Q211" s="7" t="inlineStr">
        <is>
          <t>WHAP</t>
        </is>
      </c>
      <c r="R211" s="7" t="inlineStr">
        <is>
          <t>OUI</t>
        </is>
      </c>
      <c r="S211" s="7" t="inlineStr">
        <is>
          <t>31/08/2026 02:59</t>
        </is>
      </c>
    </row>
    <row r="212">
      <c r="A212" s="8" t="inlineStr">
        <is>
          <t>WHAP-0208</t>
        </is>
      </c>
      <c r="B212" s="8" t="inlineStr">
        <is>
          <t>SUS-0208</t>
        </is>
      </c>
      <c r="C212" s="8" t="inlineStr">
        <is>
          <t>cylindre de suspension</t>
        </is>
      </c>
      <c r="D212" s="8" t="inlineStr">
        <is>
          <t>Suspension</t>
        </is>
      </c>
      <c r="E212" s="8" t="inlineStr">
        <is>
          <t>Suspension</t>
        </is>
      </c>
      <c r="F212" s="8" t="inlineStr">
        <is>
          <t>PIECE_VEHICULE</t>
        </is>
      </c>
      <c r="G212" s="8" t="inlineStr">
        <is>
          <t>unité</t>
        </is>
      </c>
      <c r="H212" s="8" t="inlineStr">
        <is>
          <t>LARGE</t>
        </is>
      </c>
      <c r="I212" s="8" t="n">
        <v>0</v>
      </c>
      <c r="J212" s="8" t="inlineStr">
        <is>
          <t>B-06-04</t>
        </is>
      </c>
      <c r="K212" s="8" t="inlineStr"/>
      <c r="L212" s="10" t="n">
        <v>0</v>
      </c>
      <c r="M212" s="10" t="n">
        <v>0</v>
      </c>
      <c r="N212" s="10" t="n">
        <v>26</v>
      </c>
      <c r="O212" s="8" t="inlineStr">
        <is>
          <t>CTL</t>
        </is>
      </c>
      <c r="P212" s="8" t="inlineStr">
        <is>
          <t>IMPORTANT</t>
        </is>
      </c>
      <c r="Q212" s="8" t="inlineStr">
        <is>
          <t>WHAP</t>
        </is>
      </c>
      <c r="R212" s="8" t="inlineStr">
        <is>
          <t>OUI</t>
        </is>
      </c>
      <c r="S212" s="8" t="inlineStr">
        <is>
          <t>31/08/2026 02:59</t>
        </is>
      </c>
    </row>
    <row r="213">
      <c r="A213" s="7" t="inlineStr">
        <is>
          <t>WHAP-0209</t>
        </is>
      </c>
      <c r="B213" s="7" t="inlineStr">
        <is>
          <t>SUS-0209</t>
        </is>
      </c>
      <c r="C213" s="7" t="inlineStr">
        <is>
          <t>piston de suspension</t>
        </is>
      </c>
      <c r="D213" s="7" t="inlineStr">
        <is>
          <t>Suspension</t>
        </is>
      </c>
      <c r="E213" s="7" t="inlineStr">
        <is>
          <t>Suspension</t>
        </is>
      </c>
      <c r="F213" s="7" t="inlineStr">
        <is>
          <t>PIECE_VEHICULE</t>
        </is>
      </c>
      <c r="G213" s="7" t="inlineStr">
        <is>
          <t>unité</t>
        </is>
      </c>
      <c r="H213" s="7" t="inlineStr">
        <is>
          <t>LARGE</t>
        </is>
      </c>
      <c r="I213" s="7" t="n">
        <v>0</v>
      </c>
      <c r="J213" s="7" t="inlineStr">
        <is>
          <t>C-02-03</t>
        </is>
      </c>
      <c r="K213" s="7" t="inlineStr"/>
      <c r="L213" s="9" t="n">
        <v>0</v>
      </c>
      <c r="M213" s="9" t="n">
        <v>0</v>
      </c>
      <c r="N213" s="9" t="n">
        <v>23</v>
      </c>
      <c r="O213" s="7" t="inlineStr">
        <is>
          <t>MAG</t>
        </is>
      </c>
      <c r="P213" s="7" t="inlineStr">
        <is>
          <t>IMPORTANT</t>
        </is>
      </c>
      <c r="Q213" s="7" t="inlineStr">
        <is>
          <t>WHAP</t>
        </is>
      </c>
      <c r="R213" s="7" t="inlineStr">
        <is>
          <t>OUI</t>
        </is>
      </c>
      <c r="S213" s="7" t="inlineStr">
        <is>
          <t>31/08/2026 02:59</t>
        </is>
      </c>
    </row>
    <row r="214">
      <c r="A214" s="8" t="inlineStr">
        <is>
          <t>WHAP-0210</t>
        </is>
      </c>
      <c r="B214" s="8" t="inlineStr">
        <is>
          <t>SUS-0210</t>
        </is>
      </c>
      <c r="C214" s="8" t="inlineStr">
        <is>
          <t>tige de suspension</t>
        </is>
      </c>
      <c r="D214" s="8" t="inlineStr">
        <is>
          <t>Suspension</t>
        </is>
      </c>
      <c r="E214" s="8" t="inlineStr">
        <is>
          <t>Suspension</t>
        </is>
      </c>
      <c r="F214" s="8" t="inlineStr">
        <is>
          <t>PIECE_VEHICULE</t>
        </is>
      </c>
      <c r="G214" s="8" t="inlineStr">
        <is>
          <t>unité</t>
        </is>
      </c>
      <c r="H214" s="8" t="inlineStr">
        <is>
          <t>LARGE</t>
        </is>
      </c>
      <c r="I214" s="8" t="n">
        <v>0</v>
      </c>
      <c r="J214" s="8" t="inlineStr">
        <is>
          <t>A-02-01</t>
        </is>
      </c>
      <c r="K214" s="8" t="inlineStr"/>
      <c r="L214" s="10" t="n">
        <v>0</v>
      </c>
      <c r="M214" s="10" t="n">
        <v>0</v>
      </c>
      <c r="N214" s="10" t="n">
        <v>28</v>
      </c>
      <c r="O214" s="8" t="inlineStr">
        <is>
          <t>HEL</t>
        </is>
      </c>
      <c r="P214" s="8" t="inlineStr">
        <is>
          <t>IMPORTANT</t>
        </is>
      </c>
      <c r="Q214" s="8" t="inlineStr">
        <is>
          <t>WHAP</t>
        </is>
      </c>
      <c r="R214" s="8" t="inlineStr">
        <is>
          <t>OUI</t>
        </is>
      </c>
      <c r="S214" s="8" t="inlineStr">
        <is>
          <t>31/08/2026 02:59</t>
        </is>
      </c>
    </row>
    <row r="215">
      <c r="A215" s="7" t="inlineStr">
        <is>
          <t>WHAP-0211</t>
        </is>
      </c>
      <c r="B215" s="7" t="inlineStr">
        <is>
          <t>SUS-0211</t>
        </is>
      </c>
      <c r="C215" s="7" t="inlineStr">
        <is>
          <t>joint de tige</t>
        </is>
      </c>
      <c r="D215" s="7" t="inlineStr">
        <is>
          <t>Suspension</t>
        </is>
      </c>
      <c r="E215" s="7" t="inlineStr">
        <is>
          <t>Suspension</t>
        </is>
      </c>
      <c r="F215" s="7" t="inlineStr">
        <is>
          <t>PIECE_VEHICULE</t>
        </is>
      </c>
      <c r="G215" s="7" t="inlineStr">
        <is>
          <t>unité</t>
        </is>
      </c>
      <c r="H215" s="7" t="inlineStr">
        <is>
          <t>LARGE</t>
        </is>
      </c>
      <c r="I215" s="7" t="n">
        <v>0</v>
      </c>
      <c r="J215" s="7" t="inlineStr">
        <is>
          <t>C-03-03</t>
        </is>
      </c>
      <c r="K215" s="7" t="inlineStr"/>
      <c r="L215" s="9" t="n">
        <v>0</v>
      </c>
      <c r="M215" s="9" t="n">
        <v>0</v>
      </c>
      <c r="N215" s="9" t="n">
        <v>30</v>
      </c>
      <c r="O215" s="7" t="inlineStr">
        <is>
          <t>SUM</t>
        </is>
      </c>
      <c r="P215" s="7" t="inlineStr">
        <is>
          <t>IMPORTANT</t>
        </is>
      </c>
      <c r="Q215" s="7" t="inlineStr">
        <is>
          <t>WHAP</t>
        </is>
      </c>
      <c r="R215" s="7" t="inlineStr">
        <is>
          <t>OUI</t>
        </is>
      </c>
      <c r="S215" s="7" t="inlineStr">
        <is>
          <t>31/08/2026 02:59</t>
        </is>
      </c>
    </row>
    <row r="216">
      <c r="A216" s="8" t="inlineStr">
        <is>
          <t>WHAP-0212</t>
        </is>
      </c>
      <c r="B216" s="8" t="inlineStr">
        <is>
          <t>SUS-0212</t>
        </is>
      </c>
      <c r="C216" s="8" t="inlineStr">
        <is>
          <t>bague de guidage</t>
        </is>
      </c>
      <c r="D216" s="8" t="inlineStr">
        <is>
          <t>Suspension</t>
        </is>
      </c>
      <c r="E216" s="8" t="inlineStr">
        <is>
          <t>Suspension</t>
        </is>
      </c>
      <c r="F216" s="8" t="inlineStr">
        <is>
          <t>PIECE_VEHICULE</t>
        </is>
      </c>
      <c r="G216" s="8" t="inlineStr">
        <is>
          <t>unité</t>
        </is>
      </c>
      <c r="H216" s="8" t="inlineStr">
        <is>
          <t>LARGE</t>
        </is>
      </c>
      <c r="I216" s="8" t="n">
        <v>0</v>
      </c>
      <c r="J216" s="8" t="inlineStr">
        <is>
          <t>F-06-01</t>
        </is>
      </c>
      <c r="K216" s="8" t="inlineStr"/>
      <c r="L216" s="10" t="n">
        <v>0</v>
      </c>
      <c r="M216" s="10" t="n">
        <v>0</v>
      </c>
      <c r="N216" s="10" t="n">
        <v>28</v>
      </c>
      <c r="O216" s="8" t="inlineStr">
        <is>
          <t>SKF</t>
        </is>
      </c>
      <c r="P216" s="8" t="inlineStr">
        <is>
          <t>IMPORTANT</t>
        </is>
      </c>
      <c r="Q216" s="8" t="inlineStr">
        <is>
          <t>WHAP</t>
        </is>
      </c>
      <c r="R216" s="8" t="inlineStr">
        <is>
          <t>OUI</t>
        </is>
      </c>
      <c r="S216" s="8" t="inlineStr">
        <is>
          <t>31/08/2026 02:59</t>
        </is>
      </c>
    </row>
    <row r="217">
      <c r="A217" s="7" t="inlineStr">
        <is>
          <t>WHAP-0213</t>
        </is>
      </c>
      <c r="B217" s="7" t="inlineStr">
        <is>
          <t>SUS-0213</t>
        </is>
      </c>
      <c r="C217" s="7" t="inlineStr">
        <is>
          <t>ressort auxiliaire</t>
        </is>
      </c>
      <c r="D217" s="7" t="inlineStr">
        <is>
          <t>Suspension</t>
        </is>
      </c>
      <c r="E217" s="7" t="inlineStr">
        <is>
          <t>Suspension</t>
        </is>
      </c>
      <c r="F217" s="7" t="inlineStr">
        <is>
          <t>PIECE_VEHICULE</t>
        </is>
      </c>
      <c r="G217" s="7" t="inlineStr">
        <is>
          <t>unité</t>
        </is>
      </c>
      <c r="H217" s="7" t="inlineStr">
        <is>
          <t>LARGE</t>
        </is>
      </c>
      <c r="I217" s="7" t="n">
        <v>0</v>
      </c>
      <c r="J217" s="7" t="inlineStr">
        <is>
          <t>C-06-03</t>
        </is>
      </c>
      <c r="K217" s="7" t="inlineStr"/>
      <c r="L217" s="9" t="n">
        <v>0</v>
      </c>
      <c r="M217" s="9" t="n">
        <v>0</v>
      </c>
      <c r="N217" s="9" t="n">
        <v>27</v>
      </c>
      <c r="O217" s="7" t="inlineStr">
        <is>
          <t>SUM</t>
        </is>
      </c>
      <c r="P217" s="7" t="inlineStr">
        <is>
          <t>IMPORTANT</t>
        </is>
      </c>
      <c r="Q217" s="7" t="inlineStr">
        <is>
          <t>WHAP</t>
        </is>
      </c>
      <c r="R217" s="7" t="inlineStr">
        <is>
          <t>OUI</t>
        </is>
      </c>
      <c r="S217" s="7" t="inlineStr">
        <is>
          <t>31/08/2026 02:59</t>
        </is>
      </c>
    </row>
    <row r="218">
      <c r="A218" s="8" t="inlineStr">
        <is>
          <t>WHAP-0214</t>
        </is>
      </c>
      <c r="B218" s="8" t="inlineStr">
        <is>
          <t>SUS-0214</t>
        </is>
      </c>
      <c r="C218" s="8" t="inlineStr">
        <is>
          <t>butée de suspension</t>
        </is>
      </c>
      <c r="D218" s="8" t="inlineStr">
        <is>
          <t>Suspension</t>
        </is>
      </c>
      <c r="E218" s="8" t="inlineStr">
        <is>
          <t>Suspension</t>
        </is>
      </c>
      <c r="F218" s="8" t="inlineStr">
        <is>
          <t>PIECE_VEHICULE</t>
        </is>
      </c>
      <c r="G218" s="8" t="inlineStr">
        <is>
          <t>unité</t>
        </is>
      </c>
      <c r="H218" s="8" t="inlineStr">
        <is>
          <t>LARGE</t>
        </is>
      </c>
      <c r="I218" s="8" t="n">
        <v>0</v>
      </c>
      <c r="J218" s="8" t="inlineStr">
        <is>
          <t>E-04-03</t>
        </is>
      </c>
      <c r="K218" s="8" t="inlineStr"/>
      <c r="L218" s="10" t="n">
        <v>0</v>
      </c>
      <c r="M218" s="10" t="n">
        <v>0</v>
      </c>
      <c r="N218" s="10" t="n">
        <v>30</v>
      </c>
      <c r="O218" s="8" t="inlineStr">
        <is>
          <t>HEL</t>
        </is>
      </c>
      <c r="P218" s="8" t="inlineStr">
        <is>
          <t>IMPORTANT</t>
        </is>
      </c>
      <c r="Q218" s="8" t="inlineStr">
        <is>
          <t>WHAP</t>
        </is>
      </c>
      <c r="R218" s="8" t="inlineStr">
        <is>
          <t>OUI</t>
        </is>
      </c>
      <c r="S218" s="8" t="inlineStr">
        <is>
          <t>31/08/2026 02:59</t>
        </is>
      </c>
    </row>
    <row r="219">
      <c r="A219" s="7" t="inlineStr">
        <is>
          <t>WHAP-0215</t>
        </is>
      </c>
      <c r="B219" s="7" t="inlineStr">
        <is>
          <t>SUS-0215</t>
        </is>
      </c>
      <c r="C219" s="7" t="inlineStr">
        <is>
          <t>silentbloc de bras</t>
        </is>
      </c>
      <c r="D219" s="7" t="inlineStr">
        <is>
          <t>Suspension</t>
        </is>
      </c>
      <c r="E219" s="7" t="inlineStr">
        <is>
          <t>Suspension</t>
        </is>
      </c>
      <c r="F219" s="7" t="inlineStr">
        <is>
          <t>PIECE_VEHICULE</t>
        </is>
      </c>
      <c r="G219" s="7" t="inlineStr">
        <is>
          <t>unité</t>
        </is>
      </c>
      <c r="H219" s="7" t="inlineStr">
        <is>
          <t>LARGE</t>
        </is>
      </c>
      <c r="I219" s="7" t="n">
        <v>0</v>
      </c>
      <c r="J219" s="7" t="inlineStr">
        <is>
          <t>F-03-01</t>
        </is>
      </c>
      <c r="K219" s="7" t="inlineStr"/>
      <c r="L219" s="9" t="n">
        <v>0</v>
      </c>
      <c r="M219" s="9" t="n">
        <v>0</v>
      </c>
      <c r="N219" s="9" t="n">
        <v>22</v>
      </c>
      <c r="O219" s="7" t="inlineStr">
        <is>
          <t>FAU</t>
        </is>
      </c>
      <c r="P219" s="7" t="inlineStr">
        <is>
          <t>IMPORTANT</t>
        </is>
      </c>
      <c r="Q219" s="7" t="inlineStr">
        <is>
          <t>WHAP</t>
        </is>
      </c>
      <c r="R219" s="7" t="inlineStr">
        <is>
          <t>OUI</t>
        </is>
      </c>
      <c r="S219" s="7" t="inlineStr">
        <is>
          <t>31/08/2026 02:59</t>
        </is>
      </c>
    </row>
    <row r="220">
      <c r="A220" s="8" t="inlineStr">
        <is>
          <t>WHAP-0216</t>
        </is>
      </c>
      <c r="B220" s="8" t="inlineStr">
        <is>
          <t>SUS-0216</t>
        </is>
      </c>
      <c r="C220" s="8" t="inlineStr">
        <is>
          <t>support de suspension</t>
        </is>
      </c>
      <c r="D220" s="8" t="inlineStr">
        <is>
          <t>Suspension</t>
        </is>
      </c>
      <c r="E220" s="8" t="inlineStr">
        <is>
          <t>Suspension</t>
        </is>
      </c>
      <c r="F220" s="8" t="inlineStr">
        <is>
          <t>PIECE_VEHICULE</t>
        </is>
      </c>
      <c r="G220" s="8" t="inlineStr">
        <is>
          <t>unité</t>
        </is>
      </c>
      <c r="H220" s="8" t="inlineStr">
        <is>
          <t>LARGE</t>
        </is>
      </c>
      <c r="I220" s="8" t="n">
        <v>0</v>
      </c>
      <c r="J220" s="8" t="inlineStr">
        <is>
          <t>C-06-01</t>
        </is>
      </c>
      <c r="K220" s="8" t="inlineStr"/>
      <c r="L220" s="10" t="n">
        <v>0</v>
      </c>
      <c r="M220" s="10" t="n">
        <v>0</v>
      </c>
      <c r="N220" s="10" t="n">
        <v>32</v>
      </c>
      <c r="O220" s="8" t="inlineStr">
        <is>
          <t>SUM</t>
        </is>
      </c>
      <c r="P220" s="8" t="inlineStr">
        <is>
          <t>IMPORTANT</t>
        </is>
      </c>
      <c r="Q220" s="8" t="inlineStr">
        <is>
          <t>WHAP</t>
        </is>
      </c>
      <c r="R220" s="8" t="inlineStr">
        <is>
          <t>OUI</t>
        </is>
      </c>
      <c r="S220" s="8" t="inlineStr">
        <is>
          <t>31/08/2026 02:59</t>
        </is>
      </c>
    </row>
    <row r="221">
      <c r="A221" s="7" t="inlineStr">
        <is>
          <t>WHAP-0217</t>
        </is>
      </c>
      <c r="B221" s="7" t="inlineStr">
        <is>
          <t>SUS-0217</t>
        </is>
      </c>
      <c r="C221" s="7" t="inlineStr">
        <is>
          <t>capteur de hauteur</t>
        </is>
      </c>
      <c r="D221" s="7" t="inlineStr">
        <is>
          <t>Suspension</t>
        </is>
      </c>
      <c r="E221" s="7" t="inlineStr">
        <is>
          <t>Suspension</t>
        </is>
      </c>
      <c r="F221" s="7" t="inlineStr">
        <is>
          <t>PIECE_VEHICULE</t>
        </is>
      </c>
      <c r="G221" s="7" t="inlineStr">
        <is>
          <t>unité</t>
        </is>
      </c>
      <c r="H221" s="7" t="inlineStr">
        <is>
          <t>LARGE</t>
        </is>
      </c>
      <c r="I221" s="7" t="n">
        <v>0</v>
      </c>
      <c r="J221" s="7" t="inlineStr">
        <is>
          <t>B-04-02</t>
        </is>
      </c>
      <c r="K221" s="7" t="inlineStr"/>
      <c r="L221" s="9" t="n">
        <v>0</v>
      </c>
      <c r="M221" s="9" t="n">
        <v>0</v>
      </c>
      <c r="N221" s="9" t="n">
        <v>30</v>
      </c>
      <c r="O221" s="7" t="inlineStr">
        <is>
          <t>FAU</t>
        </is>
      </c>
      <c r="P221" s="7" t="inlineStr">
        <is>
          <t>IMPORTANT</t>
        </is>
      </c>
      <c r="Q221" s="7" t="inlineStr">
        <is>
          <t>WHAP</t>
        </is>
      </c>
      <c r="R221" s="7" t="inlineStr">
        <is>
          <t>OUI</t>
        </is>
      </c>
      <c r="S221" s="7" t="inlineStr">
        <is>
          <t>31/08/2026 02:59</t>
        </is>
      </c>
    </row>
    <row r="222">
      <c r="A222" s="8" t="inlineStr">
        <is>
          <t>WHAP-0218</t>
        </is>
      </c>
      <c r="B222" s="8" t="inlineStr">
        <is>
          <t>SUS-0218</t>
        </is>
      </c>
      <c r="C222" s="8" t="inlineStr">
        <is>
          <t>valve de suspension</t>
        </is>
      </c>
      <c r="D222" s="8" t="inlineStr">
        <is>
          <t>Suspension</t>
        </is>
      </c>
      <c r="E222" s="8" t="inlineStr">
        <is>
          <t>Suspension</t>
        </is>
      </c>
      <c r="F222" s="8" t="inlineStr">
        <is>
          <t>PIECE_VEHICULE</t>
        </is>
      </c>
      <c r="G222" s="8" t="inlineStr">
        <is>
          <t>unité</t>
        </is>
      </c>
      <c r="H222" s="8" t="inlineStr">
        <is>
          <t>LARGE</t>
        </is>
      </c>
      <c r="I222" s="8" t="n">
        <v>0</v>
      </c>
      <c r="J222" s="8" t="inlineStr">
        <is>
          <t>D-03-02</t>
        </is>
      </c>
      <c r="K222" s="8" t="inlineStr"/>
      <c r="L222" s="10" t="n">
        <v>0</v>
      </c>
      <c r="M222" s="10" t="n">
        <v>0</v>
      </c>
      <c r="N222" s="10" t="n">
        <v>26</v>
      </c>
      <c r="O222" s="8" t="inlineStr">
        <is>
          <t>CTL</t>
        </is>
      </c>
      <c r="P222" s="8" t="inlineStr">
        <is>
          <t>IMPORTANT</t>
        </is>
      </c>
      <c r="Q222" s="8" t="inlineStr">
        <is>
          <t>WHAP</t>
        </is>
      </c>
      <c r="R222" s="8" t="inlineStr">
        <is>
          <t>OUI</t>
        </is>
      </c>
      <c r="S222" s="8" t="inlineStr">
        <is>
          <t>31/08/2026 02:59</t>
        </is>
      </c>
    </row>
    <row r="223">
      <c r="A223" s="7" t="inlineStr">
        <is>
          <t>WHAP-0219</t>
        </is>
      </c>
      <c r="B223" s="7" t="inlineStr">
        <is>
          <t>SUS-0219</t>
        </is>
      </c>
      <c r="C223" s="7" t="inlineStr">
        <is>
          <t>conduite hydraulique</t>
        </is>
      </c>
      <c r="D223" s="7" t="inlineStr">
        <is>
          <t>Suspension</t>
        </is>
      </c>
      <c r="E223" s="7" t="inlineStr">
        <is>
          <t>Suspension</t>
        </is>
      </c>
      <c r="F223" s="7" t="inlineStr">
        <is>
          <t>PIECE_VEHICULE</t>
        </is>
      </c>
      <c r="G223" s="7" t="inlineStr">
        <is>
          <t>unité</t>
        </is>
      </c>
      <c r="H223" s="7" t="inlineStr">
        <is>
          <t>LARGE</t>
        </is>
      </c>
      <c r="I223" s="7" t="n">
        <v>0</v>
      </c>
      <c r="J223" s="7" t="inlineStr">
        <is>
          <t>D-05-04</t>
        </is>
      </c>
      <c r="K223" s="7" t="inlineStr"/>
      <c r="L223" s="9" t="n">
        <v>0</v>
      </c>
      <c r="M223" s="9" t="n">
        <v>0</v>
      </c>
      <c r="N223" s="9" t="n">
        <v>31</v>
      </c>
      <c r="O223" s="7" t="inlineStr">
        <is>
          <t>CTL</t>
        </is>
      </c>
      <c r="P223" s="7" t="inlineStr">
        <is>
          <t>IMPORTANT</t>
        </is>
      </c>
      <c r="Q223" s="7" t="inlineStr">
        <is>
          <t>WHAP</t>
        </is>
      </c>
      <c r="R223" s="7" t="inlineStr">
        <is>
          <t>OUI</t>
        </is>
      </c>
      <c r="S223" s="7" t="inlineStr">
        <is>
          <t>31/08/2026 02:59</t>
        </is>
      </c>
    </row>
    <row r="224">
      <c r="A224" s="8" t="inlineStr">
        <is>
          <t>WHAP-0220</t>
        </is>
      </c>
      <c r="B224" s="8" t="inlineStr">
        <is>
          <t>SUS-0220</t>
        </is>
      </c>
      <c r="C224" s="8" t="inlineStr">
        <is>
          <t>raccord hydraulique</t>
        </is>
      </c>
      <c r="D224" s="8" t="inlineStr">
        <is>
          <t>Suspension</t>
        </is>
      </c>
      <c r="E224" s="8" t="inlineStr">
        <is>
          <t>Suspension</t>
        </is>
      </c>
      <c r="F224" s="8" t="inlineStr">
        <is>
          <t>PIECE_VEHICULE</t>
        </is>
      </c>
      <c r="G224" s="8" t="inlineStr">
        <is>
          <t>unité</t>
        </is>
      </c>
      <c r="H224" s="8" t="inlineStr">
        <is>
          <t>LARGE</t>
        </is>
      </c>
      <c r="I224" s="8" t="n">
        <v>0</v>
      </c>
      <c r="J224" s="8" t="inlineStr">
        <is>
          <t>C-01-02</t>
        </is>
      </c>
      <c r="K224" s="8" t="inlineStr"/>
      <c r="L224" s="10" t="n">
        <v>0</v>
      </c>
      <c r="M224" s="10" t="n">
        <v>0</v>
      </c>
      <c r="N224" s="10" t="n">
        <v>22</v>
      </c>
      <c r="O224" s="8" t="inlineStr">
        <is>
          <t>HEL</t>
        </is>
      </c>
      <c r="P224" s="8" t="inlineStr">
        <is>
          <t>IMPORTANT</t>
        </is>
      </c>
      <c r="Q224" s="8" t="inlineStr">
        <is>
          <t>WHAP</t>
        </is>
      </c>
      <c r="R224" s="8" t="inlineStr">
        <is>
          <t>OUI</t>
        </is>
      </c>
      <c r="S224" s="8" t="inlineStr">
        <is>
          <t>31/08/2026 02:59</t>
        </is>
      </c>
    </row>
    <row r="225">
      <c r="A225" s="7" t="inlineStr">
        <is>
          <t>WHAP-0221</t>
        </is>
      </c>
      <c r="B225" s="7" t="inlineStr">
        <is>
          <t>SUS-0221</t>
        </is>
      </c>
      <c r="C225" s="7" t="inlineStr">
        <is>
          <t>pompe hydraulique</t>
        </is>
      </c>
      <c r="D225" s="7" t="inlineStr">
        <is>
          <t>Suspension</t>
        </is>
      </c>
      <c r="E225" s="7" t="inlineStr">
        <is>
          <t>Suspension</t>
        </is>
      </c>
      <c r="F225" s="7" t="inlineStr">
        <is>
          <t>PIECE_VEHICULE</t>
        </is>
      </c>
      <c r="G225" s="7" t="inlineStr">
        <is>
          <t>unité</t>
        </is>
      </c>
      <c r="H225" s="7" t="inlineStr">
        <is>
          <t>LARGE</t>
        </is>
      </c>
      <c r="I225" s="7" t="n">
        <v>0</v>
      </c>
      <c r="J225" s="7" t="inlineStr">
        <is>
          <t>A-06-03</t>
        </is>
      </c>
      <c r="K225" s="7" t="inlineStr"/>
      <c r="L225" s="9" t="n">
        <v>0</v>
      </c>
      <c r="M225" s="9" t="n">
        <v>0</v>
      </c>
      <c r="N225" s="9" t="n">
        <v>28</v>
      </c>
      <c r="O225" s="7" t="inlineStr">
        <is>
          <t>BOS</t>
        </is>
      </c>
      <c r="P225" s="7" t="inlineStr">
        <is>
          <t>IMPORTANT</t>
        </is>
      </c>
      <c r="Q225" s="7" t="inlineStr">
        <is>
          <t>WHAP</t>
        </is>
      </c>
      <c r="R225" s="7" t="inlineStr">
        <is>
          <t>OUI</t>
        </is>
      </c>
      <c r="S225" s="7" t="inlineStr">
        <is>
          <t>31/08/2026 02:59</t>
        </is>
      </c>
    </row>
    <row r="226">
      <c r="A226" s="8" t="inlineStr">
        <is>
          <t>WHAP-0222</t>
        </is>
      </c>
      <c r="B226" s="8" t="inlineStr">
        <is>
          <t>SUS-0222</t>
        </is>
      </c>
      <c r="C226" s="8" t="inlineStr">
        <is>
          <t>réservoir hydraulique</t>
        </is>
      </c>
      <c r="D226" s="8" t="inlineStr">
        <is>
          <t>Suspension</t>
        </is>
      </c>
      <c r="E226" s="8" t="inlineStr">
        <is>
          <t>Suspension</t>
        </is>
      </c>
      <c r="F226" s="8" t="inlineStr">
        <is>
          <t>PIECE_VEHICULE</t>
        </is>
      </c>
      <c r="G226" s="8" t="inlineStr">
        <is>
          <t>unité</t>
        </is>
      </c>
      <c r="H226" s="8" t="inlineStr">
        <is>
          <t>LARGE</t>
        </is>
      </c>
      <c r="I226" s="8" t="n">
        <v>0</v>
      </c>
      <c r="J226" s="8" t="inlineStr">
        <is>
          <t>E-02-04</t>
        </is>
      </c>
      <c r="K226" s="8" t="inlineStr"/>
      <c r="L226" s="10" t="n">
        <v>0</v>
      </c>
      <c r="M226" s="10" t="n">
        <v>0</v>
      </c>
      <c r="N226" s="10" t="n">
        <v>29</v>
      </c>
      <c r="O226" s="8" t="inlineStr">
        <is>
          <t>MAG</t>
        </is>
      </c>
      <c r="P226" s="8" t="inlineStr">
        <is>
          <t>IMPORTANT</t>
        </is>
      </c>
      <c r="Q226" s="8" t="inlineStr">
        <is>
          <t>WHAP</t>
        </is>
      </c>
      <c r="R226" s="8" t="inlineStr">
        <is>
          <t>OUI</t>
        </is>
      </c>
      <c r="S226" s="8" t="inlineStr">
        <is>
          <t>31/08/2026 02:59</t>
        </is>
      </c>
    </row>
    <row r="227">
      <c r="A227" s="7" t="inlineStr">
        <is>
          <t>WHAP-0223</t>
        </is>
      </c>
      <c r="B227" s="7" t="inlineStr">
        <is>
          <t>SUS-0223</t>
        </is>
      </c>
      <c r="C227" s="7" t="inlineStr">
        <is>
          <t>filtre hydraulique</t>
        </is>
      </c>
      <c r="D227" s="7" t="inlineStr">
        <is>
          <t>Suspension</t>
        </is>
      </c>
      <c r="E227" s="7" t="inlineStr">
        <is>
          <t>Suspension</t>
        </is>
      </c>
      <c r="F227" s="7" t="inlineStr">
        <is>
          <t>PIECE_VEHICULE</t>
        </is>
      </c>
      <c r="G227" s="7" t="inlineStr">
        <is>
          <t>unité</t>
        </is>
      </c>
      <c r="H227" s="7" t="inlineStr">
        <is>
          <t>LARGE</t>
        </is>
      </c>
      <c r="I227" s="7" t="n">
        <v>0</v>
      </c>
      <c r="J227" s="7" t="inlineStr">
        <is>
          <t>B-02-03</t>
        </is>
      </c>
      <c r="K227" s="7" t="inlineStr"/>
      <c r="L227" s="9" t="n">
        <v>0</v>
      </c>
      <c r="M227" s="9" t="n">
        <v>0</v>
      </c>
      <c r="N227" s="9" t="n">
        <v>22</v>
      </c>
      <c r="O227" s="7" t="inlineStr">
        <is>
          <t>CTL</t>
        </is>
      </c>
      <c r="P227" s="7" t="inlineStr">
        <is>
          <t>IMPORTANT</t>
        </is>
      </c>
      <c r="Q227" s="7" t="inlineStr">
        <is>
          <t>WHAP</t>
        </is>
      </c>
      <c r="R227" s="7" t="inlineStr">
        <is>
          <t>OUI</t>
        </is>
      </c>
      <c r="S227" s="7" t="inlineStr">
        <is>
          <t>31/08/2026 02:59</t>
        </is>
      </c>
    </row>
    <row r="228">
      <c r="A228" s="8" t="inlineStr">
        <is>
          <t>WHAP-0224</t>
        </is>
      </c>
      <c r="B228" s="8" t="inlineStr">
        <is>
          <t>DIR-0224</t>
        </is>
      </c>
      <c r="C228" s="8" t="inlineStr">
        <is>
          <t>volant</t>
        </is>
      </c>
      <c r="D228" s="8" t="inlineStr">
        <is>
          <t>Direction</t>
        </is>
      </c>
      <c r="E228" s="8" t="inlineStr">
        <is>
          <t>Direction</t>
        </is>
      </c>
      <c r="F228" s="8" t="inlineStr">
        <is>
          <t>PIECE_VEHICULE</t>
        </is>
      </c>
      <c r="G228" s="8" t="inlineStr">
        <is>
          <t>unité</t>
        </is>
      </c>
      <c r="H228" s="8" t="inlineStr">
        <is>
          <t>LARGE</t>
        </is>
      </c>
      <c r="I228" s="8" t="n">
        <v>0</v>
      </c>
      <c r="J228" s="8" t="inlineStr">
        <is>
          <t>F-02-03 : 142</t>
        </is>
      </c>
      <c r="K228" s="8" t="inlineStr"/>
      <c r="L228" s="10" t="n">
        <v>142</v>
      </c>
      <c r="M228" s="10" t="n">
        <v>142</v>
      </c>
      <c r="N228" s="10" t="n">
        <v>18</v>
      </c>
      <c r="O228" s="8" t="inlineStr">
        <is>
          <t>VAL</t>
        </is>
      </c>
      <c r="P228" s="8" t="inlineStr">
        <is>
          <t>CRITIQUE</t>
        </is>
      </c>
      <c r="Q228" s="8" t="inlineStr">
        <is>
          <t>WHAP</t>
        </is>
      </c>
      <c r="R228" s="8" t="inlineStr">
        <is>
          <t>OUI</t>
        </is>
      </c>
      <c r="S228" s="8" t="inlineStr">
        <is>
          <t>31/08/2026 02:59</t>
        </is>
      </c>
    </row>
    <row r="229">
      <c r="A229" s="7" t="inlineStr">
        <is>
          <t>WHAP-0225</t>
        </is>
      </c>
      <c r="B229" s="7" t="inlineStr">
        <is>
          <t>DIR-0225</t>
        </is>
      </c>
      <c r="C229" s="7" t="inlineStr">
        <is>
          <t>colonne de direction</t>
        </is>
      </c>
      <c r="D229" s="7" t="inlineStr">
        <is>
          <t>Direction</t>
        </is>
      </c>
      <c r="E229" s="7" t="inlineStr">
        <is>
          <t>Direction</t>
        </is>
      </c>
      <c r="F229" s="7" t="inlineStr">
        <is>
          <t>PIECE_VEHICULE</t>
        </is>
      </c>
      <c r="G229" s="7" t="inlineStr">
        <is>
          <t>unité</t>
        </is>
      </c>
      <c r="H229" s="7" t="inlineStr">
        <is>
          <t>LARGE</t>
        </is>
      </c>
      <c r="I229" s="7" t="n">
        <v>0</v>
      </c>
      <c r="J229" s="7" t="inlineStr">
        <is>
          <t>C-06-02 : 252</t>
        </is>
      </c>
      <c r="K229" s="7" t="inlineStr"/>
      <c r="L229" s="9" t="n">
        <v>252</v>
      </c>
      <c r="M229" s="9" t="n">
        <v>252</v>
      </c>
      <c r="N229" s="9" t="n">
        <v>18</v>
      </c>
      <c r="O229" s="7" t="inlineStr">
        <is>
          <t>DEL</t>
        </is>
      </c>
      <c r="P229" s="7" t="inlineStr">
        <is>
          <t>CRITIQUE</t>
        </is>
      </c>
      <c r="Q229" s="7" t="inlineStr">
        <is>
          <t>WHAP</t>
        </is>
      </c>
      <c r="R229" s="7" t="inlineStr">
        <is>
          <t>OUI</t>
        </is>
      </c>
      <c r="S229" s="7" t="inlineStr">
        <is>
          <t>31/08/2026 02:59</t>
        </is>
      </c>
    </row>
    <row r="230">
      <c r="A230" s="8" t="inlineStr">
        <is>
          <t>WHAP-0226</t>
        </is>
      </c>
      <c r="B230" s="8" t="inlineStr">
        <is>
          <t>DIR-0226</t>
        </is>
      </c>
      <c r="C230" s="8" t="inlineStr">
        <is>
          <t>arbre de direction</t>
        </is>
      </c>
      <c r="D230" s="8" t="inlineStr">
        <is>
          <t>Direction</t>
        </is>
      </c>
      <c r="E230" s="8" t="inlineStr">
        <is>
          <t>Direction</t>
        </is>
      </c>
      <c r="F230" s="8" t="inlineStr">
        <is>
          <t>PIECE_VEHICULE</t>
        </is>
      </c>
      <c r="G230" s="8" t="inlineStr">
        <is>
          <t>unité</t>
        </is>
      </c>
      <c r="H230" s="8" t="inlineStr">
        <is>
          <t>LARGE</t>
        </is>
      </c>
      <c r="I230" s="8" t="n">
        <v>0</v>
      </c>
      <c r="J230" s="8" t="inlineStr">
        <is>
          <t>D-02-02 : 138</t>
        </is>
      </c>
      <c r="K230" s="8" t="inlineStr"/>
      <c r="L230" s="10" t="n">
        <v>138</v>
      </c>
      <c r="M230" s="10" t="n">
        <v>138</v>
      </c>
      <c r="N230" s="10" t="n">
        <v>10</v>
      </c>
      <c r="O230" s="8" t="inlineStr">
        <is>
          <t>CTL</t>
        </is>
      </c>
      <c r="P230" s="8" t="inlineStr">
        <is>
          <t>CRITIQUE</t>
        </is>
      </c>
      <c r="Q230" s="8" t="inlineStr">
        <is>
          <t>WHAP</t>
        </is>
      </c>
      <c r="R230" s="8" t="inlineStr">
        <is>
          <t>OUI</t>
        </is>
      </c>
      <c r="S230" s="8" t="inlineStr">
        <is>
          <t>31/08/2026 02:59</t>
        </is>
      </c>
    </row>
    <row r="231">
      <c r="A231" s="7" t="inlineStr">
        <is>
          <t>WHAP-0227</t>
        </is>
      </c>
      <c r="B231" s="7" t="inlineStr">
        <is>
          <t>DIR-0227</t>
        </is>
      </c>
      <c r="C231" s="7" t="inlineStr">
        <is>
          <t>boîtier de direction</t>
        </is>
      </c>
      <c r="D231" s="7" t="inlineStr">
        <is>
          <t>Direction</t>
        </is>
      </c>
      <c r="E231" s="7" t="inlineStr">
        <is>
          <t>Direction</t>
        </is>
      </c>
      <c r="F231" s="7" t="inlineStr">
        <is>
          <t>PIECE_VEHICULE</t>
        </is>
      </c>
      <c r="G231" s="7" t="inlineStr">
        <is>
          <t>unité</t>
        </is>
      </c>
      <c r="H231" s="7" t="inlineStr">
        <is>
          <t>LARGE</t>
        </is>
      </c>
      <c r="I231" s="7" t="n">
        <v>0</v>
      </c>
      <c r="J231" s="7" t="inlineStr">
        <is>
          <t>A-03-03</t>
        </is>
      </c>
      <c r="K231" s="7" t="inlineStr"/>
      <c r="L231" s="9" t="n">
        <v>0</v>
      </c>
      <c r="M231" s="9" t="n">
        <v>0</v>
      </c>
      <c r="N231" s="9" t="n">
        <v>10</v>
      </c>
      <c r="O231" s="7" t="inlineStr">
        <is>
          <t>SUM</t>
        </is>
      </c>
      <c r="P231" s="7" t="inlineStr">
        <is>
          <t>CRITIQUE</t>
        </is>
      </c>
      <c r="Q231" s="7" t="inlineStr">
        <is>
          <t>WHAP</t>
        </is>
      </c>
      <c r="R231" s="7" t="inlineStr">
        <is>
          <t>OUI</t>
        </is>
      </c>
      <c r="S231" s="7" t="inlineStr">
        <is>
          <t>31/08/2026 02:59</t>
        </is>
      </c>
    </row>
    <row r="232">
      <c r="A232" s="8" t="inlineStr">
        <is>
          <t>WHAP-0228</t>
        </is>
      </c>
      <c r="B232" s="8" t="inlineStr">
        <is>
          <t>DIR-0228</t>
        </is>
      </c>
      <c r="C232" s="8" t="inlineStr">
        <is>
          <t>servo-direction</t>
        </is>
      </c>
      <c r="D232" s="8" t="inlineStr">
        <is>
          <t>Direction</t>
        </is>
      </c>
      <c r="E232" s="8" t="inlineStr">
        <is>
          <t>Direction</t>
        </is>
      </c>
      <c r="F232" s="8" t="inlineStr">
        <is>
          <t>PIECE_VEHICULE</t>
        </is>
      </c>
      <c r="G232" s="8" t="inlineStr">
        <is>
          <t>unité</t>
        </is>
      </c>
      <c r="H232" s="8" t="inlineStr">
        <is>
          <t>LARGE</t>
        </is>
      </c>
      <c r="I232" s="8" t="n">
        <v>0</v>
      </c>
      <c r="J232" s="8" t="inlineStr">
        <is>
          <t>B-04-04</t>
        </is>
      </c>
      <c r="K232" s="8" t="inlineStr"/>
      <c r="L232" s="10" t="n">
        <v>0</v>
      </c>
      <c r="M232" s="10" t="n">
        <v>0</v>
      </c>
      <c r="N232" s="10" t="n">
        <v>11</v>
      </c>
      <c r="O232" s="8" t="inlineStr">
        <is>
          <t>CTL</t>
        </is>
      </c>
      <c r="P232" s="8" t="inlineStr">
        <is>
          <t>CRITIQUE</t>
        </is>
      </c>
      <c r="Q232" s="8" t="inlineStr">
        <is>
          <t>WHAP</t>
        </is>
      </c>
      <c r="R232" s="8" t="inlineStr">
        <is>
          <t>OUI</t>
        </is>
      </c>
      <c r="S232" s="8" t="inlineStr">
        <is>
          <t>31/08/2026 02:59</t>
        </is>
      </c>
    </row>
    <row r="233">
      <c r="A233" s="7" t="inlineStr">
        <is>
          <t>WHAP-0229</t>
        </is>
      </c>
      <c r="B233" s="7" t="inlineStr">
        <is>
          <t>DIR-0229</t>
        </is>
      </c>
      <c r="C233" s="7" t="inlineStr">
        <is>
          <t>pompe de direction</t>
        </is>
      </c>
      <c r="D233" s="7" t="inlineStr">
        <is>
          <t>Direction</t>
        </is>
      </c>
      <c r="E233" s="7" t="inlineStr">
        <is>
          <t>Direction</t>
        </is>
      </c>
      <c r="F233" s="7" t="inlineStr">
        <is>
          <t>PIECE_VEHICULE</t>
        </is>
      </c>
      <c r="G233" s="7" t="inlineStr">
        <is>
          <t>unité</t>
        </is>
      </c>
      <c r="H233" s="7" t="inlineStr">
        <is>
          <t>LARGE</t>
        </is>
      </c>
      <c r="I233" s="7" t="n">
        <v>0</v>
      </c>
      <c r="J233" s="7" t="inlineStr">
        <is>
          <t>F-04-04</t>
        </is>
      </c>
      <c r="K233" s="7" t="inlineStr"/>
      <c r="L233" s="9" t="n">
        <v>0</v>
      </c>
      <c r="M233" s="9" t="n">
        <v>0</v>
      </c>
      <c r="N233" s="9" t="n">
        <v>16</v>
      </c>
      <c r="O233" s="7" t="inlineStr">
        <is>
          <t>VAL</t>
        </is>
      </c>
      <c r="P233" s="7" t="inlineStr">
        <is>
          <t>CRITIQUE</t>
        </is>
      </c>
      <c r="Q233" s="7" t="inlineStr">
        <is>
          <t>WHAP</t>
        </is>
      </c>
      <c r="R233" s="7" t="inlineStr">
        <is>
          <t>OUI</t>
        </is>
      </c>
      <c r="S233" s="7" t="inlineStr">
        <is>
          <t>31/08/2026 02:59</t>
        </is>
      </c>
    </row>
    <row r="234">
      <c r="A234" s="8" t="inlineStr">
        <is>
          <t>WHAP-0230</t>
        </is>
      </c>
      <c r="B234" s="8" t="inlineStr">
        <is>
          <t>DIR-0230</t>
        </is>
      </c>
      <c r="C234" s="8" t="inlineStr">
        <is>
          <t>réservoir de direction</t>
        </is>
      </c>
      <c r="D234" s="8" t="inlineStr">
        <is>
          <t>Direction</t>
        </is>
      </c>
      <c r="E234" s="8" t="inlineStr">
        <is>
          <t>Direction</t>
        </is>
      </c>
      <c r="F234" s="8" t="inlineStr">
        <is>
          <t>PIECE_VEHICULE</t>
        </is>
      </c>
      <c r="G234" s="8" t="inlineStr">
        <is>
          <t>unité</t>
        </is>
      </c>
      <c r="H234" s="8" t="inlineStr">
        <is>
          <t>LARGE</t>
        </is>
      </c>
      <c r="I234" s="8" t="n">
        <v>0</v>
      </c>
      <c r="J234" s="8" t="inlineStr">
        <is>
          <t>A-03-02</t>
        </is>
      </c>
      <c r="K234" s="8" t="inlineStr"/>
      <c r="L234" s="10" t="n">
        <v>0</v>
      </c>
      <c r="M234" s="10" t="n">
        <v>0</v>
      </c>
      <c r="N234" s="10" t="n">
        <v>12</v>
      </c>
      <c r="O234" s="8" t="inlineStr">
        <is>
          <t>DEL</t>
        </is>
      </c>
      <c r="P234" s="8" t="inlineStr">
        <is>
          <t>CRITIQUE</t>
        </is>
      </c>
      <c r="Q234" s="8" t="inlineStr">
        <is>
          <t>WHAP</t>
        </is>
      </c>
      <c r="R234" s="8" t="inlineStr">
        <is>
          <t>OUI</t>
        </is>
      </c>
      <c r="S234" s="8" t="inlineStr">
        <is>
          <t>31/08/2026 02:59</t>
        </is>
      </c>
    </row>
    <row r="235">
      <c r="A235" s="7" t="inlineStr">
        <is>
          <t>WHAP-0231</t>
        </is>
      </c>
      <c r="B235" s="7" t="inlineStr">
        <is>
          <t>DIR-0231</t>
        </is>
      </c>
      <c r="C235" s="7" t="inlineStr">
        <is>
          <t>crémaillère</t>
        </is>
      </c>
      <c r="D235" s="7" t="inlineStr">
        <is>
          <t>Direction</t>
        </is>
      </c>
      <c r="E235" s="7" t="inlineStr">
        <is>
          <t>Direction</t>
        </is>
      </c>
      <c r="F235" s="7" t="inlineStr">
        <is>
          <t>PIECE_VEHICULE</t>
        </is>
      </c>
      <c r="G235" s="7" t="inlineStr">
        <is>
          <t>unité</t>
        </is>
      </c>
      <c r="H235" s="7" t="inlineStr">
        <is>
          <t>LARGE</t>
        </is>
      </c>
      <c r="I235" s="7" t="n">
        <v>0</v>
      </c>
      <c r="J235" s="7" t="inlineStr">
        <is>
          <t>B-02-03</t>
        </is>
      </c>
      <c r="K235" s="7" t="inlineStr"/>
      <c r="L235" s="9" t="n">
        <v>0</v>
      </c>
      <c r="M235" s="9" t="n">
        <v>0</v>
      </c>
      <c r="N235" s="9" t="n">
        <v>16</v>
      </c>
      <c r="O235" s="7" t="inlineStr">
        <is>
          <t>VAL</t>
        </is>
      </c>
      <c r="P235" s="7" t="inlineStr">
        <is>
          <t>CRITIQUE</t>
        </is>
      </c>
      <c r="Q235" s="7" t="inlineStr">
        <is>
          <t>WHAP</t>
        </is>
      </c>
      <c r="R235" s="7" t="inlineStr">
        <is>
          <t>OUI</t>
        </is>
      </c>
      <c r="S235" s="7" t="inlineStr">
        <is>
          <t>31/08/2026 02:59</t>
        </is>
      </c>
    </row>
    <row r="236">
      <c r="A236" s="8" t="inlineStr">
        <is>
          <t>WHAP-0232</t>
        </is>
      </c>
      <c r="B236" s="8" t="inlineStr">
        <is>
          <t>DIR-0232</t>
        </is>
      </c>
      <c r="C236" s="8" t="inlineStr">
        <is>
          <t>biellette de direction</t>
        </is>
      </c>
      <c r="D236" s="8" t="inlineStr">
        <is>
          <t>Direction</t>
        </is>
      </c>
      <c r="E236" s="8" t="inlineStr">
        <is>
          <t>Direction</t>
        </is>
      </c>
      <c r="F236" s="8" t="inlineStr">
        <is>
          <t>PIECE_VEHICULE</t>
        </is>
      </c>
      <c r="G236" s="8" t="inlineStr">
        <is>
          <t>unité</t>
        </is>
      </c>
      <c r="H236" s="8" t="inlineStr">
        <is>
          <t>LARGE</t>
        </is>
      </c>
      <c r="I236" s="8" t="n">
        <v>0</v>
      </c>
      <c r="J236" s="8" t="inlineStr">
        <is>
          <t>F-04-04</t>
        </is>
      </c>
      <c r="K236" s="8" t="inlineStr"/>
      <c r="L236" s="10" t="n">
        <v>0</v>
      </c>
      <c r="M236" s="10" t="n">
        <v>0</v>
      </c>
      <c r="N236" s="10" t="n">
        <v>14</v>
      </c>
      <c r="O236" s="8" t="inlineStr">
        <is>
          <t>CTL</t>
        </is>
      </c>
      <c r="P236" s="8" t="inlineStr">
        <is>
          <t>CRITIQUE</t>
        </is>
      </c>
      <c r="Q236" s="8" t="inlineStr">
        <is>
          <t>WHAP</t>
        </is>
      </c>
      <c r="R236" s="8" t="inlineStr">
        <is>
          <t>OUI</t>
        </is>
      </c>
      <c r="S236" s="8" t="inlineStr">
        <is>
          <t>31/08/2026 02:59</t>
        </is>
      </c>
    </row>
    <row r="237">
      <c r="A237" s="7" t="inlineStr">
        <is>
          <t>WHAP-0233</t>
        </is>
      </c>
      <c r="B237" s="7" t="inlineStr">
        <is>
          <t>DIR-0233</t>
        </is>
      </c>
      <c r="C237" s="7" t="inlineStr">
        <is>
          <t>barre d'accouplement</t>
        </is>
      </c>
      <c r="D237" s="7" t="inlineStr">
        <is>
          <t>Direction</t>
        </is>
      </c>
      <c r="E237" s="7" t="inlineStr">
        <is>
          <t>Direction</t>
        </is>
      </c>
      <c r="F237" s="7" t="inlineStr">
        <is>
          <t>PIECE_VEHICULE</t>
        </is>
      </c>
      <c r="G237" s="7" t="inlineStr">
        <is>
          <t>unité</t>
        </is>
      </c>
      <c r="H237" s="7" t="inlineStr">
        <is>
          <t>LARGE</t>
        </is>
      </c>
      <c r="I237" s="7" t="n">
        <v>0</v>
      </c>
      <c r="J237" s="7" t="inlineStr">
        <is>
          <t>A-04-03</t>
        </is>
      </c>
      <c r="K237" s="7" t="inlineStr"/>
      <c r="L237" s="9" t="n">
        <v>0</v>
      </c>
      <c r="M237" s="9" t="n">
        <v>0</v>
      </c>
      <c r="N237" s="9" t="n">
        <v>18</v>
      </c>
      <c r="O237" s="7" t="inlineStr">
        <is>
          <t>MAG</t>
        </is>
      </c>
      <c r="P237" s="7" t="inlineStr">
        <is>
          <t>CRITIQUE</t>
        </is>
      </c>
      <c r="Q237" s="7" t="inlineStr">
        <is>
          <t>WHAP</t>
        </is>
      </c>
      <c r="R237" s="7" t="inlineStr">
        <is>
          <t>OUI</t>
        </is>
      </c>
      <c r="S237" s="7" t="inlineStr">
        <is>
          <t>31/08/2026 02:59</t>
        </is>
      </c>
    </row>
    <row r="238">
      <c r="A238" s="8" t="inlineStr">
        <is>
          <t>WHAP-0234</t>
        </is>
      </c>
      <c r="B238" s="8" t="inlineStr">
        <is>
          <t>DIR-0234</t>
        </is>
      </c>
      <c r="C238" s="8" t="inlineStr">
        <is>
          <t>rotule de direction</t>
        </is>
      </c>
      <c r="D238" s="8" t="inlineStr">
        <is>
          <t>Direction</t>
        </is>
      </c>
      <c r="E238" s="8" t="inlineStr">
        <is>
          <t>Direction</t>
        </is>
      </c>
      <c r="F238" s="8" t="inlineStr">
        <is>
          <t>PIECE_VEHICULE</t>
        </is>
      </c>
      <c r="G238" s="8" t="inlineStr">
        <is>
          <t>unité</t>
        </is>
      </c>
      <c r="H238" s="8" t="inlineStr">
        <is>
          <t>LARGE</t>
        </is>
      </c>
      <c r="I238" s="8" t="n">
        <v>0</v>
      </c>
      <c r="J238" s="8" t="inlineStr">
        <is>
          <t>A-04-03</t>
        </is>
      </c>
      <c r="K238" s="8" t="inlineStr"/>
      <c r="L238" s="10" t="n">
        <v>0</v>
      </c>
      <c r="M238" s="10" t="n">
        <v>0</v>
      </c>
      <c r="N238" s="10" t="n">
        <v>10</v>
      </c>
      <c r="O238" s="8" t="inlineStr">
        <is>
          <t>MAG</t>
        </is>
      </c>
      <c r="P238" s="8" t="inlineStr">
        <is>
          <t>CRITIQUE</t>
        </is>
      </c>
      <c r="Q238" s="8" t="inlineStr">
        <is>
          <t>WHAP</t>
        </is>
      </c>
      <c r="R238" s="8" t="inlineStr">
        <is>
          <t>OUI</t>
        </is>
      </c>
      <c r="S238" s="8" t="inlineStr">
        <is>
          <t>31/08/2026 02:59</t>
        </is>
      </c>
    </row>
    <row r="239">
      <c r="A239" s="7" t="inlineStr">
        <is>
          <t>WHAP-0235</t>
        </is>
      </c>
      <c r="B239" s="7" t="inlineStr">
        <is>
          <t>DIR-0235</t>
        </is>
      </c>
      <c r="C239" s="7" t="inlineStr">
        <is>
          <t>bras de direction</t>
        </is>
      </c>
      <c r="D239" s="7" t="inlineStr">
        <is>
          <t>Direction</t>
        </is>
      </c>
      <c r="E239" s="7" t="inlineStr">
        <is>
          <t>Direction</t>
        </is>
      </c>
      <c r="F239" s="7" t="inlineStr">
        <is>
          <t>PIECE_VEHICULE</t>
        </is>
      </c>
      <c r="G239" s="7" t="inlineStr">
        <is>
          <t>unité</t>
        </is>
      </c>
      <c r="H239" s="7" t="inlineStr">
        <is>
          <t>LARGE</t>
        </is>
      </c>
      <c r="I239" s="7" t="n">
        <v>0</v>
      </c>
      <c r="J239" s="7" t="inlineStr">
        <is>
          <t>C-06-04</t>
        </is>
      </c>
      <c r="K239" s="7" t="inlineStr"/>
      <c r="L239" s="9" t="n">
        <v>0</v>
      </c>
      <c r="M239" s="9" t="n">
        <v>0</v>
      </c>
      <c r="N239" s="9" t="n">
        <v>16</v>
      </c>
      <c r="O239" s="7" t="inlineStr">
        <is>
          <t>SUM</t>
        </is>
      </c>
      <c r="P239" s="7" t="inlineStr">
        <is>
          <t>CRITIQUE</t>
        </is>
      </c>
      <c r="Q239" s="7" t="inlineStr">
        <is>
          <t>WHAP</t>
        </is>
      </c>
      <c r="R239" s="7" t="inlineStr">
        <is>
          <t>OUI</t>
        </is>
      </c>
      <c r="S239" s="7" t="inlineStr">
        <is>
          <t>31/08/2026 02:59</t>
        </is>
      </c>
    </row>
    <row r="240">
      <c r="A240" s="8" t="inlineStr">
        <is>
          <t>WHAP-0236</t>
        </is>
      </c>
      <c r="B240" s="8" t="inlineStr">
        <is>
          <t>DIR-0236</t>
        </is>
      </c>
      <c r="C240" s="8" t="inlineStr">
        <is>
          <t>fusée</t>
        </is>
      </c>
      <c r="D240" s="8" t="inlineStr">
        <is>
          <t>Direction</t>
        </is>
      </c>
      <c r="E240" s="8" t="inlineStr">
        <is>
          <t>Direction</t>
        </is>
      </c>
      <c r="F240" s="8" t="inlineStr">
        <is>
          <t>PIECE_VEHICULE</t>
        </is>
      </c>
      <c r="G240" s="8" t="inlineStr">
        <is>
          <t>unité</t>
        </is>
      </c>
      <c r="H240" s="8" t="inlineStr">
        <is>
          <t>LARGE</t>
        </is>
      </c>
      <c r="I240" s="8" t="n">
        <v>0</v>
      </c>
      <c r="J240" s="8" t="inlineStr">
        <is>
          <t>B-05-03</t>
        </is>
      </c>
      <c r="K240" s="8" t="inlineStr"/>
      <c r="L240" s="10" t="n">
        <v>0</v>
      </c>
      <c r="M240" s="10" t="n">
        <v>0</v>
      </c>
      <c r="N240" s="10" t="n">
        <v>17</v>
      </c>
      <c r="O240" s="8" t="inlineStr">
        <is>
          <t>YZK</t>
        </is>
      </c>
      <c r="P240" s="8" t="inlineStr">
        <is>
          <t>CRITIQUE</t>
        </is>
      </c>
      <c r="Q240" s="8" t="inlineStr">
        <is>
          <t>WHAP</t>
        </is>
      </c>
      <c r="R240" s="8" t="inlineStr">
        <is>
          <t>OUI</t>
        </is>
      </c>
      <c r="S240" s="8" t="inlineStr">
        <is>
          <t>31/08/2026 02:59</t>
        </is>
      </c>
    </row>
    <row r="241">
      <c r="A241" s="7" t="inlineStr">
        <is>
          <t>WHAP-0237</t>
        </is>
      </c>
      <c r="B241" s="7" t="inlineStr">
        <is>
          <t>DIR-0237</t>
        </is>
      </c>
      <c r="C241" s="7" t="inlineStr">
        <is>
          <t>porte-fusée</t>
        </is>
      </c>
      <c r="D241" s="7" t="inlineStr">
        <is>
          <t>Direction</t>
        </is>
      </c>
      <c r="E241" s="7" t="inlineStr">
        <is>
          <t>Direction</t>
        </is>
      </c>
      <c r="F241" s="7" t="inlineStr">
        <is>
          <t>PIECE_VEHICULE</t>
        </is>
      </c>
      <c r="G241" s="7" t="inlineStr">
        <is>
          <t>unité</t>
        </is>
      </c>
      <c r="H241" s="7" t="inlineStr">
        <is>
          <t>LARGE</t>
        </is>
      </c>
      <c r="I241" s="7" t="n">
        <v>0</v>
      </c>
      <c r="J241" s="7" t="inlineStr">
        <is>
          <t>C-06-02</t>
        </is>
      </c>
      <c r="K241" s="7" t="inlineStr"/>
      <c r="L241" s="9" t="n">
        <v>0</v>
      </c>
      <c r="M241" s="9" t="n">
        <v>0</v>
      </c>
      <c r="N241" s="9" t="n">
        <v>14</v>
      </c>
      <c r="O241" s="7" t="inlineStr">
        <is>
          <t>DEL</t>
        </is>
      </c>
      <c r="P241" s="7" t="inlineStr">
        <is>
          <t>CRITIQUE</t>
        </is>
      </c>
      <c r="Q241" s="7" t="inlineStr">
        <is>
          <t>WHAP</t>
        </is>
      </c>
      <c r="R241" s="7" t="inlineStr">
        <is>
          <t>OUI</t>
        </is>
      </c>
      <c r="S241" s="7" t="inlineStr">
        <is>
          <t>31/08/2026 02:59</t>
        </is>
      </c>
    </row>
    <row r="242">
      <c r="A242" s="8" t="inlineStr">
        <is>
          <t>WHAP-0238</t>
        </is>
      </c>
      <c r="B242" s="8" t="inlineStr">
        <is>
          <t>DIR-0238</t>
        </is>
      </c>
      <c r="C242" s="8" t="inlineStr">
        <is>
          <t>amortisseur de direction</t>
        </is>
      </c>
      <c r="D242" s="8" t="inlineStr">
        <is>
          <t>Direction</t>
        </is>
      </c>
      <c r="E242" s="8" t="inlineStr">
        <is>
          <t>Direction</t>
        </is>
      </c>
      <c r="F242" s="8" t="inlineStr">
        <is>
          <t>PIECE_VEHICULE</t>
        </is>
      </c>
      <c r="G242" s="8" t="inlineStr">
        <is>
          <t>unité</t>
        </is>
      </c>
      <c r="H242" s="8" t="inlineStr">
        <is>
          <t>LARGE</t>
        </is>
      </c>
      <c r="I242" s="8" t="n">
        <v>0</v>
      </c>
      <c r="J242" s="8" t="inlineStr">
        <is>
          <t>A-06-02</t>
        </is>
      </c>
      <c r="K242" s="8" t="inlineStr"/>
      <c r="L242" s="10" t="n">
        <v>0</v>
      </c>
      <c r="M242" s="10" t="n">
        <v>0</v>
      </c>
      <c r="N242" s="10" t="n">
        <v>10</v>
      </c>
      <c r="O242" s="8" t="inlineStr">
        <is>
          <t>DEL</t>
        </is>
      </c>
      <c r="P242" s="8" t="inlineStr">
        <is>
          <t>CRITIQUE</t>
        </is>
      </c>
      <c r="Q242" s="8" t="inlineStr">
        <is>
          <t>WHAP</t>
        </is>
      </c>
      <c r="R242" s="8" t="inlineStr">
        <is>
          <t>OUI</t>
        </is>
      </c>
      <c r="S242" s="8" t="inlineStr">
        <is>
          <t>31/08/2026 02:59</t>
        </is>
      </c>
    </row>
    <row r="243">
      <c r="A243" s="7" t="inlineStr">
        <is>
          <t>WHAP-0239</t>
        </is>
      </c>
      <c r="B243" s="7" t="inlineStr">
        <is>
          <t>DIR-0239</t>
        </is>
      </c>
      <c r="C243" s="7" t="inlineStr">
        <is>
          <t>flexible hydraulique</t>
        </is>
      </c>
      <c r="D243" s="7" t="inlineStr">
        <is>
          <t>Direction</t>
        </is>
      </c>
      <c r="E243" s="7" t="inlineStr">
        <is>
          <t>Direction</t>
        </is>
      </c>
      <c r="F243" s="7" t="inlineStr">
        <is>
          <t>PIECE_VEHICULE</t>
        </is>
      </c>
      <c r="G243" s="7" t="inlineStr">
        <is>
          <t>unité</t>
        </is>
      </c>
      <c r="H243" s="7" t="inlineStr">
        <is>
          <t>LARGE</t>
        </is>
      </c>
      <c r="I243" s="7" t="n">
        <v>0</v>
      </c>
      <c r="J243" s="7" t="inlineStr">
        <is>
          <t>A-01-01</t>
        </is>
      </c>
      <c r="K243" s="7" t="inlineStr"/>
      <c r="L243" s="9" t="n">
        <v>0</v>
      </c>
      <c r="M243" s="9" t="n">
        <v>0</v>
      </c>
      <c r="N243" s="9" t="n">
        <v>14</v>
      </c>
      <c r="O243" s="7" t="inlineStr">
        <is>
          <t>MAG</t>
        </is>
      </c>
      <c r="P243" s="7" t="inlineStr">
        <is>
          <t>CRITIQUE</t>
        </is>
      </c>
      <c r="Q243" s="7" t="inlineStr">
        <is>
          <t>WHAP</t>
        </is>
      </c>
      <c r="R243" s="7" t="inlineStr">
        <is>
          <t>OUI</t>
        </is>
      </c>
      <c r="S243" s="7" t="inlineStr">
        <is>
          <t>31/08/2026 02:59</t>
        </is>
      </c>
    </row>
    <row r="244">
      <c r="A244" s="8" t="inlineStr">
        <is>
          <t>WHAP-0240</t>
        </is>
      </c>
      <c r="B244" s="8" t="inlineStr">
        <is>
          <t>DIR-0240</t>
        </is>
      </c>
      <c r="C244" s="8" t="inlineStr">
        <is>
          <t>capteur angle volant</t>
        </is>
      </c>
      <c r="D244" s="8" t="inlineStr">
        <is>
          <t>Direction</t>
        </is>
      </c>
      <c r="E244" s="8" t="inlineStr">
        <is>
          <t>Direction</t>
        </is>
      </c>
      <c r="F244" s="8" t="inlineStr">
        <is>
          <t>PIECE_VEHICULE</t>
        </is>
      </c>
      <c r="G244" s="8" t="inlineStr">
        <is>
          <t>unité</t>
        </is>
      </c>
      <c r="H244" s="8" t="inlineStr">
        <is>
          <t>LARGE</t>
        </is>
      </c>
      <c r="I244" s="8" t="n">
        <v>0</v>
      </c>
      <c r="J244" s="8" t="inlineStr">
        <is>
          <t>D-03-03</t>
        </is>
      </c>
      <c r="K244" s="8" t="inlineStr"/>
      <c r="L244" s="10" t="n">
        <v>0</v>
      </c>
      <c r="M244" s="10" t="n">
        <v>0</v>
      </c>
      <c r="N244" s="10" t="n">
        <v>16</v>
      </c>
      <c r="O244" s="8" t="inlineStr">
        <is>
          <t>FAU</t>
        </is>
      </c>
      <c r="P244" s="8" t="inlineStr">
        <is>
          <t>CRITIQUE</t>
        </is>
      </c>
      <c r="Q244" s="8" t="inlineStr">
        <is>
          <t>WHAP</t>
        </is>
      </c>
      <c r="R244" s="8" t="inlineStr">
        <is>
          <t>OUI</t>
        </is>
      </c>
      <c r="S244" s="8" t="inlineStr">
        <is>
          <t>31/08/2026 02:59</t>
        </is>
      </c>
    </row>
    <row r="245">
      <c r="A245" s="7" t="inlineStr">
        <is>
          <t>WHAP-0241</t>
        </is>
      </c>
      <c r="B245" s="7" t="inlineStr">
        <is>
          <t>DIR-0241</t>
        </is>
      </c>
      <c r="C245" s="7" t="inlineStr">
        <is>
          <t>capteur pression direction</t>
        </is>
      </c>
      <c r="D245" s="7" t="inlineStr">
        <is>
          <t>Direction</t>
        </is>
      </c>
      <c r="E245" s="7" t="inlineStr">
        <is>
          <t>Direction</t>
        </is>
      </c>
      <c r="F245" s="7" t="inlineStr">
        <is>
          <t>PIECE_VEHICULE</t>
        </is>
      </c>
      <c r="G245" s="7" t="inlineStr">
        <is>
          <t>unité</t>
        </is>
      </c>
      <c r="H245" s="7" t="inlineStr">
        <is>
          <t>LARGE</t>
        </is>
      </c>
      <c r="I245" s="7" t="n">
        <v>0</v>
      </c>
      <c r="J245" s="7" t="inlineStr">
        <is>
          <t>D-02-01</t>
        </is>
      </c>
      <c r="K245" s="7" t="inlineStr"/>
      <c r="L245" s="9" t="n">
        <v>0</v>
      </c>
      <c r="M245" s="9" t="n">
        <v>0</v>
      </c>
      <c r="N245" s="9" t="n">
        <v>13</v>
      </c>
      <c r="O245" s="7" t="inlineStr">
        <is>
          <t>SKF</t>
        </is>
      </c>
      <c r="P245" s="7" t="inlineStr">
        <is>
          <t>CRITIQUE</t>
        </is>
      </c>
      <c r="Q245" s="7" t="inlineStr">
        <is>
          <t>WHAP</t>
        </is>
      </c>
      <c r="R245" s="7" t="inlineStr">
        <is>
          <t>OUI</t>
        </is>
      </c>
      <c r="S245" s="7" t="inlineStr">
        <is>
          <t>31/08/2026 02:59</t>
        </is>
      </c>
    </row>
    <row r="246">
      <c r="A246" s="8" t="inlineStr">
        <is>
          <t>WHAP-0242</t>
        </is>
      </c>
      <c r="B246" s="8" t="inlineStr">
        <is>
          <t>DIR-0242</t>
        </is>
      </c>
      <c r="C246" s="8" t="inlineStr">
        <is>
          <t>vérin de direction</t>
        </is>
      </c>
      <c r="D246" s="8" t="inlineStr">
        <is>
          <t>Direction</t>
        </is>
      </c>
      <c r="E246" s="8" t="inlineStr">
        <is>
          <t>Direction</t>
        </is>
      </c>
      <c r="F246" s="8" t="inlineStr">
        <is>
          <t>PIECE_VEHICULE</t>
        </is>
      </c>
      <c r="G246" s="8" t="inlineStr">
        <is>
          <t>unité</t>
        </is>
      </c>
      <c r="H246" s="8" t="inlineStr">
        <is>
          <t>LARGE</t>
        </is>
      </c>
      <c r="I246" s="8" t="n">
        <v>0</v>
      </c>
      <c r="J246" s="8" t="inlineStr">
        <is>
          <t>E-02-04</t>
        </is>
      </c>
      <c r="K246" s="8" t="inlineStr"/>
      <c r="L246" s="10" t="n">
        <v>0</v>
      </c>
      <c r="M246" s="10" t="n">
        <v>0</v>
      </c>
      <c r="N246" s="10" t="n">
        <v>18</v>
      </c>
      <c r="O246" s="8" t="inlineStr">
        <is>
          <t>SUM</t>
        </is>
      </c>
      <c r="P246" s="8" t="inlineStr">
        <is>
          <t>CRITIQUE</t>
        </is>
      </c>
      <c r="Q246" s="8" t="inlineStr">
        <is>
          <t>WHAP</t>
        </is>
      </c>
      <c r="R246" s="8" t="inlineStr">
        <is>
          <t>OUI</t>
        </is>
      </c>
      <c r="S246" s="8" t="inlineStr">
        <is>
          <t>31/08/2026 02:59</t>
        </is>
      </c>
    </row>
    <row r="247">
      <c r="A247" s="7" t="inlineStr">
        <is>
          <t>WHAP-0243</t>
        </is>
      </c>
      <c r="B247" s="7" t="inlineStr">
        <is>
          <t>DIR-0243</t>
        </is>
      </c>
      <c r="C247" s="7" t="inlineStr">
        <is>
          <t>joint de colonne</t>
        </is>
      </c>
      <c r="D247" s="7" t="inlineStr">
        <is>
          <t>Direction</t>
        </is>
      </c>
      <c r="E247" s="7" t="inlineStr">
        <is>
          <t>Direction</t>
        </is>
      </c>
      <c r="F247" s="7" t="inlineStr">
        <is>
          <t>PIECE_VEHICULE</t>
        </is>
      </c>
      <c r="G247" s="7" t="inlineStr">
        <is>
          <t>unité</t>
        </is>
      </c>
      <c r="H247" s="7" t="inlineStr">
        <is>
          <t>LARGE</t>
        </is>
      </c>
      <c r="I247" s="7" t="n">
        <v>0</v>
      </c>
      <c r="J247" s="7" t="inlineStr">
        <is>
          <t>B-05-03</t>
        </is>
      </c>
      <c r="K247" s="7" t="inlineStr"/>
      <c r="L247" s="9" t="n">
        <v>0</v>
      </c>
      <c r="M247" s="9" t="n">
        <v>0</v>
      </c>
      <c r="N247" s="9" t="n">
        <v>10</v>
      </c>
      <c r="O247" s="7" t="inlineStr">
        <is>
          <t>YZK</t>
        </is>
      </c>
      <c r="P247" s="7" t="inlineStr">
        <is>
          <t>CRITIQUE</t>
        </is>
      </c>
      <c r="Q247" s="7" t="inlineStr">
        <is>
          <t>WHAP</t>
        </is>
      </c>
      <c r="R247" s="7" t="inlineStr">
        <is>
          <t>OUI</t>
        </is>
      </c>
      <c r="S247" s="7" t="inlineStr">
        <is>
          <t>31/08/2026 02:59</t>
        </is>
      </c>
    </row>
    <row r="248">
      <c r="A248" s="8" t="inlineStr">
        <is>
          <t>WHAP-0244</t>
        </is>
      </c>
      <c r="B248" s="8" t="inlineStr">
        <is>
          <t>DIR-0244</t>
        </is>
      </c>
      <c r="C248" s="8" t="inlineStr">
        <is>
          <t>croisillon de colonne</t>
        </is>
      </c>
      <c r="D248" s="8" t="inlineStr">
        <is>
          <t>Direction</t>
        </is>
      </c>
      <c r="E248" s="8" t="inlineStr">
        <is>
          <t>Direction</t>
        </is>
      </c>
      <c r="F248" s="8" t="inlineStr">
        <is>
          <t>PIECE_VEHICULE</t>
        </is>
      </c>
      <c r="G248" s="8" t="inlineStr">
        <is>
          <t>unité</t>
        </is>
      </c>
      <c r="H248" s="8" t="inlineStr">
        <is>
          <t>LARGE</t>
        </is>
      </c>
      <c r="I248" s="8" t="n">
        <v>0</v>
      </c>
      <c r="J248" s="8" t="inlineStr">
        <is>
          <t>B-02-01</t>
        </is>
      </c>
      <c r="K248" s="8" t="inlineStr"/>
      <c r="L248" s="10" t="n">
        <v>0</v>
      </c>
      <c r="M248" s="10" t="n">
        <v>0</v>
      </c>
      <c r="N248" s="10" t="n">
        <v>10</v>
      </c>
      <c r="O248" s="8" t="inlineStr">
        <is>
          <t>YZK</t>
        </is>
      </c>
      <c r="P248" s="8" t="inlineStr">
        <is>
          <t>CRITIQUE</t>
        </is>
      </c>
      <c r="Q248" s="8" t="inlineStr">
        <is>
          <t>WHAP</t>
        </is>
      </c>
      <c r="R248" s="8" t="inlineStr">
        <is>
          <t>OUI</t>
        </is>
      </c>
      <c r="S248" s="8" t="inlineStr">
        <is>
          <t>31/08/2026 02:59</t>
        </is>
      </c>
    </row>
    <row r="249">
      <c r="A249" s="7" t="inlineStr">
        <is>
          <t>WHAP-0245</t>
        </is>
      </c>
      <c r="B249" s="7" t="inlineStr">
        <is>
          <t>FRE-0245</t>
        </is>
      </c>
      <c r="C249" s="7" t="inlineStr">
        <is>
          <t>disque de frein</t>
        </is>
      </c>
      <c r="D249" s="7" t="inlineStr">
        <is>
          <t>Freinage</t>
        </is>
      </c>
      <c r="E249" s="7" t="inlineStr">
        <is>
          <t>Freinage</t>
        </is>
      </c>
      <c r="F249" s="7" t="inlineStr">
        <is>
          <t>PIECE_VEHICULE</t>
        </is>
      </c>
      <c r="G249" s="7" t="inlineStr">
        <is>
          <t>unité</t>
        </is>
      </c>
      <c r="H249" s="7" t="inlineStr">
        <is>
          <t>SMALL</t>
        </is>
      </c>
      <c r="I249" s="7" t="n">
        <v>5</v>
      </c>
      <c r="J249" s="7" t="inlineStr">
        <is>
          <t>C-06-01 : 440</t>
        </is>
      </c>
      <c r="K249" s="7" t="inlineStr"/>
      <c r="L249" s="9" t="n">
        <v>440</v>
      </c>
      <c r="M249" s="9" t="n">
        <v>440</v>
      </c>
      <c r="N249" s="9" t="n">
        <v>18</v>
      </c>
      <c r="O249" s="7" t="inlineStr">
        <is>
          <t>SUM</t>
        </is>
      </c>
      <c r="P249" s="7" t="inlineStr">
        <is>
          <t>CRITIQUE</t>
        </is>
      </c>
      <c r="Q249" s="7" t="inlineStr">
        <is>
          <t>WHAP</t>
        </is>
      </c>
      <c r="R249" s="7" t="inlineStr">
        <is>
          <t>OUI</t>
        </is>
      </c>
      <c r="S249" s="7" t="inlineStr">
        <is>
          <t>31/08/2026 02:59</t>
        </is>
      </c>
    </row>
    <row r="250">
      <c r="A250" s="8" t="inlineStr">
        <is>
          <t>WHAP-0246</t>
        </is>
      </c>
      <c r="B250" s="8" t="inlineStr">
        <is>
          <t>FRE-0246</t>
        </is>
      </c>
      <c r="C250" s="8" t="inlineStr">
        <is>
          <t>étrier de frein</t>
        </is>
      </c>
      <c r="D250" s="8" t="inlineStr">
        <is>
          <t>Freinage</t>
        </is>
      </c>
      <c r="E250" s="8" t="inlineStr">
        <is>
          <t>Freinage</t>
        </is>
      </c>
      <c r="F250" s="8" t="inlineStr">
        <is>
          <t>PIECE_VEHICULE</t>
        </is>
      </c>
      <c r="G250" s="8" t="inlineStr">
        <is>
          <t>unité</t>
        </is>
      </c>
      <c r="H250" s="8" t="inlineStr">
        <is>
          <t>SMALL</t>
        </is>
      </c>
      <c r="I250" s="8" t="n">
        <v>5</v>
      </c>
      <c r="J250" s="8" t="inlineStr">
        <is>
          <t>F-06-03 : 740</t>
        </is>
      </c>
      <c r="K250" s="8" t="inlineStr"/>
      <c r="L250" s="10" t="n">
        <v>740</v>
      </c>
      <c r="M250" s="10" t="n">
        <v>740</v>
      </c>
      <c r="N250" s="10" t="n">
        <v>19</v>
      </c>
      <c r="O250" s="8" t="inlineStr">
        <is>
          <t>SKF</t>
        </is>
      </c>
      <c r="P250" s="8" t="inlineStr">
        <is>
          <t>CRITIQUE</t>
        </is>
      </c>
      <c r="Q250" s="8" t="inlineStr">
        <is>
          <t>WHAP</t>
        </is>
      </c>
      <c r="R250" s="8" t="inlineStr">
        <is>
          <t>OUI</t>
        </is>
      </c>
      <c r="S250" s="8" t="inlineStr">
        <is>
          <t>31/08/2026 02:59</t>
        </is>
      </c>
    </row>
    <row r="251">
      <c r="A251" s="7" t="inlineStr">
        <is>
          <t>WHAP-0247</t>
        </is>
      </c>
      <c r="B251" s="7" t="inlineStr">
        <is>
          <t>FRE-0247</t>
        </is>
      </c>
      <c r="C251" s="7" t="inlineStr">
        <is>
          <t>plaquette de frein</t>
        </is>
      </c>
      <c r="D251" s="7" t="inlineStr">
        <is>
          <t>Freinage</t>
        </is>
      </c>
      <c r="E251" s="7" t="inlineStr">
        <is>
          <t>Freinage</t>
        </is>
      </c>
      <c r="F251" s="7" t="inlineStr">
        <is>
          <t>PIECE_VEHICULE</t>
        </is>
      </c>
      <c r="G251" s="7" t="inlineStr">
        <is>
          <t>unité</t>
        </is>
      </c>
      <c r="H251" s="7" t="inlineStr">
        <is>
          <t>SMALL</t>
        </is>
      </c>
      <c r="I251" s="7" t="n">
        <v>5</v>
      </c>
      <c r="J251" s="7" t="inlineStr">
        <is>
          <t>F-02-01</t>
        </is>
      </c>
      <c r="K251" s="7" t="inlineStr"/>
      <c r="L251" s="9" t="n">
        <v>0</v>
      </c>
      <c r="M251" s="9" t="n">
        <v>0</v>
      </c>
      <c r="N251" s="9" t="n">
        <v>18</v>
      </c>
      <c r="O251" s="7" t="inlineStr">
        <is>
          <t>YZK</t>
        </is>
      </c>
      <c r="P251" s="7" t="inlineStr">
        <is>
          <t>CRITIQUE</t>
        </is>
      </c>
      <c r="Q251" s="7" t="inlineStr">
        <is>
          <t>WHAP</t>
        </is>
      </c>
      <c r="R251" s="7" t="inlineStr">
        <is>
          <t>OUI</t>
        </is>
      </c>
      <c r="S251" s="7" t="inlineStr">
        <is>
          <t>31/08/2026 02:59</t>
        </is>
      </c>
    </row>
    <row r="252">
      <c r="A252" s="8" t="inlineStr">
        <is>
          <t>WHAP-0248</t>
        </is>
      </c>
      <c r="B252" s="8" t="inlineStr">
        <is>
          <t>FRE-0248</t>
        </is>
      </c>
      <c r="C252" s="8" t="inlineStr">
        <is>
          <t>porte-plaquette</t>
        </is>
      </c>
      <c r="D252" s="8" t="inlineStr">
        <is>
          <t>Freinage</t>
        </is>
      </c>
      <c r="E252" s="8" t="inlineStr">
        <is>
          <t>Freinage</t>
        </is>
      </c>
      <c r="F252" s="8" t="inlineStr">
        <is>
          <t>PIECE_VEHICULE</t>
        </is>
      </c>
      <c r="G252" s="8" t="inlineStr">
        <is>
          <t>unité</t>
        </is>
      </c>
      <c r="H252" s="8" t="inlineStr">
        <is>
          <t>SMALL</t>
        </is>
      </c>
      <c r="I252" s="8" t="n">
        <v>5</v>
      </c>
      <c r="J252" s="8" t="inlineStr">
        <is>
          <t>B-02-04</t>
        </is>
      </c>
      <c r="K252" s="8" t="inlineStr"/>
      <c r="L252" s="10" t="n">
        <v>0</v>
      </c>
      <c r="M252" s="10" t="n">
        <v>0</v>
      </c>
      <c r="N252" s="10" t="n">
        <v>20</v>
      </c>
      <c r="O252" s="8" t="inlineStr">
        <is>
          <t>VAL</t>
        </is>
      </c>
      <c r="P252" s="8" t="inlineStr">
        <is>
          <t>CRITIQUE</t>
        </is>
      </c>
      <c r="Q252" s="8" t="inlineStr">
        <is>
          <t>WHAP</t>
        </is>
      </c>
      <c r="R252" s="8" t="inlineStr">
        <is>
          <t>OUI</t>
        </is>
      </c>
      <c r="S252" s="8" t="inlineStr">
        <is>
          <t>31/08/2026 02:59</t>
        </is>
      </c>
    </row>
    <row r="253">
      <c r="A253" s="7" t="inlineStr">
        <is>
          <t>WHAP-0249</t>
        </is>
      </c>
      <c r="B253" s="7" t="inlineStr">
        <is>
          <t>FRE-0249</t>
        </is>
      </c>
      <c r="C253" s="7" t="inlineStr">
        <is>
          <t>piston d'étrier</t>
        </is>
      </c>
      <c r="D253" s="7" t="inlineStr">
        <is>
          <t>Freinage</t>
        </is>
      </c>
      <c r="E253" s="7" t="inlineStr">
        <is>
          <t>Freinage</t>
        </is>
      </c>
      <c r="F253" s="7" t="inlineStr">
        <is>
          <t>PIECE_VEHICULE</t>
        </is>
      </c>
      <c r="G253" s="7" t="inlineStr">
        <is>
          <t>unité</t>
        </is>
      </c>
      <c r="H253" s="7" t="inlineStr">
        <is>
          <t>SMALL</t>
        </is>
      </c>
      <c r="I253" s="7" t="n">
        <v>5</v>
      </c>
      <c r="J253" s="7" t="inlineStr">
        <is>
          <t>B-04-03</t>
        </is>
      </c>
      <c r="K253" s="7" t="inlineStr"/>
      <c r="L253" s="9" t="n">
        <v>0</v>
      </c>
      <c r="M253" s="9" t="n">
        <v>0</v>
      </c>
      <c r="N253" s="9" t="n">
        <v>13</v>
      </c>
      <c r="O253" s="7" t="inlineStr">
        <is>
          <t>VAL</t>
        </is>
      </c>
      <c r="P253" s="7" t="inlineStr">
        <is>
          <t>CRITIQUE</t>
        </is>
      </c>
      <c r="Q253" s="7" t="inlineStr">
        <is>
          <t>WHAP</t>
        </is>
      </c>
      <c r="R253" s="7" t="inlineStr">
        <is>
          <t>OUI</t>
        </is>
      </c>
      <c r="S253" s="7" t="inlineStr">
        <is>
          <t>31/08/2026 02:59</t>
        </is>
      </c>
    </row>
    <row r="254">
      <c r="A254" s="8" t="inlineStr">
        <is>
          <t>WHAP-0250</t>
        </is>
      </c>
      <c r="B254" s="8" t="inlineStr">
        <is>
          <t>FRE-0250</t>
        </is>
      </c>
      <c r="C254" s="8" t="inlineStr">
        <is>
          <t>joint de piston</t>
        </is>
      </c>
      <c r="D254" s="8" t="inlineStr">
        <is>
          <t>Freinage</t>
        </is>
      </c>
      <c r="E254" s="8" t="inlineStr">
        <is>
          <t>Freinage</t>
        </is>
      </c>
      <c r="F254" s="8" t="inlineStr">
        <is>
          <t>PIECE_VEHICULE</t>
        </is>
      </c>
      <c r="G254" s="8" t="inlineStr">
        <is>
          <t>unité</t>
        </is>
      </c>
      <c r="H254" s="8" t="inlineStr">
        <is>
          <t>SMALL</t>
        </is>
      </c>
      <c r="I254" s="8" t="n">
        <v>5</v>
      </c>
      <c r="J254" s="8" t="inlineStr">
        <is>
          <t>C-06-02</t>
        </is>
      </c>
      <c r="K254" s="8" t="inlineStr"/>
      <c r="L254" s="10" t="n">
        <v>0</v>
      </c>
      <c r="M254" s="10" t="n">
        <v>0</v>
      </c>
      <c r="N254" s="10" t="n">
        <v>17</v>
      </c>
      <c r="O254" s="8" t="inlineStr">
        <is>
          <t>BOS</t>
        </is>
      </c>
      <c r="P254" s="8" t="inlineStr">
        <is>
          <t>CRITIQUE</t>
        </is>
      </c>
      <c r="Q254" s="8" t="inlineStr">
        <is>
          <t>WHAP</t>
        </is>
      </c>
      <c r="R254" s="8" t="inlineStr">
        <is>
          <t>OUI</t>
        </is>
      </c>
      <c r="S254" s="8" t="inlineStr">
        <is>
          <t>31/08/2026 02:59</t>
        </is>
      </c>
    </row>
    <row r="255">
      <c r="A255" s="7" t="inlineStr">
        <is>
          <t>WHAP-0251</t>
        </is>
      </c>
      <c r="B255" s="7" t="inlineStr">
        <is>
          <t>FRE-0251</t>
        </is>
      </c>
      <c r="C255" s="7" t="inlineStr">
        <is>
          <t>flexible de frein</t>
        </is>
      </c>
      <c r="D255" s="7" t="inlineStr">
        <is>
          <t>Freinage</t>
        </is>
      </c>
      <c r="E255" s="7" t="inlineStr">
        <is>
          <t>Freinage</t>
        </is>
      </c>
      <c r="F255" s="7" t="inlineStr">
        <is>
          <t>PIECE_VEHICULE</t>
        </is>
      </c>
      <c r="G255" s="7" t="inlineStr">
        <is>
          <t>unité</t>
        </is>
      </c>
      <c r="H255" s="7" t="inlineStr">
        <is>
          <t>SMALL</t>
        </is>
      </c>
      <c r="I255" s="7" t="n">
        <v>5</v>
      </c>
      <c r="J255" s="7" t="inlineStr">
        <is>
          <t>B-01-01</t>
        </is>
      </c>
      <c r="K255" s="7" t="inlineStr"/>
      <c r="L255" s="9" t="n">
        <v>0</v>
      </c>
      <c r="M255" s="9" t="n">
        <v>0</v>
      </c>
      <c r="N255" s="9" t="n">
        <v>13</v>
      </c>
      <c r="O255" s="7" t="inlineStr">
        <is>
          <t>SKF</t>
        </is>
      </c>
      <c r="P255" s="7" t="inlineStr">
        <is>
          <t>CRITIQUE</t>
        </is>
      </c>
      <c r="Q255" s="7" t="inlineStr">
        <is>
          <t>WHAP</t>
        </is>
      </c>
      <c r="R255" s="7" t="inlineStr">
        <is>
          <t>OUI</t>
        </is>
      </c>
      <c r="S255" s="7" t="inlineStr">
        <is>
          <t>31/08/2026 02:59</t>
        </is>
      </c>
    </row>
    <row r="256">
      <c r="A256" s="8" t="inlineStr">
        <is>
          <t>WHAP-0252</t>
        </is>
      </c>
      <c r="B256" s="8" t="inlineStr">
        <is>
          <t>FRE-0252</t>
        </is>
      </c>
      <c r="C256" s="8" t="inlineStr">
        <is>
          <t>conduite de frein</t>
        </is>
      </c>
      <c r="D256" s="8" t="inlineStr">
        <is>
          <t>Freinage</t>
        </is>
      </c>
      <c r="E256" s="8" t="inlineStr">
        <is>
          <t>Freinage</t>
        </is>
      </c>
      <c r="F256" s="8" t="inlineStr">
        <is>
          <t>PIECE_VEHICULE</t>
        </is>
      </c>
      <c r="G256" s="8" t="inlineStr">
        <is>
          <t>unité</t>
        </is>
      </c>
      <c r="H256" s="8" t="inlineStr">
        <is>
          <t>SMALL</t>
        </is>
      </c>
      <c r="I256" s="8" t="n">
        <v>5</v>
      </c>
      <c r="J256" s="8" t="inlineStr">
        <is>
          <t>B-04-02</t>
        </is>
      </c>
      <c r="K256" s="8" t="inlineStr"/>
      <c r="L256" s="10" t="n">
        <v>0</v>
      </c>
      <c r="M256" s="10" t="n">
        <v>0</v>
      </c>
      <c r="N256" s="10" t="n">
        <v>20</v>
      </c>
      <c r="O256" s="8" t="inlineStr">
        <is>
          <t>VAL</t>
        </is>
      </c>
      <c r="P256" s="8" t="inlineStr">
        <is>
          <t>CRITIQUE</t>
        </is>
      </c>
      <c r="Q256" s="8" t="inlineStr">
        <is>
          <t>WHAP</t>
        </is>
      </c>
      <c r="R256" s="8" t="inlineStr">
        <is>
          <t>OUI</t>
        </is>
      </c>
      <c r="S256" s="8" t="inlineStr">
        <is>
          <t>31/08/2026 02:59</t>
        </is>
      </c>
    </row>
    <row r="257">
      <c r="A257" s="7" t="inlineStr">
        <is>
          <t>WHAP-0253</t>
        </is>
      </c>
      <c r="B257" s="7" t="inlineStr">
        <is>
          <t>FRE-0253</t>
        </is>
      </c>
      <c r="C257" s="7" t="inlineStr">
        <is>
          <t>maître-cylindre</t>
        </is>
      </c>
      <c r="D257" s="7" t="inlineStr">
        <is>
          <t>Freinage</t>
        </is>
      </c>
      <c r="E257" s="7" t="inlineStr">
        <is>
          <t>Freinage</t>
        </is>
      </c>
      <c r="F257" s="7" t="inlineStr">
        <is>
          <t>PIECE_VEHICULE</t>
        </is>
      </c>
      <c r="G257" s="7" t="inlineStr">
        <is>
          <t>unité</t>
        </is>
      </c>
      <c r="H257" s="7" t="inlineStr">
        <is>
          <t>SMALL</t>
        </is>
      </c>
      <c r="I257" s="7" t="n">
        <v>5</v>
      </c>
      <c r="J257" s="7" t="inlineStr">
        <is>
          <t>E-06-04</t>
        </is>
      </c>
      <c r="K257" s="7" t="inlineStr"/>
      <c r="L257" s="9" t="n">
        <v>0</v>
      </c>
      <c r="M257" s="9" t="n">
        <v>0</v>
      </c>
      <c r="N257" s="9" t="n">
        <v>20</v>
      </c>
      <c r="O257" s="7" t="inlineStr">
        <is>
          <t>MAG</t>
        </is>
      </c>
      <c r="P257" s="7" t="inlineStr">
        <is>
          <t>CRITIQUE</t>
        </is>
      </c>
      <c r="Q257" s="7" t="inlineStr">
        <is>
          <t>WHAP</t>
        </is>
      </c>
      <c r="R257" s="7" t="inlineStr">
        <is>
          <t>OUI</t>
        </is>
      </c>
      <c r="S257" s="7" t="inlineStr">
        <is>
          <t>31/08/2026 02:59</t>
        </is>
      </c>
    </row>
    <row r="258">
      <c r="A258" s="8" t="inlineStr">
        <is>
          <t>WHAP-0254</t>
        </is>
      </c>
      <c r="B258" s="8" t="inlineStr">
        <is>
          <t>FRE-0254</t>
        </is>
      </c>
      <c r="C258" s="8" t="inlineStr">
        <is>
          <t>servofrein</t>
        </is>
      </c>
      <c r="D258" s="8" t="inlineStr">
        <is>
          <t>Freinage</t>
        </is>
      </c>
      <c r="E258" s="8" t="inlineStr">
        <is>
          <t>Freinage</t>
        </is>
      </c>
      <c r="F258" s="8" t="inlineStr">
        <is>
          <t>PIECE_VEHICULE</t>
        </is>
      </c>
      <c r="G258" s="8" t="inlineStr">
        <is>
          <t>unité</t>
        </is>
      </c>
      <c r="H258" s="8" t="inlineStr">
        <is>
          <t>SMALL</t>
        </is>
      </c>
      <c r="I258" s="8" t="n">
        <v>5</v>
      </c>
      <c r="J258" s="8" t="inlineStr">
        <is>
          <t>E-02-02</t>
        </is>
      </c>
      <c r="K258" s="8" t="inlineStr"/>
      <c r="L258" s="10" t="n">
        <v>0</v>
      </c>
      <c r="M258" s="10" t="n">
        <v>0</v>
      </c>
      <c r="N258" s="10" t="n">
        <v>20</v>
      </c>
      <c r="O258" s="8" t="inlineStr">
        <is>
          <t>SUM</t>
        </is>
      </c>
      <c r="P258" s="8" t="inlineStr">
        <is>
          <t>CRITIQUE</t>
        </is>
      </c>
      <c r="Q258" s="8" t="inlineStr">
        <is>
          <t>WHAP</t>
        </is>
      </c>
      <c r="R258" s="8" t="inlineStr">
        <is>
          <t>OUI</t>
        </is>
      </c>
      <c r="S258" s="8" t="inlineStr">
        <is>
          <t>31/08/2026 02:59</t>
        </is>
      </c>
    </row>
    <row r="259">
      <c r="A259" s="7" t="inlineStr">
        <is>
          <t>WHAP-0255</t>
        </is>
      </c>
      <c r="B259" s="7" t="inlineStr">
        <is>
          <t>FRE-0255</t>
        </is>
      </c>
      <c r="C259" s="7" t="inlineStr">
        <is>
          <t>compresseur d'air</t>
        </is>
      </c>
      <c r="D259" s="7" t="inlineStr">
        <is>
          <t>Freinage</t>
        </is>
      </c>
      <c r="E259" s="7" t="inlineStr">
        <is>
          <t>Freinage</t>
        </is>
      </c>
      <c r="F259" s="7" t="inlineStr">
        <is>
          <t>PIECE_VEHICULE</t>
        </is>
      </c>
      <c r="G259" s="7" t="inlineStr">
        <is>
          <t>unité</t>
        </is>
      </c>
      <c r="H259" s="7" t="inlineStr">
        <is>
          <t>SMALL</t>
        </is>
      </c>
      <c r="I259" s="7" t="n">
        <v>5</v>
      </c>
      <c r="J259" s="7" t="inlineStr">
        <is>
          <t>C-06-04</t>
        </is>
      </c>
      <c r="K259" s="7" t="inlineStr"/>
      <c r="L259" s="9" t="n">
        <v>0</v>
      </c>
      <c r="M259" s="9" t="n">
        <v>0</v>
      </c>
      <c r="N259" s="9" t="n">
        <v>10</v>
      </c>
      <c r="O259" s="7" t="inlineStr">
        <is>
          <t>SUM</t>
        </is>
      </c>
      <c r="P259" s="7" t="inlineStr">
        <is>
          <t>CRITIQUE</t>
        </is>
      </c>
      <c r="Q259" s="7" t="inlineStr">
        <is>
          <t>WHAP</t>
        </is>
      </c>
      <c r="R259" s="7" t="inlineStr">
        <is>
          <t>OUI</t>
        </is>
      </c>
      <c r="S259" s="7" t="inlineStr">
        <is>
          <t>31/08/2026 02:59</t>
        </is>
      </c>
    </row>
    <row r="260">
      <c r="A260" s="8" t="inlineStr">
        <is>
          <t>WHAP-0256</t>
        </is>
      </c>
      <c r="B260" s="8" t="inlineStr">
        <is>
          <t>FRE-0256</t>
        </is>
      </c>
      <c r="C260" s="8" t="inlineStr">
        <is>
          <t>réservoir d'air</t>
        </is>
      </c>
      <c r="D260" s="8" t="inlineStr">
        <is>
          <t>Freinage</t>
        </is>
      </c>
      <c r="E260" s="8" t="inlineStr">
        <is>
          <t>Freinage</t>
        </is>
      </c>
      <c r="F260" s="8" t="inlineStr">
        <is>
          <t>PIECE_VEHICULE</t>
        </is>
      </c>
      <c r="G260" s="8" t="inlineStr">
        <is>
          <t>unité</t>
        </is>
      </c>
      <c r="H260" s="8" t="inlineStr">
        <is>
          <t>SMALL</t>
        </is>
      </c>
      <c r="I260" s="8" t="n">
        <v>5</v>
      </c>
      <c r="J260" s="8" t="inlineStr">
        <is>
          <t>A-04-01</t>
        </is>
      </c>
      <c r="K260" s="8" t="inlineStr"/>
      <c r="L260" s="10" t="n">
        <v>0</v>
      </c>
      <c r="M260" s="10" t="n">
        <v>0</v>
      </c>
      <c r="N260" s="10" t="n">
        <v>19</v>
      </c>
      <c r="O260" s="8" t="inlineStr">
        <is>
          <t>HEL</t>
        </is>
      </c>
      <c r="P260" s="8" t="inlineStr">
        <is>
          <t>CRITIQUE</t>
        </is>
      </c>
      <c r="Q260" s="8" t="inlineStr">
        <is>
          <t>WHAP</t>
        </is>
      </c>
      <c r="R260" s="8" t="inlineStr">
        <is>
          <t>OUI</t>
        </is>
      </c>
      <c r="S260" s="8" t="inlineStr">
        <is>
          <t>31/08/2026 02:59</t>
        </is>
      </c>
    </row>
    <row r="261">
      <c r="A261" s="7" t="inlineStr">
        <is>
          <t>WHAP-0257</t>
        </is>
      </c>
      <c r="B261" s="7" t="inlineStr">
        <is>
          <t>FRE-0257</t>
        </is>
      </c>
      <c r="C261" s="7" t="inlineStr">
        <is>
          <t>valve de frein</t>
        </is>
      </c>
      <c r="D261" s="7" t="inlineStr">
        <is>
          <t>Freinage</t>
        </is>
      </c>
      <c r="E261" s="7" t="inlineStr">
        <is>
          <t>Freinage</t>
        </is>
      </c>
      <c r="F261" s="7" t="inlineStr">
        <is>
          <t>PIECE_VEHICULE</t>
        </is>
      </c>
      <c r="G261" s="7" t="inlineStr">
        <is>
          <t>unité</t>
        </is>
      </c>
      <c r="H261" s="7" t="inlineStr">
        <is>
          <t>SMALL</t>
        </is>
      </c>
      <c r="I261" s="7" t="n">
        <v>5</v>
      </c>
      <c r="J261" s="7" t="inlineStr">
        <is>
          <t>E-04-04</t>
        </is>
      </c>
      <c r="K261" s="7" t="inlineStr"/>
      <c r="L261" s="9" t="n">
        <v>0</v>
      </c>
      <c r="M261" s="9" t="n">
        <v>0</v>
      </c>
      <c r="N261" s="9" t="n">
        <v>13</v>
      </c>
      <c r="O261" s="7" t="inlineStr">
        <is>
          <t>HEL</t>
        </is>
      </c>
      <c r="P261" s="7" t="inlineStr">
        <is>
          <t>CRITIQUE</t>
        </is>
      </c>
      <c r="Q261" s="7" t="inlineStr">
        <is>
          <t>WHAP</t>
        </is>
      </c>
      <c r="R261" s="7" t="inlineStr">
        <is>
          <t>OUI</t>
        </is>
      </c>
      <c r="S261" s="7" t="inlineStr">
        <is>
          <t>31/08/2026 02:59</t>
        </is>
      </c>
    </row>
    <row r="262">
      <c r="A262" s="8" t="inlineStr">
        <is>
          <t>WHAP-0258</t>
        </is>
      </c>
      <c r="B262" s="8" t="inlineStr">
        <is>
          <t>FRE-0258</t>
        </is>
      </c>
      <c r="C262" s="8" t="inlineStr">
        <is>
          <t>valve relais</t>
        </is>
      </c>
      <c r="D262" s="8" t="inlineStr">
        <is>
          <t>Freinage</t>
        </is>
      </c>
      <c r="E262" s="8" t="inlineStr">
        <is>
          <t>Freinage</t>
        </is>
      </c>
      <c r="F262" s="8" t="inlineStr">
        <is>
          <t>PIECE_VEHICULE</t>
        </is>
      </c>
      <c r="G262" s="8" t="inlineStr">
        <is>
          <t>unité</t>
        </is>
      </c>
      <c r="H262" s="8" t="inlineStr">
        <is>
          <t>SMALL</t>
        </is>
      </c>
      <c r="I262" s="8" t="n">
        <v>5</v>
      </c>
      <c r="J262" s="8" t="inlineStr">
        <is>
          <t>D-01-03</t>
        </is>
      </c>
      <c r="K262" s="8" t="inlineStr"/>
      <c r="L262" s="10" t="n">
        <v>0</v>
      </c>
      <c r="M262" s="10" t="n">
        <v>0</v>
      </c>
      <c r="N262" s="10" t="n">
        <v>19</v>
      </c>
      <c r="O262" s="8" t="inlineStr">
        <is>
          <t>CTL</t>
        </is>
      </c>
      <c r="P262" s="8" t="inlineStr">
        <is>
          <t>CRITIQUE</t>
        </is>
      </c>
      <c r="Q262" s="8" t="inlineStr">
        <is>
          <t>WHAP</t>
        </is>
      </c>
      <c r="R262" s="8" t="inlineStr">
        <is>
          <t>OUI</t>
        </is>
      </c>
      <c r="S262" s="8" t="inlineStr">
        <is>
          <t>31/08/2026 02:59</t>
        </is>
      </c>
    </row>
    <row r="263">
      <c r="A263" s="7" t="inlineStr">
        <is>
          <t>WHAP-0259</t>
        </is>
      </c>
      <c r="B263" s="7" t="inlineStr">
        <is>
          <t>FRE-0259</t>
        </is>
      </c>
      <c r="C263" s="7" t="inlineStr">
        <is>
          <t>valve de protection</t>
        </is>
      </c>
      <c r="D263" s="7" t="inlineStr">
        <is>
          <t>Freinage</t>
        </is>
      </c>
      <c r="E263" s="7" t="inlineStr">
        <is>
          <t>Freinage</t>
        </is>
      </c>
      <c r="F263" s="7" t="inlineStr">
        <is>
          <t>PIECE_VEHICULE</t>
        </is>
      </c>
      <c r="G263" s="7" t="inlineStr">
        <is>
          <t>unité</t>
        </is>
      </c>
      <c r="H263" s="7" t="inlineStr">
        <is>
          <t>SMALL</t>
        </is>
      </c>
      <c r="I263" s="7" t="n">
        <v>5</v>
      </c>
      <c r="J263" s="7" t="inlineStr">
        <is>
          <t>F-06-04</t>
        </is>
      </c>
      <c r="K263" s="7" t="inlineStr"/>
      <c r="L263" s="9" t="n">
        <v>0</v>
      </c>
      <c r="M263" s="9" t="n">
        <v>0</v>
      </c>
      <c r="N263" s="9" t="n">
        <v>10</v>
      </c>
      <c r="O263" s="7" t="inlineStr">
        <is>
          <t>FAU</t>
        </is>
      </c>
      <c r="P263" s="7" t="inlineStr">
        <is>
          <t>CRITIQUE</t>
        </is>
      </c>
      <c r="Q263" s="7" t="inlineStr">
        <is>
          <t>WHAP</t>
        </is>
      </c>
      <c r="R263" s="7" t="inlineStr">
        <is>
          <t>OUI</t>
        </is>
      </c>
      <c r="S263" s="7" t="inlineStr">
        <is>
          <t>31/08/2026 02:59</t>
        </is>
      </c>
    </row>
    <row r="264">
      <c r="A264" s="8" t="inlineStr">
        <is>
          <t>WHAP-0260</t>
        </is>
      </c>
      <c r="B264" s="8" t="inlineStr">
        <is>
          <t>FRE-0260</t>
        </is>
      </c>
      <c r="C264" s="8" t="inlineStr">
        <is>
          <t>modulateur ABS</t>
        </is>
      </c>
      <c r="D264" s="8" t="inlineStr">
        <is>
          <t>Freinage</t>
        </is>
      </c>
      <c r="E264" s="8" t="inlineStr">
        <is>
          <t>Freinage</t>
        </is>
      </c>
      <c r="F264" s="8" t="inlineStr">
        <is>
          <t>PIECE_VEHICULE</t>
        </is>
      </c>
      <c r="G264" s="8" t="inlineStr">
        <is>
          <t>unité</t>
        </is>
      </c>
      <c r="H264" s="8" t="inlineStr">
        <is>
          <t>SMALL</t>
        </is>
      </c>
      <c r="I264" s="8" t="n">
        <v>5</v>
      </c>
      <c r="J264" s="8" t="inlineStr">
        <is>
          <t>F-06-02</t>
        </is>
      </c>
      <c r="K264" s="8" t="inlineStr"/>
      <c r="L264" s="10" t="n">
        <v>0</v>
      </c>
      <c r="M264" s="10" t="n">
        <v>0</v>
      </c>
      <c r="N264" s="10" t="n">
        <v>15</v>
      </c>
      <c r="O264" s="8" t="inlineStr">
        <is>
          <t>YZK</t>
        </is>
      </c>
      <c r="P264" s="8" t="inlineStr">
        <is>
          <t>CRITIQUE</t>
        </is>
      </c>
      <c r="Q264" s="8" t="inlineStr">
        <is>
          <t>WHAP</t>
        </is>
      </c>
      <c r="R264" s="8" t="inlineStr">
        <is>
          <t>OUI</t>
        </is>
      </c>
      <c r="S264" s="8" t="inlineStr">
        <is>
          <t>31/08/2026 02:59</t>
        </is>
      </c>
    </row>
    <row r="265">
      <c r="A265" s="7" t="inlineStr">
        <is>
          <t>WHAP-0261</t>
        </is>
      </c>
      <c r="B265" s="7" t="inlineStr">
        <is>
          <t>FRE-0261</t>
        </is>
      </c>
      <c r="C265" s="7" t="inlineStr">
        <is>
          <t>capteur ABS</t>
        </is>
      </c>
      <c r="D265" s="7" t="inlineStr">
        <is>
          <t>Freinage</t>
        </is>
      </c>
      <c r="E265" s="7" t="inlineStr">
        <is>
          <t>Freinage</t>
        </is>
      </c>
      <c r="F265" s="7" t="inlineStr">
        <is>
          <t>PIECE_VEHICULE</t>
        </is>
      </c>
      <c r="G265" s="7" t="inlineStr">
        <is>
          <t>unité</t>
        </is>
      </c>
      <c r="H265" s="7" t="inlineStr">
        <is>
          <t>SMALL</t>
        </is>
      </c>
      <c r="I265" s="7" t="n">
        <v>5</v>
      </c>
      <c r="J265" s="7" t="inlineStr">
        <is>
          <t>A-05-01</t>
        </is>
      </c>
      <c r="K265" s="7" t="inlineStr"/>
      <c r="L265" s="9" t="n">
        <v>0</v>
      </c>
      <c r="M265" s="9" t="n">
        <v>0</v>
      </c>
      <c r="N265" s="9" t="n">
        <v>15</v>
      </c>
      <c r="O265" s="7" t="inlineStr">
        <is>
          <t>BOS</t>
        </is>
      </c>
      <c r="P265" s="7" t="inlineStr">
        <is>
          <t>CRITIQUE</t>
        </is>
      </c>
      <c r="Q265" s="7" t="inlineStr">
        <is>
          <t>WHAP</t>
        </is>
      </c>
      <c r="R265" s="7" t="inlineStr">
        <is>
          <t>OUI</t>
        </is>
      </c>
      <c r="S265" s="7" t="inlineStr">
        <is>
          <t>31/08/2026 02:59</t>
        </is>
      </c>
    </row>
    <row r="266">
      <c r="A266" s="8" t="inlineStr">
        <is>
          <t>WHAP-0262</t>
        </is>
      </c>
      <c r="B266" s="8" t="inlineStr">
        <is>
          <t>FRE-0262</t>
        </is>
      </c>
      <c r="C266" s="8" t="inlineStr">
        <is>
          <t>couronne ABS</t>
        </is>
      </c>
      <c r="D266" s="8" t="inlineStr">
        <is>
          <t>Freinage</t>
        </is>
      </c>
      <c r="E266" s="8" t="inlineStr">
        <is>
          <t>Freinage</t>
        </is>
      </c>
      <c r="F266" s="8" t="inlineStr">
        <is>
          <t>PIECE_VEHICULE</t>
        </is>
      </c>
      <c r="G266" s="8" t="inlineStr">
        <is>
          <t>unité</t>
        </is>
      </c>
      <c r="H266" s="8" t="inlineStr">
        <is>
          <t>SMALL</t>
        </is>
      </c>
      <c r="I266" s="8" t="n">
        <v>5</v>
      </c>
      <c r="J266" s="8" t="inlineStr">
        <is>
          <t>B-06-04</t>
        </is>
      </c>
      <c r="K266" s="8" t="inlineStr"/>
      <c r="L266" s="10" t="n">
        <v>0</v>
      </c>
      <c r="M266" s="10" t="n">
        <v>0</v>
      </c>
      <c r="N266" s="10" t="n">
        <v>15</v>
      </c>
      <c r="O266" s="8" t="inlineStr">
        <is>
          <t>SKF</t>
        </is>
      </c>
      <c r="P266" s="8" t="inlineStr">
        <is>
          <t>CRITIQUE</t>
        </is>
      </c>
      <c r="Q266" s="8" t="inlineStr">
        <is>
          <t>WHAP</t>
        </is>
      </c>
      <c r="R266" s="8" t="inlineStr">
        <is>
          <t>OUI</t>
        </is>
      </c>
      <c r="S266" s="8" t="inlineStr">
        <is>
          <t>31/08/2026 02:59</t>
        </is>
      </c>
    </row>
    <row r="267">
      <c r="A267" s="7" t="inlineStr">
        <is>
          <t>WHAP-0263</t>
        </is>
      </c>
      <c r="B267" s="7" t="inlineStr">
        <is>
          <t>FRE-0263</t>
        </is>
      </c>
      <c r="C267" s="7" t="inlineStr">
        <is>
          <t>actionneur frein de parc</t>
        </is>
      </c>
      <c r="D267" s="7" t="inlineStr">
        <is>
          <t>Freinage</t>
        </is>
      </c>
      <c r="E267" s="7" t="inlineStr">
        <is>
          <t>Freinage</t>
        </is>
      </c>
      <c r="F267" s="7" t="inlineStr">
        <is>
          <t>PIECE_VEHICULE</t>
        </is>
      </c>
      <c r="G267" s="7" t="inlineStr">
        <is>
          <t>unité</t>
        </is>
      </c>
      <c r="H267" s="7" t="inlineStr">
        <is>
          <t>SMALL</t>
        </is>
      </c>
      <c r="I267" s="7" t="n">
        <v>5</v>
      </c>
      <c r="J267" s="7" t="inlineStr">
        <is>
          <t>F-06-01</t>
        </is>
      </c>
      <c r="K267" s="7" t="inlineStr"/>
      <c r="L267" s="9" t="n">
        <v>0</v>
      </c>
      <c r="M267" s="9" t="n">
        <v>0</v>
      </c>
      <c r="N267" s="9" t="n">
        <v>16</v>
      </c>
      <c r="O267" s="7" t="inlineStr">
        <is>
          <t>FAU</t>
        </is>
      </c>
      <c r="P267" s="7" t="inlineStr">
        <is>
          <t>CRITIQUE</t>
        </is>
      </c>
      <c r="Q267" s="7" t="inlineStr">
        <is>
          <t>WHAP</t>
        </is>
      </c>
      <c r="R267" s="7" t="inlineStr">
        <is>
          <t>OUI</t>
        </is>
      </c>
      <c r="S267" s="7" t="inlineStr">
        <is>
          <t>31/08/2026 02:59</t>
        </is>
      </c>
    </row>
    <row r="268">
      <c r="A268" s="8" t="inlineStr">
        <is>
          <t>WHAP-0264</t>
        </is>
      </c>
      <c r="B268" s="8" t="inlineStr">
        <is>
          <t>FRE-0264</t>
        </is>
      </c>
      <c r="C268" s="8" t="inlineStr">
        <is>
          <t>câble de frein</t>
        </is>
      </c>
      <c r="D268" s="8" t="inlineStr">
        <is>
          <t>Freinage</t>
        </is>
      </c>
      <c r="E268" s="8" t="inlineStr">
        <is>
          <t>Freinage</t>
        </is>
      </c>
      <c r="F268" s="8" t="inlineStr">
        <is>
          <t>PIECE_VEHICULE</t>
        </is>
      </c>
      <c r="G268" s="8" t="inlineStr">
        <is>
          <t>unité</t>
        </is>
      </c>
      <c r="H268" s="8" t="inlineStr">
        <is>
          <t>SMALL</t>
        </is>
      </c>
      <c r="I268" s="8" t="n">
        <v>5</v>
      </c>
      <c r="J268" s="8" t="inlineStr">
        <is>
          <t>E-02-02</t>
        </is>
      </c>
      <c r="K268" s="8" t="inlineStr"/>
      <c r="L268" s="10" t="n">
        <v>0</v>
      </c>
      <c r="M268" s="10" t="n">
        <v>0</v>
      </c>
      <c r="N268" s="10" t="n">
        <v>18</v>
      </c>
      <c r="O268" s="8" t="inlineStr">
        <is>
          <t>HEL</t>
        </is>
      </c>
      <c r="P268" s="8" t="inlineStr">
        <is>
          <t>CRITIQUE</t>
        </is>
      </c>
      <c r="Q268" s="8" t="inlineStr">
        <is>
          <t>WHAP</t>
        </is>
      </c>
      <c r="R268" s="8" t="inlineStr">
        <is>
          <t>OUI</t>
        </is>
      </c>
      <c r="S268" s="8" t="inlineStr">
        <is>
          <t>31/08/2026 02:59</t>
        </is>
      </c>
    </row>
    <row r="269">
      <c r="A269" s="7" t="inlineStr">
        <is>
          <t>WHAP-0265</t>
        </is>
      </c>
      <c r="B269" s="7" t="inlineStr">
        <is>
          <t>FRE-0265</t>
        </is>
      </c>
      <c r="C269" s="7" t="inlineStr">
        <is>
          <t>ressort de frein</t>
        </is>
      </c>
      <c r="D269" s="7" t="inlineStr">
        <is>
          <t>Freinage</t>
        </is>
      </c>
      <c r="E269" s="7" t="inlineStr">
        <is>
          <t>Freinage</t>
        </is>
      </c>
      <c r="F269" s="7" t="inlineStr">
        <is>
          <t>PIECE_VEHICULE</t>
        </is>
      </c>
      <c r="G269" s="7" t="inlineStr">
        <is>
          <t>unité</t>
        </is>
      </c>
      <c r="H269" s="7" t="inlineStr">
        <is>
          <t>SMALL</t>
        </is>
      </c>
      <c r="I269" s="7" t="n">
        <v>5</v>
      </c>
      <c r="J269" s="7" t="inlineStr">
        <is>
          <t>B-06-02</t>
        </is>
      </c>
      <c r="K269" s="7" t="inlineStr"/>
      <c r="L269" s="9" t="n">
        <v>0</v>
      </c>
      <c r="M269" s="9" t="n">
        <v>0</v>
      </c>
      <c r="N269" s="9" t="n">
        <v>14</v>
      </c>
      <c r="O269" s="7" t="inlineStr">
        <is>
          <t>SKF</t>
        </is>
      </c>
      <c r="P269" s="7" t="inlineStr">
        <is>
          <t>CRITIQUE</t>
        </is>
      </c>
      <c r="Q269" s="7" t="inlineStr">
        <is>
          <t>WHAP</t>
        </is>
      </c>
      <c r="R269" s="7" t="inlineStr">
        <is>
          <t>OUI</t>
        </is>
      </c>
      <c r="S269" s="7" t="inlineStr">
        <is>
          <t>31/08/2026 02:59</t>
        </is>
      </c>
    </row>
    <row r="270">
      <c r="A270" s="8" t="inlineStr">
        <is>
          <t>WHAP-0266</t>
        </is>
      </c>
      <c r="B270" s="8" t="inlineStr">
        <is>
          <t>FRE-0266</t>
        </is>
      </c>
      <c r="C270" s="8" t="inlineStr">
        <is>
          <t>tambour de frein</t>
        </is>
      </c>
      <c r="D270" s="8" t="inlineStr">
        <is>
          <t>Freinage</t>
        </is>
      </c>
      <c r="E270" s="8" t="inlineStr">
        <is>
          <t>Freinage</t>
        </is>
      </c>
      <c r="F270" s="8" t="inlineStr">
        <is>
          <t>PIECE_VEHICULE</t>
        </is>
      </c>
      <c r="G270" s="8" t="inlineStr">
        <is>
          <t>unité</t>
        </is>
      </c>
      <c r="H270" s="8" t="inlineStr">
        <is>
          <t>SMALL</t>
        </is>
      </c>
      <c r="I270" s="8" t="n">
        <v>5</v>
      </c>
      <c r="J270" s="8" t="inlineStr">
        <is>
          <t>B-02-03</t>
        </is>
      </c>
      <c r="K270" s="8" t="inlineStr"/>
      <c r="L270" s="10" t="n">
        <v>0</v>
      </c>
      <c r="M270" s="10" t="n">
        <v>0</v>
      </c>
      <c r="N270" s="10" t="n">
        <v>13</v>
      </c>
      <c r="O270" s="8" t="inlineStr">
        <is>
          <t>VAL</t>
        </is>
      </c>
      <c r="P270" s="8" t="inlineStr">
        <is>
          <t>CRITIQUE</t>
        </is>
      </c>
      <c r="Q270" s="8" t="inlineStr">
        <is>
          <t>WHAP</t>
        </is>
      </c>
      <c r="R270" s="8" t="inlineStr">
        <is>
          <t>OUI</t>
        </is>
      </c>
      <c r="S270" s="8" t="inlineStr">
        <is>
          <t>31/08/2026 02:59</t>
        </is>
      </c>
    </row>
    <row r="271">
      <c r="A271" s="7" t="inlineStr">
        <is>
          <t>WHAP-0267</t>
        </is>
      </c>
      <c r="B271" s="7" t="inlineStr">
        <is>
          <t>FRE-0267</t>
        </is>
      </c>
      <c r="C271" s="7" t="inlineStr">
        <is>
          <t>garniture de frein</t>
        </is>
      </c>
      <c r="D271" s="7" t="inlineStr">
        <is>
          <t>Freinage</t>
        </is>
      </c>
      <c r="E271" s="7" t="inlineStr">
        <is>
          <t>Freinage</t>
        </is>
      </c>
      <c r="F271" s="7" t="inlineStr">
        <is>
          <t>PIECE_VEHICULE</t>
        </is>
      </c>
      <c r="G271" s="7" t="inlineStr">
        <is>
          <t>unité</t>
        </is>
      </c>
      <c r="H271" s="7" t="inlineStr">
        <is>
          <t>SMALL</t>
        </is>
      </c>
      <c r="I271" s="7" t="n">
        <v>5</v>
      </c>
      <c r="J271" s="7" t="inlineStr">
        <is>
          <t>B-05-02</t>
        </is>
      </c>
      <c r="K271" s="7" t="inlineStr"/>
      <c r="L271" s="9" t="n">
        <v>0</v>
      </c>
      <c r="M271" s="9" t="n">
        <v>0</v>
      </c>
      <c r="N271" s="9" t="n">
        <v>19</v>
      </c>
      <c r="O271" s="7" t="inlineStr">
        <is>
          <t>VAL</t>
        </is>
      </c>
      <c r="P271" s="7" t="inlineStr">
        <is>
          <t>CRITIQUE</t>
        </is>
      </c>
      <c r="Q271" s="7" t="inlineStr">
        <is>
          <t>WHAP</t>
        </is>
      </c>
      <c r="R271" s="7" t="inlineStr">
        <is>
          <t>OUI</t>
        </is>
      </c>
      <c r="S271" s="7" t="inlineStr">
        <is>
          <t>31/08/2026 02:59</t>
        </is>
      </c>
    </row>
    <row r="272">
      <c r="A272" s="8" t="inlineStr">
        <is>
          <t>WHAP-0268</t>
        </is>
      </c>
      <c r="B272" s="8" t="inlineStr">
        <is>
          <t>FRE-0268</t>
        </is>
      </c>
      <c r="C272" s="8" t="inlineStr">
        <is>
          <t>purgeur</t>
        </is>
      </c>
      <c r="D272" s="8" t="inlineStr">
        <is>
          <t>Freinage</t>
        </is>
      </c>
      <c r="E272" s="8" t="inlineStr">
        <is>
          <t>Freinage</t>
        </is>
      </c>
      <c r="F272" s="8" t="inlineStr">
        <is>
          <t>PIECE_VEHICULE</t>
        </is>
      </c>
      <c r="G272" s="8" t="inlineStr">
        <is>
          <t>unité</t>
        </is>
      </c>
      <c r="H272" s="8" t="inlineStr">
        <is>
          <t>SMALL</t>
        </is>
      </c>
      <c r="I272" s="8" t="n">
        <v>5</v>
      </c>
      <c r="J272" s="8" t="inlineStr">
        <is>
          <t>E-01-03</t>
        </is>
      </c>
      <c r="K272" s="8" t="inlineStr"/>
      <c r="L272" s="10" t="n">
        <v>0</v>
      </c>
      <c r="M272" s="10" t="n">
        <v>0</v>
      </c>
      <c r="N272" s="10" t="n">
        <v>11</v>
      </c>
      <c r="O272" s="8" t="inlineStr">
        <is>
          <t>BOS</t>
        </is>
      </c>
      <c r="P272" s="8" t="inlineStr">
        <is>
          <t>CRITIQUE</t>
        </is>
      </c>
      <c r="Q272" s="8" t="inlineStr">
        <is>
          <t>WHAP</t>
        </is>
      </c>
      <c r="R272" s="8" t="inlineStr">
        <is>
          <t>OUI</t>
        </is>
      </c>
      <c r="S272" s="8" t="inlineStr">
        <is>
          <t>31/08/2026 02:59</t>
        </is>
      </c>
    </row>
    <row r="273">
      <c r="A273" s="7" t="inlineStr">
        <is>
          <t>WHAP-0269</t>
        </is>
      </c>
      <c r="B273" s="7" t="inlineStr">
        <is>
          <t>FRE-0269</t>
        </is>
      </c>
      <c r="C273" s="7" t="inlineStr">
        <is>
          <t>raccord pneumatique</t>
        </is>
      </c>
      <c r="D273" s="7" t="inlineStr">
        <is>
          <t>Freinage</t>
        </is>
      </c>
      <c r="E273" s="7" t="inlineStr">
        <is>
          <t>Freinage</t>
        </is>
      </c>
      <c r="F273" s="7" t="inlineStr">
        <is>
          <t>PIECE_VEHICULE</t>
        </is>
      </c>
      <c r="G273" s="7" t="inlineStr">
        <is>
          <t>unité</t>
        </is>
      </c>
      <c r="H273" s="7" t="inlineStr">
        <is>
          <t>SMALL</t>
        </is>
      </c>
      <c r="I273" s="7" t="n">
        <v>5</v>
      </c>
      <c r="J273" s="7" t="inlineStr">
        <is>
          <t>D-05-04</t>
        </is>
      </c>
      <c r="K273" s="7" t="inlineStr"/>
      <c r="L273" s="9" t="n">
        <v>0</v>
      </c>
      <c r="M273" s="9" t="n">
        <v>0</v>
      </c>
      <c r="N273" s="9" t="n">
        <v>10</v>
      </c>
      <c r="O273" s="7" t="inlineStr">
        <is>
          <t>YZK</t>
        </is>
      </c>
      <c r="P273" s="7" t="inlineStr">
        <is>
          <t>CRITIQUE</t>
        </is>
      </c>
      <c r="Q273" s="7" t="inlineStr">
        <is>
          <t>WHAP</t>
        </is>
      </c>
      <c r="R273" s="7" t="inlineStr">
        <is>
          <t>OUI</t>
        </is>
      </c>
      <c r="S273" s="7" t="inlineStr">
        <is>
          <t>31/08/2026 02:59</t>
        </is>
      </c>
    </row>
    <row r="274">
      <c r="A274" s="8" t="inlineStr">
        <is>
          <t>WHAP-0270</t>
        </is>
      </c>
      <c r="B274" s="8" t="inlineStr">
        <is>
          <t>ROU-0270</t>
        </is>
      </c>
      <c r="C274" s="8" t="inlineStr">
        <is>
          <t>jante</t>
        </is>
      </c>
      <c r="D274" s="8" t="inlineStr">
        <is>
          <t>Roues et pneus</t>
        </is>
      </c>
      <c r="E274" s="8" t="inlineStr">
        <is>
          <t>Roues et pneus</t>
        </is>
      </c>
      <c r="F274" s="8" t="inlineStr">
        <is>
          <t>PIECE_VEHICULE</t>
        </is>
      </c>
      <c r="G274" s="8" t="inlineStr">
        <is>
          <t>unité</t>
        </is>
      </c>
      <c r="H274" s="8" t="inlineStr">
        <is>
          <t>LARGE</t>
        </is>
      </c>
      <c r="I274" s="8" t="n">
        <v>0</v>
      </c>
      <c r="J274" s="8" t="inlineStr">
        <is>
          <t>B-01-01 : 64</t>
        </is>
      </c>
      <c r="K274" s="8" t="inlineStr"/>
      <c r="L274" s="10" t="n">
        <v>64</v>
      </c>
      <c r="M274" s="10" t="n">
        <v>64</v>
      </c>
      <c r="N274" s="10" t="n">
        <v>27</v>
      </c>
      <c r="O274" s="8" t="inlineStr">
        <is>
          <t>SKF</t>
        </is>
      </c>
      <c r="P274" s="8" t="inlineStr">
        <is>
          <t>IMPORTANT</t>
        </is>
      </c>
      <c r="Q274" s="8" t="inlineStr">
        <is>
          <t>WHAP</t>
        </is>
      </c>
      <c r="R274" s="8" t="inlineStr">
        <is>
          <t>OUI</t>
        </is>
      </c>
      <c r="S274" s="8" t="inlineStr">
        <is>
          <t>31/08/2026 02:59</t>
        </is>
      </c>
    </row>
    <row r="275">
      <c r="A275" s="7" t="inlineStr">
        <is>
          <t>WHAP-0271</t>
        </is>
      </c>
      <c r="B275" s="7" t="inlineStr">
        <is>
          <t>ROU-0271</t>
        </is>
      </c>
      <c r="C275" s="7" t="inlineStr">
        <is>
          <t>roue complète</t>
        </is>
      </c>
      <c r="D275" s="7" t="inlineStr">
        <is>
          <t>Roues et pneus</t>
        </is>
      </c>
      <c r="E275" s="7" t="inlineStr">
        <is>
          <t>Roues et pneus</t>
        </is>
      </c>
      <c r="F275" s="7" t="inlineStr">
        <is>
          <t>PIECE_VEHICULE</t>
        </is>
      </c>
      <c r="G275" s="7" t="inlineStr">
        <is>
          <t>unité</t>
        </is>
      </c>
      <c r="H275" s="7" t="inlineStr">
        <is>
          <t>LARGE</t>
        </is>
      </c>
      <c r="I275" s="7" t="n">
        <v>0</v>
      </c>
      <c r="J275" s="7" t="inlineStr">
        <is>
          <t>D-02-02</t>
        </is>
      </c>
      <c r="K275" s="7" t="inlineStr"/>
      <c r="L275" s="9" t="n">
        <v>0</v>
      </c>
      <c r="M275" s="9" t="n">
        <v>0</v>
      </c>
      <c r="N275" s="9" t="n">
        <v>28</v>
      </c>
      <c r="O275" s="7" t="inlineStr">
        <is>
          <t>FAU</t>
        </is>
      </c>
      <c r="P275" s="7" t="inlineStr">
        <is>
          <t>IMPORTANT</t>
        </is>
      </c>
      <c r="Q275" s="7" t="inlineStr">
        <is>
          <t>WHAP</t>
        </is>
      </c>
      <c r="R275" s="7" t="inlineStr">
        <is>
          <t>OUI</t>
        </is>
      </c>
      <c r="S275" s="7" t="inlineStr">
        <is>
          <t>31/08/2026 02:59</t>
        </is>
      </c>
    </row>
    <row r="276">
      <c r="A276" s="8" t="inlineStr">
        <is>
          <t>WHAP-0272</t>
        </is>
      </c>
      <c r="B276" s="8" t="inlineStr">
        <is>
          <t>ROU-0272</t>
        </is>
      </c>
      <c r="C276" s="8" t="inlineStr">
        <is>
          <t>pneu</t>
        </is>
      </c>
      <c r="D276" s="8" t="inlineStr">
        <is>
          <t>Roues et pneus</t>
        </is>
      </c>
      <c r="E276" s="8" t="inlineStr">
        <is>
          <t>Roues et pneus</t>
        </is>
      </c>
      <c r="F276" s="8" t="inlineStr">
        <is>
          <t>PIECE_VEHICULE</t>
        </is>
      </c>
      <c r="G276" s="8" t="inlineStr">
        <is>
          <t>unité</t>
        </is>
      </c>
      <c r="H276" s="8" t="inlineStr">
        <is>
          <t>LARGE</t>
        </is>
      </c>
      <c r="I276" s="8" t="n">
        <v>0</v>
      </c>
      <c r="J276" s="8" t="inlineStr">
        <is>
          <t>C-04-04</t>
        </is>
      </c>
      <c r="K276" s="8" t="inlineStr"/>
      <c r="L276" s="10" t="n">
        <v>0</v>
      </c>
      <c r="M276" s="10" t="n">
        <v>0</v>
      </c>
      <c r="N276" s="10" t="n">
        <v>25</v>
      </c>
      <c r="O276" s="8" t="inlineStr">
        <is>
          <t>HEL</t>
        </is>
      </c>
      <c r="P276" s="8" t="inlineStr">
        <is>
          <t>IMPORTANT</t>
        </is>
      </c>
      <c r="Q276" s="8" t="inlineStr">
        <is>
          <t>WHAP</t>
        </is>
      </c>
      <c r="R276" s="8" t="inlineStr">
        <is>
          <t>OUI</t>
        </is>
      </c>
      <c r="S276" s="8" t="inlineStr">
        <is>
          <t>31/08/2026 02:59</t>
        </is>
      </c>
    </row>
    <row r="277">
      <c r="A277" s="7" t="inlineStr">
        <is>
          <t>WHAP-0273</t>
        </is>
      </c>
      <c r="B277" s="7" t="inlineStr">
        <is>
          <t>ROU-0273</t>
        </is>
      </c>
      <c r="C277" s="7" t="inlineStr">
        <is>
          <t>insert run-flat</t>
        </is>
      </c>
      <c r="D277" s="7" t="inlineStr">
        <is>
          <t>Roues et pneus</t>
        </is>
      </c>
      <c r="E277" s="7" t="inlineStr">
        <is>
          <t>Roues et pneus</t>
        </is>
      </c>
      <c r="F277" s="7" t="inlineStr">
        <is>
          <t>PIECE_VEHICULE</t>
        </is>
      </c>
      <c r="G277" s="7" t="inlineStr">
        <is>
          <t>unité</t>
        </is>
      </c>
      <c r="H277" s="7" t="inlineStr">
        <is>
          <t>LARGE</t>
        </is>
      </c>
      <c r="I277" s="7" t="n">
        <v>0</v>
      </c>
      <c r="J277" s="7" t="inlineStr">
        <is>
          <t>E-01-04</t>
        </is>
      </c>
      <c r="K277" s="7" t="inlineStr"/>
      <c r="L277" s="9" t="n">
        <v>0</v>
      </c>
      <c r="M277" s="9" t="n">
        <v>0</v>
      </c>
      <c r="N277" s="9" t="n">
        <v>30</v>
      </c>
      <c r="O277" s="7" t="inlineStr">
        <is>
          <t>MAG</t>
        </is>
      </c>
      <c r="P277" s="7" t="inlineStr">
        <is>
          <t>IMPORTANT</t>
        </is>
      </c>
      <c r="Q277" s="7" t="inlineStr">
        <is>
          <t>WHAP</t>
        </is>
      </c>
      <c r="R277" s="7" t="inlineStr">
        <is>
          <t>OUI</t>
        </is>
      </c>
      <c r="S277" s="7" t="inlineStr">
        <is>
          <t>31/08/2026 02:59</t>
        </is>
      </c>
    </row>
    <row r="278">
      <c r="A278" s="8" t="inlineStr">
        <is>
          <t>WHAP-0274</t>
        </is>
      </c>
      <c r="B278" s="8" t="inlineStr">
        <is>
          <t>ROU-0274</t>
        </is>
      </c>
      <c r="C278" s="8" t="inlineStr">
        <is>
          <t>valve de pneu</t>
        </is>
      </c>
      <c r="D278" s="8" t="inlineStr">
        <is>
          <t>Roues et pneus</t>
        </is>
      </c>
      <c r="E278" s="8" t="inlineStr">
        <is>
          <t>Roues et pneus</t>
        </is>
      </c>
      <c r="F278" s="8" t="inlineStr">
        <is>
          <t>PIECE_VEHICULE</t>
        </is>
      </c>
      <c r="G278" s="8" t="inlineStr">
        <is>
          <t>unité</t>
        </is>
      </c>
      <c r="H278" s="8" t="inlineStr">
        <is>
          <t>LARGE</t>
        </is>
      </c>
      <c r="I278" s="8" t="n">
        <v>0</v>
      </c>
      <c r="J278" s="8" t="inlineStr">
        <is>
          <t>D-03-04</t>
        </is>
      </c>
      <c r="K278" s="8" t="inlineStr"/>
      <c r="L278" s="10" t="n">
        <v>0</v>
      </c>
      <c r="M278" s="10" t="n">
        <v>0</v>
      </c>
      <c r="N278" s="10" t="n">
        <v>27</v>
      </c>
      <c r="O278" s="8" t="inlineStr">
        <is>
          <t>SKF</t>
        </is>
      </c>
      <c r="P278" s="8" t="inlineStr">
        <is>
          <t>IMPORTANT</t>
        </is>
      </c>
      <c r="Q278" s="8" t="inlineStr">
        <is>
          <t>WHAP</t>
        </is>
      </c>
      <c r="R278" s="8" t="inlineStr">
        <is>
          <t>OUI</t>
        </is>
      </c>
      <c r="S278" s="8" t="inlineStr">
        <is>
          <t>31/08/2026 02:59</t>
        </is>
      </c>
    </row>
    <row r="279">
      <c r="A279" s="7" t="inlineStr">
        <is>
          <t>WHAP-0275</t>
        </is>
      </c>
      <c r="B279" s="7" t="inlineStr">
        <is>
          <t>ROU-0275</t>
        </is>
      </c>
      <c r="C279" s="7" t="inlineStr">
        <is>
          <t>capteur pression pneu</t>
        </is>
      </c>
      <c r="D279" s="7" t="inlineStr">
        <is>
          <t>Roues et pneus</t>
        </is>
      </c>
      <c r="E279" s="7" t="inlineStr">
        <is>
          <t>Roues et pneus</t>
        </is>
      </c>
      <c r="F279" s="7" t="inlineStr">
        <is>
          <t>PIECE_VEHICULE</t>
        </is>
      </c>
      <c r="G279" s="7" t="inlineStr">
        <is>
          <t>unité</t>
        </is>
      </c>
      <c r="H279" s="7" t="inlineStr">
        <is>
          <t>LARGE</t>
        </is>
      </c>
      <c r="I279" s="7" t="n">
        <v>0</v>
      </c>
      <c r="J279" s="7" t="inlineStr">
        <is>
          <t>E-04-03</t>
        </is>
      </c>
      <c r="K279" s="7" t="inlineStr"/>
      <c r="L279" s="9" t="n">
        <v>0</v>
      </c>
      <c r="M279" s="9" t="n">
        <v>0</v>
      </c>
      <c r="N279" s="9" t="n">
        <v>25</v>
      </c>
      <c r="O279" s="7" t="inlineStr">
        <is>
          <t>MAG</t>
        </is>
      </c>
      <c r="P279" s="7" t="inlineStr">
        <is>
          <t>IMPORTANT</t>
        </is>
      </c>
      <c r="Q279" s="7" t="inlineStr">
        <is>
          <t>WHAP</t>
        </is>
      </c>
      <c r="R279" s="7" t="inlineStr">
        <is>
          <t>OUI</t>
        </is>
      </c>
      <c r="S279" s="7" t="inlineStr">
        <is>
          <t>31/08/2026 02:59</t>
        </is>
      </c>
    </row>
    <row r="280">
      <c r="A280" s="8" t="inlineStr">
        <is>
          <t>WHAP-0276</t>
        </is>
      </c>
      <c r="B280" s="8" t="inlineStr">
        <is>
          <t>ROU-0276</t>
        </is>
      </c>
      <c r="C280" s="8" t="inlineStr">
        <is>
          <t>écrou de roue</t>
        </is>
      </c>
      <c r="D280" s="8" t="inlineStr">
        <is>
          <t>Roues et pneus</t>
        </is>
      </c>
      <c r="E280" s="8" t="inlineStr">
        <is>
          <t>Roues et pneus</t>
        </is>
      </c>
      <c r="F280" s="8" t="inlineStr">
        <is>
          <t>PIECE_VEHICULE</t>
        </is>
      </c>
      <c r="G280" s="8" t="inlineStr">
        <is>
          <t>unité</t>
        </is>
      </c>
      <c r="H280" s="8" t="inlineStr">
        <is>
          <t>LARGE</t>
        </is>
      </c>
      <c r="I280" s="8" t="n">
        <v>0</v>
      </c>
      <c r="J280" s="8" t="inlineStr">
        <is>
          <t>A-05-01</t>
        </is>
      </c>
      <c r="K280" s="8" t="inlineStr"/>
      <c r="L280" s="10" t="n">
        <v>0</v>
      </c>
      <c r="M280" s="10" t="n">
        <v>0</v>
      </c>
      <c r="N280" s="10" t="n">
        <v>29</v>
      </c>
      <c r="O280" s="8" t="inlineStr">
        <is>
          <t>BOS</t>
        </is>
      </c>
      <c r="P280" s="8" t="inlineStr">
        <is>
          <t>IMPORTANT</t>
        </is>
      </c>
      <c r="Q280" s="8" t="inlineStr">
        <is>
          <t>WHAP</t>
        </is>
      </c>
      <c r="R280" s="8" t="inlineStr">
        <is>
          <t>OUI</t>
        </is>
      </c>
      <c r="S280" s="8" t="inlineStr">
        <is>
          <t>31/08/2026 02:59</t>
        </is>
      </c>
    </row>
    <row r="281">
      <c r="A281" s="7" t="inlineStr">
        <is>
          <t>WHAP-0277</t>
        </is>
      </c>
      <c r="B281" s="7" t="inlineStr">
        <is>
          <t>ROU-0277</t>
        </is>
      </c>
      <c r="C281" s="7" t="inlineStr">
        <is>
          <t>goujon de roue</t>
        </is>
      </c>
      <c r="D281" s="7" t="inlineStr">
        <is>
          <t>Roues et pneus</t>
        </is>
      </c>
      <c r="E281" s="7" t="inlineStr">
        <is>
          <t>Roues et pneus</t>
        </is>
      </c>
      <c r="F281" s="7" t="inlineStr">
        <is>
          <t>PIECE_VEHICULE</t>
        </is>
      </c>
      <c r="G281" s="7" t="inlineStr">
        <is>
          <t>unité</t>
        </is>
      </c>
      <c r="H281" s="7" t="inlineStr">
        <is>
          <t>LARGE</t>
        </is>
      </c>
      <c r="I281" s="7" t="n">
        <v>0</v>
      </c>
      <c r="J281" s="7" t="inlineStr">
        <is>
          <t>B-02-03</t>
        </is>
      </c>
      <c r="K281" s="7" t="inlineStr"/>
      <c r="L281" s="9" t="n">
        <v>0</v>
      </c>
      <c r="M281" s="9" t="n">
        <v>0</v>
      </c>
      <c r="N281" s="9" t="n">
        <v>23</v>
      </c>
      <c r="O281" s="7" t="inlineStr">
        <is>
          <t>FAU</t>
        </is>
      </c>
      <c r="P281" s="7" t="inlineStr">
        <is>
          <t>IMPORTANT</t>
        </is>
      </c>
      <c r="Q281" s="7" t="inlineStr">
        <is>
          <t>WHAP</t>
        </is>
      </c>
      <c r="R281" s="7" t="inlineStr">
        <is>
          <t>OUI</t>
        </is>
      </c>
      <c r="S281" s="7" t="inlineStr">
        <is>
          <t>31/08/2026 02:59</t>
        </is>
      </c>
    </row>
    <row r="282">
      <c r="A282" s="8" t="inlineStr">
        <is>
          <t>WHAP-0278</t>
        </is>
      </c>
      <c r="B282" s="8" t="inlineStr">
        <is>
          <t>ROU-0278</t>
        </is>
      </c>
      <c r="C282" s="8" t="inlineStr">
        <is>
          <t>entretoise de roue</t>
        </is>
      </c>
      <c r="D282" s="8" t="inlineStr">
        <is>
          <t>Roues et pneus</t>
        </is>
      </c>
      <c r="E282" s="8" t="inlineStr">
        <is>
          <t>Roues et pneus</t>
        </is>
      </c>
      <c r="F282" s="8" t="inlineStr">
        <is>
          <t>PIECE_VEHICULE</t>
        </is>
      </c>
      <c r="G282" s="8" t="inlineStr">
        <is>
          <t>unité</t>
        </is>
      </c>
      <c r="H282" s="8" t="inlineStr">
        <is>
          <t>LARGE</t>
        </is>
      </c>
      <c r="I282" s="8" t="n">
        <v>0</v>
      </c>
      <c r="J282" s="8" t="inlineStr">
        <is>
          <t>B-05-03</t>
        </is>
      </c>
      <c r="K282" s="8" t="inlineStr"/>
      <c r="L282" s="10" t="n">
        <v>0</v>
      </c>
      <c r="M282" s="10" t="n">
        <v>0</v>
      </c>
      <c r="N282" s="10" t="n">
        <v>25</v>
      </c>
      <c r="O282" s="8" t="inlineStr">
        <is>
          <t>VAL</t>
        </is>
      </c>
      <c r="P282" s="8" t="inlineStr">
        <is>
          <t>IMPORTANT</t>
        </is>
      </c>
      <c r="Q282" s="8" t="inlineStr">
        <is>
          <t>WHAP</t>
        </is>
      </c>
      <c r="R282" s="8" t="inlineStr">
        <is>
          <t>OUI</t>
        </is>
      </c>
      <c r="S282" s="8" t="inlineStr">
        <is>
          <t>31/08/2026 02:59</t>
        </is>
      </c>
    </row>
    <row r="283">
      <c r="A283" s="7" t="inlineStr">
        <is>
          <t>WHAP-0279</t>
        </is>
      </c>
      <c r="B283" s="7" t="inlineStr">
        <is>
          <t>ROU-0279</t>
        </is>
      </c>
      <c r="C283" s="7" t="inlineStr">
        <is>
          <t>moyeu</t>
        </is>
      </c>
      <c r="D283" s="7" t="inlineStr">
        <is>
          <t>Roues et pneus</t>
        </is>
      </c>
      <c r="E283" s="7" t="inlineStr">
        <is>
          <t>Roues et pneus</t>
        </is>
      </c>
      <c r="F283" s="7" t="inlineStr">
        <is>
          <t>PIECE_VEHICULE</t>
        </is>
      </c>
      <c r="G283" s="7" t="inlineStr">
        <is>
          <t>unité</t>
        </is>
      </c>
      <c r="H283" s="7" t="inlineStr">
        <is>
          <t>LARGE</t>
        </is>
      </c>
      <c r="I283" s="7" t="n">
        <v>0</v>
      </c>
      <c r="J283" s="7" t="inlineStr">
        <is>
          <t>C-01-03</t>
        </is>
      </c>
      <c r="K283" s="7" t="inlineStr"/>
      <c r="L283" s="9" t="n">
        <v>0</v>
      </c>
      <c r="M283" s="9" t="n">
        <v>0</v>
      </c>
      <c r="N283" s="9" t="n">
        <v>26</v>
      </c>
      <c r="O283" s="7" t="inlineStr">
        <is>
          <t>MAG</t>
        </is>
      </c>
      <c r="P283" s="7" t="inlineStr">
        <is>
          <t>IMPORTANT</t>
        </is>
      </c>
      <c r="Q283" s="7" t="inlineStr">
        <is>
          <t>WHAP</t>
        </is>
      </c>
      <c r="R283" s="7" t="inlineStr">
        <is>
          <t>OUI</t>
        </is>
      </c>
      <c r="S283" s="7" t="inlineStr">
        <is>
          <t>31/08/2026 02:59</t>
        </is>
      </c>
    </row>
    <row r="284">
      <c r="A284" s="8" t="inlineStr">
        <is>
          <t>WHAP-0280</t>
        </is>
      </c>
      <c r="B284" s="8" t="inlineStr">
        <is>
          <t>ROU-0280</t>
        </is>
      </c>
      <c r="C284" s="8" t="inlineStr">
        <is>
          <t>cache-moyeu</t>
        </is>
      </c>
      <c r="D284" s="8" t="inlineStr">
        <is>
          <t>Roues et pneus</t>
        </is>
      </c>
      <c r="E284" s="8" t="inlineStr">
        <is>
          <t>Roues et pneus</t>
        </is>
      </c>
      <c r="F284" s="8" t="inlineStr">
        <is>
          <t>PIECE_VEHICULE</t>
        </is>
      </c>
      <c r="G284" s="8" t="inlineStr">
        <is>
          <t>unité</t>
        </is>
      </c>
      <c r="H284" s="8" t="inlineStr">
        <is>
          <t>LARGE</t>
        </is>
      </c>
      <c r="I284" s="8" t="n">
        <v>0</v>
      </c>
      <c r="J284" s="8" t="inlineStr">
        <is>
          <t>D-03-04</t>
        </is>
      </c>
      <c r="K284" s="8" t="inlineStr"/>
      <c r="L284" s="10" t="n">
        <v>0</v>
      </c>
      <c r="M284" s="10" t="n">
        <v>0</v>
      </c>
      <c r="N284" s="10" t="n">
        <v>29</v>
      </c>
      <c r="O284" s="8" t="inlineStr">
        <is>
          <t>VAL</t>
        </is>
      </c>
      <c r="P284" s="8" t="inlineStr">
        <is>
          <t>IMPORTANT</t>
        </is>
      </c>
      <c r="Q284" s="8" t="inlineStr">
        <is>
          <t>WHAP</t>
        </is>
      </c>
      <c r="R284" s="8" t="inlineStr">
        <is>
          <t>OUI</t>
        </is>
      </c>
      <c r="S284" s="8" t="inlineStr">
        <is>
          <t>31/08/2026 02:59</t>
        </is>
      </c>
    </row>
    <row r="285">
      <c r="A285" s="7" t="inlineStr">
        <is>
          <t>WHAP-0281</t>
        </is>
      </c>
      <c r="B285" s="7" t="inlineStr">
        <is>
          <t>ROU-0281</t>
        </is>
      </c>
      <c r="C285" s="7" t="inlineStr">
        <is>
          <t>joint de moyeu</t>
        </is>
      </c>
      <c r="D285" s="7" t="inlineStr">
        <is>
          <t>Roues et pneus</t>
        </is>
      </c>
      <c r="E285" s="7" t="inlineStr">
        <is>
          <t>Roues et pneus</t>
        </is>
      </c>
      <c r="F285" s="7" t="inlineStr">
        <is>
          <t>PIECE_VEHICULE</t>
        </is>
      </c>
      <c r="G285" s="7" t="inlineStr">
        <is>
          <t>unité</t>
        </is>
      </c>
      <c r="H285" s="7" t="inlineStr">
        <is>
          <t>LARGE</t>
        </is>
      </c>
      <c r="I285" s="7" t="n">
        <v>0</v>
      </c>
      <c r="J285" s="7" t="inlineStr">
        <is>
          <t>E-06-01</t>
        </is>
      </c>
      <c r="K285" s="7" t="inlineStr"/>
      <c r="L285" s="9" t="n">
        <v>0</v>
      </c>
      <c r="M285" s="9" t="n">
        <v>0</v>
      </c>
      <c r="N285" s="9" t="n">
        <v>32</v>
      </c>
      <c r="O285" s="7" t="inlineStr">
        <is>
          <t>HEL</t>
        </is>
      </c>
      <c r="P285" s="7" t="inlineStr">
        <is>
          <t>IMPORTANT</t>
        </is>
      </c>
      <c r="Q285" s="7" t="inlineStr">
        <is>
          <t>WHAP</t>
        </is>
      </c>
      <c r="R285" s="7" t="inlineStr">
        <is>
          <t>OUI</t>
        </is>
      </c>
      <c r="S285" s="7" t="inlineStr">
        <is>
          <t>31/08/2026 02:59</t>
        </is>
      </c>
    </row>
    <row r="286">
      <c r="A286" s="8" t="inlineStr">
        <is>
          <t>WHAP-0282</t>
        </is>
      </c>
      <c r="B286" s="8" t="inlineStr">
        <is>
          <t>ROU-0282</t>
        </is>
      </c>
      <c r="C286" s="8" t="inlineStr">
        <is>
          <t>roulement de roue</t>
        </is>
      </c>
      <c r="D286" s="8" t="inlineStr">
        <is>
          <t>Roues et pneus</t>
        </is>
      </c>
      <c r="E286" s="8" t="inlineStr">
        <is>
          <t>Roues et pneus</t>
        </is>
      </c>
      <c r="F286" s="8" t="inlineStr">
        <is>
          <t>PIECE_VEHICULE</t>
        </is>
      </c>
      <c r="G286" s="8" t="inlineStr">
        <is>
          <t>unité</t>
        </is>
      </c>
      <c r="H286" s="8" t="inlineStr">
        <is>
          <t>LARGE</t>
        </is>
      </c>
      <c r="I286" s="8" t="n">
        <v>0</v>
      </c>
      <c r="J286" s="8" t="inlineStr">
        <is>
          <t>A-03-01</t>
        </is>
      </c>
      <c r="K286" s="8" t="inlineStr"/>
      <c r="L286" s="10" t="n">
        <v>0</v>
      </c>
      <c r="M286" s="10" t="n">
        <v>0</v>
      </c>
      <c r="N286" s="10" t="n">
        <v>28</v>
      </c>
      <c r="O286" s="8" t="inlineStr">
        <is>
          <t>DEL</t>
        </is>
      </c>
      <c r="P286" s="8" t="inlineStr">
        <is>
          <t>IMPORTANT</t>
        </is>
      </c>
      <c r="Q286" s="8" t="inlineStr">
        <is>
          <t>WHAP</t>
        </is>
      </c>
      <c r="R286" s="8" t="inlineStr">
        <is>
          <t>OUI</t>
        </is>
      </c>
      <c r="S286" s="8" t="inlineStr">
        <is>
          <t>31/08/2026 02:59</t>
        </is>
      </c>
    </row>
    <row r="287">
      <c r="A287" s="7" t="inlineStr">
        <is>
          <t>WHAP-0283</t>
        </is>
      </c>
      <c r="B287" s="7" t="inlineStr">
        <is>
          <t>ROU-0283</t>
        </is>
      </c>
      <c r="C287" s="7" t="inlineStr">
        <is>
          <t>bague de roulement</t>
        </is>
      </c>
      <c r="D287" s="7" t="inlineStr">
        <is>
          <t>Roues et pneus</t>
        </is>
      </c>
      <c r="E287" s="7" t="inlineStr">
        <is>
          <t>Roues et pneus</t>
        </is>
      </c>
      <c r="F287" s="7" t="inlineStr">
        <is>
          <t>PIECE_VEHICULE</t>
        </is>
      </c>
      <c r="G287" s="7" t="inlineStr">
        <is>
          <t>unité</t>
        </is>
      </c>
      <c r="H287" s="7" t="inlineStr">
        <is>
          <t>LARGE</t>
        </is>
      </c>
      <c r="I287" s="7" t="n">
        <v>0</v>
      </c>
      <c r="J287" s="7" t="inlineStr">
        <is>
          <t>F-06-02</t>
        </is>
      </c>
      <c r="K287" s="7" t="inlineStr"/>
      <c r="L287" s="9" t="n">
        <v>0</v>
      </c>
      <c r="M287" s="9" t="n">
        <v>0</v>
      </c>
      <c r="N287" s="9" t="n">
        <v>25</v>
      </c>
      <c r="O287" s="7" t="inlineStr">
        <is>
          <t>SKF</t>
        </is>
      </c>
      <c r="P287" s="7" t="inlineStr">
        <is>
          <t>IMPORTANT</t>
        </is>
      </c>
      <c r="Q287" s="7" t="inlineStr">
        <is>
          <t>WHAP</t>
        </is>
      </c>
      <c r="R287" s="7" t="inlineStr">
        <is>
          <t>OUI</t>
        </is>
      </c>
      <c r="S287" s="7" t="inlineStr">
        <is>
          <t>31/08/2026 02:59</t>
        </is>
      </c>
    </row>
    <row r="288">
      <c r="A288" s="8" t="inlineStr">
        <is>
          <t>WHAP-0284</t>
        </is>
      </c>
      <c r="B288" s="8" t="inlineStr">
        <is>
          <t>ROU-0284</t>
        </is>
      </c>
      <c r="C288" s="8" t="inlineStr">
        <is>
          <t>anneau de retenue</t>
        </is>
      </c>
      <c r="D288" s="8" t="inlineStr">
        <is>
          <t>Roues et pneus</t>
        </is>
      </c>
      <c r="E288" s="8" t="inlineStr">
        <is>
          <t>Roues et pneus</t>
        </is>
      </c>
      <c r="F288" s="8" t="inlineStr">
        <is>
          <t>PIECE_VEHICULE</t>
        </is>
      </c>
      <c r="G288" s="8" t="inlineStr">
        <is>
          <t>unité</t>
        </is>
      </c>
      <c r="H288" s="8" t="inlineStr">
        <is>
          <t>LARGE</t>
        </is>
      </c>
      <c r="I288" s="8" t="n">
        <v>0</v>
      </c>
      <c r="J288" s="8" t="inlineStr">
        <is>
          <t>F-05-02</t>
        </is>
      </c>
      <c r="K288" s="8" t="inlineStr"/>
      <c r="L288" s="10" t="n">
        <v>0</v>
      </c>
      <c r="M288" s="10" t="n">
        <v>0</v>
      </c>
      <c r="N288" s="10" t="n">
        <v>24</v>
      </c>
      <c r="O288" s="8" t="inlineStr">
        <is>
          <t>CTL</t>
        </is>
      </c>
      <c r="P288" s="8" t="inlineStr">
        <is>
          <t>IMPORTANT</t>
        </is>
      </c>
      <c r="Q288" s="8" t="inlineStr">
        <is>
          <t>WHAP</t>
        </is>
      </c>
      <c r="R288" s="8" t="inlineStr">
        <is>
          <t>OUI</t>
        </is>
      </c>
      <c r="S288" s="8" t="inlineStr">
        <is>
          <t>31/08/2026 02:59</t>
        </is>
      </c>
    </row>
    <row r="289">
      <c r="A289" s="7" t="inlineStr">
        <is>
          <t>WHAP-0285</t>
        </is>
      </c>
      <c r="B289" s="7" t="inlineStr">
        <is>
          <t>ROU-0285</t>
        </is>
      </c>
      <c r="C289" s="7" t="inlineStr">
        <is>
          <t>disque de jante</t>
        </is>
      </c>
      <c r="D289" s="7" t="inlineStr">
        <is>
          <t>Roues et pneus</t>
        </is>
      </c>
      <c r="E289" s="7" t="inlineStr">
        <is>
          <t>Roues et pneus</t>
        </is>
      </c>
      <c r="F289" s="7" t="inlineStr">
        <is>
          <t>PIECE_VEHICULE</t>
        </is>
      </c>
      <c r="G289" s="7" t="inlineStr">
        <is>
          <t>unité</t>
        </is>
      </c>
      <c r="H289" s="7" t="inlineStr">
        <is>
          <t>LARGE</t>
        </is>
      </c>
      <c r="I289" s="7" t="n">
        <v>0</v>
      </c>
      <c r="J289" s="7" t="inlineStr">
        <is>
          <t>A-03-02</t>
        </is>
      </c>
      <c r="K289" s="7" t="inlineStr"/>
      <c r="L289" s="9" t="n">
        <v>0</v>
      </c>
      <c r="M289" s="9" t="n">
        <v>0</v>
      </c>
      <c r="N289" s="9" t="n">
        <v>31</v>
      </c>
      <c r="O289" s="7" t="inlineStr">
        <is>
          <t>SUM</t>
        </is>
      </c>
      <c r="P289" s="7" t="inlineStr">
        <is>
          <t>IMPORTANT</t>
        </is>
      </c>
      <c r="Q289" s="7" t="inlineStr">
        <is>
          <t>WHAP</t>
        </is>
      </c>
      <c r="R289" s="7" t="inlineStr">
        <is>
          <t>OUI</t>
        </is>
      </c>
      <c r="S289" s="7" t="inlineStr">
        <is>
          <t>31/08/2026 02:59</t>
        </is>
      </c>
    </row>
    <row r="290">
      <c r="A290" s="8" t="inlineStr">
        <is>
          <t>WHAP-0286</t>
        </is>
      </c>
      <c r="B290" s="8" t="inlineStr">
        <is>
          <t>ROU-0286</t>
        </is>
      </c>
      <c r="C290" s="8" t="inlineStr">
        <is>
          <t>cerclage de jante</t>
        </is>
      </c>
      <c r="D290" s="8" t="inlineStr">
        <is>
          <t>Roues et pneus</t>
        </is>
      </c>
      <c r="E290" s="8" t="inlineStr">
        <is>
          <t>Roues et pneus</t>
        </is>
      </c>
      <c r="F290" s="8" t="inlineStr">
        <is>
          <t>PIECE_VEHICULE</t>
        </is>
      </c>
      <c r="G290" s="8" t="inlineStr">
        <is>
          <t>unité</t>
        </is>
      </c>
      <c r="H290" s="8" t="inlineStr">
        <is>
          <t>LARGE</t>
        </is>
      </c>
      <c r="I290" s="8" t="n">
        <v>0</v>
      </c>
      <c r="J290" s="8" t="inlineStr">
        <is>
          <t>B-02-01</t>
        </is>
      </c>
      <c r="K290" s="8" t="inlineStr"/>
      <c r="L290" s="10" t="n">
        <v>0</v>
      </c>
      <c r="M290" s="10" t="n">
        <v>0</v>
      </c>
      <c r="N290" s="10" t="n">
        <v>24</v>
      </c>
      <c r="O290" s="8" t="inlineStr">
        <is>
          <t>CTL</t>
        </is>
      </c>
      <c r="P290" s="8" t="inlineStr">
        <is>
          <t>IMPORTANT</t>
        </is>
      </c>
      <c r="Q290" s="8" t="inlineStr">
        <is>
          <t>WHAP</t>
        </is>
      </c>
      <c r="R290" s="8" t="inlineStr">
        <is>
          <t>OUI</t>
        </is>
      </c>
      <c r="S290" s="8" t="inlineStr">
        <is>
          <t>31/08/2026 02:59</t>
        </is>
      </c>
    </row>
    <row r="291">
      <c r="A291" s="7" t="inlineStr">
        <is>
          <t>WHAP-0287</t>
        </is>
      </c>
      <c r="B291" s="7" t="inlineStr">
        <is>
          <t>ROU-0287</t>
        </is>
      </c>
      <c r="C291" s="7" t="inlineStr">
        <is>
          <t>système CTIS</t>
        </is>
      </c>
      <c r="D291" s="7" t="inlineStr">
        <is>
          <t>Roues et pneus</t>
        </is>
      </c>
      <c r="E291" s="7" t="inlineStr">
        <is>
          <t>Roues et pneus</t>
        </is>
      </c>
      <c r="F291" s="7" t="inlineStr">
        <is>
          <t>PIECE_VEHICULE</t>
        </is>
      </c>
      <c r="G291" s="7" t="inlineStr">
        <is>
          <t>unité</t>
        </is>
      </c>
      <c r="H291" s="7" t="inlineStr">
        <is>
          <t>LARGE</t>
        </is>
      </c>
      <c r="I291" s="7" t="n">
        <v>0</v>
      </c>
      <c r="J291" s="7" t="inlineStr">
        <is>
          <t>D-03-03</t>
        </is>
      </c>
      <c r="K291" s="7" t="inlineStr"/>
      <c r="L291" s="9" t="n">
        <v>0</v>
      </c>
      <c r="M291" s="9" t="n">
        <v>0</v>
      </c>
      <c r="N291" s="9" t="n">
        <v>25</v>
      </c>
      <c r="O291" s="7" t="inlineStr">
        <is>
          <t>CTL</t>
        </is>
      </c>
      <c r="P291" s="7" t="inlineStr">
        <is>
          <t>IMPORTANT</t>
        </is>
      </c>
      <c r="Q291" s="7" t="inlineStr">
        <is>
          <t>WHAP</t>
        </is>
      </c>
      <c r="R291" s="7" t="inlineStr">
        <is>
          <t>OUI</t>
        </is>
      </c>
      <c r="S291" s="7" t="inlineStr">
        <is>
          <t>31/08/2026 02:59</t>
        </is>
      </c>
    </row>
    <row r="292">
      <c r="A292" s="8" t="inlineStr">
        <is>
          <t>WHAP-0288</t>
        </is>
      </c>
      <c r="B292" s="8" t="inlineStr">
        <is>
          <t>ROU-0288</t>
        </is>
      </c>
      <c r="C292" s="8" t="inlineStr">
        <is>
          <t>rotor CTIS</t>
        </is>
      </c>
      <c r="D292" s="8" t="inlineStr">
        <is>
          <t>Roues et pneus</t>
        </is>
      </c>
      <c r="E292" s="8" t="inlineStr">
        <is>
          <t>Roues et pneus</t>
        </is>
      </c>
      <c r="F292" s="8" t="inlineStr">
        <is>
          <t>PIECE_VEHICULE</t>
        </is>
      </c>
      <c r="G292" s="8" t="inlineStr">
        <is>
          <t>unité</t>
        </is>
      </c>
      <c r="H292" s="8" t="inlineStr">
        <is>
          <t>LARGE</t>
        </is>
      </c>
      <c r="I292" s="8" t="n">
        <v>0</v>
      </c>
      <c r="J292" s="8" t="inlineStr">
        <is>
          <t>A-02-02</t>
        </is>
      </c>
      <c r="K292" s="8" t="inlineStr"/>
      <c r="L292" s="10" t="n">
        <v>0</v>
      </c>
      <c r="M292" s="10" t="n">
        <v>0</v>
      </c>
      <c r="N292" s="10" t="n">
        <v>27</v>
      </c>
      <c r="O292" s="8" t="inlineStr">
        <is>
          <t>HEL</t>
        </is>
      </c>
      <c r="P292" s="8" t="inlineStr">
        <is>
          <t>IMPORTANT</t>
        </is>
      </c>
      <c r="Q292" s="8" t="inlineStr">
        <is>
          <t>WHAP</t>
        </is>
      </c>
      <c r="R292" s="8" t="inlineStr">
        <is>
          <t>OUI</t>
        </is>
      </c>
      <c r="S292" s="8" t="inlineStr">
        <is>
          <t>31/08/2026 02:59</t>
        </is>
      </c>
    </row>
    <row r="293">
      <c r="A293" s="7" t="inlineStr">
        <is>
          <t>WHAP-0289</t>
        </is>
      </c>
      <c r="B293" s="7" t="inlineStr">
        <is>
          <t>ROU-0289</t>
        </is>
      </c>
      <c r="C293" s="7" t="inlineStr">
        <is>
          <t>joint tournant CTIS</t>
        </is>
      </c>
      <c r="D293" s="7" t="inlineStr">
        <is>
          <t>Roues et pneus</t>
        </is>
      </c>
      <c r="E293" s="7" t="inlineStr">
        <is>
          <t>Roues et pneus</t>
        </is>
      </c>
      <c r="F293" s="7" t="inlineStr">
        <is>
          <t>PIECE_VEHICULE</t>
        </is>
      </c>
      <c r="G293" s="7" t="inlineStr">
        <is>
          <t>unité</t>
        </is>
      </c>
      <c r="H293" s="7" t="inlineStr">
        <is>
          <t>LARGE</t>
        </is>
      </c>
      <c r="I293" s="7" t="n">
        <v>0</v>
      </c>
      <c r="J293" s="7" t="inlineStr">
        <is>
          <t>F-02-01</t>
        </is>
      </c>
      <c r="K293" s="7" t="inlineStr"/>
      <c r="L293" s="9" t="n">
        <v>0</v>
      </c>
      <c r="M293" s="9" t="n">
        <v>0</v>
      </c>
      <c r="N293" s="9" t="n">
        <v>28</v>
      </c>
      <c r="O293" s="7" t="inlineStr">
        <is>
          <t>CTL</t>
        </is>
      </c>
      <c r="P293" s="7" t="inlineStr">
        <is>
          <t>IMPORTANT</t>
        </is>
      </c>
      <c r="Q293" s="7" t="inlineStr">
        <is>
          <t>WHAP</t>
        </is>
      </c>
      <c r="R293" s="7" t="inlineStr">
        <is>
          <t>OUI</t>
        </is>
      </c>
      <c r="S293" s="7" t="inlineStr">
        <is>
          <t>31/08/2026 02:59</t>
        </is>
      </c>
    </row>
    <row r="294">
      <c r="A294" s="8" t="inlineStr">
        <is>
          <t>WHAP-0290</t>
        </is>
      </c>
      <c r="B294" s="8" t="inlineStr">
        <is>
          <t>ROU-0290</t>
        </is>
      </c>
      <c r="C294" s="8" t="inlineStr">
        <is>
          <t>flexible CTIS</t>
        </is>
      </c>
      <c r="D294" s="8" t="inlineStr">
        <is>
          <t>Roues et pneus</t>
        </is>
      </c>
      <c r="E294" s="8" t="inlineStr">
        <is>
          <t>Roues et pneus</t>
        </is>
      </c>
      <c r="F294" s="8" t="inlineStr">
        <is>
          <t>PIECE_VEHICULE</t>
        </is>
      </c>
      <c r="G294" s="8" t="inlineStr">
        <is>
          <t>unité</t>
        </is>
      </c>
      <c r="H294" s="8" t="inlineStr">
        <is>
          <t>LARGE</t>
        </is>
      </c>
      <c r="I294" s="8" t="n">
        <v>0</v>
      </c>
      <c r="J294" s="8" t="inlineStr">
        <is>
          <t>F-05-03</t>
        </is>
      </c>
      <c r="K294" s="8" t="inlineStr"/>
      <c r="L294" s="10" t="n">
        <v>0</v>
      </c>
      <c r="M294" s="10" t="n">
        <v>0</v>
      </c>
      <c r="N294" s="10" t="n">
        <v>23</v>
      </c>
      <c r="O294" s="8" t="inlineStr">
        <is>
          <t>CTL</t>
        </is>
      </c>
      <c r="P294" s="8" t="inlineStr">
        <is>
          <t>IMPORTANT</t>
        </is>
      </c>
      <c r="Q294" s="8" t="inlineStr">
        <is>
          <t>WHAP</t>
        </is>
      </c>
      <c r="R294" s="8" t="inlineStr">
        <is>
          <t>OUI</t>
        </is>
      </c>
      <c r="S294" s="8" t="inlineStr">
        <is>
          <t>31/08/2026 02:59</t>
        </is>
      </c>
    </row>
    <row r="295">
      <c r="A295" s="7" t="inlineStr">
        <is>
          <t>WHAP-0291</t>
        </is>
      </c>
      <c r="B295" s="7" t="inlineStr">
        <is>
          <t>ROU-0291</t>
        </is>
      </c>
      <c r="C295" s="7" t="inlineStr">
        <is>
          <t>raccord CTIS</t>
        </is>
      </c>
      <c r="D295" s="7" t="inlineStr">
        <is>
          <t>Roues et pneus</t>
        </is>
      </c>
      <c r="E295" s="7" t="inlineStr">
        <is>
          <t>Roues et pneus</t>
        </is>
      </c>
      <c r="F295" s="7" t="inlineStr">
        <is>
          <t>PIECE_VEHICULE</t>
        </is>
      </c>
      <c r="G295" s="7" t="inlineStr">
        <is>
          <t>unité</t>
        </is>
      </c>
      <c r="H295" s="7" t="inlineStr">
        <is>
          <t>LARGE</t>
        </is>
      </c>
      <c r="I295" s="7" t="n">
        <v>0</v>
      </c>
      <c r="J295" s="7" t="inlineStr">
        <is>
          <t>F-06-03</t>
        </is>
      </c>
      <c r="K295" s="7" t="inlineStr"/>
      <c r="L295" s="9" t="n">
        <v>0</v>
      </c>
      <c r="M295" s="9" t="n">
        <v>0</v>
      </c>
      <c r="N295" s="9" t="n">
        <v>28</v>
      </c>
      <c r="O295" s="7" t="inlineStr">
        <is>
          <t>SKF</t>
        </is>
      </c>
      <c r="P295" s="7" t="inlineStr">
        <is>
          <t>IMPORTANT</t>
        </is>
      </c>
      <c r="Q295" s="7" t="inlineStr">
        <is>
          <t>WHAP</t>
        </is>
      </c>
      <c r="R295" s="7" t="inlineStr">
        <is>
          <t>OUI</t>
        </is>
      </c>
      <c r="S295" s="7" t="inlineStr">
        <is>
          <t>31/08/2026 02:59</t>
        </is>
      </c>
    </row>
    <row r="296">
      <c r="A296" s="8" t="inlineStr">
        <is>
          <t>WHAP-0292</t>
        </is>
      </c>
      <c r="B296" s="8" t="inlineStr">
        <is>
          <t>ROU-0292</t>
        </is>
      </c>
      <c r="C296" s="8" t="inlineStr">
        <is>
          <t>valve CTIS</t>
        </is>
      </c>
      <c r="D296" s="8" t="inlineStr">
        <is>
          <t>Roues et pneus</t>
        </is>
      </c>
      <c r="E296" s="8" t="inlineStr">
        <is>
          <t>Roues et pneus</t>
        </is>
      </c>
      <c r="F296" s="8" t="inlineStr">
        <is>
          <t>PIECE_VEHICULE</t>
        </is>
      </c>
      <c r="G296" s="8" t="inlineStr">
        <is>
          <t>unité</t>
        </is>
      </c>
      <c r="H296" s="8" t="inlineStr">
        <is>
          <t>LARGE</t>
        </is>
      </c>
      <c r="I296" s="8" t="n">
        <v>0</v>
      </c>
      <c r="J296" s="8" t="inlineStr">
        <is>
          <t>A-02-02</t>
        </is>
      </c>
      <c r="K296" s="8" t="inlineStr"/>
      <c r="L296" s="10" t="n">
        <v>0</v>
      </c>
      <c r="M296" s="10" t="n">
        <v>0</v>
      </c>
      <c r="N296" s="10" t="n">
        <v>29</v>
      </c>
      <c r="O296" s="8" t="inlineStr">
        <is>
          <t>DEL</t>
        </is>
      </c>
      <c r="P296" s="8" t="inlineStr">
        <is>
          <t>IMPORTANT</t>
        </is>
      </c>
      <c r="Q296" s="8" t="inlineStr">
        <is>
          <t>WHAP</t>
        </is>
      </c>
      <c r="R296" s="8" t="inlineStr">
        <is>
          <t>OUI</t>
        </is>
      </c>
      <c r="S296" s="8" t="inlineStr">
        <is>
          <t>31/08/2026 02:59</t>
        </is>
      </c>
    </row>
    <row r="297">
      <c r="A297" s="7" t="inlineStr">
        <is>
          <t>WHAP-0293</t>
        </is>
      </c>
      <c r="B297" s="7" t="inlineStr">
        <is>
          <t>ROU-0293</t>
        </is>
      </c>
      <c r="C297" s="7" t="inlineStr">
        <is>
          <t>manomètre CTIS</t>
        </is>
      </c>
      <c r="D297" s="7" t="inlineStr">
        <is>
          <t>Roues et pneus</t>
        </is>
      </c>
      <c r="E297" s="7" t="inlineStr">
        <is>
          <t>Roues et pneus</t>
        </is>
      </c>
      <c r="F297" s="7" t="inlineStr">
        <is>
          <t>PIECE_VEHICULE</t>
        </is>
      </c>
      <c r="G297" s="7" t="inlineStr">
        <is>
          <t>unité</t>
        </is>
      </c>
      <c r="H297" s="7" t="inlineStr">
        <is>
          <t>LARGE</t>
        </is>
      </c>
      <c r="I297" s="7" t="n">
        <v>0</v>
      </c>
      <c r="J297" s="7" t="inlineStr">
        <is>
          <t>D-06-04</t>
        </is>
      </c>
      <c r="K297" s="7" t="inlineStr"/>
      <c r="L297" s="9" t="n">
        <v>0</v>
      </c>
      <c r="M297" s="9" t="n">
        <v>0</v>
      </c>
      <c r="N297" s="9" t="n">
        <v>29</v>
      </c>
      <c r="O297" s="7" t="inlineStr">
        <is>
          <t>SKF</t>
        </is>
      </c>
      <c r="P297" s="7" t="inlineStr">
        <is>
          <t>IMPORTANT</t>
        </is>
      </c>
      <c r="Q297" s="7" t="inlineStr">
        <is>
          <t>WHAP</t>
        </is>
      </c>
      <c r="R297" s="7" t="inlineStr">
        <is>
          <t>OUI</t>
        </is>
      </c>
      <c r="S297" s="7" t="inlineStr">
        <is>
          <t>31/08/2026 02:59</t>
        </is>
      </c>
    </row>
    <row r="298">
      <c r="A298" s="8" t="inlineStr">
        <is>
          <t>WHAP-0294</t>
        </is>
      </c>
      <c r="B298" s="8" t="inlineStr">
        <is>
          <t>ROU-0294</t>
        </is>
      </c>
      <c r="C298" s="8" t="inlineStr">
        <is>
          <t>bloc distributeur CTIS</t>
        </is>
      </c>
      <c r="D298" s="8" t="inlineStr">
        <is>
          <t>Roues et pneus</t>
        </is>
      </c>
      <c r="E298" s="8" t="inlineStr">
        <is>
          <t>Roues et pneus</t>
        </is>
      </c>
      <c r="F298" s="8" t="inlineStr">
        <is>
          <t>PIECE_VEHICULE</t>
        </is>
      </c>
      <c r="G298" s="8" t="inlineStr">
        <is>
          <t>unité</t>
        </is>
      </c>
      <c r="H298" s="8" t="inlineStr">
        <is>
          <t>LARGE</t>
        </is>
      </c>
      <c r="I298" s="8" t="n">
        <v>0</v>
      </c>
      <c r="J298" s="8" t="inlineStr">
        <is>
          <t>D-01-04</t>
        </is>
      </c>
      <c r="K298" s="8" t="inlineStr"/>
      <c r="L298" s="10" t="n">
        <v>0</v>
      </c>
      <c r="M298" s="10" t="n">
        <v>0</v>
      </c>
      <c r="N298" s="10" t="n">
        <v>29</v>
      </c>
      <c r="O298" s="8" t="inlineStr">
        <is>
          <t>VAL</t>
        </is>
      </c>
      <c r="P298" s="8" t="inlineStr">
        <is>
          <t>IMPORTANT</t>
        </is>
      </c>
      <c r="Q298" s="8" t="inlineStr">
        <is>
          <t>WHAP</t>
        </is>
      </c>
      <c r="R298" s="8" t="inlineStr">
        <is>
          <t>OUI</t>
        </is>
      </c>
      <c r="S298" s="8" t="inlineStr">
        <is>
          <t>31/08/2026 02:59</t>
        </is>
      </c>
    </row>
    <row r="299">
      <c r="A299" s="7" t="inlineStr">
        <is>
          <t>WHAP-0295</t>
        </is>
      </c>
      <c r="B299" s="7" t="inlineStr">
        <is>
          <t>PNE-0295</t>
        </is>
      </c>
      <c r="C299" s="7" t="inlineStr">
        <is>
          <t>compresseur d'air</t>
        </is>
      </c>
      <c r="D299" s="7" t="inlineStr">
        <is>
          <t>Pneumatique</t>
        </is>
      </c>
      <c r="E299" s="7" t="inlineStr">
        <is>
          <t>Pneumatique</t>
        </is>
      </c>
      <c r="F299" s="7" t="inlineStr">
        <is>
          <t>PIECE_VEHICULE</t>
        </is>
      </c>
      <c r="G299" s="7" t="inlineStr">
        <is>
          <t>unité</t>
        </is>
      </c>
      <c r="H299" s="7" t="inlineStr">
        <is>
          <t>SMALL</t>
        </is>
      </c>
      <c r="I299" s="7" t="n">
        <v>5</v>
      </c>
      <c r="J299" s="7" t="inlineStr">
        <is>
          <t>A-04-01</t>
        </is>
      </c>
      <c r="K299" s="7" t="inlineStr"/>
      <c r="L299" s="9" t="n">
        <v>0</v>
      </c>
      <c r="M299" s="9" t="n">
        <v>0</v>
      </c>
      <c r="N299" s="9" t="n">
        <v>45</v>
      </c>
      <c r="O299" s="7" t="inlineStr">
        <is>
          <t>BOS</t>
        </is>
      </c>
      <c r="P299" s="7" t="inlineStr">
        <is>
          <t>STANDARD</t>
        </is>
      </c>
      <c r="Q299" s="7" t="inlineStr">
        <is>
          <t>WHAP</t>
        </is>
      </c>
      <c r="R299" s="7" t="inlineStr">
        <is>
          <t>OUI</t>
        </is>
      </c>
      <c r="S299" s="7" t="inlineStr">
        <is>
          <t>31/08/2026 02:59</t>
        </is>
      </c>
    </row>
    <row r="300">
      <c r="A300" s="8" t="inlineStr">
        <is>
          <t>WHAP-0296</t>
        </is>
      </c>
      <c r="B300" s="8" t="inlineStr">
        <is>
          <t>PNE-0296</t>
        </is>
      </c>
      <c r="C300" s="8" t="inlineStr">
        <is>
          <t>sécheur d'air</t>
        </is>
      </c>
      <c r="D300" s="8" t="inlineStr">
        <is>
          <t>Pneumatique</t>
        </is>
      </c>
      <c r="E300" s="8" t="inlineStr">
        <is>
          <t>Pneumatique</t>
        </is>
      </c>
      <c r="F300" s="8" t="inlineStr">
        <is>
          <t>PIECE_VEHICULE</t>
        </is>
      </c>
      <c r="G300" s="8" t="inlineStr">
        <is>
          <t>unité</t>
        </is>
      </c>
      <c r="H300" s="8" t="inlineStr">
        <is>
          <t>SMALL</t>
        </is>
      </c>
      <c r="I300" s="8" t="n">
        <v>5</v>
      </c>
      <c r="J300" s="8" t="inlineStr">
        <is>
          <t>E-05-01 : 660</t>
        </is>
      </c>
      <c r="K300" s="8" t="inlineStr"/>
      <c r="L300" s="10" t="n">
        <v>660</v>
      </c>
      <c r="M300" s="10" t="n">
        <v>660</v>
      </c>
      <c r="N300" s="10" t="n">
        <v>48</v>
      </c>
      <c r="O300" s="8" t="inlineStr">
        <is>
          <t>DEL</t>
        </is>
      </c>
      <c r="P300" s="8" t="inlineStr">
        <is>
          <t>STANDARD</t>
        </is>
      </c>
      <c r="Q300" s="8" t="inlineStr">
        <is>
          <t>WHAP</t>
        </is>
      </c>
      <c r="R300" s="8" t="inlineStr">
        <is>
          <t>OUI</t>
        </is>
      </c>
      <c r="S300" s="8" t="inlineStr">
        <is>
          <t>31/08/2026 02:59</t>
        </is>
      </c>
    </row>
    <row r="301">
      <c r="A301" s="7" t="inlineStr">
        <is>
          <t>WHAP-0297</t>
        </is>
      </c>
      <c r="B301" s="7" t="inlineStr">
        <is>
          <t>PNE-0297</t>
        </is>
      </c>
      <c r="C301" s="7" t="inlineStr">
        <is>
          <t>cartouche dessiccante</t>
        </is>
      </c>
      <c r="D301" s="7" t="inlineStr">
        <is>
          <t>Pneumatique</t>
        </is>
      </c>
      <c r="E301" s="7" t="inlineStr">
        <is>
          <t>Pneumatique</t>
        </is>
      </c>
      <c r="F301" s="7" t="inlineStr">
        <is>
          <t>PIECE_VEHICULE</t>
        </is>
      </c>
      <c r="G301" s="7" t="inlineStr">
        <is>
          <t>unité</t>
        </is>
      </c>
      <c r="H301" s="7" t="inlineStr">
        <is>
          <t>SMALL</t>
        </is>
      </c>
      <c r="I301" s="7" t="n">
        <v>5</v>
      </c>
      <c r="J301" s="7" t="inlineStr">
        <is>
          <t>D-05-03</t>
        </is>
      </c>
      <c r="K301" s="7" t="inlineStr"/>
      <c r="L301" s="9" t="n">
        <v>0</v>
      </c>
      <c r="M301" s="9" t="n">
        <v>0</v>
      </c>
      <c r="N301" s="9" t="n">
        <v>47</v>
      </c>
      <c r="O301" s="7" t="inlineStr">
        <is>
          <t>VAL</t>
        </is>
      </c>
      <c r="P301" s="7" t="inlineStr">
        <is>
          <t>STANDARD</t>
        </is>
      </c>
      <c r="Q301" s="7" t="inlineStr">
        <is>
          <t>WHAP</t>
        </is>
      </c>
      <c r="R301" s="7" t="inlineStr">
        <is>
          <t>OUI</t>
        </is>
      </c>
      <c r="S301" s="7" t="inlineStr">
        <is>
          <t>31/08/2026 02:59</t>
        </is>
      </c>
    </row>
    <row r="302">
      <c r="A302" s="8" t="inlineStr">
        <is>
          <t>WHAP-0298</t>
        </is>
      </c>
      <c r="B302" s="8" t="inlineStr">
        <is>
          <t>PNE-0298</t>
        </is>
      </c>
      <c r="C302" s="8" t="inlineStr">
        <is>
          <t>réservoir d'air</t>
        </is>
      </c>
      <c r="D302" s="8" t="inlineStr">
        <is>
          <t>Pneumatique</t>
        </is>
      </c>
      <c r="E302" s="8" t="inlineStr">
        <is>
          <t>Pneumatique</t>
        </is>
      </c>
      <c r="F302" s="8" t="inlineStr">
        <is>
          <t>PIECE_VEHICULE</t>
        </is>
      </c>
      <c r="G302" s="8" t="inlineStr">
        <is>
          <t>unité</t>
        </is>
      </c>
      <c r="H302" s="8" t="inlineStr">
        <is>
          <t>SMALL</t>
        </is>
      </c>
      <c r="I302" s="8" t="n">
        <v>5</v>
      </c>
      <c r="J302" s="8" t="inlineStr">
        <is>
          <t>D-03-01</t>
        </is>
      </c>
      <c r="K302" s="8" t="inlineStr"/>
      <c r="L302" s="10" t="n">
        <v>0</v>
      </c>
      <c r="M302" s="10" t="n">
        <v>0</v>
      </c>
      <c r="N302" s="10" t="n">
        <v>42</v>
      </c>
      <c r="O302" s="8" t="inlineStr">
        <is>
          <t>FAU</t>
        </is>
      </c>
      <c r="P302" s="8" t="inlineStr">
        <is>
          <t>STANDARD</t>
        </is>
      </c>
      <c r="Q302" s="8" t="inlineStr">
        <is>
          <t>WHAP</t>
        </is>
      </c>
      <c r="R302" s="8" t="inlineStr">
        <is>
          <t>OUI</t>
        </is>
      </c>
      <c r="S302" s="8" t="inlineStr">
        <is>
          <t>31/08/2026 02:59</t>
        </is>
      </c>
    </row>
    <row r="303">
      <c r="A303" s="7" t="inlineStr">
        <is>
          <t>WHAP-0299</t>
        </is>
      </c>
      <c r="B303" s="7" t="inlineStr">
        <is>
          <t>PNE-0299</t>
        </is>
      </c>
      <c r="C303" s="7" t="inlineStr">
        <is>
          <t>valve de sécurité</t>
        </is>
      </c>
      <c r="D303" s="7" t="inlineStr">
        <is>
          <t>Pneumatique</t>
        </is>
      </c>
      <c r="E303" s="7" t="inlineStr">
        <is>
          <t>Pneumatique</t>
        </is>
      </c>
      <c r="F303" s="7" t="inlineStr">
        <is>
          <t>PIECE_VEHICULE</t>
        </is>
      </c>
      <c r="G303" s="7" t="inlineStr">
        <is>
          <t>unité</t>
        </is>
      </c>
      <c r="H303" s="7" t="inlineStr">
        <is>
          <t>SMALL</t>
        </is>
      </c>
      <c r="I303" s="7" t="n">
        <v>5</v>
      </c>
      <c r="J303" s="7" t="inlineStr">
        <is>
          <t>F-02-03</t>
        </is>
      </c>
      <c r="K303" s="7" t="inlineStr"/>
      <c r="L303" s="9" t="n">
        <v>0</v>
      </c>
      <c r="M303" s="9" t="n">
        <v>0</v>
      </c>
      <c r="N303" s="9" t="n">
        <v>44</v>
      </c>
      <c r="O303" s="7" t="inlineStr">
        <is>
          <t>YZK</t>
        </is>
      </c>
      <c r="P303" s="7" t="inlineStr">
        <is>
          <t>STANDARD</t>
        </is>
      </c>
      <c r="Q303" s="7" t="inlineStr">
        <is>
          <t>WHAP</t>
        </is>
      </c>
      <c r="R303" s="7" t="inlineStr">
        <is>
          <t>OUI</t>
        </is>
      </c>
      <c r="S303" s="7" t="inlineStr">
        <is>
          <t>31/08/2026 02:59</t>
        </is>
      </c>
    </row>
    <row r="304">
      <c r="A304" s="8" t="inlineStr">
        <is>
          <t>WHAP-0300</t>
        </is>
      </c>
      <c r="B304" s="8" t="inlineStr">
        <is>
          <t>PNE-0300</t>
        </is>
      </c>
      <c r="C304" s="8" t="inlineStr">
        <is>
          <t>valve quatre voies</t>
        </is>
      </c>
      <c r="D304" s="8" t="inlineStr">
        <is>
          <t>Pneumatique</t>
        </is>
      </c>
      <c r="E304" s="8" t="inlineStr">
        <is>
          <t>Pneumatique</t>
        </is>
      </c>
      <c r="F304" s="8" t="inlineStr">
        <is>
          <t>PIECE_VEHICULE</t>
        </is>
      </c>
      <c r="G304" s="8" t="inlineStr">
        <is>
          <t>unité</t>
        </is>
      </c>
      <c r="H304" s="8" t="inlineStr">
        <is>
          <t>SMALL</t>
        </is>
      </c>
      <c r="I304" s="8" t="n">
        <v>5</v>
      </c>
      <c r="J304" s="8" t="inlineStr">
        <is>
          <t>A-01-02</t>
        </is>
      </c>
      <c r="K304" s="8" t="inlineStr"/>
      <c r="L304" s="10" t="n">
        <v>0</v>
      </c>
      <c r="M304" s="10" t="n">
        <v>0</v>
      </c>
      <c r="N304" s="10" t="n">
        <v>45</v>
      </c>
      <c r="O304" s="8" t="inlineStr">
        <is>
          <t>DEL</t>
        </is>
      </c>
      <c r="P304" s="8" t="inlineStr">
        <is>
          <t>STANDARD</t>
        </is>
      </c>
      <c r="Q304" s="8" t="inlineStr">
        <is>
          <t>WHAP</t>
        </is>
      </c>
      <c r="R304" s="8" t="inlineStr">
        <is>
          <t>OUI</t>
        </is>
      </c>
      <c r="S304" s="8" t="inlineStr">
        <is>
          <t>31/08/2026 02:59</t>
        </is>
      </c>
    </row>
    <row r="305">
      <c r="A305" s="7" t="inlineStr">
        <is>
          <t>WHAP-0301</t>
        </is>
      </c>
      <c r="B305" s="7" t="inlineStr">
        <is>
          <t>PNE-0301</t>
        </is>
      </c>
      <c r="C305" s="7" t="inlineStr">
        <is>
          <t>valve de protection</t>
        </is>
      </c>
      <c r="D305" s="7" t="inlineStr">
        <is>
          <t>Pneumatique</t>
        </is>
      </c>
      <c r="E305" s="7" t="inlineStr">
        <is>
          <t>Pneumatique</t>
        </is>
      </c>
      <c r="F305" s="7" t="inlineStr">
        <is>
          <t>PIECE_VEHICULE</t>
        </is>
      </c>
      <c r="G305" s="7" t="inlineStr">
        <is>
          <t>unité</t>
        </is>
      </c>
      <c r="H305" s="7" t="inlineStr">
        <is>
          <t>SMALL</t>
        </is>
      </c>
      <c r="I305" s="7" t="n">
        <v>5</v>
      </c>
      <c r="J305" s="7" t="inlineStr">
        <is>
          <t>E-03-02</t>
        </is>
      </c>
      <c r="K305" s="7" t="inlineStr"/>
      <c r="L305" s="9" t="n">
        <v>0</v>
      </c>
      <c r="M305" s="9" t="n">
        <v>0</v>
      </c>
      <c r="N305" s="9" t="n">
        <v>49</v>
      </c>
      <c r="O305" s="7" t="inlineStr">
        <is>
          <t>BOS</t>
        </is>
      </c>
      <c r="P305" s="7" t="inlineStr">
        <is>
          <t>STANDARD</t>
        </is>
      </c>
      <c r="Q305" s="7" t="inlineStr">
        <is>
          <t>WHAP</t>
        </is>
      </c>
      <c r="R305" s="7" t="inlineStr">
        <is>
          <t>OUI</t>
        </is>
      </c>
      <c r="S305" s="7" t="inlineStr">
        <is>
          <t>31/08/2026 02:59</t>
        </is>
      </c>
    </row>
    <row r="306">
      <c r="A306" s="8" t="inlineStr">
        <is>
          <t>WHAP-0302</t>
        </is>
      </c>
      <c r="B306" s="8" t="inlineStr">
        <is>
          <t>PNE-0302</t>
        </is>
      </c>
      <c r="C306" s="8" t="inlineStr">
        <is>
          <t>régulateur de pression</t>
        </is>
      </c>
      <c r="D306" s="8" t="inlineStr">
        <is>
          <t>Pneumatique</t>
        </is>
      </c>
      <c r="E306" s="8" t="inlineStr">
        <is>
          <t>Pneumatique</t>
        </is>
      </c>
      <c r="F306" s="8" t="inlineStr">
        <is>
          <t>PIECE_VEHICULE</t>
        </is>
      </c>
      <c r="G306" s="8" t="inlineStr">
        <is>
          <t>unité</t>
        </is>
      </c>
      <c r="H306" s="8" t="inlineStr">
        <is>
          <t>SMALL</t>
        </is>
      </c>
      <c r="I306" s="8" t="n">
        <v>5</v>
      </c>
      <c r="J306" s="8" t="inlineStr">
        <is>
          <t>A-05-03</t>
        </is>
      </c>
      <c r="K306" s="8" t="inlineStr"/>
      <c r="L306" s="10" t="n">
        <v>0</v>
      </c>
      <c r="M306" s="10" t="n">
        <v>0</v>
      </c>
      <c r="N306" s="10" t="n">
        <v>45</v>
      </c>
      <c r="O306" s="8" t="inlineStr">
        <is>
          <t>DEL</t>
        </is>
      </c>
      <c r="P306" s="8" t="inlineStr">
        <is>
          <t>STANDARD</t>
        </is>
      </c>
      <c r="Q306" s="8" t="inlineStr">
        <is>
          <t>WHAP</t>
        </is>
      </c>
      <c r="R306" s="8" t="inlineStr">
        <is>
          <t>OUI</t>
        </is>
      </c>
      <c r="S306" s="8" t="inlineStr">
        <is>
          <t>31/08/2026 02:59</t>
        </is>
      </c>
    </row>
    <row r="307">
      <c r="A307" s="7" t="inlineStr">
        <is>
          <t>WHAP-0303</t>
        </is>
      </c>
      <c r="B307" s="7" t="inlineStr">
        <is>
          <t>PNE-0303</t>
        </is>
      </c>
      <c r="C307" s="7" t="inlineStr">
        <is>
          <t>manomètre</t>
        </is>
      </c>
      <c r="D307" s="7" t="inlineStr">
        <is>
          <t>Pneumatique</t>
        </is>
      </c>
      <c r="E307" s="7" t="inlineStr">
        <is>
          <t>Pneumatique</t>
        </is>
      </c>
      <c r="F307" s="7" t="inlineStr">
        <is>
          <t>PIECE_VEHICULE</t>
        </is>
      </c>
      <c r="G307" s="7" t="inlineStr">
        <is>
          <t>unité</t>
        </is>
      </c>
      <c r="H307" s="7" t="inlineStr">
        <is>
          <t>SMALL</t>
        </is>
      </c>
      <c r="I307" s="7" t="n">
        <v>5</v>
      </c>
      <c r="J307" s="7" t="inlineStr">
        <is>
          <t>D-01-04</t>
        </is>
      </c>
      <c r="K307" s="7" t="inlineStr"/>
      <c r="L307" s="9" t="n">
        <v>0</v>
      </c>
      <c r="M307" s="9" t="n">
        <v>0</v>
      </c>
      <c r="N307" s="9" t="n">
        <v>49</v>
      </c>
      <c r="O307" s="7" t="inlineStr">
        <is>
          <t>YZK</t>
        </is>
      </c>
      <c r="P307" s="7" t="inlineStr">
        <is>
          <t>STANDARD</t>
        </is>
      </c>
      <c r="Q307" s="7" t="inlineStr">
        <is>
          <t>WHAP</t>
        </is>
      </c>
      <c r="R307" s="7" t="inlineStr">
        <is>
          <t>OUI</t>
        </is>
      </c>
      <c r="S307" s="7" t="inlineStr">
        <is>
          <t>31/08/2026 02:59</t>
        </is>
      </c>
    </row>
    <row r="308">
      <c r="A308" s="8" t="inlineStr">
        <is>
          <t>WHAP-0304</t>
        </is>
      </c>
      <c r="B308" s="8" t="inlineStr">
        <is>
          <t>PNE-0304</t>
        </is>
      </c>
      <c r="C308" s="8" t="inlineStr">
        <is>
          <t>pressostat</t>
        </is>
      </c>
      <c r="D308" s="8" t="inlineStr">
        <is>
          <t>Pneumatique</t>
        </is>
      </c>
      <c r="E308" s="8" t="inlineStr">
        <is>
          <t>Pneumatique</t>
        </is>
      </c>
      <c r="F308" s="8" t="inlineStr">
        <is>
          <t>PIECE_VEHICULE</t>
        </is>
      </c>
      <c r="G308" s="8" t="inlineStr">
        <is>
          <t>unité</t>
        </is>
      </c>
      <c r="H308" s="8" t="inlineStr">
        <is>
          <t>SMALL</t>
        </is>
      </c>
      <c r="I308" s="8" t="n">
        <v>5</v>
      </c>
      <c r="J308" s="8" t="inlineStr">
        <is>
          <t>D-04-01</t>
        </is>
      </c>
      <c r="K308" s="8" t="inlineStr"/>
      <c r="L308" s="10" t="n">
        <v>0</v>
      </c>
      <c r="M308" s="10" t="n">
        <v>0</v>
      </c>
      <c r="N308" s="10" t="n">
        <v>42</v>
      </c>
      <c r="O308" s="8" t="inlineStr">
        <is>
          <t>YZK</t>
        </is>
      </c>
      <c r="P308" s="8" t="inlineStr">
        <is>
          <t>STANDARD</t>
        </is>
      </c>
      <c r="Q308" s="8" t="inlineStr">
        <is>
          <t>WHAP</t>
        </is>
      </c>
      <c r="R308" s="8" t="inlineStr">
        <is>
          <t>OUI</t>
        </is>
      </c>
      <c r="S308" s="8" t="inlineStr">
        <is>
          <t>31/08/2026 02:59</t>
        </is>
      </c>
    </row>
    <row r="309">
      <c r="A309" s="7" t="inlineStr">
        <is>
          <t>WHAP-0305</t>
        </is>
      </c>
      <c r="B309" s="7" t="inlineStr">
        <is>
          <t>PNE-0305</t>
        </is>
      </c>
      <c r="C309" s="7" t="inlineStr">
        <is>
          <t>électrovanne</t>
        </is>
      </c>
      <c r="D309" s="7" t="inlineStr">
        <is>
          <t>Pneumatique</t>
        </is>
      </c>
      <c r="E309" s="7" t="inlineStr">
        <is>
          <t>Pneumatique</t>
        </is>
      </c>
      <c r="F309" s="7" t="inlineStr">
        <is>
          <t>PIECE_VEHICULE</t>
        </is>
      </c>
      <c r="G309" s="7" t="inlineStr">
        <is>
          <t>unité</t>
        </is>
      </c>
      <c r="H309" s="7" t="inlineStr">
        <is>
          <t>SMALL</t>
        </is>
      </c>
      <c r="I309" s="7" t="n">
        <v>5</v>
      </c>
      <c r="J309" s="7" t="inlineStr">
        <is>
          <t>F-01-02</t>
        </is>
      </c>
      <c r="K309" s="7" t="inlineStr"/>
      <c r="L309" s="9" t="n">
        <v>0</v>
      </c>
      <c r="M309" s="9" t="n">
        <v>0</v>
      </c>
      <c r="N309" s="9" t="n">
        <v>40</v>
      </c>
      <c r="O309" s="7" t="inlineStr">
        <is>
          <t>YZK</t>
        </is>
      </c>
      <c r="P309" s="7" t="inlineStr">
        <is>
          <t>STANDARD</t>
        </is>
      </c>
      <c r="Q309" s="7" t="inlineStr">
        <is>
          <t>WHAP</t>
        </is>
      </c>
      <c r="R309" s="7" t="inlineStr">
        <is>
          <t>OUI</t>
        </is>
      </c>
      <c r="S309" s="7" t="inlineStr">
        <is>
          <t>31/08/2026 02:59</t>
        </is>
      </c>
    </row>
    <row r="310">
      <c r="A310" s="8" t="inlineStr">
        <is>
          <t>WHAP-0306</t>
        </is>
      </c>
      <c r="B310" s="8" t="inlineStr">
        <is>
          <t>PNE-0306</t>
        </is>
      </c>
      <c r="C310" s="8" t="inlineStr">
        <is>
          <t>flexible pneumatique</t>
        </is>
      </c>
      <c r="D310" s="8" t="inlineStr">
        <is>
          <t>Pneumatique</t>
        </is>
      </c>
      <c r="E310" s="8" t="inlineStr">
        <is>
          <t>Pneumatique</t>
        </is>
      </c>
      <c r="F310" s="8" t="inlineStr">
        <is>
          <t>PIECE_VEHICULE</t>
        </is>
      </c>
      <c r="G310" s="8" t="inlineStr">
        <is>
          <t>unité</t>
        </is>
      </c>
      <c r="H310" s="8" t="inlineStr">
        <is>
          <t>SMALL</t>
        </is>
      </c>
      <c r="I310" s="8" t="n">
        <v>5</v>
      </c>
      <c r="J310" s="8" t="inlineStr">
        <is>
          <t>F-02-04</t>
        </is>
      </c>
      <c r="K310" s="8" t="inlineStr"/>
      <c r="L310" s="10" t="n">
        <v>0</v>
      </c>
      <c r="M310" s="10" t="n">
        <v>0</v>
      </c>
      <c r="N310" s="10" t="n">
        <v>42</v>
      </c>
      <c r="O310" s="8" t="inlineStr">
        <is>
          <t>VAL</t>
        </is>
      </c>
      <c r="P310" s="8" t="inlineStr">
        <is>
          <t>STANDARD</t>
        </is>
      </c>
      <c r="Q310" s="8" t="inlineStr">
        <is>
          <t>WHAP</t>
        </is>
      </c>
      <c r="R310" s="8" t="inlineStr">
        <is>
          <t>OUI</t>
        </is>
      </c>
      <c r="S310" s="8" t="inlineStr">
        <is>
          <t>31/08/2026 02:59</t>
        </is>
      </c>
    </row>
    <row r="311">
      <c r="A311" s="7" t="inlineStr">
        <is>
          <t>WHAP-0307</t>
        </is>
      </c>
      <c r="B311" s="7" t="inlineStr">
        <is>
          <t>PNE-0307</t>
        </is>
      </c>
      <c r="C311" s="7" t="inlineStr">
        <is>
          <t>tube pneumatique</t>
        </is>
      </c>
      <c r="D311" s="7" t="inlineStr">
        <is>
          <t>Pneumatique</t>
        </is>
      </c>
      <c r="E311" s="7" t="inlineStr">
        <is>
          <t>Pneumatique</t>
        </is>
      </c>
      <c r="F311" s="7" t="inlineStr">
        <is>
          <t>PIECE_VEHICULE</t>
        </is>
      </c>
      <c r="G311" s="7" t="inlineStr">
        <is>
          <t>unité</t>
        </is>
      </c>
      <c r="H311" s="7" t="inlineStr">
        <is>
          <t>SMALL</t>
        </is>
      </c>
      <c r="I311" s="7" t="n">
        <v>5</v>
      </c>
      <c r="J311" s="7" t="inlineStr">
        <is>
          <t>D-02-02</t>
        </is>
      </c>
      <c r="K311" s="7" t="inlineStr"/>
      <c r="L311" s="9" t="n">
        <v>0</v>
      </c>
      <c r="M311" s="9" t="n">
        <v>0</v>
      </c>
      <c r="N311" s="9" t="n">
        <v>42</v>
      </c>
      <c r="O311" s="7" t="inlineStr">
        <is>
          <t>YZK</t>
        </is>
      </c>
      <c r="P311" s="7" t="inlineStr">
        <is>
          <t>STANDARD</t>
        </is>
      </c>
      <c r="Q311" s="7" t="inlineStr">
        <is>
          <t>WHAP</t>
        </is>
      </c>
      <c r="R311" s="7" t="inlineStr">
        <is>
          <t>OUI</t>
        </is>
      </c>
      <c r="S311" s="7" t="inlineStr">
        <is>
          <t>31/08/2026 02:59</t>
        </is>
      </c>
    </row>
    <row r="312">
      <c r="A312" s="8" t="inlineStr">
        <is>
          <t>WHAP-0308</t>
        </is>
      </c>
      <c r="B312" s="8" t="inlineStr">
        <is>
          <t>PNE-0308</t>
        </is>
      </c>
      <c r="C312" s="8" t="inlineStr">
        <is>
          <t>raccord rapide</t>
        </is>
      </c>
      <c r="D312" s="8" t="inlineStr">
        <is>
          <t>Pneumatique</t>
        </is>
      </c>
      <c r="E312" s="8" t="inlineStr">
        <is>
          <t>Pneumatique</t>
        </is>
      </c>
      <c r="F312" s="8" t="inlineStr">
        <is>
          <t>PIECE_VEHICULE</t>
        </is>
      </c>
      <c r="G312" s="8" t="inlineStr">
        <is>
          <t>unité</t>
        </is>
      </c>
      <c r="H312" s="8" t="inlineStr">
        <is>
          <t>SMALL</t>
        </is>
      </c>
      <c r="I312" s="8" t="n">
        <v>5</v>
      </c>
      <c r="J312" s="8" t="inlineStr">
        <is>
          <t>C-02-04</t>
        </is>
      </c>
      <c r="K312" s="8" t="inlineStr"/>
      <c r="L312" s="10" t="n">
        <v>0</v>
      </c>
      <c r="M312" s="10" t="n">
        <v>0</v>
      </c>
      <c r="N312" s="10" t="n">
        <v>46</v>
      </c>
      <c r="O312" s="8" t="inlineStr">
        <is>
          <t>HEL</t>
        </is>
      </c>
      <c r="P312" s="8" t="inlineStr">
        <is>
          <t>STANDARD</t>
        </is>
      </c>
      <c r="Q312" s="8" t="inlineStr">
        <is>
          <t>WHAP</t>
        </is>
      </c>
      <c r="R312" s="8" t="inlineStr">
        <is>
          <t>OUI</t>
        </is>
      </c>
      <c r="S312" s="8" t="inlineStr">
        <is>
          <t>31/08/2026 02:59</t>
        </is>
      </c>
    </row>
    <row r="313">
      <c r="A313" s="7" t="inlineStr">
        <is>
          <t>WHAP-0309</t>
        </is>
      </c>
      <c r="B313" s="7" t="inlineStr">
        <is>
          <t>PNE-0309</t>
        </is>
      </c>
      <c r="C313" s="7" t="inlineStr">
        <is>
          <t>coude pneumatique</t>
        </is>
      </c>
      <c r="D313" s="7" t="inlineStr">
        <is>
          <t>Pneumatique</t>
        </is>
      </c>
      <c r="E313" s="7" t="inlineStr">
        <is>
          <t>Pneumatique</t>
        </is>
      </c>
      <c r="F313" s="7" t="inlineStr">
        <is>
          <t>PIECE_VEHICULE</t>
        </is>
      </c>
      <c r="G313" s="7" t="inlineStr">
        <is>
          <t>unité</t>
        </is>
      </c>
      <c r="H313" s="7" t="inlineStr">
        <is>
          <t>SMALL</t>
        </is>
      </c>
      <c r="I313" s="7" t="n">
        <v>5</v>
      </c>
      <c r="J313" s="7" t="inlineStr">
        <is>
          <t>B-03-02</t>
        </is>
      </c>
      <c r="K313" s="7" t="inlineStr"/>
      <c r="L313" s="9" t="n">
        <v>0</v>
      </c>
      <c r="M313" s="9" t="n">
        <v>0</v>
      </c>
      <c r="N313" s="9" t="n">
        <v>50</v>
      </c>
      <c r="O313" s="7" t="inlineStr">
        <is>
          <t>SKF</t>
        </is>
      </c>
      <c r="P313" s="7" t="inlineStr">
        <is>
          <t>STANDARD</t>
        </is>
      </c>
      <c r="Q313" s="7" t="inlineStr">
        <is>
          <t>WHAP</t>
        </is>
      </c>
      <c r="R313" s="7" t="inlineStr">
        <is>
          <t>OUI</t>
        </is>
      </c>
      <c r="S313" s="7" t="inlineStr">
        <is>
          <t>31/08/2026 02:59</t>
        </is>
      </c>
    </row>
    <row r="314">
      <c r="A314" s="8" t="inlineStr">
        <is>
          <t>WHAP-0310</t>
        </is>
      </c>
      <c r="B314" s="8" t="inlineStr">
        <is>
          <t>PNE-0310</t>
        </is>
      </c>
      <c r="C314" s="8" t="inlineStr">
        <is>
          <t>té pneumatique</t>
        </is>
      </c>
      <c r="D314" s="8" t="inlineStr">
        <is>
          <t>Pneumatique</t>
        </is>
      </c>
      <c r="E314" s="8" t="inlineStr">
        <is>
          <t>Pneumatique</t>
        </is>
      </c>
      <c r="F314" s="8" t="inlineStr">
        <is>
          <t>PIECE_VEHICULE</t>
        </is>
      </c>
      <c r="G314" s="8" t="inlineStr">
        <is>
          <t>unité</t>
        </is>
      </c>
      <c r="H314" s="8" t="inlineStr">
        <is>
          <t>SMALL</t>
        </is>
      </c>
      <c r="I314" s="8" t="n">
        <v>5</v>
      </c>
      <c r="J314" s="8" t="inlineStr">
        <is>
          <t>C-03-03</t>
        </is>
      </c>
      <c r="K314" s="8" t="inlineStr"/>
      <c r="L314" s="10" t="n">
        <v>0</v>
      </c>
      <c r="M314" s="10" t="n">
        <v>0</v>
      </c>
      <c r="N314" s="10" t="n">
        <v>49</v>
      </c>
      <c r="O314" s="8" t="inlineStr">
        <is>
          <t>SUM</t>
        </is>
      </c>
      <c r="P314" s="8" t="inlineStr">
        <is>
          <t>STANDARD</t>
        </is>
      </c>
      <c r="Q314" s="8" t="inlineStr">
        <is>
          <t>WHAP</t>
        </is>
      </c>
      <c r="R314" s="8" t="inlineStr">
        <is>
          <t>OUI</t>
        </is>
      </c>
      <c r="S314" s="8" t="inlineStr">
        <is>
          <t>31/08/2026 02:59</t>
        </is>
      </c>
    </row>
    <row r="315">
      <c r="A315" s="7" t="inlineStr">
        <is>
          <t>WHAP-0311</t>
        </is>
      </c>
      <c r="B315" s="7" t="inlineStr">
        <is>
          <t>PNE-0311</t>
        </is>
      </c>
      <c r="C315" s="7" t="inlineStr">
        <is>
          <t>clapet anti-retour</t>
        </is>
      </c>
      <c r="D315" s="7" t="inlineStr">
        <is>
          <t>Pneumatique</t>
        </is>
      </c>
      <c r="E315" s="7" t="inlineStr">
        <is>
          <t>Pneumatique</t>
        </is>
      </c>
      <c r="F315" s="7" t="inlineStr">
        <is>
          <t>PIECE_VEHICULE</t>
        </is>
      </c>
      <c r="G315" s="7" t="inlineStr">
        <is>
          <t>unité</t>
        </is>
      </c>
      <c r="H315" s="7" t="inlineStr">
        <is>
          <t>SMALL</t>
        </is>
      </c>
      <c r="I315" s="7" t="n">
        <v>5</v>
      </c>
      <c r="J315" s="7" t="inlineStr">
        <is>
          <t>D-04-02</t>
        </is>
      </c>
      <c r="K315" s="7" t="inlineStr"/>
      <c r="L315" s="9" t="n">
        <v>0</v>
      </c>
      <c r="M315" s="9" t="n">
        <v>0</v>
      </c>
      <c r="N315" s="9" t="n">
        <v>44</v>
      </c>
      <c r="O315" s="7" t="inlineStr">
        <is>
          <t>FAU</t>
        </is>
      </c>
      <c r="P315" s="7" t="inlineStr">
        <is>
          <t>STANDARD</t>
        </is>
      </c>
      <c r="Q315" s="7" t="inlineStr">
        <is>
          <t>WHAP</t>
        </is>
      </c>
      <c r="R315" s="7" t="inlineStr">
        <is>
          <t>OUI</t>
        </is>
      </c>
      <c r="S315" s="7" t="inlineStr">
        <is>
          <t>31/08/2026 02:59</t>
        </is>
      </c>
    </row>
    <row r="316">
      <c r="A316" s="8" t="inlineStr">
        <is>
          <t>WHAP-0312</t>
        </is>
      </c>
      <c r="B316" s="8" t="inlineStr">
        <is>
          <t>PNE-0312</t>
        </is>
      </c>
      <c r="C316" s="8" t="inlineStr">
        <is>
          <t>silencieux pneumatique</t>
        </is>
      </c>
      <c r="D316" s="8" t="inlineStr">
        <is>
          <t>Pneumatique</t>
        </is>
      </c>
      <c r="E316" s="8" t="inlineStr">
        <is>
          <t>Pneumatique</t>
        </is>
      </c>
      <c r="F316" s="8" t="inlineStr">
        <is>
          <t>PIECE_VEHICULE</t>
        </is>
      </c>
      <c r="G316" s="8" t="inlineStr">
        <is>
          <t>unité</t>
        </is>
      </c>
      <c r="H316" s="8" t="inlineStr">
        <is>
          <t>SMALL</t>
        </is>
      </c>
      <c r="I316" s="8" t="n">
        <v>5</v>
      </c>
      <c r="J316" s="8" t="inlineStr">
        <is>
          <t>E-03-04</t>
        </is>
      </c>
      <c r="K316" s="8" t="inlineStr"/>
      <c r="L316" s="10" t="n">
        <v>0</v>
      </c>
      <c r="M316" s="10" t="n">
        <v>0</v>
      </c>
      <c r="N316" s="10" t="n">
        <v>41</v>
      </c>
      <c r="O316" s="8" t="inlineStr">
        <is>
          <t>MAG</t>
        </is>
      </c>
      <c r="P316" s="8" t="inlineStr">
        <is>
          <t>STANDARD</t>
        </is>
      </c>
      <c r="Q316" s="8" t="inlineStr">
        <is>
          <t>WHAP</t>
        </is>
      </c>
      <c r="R316" s="8" t="inlineStr">
        <is>
          <t>OUI</t>
        </is>
      </c>
      <c r="S316" s="8" t="inlineStr">
        <is>
          <t>31/08/2026 02:59</t>
        </is>
      </c>
    </row>
    <row r="317">
      <c r="A317" s="7" t="inlineStr">
        <is>
          <t>WHAP-0313</t>
        </is>
      </c>
      <c r="B317" s="7" t="inlineStr">
        <is>
          <t>PNE-0313</t>
        </is>
      </c>
      <c r="C317" s="7" t="inlineStr">
        <is>
          <t>filtre pneumatique</t>
        </is>
      </c>
      <c r="D317" s="7" t="inlineStr">
        <is>
          <t>Pneumatique</t>
        </is>
      </c>
      <c r="E317" s="7" t="inlineStr">
        <is>
          <t>Pneumatique</t>
        </is>
      </c>
      <c r="F317" s="7" t="inlineStr">
        <is>
          <t>PIECE_VEHICULE</t>
        </is>
      </c>
      <c r="G317" s="7" t="inlineStr">
        <is>
          <t>unité</t>
        </is>
      </c>
      <c r="H317" s="7" t="inlineStr">
        <is>
          <t>SMALL</t>
        </is>
      </c>
      <c r="I317" s="7" t="n">
        <v>5</v>
      </c>
      <c r="J317" s="7" t="inlineStr">
        <is>
          <t>A-03-03</t>
        </is>
      </c>
      <c r="K317" s="7" t="inlineStr"/>
      <c r="L317" s="9" t="n">
        <v>0</v>
      </c>
      <c r="M317" s="9" t="n">
        <v>0</v>
      </c>
      <c r="N317" s="9" t="n">
        <v>50</v>
      </c>
      <c r="O317" s="7" t="inlineStr">
        <is>
          <t>HEL</t>
        </is>
      </c>
      <c r="P317" s="7" t="inlineStr">
        <is>
          <t>STANDARD</t>
        </is>
      </c>
      <c r="Q317" s="7" t="inlineStr">
        <is>
          <t>WHAP</t>
        </is>
      </c>
      <c r="R317" s="7" t="inlineStr">
        <is>
          <t>OUI</t>
        </is>
      </c>
      <c r="S317" s="7" t="inlineStr">
        <is>
          <t>31/08/2026 02:59</t>
        </is>
      </c>
    </row>
    <row r="318">
      <c r="A318" s="8" t="inlineStr">
        <is>
          <t>WHAP-0314</t>
        </is>
      </c>
      <c r="B318" s="8" t="inlineStr">
        <is>
          <t>PNE-0314</t>
        </is>
      </c>
      <c r="C318" s="8" t="inlineStr">
        <is>
          <t>purgeur automatique</t>
        </is>
      </c>
      <c r="D318" s="8" t="inlineStr">
        <is>
          <t>Pneumatique</t>
        </is>
      </c>
      <c r="E318" s="8" t="inlineStr">
        <is>
          <t>Pneumatique</t>
        </is>
      </c>
      <c r="F318" s="8" t="inlineStr">
        <is>
          <t>PIECE_VEHICULE</t>
        </is>
      </c>
      <c r="G318" s="8" t="inlineStr">
        <is>
          <t>unité</t>
        </is>
      </c>
      <c r="H318" s="8" t="inlineStr">
        <is>
          <t>SMALL</t>
        </is>
      </c>
      <c r="I318" s="8" t="n">
        <v>5</v>
      </c>
      <c r="J318" s="8" t="inlineStr">
        <is>
          <t>F-02-02</t>
        </is>
      </c>
      <c r="K318" s="8" t="inlineStr"/>
      <c r="L318" s="10" t="n">
        <v>0</v>
      </c>
      <c r="M318" s="10" t="n">
        <v>0</v>
      </c>
      <c r="N318" s="10" t="n">
        <v>46</v>
      </c>
      <c r="O318" s="8" t="inlineStr">
        <is>
          <t>SKF</t>
        </is>
      </c>
      <c r="P318" s="8" t="inlineStr">
        <is>
          <t>STANDARD</t>
        </is>
      </c>
      <c r="Q318" s="8" t="inlineStr">
        <is>
          <t>WHAP</t>
        </is>
      </c>
      <c r="R318" s="8" t="inlineStr">
        <is>
          <t>OUI</t>
        </is>
      </c>
      <c r="S318" s="8" t="inlineStr">
        <is>
          <t>31/08/2026 02:59</t>
        </is>
      </c>
    </row>
    <row r="319">
      <c r="A319" s="7" t="inlineStr">
        <is>
          <t>WHAP-0315</t>
        </is>
      </c>
      <c r="B319" s="7" t="inlineStr">
        <is>
          <t>HYD-0315</t>
        </is>
      </c>
      <c r="C319" s="7" t="inlineStr">
        <is>
          <t>pompe hydraulique</t>
        </is>
      </c>
      <c r="D319" s="7" t="inlineStr">
        <is>
          <t>Hydraulique</t>
        </is>
      </c>
      <c r="E319" s="7" t="inlineStr">
        <is>
          <t>Hydraulique</t>
        </is>
      </c>
      <c r="F319" s="7" t="inlineStr">
        <is>
          <t>PIECE_VEHICULE</t>
        </is>
      </c>
      <c r="G319" s="7" t="inlineStr">
        <is>
          <t>unité</t>
        </is>
      </c>
      <c r="H319" s="7" t="inlineStr">
        <is>
          <t>SMALL</t>
        </is>
      </c>
      <c r="I319" s="7" t="n">
        <v>5</v>
      </c>
      <c r="J319" s="7" t="inlineStr">
        <is>
          <t>B-03-03 : 1690</t>
        </is>
      </c>
      <c r="K319" s="7" t="inlineStr"/>
      <c r="L319" s="9" t="n">
        <v>1690</v>
      </c>
      <c r="M319" s="9" t="n">
        <v>1690</v>
      </c>
      <c r="N319" s="9" t="n">
        <v>22</v>
      </c>
      <c r="O319" s="7" t="inlineStr">
        <is>
          <t>FAU</t>
        </is>
      </c>
      <c r="P319" s="7" t="inlineStr">
        <is>
          <t>IMPORTANT</t>
        </is>
      </c>
      <c r="Q319" s="7" t="inlineStr">
        <is>
          <t>WHAP</t>
        </is>
      </c>
      <c r="R319" s="7" t="inlineStr">
        <is>
          <t>OUI</t>
        </is>
      </c>
      <c r="S319" s="7" t="inlineStr">
        <is>
          <t>31/08/2026 02:59</t>
        </is>
      </c>
    </row>
    <row r="320">
      <c r="A320" s="8" t="inlineStr">
        <is>
          <t>WHAP-0316</t>
        </is>
      </c>
      <c r="B320" s="8" t="inlineStr">
        <is>
          <t>HYD-0316</t>
        </is>
      </c>
      <c r="C320" s="8" t="inlineStr">
        <is>
          <t>réservoir hydraulique</t>
        </is>
      </c>
      <c r="D320" s="8" t="inlineStr">
        <is>
          <t>Hydraulique</t>
        </is>
      </c>
      <c r="E320" s="8" t="inlineStr">
        <is>
          <t>Hydraulique</t>
        </is>
      </c>
      <c r="F320" s="8" t="inlineStr">
        <is>
          <t>PIECE_VEHICULE</t>
        </is>
      </c>
      <c r="G320" s="8" t="inlineStr">
        <is>
          <t>unité</t>
        </is>
      </c>
      <c r="H320" s="8" t="inlineStr">
        <is>
          <t>SMALL</t>
        </is>
      </c>
      <c r="I320" s="8" t="n">
        <v>5</v>
      </c>
      <c r="J320" s="8" t="inlineStr">
        <is>
          <t>C-04-02 : 1140</t>
        </is>
      </c>
      <c r="K320" s="8" t="inlineStr"/>
      <c r="L320" s="10" t="n">
        <v>1140</v>
      </c>
      <c r="M320" s="10" t="n">
        <v>1140</v>
      </c>
      <c r="N320" s="10" t="n">
        <v>27</v>
      </c>
      <c r="O320" s="8" t="inlineStr">
        <is>
          <t>HEL</t>
        </is>
      </c>
      <c r="P320" s="8" t="inlineStr">
        <is>
          <t>IMPORTANT</t>
        </is>
      </c>
      <c r="Q320" s="8" t="inlineStr">
        <is>
          <t>WHAP</t>
        </is>
      </c>
      <c r="R320" s="8" t="inlineStr">
        <is>
          <t>OUI</t>
        </is>
      </c>
      <c r="S320" s="8" t="inlineStr">
        <is>
          <t>31/08/2026 02:59</t>
        </is>
      </c>
    </row>
    <row r="321">
      <c r="A321" s="7" t="inlineStr">
        <is>
          <t>WHAP-0317</t>
        </is>
      </c>
      <c r="B321" s="7" t="inlineStr">
        <is>
          <t>HYD-0317</t>
        </is>
      </c>
      <c r="C321" s="7" t="inlineStr">
        <is>
          <t>filtre hydraulique</t>
        </is>
      </c>
      <c r="D321" s="7" t="inlineStr">
        <is>
          <t>Hydraulique</t>
        </is>
      </c>
      <c r="E321" s="7" t="inlineStr">
        <is>
          <t>Hydraulique</t>
        </is>
      </c>
      <c r="F321" s="7" t="inlineStr">
        <is>
          <t>PIECE_VEHICULE</t>
        </is>
      </c>
      <c r="G321" s="7" t="inlineStr">
        <is>
          <t>unité</t>
        </is>
      </c>
      <c r="H321" s="7" t="inlineStr">
        <is>
          <t>SMALL</t>
        </is>
      </c>
      <c r="I321" s="7" t="n">
        <v>5</v>
      </c>
      <c r="J321" s="7" t="inlineStr">
        <is>
          <t>A-01-02</t>
        </is>
      </c>
      <c r="K321" s="7" t="inlineStr"/>
      <c r="L321" s="9" t="n">
        <v>0</v>
      </c>
      <c r="M321" s="9" t="n">
        <v>0</v>
      </c>
      <c r="N321" s="9" t="n">
        <v>32</v>
      </c>
      <c r="O321" s="7" t="inlineStr">
        <is>
          <t>HEL</t>
        </is>
      </c>
      <c r="P321" s="7" t="inlineStr">
        <is>
          <t>IMPORTANT</t>
        </is>
      </c>
      <c r="Q321" s="7" t="inlineStr">
        <is>
          <t>WHAP</t>
        </is>
      </c>
      <c r="R321" s="7" t="inlineStr">
        <is>
          <t>OUI</t>
        </is>
      </c>
      <c r="S321" s="7" t="inlineStr">
        <is>
          <t>31/08/2026 02:59</t>
        </is>
      </c>
    </row>
    <row r="322">
      <c r="A322" s="8" t="inlineStr">
        <is>
          <t>WHAP-0318</t>
        </is>
      </c>
      <c r="B322" s="8" t="inlineStr">
        <is>
          <t>HYD-0318</t>
        </is>
      </c>
      <c r="C322" s="8" t="inlineStr">
        <is>
          <t>clapet anti-retour</t>
        </is>
      </c>
      <c r="D322" s="8" t="inlineStr">
        <is>
          <t>Hydraulique</t>
        </is>
      </c>
      <c r="E322" s="8" t="inlineStr">
        <is>
          <t>Hydraulique</t>
        </is>
      </c>
      <c r="F322" s="8" t="inlineStr">
        <is>
          <t>PIECE_VEHICULE</t>
        </is>
      </c>
      <c r="G322" s="8" t="inlineStr">
        <is>
          <t>unité</t>
        </is>
      </c>
      <c r="H322" s="8" t="inlineStr">
        <is>
          <t>SMALL</t>
        </is>
      </c>
      <c r="I322" s="8" t="n">
        <v>5</v>
      </c>
      <c r="J322" s="8" t="inlineStr">
        <is>
          <t>B-06-04</t>
        </is>
      </c>
      <c r="K322" s="8" t="inlineStr"/>
      <c r="L322" s="10" t="n">
        <v>0</v>
      </c>
      <c r="M322" s="10" t="n">
        <v>0</v>
      </c>
      <c r="N322" s="10" t="n">
        <v>27</v>
      </c>
      <c r="O322" s="8" t="inlineStr">
        <is>
          <t>SKF</t>
        </is>
      </c>
      <c r="P322" s="8" t="inlineStr">
        <is>
          <t>IMPORTANT</t>
        </is>
      </c>
      <c r="Q322" s="8" t="inlineStr">
        <is>
          <t>WHAP</t>
        </is>
      </c>
      <c r="R322" s="8" t="inlineStr">
        <is>
          <t>OUI</t>
        </is>
      </c>
      <c r="S322" s="8" t="inlineStr">
        <is>
          <t>31/08/2026 02:59</t>
        </is>
      </c>
    </row>
    <row r="323">
      <c r="A323" s="7" t="inlineStr">
        <is>
          <t>WHAP-0319</t>
        </is>
      </c>
      <c r="B323" s="7" t="inlineStr">
        <is>
          <t>HYD-0319</t>
        </is>
      </c>
      <c r="C323" s="7" t="inlineStr">
        <is>
          <t>valve de priorité</t>
        </is>
      </c>
      <c r="D323" s="7" t="inlineStr">
        <is>
          <t>Hydraulique</t>
        </is>
      </c>
      <c r="E323" s="7" t="inlineStr">
        <is>
          <t>Hydraulique</t>
        </is>
      </c>
      <c r="F323" s="7" t="inlineStr">
        <is>
          <t>PIECE_VEHICULE</t>
        </is>
      </c>
      <c r="G323" s="7" t="inlineStr">
        <is>
          <t>unité</t>
        </is>
      </c>
      <c r="H323" s="7" t="inlineStr">
        <is>
          <t>SMALL</t>
        </is>
      </c>
      <c r="I323" s="7" t="n">
        <v>5</v>
      </c>
      <c r="J323" s="7" t="inlineStr">
        <is>
          <t>C-01-02</t>
        </is>
      </c>
      <c r="K323" s="7" t="inlineStr"/>
      <c r="L323" s="9" t="n">
        <v>0</v>
      </c>
      <c r="M323" s="9" t="n">
        <v>0</v>
      </c>
      <c r="N323" s="9" t="n">
        <v>23</v>
      </c>
      <c r="O323" s="7" t="inlineStr">
        <is>
          <t>BOS</t>
        </is>
      </c>
      <c r="P323" s="7" t="inlineStr">
        <is>
          <t>IMPORTANT</t>
        </is>
      </c>
      <c r="Q323" s="7" t="inlineStr">
        <is>
          <t>WHAP</t>
        </is>
      </c>
      <c r="R323" s="7" t="inlineStr">
        <is>
          <t>OUI</t>
        </is>
      </c>
      <c r="S323" s="7" t="inlineStr">
        <is>
          <t>31/08/2026 02:59</t>
        </is>
      </c>
    </row>
    <row r="324">
      <c r="A324" s="8" t="inlineStr">
        <is>
          <t>WHAP-0320</t>
        </is>
      </c>
      <c r="B324" s="8" t="inlineStr">
        <is>
          <t>HYD-0320</t>
        </is>
      </c>
      <c r="C324" s="8" t="inlineStr">
        <is>
          <t>distributeur hydraulique</t>
        </is>
      </c>
      <c r="D324" s="8" t="inlineStr">
        <is>
          <t>Hydraulique</t>
        </is>
      </c>
      <c r="E324" s="8" t="inlineStr">
        <is>
          <t>Hydraulique</t>
        </is>
      </c>
      <c r="F324" s="8" t="inlineStr">
        <is>
          <t>PIECE_VEHICULE</t>
        </is>
      </c>
      <c r="G324" s="8" t="inlineStr">
        <is>
          <t>unité</t>
        </is>
      </c>
      <c r="H324" s="8" t="inlineStr">
        <is>
          <t>SMALL</t>
        </is>
      </c>
      <c r="I324" s="8" t="n">
        <v>5</v>
      </c>
      <c r="J324" s="8" t="inlineStr">
        <is>
          <t>C-03-04</t>
        </is>
      </c>
      <c r="K324" s="8" t="inlineStr"/>
      <c r="L324" s="10" t="n">
        <v>0</v>
      </c>
      <c r="M324" s="10" t="n">
        <v>0</v>
      </c>
      <c r="N324" s="10" t="n">
        <v>28</v>
      </c>
      <c r="O324" s="8" t="inlineStr">
        <is>
          <t>SUM</t>
        </is>
      </c>
      <c r="P324" s="8" t="inlineStr">
        <is>
          <t>IMPORTANT</t>
        </is>
      </c>
      <c r="Q324" s="8" t="inlineStr">
        <is>
          <t>WHAP</t>
        </is>
      </c>
      <c r="R324" s="8" t="inlineStr">
        <is>
          <t>OUI</t>
        </is>
      </c>
      <c r="S324" s="8" t="inlineStr">
        <is>
          <t>31/08/2026 02:59</t>
        </is>
      </c>
    </row>
    <row r="325">
      <c r="A325" s="7" t="inlineStr">
        <is>
          <t>WHAP-0321</t>
        </is>
      </c>
      <c r="B325" s="7" t="inlineStr">
        <is>
          <t>HYD-0321</t>
        </is>
      </c>
      <c r="C325" s="7" t="inlineStr">
        <is>
          <t>électrovanne hydraulique</t>
        </is>
      </c>
      <c r="D325" s="7" t="inlineStr">
        <is>
          <t>Hydraulique</t>
        </is>
      </c>
      <c r="E325" s="7" t="inlineStr">
        <is>
          <t>Hydraulique</t>
        </is>
      </c>
      <c r="F325" s="7" t="inlineStr">
        <is>
          <t>PIECE_VEHICULE</t>
        </is>
      </c>
      <c r="G325" s="7" t="inlineStr">
        <is>
          <t>unité</t>
        </is>
      </c>
      <c r="H325" s="7" t="inlineStr">
        <is>
          <t>SMALL</t>
        </is>
      </c>
      <c r="I325" s="7" t="n">
        <v>5</v>
      </c>
      <c r="J325" s="7" t="inlineStr">
        <is>
          <t>D-06-03</t>
        </is>
      </c>
      <c r="K325" s="7" t="inlineStr"/>
      <c r="L325" s="9" t="n">
        <v>0</v>
      </c>
      <c r="M325" s="9" t="n">
        <v>0</v>
      </c>
      <c r="N325" s="9" t="n">
        <v>26</v>
      </c>
      <c r="O325" s="7" t="inlineStr">
        <is>
          <t>CTL</t>
        </is>
      </c>
      <c r="P325" s="7" t="inlineStr">
        <is>
          <t>IMPORTANT</t>
        </is>
      </c>
      <c r="Q325" s="7" t="inlineStr">
        <is>
          <t>WHAP</t>
        </is>
      </c>
      <c r="R325" s="7" t="inlineStr">
        <is>
          <t>OUI</t>
        </is>
      </c>
      <c r="S325" s="7" t="inlineStr">
        <is>
          <t>31/08/2026 02:59</t>
        </is>
      </c>
    </row>
    <row r="326">
      <c r="A326" s="8" t="inlineStr">
        <is>
          <t>WHAP-0322</t>
        </is>
      </c>
      <c r="B326" s="8" t="inlineStr">
        <is>
          <t>HYD-0322</t>
        </is>
      </c>
      <c r="C326" s="8" t="inlineStr">
        <is>
          <t>vérin hydraulique</t>
        </is>
      </c>
      <c r="D326" s="8" t="inlineStr">
        <is>
          <t>Hydraulique</t>
        </is>
      </c>
      <c r="E326" s="8" t="inlineStr">
        <is>
          <t>Hydraulique</t>
        </is>
      </c>
      <c r="F326" s="8" t="inlineStr">
        <is>
          <t>PIECE_VEHICULE</t>
        </is>
      </c>
      <c r="G326" s="8" t="inlineStr">
        <is>
          <t>unité</t>
        </is>
      </c>
      <c r="H326" s="8" t="inlineStr">
        <is>
          <t>SMALL</t>
        </is>
      </c>
      <c r="I326" s="8" t="n">
        <v>5</v>
      </c>
      <c r="J326" s="8" t="inlineStr">
        <is>
          <t>B-03-01</t>
        </is>
      </c>
      <c r="K326" s="8" t="inlineStr"/>
      <c r="L326" s="10" t="n">
        <v>0</v>
      </c>
      <c r="M326" s="10" t="n">
        <v>0</v>
      </c>
      <c r="N326" s="10" t="n">
        <v>29</v>
      </c>
      <c r="O326" s="8" t="inlineStr">
        <is>
          <t>SKF</t>
        </is>
      </c>
      <c r="P326" s="8" t="inlineStr">
        <is>
          <t>IMPORTANT</t>
        </is>
      </c>
      <c r="Q326" s="8" t="inlineStr">
        <is>
          <t>WHAP</t>
        </is>
      </c>
      <c r="R326" s="8" t="inlineStr">
        <is>
          <t>OUI</t>
        </is>
      </c>
      <c r="S326" s="8" t="inlineStr">
        <is>
          <t>31/08/2026 02:59</t>
        </is>
      </c>
    </row>
    <row r="327">
      <c r="A327" s="7" t="inlineStr">
        <is>
          <t>WHAP-0323</t>
        </is>
      </c>
      <c r="B327" s="7" t="inlineStr">
        <is>
          <t>HYD-0323</t>
        </is>
      </c>
      <c r="C327" s="7" t="inlineStr">
        <is>
          <t>piston hydraulique</t>
        </is>
      </c>
      <c r="D327" s="7" t="inlineStr">
        <is>
          <t>Hydraulique</t>
        </is>
      </c>
      <c r="E327" s="7" t="inlineStr">
        <is>
          <t>Hydraulique</t>
        </is>
      </c>
      <c r="F327" s="7" t="inlineStr">
        <is>
          <t>PIECE_VEHICULE</t>
        </is>
      </c>
      <c r="G327" s="7" t="inlineStr">
        <is>
          <t>unité</t>
        </is>
      </c>
      <c r="H327" s="7" t="inlineStr">
        <is>
          <t>SMALL</t>
        </is>
      </c>
      <c r="I327" s="7" t="n">
        <v>5</v>
      </c>
      <c r="J327" s="7" t="inlineStr">
        <is>
          <t>A-05-03</t>
        </is>
      </c>
      <c r="K327" s="7" t="inlineStr"/>
      <c r="L327" s="9" t="n">
        <v>0</v>
      </c>
      <c r="M327" s="9" t="n">
        <v>0</v>
      </c>
      <c r="N327" s="9" t="n">
        <v>26</v>
      </c>
      <c r="O327" s="7" t="inlineStr">
        <is>
          <t>DEL</t>
        </is>
      </c>
      <c r="P327" s="7" t="inlineStr">
        <is>
          <t>IMPORTANT</t>
        </is>
      </c>
      <c r="Q327" s="7" t="inlineStr">
        <is>
          <t>WHAP</t>
        </is>
      </c>
      <c r="R327" s="7" t="inlineStr">
        <is>
          <t>OUI</t>
        </is>
      </c>
      <c r="S327" s="7" t="inlineStr">
        <is>
          <t>31/08/2026 02:59</t>
        </is>
      </c>
    </row>
    <row r="328">
      <c r="A328" s="8" t="inlineStr">
        <is>
          <t>WHAP-0324</t>
        </is>
      </c>
      <c r="B328" s="8" t="inlineStr">
        <is>
          <t>HYD-0324</t>
        </is>
      </c>
      <c r="C328" s="8" t="inlineStr">
        <is>
          <t>tige hydraulique</t>
        </is>
      </c>
      <c r="D328" s="8" t="inlineStr">
        <is>
          <t>Hydraulique</t>
        </is>
      </c>
      <c r="E328" s="8" t="inlineStr">
        <is>
          <t>Hydraulique</t>
        </is>
      </c>
      <c r="F328" s="8" t="inlineStr">
        <is>
          <t>PIECE_VEHICULE</t>
        </is>
      </c>
      <c r="G328" s="8" t="inlineStr">
        <is>
          <t>unité</t>
        </is>
      </c>
      <c r="H328" s="8" t="inlineStr">
        <is>
          <t>SMALL</t>
        </is>
      </c>
      <c r="I328" s="8" t="n">
        <v>5</v>
      </c>
      <c r="J328" s="8" t="inlineStr">
        <is>
          <t>B-04-03</t>
        </is>
      </c>
      <c r="K328" s="8" t="inlineStr"/>
      <c r="L328" s="10" t="n">
        <v>0</v>
      </c>
      <c r="M328" s="10" t="n">
        <v>0</v>
      </c>
      <c r="N328" s="10" t="n">
        <v>32</v>
      </c>
      <c r="O328" s="8" t="inlineStr">
        <is>
          <t>YZK</t>
        </is>
      </c>
      <c r="P328" s="8" t="inlineStr">
        <is>
          <t>IMPORTANT</t>
        </is>
      </c>
      <c r="Q328" s="8" t="inlineStr">
        <is>
          <t>WHAP</t>
        </is>
      </c>
      <c r="R328" s="8" t="inlineStr">
        <is>
          <t>OUI</t>
        </is>
      </c>
      <c r="S328" s="8" t="inlineStr">
        <is>
          <t>31/08/2026 02:59</t>
        </is>
      </c>
    </row>
    <row r="329">
      <c r="A329" s="7" t="inlineStr">
        <is>
          <t>WHAP-0325</t>
        </is>
      </c>
      <c r="B329" s="7" t="inlineStr">
        <is>
          <t>HYD-0325</t>
        </is>
      </c>
      <c r="C329" s="7" t="inlineStr">
        <is>
          <t>joint de vérin</t>
        </is>
      </c>
      <c r="D329" s="7" t="inlineStr">
        <is>
          <t>Hydraulique</t>
        </is>
      </c>
      <c r="E329" s="7" t="inlineStr">
        <is>
          <t>Hydraulique</t>
        </is>
      </c>
      <c r="F329" s="7" t="inlineStr">
        <is>
          <t>PIECE_VEHICULE</t>
        </is>
      </c>
      <c r="G329" s="7" t="inlineStr">
        <is>
          <t>unité</t>
        </is>
      </c>
      <c r="H329" s="7" t="inlineStr">
        <is>
          <t>SMALL</t>
        </is>
      </c>
      <c r="I329" s="7" t="n">
        <v>5</v>
      </c>
      <c r="J329" s="7" t="inlineStr">
        <is>
          <t>F-05-03</t>
        </is>
      </c>
      <c r="K329" s="7" t="inlineStr"/>
      <c r="L329" s="9" t="n">
        <v>0</v>
      </c>
      <c r="M329" s="9" t="n">
        <v>0</v>
      </c>
      <c r="N329" s="9" t="n">
        <v>22</v>
      </c>
      <c r="O329" s="7" t="inlineStr">
        <is>
          <t>CTL</t>
        </is>
      </c>
      <c r="P329" s="7" t="inlineStr">
        <is>
          <t>IMPORTANT</t>
        </is>
      </c>
      <c r="Q329" s="7" t="inlineStr">
        <is>
          <t>WHAP</t>
        </is>
      </c>
      <c r="R329" s="7" t="inlineStr">
        <is>
          <t>OUI</t>
        </is>
      </c>
      <c r="S329" s="7" t="inlineStr">
        <is>
          <t>31/08/2026 02:59</t>
        </is>
      </c>
    </row>
    <row r="330">
      <c r="A330" s="8" t="inlineStr">
        <is>
          <t>WHAP-0326</t>
        </is>
      </c>
      <c r="B330" s="8" t="inlineStr">
        <is>
          <t>HYD-0326</t>
        </is>
      </c>
      <c r="C330" s="8" t="inlineStr">
        <is>
          <t>racleur</t>
        </is>
      </c>
      <c r="D330" s="8" t="inlineStr">
        <is>
          <t>Hydraulique</t>
        </is>
      </c>
      <c r="E330" s="8" t="inlineStr">
        <is>
          <t>Hydraulique</t>
        </is>
      </c>
      <c r="F330" s="8" t="inlineStr">
        <is>
          <t>PIECE_VEHICULE</t>
        </is>
      </c>
      <c r="G330" s="8" t="inlineStr">
        <is>
          <t>unité</t>
        </is>
      </c>
      <c r="H330" s="8" t="inlineStr">
        <is>
          <t>SMALL</t>
        </is>
      </c>
      <c r="I330" s="8" t="n">
        <v>5</v>
      </c>
      <c r="J330" s="8" t="inlineStr">
        <is>
          <t>E-06-01</t>
        </is>
      </c>
      <c r="K330" s="8" t="inlineStr"/>
      <c r="L330" s="10" t="n">
        <v>0</v>
      </c>
      <c r="M330" s="10" t="n">
        <v>0</v>
      </c>
      <c r="N330" s="10" t="n">
        <v>28</v>
      </c>
      <c r="O330" s="8" t="inlineStr">
        <is>
          <t>HEL</t>
        </is>
      </c>
      <c r="P330" s="8" t="inlineStr">
        <is>
          <t>IMPORTANT</t>
        </is>
      </c>
      <c r="Q330" s="8" t="inlineStr">
        <is>
          <t>WHAP</t>
        </is>
      </c>
      <c r="R330" s="8" t="inlineStr">
        <is>
          <t>OUI</t>
        </is>
      </c>
      <c r="S330" s="8" t="inlineStr">
        <is>
          <t>31/08/2026 02:59</t>
        </is>
      </c>
    </row>
    <row r="331">
      <c r="A331" s="7" t="inlineStr">
        <is>
          <t>WHAP-0327</t>
        </is>
      </c>
      <c r="B331" s="7" t="inlineStr">
        <is>
          <t>HYD-0327</t>
        </is>
      </c>
      <c r="C331" s="7" t="inlineStr">
        <is>
          <t>accumulateur hydraulique</t>
        </is>
      </c>
      <c r="D331" s="7" t="inlineStr">
        <is>
          <t>Hydraulique</t>
        </is>
      </c>
      <c r="E331" s="7" t="inlineStr">
        <is>
          <t>Hydraulique</t>
        </is>
      </c>
      <c r="F331" s="7" t="inlineStr">
        <is>
          <t>PIECE_VEHICULE</t>
        </is>
      </c>
      <c r="G331" s="7" t="inlineStr">
        <is>
          <t>unité</t>
        </is>
      </c>
      <c r="H331" s="7" t="inlineStr">
        <is>
          <t>SMALL</t>
        </is>
      </c>
      <c r="I331" s="7" t="n">
        <v>5</v>
      </c>
      <c r="J331" s="7" t="inlineStr">
        <is>
          <t>F-04-02</t>
        </is>
      </c>
      <c r="K331" s="7" t="inlineStr"/>
      <c r="L331" s="9" t="n">
        <v>0</v>
      </c>
      <c r="M331" s="9" t="n">
        <v>0</v>
      </c>
      <c r="N331" s="9" t="n">
        <v>22</v>
      </c>
      <c r="O331" s="7" t="inlineStr">
        <is>
          <t>YZK</t>
        </is>
      </c>
      <c r="P331" s="7" t="inlineStr">
        <is>
          <t>IMPORTANT</t>
        </is>
      </c>
      <c r="Q331" s="7" t="inlineStr">
        <is>
          <t>WHAP</t>
        </is>
      </c>
      <c r="R331" s="7" t="inlineStr">
        <is>
          <t>OUI</t>
        </is>
      </c>
      <c r="S331" s="7" t="inlineStr">
        <is>
          <t>31/08/2026 02:59</t>
        </is>
      </c>
    </row>
    <row r="332">
      <c r="A332" s="8" t="inlineStr">
        <is>
          <t>WHAP-0328</t>
        </is>
      </c>
      <c r="B332" s="8" t="inlineStr">
        <is>
          <t>HYD-0328</t>
        </is>
      </c>
      <c r="C332" s="8" t="inlineStr">
        <is>
          <t>flexible haute pression</t>
        </is>
      </c>
      <c r="D332" s="8" t="inlineStr">
        <is>
          <t>Hydraulique</t>
        </is>
      </c>
      <c r="E332" s="8" t="inlineStr">
        <is>
          <t>Hydraulique</t>
        </is>
      </c>
      <c r="F332" s="8" t="inlineStr">
        <is>
          <t>PIECE_VEHICULE</t>
        </is>
      </c>
      <c r="G332" s="8" t="inlineStr">
        <is>
          <t>unité</t>
        </is>
      </c>
      <c r="H332" s="8" t="inlineStr">
        <is>
          <t>SMALL</t>
        </is>
      </c>
      <c r="I332" s="8" t="n">
        <v>5</v>
      </c>
      <c r="J332" s="8" t="inlineStr">
        <is>
          <t>A-01-02</t>
        </is>
      </c>
      <c r="K332" s="8" t="inlineStr"/>
      <c r="L332" s="10" t="n">
        <v>0</v>
      </c>
      <c r="M332" s="10" t="n">
        <v>0</v>
      </c>
      <c r="N332" s="10" t="n">
        <v>25</v>
      </c>
      <c r="O332" s="8" t="inlineStr">
        <is>
          <t>MAG</t>
        </is>
      </c>
      <c r="P332" s="8" t="inlineStr">
        <is>
          <t>IMPORTANT</t>
        </is>
      </c>
      <c r="Q332" s="8" t="inlineStr">
        <is>
          <t>WHAP</t>
        </is>
      </c>
      <c r="R332" s="8" t="inlineStr">
        <is>
          <t>OUI</t>
        </is>
      </c>
      <c r="S332" s="8" t="inlineStr">
        <is>
          <t>31/08/2026 02:59</t>
        </is>
      </c>
    </row>
    <row r="333">
      <c r="A333" s="7" t="inlineStr">
        <is>
          <t>WHAP-0329</t>
        </is>
      </c>
      <c r="B333" s="7" t="inlineStr">
        <is>
          <t>HYD-0329</t>
        </is>
      </c>
      <c r="C333" s="7" t="inlineStr">
        <is>
          <t>flexible basse pression</t>
        </is>
      </c>
      <c r="D333" s="7" t="inlineStr">
        <is>
          <t>Hydraulique</t>
        </is>
      </c>
      <c r="E333" s="7" t="inlineStr">
        <is>
          <t>Hydraulique</t>
        </is>
      </c>
      <c r="F333" s="7" t="inlineStr">
        <is>
          <t>PIECE_VEHICULE</t>
        </is>
      </c>
      <c r="G333" s="7" t="inlineStr">
        <is>
          <t>unité</t>
        </is>
      </c>
      <c r="H333" s="7" t="inlineStr">
        <is>
          <t>SMALL</t>
        </is>
      </c>
      <c r="I333" s="7" t="n">
        <v>5</v>
      </c>
      <c r="J333" s="7" t="inlineStr">
        <is>
          <t>E-01-03</t>
        </is>
      </c>
      <c r="K333" s="7" t="inlineStr"/>
      <c r="L333" s="9" t="n">
        <v>0</v>
      </c>
      <c r="M333" s="9" t="n">
        <v>0</v>
      </c>
      <c r="N333" s="9" t="n">
        <v>31</v>
      </c>
      <c r="O333" s="7" t="inlineStr">
        <is>
          <t>MAG</t>
        </is>
      </c>
      <c r="P333" s="7" t="inlineStr">
        <is>
          <t>IMPORTANT</t>
        </is>
      </c>
      <c r="Q333" s="7" t="inlineStr">
        <is>
          <t>WHAP</t>
        </is>
      </c>
      <c r="R333" s="7" t="inlineStr">
        <is>
          <t>OUI</t>
        </is>
      </c>
      <c r="S333" s="7" t="inlineStr">
        <is>
          <t>31/08/2026 02:59</t>
        </is>
      </c>
    </row>
    <row r="334">
      <c r="A334" s="8" t="inlineStr">
        <is>
          <t>WHAP-0330</t>
        </is>
      </c>
      <c r="B334" s="8" t="inlineStr">
        <is>
          <t>HYD-0330</t>
        </is>
      </c>
      <c r="C334" s="8" t="inlineStr">
        <is>
          <t>tube hydraulique</t>
        </is>
      </c>
      <c r="D334" s="8" t="inlineStr">
        <is>
          <t>Hydraulique</t>
        </is>
      </c>
      <c r="E334" s="8" t="inlineStr">
        <is>
          <t>Hydraulique</t>
        </is>
      </c>
      <c r="F334" s="8" t="inlineStr">
        <is>
          <t>PIECE_VEHICULE</t>
        </is>
      </c>
      <c r="G334" s="8" t="inlineStr">
        <is>
          <t>unité</t>
        </is>
      </c>
      <c r="H334" s="8" t="inlineStr">
        <is>
          <t>SMALL</t>
        </is>
      </c>
      <c r="I334" s="8" t="n">
        <v>5</v>
      </c>
      <c r="J334" s="8" t="inlineStr">
        <is>
          <t>E-01-04</t>
        </is>
      </c>
      <c r="K334" s="8" t="inlineStr"/>
      <c r="L334" s="10" t="n">
        <v>0</v>
      </c>
      <c r="M334" s="10" t="n">
        <v>0</v>
      </c>
      <c r="N334" s="10" t="n">
        <v>30</v>
      </c>
      <c r="O334" s="8" t="inlineStr">
        <is>
          <t>BOS</t>
        </is>
      </c>
      <c r="P334" s="8" t="inlineStr">
        <is>
          <t>IMPORTANT</t>
        </is>
      </c>
      <c r="Q334" s="8" t="inlineStr">
        <is>
          <t>WHAP</t>
        </is>
      </c>
      <c r="R334" s="8" t="inlineStr">
        <is>
          <t>OUI</t>
        </is>
      </c>
      <c r="S334" s="8" t="inlineStr">
        <is>
          <t>31/08/2026 02:59</t>
        </is>
      </c>
    </row>
    <row r="335">
      <c r="A335" s="7" t="inlineStr">
        <is>
          <t>WHAP-0331</t>
        </is>
      </c>
      <c r="B335" s="7" t="inlineStr">
        <is>
          <t>HYD-0331</t>
        </is>
      </c>
      <c r="C335" s="7" t="inlineStr">
        <is>
          <t>raccord hydraulique</t>
        </is>
      </c>
      <c r="D335" s="7" t="inlineStr">
        <is>
          <t>Hydraulique</t>
        </is>
      </c>
      <c r="E335" s="7" t="inlineStr">
        <is>
          <t>Hydraulique</t>
        </is>
      </c>
      <c r="F335" s="7" t="inlineStr">
        <is>
          <t>PIECE_VEHICULE</t>
        </is>
      </c>
      <c r="G335" s="7" t="inlineStr">
        <is>
          <t>unité</t>
        </is>
      </c>
      <c r="H335" s="7" t="inlineStr">
        <is>
          <t>SMALL</t>
        </is>
      </c>
      <c r="I335" s="7" t="n">
        <v>5</v>
      </c>
      <c r="J335" s="7" t="inlineStr">
        <is>
          <t>B-03-03</t>
        </is>
      </c>
      <c r="K335" s="7" t="inlineStr"/>
      <c r="L335" s="9" t="n">
        <v>0</v>
      </c>
      <c r="M335" s="9" t="n">
        <v>0</v>
      </c>
      <c r="N335" s="9" t="n">
        <v>32</v>
      </c>
      <c r="O335" s="7" t="inlineStr">
        <is>
          <t>CTL</t>
        </is>
      </c>
      <c r="P335" s="7" t="inlineStr">
        <is>
          <t>IMPORTANT</t>
        </is>
      </c>
      <c r="Q335" s="7" t="inlineStr">
        <is>
          <t>WHAP</t>
        </is>
      </c>
      <c r="R335" s="7" t="inlineStr">
        <is>
          <t>OUI</t>
        </is>
      </c>
      <c r="S335" s="7" t="inlineStr">
        <is>
          <t>31/08/2026 02:59</t>
        </is>
      </c>
    </row>
    <row r="336">
      <c r="A336" s="8" t="inlineStr">
        <is>
          <t>WHAP-0332</t>
        </is>
      </c>
      <c r="B336" s="8" t="inlineStr">
        <is>
          <t>HYD-0332</t>
        </is>
      </c>
      <c r="C336" s="8" t="inlineStr">
        <is>
          <t>manomètre hydraulique</t>
        </is>
      </c>
      <c r="D336" s="8" t="inlineStr">
        <is>
          <t>Hydraulique</t>
        </is>
      </c>
      <c r="E336" s="8" t="inlineStr">
        <is>
          <t>Hydraulique</t>
        </is>
      </c>
      <c r="F336" s="8" t="inlineStr">
        <is>
          <t>PIECE_VEHICULE</t>
        </is>
      </c>
      <c r="G336" s="8" t="inlineStr">
        <is>
          <t>unité</t>
        </is>
      </c>
      <c r="H336" s="8" t="inlineStr">
        <is>
          <t>SMALL</t>
        </is>
      </c>
      <c r="I336" s="8" t="n">
        <v>5</v>
      </c>
      <c r="J336" s="8" t="inlineStr">
        <is>
          <t>C-02-01</t>
        </is>
      </c>
      <c r="K336" s="8" t="inlineStr"/>
      <c r="L336" s="10" t="n">
        <v>0</v>
      </c>
      <c r="M336" s="10" t="n">
        <v>0</v>
      </c>
      <c r="N336" s="10" t="n">
        <v>23</v>
      </c>
      <c r="O336" s="8" t="inlineStr">
        <is>
          <t>DEL</t>
        </is>
      </c>
      <c r="P336" s="8" t="inlineStr">
        <is>
          <t>IMPORTANT</t>
        </is>
      </c>
      <c r="Q336" s="8" t="inlineStr">
        <is>
          <t>WHAP</t>
        </is>
      </c>
      <c r="R336" s="8" t="inlineStr">
        <is>
          <t>OUI</t>
        </is>
      </c>
      <c r="S336" s="8" t="inlineStr">
        <is>
          <t>31/08/2026 02:59</t>
        </is>
      </c>
    </row>
    <row r="337">
      <c r="A337" s="7" t="inlineStr">
        <is>
          <t>WHAP-0333</t>
        </is>
      </c>
      <c r="B337" s="7" t="inlineStr">
        <is>
          <t>HYD-0333</t>
        </is>
      </c>
      <c r="C337" s="7" t="inlineStr">
        <is>
          <t>capteur pression hydraulique</t>
        </is>
      </c>
      <c r="D337" s="7" t="inlineStr">
        <is>
          <t>Hydraulique</t>
        </is>
      </c>
      <c r="E337" s="7" t="inlineStr">
        <is>
          <t>Hydraulique</t>
        </is>
      </c>
      <c r="F337" s="7" t="inlineStr">
        <is>
          <t>PIECE_VEHICULE</t>
        </is>
      </c>
      <c r="G337" s="7" t="inlineStr">
        <is>
          <t>unité</t>
        </is>
      </c>
      <c r="H337" s="7" t="inlineStr">
        <is>
          <t>SMALL</t>
        </is>
      </c>
      <c r="I337" s="7" t="n">
        <v>5</v>
      </c>
      <c r="J337" s="7" t="inlineStr">
        <is>
          <t>B-02-01</t>
        </is>
      </c>
      <c r="K337" s="7" t="inlineStr"/>
      <c r="L337" s="9" t="n">
        <v>0</v>
      </c>
      <c r="M337" s="9" t="n">
        <v>0</v>
      </c>
      <c r="N337" s="9" t="n">
        <v>24</v>
      </c>
      <c r="O337" s="7" t="inlineStr">
        <is>
          <t>SKF</t>
        </is>
      </c>
      <c r="P337" s="7" t="inlineStr">
        <is>
          <t>IMPORTANT</t>
        </is>
      </c>
      <c r="Q337" s="7" t="inlineStr">
        <is>
          <t>WHAP</t>
        </is>
      </c>
      <c r="R337" s="7" t="inlineStr">
        <is>
          <t>OUI</t>
        </is>
      </c>
      <c r="S337" s="7" t="inlineStr">
        <is>
          <t>31/08/2026 02:59</t>
        </is>
      </c>
    </row>
    <row r="338">
      <c r="A338" s="8" t="inlineStr">
        <is>
          <t>WHAP-0334</t>
        </is>
      </c>
      <c r="B338" s="8" t="inlineStr">
        <is>
          <t>HYD-0334</t>
        </is>
      </c>
      <c r="C338" s="8" t="inlineStr">
        <is>
          <t>refroidisseur d'huile hydraulique</t>
        </is>
      </c>
      <c r="D338" s="8" t="inlineStr">
        <is>
          <t>Hydraulique</t>
        </is>
      </c>
      <c r="E338" s="8" t="inlineStr">
        <is>
          <t>Hydraulique</t>
        </is>
      </c>
      <c r="F338" s="8" t="inlineStr">
        <is>
          <t>PIECE_VEHICULE</t>
        </is>
      </c>
      <c r="G338" s="8" t="inlineStr">
        <is>
          <t>unité</t>
        </is>
      </c>
      <c r="H338" s="8" t="inlineStr">
        <is>
          <t>SMALL</t>
        </is>
      </c>
      <c r="I338" s="8" t="n">
        <v>5</v>
      </c>
      <c r="J338" s="8" t="inlineStr">
        <is>
          <t>D-06-03</t>
        </is>
      </c>
      <c r="K338" s="8" t="inlineStr"/>
      <c r="L338" s="10" t="n">
        <v>0</v>
      </c>
      <c r="M338" s="10" t="n">
        <v>0</v>
      </c>
      <c r="N338" s="10" t="n">
        <v>23</v>
      </c>
      <c r="O338" s="8" t="inlineStr">
        <is>
          <t>VAL</t>
        </is>
      </c>
      <c r="P338" s="8" t="inlineStr">
        <is>
          <t>IMPORTANT</t>
        </is>
      </c>
      <c r="Q338" s="8" t="inlineStr">
        <is>
          <t>WHAP</t>
        </is>
      </c>
      <c r="R338" s="8" t="inlineStr">
        <is>
          <t>OUI</t>
        </is>
      </c>
      <c r="S338" s="8" t="inlineStr">
        <is>
          <t>31/08/2026 02:59</t>
        </is>
      </c>
    </row>
    <row r="339">
      <c r="A339" s="7" t="inlineStr">
        <is>
          <t>WHAP-0335</t>
        </is>
      </c>
      <c r="B339" s="7" t="inlineStr">
        <is>
          <t>HYD-0335</t>
        </is>
      </c>
      <c r="C339" s="7" t="inlineStr">
        <is>
          <t>bloc hydraulique</t>
        </is>
      </c>
      <c r="D339" s="7" t="inlineStr">
        <is>
          <t>Hydraulique</t>
        </is>
      </c>
      <c r="E339" s="7" t="inlineStr">
        <is>
          <t>Hydraulique</t>
        </is>
      </c>
      <c r="F339" s="7" t="inlineStr">
        <is>
          <t>PIECE_VEHICULE</t>
        </is>
      </c>
      <c r="G339" s="7" t="inlineStr">
        <is>
          <t>unité</t>
        </is>
      </c>
      <c r="H339" s="7" t="inlineStr">
        <is>
          <t>SMALL</t>
        </is>
      </c>
      <c r="I339" s="7" t="n">
        <v>5</v>
      </c>
      <c r="J339" s="7" t="inlineStr">
        <is>
          <t>F-06-03</t>
        </is>
      </c>
      <c r="K339" s="7" t="inlineStr"/>
      <c r="L339" s="9" t="n">
        <v>0</v>
      </c>
      <c r="M339" s="9" t="n">
        <v>0</v>
      </c>
      <c r="N339" s="9" t="n">
        <v>23</v>
      </c>
      <c r="O339" s="7" t="inlineStr">
        <is>
          <t>CTL</t>
        </is>
      </c>
      <c r="P339" s="7" t="inlineStr">
        <is>
          <t>IMPORTANT</t>
        </is>
      </c>
      <c r="Q339" s="7" t="inlineStr">
        <is>
          <t>WHAP</t>
        </is>
      </c>
      <c r="R339" s="7" t="inlineStr">
        <is>
          <t>OUI</t>
        </is>
      </c>
      <c r="S339" s="7" t="inlineStr">
        <is>
          <t>31/08/2026 02:59</t>
        </is>
      </c>
    </row>
    <row r="340">
      <c r="A340" s="8" t="inlineStr">
        <is>
          <t>WHAP-0336</t>
        </is>
      </c>
      <c r="B340" s="8" t="inlineStr">
        <is>
          <t>HYD-0336</t>
        </is>
      </c>
      <c r="C340" s="8" t="inlineStr">
        <is>
          <t>collecteur hydraulique</t>
        </is>
      </c>
      <c r="D340" s="8" t="inlineStr">
        <is>
          <t>Hydraulique</t>
        </is>
      </c>
      <c r="E340" s="8" t="inlineStr">
        <is>
          <t>Hydraulique</t>
        </is>
      </c>
      <c r="F340" s="8" t="inlineStr">
        <is>
          <t>PIECE_VEHICULE</t>
        </is>
      </c>
      <c r="G340" s="8" t="inlineStr">
        <is>
          <t>unité</t>
        </is>
      </c>
      <c r="H340" s="8" t="inlineStr">
        <is>
          <t>SMALL</t>
        </is>
      </c>
      <c r="I340" s="8" t="n">
        <v>5</v>
      </c>
      <c r="J340" s="8" t="inlineStr">
        <is>
          <t>C-03-01</t>
        </is>
      </c>
      <c r="K340" s="8" t="inlineStr"/>
      <c r="L340" s="10" t="n">
        <v>0</v>
      </c>
      <c r="M340" s="10" t="n">
        <v>0</v>
      </c>
      <c r="N340" s="10" t="n">
        <v>23</v>
      </c>
      <c r="O340" s="8" t="inlineStr">
        <is>
          <t>SUM</t>
        </is>
      </c>
      <c r="P340" s="8" t="inlineStr">
        <is>
          <t>IMPORTANT</t>
        </is>
      </c>
      <c r="Q340" s="8" t="inlineStr">
        <is>
          <t>WHAP</t>
        </is>
      </c>
      <c r="R340" s="8" t="inlineStr">
        <is>
          <t>OUI</t>
        </is>
      </c>
      <c r="S340" s="8" t="inlineStr">
        <is>
          <t>31/08/2026 02:59</t>
        </is>
      </c>
    </row>
    <row r="341">
      <c r="A341" s="7" t="inlineStr">
        <is>
          <t>WHAP-0337</t>
        </is>
      </c>
      <c r="B341" s="7" t="inlineStr">
        <is>
          <t>ELE-0337</t>
        </is>
      </c>
      <c r="C341" s="7" t="inlineStr">
        <is>
          <t>batterie</t>
        </is>
      </c>
      <c r="D341" s="7" t="inlineStr">
        <is>
          <t>Électricité</t>
        </is>
      </c>
      <c r="E341" s="7" t="inlineStr">
        <is>
          <t>Électricité</t>
        </is>
      </c>
      <c r="F341" s="7" t="inlineStr">
        <is>
          <t>PIECE_VEHICULE</t>
        </is>
      </c>
      <c r="G341" s="7" t="inlineStr">
        <is>
          <t>unité</t>
        </is>
      </c>
      <c r="H341" s="7" t="inlineStr">
        <is>
          <t>SMALL</t>
        </is>
      </c>
      <c r="I341" s="7" t="n">
        <v>5</v>
      </c>
      <c r="J341" s="7" t="inlineStr">
        <is>
          <t>C-02-02 : 160</t>
        </is>
      </c>
      <c r="K341" s="7" t="inlineStr"/>
      <c r="L341" s="9" t="n">
        <v>160</v>
      </c>
      <c r="M341" s="9" t="n">
        <v>160</v>
      </c>
      <c r="N341" s="9" t="n">
        <v>29</v>
      </c>
      <c r="O341" s="7" t="inlineStr">
        <is>
          <t>BOS</t>
        </is>
      </c>
      <c r="P341" s="7" t="inlineStr">
        <is>
          <t>IMPORTANT</t>
        </is>
      </c>
      <c r="Q341" s="7" t="inlineStr">
        <is>
          <t>WHAP</t>
        </is>
      </c>
      <c r="R341" s="7" t="inlineStr">
        <is>
          <t>OUI</t>
        </is>
      </c>
      <c r="S341" s="7" t="inlineStr">
        <is>
          <t>31/08/2026 02:59</t>
        </is>
      </c>
    </row>
    <row r="342">
      <c r="A342" s="8" t="inlineStr">
        <is>
          <t>WHAP-0338</t>
        </is>
      </c>
      <c r="B342" s="8" t="inlineStr">
        <is>
          <t>ELE-0338</t>
        </is>
      </c>
      <c r="C342" s="8" t="inlineStr">
        <is>
          <t>bac batterie</t>
        </is>
      </c>
      <c r="D342" s="8" t="inlineStr">
        <is>
          <t>Électricité</t>
        </is>
      </c>
      <c r="E342" s="8" t="inlineStr">
        <is>
          <t>Électricité</t>
        </is>
      </c>
      <c r="F342" s="8" t="inlineStr">
        <is>
          <t>PIECE_VEHICULE</t>
        </is>
      </c>
      <c r="G342" s="8" t="inlineStr">
        <is>
          <t>unité</t>
        </is>
      </c>
      <c r="H342" s="8" t="inlineStr">
        <is>
          <t>SMALL</t>
        </is>
      </c>
      <c r="I342" s="8" t="n">
        <v>5</v>
      </c>
      <c r="J342" s="8" t="inlineStr">
        <is>
          <t>A-01-01 : 90</t>
        </is>
      </c>
      <c r="K342" s="8" t="inlineStr"/>
      <c r="L342" s="10" t="n">
        <v>90</v>
      </c>
      <c r="M342" s="10" t="n">
        <v>90</v>
      </c>
      <c r="N342" s="10" t="n">
        <v>29</v>
      </c>
      <c r="O342" s="8" t="inlineStr">
        <is>
          <t>MAG</t>
        </is>
      </c>
      <c r="P342" s="8" t="inlineStr">
        <is>
          <t>IMPORTANT</t>
        </is>
      </c>
      <c r="Q342" s="8" t="inlineStr">
        <is>
          <t>WHAP</t>
        </is>
      </c>
      <c r="R342" s="8" t="inlineStr">
        <is>
          <t>OUI</t>
        </is>
      </c>
      <c r="S342" s="8" t="inlineStr">
        <is>
          <t>31/08/2026 02:59</t>
        </is>
      </c>
    </row>
    <row r="343">
      <c r="A343" s="7" t="inlineStr">
        <is>
          <t>WHAP-0339</t>
        </is>
      </c>
      <c r="B343" s="7" t="inlineStr">
        <is>
          <t>ELE-0339</t>
        </is>
      </c>
      <c r="C343" s="7" t="inlineStr">
        <is>
          <t>coupe-batterie</t>
        </is>
      </c>
      <c r="D343" s="7" t="inlineStr">
        <is>
          <t>Électricité</t>
        </is>
      </c>
      <c r="E343" s="7" t="inlineStr">
        <is>
          <t>Électricité</t>
        </is>
      </c>
      <c r="F343" s="7" t="inlineStr">
        <is>
          <t>PIECE_VEHICULE</t>
        </is>
      </c>
      <c r="G343" s="7" t="inlineStr">
        <is>
          <t>unité</t>
        </is>
      </c>
      <c r="H343" s="7" t="inlineStr">
        <is>
          <t>SMALL</t>
        </is>
      </c>
      <c r="I343" s="7" t="n">
        <v>5</v>
      </c>
      <c r="J343" s="7" t="inlineStr">
        <is>
          <t>E-05-03</t>
        </is>
      </c>
      <c r="K343" s="7" t="inlineStr"/>
      <c r="L343" s="9" t="n">
        <v>0</v>
      </c>
      <c r="M343" s="9" t="n">
        <v>0</v>
      </c>
      <c r="N343" s="9" t="n">
        <v>31</v>
      </c>
      <c r="O343" s="7" t="inlineStr">
        <is>
          <t>HEL</t>
        </is>
      </c>
      <c r="P343" s="7" t="inlineStr">
        <is>
          <t>IMPORTANT</t>
        </is>
      </c>
      <c r="Q343" s="7" t="inlineStr">
        <is>
          <t>WHAP</t>
        </is>
      </c>
      <c r="R343" s="7" t="inlineStr">
        <is>
          <t>OUI</t>
        </is>
      </c>
      <c r="S343" s="7" t="inlineStr">
        <is>
          <t>31/08/2026 02:59</t>
        </is>
      </c>
    </row>
    <row r="344">
      <c r="A344" s="8" t="inlineStr">
        <is>
          <t>WHAP-0340</t>
        </is>
      </c>
      <c r="B344" s="8" t="inlineStr">
        <is>
          <t>ELE-0340</t>
        </is>
      </c>
      <c r="C344" s="8" t="inlineStr">
        <is>
          <t>câble positif</t>
        </is>
      </c>
      <c r="D344" s="8" t="inlineStr">
        <is>
          <t>Électricité</t>
        </is>
      </c>
      <c r="E344" s="8" t="inlineStr">
        <is>
          <t>Électricité</t>
        </is>
      </c>
      <c r="F344" s="8" t="inlineStr">
        <is>
          <t>PIECE_VEHICULE</t>
        </is>
      </c>
      <c r="G344" s="8" t="inlineStr">
        <is>
          <t>unité</t>
        </is>
      </c>
      <c r="H344" s="8" t="inlineStr">
        <is>
          <t>SMALL</t>
        </is>
      </c>
      <c r="I344" s="8" t="n">
        <v>5</v>
      </c>
      <c r="J344" s="8" t="inlineStr">
        <is>
          <t>E-02-02</t>
        </is>
      </c>
      <c r="K344" s="8" t="inlineStr"/>
      <c r="L344" s="10" t="n">
        <v>0</v>
      </c>
      <c r="M344" s="10" t="n">
        <v>0</v>
      </c>
      <c r="N344" s="10" t="n">
        <v>32</v>
      </c>
      <c r="O344" s="8" t="inlineStr">
        <is>
          <t>BOS</t>
        </is>
      </c>
      <c r="P344" s="8" t="inlineStr">
        <is>
          <t>IMPORTANT</t>
        </is>
      </c>
      <c r="Q344" s="8" t="inlineStr">
        <is>
          <t>WHAP</t>
        </is>
      </c>
      <c r="R344" s="8" t="inlineStr">
        <is>
          <t>OUI</t>
        </is>
      </c>
      <c r="S344" s="8" t="inlineStr">
        <is>
          <t>31/08/2026 02:59</t>
        </is>
      </c>
    </row>
    <row r="345">
      <c r="A345" s="7" t="inlineStr">
        <is>
          <t>WHAP-0341</t>
        </is>
      </c>
      <c r="B345" s="7" t="inlineStr">
        <is>
          <t>ELE-0341</t>
        </is>
      </c>
      <c r="C345" s="7" t="inlineStr">
        <is>
          <t>câble négatif</t>
        </is>
      </c>
      <c r="D345" s="7" t="inlineStr">
        <is>
          <t>Électricité</t>
        </is>
      </c>
      <c r="E345" s="7" t="inlineStr">
        <is>
          <t>Électricité</t>
        </is>
      </c>
      <c r="F345" s="7" t="inlineStr">
        <is>
          <t>PIECE_VEHICULE</t>
        </is>
      </c>
      <c r="G345" s="7" t="inlineStr">
        <is>
          <t>unité</t>
        </is>
      </c>
      <c r="H345" s="7" t="inlineStr">
        <is>
          <t>SMALL</t>
        </is>
      </c>
      <c r="I345" s="7" t="n">
        <v>5</v>
      </c>
      <c r="J345" s="7" t="inlineStr">
        <is>
          <t>A-01-02</t>
        </is>
      </c>
      <c r="K345" s="7" t="inlineStr"/>
      <c r="L345" s="9" t="n">
        <v>0</v>
      </c>
      <c r="M345" s="9" t="n">
        <v>0</v>
      </c>
      <c r="N345" s="9" t="n">
        <v>29</v>
      </c>
      <c r="O345" s="7" t="inlineStr">
        <is>
          <t>SUM</t>
        </is>
      </c>
      <c r="P345" s="7" t="inlineStr">
        <is>
          <t>IMPORTANT</t>
        </is>
      </c>
      <c r="Q345" s="7" t="inlineStr">
        <is>
          <t>WHAP</t>
        </is>
      </c>
      <c r="R345" s="7" t="inlineStr">
        <is>
          <t>OUI</t>
        </is>
      </c>
      <c r="S345" s="7" t="inlineStr">
        <is>
          <t>31/08/2026 02:59</t>
        </is>
      </c>
    </row>
    <row r="346">
      <c r="A346" s="8" t="inlineStr">
        <is>
          <t>WHAP-0342</t>
        </is>
      </c>
      <c r="B346" s="8" t="inlineStr">
        <is>
          <t>ELE-0342</t>
        </is>
      </c>
      <c r="C346" s="8" t="inlineStr">
        <is>
          <t>cosse batterie</t>
        </is>
      </c>
      <c r="D346" s="8" t="inlineStr">
        <is>
          <t>Électricité</t>
        </is>
      </c>
      <c r="E346" s="8" t="inlineStr">
        <is>
          <t>Électricité</t>
        </is>
      </c>
      <c r="F346" s="8" t="inlineStr">
        <is>
          <t>PIECE_VEHICULE</t>
        </is>
      </c>
      <c r="G346" s="8" t="inlineStr">
        <is>
          <t>unité</t>
        </is>
      </c>
      <c r="H346" s="8" t="inlineStr">
        <is>
          <t>SMALL</t>
        </is>
      </c>
      <c r="I346" s="8" t="n">
        <v>5</v>
      </c>
      <c r="J346" s="8" t="inlineStr">
        <is>
          <t>D-06-03</t>
        </is>
      </c>
      <c r="K346" s="8" t="inlineStr"/>
      <c r="L346" s="10" t="n">
        <v>0</v>
      </c>
      <c r="M346" s="10" t="n">
        <v>0</v>
      </c>
      <c r="N346" s="10" t="n">
        <v>24</v>
      </c>
      <c r="O346" s="8" t="inlineStr">
        <is>
          <t>CTL</t>
        </is>
      </c>
      <c r="P346" s="8" t="inlineStr">
        <is>
          <t>IMPORTANT</t>
        </is>
      </c>
      <c r="Q346" s="8" t="inlineStr">
        <is>
          <t>WHAP</t>
        </is>
      </c>
      <c r="R346" s="8" t="inlineStr">
        <is>
          <t>OUI</t>
        </is>
      </c>
      <c r="S346" s="8" t="inlineStr">
        <is>
          <t>31/08/2026 02:59</t>
        </is>
      </c>
    </row>
    <row r="347">
      <c r="A347" s="7" t="inlineStr">
        <is>
          <t>WHAP-0343</t>
        </is>
      </c>
      <c r="B347" s="7" t="inlineStr">
        <is>
          <t>ELE-0343</t>
        </is>
      </c>
      <c r="C347" s="7" t="inlineStr">
        <is>
          <t>alternateur</t>
        </is>
      </c>
      <c r="D347" s="7" t="inlineStr">
        <is>
          <t>Électricité</t>
        </is>
      </c>
      <c r="E347" s="7" t="inlineStr">
        <is>
          <t>Électricité</t>
        </is>
      </c>
      <c r="F347" s="7" t="inlineStr">
        <is>
          <t>PIECE_VEHICULE</t>
        </is>
      </c>
      <c r="G347" s="7" t="inlineStr">
        <is>
          <t>unité</t>
        </is>
      </c>
      <c r="H347" s="7" t="inlineStr">
        <is>
          <t>SMALL</t>
        </is>
      </c>
      <c r="I347" s="7" t="n">
        <v>5</v>
      </c>
      <c r="J347" s="7" t="inlineStr">
        <is>
          <t>D-04-01</t>
        </is>
      </c>
      <c r="K347" s="7" t="inlineStr"/>
      <c r="L347" s="9" t="n">
        <v>0</v>
      </c>
      <c r="M347" s="9" t="n">
        <v>0</v>
      </c>
      <c r="N347" s="9" t="n">
        <v>24</v>
      </c>
      <c r="O347" s="7" t="inlineStr">
        <is>
          <t>YZK</t>
        </is>
      </c>
      <c r="P347" s="7" t="inlineStr">
        <is>
          <t>IMPORTANT</t>
        </is>
      </c>
      <c r="Q347" s="7" t="inlineStr">
        <is>
          <t>WHAP</t>
        </is>
      </c>
      <c r="R347" s="7" t="inlineStr">
        <is>
          <t>OUI</t>
        </is>
      </c>
      <c r="S347" s="7" t="inlineStr">
        <is>
          <t>31/08/2026 02:59</t>
        </is>
      </c>
    </row>
    <row r="348">
      <c r="A348" s="8" t="inlineStr">
        <is>
          <t>WHAP-0344</t>
        </is>
      </c>
      <c r="B348" s="8" t="inlineStr">
        <is>
          <t>ELE-0344</t>
        </is>
      </c>
      <c r="C348" s="8" t="inlineStr">
        <is>
          <t>démarreur</t>
        </is>
      </c>
      <c r="D348" s="8" t="inlineStr">
        <is>
          <t>Électricité</t>
        </is>
      </c>
      <c r="E348" s="8" t="inlineStr">
        <is>
          <t>Électricité</t>
        </is>
      </c>
      <c r="F348" s="8" t="inlineStr">
        <is>
          <t>PIECE_VEHICULE</t>
        </is>
      </c>
      <c r="G348" s="8" t="inlineStr">
        <is>
          <t>unité</t>
        </is>
      </c>
      <c r="H348" s="8" t="inlineStr">
        <is>
          <t>SMALL</t>
        </is>
      </c>
      <c r="I348" s="8" t="n">
        <v>5</v>
      </c>
      <c r="J348" s="8" t="inlineStr">
        <is>
          <t>A-04-03</t>
        </is>
      </c>
      <c r="K348" s="8" t="inlineStr"/>
      <c r="L348" s="10" t="n">
        <v>0</v>
      </c>
      <c r="M348" s="10" t="n">
        <v>0</v>
      </c>
      <c r="N348" s="10" t="n">
        <v>31</v>
      </c>
      <c r="O348" s="8" t="inlineStr">
        <is>
          <t>SUM</t>
        </is>
      </c>
      <c r="P348" s="8" t="inlineStr">
        <is>
          <t>IMPORTANT</t>
        </is>
      </c>
      <c r="Q348" s="8" t="inlineStr">
        <is>
          <t>WHAP</t>
        </is>
      </c>
      <c r="R348" s="8" t="inlineStr">
        <is>
          <t>OUI</t>
        </is>
      </c>
      <c r="S348" s="8" t="inlineStr">
        <is>
          <t>31/08/2026 02:59</t>
        </is>
      </c>
    </row>
    <row r="349">
      <c r="A349" s="7" t="inlineStr">
        <is>
          <t>WHAP-0345</t>
        </is>
      </c>
      <c r="B349" s="7" t="inlineStr">
        <is>
          <t>ELE-0345</t>
        </is>
      </c>
      <c r="C349" s="7" t="inlineStr">
        <is>
          <t>relais principal</t>
        </is>
      </c>
      <c r="D349" s="7" t="inlineStr">
        <is>
          <t>Électricité</t>
        </is>
      </c>
      <c r="E349" s="7" t="inlineStr">
        <is>
          <t>Électricité</t>
        </is>
      </c>
      <c r="F349" s="7" t="inlineStr">
        <is>
          <t>PIECE_VEHICULE</t>
        </is>
      </c>
      <c r="G349" s="7" t="inlineStr">
        <is>
          <t>unité</t>
        </is>
      </c>
      <c r="H349" s="7" t="inlineStr">
        <is>
          <t>SMALL</t>
        </is>
      </c>
      <c r="I349" s="7" t="n">
        <v>5</v>
      </c>
      <c r="J349" s="7" t="inlineStr">
        <is>
          <t>F-04-04</t>
        </is>
      </c>
      <c r="K349" s="7" t="inlineStr"/>
      <c r="L349" s="9" t="n">
        <v>0</v>
      </c>
      <c r="M349" s="9" t="n">
        <v>0</v>
      </c>
      <c r="N349" s="9" t="n">
        <v>26</v>
      </c>
      <c r="O349" s="7" t="inlineStr">
        <is>
          <t>SKF</t>
        </is>
      </c>
      <c r="P349" s="7" t="inlineStr">
        <is>
          <t>IMPORTANT</t>
        </is>
      </c>
      <c r="Q349" s="7" t="inlineStr">
        <is>
          <t>WHAP</t>
        </is>
      </c>
      <c r="R349" s="7" t="inlineStr">
        <is>
          <t>OUI</t>
        </is>
      </c>
      <c r="S349" s="7" t="inlineStr">
        <is>
          <t>31/08/2026 02:59</t>
        </is>
      </c>
    </row>
    <row r="350">
      <c r="A350" s="8" t="inlineStr">
        <is>
          <t>WHAP-0346</t>
        </is>
      </c>
      <c r="B350" s="8" t="inlineStr">
        <is>
          <t>ELE-0346</t>
        </is>
      </c>
      <c r="C350" s="8" t="inlineStr">
        <is>
          <t>boîtier fusibles</t>
        </is>
      </c>
      <c r="D350" s="8" t="inlineStr">
        <is>
          <t>Électricité</t>
        </is>
      </c>
      <c r="E350" s="8" t="inlineStr">
        <is>
          <t>Électricité</t>
        </is>
      </c>
      <c r="F350" s="8" t="inlineStr">
        <is>
          <t>PIECE_VEHICULE</t>
        </is>
      </c>
      <c r="G350" s="8" t="inlineStr">
        <is>
          <t>unité</t>
        </is>
      </c>
      <c r="H350" s="8" t="inlineStr">
        <is>
          <t>SMALL</t>
        </is>
      </c>
      <c r="I350" s="8" t="n">
        <v>5</v>
      </c>
      <c r="J350" s="8" t="inlineStr">
        <is>
          <t>D-03-02</t>
        </is>
      </c>
      <c r="K350" s="8" t="inlineStr"/>
      <c r="L350" s="10" t="n">
        <v>0</v>
      </c>
      <c r="M350" s="10" t="n">
        <v>0</v>
      </c>
      <c r="N350" s="10" t="n">
        <v>25</v>
      </c>
      <c r="O350" s="8" t="inlineStr">
        <is>
          <t>YZK</t>
        </is>
      </c>
      <c r="P350" s="8" t="inlineStr">
        <is>
          <t>IMPORTANT</t>
        </is>
      </c>
      <c r="Q350" s="8" t="inlineStr">
        <is>
          <t>WHAP</t>
        </is>
      </c>
      <c r="R350" s="8" t="inlineStr">
        <is>
          <t>OUI</t>
        </is>
      </c>
      <c r="S350" s="8" t="inlineStr">
        <is>
          <t>31/08/2026 02:59</t>
        </is>
      </c>
    </row>
    <row r="351">
      <c r="A351" s="7" t="inlineStr">
        <is>
          <t>WHAP-0347</t>
        </is>
      </c>
      <c r="B351" s="7" t="inlineStr">
        <is>
          <t>ELE-0347</t>
        </is>
      </c>
      <c r="C351" s="7" t="inlineStr">
        <is>
          <t>fusible</t>
        </is>
      </c>
      <c r="D351" s="7" t="inlineStr">
        <is>
          <t>Électricité</t>
        </is>
      </c>
      <c r="E351" s="7" t="inlineStr">
        <is>
          <t>Électricité</t>
        </is>
      </c>
      <c r="F351" s="7" t="inlineStr">
        <is>
          <t>PIECE_VEHICULE</t>
        </is>
      </c>
      <c r="G351" s="7" t="inlineStr">
        <is>
          <t>unité</t>
        </is>
      </c>
      <c r="H351" s="7" t="inlineStr">
        <is>
          <t>SMALL</t>
        </is>
      </c>
      <c r="I351" s="7" t="n">
        <v>5</v>
      </c>
      <c r="J351" s="7" t="inlineStr">
        <is>
          <t>D-04-03</t>
        </is>
      </c>
      <c r="K351" s="7" t="inlineStr"/>
      <c r="L351" s="9" t="n">
        <v>0</v>
      </c>
      <c r="M351" s="9" t="n">
        <v>0</v>
      </c>
      <c r="N351" s="9" t="n">
        <v>29</v>
      </c>
      <c r="O351" s="7" t="inlineStr">
        <is>
          <t>CTL</t>
        </is>
      </c>
      <c r="P351" s="7" t="inlineStr">
        <is>
          <t>IMPORTANT</t>
        </is>
      </c>
      <c r="Q351" s="7" t="inlineStr">
        <is>
          <t>WHAP</t>
        </is>
      </c>
      <c r="R351" s="7" t="inlineStr">
        <is>
          <t>OUI</t>
        </is>
      </c>
      <c r="S351" s="7" t="inlineStr">
        <is>
          <t>31/08/2026 02:59</t>
        </is>
      </c>
    </row>
    <row r="352">
      <c r="A352" s="8" t="inlineStr">
        <is>
          <t>WHAP-0348</t>
        </is>
      </c>
      <c r="B352" s="8" t="inlineStr">
        <is>
          <t>ELE-0348</t>
        </is>
      </c>
      <c r="C352" s="8" t="inlineStr">
        <is>
          <t>disjoncteur</t>
        </is>
      </c>
      <c r="D352" s="8" t="inlineStr">
        <is>
          <t>Électricité</t>
        </is>
      </c>
      <c r="E352" s="8" t="inlineStr">
        <is>
          <t>Électricité</t>
        </is>
      </c>
      <c r="F352" s="8" t="inlineStr">
        <is>
          <t>PIECE_VEHICULE</t>
        </is>
      </c>
      <c r="G352" s="8" t="inlineStr">
        <is>
          <t>unité</t>
        </is>
      </c>
      <c r="H352" s="8" t="inlineStr">
        <is>
          <t>SMALL</t>
        </is>
      </c>
      <c r="I352" s="8" t="n">
        <v>5</v>
      </c>
      <c r="J352" s="8" t="inlineStr">
        <is>
          <t>F-02-03</t>
        </is>
      </c>
      <c r="K352" s="8" t="inlineStr"/>
      <c r="L352" s="10" t="n">
        <v>0</v>
      </c>
      <c r="M352" s="10" t="n">
        <v>0</v>
      </c>
      <c r="N352" s="10" t="n">
        <v>30</v>
      </c>
      <c r="O352" s="8" t="inlineStr">
        <is>
          <t>FAU</t>
        </is>
      </c>
      <c r="P352" s="8" t="inlineStr">
        <is>
          <t>IMPORTANT</t>
        </is>
      </c>
      <c r="Q352" s="8" t="inlineStr">
        <is>
          <t>WHAP</t>
        </is>
      </c>
      <c r="R352" s="8" t="inlineStr">
        <is>
          <t>OUI</t>
        </is>
      </c>
      <c r="S352" s="8" t="inlineStr">
        <is>
          <t>31/08/2026 02:59</t>
        </is>
      </c>
    </row>
    <row r="353">
      <c r="A353" s="7" t="inlineStr">
        <is>
          <t>WHAP-0349</t>
        </is>
      </c>
      <c r="B353" s="7" t="inlineStr">
        <is>
          <t>ELE-0349</t>
        </is>
      </c>
      <c r="C353" s="7" t="inlineStr">
        <is>
          <t>contacteur</t>
        </is>
      </c>
      <c r="D353" s="7" t="inlineStr">
        <is>
          <t>Électricité</t>
        </is>
      </c>
      <c r="E353" s="7" t="inlineStr">
        <is>
          <t>Électricité</t>
        </is>
      </c>
      <c r="F353" s="7" t="inlineStr">
        <is>
          <t>PIECE_VEHICULE</t>
        </is>
      </c>
      <c r="G353" s="7" t="inlineStr">
        <is>
          <t>unité</t>
        </is>
      </c>
      <c r="H353" s="7" t="inlineStr">
        <is>
          <t>SMALL</t>
        </is>
      </c>
      <c r="I353" s="7" t="n">
        <v>5</v>
      </c>
      <c r="J353" s="7" t="inlineStr">
        <is>
          <t>D-02-04</t>
        </is>
      </c>
      <c r="K353" s="7" t="inlineStr"/>
      <c r="L353" s="9" t="n">
        <v>0</v>
      </c>
      <c r="M353" s="9" t="n">
        <v>0</v>
      </c>
      <c r="N353" s="9" t="n">
        <v>31</v>
      </c>
      <c r="O353" s="7" t="inlineStr">
        <is>
          <t>CTL</t>
        </is>
      </c>
      <c r="P353" s="7" t="inlineStr">
        <is>
          <t>IMPORTANT</t>
        </is>
      </c>
      <c r="Q353" s="7" t="inlineStr">
        <is>
          <t>WHAP</t>
        </is>
      </c>
      <c r="R353" s="7" t="inlineStr">
        <is>
          <t>OUI</t>
        </is>
      </c>
      <c r="S353" s="7" t="inlineStr">
        <is>
          <t>31/08/2026 02:59</t>
        </is>
      </c>
    </row>
    <row r="354">
      <c r="A354" s="8" t="inlineStr">
        <is>
          <t>WHAP-0350</t>
        </is>
      </c>
      <c r="B354" s="8" t="inlineStr">
        <is>
          <t>ELE-0350</t>
        </is>
      </c>
      <c r="C354" s="8" t="inlineStr">
        <is>
          <t>convertisseur DC-DC</t>
        </is>
      </c>
      <c r="D354" s="8" t="inlineStr">
        <is>
          <t>Électricité</t>
        </is>
      </c>
      <c r="E354" s="8" t="inlineStr">
        <is>
          <t>Électricité</t>
        </is>
      </c>
      <c r="F354" s="8" t="inlineStr">
        <is>
          <t>PIECE_VEHICULE</t>
        </is>
      </c>
      <c r="G354" s="8" t="inlineStr">
        <is>
          <t>unité</t>
        </is>
      </c>
      <c r="H354" s="8" t="inlineStr">
        <is>
          <t>SMALL</t>
        </is>
      </c>
      <c r="I354" s="8" t="n">
        <v>5</v>
      </c>
      <c r="J354" s="8" t="inlineStr">
        <is>
          <t>D-04-01</t>
        </is>
      </c>
      <c r="K354" s="8" t="inlineStr"/>
      <c r="L354" s="10" t="n">
        <v>0</v>
      </c>
      <c r="M354" s="10" t="n">
        <v>0</v>
      </c>
      <c r="N354" s="10" t="n">
        <v>24</v>
      </c>
      <c r="O354" s="8" t="inlineStr">
        <is>
          <t>CTL</t>
        </is>
      </c>
      <c r="P354" s="8" t="inlineStr">
        <is>
          <t>IMPORTANT</t>
        </is>
      </c>
      <c r="Q354" s="8" t="inlineStr">
        <is>
          <t>WHAP</t>
        </is>
      </c>
      <c r="R354" s="8" t="inlineStr">
        <is>
          <t>OUI</t>
        </is>
      </c>
      <c r="S354" s="8" t="inlineStr">
        <is>
          <t>31/08/2026 02:59</t>
        </is>
      </c>
    </row>
    <row r="355">
      <c r="A355" s="7" t="inlineStr">
        <is>
          <t>WHAP-0351</t>
        </is>
      </c>
      <c r="B355" s="7" t="inlineStr">
        <is>
          <t>ELE-0351</t>
        </is>
      </c>
      <c r="C355" s="7" t="inlineStr">
        <is>
          <t>onduleur</t>
        </is>
      </c>
      <c r="D355" s="7" t="inlineStr">
        <is>
          <t>Électricité</t>
        </is>
      </c>
      <c r="E355" s="7" t="inlineStr">
        <is>
          <t>Électricité</t>
        </is>
      </c>
      <c r="F355" s="7" t="inlineStr">
        <is>
          <t>PIECE_VEHICULE</t>
        </is>
      </c>
      <c r="G355" s="7" t="inlineStr">
        <is>
          <t>unité</t>
        </is>
      </c>
      <c r="H355" s="7" t="inlineStr">
        <is>
          <t>SMALL</t>
        </is>
      </c>
      <c r="I355" s="7" t="n">
        <v>5</v>
      </c>
      <c r="J355" s="7" t="inlineStr">
        <is>
          <t>C-03-02</t>
        </is>
      </c>
      <c r="K355" s="7" t="inlineStr"/>
      <c r="L355" s="9" t="n">
        <v>0</v>
      </c>
      <c r="M355" s="9" t="n">
        <v>0</v>
      </c>
      <c r="N355" s="9" t="n">
        <v>23</v>
      </c>
      <c r="O355" s="7" t="inlineStr">
        <is>
          <t>DEL</t>
        </is>
      </c>
      <c r="P355" s="7" t="inlineStr">
        <is>
          <t>IMPORTANT</t>
        </is>
      </c>
      <c r="Q355" s="7" t="inlineStr">
        <is>
          <t>WHAP</t>
        </is>
      </c>
      <c r="R355" s="7" t="inlineStr">
        <is>
          <t>OUI</t>
        </is>
      </c>
      <c r="S355" s="7" t="inlineStr">
        <is>
          <t>31/08/2026 02:59</t>
        </is>
      </c>
    </row>
    <row r="356">
      <c r="A356" s="8" t="inlineStr">
        <is>
          <t>WHAP-0352</t>
        </is>
      </c>
      <c r="B356" s="8" t="inlineStr">
        <is>
          <t>ELE-0352</t>
        </is>
      </c>
      <c r="C356" s="8" t="inlineStr">
        <is>
          <t>chargeur</t>
        </is>
      </c>
      <c r="D356" s="8" t="inlineStr">
        <is>
          <t>Électricité</t>
        </is>
      </c>
      <c r="E356" s="8" t="inlineStr">
        <is>
          <t>Électricité</t>
        </is>
      </c>
      <c r="F356" s="8" t="inlineStr">
        <is>
          <t>PIECE_VEHICULE</t>
        </is>
      </c>
      <c r="G356" s="8" t="inlineStr">
        <is>
          <t>unité</t>
        </is>
      </c>
      <c r="H356" s="8" t="inlineStr">
        <is>
          <t>SMALL</t>
        </is>
      </c>
      <c r="I356" s="8" t="n">
        <v>5</v>
      </c>
      <c r="J356" s="8" t="inlineStr">
        <is>
          <t>A-02-01</t>
        </is>
      </c>
      <c r="K356" s="8" t="inlineStr"/>
      <c r="L356" s="10" t="n">
        <v>0</v>
      </c>
      <c r="M356" s="10" t="n">
        <v>0</v>
      </c>
      <c r="N356" s="10" t="n">
        <v>23</v>
      </c>
      <c r="O356" s="8" t="inlineStr">
        <is>
          <t>BOS</t>
        </is>
      </c>
      <c r="P356" s="8" t="inlineStr">
        <is>
          <t>IMPORTANT</t>
        </is>
      </c>
      <c r="Q356" s="8" t="inlineStr">
        <is>
          <t>WHAP</t>
        </is>
      </c>
      <c r="R356" s="8" t="inlineStr">
        <is>
          <t>OUI</t>
        </is>
      </c>
      <c r="S356" s="8" t="inlineStr">
        <is>
          <t>31/08/2026 02:59</t>
        </is>
      </c>
    </row>
    <row r="357">
      <c r="A357" s="7" t="inlineStr">
        <is>
          <t>WHAP-0353</t>
        </is>
      </c>
      <c r="B357" s="7" t="inlineStr">
        <is>
          <t>ELE-0353</t>
        </is>
      </c>
      <c r="C357" s="7" t="inlineStr">
        <is>
          <t>barrette de masse</t>
        </is>
      </c>
      <c r="D357" s="7" t="inlineStr">
        <is>
          <t>Électricité</t>
        </is>
      </c>
      <c r="E357" s="7" t="inlineStr">
        <is>
          <t>Électricité</t>
        </is>
      </c>
      <c r="F357" s="7" t="inlineStr">
        <is>
          <t>PIECE_VEHICULE</t>
        </is>
      </c>
      <c r="G357" s="7" t="inlineStr">
        <is>
          <t>unité</t>
        </is>
      </c>
      <c r="H357" s="7" t="inlineStr">
        <is>
          <t>SMALL</t>
        </is>
      </c>
      <c r="I357" s="7" t="n">
        <v>5</v>
      </c>
      <c r="J357" s="7" t="inlineStr">
        <is>
          <t>B-06-01</t>
        </is>
      </c>
      <c r="K357" s="7" t="inlineStr"/>
      <c r="L357" s="9" t="n">
        <v>0</v>
      </c>
      <c r="M357" s="9" t="n">
        <v>0</v>
      </c>
      <c r="N357" s="9" t="n">
        <v>30</v>
      </c>
      <c r="O357" s="7" t="inlineStr">
        <is>
          <t>CTL</t>
        </is>
      </c>
      <c r="P357" s="7" t="inlineStr">
        <is>
          <t>IMPORTANT</t>
        </is>
      </c>
      <c r="Q357" s="7" t="inlineStr">
        <is>
          <t>WHAP</t>
        </is>
      </c>
      <c r="R357" s="7" t="inlineStr">
        <is>
          <t>OUI</t>
        </is>
      </c>
      <c r="S357" s="7" t="inlineStr">
        <is>
          <t>31/08/2026 02:59</t>
        </is>
      </c>
    </row>
    <row r="358">
      <c r="A358" s="8" t="inlineStr">
        <is>
          <t>WHAP-0354</t>
        </is>
      </c>
      <c r="B358" s="8" t="inlineStr">
        <is>
          <t>ELE-0354</t>
        </is>
      </c>
      <c r="C358" s="8" t="inlineStr">
        <is>
          <t>point de masse</t>
        </is>
      </c>
      <c r="D358" s="8" t="inlineStr">
        <is>
          <t>Électricité</t>
        </is>
      </c>
      <c r="E358" s="8" t="inlineStr">
        <is>
          <t>Électricité</t>
        </is>
      </c>
      <c r="F358" s="8" t="inlineStr">
        <is>
          <t>PIECE_VEHICULE</t>
        </is>
      </c>
      <c r="G358" s="8" t="inlineStr">
        <is>
          <t>unité</t>
        </is>
      </c>
      <c r="H358" s="8" t="inlineStr">
        <is>
          <t>SMALL</t>
        </is>
      </c>
      <c r="I358" s="8" t="n">
        <v>5</v>
      </c>
      <c r="J358" s="8" t="inlineStr">
        <is>
          <t>B-02-02</t>
        </is>
      </c>
      <c r="K358" s="8" t="inlineStr"/>
      <c r="L358" s="10" t="n">
        <v>0</v>
      </c>
      <c r="M358" s="10" t="n">
        <v>0</v>
      </c>
      <c r="N358" s="10" t="n">
        <v>26</v>
      </c>
      <c r="O358" s="8" t="inlineStr">
        <is>
          <t>YZK</t>
        </is>
      </c>
      <c r="P358" s="8" t="inlineStr">
        <is>
          <t>IMPORTANT</t>
        </is>
      </c>
      <c r="Q358" s="8" t="inlineStr">
        <is>
          <t>WHAP</t>
        </is>
      </c>
      <c r="R358" s="8" t="inlineStr">
        <is>
          <t>OUI</t>
        </is>
      </c>
      <c r="S358" s="8" t="inlineStr">
        <is>
          <t>31/08/2026 02:59</t>
        </is>
      </c>
    </row>
    <row r="359">
      <c r="A359" s="7" t="inlineStr">
        <is>
          <t>WHAP-0355</t>
        </is>
      </c>
      <c r="B359" s="7" t="inlineStr">
        <is>
          <t>ELE-0355</t>
        </is>
      </c>
      <c r="C359" s="7" t="inlineStr">
        <is>
          <t>faisceau moteur</t>
        </is>
      </c>
      <c r="D359" s="7" t="inlineStr">
        <is>
          <t>Électricité</t>
        </is>
      </c>
      <c r="E359" s="7" t="inlineStr">
        <is>
          <t>Électricité</t>
        </is>
      </c>
      <c r="F359" s="7" t="inlineStr">
        <is>
          <t>PIECE_VEHICULE</t>
        </is>
      </c>
      <c r="G359" s="7" t="inlineStr">
        <is>
          <t>unité</t>
        </is>
      </c>
      <c r="H359" s="7" t="inlineStr">
        <is>
          <t>SMALL</t>
        </is>
      </c>
      <c r="I359" s="7" t="n">
        <v>5</v>
      </c>
      <c r="J359" s="7" t="inlineStr">
        <is>
          <t>C-04-01</t>
        </is>
      </c>
      <c r="K359" s="7" t="inlineStr"/>
      <c r="L359" s="9" t="n">
        <v>0</v>
      </c>
      <c r="M359" s="9" t="n">
        <v>0</v>
      </c>
      <c r="N359" s="9" t="n">
        <v>28</v>
      </c>
      <c r="O359" s="7" t="inlineStr">
        <is>
          <t>BOS</t>
        </is>
      </c>
      <c r="P359" s="7" t="inlineStr">
        <is>
          <t>IMPORTANT</t>
        </is>
      </c>
      <c r="Q359" s="7" t="inlineStr">
        <is>
          <t>WHAP</t>
        </is>
      </c>
      <c r="R359" s="7" t="inlineStr">
        <is>
          <t>OUI</t>
        </is>
      </c>
      <c r="S359" s="7" t="inlineStr">
        <is>
          <t>31/08/2026 02:59</t>
        </is>
      </c>
    </row>
    <row r="360">
      <c r="A360" s="8" t="inlineStr">
        <is>
          <t>WHAP-0356</t>
        </is>
      </c>
      <c r="B360" s="8" t="inlineStr">
        <is>
          <t>ELE-0356</t>
        </is>
      </c>
      <c r="C360" s="8" t="inlineStr">
        <is>
          <t>faisceau châssis</t>
        </is>
      </c>
      <c r="D360" s="8" t="inlineStr">
        <is>
          <t>Électricité</t>
        </is>
      </c>
      <c r="E360" s="8" t="inlineStr">
        <is>
          <t>Électricité</t>
        </is>
      </c>
      <c r="F360" s="8" t="inlineStr">
        <is>
          <t>PIECE_VEHICULE</t>
        </is>
      </c>
      <c r="G360" s="8" t="inlineStr">
        <is>
          <t>unité</t>
        </is>
      </c>
      <c r="H360" s="8" t="inlineStr">
        <is>
          <t>SMALL</t>
        </is>
      </c>
      <c r="I360" s="8" t="n">
        <v>5</v>
      </c>
      <c r="J360" s="8" t="inlineStr">
        <is>
          <t>A-01-02</t>
        </is>
      </c>
      <c r="K360" s="8" t="inlineStr"/>
      <c r="L360" s="10" t="n">
        <v>0</v>
      </c>
      <c r="M360" s="10" t="n">
        <v>0</v>
      </c>
      <c r="N360" s="10" t="n">
        <v>28</v>
      </c>
      <c r="O360" s="8" t="inlineStr">
        <is>
          <t>BOS</t>
        </is>
      </c>
      <c r="P360" s="8" t="inlineStr">
        <is>
          <t>IMPORTANT</t>
        </is>
      </c>
      <c r="Q360" s="8" t="inlineStr">
        <is>
          <t>WHAP</t>
        </is>
      </c>
      <c r="R360" s="8" t="inlineStr">
        <is>
          <t>OUI</t>
        </is>
      </c>
      <c r="S360" s="8" t="inlineStr">
        <is>
          <t>31/08/2026 02:59</t>
        </is>
      </c>
    </row>
    <row r="361">
      <c r="A361" s="7" t="inlineStr">
        <is>
          <t>WHAP-0357</t>
        </is>
      </c>
      <c r="B361" s="7" t="inlineStr">
        <is>
          <t>ELE-0357</t>
        </is>
      </c>
      <c r="C361" s="7" t="inlineStr">
        <is>
          <t>faisceau habitacle</t>
        </is>
      </c>
      <c r="D361" s="7" t="inlineStr">
        <is>
          <t>Électricité</t>
        </is>
      </c>
      <c r="E361" s="7" t="inlineStr">
        <is>
          <t>Électricité</t>
        </is>
      </c>
      <c r="F361" s="7" t="inlineStr">
        <is>
          <t>PIECE_VEHICULE</t>
        </is>
      </c>
      <c r="G361" s="7" t="inlineStr">
        <is>
          <t>unité</t>
        </is>
      </c>
      <c r="H361" s="7" t="inlineStr">
        <is>
          <t>SMALL</t>
        </is>
      </c>
      <c r="I361" s="7" t="n">
        <v>5</v>
      </c>
      <c r="J361" s="7" t="inlineStr">
        <is>
          <t>C-05-03</t>
        </is>
      </c>
      <c r="K361" s="7" t="inlineStr"/>
      <c r="L361" s="9" t="n">
        <v>0</v>
      </c>
      <c r="M361" s="9" t="n">
        <v>0</v>
      </c>
      <c r="N361" s="9" t="n">
        <v>25</v>
      </c>
      <c r="O361" s="7" t="inlineStr">
        <is>
          <t>MAG</t>
        </is>
      </c>
      <c r="P361" s="7" t="inlineStr">
        <is>
          <t>IMPORTANT</t>
        </is>
      </c>
      <c r="Q361" s="7" t="inlineStr">
        <is>
          <t>WHAP</t>
        </is>
      </c>
      <c r="R361" s="7" t="inlineStr">
        <is>
          <t>OUI</t>
        </is>
      </c>
      <c r="S361" s="7" t="inlineStr">
        <is>
          <t>31/08/2026 02:59</t>
        </is>
      </c>
    </row>
    <row r="362">
      <c r="A362" s="8" t="inlineStr">
        <is>
          <t>WHAP-0358</t>
        </is>
      </c>
      <c r="B362" s="8" t="inlineStr">
        <is>
          <t>ELE-0358</t>
        </is>
      </c>
      <c r="C362" s="8" t="inlineStr">
        <is>
          <t>faisceau éclairage</t>
        </is>
      </c>
      <c r="D362" s="8" t="inlineStr">
        <is>
          <t>Électricité</t>
        </is>
      </c>
      <c r="E362" s="8" t="inlineStr">
        <is>
          <t>Électricité</t>
        </is>
      </c>
      <c r="F362" s="8" t="inlineStr">
        <is>
          <t>PIECE_VEHICULE</t>
        </is>
      </c>
      <c r="G362" s="8" t="inlineStr">
        <is>
          <t>unité</t>
        </is>
      </c>
      <c r="H362" s="8" t="inlineStr">
        <is>
          <t>SMALL</t>
        </is>
      </c>
      <c r="I362" s="8" t="n">
        <v>5</v>
      </c>
      <c r="J362" s="8" t="inlineStr">
        <is>
          <t>A-01-03</t>
        </is>
      </c>
      <c r="K362" s="8" t="inlineStr"/>
      <c r="L362" s="10" t="n">
        <v>0</v>
      </c>
      <c r="M362" s="10" t="n">
        <v>0</v>
      </c>
      <c r="N362" s="10" t="n">
        <v>28</v>
      </c>
      <c r="O362" s="8" t="inlineStr">
        <is>
          <t>SUM</t>
        </is>
      </c>
      <c r="P362" s="8" t="inlineStr">
        <is>
          <t>IMPORTANT</t>
        </is>
      </c>
      <c r="Q362" s="8" t="inlineStr">
        <is>
          <t>WHAP</t>
        </is>
      </c>
      <c r="R362" s="8" t="inlineStr">
        <is>
          <t>OUI</t>
        </is>
      </c>
      <c r="S362" s="8" t="inlineStr">
        <is>
          <t>31/08/2026 02:59</t>
        </is>
      </c>
    </row>
    <row r="363">
      <c r="A363" s="7" t="inlineStr">
        <is>
          <t>WHAP-0359</t>
        </is>
      </c>
      <c r="B363" s="7" t="inlineStr">
        <is>
          <t>ELE-0359</t>
        </is>
      </c>
      <c r="C363" s="7" t="inlineStr">
        <is>
          <t>connecteur étanche</t>
        </is>
      </c>
      <c r="D363" s="7" t="inlineStr">
        <is>
          <t>Électricité</t>
        </is>
      </c>
      <c r="E363" s="7" t="inlineStr">
        <is>
          <t>Électricité</t>
        </is>
      </c>
      <c r="F363" s="7" t="inlineStr">
        <is>
          <t>PIECE_VEHICULE</t>
        </is>
      </c>
      <c r="G363" s="7" t="inlineStr">
        <is>
          <t>unité</t>
        </is>
      </c>
      <c r="H363" s="7" t="inlineStr">
        <is>
          <t>SMALL</t>
        </is>
      </c>
      <c r="I363" s="7" t="n">
        <v>5</v>
      </c>
      <c r="J363" s="7" t="inlineStr">
        <is>
          <t>C-02-03</t>
        </is>
      </c>
      <c r="K363" s="7" t="inlineStr"/>
      <c r="L363" s="9" t="n">
        <v>0</v>
      </c>
      <c r="M363" s="9" t="n">
        <v>0</v>
      </c>
      <c r="N363" s="9" t="n">
        <v>27</v>
      </c>
      <c r="O363" s="7" t="inlineStr">
        <is>
          <t>DEL</t>
        </is>
      </c>
      <c r="P363" s="7" t="inlineStr">
        <is>
          <t>IMPORTANT</t>
        </is>
      </c>
      <c r="Q363" s="7" t="inlineStr">
        <is>
          <t>WHAP</t>
        </is>
      </c>
      <c r="R363" s="7" t="inlineStr">
        <is>
          <t>OUI</t>
        </is>
      </c>
      <c r="S363" s="7" t="inlineStr">
        <is>
          <t>31/08/2026 02:59</t>
        </is>
      </c>
    </row>
    <row r="364">
      <c r="A364" s="8" t="inlineStr">
        <is>
          <t>WHAP-0360</t>
        </is>
      </c>
      <c r="B364" s="8" t="inlineStr">
        <is>
          <t>ELE-0360</t>
        </is>
      </c>
      <c r="C364" s="8" t="inlineStr">
        <is>
          <t>borne électrique</t>
        </is>
      </c>
      <c r="D364" s="8" t="inlineStr">
        <is>
          <t>Électricité</t>
        </is>
      </c>
      <c r="E364" s="8" t="inlineStr">
        <is>
          <t>Électricité</t>
        </is>
      </c>
      <c r="F364" s="8" t="inlineStr">
        <is>
          <t>PIECE_VEHICULE</t>
        </is>
      </c>
      <c r="G364" s="8" t="inlineStr">
        <is>
          <t>unité</t>
        </is>
      </c>
      <c r="H364" s="8" t="inlineStr">
        <is>
          <t>SMALL</t>
        </is>
      </c>
      <c r="I364" s="8" t="n">
        <v>5</v>
      </c>
      <c r="J364" s="8" t="inlineStr">
        <is>
          <t>C-05-02</t>
        </is>
      </c>
      <c r="K364" s="8" t="inlineStr"/>
      <c r="L364" s="10" t="n">
        <v>0</v>
      </c>
      <c r="M364" s="10" t="n">
        <v>0</v>
      </c>
      <c r="N364" s="10" t="n">
        <v>27</v>
      </c>
      <c r="O364" s="8" t="inlineStr">
        <is>
          <t>BOS</t>
        </is>
      </c>
      <c r="P364" s="8" t="inlineStr">
        <is>
          <t>IMPORTANT</t>
        </is>
      </c>
      <c r="Q364" s="8" t="inlineStr">
        <is>
          <t>WHAP</t>
        </is>
      </c>
      <c r="R364" s="8" t="inlineStr">
        <is>
          <t>OUI</t>
        </is>
      </c>
      <c r="S364" s="8" t="inlineStr">
        <is>
          <t>31/08/2026 02:59</t>
        </is>
      </c>
    </row>
    <row r="365">
      <c r="A365" s="7" t="inlineStr">
        <is>
          <t>WHAP-0361</t>
        </is>
      </c>
      <c r="B365" s="7" t="inlineStr">
        <is>
          <t>ELE-0361</t>
        </is>
      </c>
      <c r="C365" s="7" t="inlineStr">
        <is>
          <t>gaine électrique</t>
        </is>
      </c>
      <c r="D365" s="7" t="inlineStr">
        <is>
          <t>Électricité</t>
        </is>
      </c>
      <c r="E365" s="7" t="inlineStr">
        <is>
          <t>Électricité</t>
        </is>
      </c>
      <c r="F365" s="7" t="inlineStr">
        <is>
          <t>PIECE_VEHICULE</t>
        </is>
      </c>
      <c r="G365" s="7" t="inlineStr">
        <is>
          <t>unité</t>
        </is>
      </c>
      <c r="H365" s="7" t="inlineStr">
        <is>
          <t>SMALL</t>
        </is>
      </c>
      <c r="I365" s="7" t="n">
        <v>5</v>
      </c>
      <c r="J365" s="7" t="inlineStr">
        <is>
          <t>E-05-02</t>
        </is>
      </c>
      <c r="K365" s="7" t="inlineStr"/>
      <c r="L365" s="9" t="n">
        <v>0</v>
      </c>
      <c r="M365" s="9" t="n">
        <v>0</v>
      </c>
      <c r="N365" s="9" t="n">
        <v>26</v>
      </c>
      <c r="O365" s="7" t="inlineStr">
        <is>
          <t>BOS</t>
        </is>
      </c>
      <c r="P365" s="7" t="inlineStr">
        <is>
          <t>IMPORTANT</t>
        </is>
      </c>
      <c r="Q365" s="7" t="inlineStr">
        <is>
          <t>WHAP</t>
        </is>
      </c>
      <c r="R365" s="7" t="inlineStr">
        <is>
          <t>OUI</t>
        </is>
      </c>
      <c r="S365" s="7" t="inlineStr">
        <is>
          <t>31/08/2026 02:59</t>
        </is>
      </c>
    </row>
    <row r="366">
      <c r="A366" s="8" t="inlineStr">
        <is>
          <t>WHAP-0362</t>
        </is>
      </c>
      <c r="B366" s="8" t="inlineStr">
        <is>
          <t>ELE-0362</t>
        </is>
      </c>
      <c r="C366" s="8" t="inlineStr">
        <is>
          <t>passe-fil</t>
        </is>
      </c>
      <c r="D366" s="8" t="inlineStr">
        <is>
          <t>Électricité</t>
        </is>
      </c>
      <c r="E366" s="8" t="inlineStr">
        <is>
          <t>Électricité</t>
        </is>
      </c>
      <c r="F366" s="8" t="inlineStr">
        <is>
          <t>PIECE_VEHICULE</t>
        </is>
      </c>
      <c r="G366" s="8" t="inlineStr">
        <is>
          <t>unité</t>
        </is>
      </c>
      <c r="H366" s="8" t="inlineStr">
        <is>
          <t>SMALL</t>
        </is>
      </c>
      <c r="I366" s="8" t="n">
        <v>5</v>
      </c>
      <c r="J366" s="8" t="inlineStr">
        <is>
          <t>A-06-04</t>
        </is>
      </c>
      <c r="K366" s="8" t="inlineStr"/>
      <c r="L366" s="10" t="n">
        <v>0</v>
      </c>
      <c r="M366" s="10" t="n">
        <v>0</v>
      </c>
      <c r="N366" s="10" t="n">
        <v>32</v>
      </c>
      <c r="O366" s="8" t="inlineStr">
        <is>
          <t>HEL</t>
        </is>
      </c>
      <c r="P366" s="8" t="inlineStr">
        <is>
          <t>IMPORTANT</t>
        </is>
      </c>
      <c r="Q366" s="8" t="inlineStr">
        <is>
          <t>WHAP</t>
        </is>
      </c>
      <c r="R366" s="8" t="inlineStr">
        <is>
          <t>OUI</t>
        </is>
      </c>
      <c r="S366" s="8" t="inlineStr">
        <is>
          <t>31/08/2026 02:59</t>
        </is>
      </c>
    </row>
    <row r="367">
      <c r="A367" s="7" t="inlineStr">
        <is>
          <t>WHAP-0363</t>
        </is>
      </c>
      <c r="B367" s="7" t="inlineStr">
        <is>
          <t>ELE-0363</t>
        </is>
      </c>
      <c r="C367" s="7" t="inlineStr">
        <is>
          <t>porte-fusible</t>
        </is>
      </c>
      <c r="D367" s="7" t="inlineStr">
        <is>
          <t>Électricité</t>
        </is>
      </c>
      <c r="E367" s="7" t="inlineStr">
        <is>
          <t>Électricité</t>
        </is>
      </c>
      <c r="F367" s="7" t="inlineStr">
        <is>
          <t>PIECE_VEHICULE</t>
        </is>
      </c>
      <c r="G367" s="7" t="inlineStr">
        <is>
          <t>unité</t>
        </is>
      </c>
      <c r="H367" s="7" t="inlineStr">
        <is>
          <t>SMALL</t>
        </is>
      </c>
      <c r="I367" s="7" t="n">
        <v>5</v>
      </c>
      <c r="J367" s="7" t="inlineStr">
        <is>
          <t>C-05-01</t>
        </is>
      </c>
      <c r="K367" s="7" t="inlineStr"/>
      <c r="L367" s="9" t="n">
        <v>0</v>
      </c>
      <c r="M367" s="9" t="n">
        <v>0</v>
      </c>
      <c r="N367" s="9" t="n">
        <v>25</v>
      </c>
      <c r="O367" s="7" t="inlineStr">
        <is>
          <t>HEL</t>
        </is>
      </c>
      <c r="P367" s="7" t="inlineStr">
        <is>
          <t>IMPORTANT</t>
        </is>
      </c>
      <c r="Q367" s="7" t="inlineStr">
        <is>
          <t>WHAP</t>
        </is>
      </c>
      <c r="R367" s="7" t="inlineStr">
        <is>
          <t>OUI</t>
        </is>
      </c>
      <c r="S367" s="7" t="inlineStr">
        <is>
          <t>31/08/2026 02:59</t>
        </is>
      </c>
    </row>
    <row r="368">
      <c r="A368" s="8" t="inlineStr">
        <is>
          <t>WHAP-0364</t>
        </is>
      </c>
      <c r="B368" s="8" t="inlineStr">
        <is>
          <t>ELE-0364</t>
        </is>
      </c>
      <c r="C368" s="8" t="inlineStr">
        <is>
          <t>boîtier de distribution</t>
        </is>
      </c>
      <c r="D368" s="8" t="inlineStr">
        <is>
          <t>Électricité</t>
        </is>
      </c>
      <c r="E368" s="8" t="inlineStr">
        <is>
          <t>Électricité</t>
        </is>
      </c>
      <c r="F368" s="8" t="inlineStr">
        <is>
          <t>PIECE_VEHICULE</t>
        </is>
      </c>
      <c r="G368" s="8" t="inlineStr">
        <is>
          <t>unité</t>
        </is>
      </c>
      <c r="H368" s="8" t="inlineStr">
        <is>
          <t>SMALL</t>
        </is>
      </c>
      <c r="I368" s="8" t="n">
        <v>5</v>
      </c>
      <c r="J368" s="8" t="inlineStr">
        <is>
          <t>E-04-04</t>
        </is>
      </c>
      <c r="K368" s="8" t="inlineStr"/>
      <c r="L368" s="10" t="n">
        <v>0</v>
      </c>
      <c r="M368" s="10" t="n">
        <v>0</v>
      </c>
      <c r="N368" s="10" t="n">
        <v>22</v>
      </c>
      <c r="O368" s="8" t="inlineStr">
        <is>
          <t>HEL</t>
        </is>
      </c>
      <c r="P368" s="8" t="inlineStr">
        <is>
          <t>IMPORTANT</t>
        </is>
      </c>
      <c r="Q368" s="8" t="inlineStr">
        <is>
          <t>WHAP</t>
        </is>
      </c>
      <c r="R368" s="8" t="inlineStr">
        <is>
          <t>OUI</t>
        </is>
      </c>
      <c r="S368" s="8" t="inlineStr">
        <is>
          <t>31/08/2026 02:59</t>
        </is>
      </c>
    </row>
    <row r="369">
      <c r="A369" s="7" t="inlineStr">
        <is>
          <t>WHAP-0365</t>
        </is>
      </c>
      <c r="B369" s="7" t="inlineStr">
        <is>
          <t>ELC-0365</t>
        </is>
      </c>
      <c r="C369" s="7" t="inlineStr">
        <is>
          <t>calculateur moteur</t>
        </is>
      </c>
      <c r="D369" s="7" t="inlineStr">
        <is>
          <t>Électronique et capteurs</t>
        </is>
      </c>
      <c r="E369" s="7" t="inlineStr">
        <is>
          <t>Électronique et capteurs</t>
        </is>
      </c>
      <c r="F369" s="7" t="inlineStr">
        <is>
          <t>PIECE_VEHICULE</t>
        </is>
      </c>
      <c r="G369" s="7" t="inlineStr">
        <is>
          <t>unité</t>
        </is>
      </c>
      <c r="H369" s="7" t="inlineStr">
        <is>
          <t>SMALL</t>
        </is>
      </c>
      <c r="I369" s="7" t="n">
        <v>5</v>
      </c>
      <c r="J369" s="7" t="inlineStr">
        <is>
          <t>C-01-04 : 1320</t>
        </is>
      </c>
      <c r="K369" s="7" t="inlineStr"/>
      <c r="L369" s="9" t="n">
        <v>1320</v>
      </c>
      <c r="M369" s="9" t="n">
        <v>1320</v>
      </c>
      <c r="N369" s="9" t="n">
        <v>24</v>
      </c>
      <c r="O369" s="7" t="inlineStr">
        <is>
          <t>MAG</t>
        </is>
      </c>
      <c r="P369" s="7" t="inlineStr">
        <is>
          <t>IMPORTANT</t>
        </is>
      </c>
      <c r="Q369" s="7" t="inlineStr">
        <is>
          <t>WHAP</t>
        </is>
      </c>
      <c r="R369" s="7" t="inlineStr">
        <is>
          <t>OUI</t>
        </is>
      </c>
      <c r="S369" s="7" t="inlineStr">
        <is>
          <t>31/08/2026 02:59</t>
        </is>
      </c>
    </row>
    <row r="370">
      <c r="A370" s="8" t="inlineStr">
        <is>
          <t>WHAP-0366</t>
        </is>
      </c>
      <c r="B370" s="8" t="inlineStr">
        <is>
          <t>ELC-0366</t>
        </is>
      </c>
      <c r="C370" s="8" t="inlineStr">
        <is>
          <t>calculateur transmission</t>
        </is>
      </c>
      <c r="D370" s="8" t="inlineStr">
        <is>
          <t>Électronique et capteurs</t>
        </is>
      </c>
      <c r="E370" s="8" t="inlineStr">
        <is>
          <t>Électronique et capteurs</t>
        </is>
      </c>
      <c r="F370" s="8" t="inlineStr">
        <is>
          <t>PIECE_VEHICULE</t>
        </is>
      </c>
      <c r="G370" s="8" t="inlineStr">
        <is>
          <t>unité</t>
        </is>
      </c>
      <c r="H370" s="8" t="inlineStr">
        <is>
          <t>SMALL</t>
        </is>
      </c>
      <c r="I370" s="8" t="n">
        <v>5</v>
      </c>
      <c r="J370" s="8" t="inlineStr">
        <is>
          <t>B-02-04 : 1880</t>
        </is>
      </c>
      <c r="K370" s="8" t="inlineStr"/>
      <c r="L370" s="10" t="n">
        <v>1880</v>
      </c>
      <c r="M370" s="10" t="n">
        <v>1880</v>
      </c>
      <c r="N370" s="10" t="n">
        <v>26</v>
      </c>
      <c r="O370" s="8" t="inlineStr">
        <is>
          <t>VAL</t>
        </is>
      </c>
      <c r="P370" s="8" t="inlineStr">
        <is>
          <t>IMPORTANT</t>
        </is>
      </c>
      <c r="Q370" s="8" t="inlineStr">
        <is>
          <t>WHAP</t>
        </is>
      </c>
      <c r="R370" s="8" t="inlineStr">
        <is>
          <t>OUI</t>
        </is>
      </c>
      <c r="S370" s="8" t="inlineStr">
        <is>
          <t>31/08/2026 02:59</t>
        </is>
      </c>
    </row>
    <row r="371">
      <c r="A371" s="7" t="inlineStr">
        <is>
          <t>WHAP-0367</t>
        </is>
      </c>
      <c r="B371" s="7" t="inlineStr">
        <is>
          <t>ELC-0367</t>
        </is>
      </c>
      <c r="C371" s="7" t="inlineStr">
        <is>
          <t>calculateur ABS</t>
        </is>
      </c>
      <c r="D371" s="7" t="inlineStr">
        <is>
          <t>Électronique et capteurs</t>
        </is>
      </c>
      <c r="E371" s="7" t="inlineStr">
        <is>
          <t>Électronique et capteurs</t>
        </is>
      </c>
      <c r="F371" s="7" t="inlineStr">
        <is>
          <t>PIECE_VEHICULE</t>
        </is>
      </c>
      <c r="G371" s="7" t="inlineStr">
        <is>
          <t>unité</t>
        </is>
      </c>
      <c r="H371" s="7" t="inlineStr">
        <is>
          <t>SMALL</t>
        </is>
      </c>
      <c r="I371" s="7" t="n">
        <v>5</v>
      </c>
      <c r="J371" s="7" t="inlineStr">
        <is>
          <t>E-04-03</t>
        </is>
      </c>
      <c r="K371" s="7" t="inlineStr"/>
      <c r="L371" s="9" t="n">
        <v>0</v>
      </c>
      <c r="M371" s="9" t="n">
        <v>0</v>
      </c>
      <c r="N371" s="9" t="n">
        <v>23</v>
      </c>
      <c r="O371" s="7" t="inlineStr">
        <is>
          <t>SUM</t>
        </is>
      </c>
      <c r="P371" s="7" t="inlineStr">
        <is>
          <t>IMPORTANT</t>
        </is>
      </c>
      <c r="Q371" s="7" t="inlineStr">
        <is>
          <t>WHAP</t>
        </is>
      </c>
      <c r="R371" s="7" t="inlineStr">
        <is>
          <t>OUI</t>
        </is>
      </c>
      <c r="S371" s="7" t="inlineStr">
        <is>
          <t>31/08/2026 02:59</t>
        </is>
      </c>
    </row>
    <row r="372">
      <c r="A372" s="8" t="inlineStr">
        <is>
          <t>WHAP-0368</t>
        </is>
      </c>
      <c r="B372" s="8" t="inlineStr">
        <is>
          <t>ELC-0368</t>
        </is>
      </c>
      <c r="C372" s="8" t="inlineStr">
        <is>
          <t>calculateur CTIS</t>
        </is>
      </c>
      <c r="D372" s="8" t="inlineStr">
        <is>
          <t>Électronique et capteurs</t>
        </is>
      </c>
      <c r="E372" s="8" t="inlineStr">
        <is>
          <t>Électronique et capteurs</t>
        </is>
      </c>
      <c r="F372" s="8" t="inlineStr">
        <is>
          <t>PIECE_VEHICULE</t>
        </is>
      </c>
      <c r="G372" s="8" t="inlineStr">
        <is>
          <t>unité</t>
        </is>
      </c>
      <c r="H372" s="8" t="inlineStr">
        <is>
          <t>SMALL</t>
        </is>
      </c>
      <c r="I372" s="8" t="n">
        <v>5</v>
      </c>
      <c r="J372" s="8" t="inlineStr">
        <is>
          <t>E-03-03</t>
        </is>
      </c>
      <c r="K372" s="8" t="inlineStr"/>
      <c r="L372" s="10" t="n">
        <v>0</v>
      </c>
      <c r="M372" s="10" t="n">
        <v>0</v>
      </c>
      <c r="N372" s="10" t="n">
        <v>29</v>
      </c>
      <c r="O372" s="8" t="inlineStr">
        <is>
          <t>MAG</t>
        </is>
      </c>
      <c r="P372" s="8" t="inlineStr">
        <is>
          <t>IMPORTANT</t>
        </is>
      </c>
      <c r="Q372" s="8" t="inlineStr">
        <is>
          <t>WHAP</t>
        </is>
      </c>
      <c r="R372" s="8" t="inlineStr">
        <is>
          <t>OUI</t>
        </is>
      </c>
      <c r="S372" s="8" t="inlineStr">
        <is>
          <t>31/08/2026 02:59</t>
        </is>
      </c>
    </row>
    <row r="373">
      <c r="A373" s="7" t="inlineStr">
        <is>
          <t>WHAP-0369</t>
        </is>
      </c>
      <c r="B373" s="7" t="inlineStr">
        <is>
          <t>ELC-0369</t>
        </is>
      </c>
      <c r="C373" s="7" t="inlineStr">
        <is>
          <t>unité de contrôle véhicule</t>
        </is>
      </c>
      <c r="D373" s="7" t="inlineStr">
        <is>
          <t>Électronique et capteurs</t>
        </is>
      </c>
      <c r="E373" s="7" t="inlineStr">
        <is>
          <t>Électronique et capteurs</t>
        </is>
      </c>
      <c r="F373" s="7" t="inlineStr">
        <is>
          <t>PIECE_VEHICULE</t>
        </is>
      </c>
      <c r="G373" s="7" t="inlineStr">
        <is>
          <t>unité</t>
        </is>
      </c>
      <c r="H373" s="7" t="inlineStr">
        <is>
          <t>SMALL</t>
        </is>
      </c>
      <c r="I373" s="7" t="n">
        <v>5</v>
      </c>
      <c r="J373" s="7" t="inlineStr">
        <is>
          <t>C-02-02</t>
        </is>
      </c>
      <c r="K373" s="7" t="inlineStr"/>
      <c r="L373" s="9" t="n">
        <v>0</v>
      </c>
      <c r="M373" s="9" t="n">
        <v>0</v>
      </c>
      <c r="N373" s="9" t="n">
        <v>23</v>
      </c>
      <c r="O373" s="7" t="inlineStr">
        <is>
          <t>MAG</t>
        </is>
      </c>
      <c r="P373" s="7" t="inlineStr">
        <is>
          <t>IMPORTANT</t>
        </is>
      </c>
      <c r="Q373" s="7" t="inlineStr">
        <is>
          <t>WHAP</t>
        </is>
      </c>
      <c r="R373" s="7" t="inlineStr">
        <is>
          <t>OUI</t>
        </is>
      </c>
      <c r="S373" s="7" t="inlineStr">
        <is>
          <t>31/08/2026 02:59</t>
        </is>
      </c>
    </row>
    <row r="374">
      <c r="A374" s="8" t="inlineStr">
        <is>
          <t>WHAP-0370</t>
        </is>
      </c>
      <c r="B374" s="8" t="inlineStr">
        <is>
          <t>ELC-0370</t>
        </is>
      </c>
      <c r="C374" s="8" t="inlineStr">
        <is>
          <t>module I/O</t>
        </is>
      </c>
      <c r="D374" s="8" t="inlineStr">
        <is>
          <t>Électronique et capteurs</t>
        </is>
      </c>
      <c r="E374" s="8" t="inlineStr">
        <is>
          <t>Électronique et capteurs</t>
        </is>
      </c>
      <c r="F374" s="8" t="inlineStr">
        <is>
          <t>PIECE_VEHICULE</t>
        </is>
      </c>
      <c r="G374" s="8" t="inlineStr">
        <is>
          <t>unité</t>
        </is>
      </c>
      <c r="H374" s="8" t="inlineStr">
        <is>
          <t>SMALL</t>
        </is>
      </c>
      <c r="I374" s="8" t="n">
        <v>5</v>
      </c>
      <c r="J374" s="8" t="inlineStr">
        <is>
          <t>D-04-03</t>
        </is>
      </c>
      <c r="K374" s="8" t="inlineStr"/>
      <c r="L374" s="10" t="n">
        <v>0</v>
      </c>
      <c r="M374" s="10" t="n">
        <v>0</v>
      </c>
      <c r="N374" s="10" t="n">
        <v>24</v>
      </c>
      <c r="O374" s="8" t="inlineStr">
        <is>
          <t>SKF</t>
        </is>
      </c>
      <c r="P374" s="8" t="inlineStr">
        <is>
          <t>IMPORTANT</t>
        </is>
      </c>
      <c r="Q374" s="8" t="inlineStr">
        <is>
          <t>WHAP</t>
        </is>
      </c>
      <c r="R374" s="8" t="inlineStr">
        <is>
          <t>OUI</t>
        </is>
      </c>
      <c r="S374" s="8" t="inlineStr">
        <is>
          <t>31/08/2026 02:59</t>
        </is>
      </c>
    </row>
    <row r="375">
      <c r="A375" s="7" t="inlineStr">
        <is>
          <t>WHAP-0371</t>
        </is>
      </c>
      <c r="B375" s="7" t="inlineStr">
        <is>
          <t>ELC-0371</t>
        </is>
      </c>
      <c r="C375" s="7" t="inlineStr">
        <is>
          <t>capteur température</t>
        </is>
      </c>
      <c r="D375" s="7" t="inlineStr">
        <is>
          <t>Électronique et capteurs</t>
        </is>
      </c>
      <c r="E375" s="7" t="inlineStr">
        <is>
          <t>Électronique et capteurs</t>
        </is>
      </c>
      <c r="F375" s="7" t="inlineStr">
        <is>
          <t>PIECE_VEHICULE</t>
        </is>
      </c>
      <c r="G375" s="7" t="inlineStr">
        <is>
          <t>unité</t>
        </is>
      </c>
      <c r="H375" s="7" t="inlineStr">
        <is>
          <t>SMALL</t>
        </is>
      </c>
      <c r="I375" s="7" t="n">
        <v>5</v>
      </c>
      <c r="J375" s="7" t="inlineStr">
        <is>
          <t>B-03-04</t>
        </is>
      </c>
      <c r="K375" s="7" t="inlineStr"/>
      <c r="L375" s="9" t="n">
        <v>0</v>
      </c>
      <c r="M375" s="9" t="n">
        <v>0</v>
      </c>
      <c r="N375" s="9" t="n">
        <v>30</v>
      </c>
      <c r="O375" s="7" t="inlineStr">
        <is>
          <t>CTL</t>
        </is>
      </c>
      <c r="P375" s="7" t="inlineStr">
        <is>
          <t>IMPORTANT</t>
        </is>
      </c>
      <c r="Q375" s="7" t="inlineStr">
        <is>
          <t>WHAP</t>
        </is>
      </c>
      <c r="R375" s="7" t="inlineStr">
        <is>
          <t>OUI</t>
        </is>
      </c>
      <c r="S375" s="7" t="inlineStr">
        <is>
          <t>31/08/2026 02:59</t>
        </is>
      </c>
    </row>
    <row r="376">
      <c r="A376" s="8" t="inlineStr">
        <is>
          <t>WHAP-0372</t>
        </is>
      </c>
      <c r="B376" s="8" t="inlineStr">
        <is>
          <t>ELC-0372</t>
        </is>
      </c>
      <c r="C376" s="8" t="inlineStr">
        <is>
          <t>capteur pression</t>
        </is>
      </c>
      <c r="D376" s="8" t="inlineStr">
        <is>
          <t>Électronique et capteurs</t>
        </is>
      </c>
      <c r="E376" s="8" t="inlineStr">
        <is>
          <t>Électronique et capteurs</t>
        </is>
      </c>
      <c r="F376" s="8" t="inlineStr">
        <is>
          <t>PIECE_VEHICULE</t>
        </is>
      </c>
      <c r="G376" s="8" t="inlineStr">
        <is>
          <t>unité</t>
        </is>
      </c>
      <c r="H376" s="8" t="inlineStr">
        <is>
          <t>SMALL</t>
        </is>
      </c>
      <c r="I376" s="8" t="n">
        <v>5</v>
      </c>
      <c r="J376" s="8" t="inlineStr">
        <is>
          <t>B-02-03</t>
        </is>
      </c>
      <c r="K376" s="8" t="inlineStr"/>
      <c r="L376" s="10" t="n">
        <v>0</v>
      </c>
      <c r="M376" s="10" t="n">
        <v>0</v>
      </c>
      <c r="N376" s="10" t="n">
        <v>25</v>
      </c>
      <c r="O376" s="8" t="inlineStr">
        <is>
          <t>YZK</t>
        </is>
      </c>
      <c r="P376" s="8" t="inlineStr">
        <is>
          <t>IMPORTANT</t>
        </is>
      </c>
      <c r="Q376" s="8" t="inlineStr">
        <is>
          <t>WHAP</t>
        </is>
      </c>
      <c r="R376" s="8" t="inlineStr">
        <is>
          <t>OUI</t>
        </is>
      </c>
      <c r="S376" s="8" t="inlineStr">
        <is>
          <t>31/08/2026 02:59</t>
        </is>
      </c>
    </row>
    <row r="377">
      <c r="A377" s="7" t="inlineStr">
        <is>
          <t>WHAP-0373</t>
        </is>
      </c>
      <c r="B377" s="7" t="inlineStr">
        <is>
          <t>ELC-0373</t>
        </is>
      </c>
      <c r="C377" s="7" t="inlineStr">
        <is>
          <t>capteur vitesse</t>
        </is>
      </c>
      <c r="D377" s="7" t="inlineStr">
        <is>
          <t>Électronique et capteurs</t>
        </is>
      </c>
      <c r="E377" s="7" t="inlineStr">
        <is>
          <t>Électronique et capteurs</t>
        </is>
      </c>
      <c r="F377" s="7" t="inlineStr">
        <is>
          <t>PIECE_VEHICULE</t>
        </is>
      </c>
      <c r="G377" s="7" t="inlineStr">
        <is>
          <t>unité</t>
        </is>
      </c>
      <c r="H377" s="7" t="inlineStr">
        <is>
          <t>SMALL</t>
        </is>
      </c>
      <c r="I377" s="7" t="n">
        <v>5</v>
      </c>
      <c r="J377" s="7" t="inlineStr">
        <is>
          <t>B-04-01</t>
        </is>
      </c>
      <c r="K377" s="7" t="inlineStr"/>
      <c r="L377" s="9" t="n">
        <v>0</v>
      </c>
      <c r="M377" s="9" t="n">
        <v>0</v>
      </c>
      <c r="N377" s="9" t="n">
        <v>26</v>
      </c>
      <c r="O377" s="7" t="inlineStr">
        <is>
          <t>CTL</t>
        </is>
      </c>
      <c r="P377" s="7" t="inlineStr">
        <is>
          <t>IMPORTANT</t>
        </is>
      </c>
      <c r="Q377" s="7" t="inlineStr">
        <is>
          <t>WHAP</t>
        </is>
      </c>
      <c r="R377" s="7" t="inlineStr">
        <is>
          <t>OUI</t>
        </is>
      </c>
      <c r="S377" s="7" t="inlineStr">
        <is>
          <t>31/08/2026 02:59</t>
        </is>
      </c>
    </row>
    <row r="378">
      <c r="A378" s="8" t="inlineStr">
        <is>
          <t>WHAP-0374</t>
        </is>
      </c>
      <c r="B378" s="8" t="inlineStr">
        <is>
          <t>ELC-0374</t>
        </is>
      </c>
      <c r="C378" s="8" t="inlineStr">
        <is>
          <t>capteur position</t>
        </is>
      </c>
      <c r="D378" s="8" t="inlineStr">
        <is>
          <t>Électronique et capteurs</t>
        </is>
      </c>
      <c r="E378" s="8" t="inlineStr">
        <is>
          <t>Électronique et capteurs</t>
        </is>
      </c>
      <c r="F378" s="8" t="inlineStr">
        <is>
          <t>PIECE_VEHICULE</t>
        </is>
      </c>
      <c r="G378" s="8" t="inlineStr">
        <is>
          <t>unité</t>
        </is>
      </c>
      <c r="H378" s="8" t="inlineStr">
        <is>
          <t>SMALL</t>
        </is>
      </c>
      <c r="I378" s="8" t="n">
        <v>5</v>
      </c>
      <c r="J378" s="8" t="inlineStr">
        <is>
          <t>F-05-03</t>
        </is>
      </c>
      <c r="K378" s="8" t="inlineStr"/>
      <c r="L378" s="10" t="n">
        <v>0</v>
      </c>
      <c r="M378" s="10" t="n">
        <v>0</v>
      </c>
      <c r="N378" s="10" t="n">
        <v>27</v>
      </c>
      <c r="O378" s="8" t="inlineStr">
        <is>
          <t>FAU</t>
        </is>
      </c>
      <c r="P378" s="8" t="inlineStr">
        <is>
          <t>IMPORTANT</t>
        </is>
      </c>
      <c r="Q378" s="8" t="inlineStr">
        <is>
          <t>WHAP</t>
        </is>
      </c>
      <c r="R378" s="8" t="inlineStr">
        <is>
          <t>OUI</t>
        </is>
      </c>
      <c r="S378" s="8" t="inlineStr">
        <is>
          <t>31/08/2026 02:59</t>
        </is>
      </c>
    </row>
    <row r="379">
      <c r="A379" s="7" t="inlineStr">
        <is>
          <t>WHAP-0375</t>
        </is>
      </c>
      <c r="B379" s="7" t="inlineStr">
        <is>
          <t>ELC-0375</t>
        </is>
      </c>
      <c r="C379" s="7" t="inlineStr">
        <is>
          <t>capteur niveau</t>
        </is>
      </c>
      <c r="D379" s="7" t="inlineStr">
        <is>
          <t>Électronique et capteurs</t>
        </is>
      </c>
      <c r="E379" s="7" t="inlineStr">
        <is>
          <t>Électronique et capteurs</t>
        </is>
      </c>
      <c r="F379" s="7" t="inlineStr">
        <is>
          <t>PIECE_VEHICULE</t>
        </is>
      </c>
      <c r="G379" s="7" t="inlineStr">
        <is>
          <t>unité</t>
        </is>
      </c>
      <c r="H379" s="7" t="inlineStr">
        <is>
          <t>SMALL</t>
        </is>
      </c>
      <c r="I379" s="7" t="n">
        <v>5</v>
      </c>
      <c r="J379" s="7" t="inlineStr">
        <is>
          <t>F-06-04</t>
        </is>
      </c>
      <c r="K379" s="7" t="inlineStr"/>
      <c r="L379" s="9" t="n">
        <v>0</v>
      </c>
      <c r="M379" s="9" t="n">
        <v>0</v>
      </c>
      <c r="N379" s="9" t="n">
        <v>31</v>
      </c>
      <c r="O379" s="7" t="inlineStr">
        <is>
          <t>FAU</t>
        </is>
      </c>
      <c r="P379" s="7" t="inlineStr">
        <is>
          <t>IMPORTANT</t>
        </is>
      </c>
      <c r="Q379" s="7" t="inlineStr">
        <is>
          <t>WHAP</t>
        </is>
      </c>
      <c r="R379" s="7" t="inlineStr">
        <is>
          <t>OUI</t>
        </is>
      </c>
      <c r="S379" s="7" t="inlineStr">
        <is>
          <t>31/08/2026 02:59</t>
        </is>
      </c>
    </row>
    <row r="380">
      <c r="A380" s="8" t="inlineStr">
        <is>
          <t>WHAP-0376</t>
        </is>
      </c>
      <c r="B380" s="8" t="inlineStr">
        <is>
          <t>ELC-0376</t>
        </is>
      </c>
      <c r="C380" s="8" t="inlineStr">
        <is>
          <t>capteur débit</t>
        </is>
      </c>
      <c r="D380" s="8" t="inlineStr">
        <is>
          <t>Électronique et capteurs</t>
        </is>
      </c>
      <c r="E380" s="8" t="inlineStr">
        <is>
          <t>Électronique et capteurs</t>
        </is>
      </c>
      <c r="F380" s="8" t="inlineStr">
        <is>
          <t>PIECE_VEHICULE</t>
        </is>
      </c>
      <c r="G380" s="8" t="inlineStr">
        <is>
          <t>unité</t>
        </is>
      </c>
      <c r="H380" s="8" t="inlineStr">
        <is>
          <t>SMALL</t>
        </is>
      </c>
      <c r="I380" s="8" t="n">
        <v>5</v>
      </c>
      <c r="J380" s="8" t="inlineStr">
        <is>
          <t>E-06-01</t>
        </is>
      </c>
      <c r="K380" s="8" t="inlineStr"/>
      <c r="L380" s="10" t="n">
        <v>0</v>
      </c>
      <c r="M380" s="10" t="n">
        <v>0</v>
      </c>
      <c r="N380" s="10" t="n">
        <v>26</v>
      </c>
      <c r="O380" s="8" t="inlineStr">
        <is>
          <t>BOS</t>
        </is>
      </c>
      <c r="P380" s="8" t="inlineStr">
        <is>
          <t>IMPORTANT</t>
        </is>
      </c>
      <c r="Q380" s="8" t="inlineStr">
        <is>
          <t>WHAP</t>
        </is>
      </c>
      <c r="R380" s="8" t="inlineStr">
        <is>
          <t>OUI</t>
        </is>
      </c>
      <c r="S380" s="8" t="inlineStr">
        <is>
          <t>31/08/2026 02:59</t>
        </is>
      </c>
    </row>
    <row r="381">
      <c r="A381" s="7" t="inlineStr">
        <is>
          <t>WHAP-0377</t>
        </is>
      </c>
      <c r="B381" s="7" t="inlineStr">
        <is>
          <t>ELC-0377</t>
        </is>
      </c>
      <c r="C381" s="7" t="inlineStr">
        <is>
          <t>capteur accélération</t>
        </is>
      </c>
      <c r="D381" s="7" t="inlineStr">
        <is>
          <t>Électronique et capteurs</t>
        </is>
      </c>
      <c r="E381" s="7" t="inlineStr">
        <is>
          <t>Électronique et capteurs</t>
        </is>
      </c>
      <c r="F381" s="7" t="inlineStr">
        <is>
          <t>PIECE_VEHICULE</t>
        </is>
      </c>
      <c r="G381" s="7" t="inlineStr">
        <is>
          <t>unité</t>
        </is>
      </c>
      <c r="H381" s="7" t="inlineStr">
        <is>
          <t>SMALL</t>
        </is>
      </c>
      <c r="I381" s="7" t="n">
        <v>5</v>
      </c>
      <c r="J381" s="7" t="inlineStr">
        <is>
          <t>E-05-02</t>
        </is>
      </c>
      <c r="K381" s="7" t="inlineStr"/>
      <c r="L381" s="9" t="n">
        <v>0</v>
      </c>
      <c r="M381" s="9" t="n">
        <v>0</v>
      </c>
      <c r="N381" s="9" t="n">
        <v>22</v>
      </c>
      <c r="O381" s="7" t="inlineStr">
        <is>
          <t>DEL</t>
        </is>
      </c>
      <c r="P381" s="7" t="inlineStr">
        <is>
          <t>IMPORTANT</t>
        </is>
      </c>
      <c r="Q381" s="7" t="inlineStr">
        <is>
          <t>WHAP</t>
        </is>
      </c>
      <c r="R381" s="7" t="inlineStr">
        <is>
          <t>OUI</t>
        </is>
      </c>
      <c r="S381" s="7" t="inlineStr">
        <is>
          <t>31/08/2026 02:59</t>
        </is>
      </c>
    </row>
    <row r="382">
      <c r="A382" s="8" t="inlineStr">
        <is>
          <t>WHAP-0378</t>
        </is>
      </c>
      <c r="B382" s="8" t="inlineStr">
        <is>
          <t>ELC-0378</t>
        </is>
      </c>
      <c r="C382" s="8" t="inlineStr">
        <is>
          <t>capteur inclinaison</t>
        </is>
      </c>
      <c r="D382" s="8" t="inlineStr">
        <is>
          <t>Électronique et capteurs</t>
        </is>
      </c>
      <c r="E382" s="8" t="inlineStr">
        <is>
          <t>Électronique et capteurs</t>
        </is>
      </c>
      <c r="F382" s="8" t="inlineStr">
        <is>
          <t>PIECE_VEHICULE</t>
        </is>
      </c>
      <c r="G382" s="8" t="inlineStr">
        <is>
          <t>unité</t>
        </is>
      </c>
      <c r="H382" s="8" t="inlineStr">
        <is>
          <t>SMALL</t>
        </is>
      </c>
      <c r="I382" s="8" t="n">
        <v>5</v>
      </c>
      <c r="J382" s="8" t="inlineStr">
        <is>
          <t>A-02-03</t>
        </is>
      </c>
      <c r="K382" s="8" t="inlineStr"/>
      <c r="L382" s="10" t="n">
        <v>0</v>
      </c>
      <c r="M382" s="10" t="n">
        <v>0</v>
      </c>
      <c r="N382" s="10" t="n">
        <v>25</v>
      </c>
      <c r="O382" s="8" t="inlineStr">
        <is>
          <t>HEL</t>
        </is>
      </c>
      <c r="P382" s="8" t="inlineStr">
        <is>
          <t>IMPORTANT</t>
        </is>
      </c>
      <c r="Q382" s="8" t="inlineStr">
        <is>
          <t>WHAP</t>
        </is>
      </c>
      <c r="R382" s="8" t="inlineStr">
        <is>
          <t>OUI</t>
        </is>
      </c>
      <c r="S382" s="8" t="inlineStr">
        <is>
          <t>31/08/2026 02:59</t>
        </is>
      </c>
    </row>
    <row r="383">
      <c r="A383" s="7" t="inlineStr">
        <is>
          <t>WHAP-0379</t>
        </is>
      </c>
      <c r="B383" s="7" t="inlineStr">
        <is>
          <t>ELC-0379</t>
        </is>
      </c>
      <c r="C383" s="7" t="inlineStr">
        <is>
          <t>capteur ouverture porte</t>
        </is>
      </c>
      <c r="D383" s="7" t="inlineStr">
        <is>
          <t>Électronique et capteurs</t>
        </is>
      </c>
      <c r="E383" s="7" t="inlineStr">
        <is>
          <t>Électronique et capteurs</t>
        </is>
      </c>
      <c r="F383" s="7" t="inlineStr">
        <is>
          <t>PIECE_VEHICULE</t>
        </is>
      </c>
      <c r="G383" s="7" t="inlineStr">
        <is>
          <t>unité</t>
        </is>
      </c>
      <c r="H383" s="7" t="inlineStr">
        <is>
          <t>SMALL</t>
        </is>
      </c>
      <c r="I383" s="7" t="n">
        <v>5</v>
      </c>
      <c r="J383" s="7" t="inlineStr">
        <is>
          <t>A-05-01</t>
        </is>
      </c>
      <c r="K383" s="7" t="inlineStr"/>
      <c r="L383" s="9" t="n">
        <v>0</v>
      </c>
      <c r="M383" s="9" t="n">
        <v>0</v>
      </c>
      <c r="N383" s="9" t="n">
        <v>26</v>
      </c>
      <c r="O383" s="7" t="inlineStr">
        <is>
          <t>SUM</t>
        </is>
      </c>
      <c r="P383" s="7" t="inlineStr">
        <is>
          <t>IMPORTANT</t>
        </is>
      </c>
      <c r="Q383" s="7" t="inlineStr">
        <is>
          <t>WHAP</t>
        </is>
      </c>
      <c r="R383" s="7" t="inlineStr">
        <is>
          <t>OUI</t>
        </is>
      </c>
      <c r="S383" s="7" t="inlineStr">
        <is>
          <t>31/08/2026 02:59</t>
        </is>
      </c>
    </row>
    <row r="384">
      <c r="A384" s="8" t="inlineStr">
        <is>
          <t>WHAP-0380</t>
        </is>
      </c>
      <c r="B384" s="8" t="inlineStr">
        <is>
          <t>ELC-0380</t>
        </is>
      </c>
      <c r="C384" s="8" t="inlineStr">
        <is>
          <t>capteur présence</t>
        </is>
      </c>
      <c r="D384" s="8" t="inlineStr">
        <is>
          <t>Électronique et capteurs</t>
        </is>
      </c>
      <c r="E384" s="8" t="inlineStr">
        <is>
          <t>Électronique et capteurs</t>
        </is>
      </c>
      <c r="F384" s="8" t="inlineStr">
        <is>
          <t>PIECE_VEHICULE</t>
        </is>
      </c>
      <c r="G384" s="8" t="inlineStr">
        <is>
          <t>unité</t>
        </is>
      </c>
      <c r="H384" s="8" t="inlineStr">
        <is>
          <t>SMALL</t>
        </is>
      </c>
      <c r="I384" s="8" t="n">
        <v>5</v>
      </c>
      <c r="J384" s="8" t="inlineStr">
        <is>
          <t>E-01-01</t>
        </is>
      </c>
      <c r="K384" s="8" t="inlineStr"/>
      <c r="L384" s="10" t="n">
        <v>0</v>
      </c>
      <c r="M384" s="10" t="n">
        <v>0</v>
      </c>
      <c r="N384" s="10" t="n">
        <v>23</v>
      </c>
      <c r="O384" s="8" t="inlineStr">
        <is>
          <t>SUM</t>
        </is>
      </c>
      <c r="P384" s="8" t="inlineStr">
        <is>
          <t>IMPORTANT</t>
        </is>
      </c>
      <c r="Q384" s="8" t="inlineStr">
        <is>
          <t>WHAP</t>
        </is>
      </c>
      <c r="R384" s="8" t="inlineStr">
        <is>
          <t>OUI</t>
        </is>
      </c>
      <c r="S384" s="8" t="inlineStr">
        <is>
          <t>31/08/2026 02:59</t>
        </is>
      </c>
    </row>
    <row r="385">
      <c r="A385" s="7" t="inlineStr">
        <is>
          <t>WHAP-0381</t>
        </is>
      </c>
      <c r="B385" s="7" t="inlineStr">
        <is>
          <t>ELC-0381</t>
        </is>
      </c>
      <c r="C385" s="7" t="inlineStr">
        <is>
          <t>capteur fumée</t>
        </is>
      </c>
      <c r="D385" s="7" t="inlineStr">
        <is>
          <t>Électronique et capteurs</t>
        </is>
      </c>
      <c r="E385" s="7" t="inlineStr">
        <is>
          <t>Électronique et capteurs</t>
        </is>
      </c>
      <c r="F385" s="7" t="inlineStr">
        <is>
          <t>PIECE_VEHICULE</t>
        </is>
      </c>
      <c r="G385" s="7" t="inlineStr">
        <is>
          <t>unité</t>
        </is>
      </c>
      <c r="H385" s="7" t="inlineStr">
        <is>
          <t>SMALL</t>
        </is>
      </c>
      <c r="I385" s="7" t="n">
        <v>5</v>
      </c>
      <c r="J385" s="7" t="inlineStr">
        <is>
          <t>E-01-02</t>
        </is>
      </c>
      <c r="K385" s="7" t="inlineStr"/>
      <c r="L385" s="9" t="n">
        <v>0</v>
      </c>
      <c r="M385" s="9" t="n">
        <v>0</v>
      </c>
      <c r="N385" s="9" t="n">
        <v>26</v>
      </c>
      <c r="O385" s="7" t="inlineStr">
        <is>
          <t>BOS</t>
        </is>
      </c>
      <c r="P385" s="7" t="inlineStr">
        <is>
          <t>IMPORTANT</t>
        </is>
      </c>
      <c r="Q385" s="7" t="inlineStr">
        <is>
          <t>WHAP</t>
        </is>
      </c>
      <c r="R385" s="7" t="inlineStr">
        <is>
          <t>OUI</t>
        </is>
      </c>
      <c r="S385" s="7" t="inlineStr">
        <is>
          <t>31/08/2026 02:59</t>
        </is>
      </c>
    </row>
    <row r="386">
      <c r="A386" s="8" t="inlineStr">
        <is>
          <t>WHAP-0382</t>
        </is>
      </c>
      <c r="B386" s="8" t="inlineStr">
        <is>
          <t>ELC-0382</t>
        </is>
      </c>
      <c r="C386" s="8" t="inlineStr">
        <is>
          <t>capteur flamme</t>
        </is>
      </c>
      <c r="D386" s="8" t="inlineStr">
        <is>
          <t>Électronique et capteurs</t>
        </is>
      </c>
      <c r="E386" s="8" t="inlineStr">
        <is>
          <t>Électronique et capteurs</t>
        </is>
      </c>
      <c r="F386" s="8" t="inlineStr">
        <is>
          <t>PIECE_VEHICULE</t>
        </is>
      </c>
      <c r="G386" s="8" t="inlineStr">
        <is>
          <t>unité</t>
        </is>
      </c>
      <c r="H386" s="8" t="inlineStr">
        <is>
          <t>SMALL</t>
        </is>
      </c>
      <c r="I386" s="8" t="n">
        <v>5</v>
      </c>
      <c r="J386" s="8" t="inlineStr">
        <is>
          <t>E-01-01</t>
        </is>
      </c>
      <c r="K386" s="8" t="inlineStr"/>
      <c r="L386" s="10" t="n">
        <v>0</v>
      </c>
      <c r="M386" s="10" t="n">
        <v>0</v>
      </c>
      <c r="N386" s="10" t="n">
        <v>28</v>
      </c>
      <c r="O386" s="8" t="inlineStr">
        <is>
          <t>SUM</t>
        </is>
      </c>
      <c r="P386" s="8" t="inlineStr">
        <is>
          <t>IMPORTANT</t>
        </is>
      </c>
      <c r="Q386" s="8" t="inlineStr">
        <is>
          <t>WHAP</t>
        </is>
      </c>
      <c r="R386" s="8" t="inlineStr">
        <is>
          <t>OUI</t>
        </is>
      </c>
      <c r="S386" s="8" t="inlineStr">
        <is>
          <t>31/08/2026 02:59</t>
        </is>
      </c>
    </row>
    <row r="387">
      <c r="A387" s="7" t="inlineStr">
        <is>
          <t>WHAP-0383</t>
        </is>
      </c>
      <c r="B387" s="7" t="inlineStr">
        <is>
          <t>ELC-0383</t>
        </is>
      </c>
      <c r="C387" s="7" t="inlineStr">
        <is>
          <t>capteur CO2</t>
        </is>
      </c>
      <c r="D387" s="7" t="inlineStr">
        <is>
          <t>Électronique et capteurs</t>
        </is>
      </c>
      <c r="E387" s="7" t="inlineStr">
        <is>
          <t>Électronique et capteurs</t>
        </is>
      </c>
      <c r="F387" s="7" t="inlineStr">
        <is>
          <t>PIECE_VEHICULE</t>
        </is>
      </c>
      <c r="G387" s="7" t="inlineStr">
        <is>
          <t>unité</t>
        </is>
      </c>
      <c r="H387" s="7" t="inlineStr">
        <is>
          <t>SMALL</t>
        </is>
      </c>
      <c r="I387" s="7" t="n">
        <v>5</v>
      </c>
      <c r="J387" s="7" t="inlineStr">
        <is>
          <t>C-03-03</t>
        </is>
      </c>
      <c r="K387" s="7" t="inlineStr"/>
      <c r="L387" s="9" t="n">
        <v>0</v>
      </c>
      <c r="M387" s="9" t="n">
        <v>0</v>
      </c>
      <c r="N387" s="9" t="n">
        <v>27</v>
      </c>
      <c r="O387" s="7" t="inlineStr">
        <is>
          <t>SUM</t>
        </is>
      </c>
      <c r="P387" s="7" t="inlineStr">
        <is>
          <t>IMPORTANT</t>
        </is>
      </c>
      <c r="Q387" s="7" t="inlineStr">
        <is>
          <t>WHAP</t>
        </is>
      </c>
      <c r="R387" s="7" t="inlineStr">
        <is>
          <t>OUI</t>
        </is>
      </c>
      <c r="S387" s="7" t="inlineStr">
        <is>
          <t>31/08/2026 02:59</t>
        </is>
      </c>
    </row>
    <row r="388">
      <c r="A388" s="8" t="inlineStr">
        <is>
          <t>WHAP-0384</t>
        </is>
      </c>
      <c r="B388" s="8" t="inlineStr">
        <is>
          <t>ELC-0384</t>
        </is>
      </c>
      <c r="C388" s="8" t="inlineStr">
        <is>
          <t>capteur humidité</t>
        </is>
      </c>
      <c r="D388" s="8" t="inlineStr">
        <is>
          <t>Électronique et capteurs</t>
        </is>
      </c>
      <c r="E388" s="8" t="inlineStr">
        <is>
          <t>Électronique et capteurs</t>
        </is>
      </c>
      <c r="F388" s="8" t="inlineStr">
        <is>
          <t>PIECE_VEHICULE</t>
        </is>
      </c>
      <c r="G388" s="8" t="inlineStr">
        <is>
          <t>unité</t>
        </is>
      </c>
      <c r="H388" s="8" t="inlineStr">
        <is>
          <t>SMALL</t>
        </is>
      </c>
      <c r="I388" s="8" t="n">
        <v>5</v>
      </c>
      <c r="J388" s="8" t="inlineStr">
        <is>
          <t>C-01-03</t>
        </is>
      </c>
      <c r="K388" s="8" t="inlineStr"/>
      <c r="L388" s="10" t="n">
        <v>0</v>
      </c>
      <c r="M388" s="10" t="n">
        <v>0</v>
      </c>
      <c r="N388" s="10" t="n">
        <v>22</v>
      </c>
      <c r="O388" s="8" t="inlineStr">
        <is>
          <t>HEL</t>
        </is>
      </c>
      <c r="P388" s="8" t="inlineStr">
        <is>
          <t>IMPORTANT</t>
        </is>
      </c>
      <c r="Q388" s="8" t="inlineStr">
        <is>
          <t>WHAP</t>
        </is>
      </c>
      <c r="R388" s="8" t="inlineStr">
        <is>
          <t>OUI</t>
        </is>
      </c>
      <c r="S388" s="8" t="inlineStr">
        <is>
          <t>31/08/2026 02:59</t>
        </is>
      </c>
    </row>
    <row r="389">
      <c r="A389" s="7" t="inlineStr">
        <is>
          <t>WHAP-0385</t>
        </is>
      </c>
      <c r="B389" s="7" t="inlineStr">
        <is>
          <t>ELC-0385</t>
        </is>
      </c>
      <c r="C389" s="7" t="inlineStr">
        <is>
          <t>capteur vibration</t>
        </is>
      </c>
      <c r="D389" s="7" t="inlineStr">
        <is>
          <t>Électronique et capteurs</t>
        </is>
      </c>
      <c r="E389" s="7" t="inlineStr">
        <is>
          <t>Électronique et capteurs</t>
        </is>
      </c>
      <c r="F389" s="7" t="inlineStr">
        <is>
          <t>PIECE_VEHICULE</t>
        </is>
      </c>
      <c r="G389" s="7" t="inlineStr">
        <is>
          <t>unité</t>
        </is>
      </c>
      <c r="H389" s="7" t="inlineStr">
        <is>
          <t>SMALL</t>
        </is>
      </c>
      <c r="I389" s="7" t="n">
        <v>5</v>
      </c>
      <c r="J389" s="7" t="inlineStr">
        <is>
          <t>D-03-01</t>
        </is>
      </c>
      <c r="K389" s="7" t="inlineStr"/>
      <c r="L389" s="9" t="n">
        <v>0</v>
      </c>
      <c r="M389" s="9" t="n">
        <v>0</v>
      </c>
      <c r="N389" s="9" t="n">
        <v>24</v>
      </c>
      <c r="O389" s="7" t="inlineStr">
        <is>
          <t>CTL</t>
        </is>
      </c>
      <c r="P389" s="7" t="inlineStr">
        <is>
          <t>IMPORTANT</t>
        </is>
      </c>
      <c r="Q389" s="7" t="inlineStr">
        <is>
          <t>WHAP</t>
        </is>
      </c>
      <c r="R389" s="7" t="inlineStr">
        <is>
          <t>OUI</t>
        </is>
      </c>
      <c r="S389" s="7" t="inlineStr">
        <is>
          <t>31/08/2026 02:59</t>
        </is>
      </c>
    </row>
    <row r="390">
      <c r="A390" s="8" t="inlineStr">
        <is>
          <t>WHAP-0386</t>
        </is>
      </c>
      <c r="B390" s="8" t="inlineStr">
        <is>
          <t>ELC-0386</t>
        </is>
      </c>
      <c r="C390" s="8" t="inlineStr">
        <is>
          <t>antenne</t>
        </is>
      </c>
      <c r="D390" s="8" t="inlineStr">
        <is>
          <t>Électronique et capteurs</t>
        </is>
      </c>
      <c r="E390" s="8" t="inlineStr">
        <is>
          <t>Électronique et capteurs</t>
        </is>
      </c>
      <c r="F390" s="8" t="inlineStr">
        <is>
          <t>PIECE_VEHICULE</t>
        </is>
      </c>
      <c r="G390" s="8" t="inlineStr">
        <is>
          <t>unité</t>
        </is>
      </c>
      <c r="H390" s="8" t="inlineStr">
        <is>
          <t>SMALL</t>
        </is>
      </c>
      <c r="I390" s="8" t="n">
        <v>5</v>
      </c>
      <c r="J390" s="8" t="inlineStr">
        <is>
          <t>C-02-02</t>
        </is>
      </c>
      <c r="K390" s="8" t="inlineStr"/>
      <c r="L390" s="10" t="n">
        <v>0</v>
      </c>
      <c r="M390" s="10" t="n">
        <v>0</v>
      </c>
      <c r="N390" s="10" t="n">
        <v>29</v>
      </c>
      <c r="O390" s="8" t="inlineStr">
        <is>
          <t>BOS</t>
        </is>
      </c>
      <c r="P390" s="8" t="inlineStr">
        <is>
          <t>IMPORTANT</t>
        </is>
      </c>
      <c r="Q390" s="8" t="inlineStr">
        <is>
          <t>WHAP</t>
        </is>
      </c>
      <c r="R390" s="8" t="inlineStr">
        <is>
          <t>OUI</t>
        </is>
      </c>
      <c r="S390" s="8" t="inlineStr">
        <is>
          <t>31/08/2026 02:59</t>
        </is>
      </c>
    </row>
    <row r="391">
      <c r="A391" s="7" t="inlineStr">
        <is>
          <t>WHAP-0387</t>
        </is>
      </c>
      <c r="B391" s="7" t="inlineStr">
        <is>
          <t>ELC-0387</t>
        </is>
      </c>
      <c r="C391" s="7" t="inlineStr">
        <is>
          <t>module GPS</t>
        </is>
      </c>
      <c r="D391" s="7" t="inlineStr">
        <is>
          <t>Électronique et capteurs</t>
        </is>
      </c>
      <c r="E391" s="7" t="inlineStr">
        <is>
          <t>Électronique et capteurs</t>
        </is>
      </c>
      <c r="F391" s="7" t="inlineStr">
        <is>
          <t>PIECE_VEHICULE</t>
        </is>
      </c>
      <c r="G391" s="7" t="inlineStr">
        <is>
          <t>unité</t>
        </is>
      </c>
      <c r="H391" s="7" t="inlineStr">
        <is>
          <t>SMALL</t>
        </is>
      </c>
      <c r="I391" s="7" t="n">
        <v>5</v>
      </c>
      <c r="J391" s="7" t="inlineStr">
        <is>
          <t>A-02-01</t>
        </is>
      </c>
      <c r="K391" s="7" t="inlineStr"/>
      <c r="L391" s="9" t="n">
        <v>0</v>
      </c>
      <c r="M391" s="9" t="n">
        <v>0</v>
      </c>
      <c r="N391" s="9" t="n">
        <v>22</v>
      </c>
      <c r="O391" s="7" t="inlineStr">
        <is>
          <t>DEL</t>
        </is>
      </c>
      <c r="P391" s="7" t="inlineStr">
        <is>
          <t>IMPORTANT</t>
        </is>
      </c>
      <c r="Q391" s="7" t="inlineStr">
        <is>
          <t>WHAP</t>
        </is>
      </c>
      <c r="R391" s="7" t="inlineStr">
        <is>
          <t>OUI</t>
        </is>
      </c>
      <c r="S391" s="7" t="inlineStr">
        <is>
          <t>31/08/2026 02:59</t>
        </is>
      </c>
    </row>
    <row r="392">
      <c r="A392" s="8" t="inlineStr">
        <is>
          <t>WHAP-0388</t>
        </is>
      </c>
      <c r="B392" s="8" t="inlineStr">
        <is>
          <t>ELC-0388</t>
        </is>
      </c>
      <c r="C392" s="8" t="inlineStr">
        <is>
          <t>module communication</t>
        </is>
      </c>
      <c r="D392" s="8" t="inlineStr">
        <is>
          <t>Électronique et capteurs</t>
        </is>
      </c>
      <c r="E392" s="8" t="inlineStr">
        <is>
          <t>Électronique et capteurs</t>
        </is>
      </c>
      <c r="F392" s="8" t="inlineStr">
        <is>
          <t>PIECE_VEHICULE</t>
        </is>
      </c>
      <c r="G392" s="8" t="inlineStr">
        <is>
          <t>unité</t>
        </is>
      </c>
      <c r="H392" s="8" t="inlineStr">
        <is>
          <t>SMALL</t>
        </is>
      </c>
      <c r="I392" s="8" t="n">
        <v>5</v>
      </c>
      <c r="J392" s="8" t="inlineStr">
        <is>
          <t>D-04-02</t>
        </is>
      </c>
      <c r="K392" s="8" t="inlineStr"/>
      <c r="L392" s="10" t="n">
        <v>0</v>
      </c>
      <c r="M392" s="10" t="n">
        <v>0</v>
      </c>
      <c r="N392" s="10" t="n">
        <v>32</v>
      </c>
      <c r="O392" s="8" t="inlineStr">
        <is>
          <t>SKF</t>
        </is>
      </c>
      <c r="P392" s="8" t="inlineStr">
        <is>
          <t>IMPORTANT</t>
        </is>
      </c>
      <c r="Q392" s="8" t="inlineStr">
        <is>
          <t>WHAP</t>
        </is>
      </c>
      <c r="R392" s="8" t="inlineStr">
        <is>
          <t>OUI</t>
        </is>
      </c>
      <c r="S392" s="8" t="inlineStr">
        <is>
          <t>31/08/2026 02:59</t>
        </is>
      </c>
    </row>
    <row r="393">
      <c r="A393" s="7" t="inlineStr">
        <is>
          <t>WHAP-0389</t>
        </is>
      </c>
      <c r="B393" s="7" t="inlineStr">
        <is>
          <t>ELC-0389</t>
        </is>
      </c>
      <c r="C393" s="7" t="inlineStr">
        <is>
          <t>écran multifonction</t>
        </is>
      </c>
      <c r="D393" s="7" t="inlineStr">
        <is>
          <t>Électronique et capteurs</t>
        </is>
      </c>
      <c r="E393" s="7" t="inlineStr">
        <is>
          <t>Électronique et capteurs</t>
        </is>
      </c>
      <c r="F393" s="7" t="inlineStr">
        <is>
          <t>PIECE_VEHICULE</t>
        </is>
      </c>
      <c r="G393" s="7" t="inlineStr">
        <is>
          <t>unité</t>
        </is>
      </c>
      <c r="H393" s="7" t="inlineStr">
        <is>
          <t>SMALL</t>
        </is>
      </c>
      <c r="I393" s="7" t="n">
        <v>5</v>
      </c>
      <c r="J393" s="7" t="inlineStr">
        <is>
          <t>A-01-04</t>
        </is>
      </c>
      <c r="K393" s="7" t="inlineStr"/>
      <c r="L393" s="9" t="n">
        <v>0</v>
      </c>
      <c r="M393" s="9" t="n">
        <v>0</v>
      </c>
      <c r="N393" s="9" t="n">
        <v>28</v>
      </c>
      <c r="O393" s="7" t="inlineStr">
        <is>
          <t>BOS</t>
        </is>
      </c>
      <c r="P393" s="7" t="inlineStr">
        <is>
          <t>IMPORTANT</t>
        </is>
      </c>
      <c r="Q393" s="7" t="inlineStr">
        <is>
          <t>WHAP</t>
        </is>
      </c>
      <c r="R393" s="7" t="inlineStr">
        <is>
          <t>OUI</t>
        </is>
      </c>
      <c r="S393" s="7" t="inlineStr">
        <is>
          <t>31/08/2026 02:59</t>
        </is>
      </c>
    </row>
    <row r="394">
      <c r="A394" s="8" t="inlineStr">
        <is>
          <t>WHAP-0390</t>
        </is>
      </c>
      <c r="B394" s="8" t="inlineStr">
        <is>
          <t>ELC-0390</t>
        </is>
      </c>
      <c r="C394" s="8" t="inlineStr">
        <is>
          <t>unité de diagnostic</t>
        </is>
      </c>
      <c r="D394" s="8" t="inlineStr">
        <is>
          <t>Électronique et capteurs</t>
        </is>
      </c>
      <c r="E394" s="8" t="inlineStr">
        <is>
          <t>Électronique et capteurs</t>
        </is>
      </c>
      <c r="F394" s="8" t="inlineStr">
        <is>
          <t>PIECE_VEHICULE</t>
        </is>
      </c>
      <c r="G394" s="8" t="inlineStr">
        <is>
          <t>unité</t>
        </is>
      </c>
      <c r="H394" s="8" t="inlineStr">
        <is>
          <t>SMALL</t>
        </is>
      </c>
      <c r="I394" s="8" t="n">
        <v>5</v>
      </c>
      <c r="J394" s="8" t="inlineStr">
        <is>
          <t>A-01-02</t>
        </is>
      </c>
      <c r="K394" s="8" t="inlineStr"/>
      <c r="L394" s="10" t="n">
        <v>0</v>
      </c>
      <c r="M394" s="10" t="n">
        <v>0</v>
      </c>
      <c r="N394" s="10" t="n">
        <v>29</v>
      </c>
      <c r="O394" s="8" t="inlineStr">
        <is>
          <t>DEL</t>
        </is>
      </c>
      <c r="P394" s="8" t="inlineStr">
        <is>
          <t>IMPORTANT</t>
        </is>
      </c>
      <c r="Q394" s="8" t="inlineStr">
        <is>
          <t>WHAP</t>
        </is>
      </c>
      <c r="R394" s="8" t="inlineStr">
        <is>
          <t>OUI</t>
        </is>
      </c>
      <c r="S394" s="8" t="inlineStr">
        <is>
          <t>31/08/2026 02:59</t>
        </is>
      </c>
    </row>
    <row r="395">
      <c r="A395" s="7" t="inlineStr">
        <is>
          <t>WHAP-0391</t>
        </is>
      </c>
      <c r="B395" s="7" t="inlineStr">
        <is>
          <t>ELC-0391</t>
        </is>
      </c>
      <c r="C395" s="7" t="inlineStr">
        <is>
          <t>connecteur CAN</t>
        </is>
      </c>
      <c r="D395" s="7" t="inlineStr">
        <is>
          <t>Électronique et capteurs</t>
        </is>
      </c>
      <c r="E395" s="7" t="inlineStr">
        <is>
          <t>Électronique et capteurs</t>
        </is>
      </c>
      <c r="F395" s="7" t="inlineStr">
        <is>
          <t>PIECE_VEHICULE</t>
        </is>
      </c>
      <c r="G395" s="7" t="inlineStr">
        <is>
          <t>unité</t>
        </is>
      </c>
      <c r="H395" s="7" t="inlineStr">
        <is>
          <t>SMALL</t>
        </is>
      </c>
      <c r="I395" s="7" t="n">
        <v>5</v>
      </c>
      <c r="J395" s="7" t="inlineStr">
        <is>
          <t>E-06-04</t>
        </is>
      </c>
      <c r="K395" s="7" t="inlineStr"/>
      <c r="L395" s="9" t="n">
        <v>0</v>
      </c>
      <c r="M395" s="9" t="n">
        <v>0</v>
      </c>
      <c r="N395" s="9" t="n">
        <v>28</v>
      </c>
      <c r="O395" s="7" t="inlineStr">
        <is>
          <t>HEL</t>
        </is>
      </c>
      <c r="P395" s="7" t="inlineStr">
        <is>
          <t>IMPORTANT</t>
        </is>
      </c>
      <c r="Q395" s="7" t="inlineStr">
        <is>
          <t>WHAP</t>
        </is>
      </c>
      <c r="R395" s="7" t="inlineStr">
        <is>
          <t>OUI</t>
        </is>
      </c>
      <c r="S395" s="7" t="inlineStr">
        <is>
          <t>31/08/2026 02:59</t>
        </is>
      </c>
    </row>
    <row r="396">
      <c r="A396" s="8" t="inlineStr">
        <is>
          <t>WHAP-0392</t>
        </is>
      </c>
      <c r="B396" s="8" t="inlineStr">
        <is>
          <t>ELC-0392</t>
        </is>
      </c>
      <c r="C396" s="8" t="inlineStr">
        <is>
          <t>terminaison CAN</t>
        </is>
      </c>
      <c r="D396" s="8" t="inlineStr">
        <is>
          <t>Électronique et capteurs</t>
        </is>
      </c>
      <c r="E396" s="8" t="inlineStr">
        <is>
          <t>Électronique et capteurs</t>
        </is>
      </c>
      <c r="F396" s="8" t="inlineStr">
        <is>
          <t>PIECE_VEHICULE</t>
        </is>
      </c>
      <c r="G396" s="8" t="inlineStr">
        <is>
          <t>unité</t>
        </is>
      </c>
      <c r="H396" s="8" t="inlineStr">
        <is>
          <t>SMALL</t>
        </is>
      </c>
      <c r="I396" s="8" t="n">
        <v>5</v>
      </c>
      <c r="J396" s="8" t="inlineStr">
        <is>
          <t>A-04-02</t>
        </is>
      </c>
      <c r="K396" s="8" t="inlineStr"/>
      <c r="L396" s="10" t="n">
        <v>0</v>
      </c>
      <c r="M396" s="10" t="n">
        <v>0</v>
      </c>
      <c r="N396" s="10" t="n">
        <v>22</v>
      </c>
      <c r="O396" s="8" t="inlineStr">
        <is>
          <t>BOS</t>
        </is>
      </c>
      <c r="P396" s="8" t="inlineStr">
        <is>
          <t>IMPORTANT</t>
        </is>
      </c>
      <c r="Q396" s="8" t="inlineStr">
        <is>
          <t>WHAP</t>
        </is>
      </c>
      <c r="R396" s="8" t="inlineStr">
        <is>
          <t>OUI</t>
        </is>
      </c>
      <c r="S396" s="8" t="inlineStr">
        <is>
          <t>31/08/2026 02:59</t>
        </is>
      </c>
    </row>
    <row r="397">
      <c r="A397" s="7" t="inlineStr">
        <is>
          <t>WHAP-0393</t>
        </is>
      </c>
      <c r="B397" s="7" t="inlineStr">
        <is>
          <t>ELC-0393</t>
        </is>
      </c>
      <c r="C397" s="7" t="inlineStr">
        <is>
          <t>câble CAN</t>
        </is>
      </c>
      <c r="D397" s="7" t="inlineStr">
        <is>
          <t>Électronique et capteurs</t>
        </is>
      </c>
      <c r="E397" s="7" t="inlineStr">
        <is>
          <t>Électronique et capteurs</t>
        </is>
      </c>
      <c r="F397" s="7" t="inlineStr">
        <is>
          <t>PIECE_VEHICULE</t>
        </is>
      </c>
      <c r="G397" s="7" t="inlineStr">
        <is>
          <t>unité</t>
        </is>
      </c>
      <c r="H397" s="7" t="inlineStr">
        <is>
          <t>SMALL</t>
        </is>
      </c>
      <c r="I397" s="7" t="n">
        <v>5</v>
      </c>
      <c r="J397" s="7" t="inlineStr">
        <is>
          <t>F-06-04</t>
        </is>
      </c>
      <c r="K397" s="7" t="inlineStr"/>
      <c r="L397" s="9" t="n">
        <v>0</v>
      </c>
      <c r="M397" s="9" t="n">
        <v>0</v>
      </c>
      <c r="N397" s="9" t="n">
        <v>30</v>
      </c>
      <c r="O397" s="7" t="inlineStr">
        <is>
          <t>FAU</t>
        </is>
      </c>
      <c r="P397" s="7" t="inlineStr">
        <is>
          <t>IMPORTANT</t>
        </is>
      </c>
      <c r="Q397" s="7" t="inlineStr">
        <is>
          <t>WHAP</t>
        </is>
      </c>
      <c r="R397" s="7" t="inlineStr">
        <is>
          <t>OUI</t>
        </is>
      </c>
      <c r="S397" s="7" t="inlineStr">
        <is>
          <t>31/08/2026 02:59</t>
        </is>
      </c>
    </row>
    <row r="398">
      <c r="A398" s="8" t="inlineStr">
        <is>
          <t>WHAP-0394</t>
        </is>
      </c>
      <c r="B398" s="8" t="inlineStr">
        <is>
          <t>ELC-0394</t>
        </is>
      </c>
      <c r="C398" s="8" t="inlineStr">
        <is>
          <t>boîtier électronique</t>
        </is>
      </c>
      <c r="D398" s="8" t="inlineStr">
        <is>
          <t>Électronique et capteurs</t>
        </is>
      </c>
      <c r="E398" s="8" t="inlineStr">
        <is>
          <t>Électronique et capteurs</t>
        </is>
      </c>
      <c r="F398" s="8" t="inlineStr">
        <is>
          <t>PIECE_VEHICULE</t>
        </is>
      </c>
      <c r="G398" s="8" t="inlineStr">
        <is>
          <t>unité</t>
        </is>
      </c>
      <c r="H398" s="8" t="inlineStr">
        <is>
          <t>SMALL</t>
        </is>
      </c>
      <c r="I398" s="8" t="n">
        <v>5</v>
      </c>
      <c r="J398" s="8" t="inlineStr">
        <is>
          <t>B-02-02</t>
        </is>
      </c>
      <c r="K398" s="8" t="inlineStr"/>
      <c r="L398" s="10" t="n">
        <v>0</v>
      </c>
      <c r="M398" s="10" t="n">
        <v>0</v>
      </c>
      <c r="N398" s="10" t="n">
        <v>28</v>
      </c>
      <c r="O398" s="8" t="inlineStr">
        <is>
          <t>SKF</t>
        </is>
      </c>
      <c r="P398" s="8" t="inlineStr">
        <is>
          <t>IMPORTANT</t>
        </is>
      </c>
      <c r="Q398" s="8" t="inlineStr">
        <is>
          <t>WHAP</t>
        </is>
      </c>
      <c r="R398" s="8" t="inlineStr">
        <is>
          <t>OUI</t>
        </is>
      </c>
      <c r="S398" s="8" t="inlineStr">
        <is>
          <t>31/08/2026 02:59</t>
        </is>
      </c>
    </row>
    <row r="399">
      <c r="A399" s="7" t="inlineStr">
        <is>
          <t>WHAP-0395</t>
        </is>
      </c>
      <c r="B399" s="7" t="inlineStr">
        <is>
          <t>ECL-0395</t>
        </is>
      </c>
      <c r="C399" s="7" t="inlineStr">
        <is>
          <t>phare avant</t>
        </is>
      </c>
      <c r="D399" s="7" t="inlineStr">
        <is>
          <t>Éclairage</t>
        </is>
      </c>
      <c r="E399" s="7" t="inlineStr">
        <is>
          <t>Éclairage</t>
        </is>
      </c>
      <c r="F399" s="7" t="inlineStr">
        <is>
          <t>PIECE_VEHICULE</t>
        </is>
      </c>
      <c r="G399" s="7" t="inlineStr">
        <is>
          <t>unité</t>
        </is>
      </c>
      <c r="H399" s="7" t="inlineStr">
        <is>
          <t>SMALL</t>
        </is>
      </c>
      <c r="I399" s="7" t="n">
        <v>5</v>
      </c>
      <c r="J399" s="7" t="inlineStr">
        <is>
          <t>A-01-04 : 60</t>
        </is>
      </c>
      <c r="K399" s="7" t="inlineStr"/>
      <c r="L399" s="9" t="n">
        <v>60</v>
      </c>
      <c r="M399" s="9" t="n">
        <v>60</v>
      </c>
      <c r="N399" s="9" t="n">
        <v>47</v>
      </c>
      <c r="O399" s="7" t="inlineStr">
        <is>
          <t>HEL</t>
        </is>
      </c>
      <c r="P399" s="7" t="inlineStr">
        <is>
          <t>STANDARD</t>
        </is>
      </c>
      <c r="Q399" s="7" t="inlineStr">
        <is>
          <t>WHAP</t>
        </is>
      </c>
      <c r="R399" s="7" t="inlineStr">
        <is>
          <t>OUI</t>
        </is>
      </c>
      <c r="S399" s="7" t="inlineStr">
        <is>
          <t>31/08/2026 02:59</t>
        </is>
      </c>
    </row>
    <row r="400">
      <c r="A400" s="8" t="inlineStr">
        <is>
          <t>WHAP-0396</t>
        </is>
      </c>
      <c r="B400" s="8" t="inlineStr">
        <is>
          <t>ECL-0396</t>
        </is>
      </c>
      <c r="C400" s="8" t="inlineStr">
        <is>
          <t>projecteur LED</t>
        </is>
      </c>
      <c r="D400" s="8" t="inlineStr">
        <is>
          <t>Éclairage</t>
        </is>
      </c>
      <c r="E400" s="8" t="inlineStr">
        <is>
          <t>Éclairage</t>
        </is>
      </c>
      <c r="F400" s="8" t="inlineStr">
        <is>
          <t>PIECE_VEHICULE</t>
        </is>
      </c>
      <c r="G400" s="8" t="inlineStr">
        <is>
          <t>unité</t>
        </is>
      </c>
      <c r="H400" s="8" t="inlineStr">
        <is>
          <t>SMALL</t>
        </is>
      </c>
      <c r="I400" s="8" t="n">
        <v>5</v>
      </c>
      <c r="J400" s="8" t="inlineStr">
        <is>
          <t>B-01-03 : 420</t>
        </is>
      </c>
      <c r="K400" s="8" t="inlineStr"/>
      <c r="L400" s="10" t="n">
        <v>420</v>
      </c>
      <c r="M400" s="10" t="n">
        <v>420</v>
      </c>
      <c r="N400" s="10" t="n">
        <v>44</v>
      </c>
      <c r="O400" s="8" t="inlineStr">
        <is>
          <t>CTL</t>
        </is>
      </c>
      <c r="P400" s="8" t="inlineStr">
        <is>
          <t>STANDARD</t>
        </is>
      </c>
      <c r="Q400" s="8" t="inlineStr">
        <is>
          <t>WHAP</t>
        </is>
      </c>
      <c r="R400" s="8" t="inlineStr">
        <is>
          <t>OUI</t>
        </is>
      </c>
      <c r="S400" s="8" t="inlineStr">
        <is>
          <t>31/08/2026 02:59</t>
        </is>
      </c>
    </row>
    <row r="401">
      <c r="A401" s="7" t="inlineStr">
        <is>
          <t>WHAP-0397</t>
        </is>
      </c>
      <c r="B401" s="7" t="inlineStr">
        <is>
          <t>ECL-0397</t>
        </is>
      </c>
      <c r="C401" s="7" t="inlineStr">
        <is>
          <t>feu de position</t>
        </is>
      </c>
      <c r="D401" s="7" t="inlineStr">
        <is>
          <t>Éclairage</t>
        </is>
      </c>
      <c r="E401" s="7" t="inlineStr">
        <is>
          <t>Éclairage</t>
        </is>
      </c>
      <c r="F401" s="7" t="inlineStr">
        <is>
          <t>PIECE_VEHICULE</t>
        </is>
      </c>
      <c r="G401" s="7" t="inlineStr">
        <is>
          <t>unité</t>
        </is>
      </c>
      <c r="H401" s="7" t="inlineStr">
        <is>
          <t>SMALL</t>
        </is>
      </c>
      <c r="I401" s="7" t="n">
        <v>5</v>
      </c>
      <c r="J401" s="7" t="inlineStr">
        <is>
          <t>E-01-03</t>
        </is>
      </c>
      <c r="K401" s="7" t="inlineStr"/>
      <c r="L401" s="9" t="n">
        <v>0</v>
      </c>
      <c r="M401" s="9" t="n">
        <v>0</v>
      </c>
      <c r="N401" s="9" t="n">
        <v>46</v>
      </c>
      <c r="O401" s="7" t="inlineStr">
        <is>
          <t>MAG</t>
        </is>
      </c>
      <c r="P401" s="7" t="inlineStr">
        <is>
          <t>STANDARD</t>
        </is>
      </c>
      <c r="Q401" s="7" t="inlineStr">
        <is>
          <t>WHAP</t>
        </is>
      </c>
      <c r="R401" s="7" t="inlineStr">
        <is>
          <t>OUI</t>
        </is>
      </c>
      <c r="S401" s="7" t="inlineStr">
        <is>
          <t>31/08/2026 02:59</t>
        </is>
      </c>
    </row>
    <row r="402">
      <c r="A402" s="8" t="inlineStr">
        <is>
          <t>WHAP-0398</t>
        </is>
      </c>
      <c r="B402" s="8" t="inlineStr">
        <is>
          <t>ECL-0398</t>
        </is>
      </c>
      <c r="C402" s="8" t="inlineStr">
        <is>
          <t>feu arrière</t>
        </is>
      </c>
      <c r="D402" s="8" t="inlineStr">
        <is>
          <t>Éclairage</t>
        </is>
      </c>
      <c r="E402" s="8" t="inlineStr">
        <is>
          <t>Éclairage</t>
        </is>
      </c>
      <c r="F402" s="8" t="inlineStr">
        <is>
          <t>PIECE_VEHICULE</t>
        </is>
      </c>
      <c r="G402" s="8" t="inlineStr">
        <is>
          <t>unité</t>
        </is>
      </c>
      <c r="H402" s="8" t="inlineStr">
        <is>
          <t>SMALL</t>
        </is>
      </c>
      <c r="I402" s="8" t="n">
        <v>5</v>
      </c>
      <c r="J402" s="8" t="inlineStr">
        <is>
          <t>A-05-03</t>
        </is>
      </c>
      <c r="K402" s="8" t="inlineStr"/>
      <c r="L402" s="10" t="n">
        <v>0</v>
      </c>
      <c r="M402" s="10" t="n">
        <v>0</v>
      </c>
      <c r="N402" s="10" t="n">
        <v>47</v>
      </c>
      <c r="O402" s="8" t="inlineStr">
        <is>
          <t>MAG</t>
        </is>
      </c>
      <c r="P402" s="8" t="inlineStr">
        <is>
          <t>STANDARD</t>
        </is>
      </c>
      <c r="Q402" s="8" t="inlineStr">
        <is>
          <t>WHAP</t>
        </is>
      </c>
      <c r="R402" s="8" t="inlineStr">
        <is>
          <t>OUI</t>
        </is>
      </c>
      <c r="S402" s="8" t="inlineStr">
        <is>
          <t>31/08/2026 02:59</t>
        </is>
      </c>
    </row>
    <row r="403">
      <c r="A403" s="7" t="inlineStr">
        <is>
          <t>WHAP-0399</t>
        </is>
      </c>
      <c r="B403" s="7" t="inlineStr">
        <is>
          <t>ECL-0399</t>
        </is>
      </c>
      <c r="C403" s="7" t="inlineStr">
        <is>
          <t>feu stop</t>
        </is>
      </c>
      <c r="D403" s="7" t="inlineStr">
        <is>
          <t>Éclairage</t>
        </is>
      </c>
      <c r="E403" s="7" t="inlineStr">
        <is>
          <t>Éclairage</t>
        </is>
      </c>
      <c r="F403" s="7" t="inlineStr">
        <is>
          <t>PIECE_VEHICULE</t>
        </is>
      </c>
      <c r="G403" s="7" t="inlineStr">
        <is>
          <t>unité</t>
        </is>
      </c>
      <c r="H403" s="7" t="inlineStr">
        <is>
          <t>SMALL</t>
        </is>
      </c>
      <c r="I403" s="7" t="n">
        <v>5</v>
      </c>
      <c r="J403" s="7" t="inlineStr">
        <is>
          <t>A-04-04</t>
        </is>
      </c>
      <c r="K403" s="7" t="inlineStr"/>
      <c r="L403" s="9" t="n">
        <v>0</v>
      </c>
      <c r="M403" s="9" t="n">
        <v>0</v>
      </c>
      <c r="N403" s="9" t="n">
        <v>41</v>
      </c>
      <c r="O403" s="7" t="inlineStr">
        <is>
          <t>HEL</t>
        </is>
      </c>
      <c r="P403" s="7" t="inlineStr">
        <is>
          <t>STANDARD</t>
        </is>
      </c>
      <c r="Q403" s="7" t="inlineStr">
        <is>
          <t>WHAP</t>
        </is>
      </c>
      <c r="R403" s="7" t="inlineStr">
        <is>
          <t>OUI</t>
        </is>
      </c>
      <c r="S403" s="7" t="inlineStr">
        <is>
          <t>31/08/2026 02:59</t>
        </is>
      </c>
    </row>
    <row r="404">
      <c r="A404" s="8" t="inlineStr">
        <is>
          <t>WHAP-0400</t>
        </is>
      </c>
      <c r="B404" s="8" t="inlineStr">
        <is>
          <t>ECL-0400</t>
        </is>
      </c>
      <c r="C404" s="8" t="inlineStr">
        <is>
          <t>clignotant</t>
        </is>
      </c>
      <c r="D404" s="8" t="inlineStr">
        <is>
          <t>Éclairage</t>
        </is>
      </c>
      <c r="E404" s="8" t="inlineStr">
        <is>
          <t>Éclairage</t>
        </is>
      </c>
      <c r="F404" s="8" t="inlineStr">
        <is>
          <t>PIECE_VEHICULE</t>
        </is>
      </c>
      <c r="G404" s="8" t="inlineStr">
        <is>
          <t>unité</t>
        </is>
      </c>
      <c r="H404" s="8" t="inlineStr">
        <is>
          <t>SMALL</t>
        </is>
      </c>
      <c r="I404" s="8" t="n">
        <v>5</v>
      </c>
      <c r="J404" s="8" t="inlineStr">
        <is>
          <t>F-01-04</t>
        </is>
      </c>
      <c r="K404" s="8" t="inlineStr"/>
      <c r="L404" s="10" t="n">
        <v>0</v>
      </c>
      <c r="M404" s="10" t="n">
        <v>0</v>
      </c>
      <c r="N404" s="10" t="n">
        <v>50</v>
      </c>
      <c r="O404" s="8" t="inlineStr">
        <is>
          <t>VAL</t>
        </is>
      </c>
      <c r="P404" s="8" t="inlineStr">
        <is>
          <t>STANDARD</t>
        </is>
      </c>
      <c r="Q404" s="8" t="inlineStr">
        <is>
          <t>WHAP</t>
        </is>
      </c>
      <c r="R404" s="8" t="inlineStr">
        <is>
          <t>OUI</t>
        </is>
      </c>
      <c r="S404" s="8" t="inlineStr">
        <is>
          <t>31/08/2026 02:59</t>
        </is>
      </c>
    </row>
    <row r="405">
      <c r="A405" s="7" t="inlineStr">
        <is>
          <t>WHAP-0401</t>
        </is>
      </c>
      <c r="B405" s="7" t="inlineStr">
        <is>
          <t>ECL-0401</t>
        </is>
      </c>
      <c r="C405" s="7" t="inlineStr">
        <is>
          <t>feu de recul</t>
        </is>
      </c>
      <c r="D405" s="7" t="inlineStr">
        <is>
          <t>Éclairage</t>
        </is>
      </c>
      <c r="E405" s="7" t="inlineStr">
        <is>
          <t>Éclairage</t>
        </is>
      </c>
      <c r="F405" s="7" t="inlineStr">
        <is>
          <t>PIECE_VEHICULE</t>
        </is>
      </c>
      <c r="G405" s="7" t="inlineStr">
        <is>
          <t>unité</t>
        </is>
      </c>
      <c r="H405" s="7" t="inlineStr">
        <is>
          <t>SMALL</t>
        </is>
      </c>
      <c r="I405" s="7" t="n">
        <v>5</v>
      </c>
      <c r="J405" s="7" t="inlineStr">
        <is>
          <t>E-04-03</t>
        </is>
      </c>
      <c r="K405" s="7" t="inlineStr"/>
      <c r="L405" s="9" t="n">
        <v>0</v>
      </c>
      <c r="M405" s="9" t="n">
        <v>0</v>
      </c>
      <c r="N405" s="9" t="n">
        <v>45</v>
      </c>
      <c r="O405" s="7" t="inlineStr">
        <is>
          <t>DEL</t>
        </is>
      </c>
      <c r="P405" s="7" t="inlineStr">
        <is>
          <t>STANDARD</t>
        </is>
      </c>
      <c r="Q405" s="7" t="inlineStr">
        <is>
          <t>WHAP</t>
        </is>
      </c>
      <c r="R405" s="7" t="inlineStr">
        <is>
          <t>OUI</t>
        </is>
      </c>
      <c r="S405" s="7" t="inlineStr">
        <is>
          <t>31/08/2026 02:59</t>
        </is>
      </c>
    </row>
    <row r="406">
      <c r="A406" s="8" t="inlineStr">
        <is>
          <t>WHAP-0402</t>
        </is>
      </c>
      <c r="B406" s="8" t="inlineStr">
        <is>
          <t>ECL-0402</t>
        </is>
      </c>
      <c r="C406" s="8" t="inlineStr">
        <is>
          <t>feu antibrouillard</t>
        </is>
      </c>
      <c r="D406" s="8" t="inlineStr">
        <is>
          <t>Éclairage</t>
        </is>
      </c>
      <c r="E406" s="8" t="inlineStr">
        <is>
          <t>Éclairage</t>
        </is>
      </c>
      <c r="F406" s="8" t="inlineStr">
        <is>
          <t>PIECE_VEHICULE</t>
        </is>
      </c>
      <c r="G406" s="8" t="inlineStr">
        <is>
          <t>unité</t>
        </is>
      </c>
      <c r="H406" s="8" t="inlineStr">
        <is>
          <t>SMALL</t>
        </is>
      </c>
      <c r="I406" s="8" t="n">
        <v>5</v>
      </c>
      <c r="J406" s="8" t="inlineStr">
        <is>
          <t>E-04-03</t>
        </is>
      </c>
      <c r="K406" s="8" t="inlineStr"/>
      <c r="L406" s="10" t="n">
        <v>0</v>
      </c>
      <c r="M406" s="10" t="n">
        <v>0</v>
      </c>
      <c r="N406" s="10" t="n">
        <v>41</v>
      </c>
      <c r="O406" s="8" t="inlineStr">
        <is>
          <t>MAG</t>
        </is>
      </c>
      <c r="P406" s="8" t="inlineStr">
        <is>
          <t>STANDARD</t>
        </is>
      </c>
      <c r="Q406" s="8" t="inlineStr">
        <is>
          <t>WHAP</t>
        </is>
      </c>
      <c r="R406" s="8" t="inlineStr">
        <is>
          <t>OUI</t>
        </is>
      </c>
      <c r="S406" s="8" t="inlineStr">
        <is>
          <t>31/08/2026 02:59</t>
        </is>
      </c>
    </row>
    <row r="407">
      <c r="A407" s="7" t="inlineStr">
        <is>
          <t>WHAP-0403</t>
        </is>
      </c>
      <c r="B407" s="7" t="inlineStr">
        <is>
          <t>ECL-0403</t>
        </is>
      </c>
      <c r="C407" s="7" t="inlineStr">
        <is>
          <t>éclairage intérieur</t>
        </is>
      </c>
      <c r="D407" s="7" t="inlineStr">
        <is>
          <t>Éclairage</t>
        </is>
      </c>
      <c r="E407" s="7" t="inlineStr">
        <is>
          <t>Éclairage</t>
        </is>
      </c>
      <c r="F407" s="7" t="inlineStr">
        <is>
          <t>PIECE_VEHICULE</t>
        </is>
      </c>
      <c r="G407" s="7" t="inlineStr">
        <is>
          <t>unité</t>
        </is>
      </c>
      <c r="H407" s="7" t="inlineStr">
        <is>
          <t>SMALL</t>
        </is>
      </c>
      <c r="I407" s="7" t="n">
        <v>5</v>
      </c>
      <c r="J407" s="7" t="inlineStr">
        <is>
          <t>B-02-02</t>
        </is>
      </c>
      <c r="K407" s="7" t="inlineStr"/>
      <c r="L407" s="9" t="n">
        <v>0</v>
      </c>
      <c r="M407" s="9" t="n">
        <v>0</v>
      </c>
      <c r="N407" s="9" t="n">
        <v>50</v>
      </c>
      <c r="O407" s="7" t="inlineStr">
        <is>
          <t>YZK</t>
        </is>
      </c>
      <c r="P407" s="7" t="inlineStr">
        <is>
          <t>STANDARD</t>
        </is>
      </c>
      <c r="Q407" s="7" t="inlineStr">
        <is>
          <t>WHAP</t>
        </is>
      </c>
      <c r="R407" s="7" t="inlineStr">
        <is>
          <t>OUI</t>
        </is>
      </c>
      <c r="S407" s="7" t="inlineStr">
        <is>
          <t>31/08/2026 02:59</t>
        </is>
      </c>
    </row>
    <row r="408">
      <c r="A408" s="8" t="inlineStr">
        <is>
          <t>WHAP-0404</t>
        </is>
      </c>
      <c r="B408" s="8" t="inlineStr">
        <is>
          <t>ECL-0404</t>
        </is>
      </c>
      <c r="C408" s="8" t="inlineStr">
        <is>
          <t>éclairage compartiment moteur</t>
        </is>
      </c>
      <c r="D408" s="8" t="inlineStr">
        <is>
          <t>Éclairage</t>
        </is>
      </c>
      <c r="E408" s="8" t="inlineStr">
        <is>
          <t>Éclairage</t>
        </is>
      </c>
      <c r="F408" s="8" t="inlineStr">
        <is>
          <t>PIECE_VEHICULE</t>
        </is>
      </c>
      <c r="G408" s="8" t="inlineStr">
        <is>
          <t>unité</t>
        </is>
      </c>
      <c r="H408" s="8" t="inlineStr">
        <is>
          <t>SMALL</t>
        </is>
      </c>
      <c r="I408" s="8" t="n">
        <v>5</v>
      </c>
      <c r="J408" s="8" t="inlineStr">
        <is>
          <t>E-03-02</t>
        </is>
      </c>
      <c r="K408" s="8" t="inlineStr"/>
      <c r="L408" s="10" t="n">
        <v>0</v>
      </c>
      <c r="M408" s="10" t="n">
        <v>0</v>
      </c>
      <c r="N408" s="10" t="n">
        <v>47</v>
      </c>
      <c r="O408" s="8" t="inlineStr">
        <is>
          <t>SUM</t>
        </is>
      </c>
      <c r="P408" s="8" t="inlineStr">
        <is>
          <t>STANDARD</t>
        </is>
      </c>
      <c r="Q408" s="8" t="inlineStr">
        <is>
          <t>WHAP</t>
        </is>
      </c>
      <c r="R408" s="8" t="inlineStr">
        <is>
          <t>OUI</t>
        </is>
      </c>
      <c r="S408" s="8" t="inlineStr">
        <is>
          <t>31/08/2026 02:59</t>
        </is>
      </c>
    </row>
    <row r="409">
      <c r="A409" s="7" t="inlineStr">
        <is>
          <t>WHAP-0405</t>
        </is>
      </c>
      <c r="B409" s="7" t="inlineStr">
        <is>
          <t>ECL-0405</t>
        </is>
      </c>
      <c r="C409" s="7" t="inlineStr">
        <is>
          <t>éclairage poste de conduite</t>
        </is>
      </c>
      <c r="D409" s="7" t="inlineStr">
        <is>
          <t>Éclairage</t>
        </is>
      </c>
      <c r="E409" s="7" t="inlineStr">
        <is>
          <t>Éclairage</t>
        </is>
      </c>
      <c r="F409" s="7" t="inlineStr">
        <is>
          <t>PIECE_VEHICULE</t>
        </is>
      </c>
      <c r="G409" s="7" t="inlineStr">
        <is>
          <t>unité</t>
        </is>
      </c>
      <c r="H409" s="7" t="inlineStr">
        <is>
          <t>SMALL</t>
        </is>
      </c>
      <c r="I409" s="7" t="n">
        <v>5</v>
      </c>
      <c r="J409" s="7" t="inlineStr">
        <is>
          <t>E-03-03</t>
        </is>
      </c>
      <c r="K409" s="7" t="inlineStr"/>
      <c r="L409" s="9" t="n">
        <v>0</v>
      </c>
      <c r="M409" s="9" t="n">
        <v>0</v>
      </c>
      <c r="N409" s="9" t="n">
        <v>45</v>
      </c>
      <c r="O409" s="7" t="inlineStr">
        <is>
          <t>DEL</t>
        </is>
      </c>
      <c r="P409" s="7" t="inlineStr">
        <is>
          <t>STANDARD</t>
        </is>
      </c>
      <c r="Q409" s="7" t="inlineStr">
        <is>
          <t>WHAP</t>
        </is>
      </c>
      <c r="R409" s="7" t="inlineStr">
        <is>
          <t>OUI</t>
        </is>
      </c>
      <c r="S409" s="7" t="inlineStr">
        <is>
          <t>31/08/2026 02:59</t>
        </is>
      </c>
    </row>
    <row r="410">
      <c r="A410" s="8" t="inlineStr">
        <is>
          <t>WHAP-0406</t>
        </is>
      </c>
      <c r="B410" s="8" t="inlineStr">
        <is>
          <t>ECL-0406</t>
        </is>
      </c>
      <c r="C410" s="8" t="inlineStr">
        <is>
          <t>gyrophare</t>
        </is>
      </c>
      <c r="D410" s="8" t="inlineStr">
        <is>
          <t>Éclairage</t>
        </is>
      </c>
      <c r="E410" s="8" t="inlineStr">
        <is>
          <t>Éclairage</t>
        </is>
      </c>
      <c r="F410" s="8" t="inlineStr">
        <is>
          <t>PIECE_VEHICULE</t>
        </is>
      </c>
      <c r="G410" s="8" t="inlineStr">
        <is>
          <t>unité</t>
        </is>
      </c>
      <c r="H410" s="8" t="inlineStr">
        <is>
          <t>SMALL</t>
        </is>
      </c>
      <c r="I410" s="8" t="n">
        <v>5</v>
      </c>
      <c r="J410" s="8" t="inlineStr">
        <is>
          <t>A-04-02</t>
        </is>
      </c>
      <c r="K410" s="8" t="inlineStr"/>
      <c r="L410" s="10" t="n">
        <v>0</v>
      </c>
      <c r="M410" s="10" t="n">
        <v>0</v>
      </c>
      <c r="N410" s="10" t="n">
        <v>41</v>
      </c>
      <c r="O410" s="8" t="inlineStr">
        <is>
          <t>MAG</t>
        </is>
      </c>
      <c r="P410" s="8" t="inlineStr">
        <is>
          <t>STANDARD</t>
        </is>
      </c>
      <c r="Q410" s="8" t="inlineStr">
        <is>
          <t>WHAP</t>
        </is>
      </c>
      <c r="R410" s="8" t="inlineStr">
        <is>
          <t>OUI</t>
        </is>
      </c>
      <c r="S410" s="8" t="inlineStr">
        <is>
          <t>31/08/2026 02:59</t>
        </is>
      </c>
    </row>
    <row r="411">
      <c r="A411" s="7" t="inlineStr">
        <is>
          <t>WHAP-0407</t>
        </is>
      </c>
      <c r="B411" s="7" t="inlineStr">
        <is>
          <t>ECL-0407</t>
        </is>
      </c>
      <c r="C411" s="7" t="inlineStr">
        <is>
          <t>lampe de lecture</t>
        </is>
      </c>
      <c r="D411" s="7" t="inlineStr">
        <is>
          <t>Éclairage</t>
        </is>
      </c>
      <c r="E411" s="7" t="inlineStr">
        <is>
          <t>Éclairage</t>
        </is>
      </c>
      <c r="F411" s="7" t="inlineStr">
        <is>
          <t>PIECE_VEHICULE</t>
        </is>
      </c>
      <c r="G411" s="7" t="inlineStr">
        <is>
          <t>unité</t>
        </is>
      </c>
      <c r="H411" s="7" t="inlineStr">
        <is>
          <t>SMALL</t>
        </is>
      </c>
      <c r="I411" s="7" t="n">
        <v>5</v>
      </c>
      <c r="J411" s="7" t="inlineStr">
        <is>
          <t>D-01-02</t>
        </is>
      </c>
      <c r="K411" s="7" t="inlineStr"/>
      <c r="L411" s="9" t="n">
        <v>0</v>
      </c>
      <c r="M411" s="9" t="n">
        <v>0</v>
      </c>
      <c r="N411" s="9" t="n">
        <v>50</v>
      </c>
      <c r="O411" s="7" t="inlineStr">
        <is>
          <t>FAU</t>
        </is>
      </c>
      <c r="P411" s="7" t="inlineStr">
        <is>
          <t>STANDARD</t>
        </is>
      </c>
      <c r="Q411" s="7" t="inlineStr">
        <is>
          <t>WHAP</t>
        </is>
      </c>
      <c r="R411" s="7" t="inlineStr">
        <is>
          <t>OUI</t>
        </is>
      </c>
      <c r="S411" s="7" t="inlineStr">
        <is>
          <t>31/08/2026 02:59</t>
        </is>
      </c>
    </row>
    <row r="412">
      <c r="A412" s="8" t="inlineStr">
        <is>
          <t>WHAP-0408</t>
        </is>
      </c>
      <c r="B412" s="8" t="inlineStr">
        <is>
          <t>ECL-0408</t>
        </is>
      </c>
      <c r="C412" s="8" t="inlineStr">
        <is>
          <t>projecteur de recherche</t>
        </is>
      </c>
      <c r="D412" s="8" t="inlineStr">
        <is>
          <t>Éclairage</t>
        </is>
      </c>
      <c r="E412" s="8" t="inlineStr">
        <is>
          <t>Éclairage</t>
        </is>
      </c>
      <c r="F412" s="8" t="inlineStr">
        <is>
          <t>PIECE_VEHICULE</t>
        </is>
      </c>
      <c r="G412" s="8" t="inlineStr">
        <is>
          <t>unité</t>
        </is>
      </c>
      <c r="H412" s="8" t="inlineStr">
        <is>
          <t>SMALL</t>
        </is>
      </c>
      <c r="I412" s="8" t="n">
        <v>5</v>
      </c>
      <c r="J412" s="8" t="inlineStr">
        <is>
          <t>C-03-03</t>
        </is>
      </c>
      <c r="K412" s="8" t="inlineStr"/>
      <c r="L412" s="10" t="n">
        <v>0</v>
      </c>
      <c r="M412" s="10" t="n">
        <v>0</v>
      </c>
      <c r="N412" s="10" t="n">
        <v>41</v>
      </c>
      <c r="O412" s="8" t="inlineStr">
        <is>
          <t>BOS</t>
        </is>
      </c>
      <c r="P412" s="8" t="inlineStr">
        <is>
          <t>STANDARD</t>
        </is>
      </c>
      <c r="Q412" s="8" t="inlineStr">
        <is>
          <t>WHAP</t>
        </is>
      </c>
      <c r="R412" s="8" t="inlineStr">
        <is>
          <t>OUI</t>
        </is>
      </c>
      <c r="S412" s="8" t="inlineStr">
        <is>
          <t>31/08/2026 02:59</t>
        </is>
      </c>
    </row>
    <row r="413">
      <c r="A413" s="7" t="inlineStr">
        <is>
          <t>WHAP-0409</t>
        </is>
      </c>
      <c r="B413" s="7" t="inlineStr">
        <is>
          <t>ECL-0409</t>
        </is>
      </c>
      <c r="C413" s="7" t="inlineStr">
        <is>
          <t>module LED</t>
        </is>
      </c>
      <c r="D413" s="7" t="inlineStr">
        <is>
          <t>Éclairage</t>
        </is>
      </c>
      <c r="E413" s="7" t="inlineStr">
        <is>
          <t>Éclairage</t>
        </is>
      </c>
      <c r="F413" s="7" t="inlineStr">
        <is>
          <t>PIECE_VEHICULE</t>
        </is>
      </c>
      <c r="G413" s="7" t="inlineStr">
        <is>
          <t>unité</t>
        </is>
      </c>
      <c r="H413" s="7" t="inlineStr">
        <is>
          <t>SMALL</t>
        </is>
      </c>
      <c r="I413" s="7" t="n">
        <v>5</v>
      </c>
      <c r="J413" s="7" t="inlineStr">
        <is>
          <t>F-01-01</t>
        </is>
      </c>
      <c r="K413" s="7" t="inlineStr"/>
      <c r="L413" s="9" t="n">
        <v>0</v>
      </c>
      <c r="M413" s="9" t="n">
        <v>0</v>
      </c>
      <c r="N413" s="9" t="n">
        <v>46</v>
      </c>
      <c r="O413" s="7" t="inlineStr">
        <is>
          <t>YZK</t>
        </is>
      </c>
      <c r="P413" s="7" t="inlineStr">
        <is>
          <t>STANDARD</t>
        </is>
      </c>
      <c r="Q413" s="7" t="inlineStr">
        <is>
          <t>WHAP</t>
        </is>
      </c>
      <c r="R413" s="7" t="inlineStr">
        <is>
          <t>OUI</t>
        </is>
      </c>
      <c r="S413" s="7" t="inlineStr">
        <is>
          <t>31/08/2026 02:59</t>
        </is>
      </c>
    </row>
    <row r="414">
      <c r="A414" s="8" t="inlineStr">
        <is>
          <t>WHAP-0410</t>
        </is>
      </c>
      <c r="B414" s="8" t="inlineStr">
        <is>
          <t>ECL-0410</t>
        </is>
      </c>
      <c r="C414" s="8" t="inlineStr">
        <is>
          <t>lentille</t>
        </is>
      </c>
      <c r="D414" s="8" t="inlineStr">
        <is>
          <t>Éclairage</t>
        </is>
      </c>
      <c r="E414" s="8" t="inlineStr">
        <is>
          <t>Éclairage</t>
        </is>
      </c>
      <c r="F414" s="8" t="inlineStr">
        <is>
          <t>PIECE_VEHICULE</t>
        </is>
      </c>
      <c r="G414" s="8" t="inlineStr">
        <is>
          <t>unité</t>
        </is>
      </c>
      <c r="H414" s="8" t="inlineStr">
        <is>
          <t>SMALL</t>
        </is>
      </c>
      <c r="I414" s="8" t="n">
        <v>5</v>
      </c>
      <c r="J414" s="8" t="inlineStr">
        <is>
          <t>C-01-01</t>
        </is>
      </c>
      <c r="K414" s="8" t="inlineStr"/>
      <c r="L414" s="10" t="n">
        <v>0</v>
      </c>
      <c r="M414" s="10" t="n">
        <v>0</v>
      </c>
      <c r="N414" s="10" t="n">
        <v>46</v>
      </c>
      <c r="O414" s="8" t="inlineStr">
        <is>
          <t>HEL</t>
        </is>
      </c>
      <c r="P414" s="8" t="inlineStr">
        <is>
          <t>STANDARD</t>
        </is>
      </c>
      <c r="Q414" s="8" t="inlineStr">
        <is>
          <t>WHAP</t>
        </is>
      </c>
      <c r="R414" s="8" t="inlineStr">
        <is>
          <t>OUI</t>
        </is>
      </c>
      <c r="S414" s="8" t="inlineStr">
        <is>
          <t>31/08/2026 02:59</t>
        </is>
      </c>
    </row>
    <row r="415">
      <c r="A415" s="7" t="inlineStr">
        <is>
          <t>WHAP-0411</t>
        </is>
      </c>
      <c r="B415" s="7" t="inlineStr">
        <is>
          <t>ECL-0411</t>
        </is>
      </c>
      <c r="C415" s="7" t="inlineStr">
        <is>
          <t>réflecteur</t>
        </is>
      </c>
      <c r="D415" s="7" t="inlineStr">
        <is>
          <t>Éclairage</t>
        </is>
      </c>
      <c r="E415" s="7" t="inlineStr">
        <is>
          <t>Éclairage</t>
        </is>
      </c>
      <c r="F415" s="7" t="inlineStr">
        <is>
          <t>PIECE_VEHICULE</t>
        </is>
      </c>
      <c r="G415" s="7" t="inlineStr">
        <is>
          <t>unité</t>
        </is>
      </c>
      <c r="H415" s="7" t="inlineStr">
        <is>
          <t>SMALL</t>
        </is>
      </c>
      <c r="I415" s="7" t="n">
        <v>5</v>
      </c>
      <c r="J415" s="7" t="inlineStr">
        <is>
          <t>E-06-02</t>
        </is>
      </c>
      <c r="K415" s="7" t="inlineStr"/>
      <c r="L415" s="9" t="n">
        <v>0</v>
      </c>
      <c r="M415" s="9" t="n">
        <v>0</v>
      </c>
      <c r="N415" s="9" t="n">
        <v>42</v>
      </c>
      <c r="O415" s="7" t="inlineStr">
        <is>
          <t>HEL</t>
        </is>
      </c>
      <c r="P415" s="7" t="inlineStr">
        <is>
          <t>STANDARD</t>
        </is>
      </c>
      <c r="Q415" s="7" t="inlineStr">
        <is>
          <t>WHAP</t>
        </is>
      </c>
      <c r="R415" s="7" t="inlineStr">
        <is>
          <t>OUI</t>
        </is>
      </c>
      <c r="S415" s="7" t="inlineStr">
        <is>
          <t>31/08/2026 02:59</t>
        </is>
      </c>
    </row>
    <row r="416">
      <c r="A416" s="8" t="inlineStr">
        <is>
          <t>WHAP-0412</t>
        </is>
      </c>
      <c r="B416" s="8" t="inlineStr">
        <is>
          <t>ECL-0412</t>
        </is>
      </c>
      <c r="C416" s="8" t="inlineStr">
        <is>
          <t>support de phare</t>
        </is>
      </c>
      <c r="D416" s="8" t="inlineStr">
        <is>
          <t>Éclairage</t>
        </is>
      </c>
      <c r="E416" s="8" t="inlineStr">
        <is>
          <t>Éclairage</t>
        </is>
      </c>
      <c r="F416" s="8" t="inlineStr">
        <is>
          <t>PIECE_VEHICULE</t>
        </is>
      </c>
      <c r="G416" s="8" t="inlineStr">
        <is>
          <t>unité</t>
        </is>
      </c>
      <c r="H416" s="8" t="inlineStr">
        <is>
          <t>SMALL</t>
        </is>
      </c>
      <c r="I416" s="8" t="n">
        <v>5</v>
      </c>
      <c r="J416" s="8" t="inlineStr">
        <is>
          <t>C-03-03</t>
        </is>
      </c>
      <c r="K416" s="8" t="inlineStr"/>
      <c r="L416" s="10" t="n">
        <v>0</v>
      </c>
      <c r="M416" s="10" t="n">
        <v>0</v>
      </c>
      <c r="N416" s="10" t="n">
        <v>40</v>
      </c>
      <c r="O416" s="8" t="inlineStr">
        <is>
          <t>BOS</t>
        </is>
      </c>
      <c r="P416" s="8" t="inlineStr">
        <is>
          <t>STANDARD</t>
        </is>
      </c>
      <c r="Q416" s="8" t="inlineStr">
        <is>
          <t>WHAP</t>
        </is>
      </c>
      <c r="R416" s="8" t="inlineStr">
        <is>
          <t>OUI</t>
        </is>
      </c>
      <c r="S416" s="8" t="inlineStr">
        <is>
          <t>31/08/2026 02:59</t>
        </is>
      </c>
    </row>
    <row r="417">
      <c r="A417" s="7" t="inlineStr">
        <is>
          <t>WHAP-0413</t>
        </is>
      </c>
      <c r="B417" s="7" t="inlineStr">
        <is>
          <t>ECL-0413</t>
        </is>
      </c>
      <c r="C417" s="7" t="inlineStr">
        <is>
          <t>interrupteur éclairage</t>
        </is>
      </c>
      <c r="D417" s="7" t="inlineStr">
        <is>
          <t>Éclairage</t>
        </is>
      </c>
      <c r="E417" s="7" t="inlineStr">
        <is>
          <t>Éclairage</t>
        </is>
      </c>
      <c r="F417" s="7" t="inlineStr">
        <is>
          <t>PIECE_VEHICULE</t>
        </is>
      </c>
      <c r="G417" s="7" t="inlineStr">
        <is>
          <t>unité</t>
        </is>
      </c>
      <c r="H417" s="7" t="inlineStr">
        <is>
          <t>SMALL</t>
        </is>
      </c>
      <c r="I417" s="7" t="n">
        <v>5</v>
      </c>
      <c r="J417" s="7" t="inlineStr">
        <is>
          <t>B-05-02</t>
        </is>
      </c>
      <c r="K417" s="7" t="inlineStr"/>
      <c r="L417" s="9" t="n">
        <v>0</v>
      </c>
      <c r="M417" s="9" t="n">
        <v>0</v>
      </c>
      <c r="N417" s="9" t="n">
        <v>50</v>
      </c>
      <c r="O417" s="7" t="inlineStr">
        <is>
          <t>SKF</t>
        </is>
      </c>
      <c r="P417" s="7" t="inlineStr">
        <is>
          <t>STANDARD</t>
        </is>
      </c>
      <c r="Q417" s="7" t="inlineStr">
        <is>
          <t>WHAP</t>
        </is>
      </c>
      <c r="R417" s="7" t="inlineStr">
        <is>
          <t>OUI</t>
        </is>
      </c>
      <c r="S417" s="7" t="inlineStr">
        <is>
          <t>31/08/2026 02:59</t>
        </is>
      </c>
    </row>
    <row r="418">
      <c r="A418" s="8" t="inlineStr">
        <is>
          <t>WHAP-0414</t>
        </is>
      </c>
      <c r="B418" s="8" t="inlineStr">
        <is>
          <t>ECL-0414</t>
        </is>
      </c>
      <c r="C418" s="8" t="inlineStr">
        <is>
          <t>faisceau éclairage</t>
        </is>
      </c>
      <c r="D418" s="8" t="inlineStr">
        <is>
          <t>Éclairage</t>
        </is>
      </c>
      <c r="E418" s="8" t="inlineStr">
        <is>
          <t>Éclairage</t>
        </is>
      </c>
      <c r="F418" s="8" t="inlineStr">
        <is>
          <t>PIECE_VEHICULE</t>
        </is>
      </c>
      <c r="G418" s="8" t="inlineStr">
        <is>
          <t>unité</t>
        </is>
      </c>
      <c r="H418" s="8" t="inlineStr">
        <is>
          <t>SMALL</t>
        </is>
      </c>
      <c r="I418" s="8" t="n">
        <v>5</v>
      </c>
      <c r="J418" s="8" t="inlineStr">
        <is>
          <t>B-06-02</t>
        </is>
      </c>
      <c r="K418" s="8" t="inlineStr"/>
      <c r="L418" s="10" t="n">
        <v>0</v>
      </c>
      <c r="M418" s="10" t="n">
        <v>0</v>
      </c>
      <c r="N418" s="10" t="n">
        <v>40</v>
      </c>
      <c r="O418" s="8" t="inlineStr">
        <is>
          <t>SKF</t>
        </is>
      </c>
      <c r="P418" s="8" t="inlineStr">
        <is>
          <t>STANDARD</t>
        </is>
      </c>
      <c r="Q418" s="8" t="inlineStr">
        <is>
          <t>WHAP</t>
        </is>
      </c>
      <c r="R418" s="8" t="inlineStr">
        <is>
          <t>OUI</t>
        </is>
      </c>
      <c r="S418" s="8" t="inlineStr">
        <is>
          <t>31/08/2026 02:59</t>
        </is>
      </c>
    </row>
    <row r="419">
      <c r="A419" s="7" t="inlineStr">
        <is>
          <t>WHAP-0415</t>
        </is>
      </c>
      <c r="B419" s="7" t="inlineStr">
        <is>
          <t>ECL-0415</t>
        </is>
      </c>
      <c r="C419" s="7" t="inlineStr">
        <is>
          <t>connecteur de phare</t>
        </is>
      </c>
      <c r="D419" s="7" t="inlineStr">
        <is>
          <t>Éclairage</t>
        </is>
      </c>
      <c r="E419" s="7" t="inlineStr">
        <is>
          <t>Éclairage</t>
        </is>
      </c>
      <c r="F419" s="7" t="inlineStr">
        <is>
          <t>PIECE_VEHICULE</t>
        </is>
      </c>
      <c r="G419" s="7" t="inlineStr">
        <is>
          <t>unité</t>
        </is>
      </c>
      <c r="H419" s="7" t="inlineStr">
        <is>
          <t>SMALL</t>
        </is>
      </c>
      <c r="I419" s="7" t="n">
        <v>5</v>
      </c>
      <c r="J419" s="7" t="inlineStr">
        <is>
          <t>C-01-04</t>
        </is>
      </c>
      <c r="K419" s="7" t="inlineStr"/>
      <c r="L419" s="9" t="n">
        <v>0</v>
      </c>
      <c r="M419" s="9" t="n">
        <v>0</v>
      </c>
      <c r="N419" s="9" t="n">
        <v>50</v>
      </c>
      <c r="O419" s="7" t="inlineStr">
        <is>
          <t>DEL</t>
        </is>
      </c>
      <c r="P419" s="7" t="inlineStr">
        <is>
          <t>STANDARD</t>
        </is>
      </c>
      <c r="Q419" s="7" t="inlineStr">
        <is>
          <t>WHAP</t>
        </is>
      </c>
      <c r="R419" s="7" t="inlineStr">
        <is>
          <t>OUI</t>
        </is>
      </c>
      <c r="S419" s="7" t="inlineStr">
        <is>
          <t>31/08/2026 02:59</t>
        </is>
      </c>
    </row>
    <row r="420">
      <c r="A420" s="8" t="inlineStr">
        <is>
          <t>WHAP-0416</t>
        </is>
      </c>
      <c r="B420" s="8" t="inlineStr">
        <is>
          <t>ECL-0416</t>
        </is>
      </c>
      <c r="C420" s="8" t="inlineStr">
        <is>
          <t>fusible éclairage</t>
        </is>
      </c>
      <c r="D420" s="8" t="inlineStr">
        <is>
          <t>Éclairage</t>
        </is>
      </c>
      <c r="E420" s="8" t="inlineStr">
        <is>
          <t>Éclairage</t>
        </is>
      </c>
      <c r="F420" s="8" t="inlineStr">
        <is>
          <t>PIECE_VEHICULE</t>
        </is>
      </c>
      <c r="G420" s="8" t="inlineStr">
        <is>
          <t>unité</t>
        </is>
      </c>
      <c r="H420" s="8" t="inlineStr">
        <is>
          <t>SMALL</t>
        </is>
      </c>
      <c r="I420" s="8" t="n">
        <v>5</v>
      </c>
      <c r="J420" s="8" t="inlineStr">
        <is>
          <t>E-02-02</t>
        </is>
      </c>
      <c r="K420" s="8" t="inlineStr"/>
      <c r="L420" s="10" t="n">
        <v>0</v>
      </c>
      <c r="M420" s="10" t="n">
        <v>0</v>
      </c>
      <c r="N420" s="10" t="n">
        <v>45</v>
      </c>
      <c r="O420" s="8" t="inlineStr">
        <is>
          <t>HEL</t>
        </is>
      </c>
      <c r="P420" s="8" t="inlineStr">
        <is>
          <t>STANDARD</t>
        </is>
      </c>
      <c r="Q420" s="8" t="inlineStr">
        <is>
          <t>WHAP</t>
        </is>
      </c>
      <c r="R420" s="8" t="inlineStr">
        <is>
          <t>OUI</t>
        </is>
      </c>
      <c r="S420" s="8" t="inlineStr">
        <is>
          <t>31/08/2026 02:59</t>
        </is>
      </c>
    </row>
    <row r="421">
      <c r="A421" s="7" t="inlineStr">
        <is>
          <t>WHAP-0417</t>
        </is>
      </c>
      <c r="B421" s="7" t="inlineStr">
        <is>
          <t>CAR2-0417</t>
        </is>
      </c>
      <c r="C421" s="7" t="inlineStr">
        <is>
          <t>coque blindée</t>
        </is>
      </c>
      <c r="D421" s="7" t="inlineStr">
        <is>
          <t>Carrosserie et coque</t>
        </is>
      </c>
      <c r="E421" s="7" t="inlineStr">
        <is>
          <t>Carrosserie et coque</t>
        </is>
      </c>
      <c r="F421" s="7" t="inlineStr">
        <is>
          <t>PIECE_VEHICULE</t>
        </is>
      </c>
      <c r="G421" s="7" t="inlineStr">
        <is>
          <t>unité</t>
        </is>
      </c>
      <c r="H421" s="7" t="inlineStr">
        <is>
          <t>LARGE</t>
        </is>
      </c>
      <c r="I421" s="7" t="n">
        <v>0</v>
      </c>
      <c r="J421" s="7" t="inlineStr">
        <is>
          <t>C-01-02 : 54</t>
        </is>
      </c>
      <c r="K421" s="7" t="inlineStr"/>
      <c r="L421" s="9" t="n">
        <v>54</v>
      </c>
      <c r="M421" s="9" t="n">
        <v>54</v>
      </c>
      <c r="N421" s="9" t="n">
        <v>42</v>
      </c>
      <c r="O421" s="7" t="inlineStr">
        <is>
          <t>BOS</t>
        </is>
      </c>
      <c r="P421" s="7" t="inlineStr">
        <is>
          <t>STANDARD</t>
        </is>
      </c>
      <c r="Q421" s="7" t="inlineStr">
        <is>
          <t>WHAP</t>
        </is>
      </c>
      <c r="R421" s="7" t="inlineStr">
        <is>
          <t>OUI</t>
        </is>
      </c>
      <c r="S421" s="7" t="inlineStr">
        <is>
          <t>31/08/2026 02:59</t>
        </is>
      </c>
    </row>
    <row r="422">
      <c r="A422" s="8" t="inlineStr">
        <is>
          <t>WHAP-0418</t>
        </is>
      </c>
      <c r="B422" s="8" t="inlineStr">
        <is>
          <t>CAR2-0418</t>
        </is>
      </c>
      <c r="C422" s="8" t="inlineStr">
        <is>
          <t>panneau latéral</t>
        </is>
      </c>
      <c r="D422" s="8" t="inlineStr">
        <is>
          <t>Carrosserie et coque</t>
        </is>
      </c>
      <c r="E422" s="8" t="inlineStr">
        <is>
          <t>Carrosserie et coque</t>
        </is>
      </c>
      <c r="F422" s="8" t="inlineStr">
        <is>
          <t>PIECE_VEHICULE</t>
        </is>
      </c>
      <c r="G422" s="8" t="inlineStr">
        <is>
          <t>unité</t>
        </is>
      </c>
      <c r="H422" s="8" t="inlineStr">
        <is>
          <t>LARGE</t>
        </is>
      </c>
      <c r="I422" s="8" t="n">
        <v>0</v>
      </c>
      <c r="J422" s="8" t="inlineStr">
        <is>
          <t>E-05-02 : 60</t>
        </is>
      </c>
      <c r="K422" s="8" t="inlineStr"/>
      <c r="L422" s="10" t="n">
        <v>60</v>
      </c>
      <c r="M422" s="10" t="n">
        <v>60</v>
      </c>
      <c r="N422" s="10" t="n">
        <v>45</v>
      </c>
      <c r="O422" s="8" t="inlineStr">
        <is>
          <t>BOS</t>
        </is>
      </c>
      <c r="P422" s="8" t="inlineStr">
        <is>
          <t>STANDARD</t>
        </is>
      </c>
      <c r="Q422" s="8" t="inlineStr">
        <is>
          <t>WHAP</t>
        </is>
      </c>
      <c r="R422" s="8" t="inlineStr">
        <is>
          <t>OUI</t>
        </is>
      </c>
      <c r="S422" s="8" t="inlineStr">
        <is>
          <t>31/08/2026 02:59</t>
        </is>
      </c>
    </row>
    <row r="423">
      <c r="A423" s="7" t="inlineStr">
        <is>
          <t>WHAP-0419</t>
        </is>
      </c>
      <c r="B423" s="7" t="inlineStr">
        <is>
          <t>CAR2-0419</t>
        </is>
      </c>
      <c r="C423" s="7" t="inlineStr">
        <is>
          <t>panneau avant</t>
        </is>
      </c>
      <c r="D423" s="7" t="inlineStr">
        <is>
          <t>Carrosserie et coque</t>
        </is>
      </c>
      <c r="E423" s="7" t="inlineStr">
        <is>
          <t>Carrosserie et coque</t>
        </is>
      </c>
      <c r="F423" s="7" t="inlineStr">
        <is>
          <t>PIECE_VEHICULE</t>
        </is>
      </c>
      <c r="G423" s="7" t="inlineStr">
        <is>
          <t>unité</t>
        </is>
      </c>
      <c r="H423" s="7" t="inlineStr">
        <is>
          <t>LARGE</t>
        </is>
      </c>
      <c r="I423" s="7" t="n">
        <v>0</v>
      </c>
      <c r="J423" s="7" t="inlineStr">
        <is>
          <t>D-02-03 : 36</t>
        </is>
      </c>
      <c r="K423" s="7" t="inlineStr"/>
      <c r="L423" s="9" t="n">
        <v>36</v>
      </c>
      <c r="M423" s="9" t="n">
        <v>36</v>
      </c>
      <c r="N423" s="9" t="n">
        <v>40</v>
      </c>
      <c r="O423" s="7" t="inlineStr">
        <is>
          <t>VAL</t>
        </is>
      </c>
      <c r="P423" s="7" t="inlineStr">
        <is>
          <t>STANDARD</t>
        </is>
      </c>
      <c r="Q423" s="7" t="inlineStr">
        <is>
          <t>WHAP</t>
        </is>
      </c>
      <c r="R423" s="7" t="inlineStr">
        <is>
          <t>OUI</t>
        </is>
      </c>
      <c r="S423" s="7" t="inlineStr">
        <is>
          <t>31/08/2026 02:59</t>
        </is>
      </c>
    </row>
    <row r="424">
      <c r="A424" s="8" t="inlineStr">
        <is>
          <t>WHAP-0420</t>
        </is>
      </c>
      <c r="B424" s="8" t="inlineStr">
        <is>
          <t>CAR2-0420</t>
        </is>
      </c>
      <c r="C424" s="8" t="inlineStr">
        <is>
          <t>panneau arrière</t>
        </is>
      </c>
      <c r="D424" s="8" t="inlineStr">
        <is>
          <t>Carrosserie et coque</t>
        </is>
      </c>
      <c r="E424" s="8" t="inlineStr">
        <is>
          <t>Carrosserie et coque</t>
        </is>
      </c>
      <c r="F424" s="8" t="inlineStr">
        <is>
          <t>PIECE_VEHICULE</t>
        </is>
      </c>
      <c r="G424" s="8" t="inlineStr">
        <is>
          <t>unité</t>
        </is>
      </c>
      <c r="H424" s="8" t="inlineStr">
        <is>
          <t>LARGE</t>
        </is>
      </c>
      <c r="I424" s="8" t="n">
        <v>0</v>
      </c>
      <c r="J424" s="8" t="inlineStr">
        <is>
          <t>E-05-02</t>
        </is>
      </c>
      <c r="K424" s="8" t="inlineStr"/>
      <c r="L424" s="10" t="n">
        <v>0</v>
      </c>
      <c r="M424" s="10" t="n">
        <v>0</v>
      </c>
      <c r="N424" s="10" t="n">
        <v>43</v>
      </c>
      <c r="O424" s="8" t="inlineStr">
        <is>
          <t>SUM</t>
        </is>
      </c>
      <c r="P424" s="8" t="inlineStr">
        <is>
          <t>STANDARD</t>
        </is>
      </c>
      <c r="Q424" s="8" t="inlineStr">
        <is>
          <t>WHAP</t>
        </is>
      </c>
      <c r="R424" s="8" t="inlineStr">
        <is>
          <t>OUI</t>
        </is>
      </c>
      <c r="S424" s="8" t="inlineStr">
        <is>
          <t>31/08/2026 02:59</t>
        </is>
      </c>
    </row>
    <row r="425">
      <c r="A425" s="7" t="inlineStr">
        <is>
          <t>WHAP-0421</t>
        </is>
      </c>
      <c r="B425" s="7" t="inlineStr">
        <is>
          <t>CAR2-0421</t>
        </is>
      </c>
      <c r="C425" s="7" t="inlineStr">
        <is>
          <t>toit</t>
        </is>
      </c>
      <c r="D425" s="7" t="inlineStr">
        <is>
          <t>Carrosserie et coque</t>
        </is>
      </c>
      <c r="E425" s="7" t="inlineStr">
        <is>
          <t>Carrosserie et coque</t>
        </is>
      </c>
      <c r="F425" s="7" t="inlineStr">
        <is>
          <t>PIECE_VEHICULE</t>
        </is>
      </c>
      <c r="G425" s="7" t="inlineStr">
        <is>
          <t>unité</t>
        </is>
      </c>
      <c r="H425" s="7" t="inlineStr">
        <is>
          <t>LARGE</t>
        </is>
      </c>
      <c r="I425" s="7" t="n">
        <v>0</v>
      </c>
      <c r="J425" s="7" t="inlineStr">
        <is>
          <t>F-03-02</t>
        </is>
      </c>
      <c r="K425" s="7" t="inlineStr"/>
      <c r="L425" s="9" t="n">
        <v>0</v>
      </c>
      <c r="M425" s="9" t="n">
        <v>0</v>
      </c>
      <c r="N425" s="9" t="n">
        <v>44</v>
      </c>
      <c r="O425" s="7" t="inlineStr">
        <is>
          <t>SKF</t>
        </is>
      </c>
      <c r="P425" s="7" t="inlineStr">
        <is>
          <t>STANDARD</t>
        </is>
      </c>
      <c r="Q425" s="7" t="inlineStr">
        <is>
          <t>WHAP</t>
        </is>
      </c>
      <c r="R425" s="7" t="inlineStr">
        <is>
          <t>OUI</t>
        </is>
      </c>
      <c r="S425" s="7" t="inlineStr">
        <is>
          <t>31/08/2026 02:59</t>
        </is>
      </c>
    </row>
    <row r="426">
      <c r="A426" s="8" t="inlineStr">
        <is>
          <t>WHAP-0422</t>
        </is>
      </c>
      <c r="B426" s="8" t="inlineStr">
        <is>
          <t>CAR2-0422</t>
        </is>
      </c>
      <c r="C426" s="8" t="inlineStr">
        <is>
          <t>plancher</t>
        </is>
      </c>
      <c r="D426" s="8" t="inlineStr">
        <is>
          <t>Carrosserie et coque</t>
        </is>
      </c>
      <c r="E426" s="8" t="inlineStr">
        <is>
          <t>Carrosserie et coque</t>
        </is>
      </c>
      <c r="F426" s="8" t="inlineStr">
        <is>
          <t>PIECE_VEHICULE</t>
        </is>
      </c>
      <c r="G426" s="8" t="inlineStr">
        <is>
          <t>unité</t>
        </is>
      </c>
      <c r="H426" s="8" t="inlineStr">
        <is>
          <t>LARGE</t>
        </is>
      </c>
      <c r="I426" s="8" t="n">
        <v>0</v>
      </c>
      <c r="J426" s="8" t="inlineStr">
        <is>
          <t>C-03-03</t>
        </is>
      </c>
      <c r="K426" s="8" t="inlineStr"/>
      <c r="L426" s="10" t="n">
        <v>0</v>
      </c>
      <c r="M426" s="10" t="n">
        <v>0</v>
      </c>
      <c r="N426" s="10" t="n">
        <v>46</v>
      </c>
      <c r="O426" s="8" t="inlineStr">
        <is>
          <t>HEL</t>
        </is>
      </c>
      <c r="P426" s="8" t="inlineStr">
        <is>
          <t>STANDARD</t>
        </is>
      </c>
      <c r="Q426" s="8" t="inlineStr">
        <is>
          <t>WHAP</t>
        </is>
      </c>
      <c r="R426" s="8" t="inlineStr">
        <is>
          <t>OUI</t>
        </is>
      </c>
      <c r="S426" s="8" t="inlineStr">
        <is>
          <t>31/08/2026 02:59</t>
        </is>
      </c>
    </row>
    <row r="427">
      <c r="A427" s="7" t="inlineStr">
        <is>
          <t>WHAP-0423</t>
        </is>
      </c>
      <c r="B427" s="7" t="inlineStr">
        <is>
          <t>CAR2-0423</t>
        </is>
      </c>
      <c r="C427" s="7" t="inlineStr">
        <is>
          <t>double fond en V</t>
        </is>
      </c>
      <c r="D427" s="7" t="inlineStr">
        <is>
          <t>Carrosserie et coque</t>
        </is>
      </c>
      <c r="E427" s="7" t="inlineStr">
        <is>
          <t>Carrosserie et coque</t>
        </is>
      </c>
      <c r="F427" s="7" t="inlineStr">
        <is>
          <t>PIECE_VEHICULE</t>
        </is>
      </c>
      <c r="G427" s="7" t="inlineStr">
        <is>
          <t>unité</t>
        </is>
      </c>
      <c r="H427" s="7" t="inlineStr">
        <is>
          <t>LARGE</t>
        </is>
      </c>
      <c r="I427" s="7" t="n">
        <v>0</v>
      </c>
      <c r="J427" s="7" t="inlineStr">
        <is>
          <t>C-03-02</t>
        </is>
      </c>
      <c r="K427" s="7" t="inlineStr"/>
      <c r="L427" s="9" t="n">
        <v>0</v>
      </c>
      <c r="M427" s="9" t="n">
        <v>0</v>
      </c>
      <c r="N427" s="9" t="n">
        <v>46</v>
      </c>
      <c r="O427" s="7" t="inlineStr">
        <is>
          <t>DEL</t>
        </is>
      </c>
      <c r="P427" s="7" t="inlineStr">
        <is>
          <t>STANDARD</t>
        </is>
      </c>
      <c r="Q427" s="7" t="inlineStr">
        <is>
          <t>WHAP</t>
        </is>
      </c>
      <c r="R427" s="7" t="inlineStr">
        <is>
          <t>OUI</t>
        </is>
      </c>
      <c r="S427" s="7" t="inlineStr">
        <is>
          <t>31/08/2026 02:59</t>
        </is>
      </c>
    </row>
    <row r="428">
      <c r="A428" s="8" t="inlineStr">
        <is>
          <t>WHAP-0424</t>
        </is>
      </c>
      <c r="B428" s="8" t="inlineStr">
        <is>
          <t>CAR2-0424</t>
        </is>
      </c>
      <c r="C428" s="8" t="inlineStr">
        <is>
          <t>panneau de plancher</t>
        </is>
      </c>
      <c r="D428" s="8" t="inlineStr">
        <is>
          <t>Carrosserie et coque</t>
        </is>
      </c>
      <c r="E428" s="8" t="inlineStr">
        <is>
          <t>Carrosserie et coque</t>
        </is>
      </c>
      <c r="F428" s="8" t="inlineStr">
        <is>
          <t>PIECE_VEHICULE</t>
        </is>
      </c>
      <c r="G428" s="8" t="inlineStr">
        <is>
          <t>unité</t>
        </is>
      </c>
      <c r="H428" s="8" t="inlineStr">
        <is>
          <t>LARGE</t>
        </is>
      </c>
      <c r="I428" s="8" t="n">
        <v>0</v>
      </c>
      <c r="J428" s="8" t="inlineStr">
        <is>
          <t>E-05-04</t>
        </is>
      </c>
      <c r="K428" s="8" t="inlineStr"/>
      <c r="L428" s="10" t="n">
        <v>0</v>
      </c>
      <c r="M428" s="10" t="n">
        <v>0</v>
      </c>
      <c r="N428" s="10" t="n">
        <v>44</v>
      </c>
      <c r="O428" s="8" t="inlineStr">
        <is>
          <t>MAG</t>
        </is>
      </c>
      <c r="P428" s="8" t="inlineStr">
        <is>
          <t>STANDARD</t>
        </is>
      </c>
      <c r="Q428" s="8" t="inlineStr">
        <is>
          <t>WHAP</t>
        </is>
      </c>
      <c r="R428" s="8" t="inlineStr">
        <is>
          <t>OUI</t>
        </is>
      </c>
      <c r="S428" s="8" t="inlineStr">
        <is>
          <t>31/08/2026 02:59</t>
        </is>
      </c>
    </row>
    <row r="429">
      <c r="A429" s="7" t="inlineStr">
        <is>
          <t>WHAP-0425</t>
        </is>
      </c>
      <c r="B429" s="7" t="inlineStr">
        <is>
          <t>CAR2-0425</t>
        </is>
      </c>
      <c r="C429" s="7" t="inlineStr">
        <is>
          <t>panneau de plafond</t>
        </is>
      </c>
      <c r="D429" s="7" t="inlineStr">
        <is>
          <t>Carrosserie et coque</t>
        </is>
      </c>
      <c r="E429" s="7" t="inlineStr">
        <is>
          <t>Carrosserie et coque</t>
        </is>
      </c>
      <c r="F429" s="7" t="inlineStr">
        <is>
          <t>PIECE_VEHICULE</t>
        </is>
      </c>
      <c r="G429" s="7" t="inlineStr">
        <is>
          <t>unité</t>
        </is>
      </c>
      <c r="H429" s="7" t="inlineStr">
        <is>
          <t>LARGE</t>
        </is>
      </c>
      <c r="I429" s="7" t="n">
        <v>0</v>
      </c>
      <c r="J429" s="7" t="inlineStr">
        <is>
          <t>B-03-02</t>
        </is>
      </c>
      <c r="K429" s="7" t="inlineStr"/>
      <c r="L429" s="9" t="n">
        <v>0</v>
      </c>
      <c r="M429" s="9" t="n">
        <v>0</v>
      </c>
      <c r="N429" s="9" t="n">
        <v>41</v>
      </c>
      <c r="O429" s="7" t="inlineStr">
        <is>
          <t>SKF</t>
        </is>
      </c>
      <c r="P429" s="7" t="inlineStr">
        <is>
          <t>STANDARD</t>
        </is>
      </c>
      <c r="Q429" s="7" t="inlineStr">
        <is>
          <t>WHAP</t>
        </is>
      </c>
      <c r="R429" s="7" t="inlineStr">
        <is>
          <t>OUI</t>
        </is>
      </c>
      <c r="S429" s="7" t="inlineStr">
        <is>
          <t>31/08/2026 02:59</t>
        </is>
      </c>
    </row>
    <row r="430">
      <c r="A430" s="8" t="inlineStr">
        <is>
          <t>WHAP-0426</t>
        </is>
      </c>
      <c r="B430" s="8" t="inlineStr">
        <is>
          <t>CAR2-0426</t>
        </is>
      </c>
      <c r="C430" s="8" t="inlineStr">
        <is>
          <t>cloison</t>
        </is>
      </c>
      <c r="D430" s="8" t="inlineStr">
        <is>
          <t>Carrosserie et coque</t>
        </is>
      </c>
      <c r="E430" s="8" t="inlineStr">
        <is>
          <t>Carrosserie et coque</t>
        </is>
      </c>
      <c r="F430" s="8" t="inlineStr">
        <is>
          <t>PIECE_VEHICULE</t>
        </is>
      </c>
      <c r="G430" s="8" t="inlineStr">
        <is>
          <t>unité</t>
        </is>
      </c>
      <c r="H430" s="8" t="inlineStr">
        <is>
          <t>LARGE</t>
        </is>
      </c>
      <c r="I430" s="8" t="n">
        <v>0</v>
      </c>
      <c r="J430" s="8" t="inlineStr">
        <is>
          <t>B-01-02</t>
        </is>
      </c>
      <c r="K430" s="8" t="inlineStr"/>
      <c r="L430" s="10" t="n">
        <v>0</v>
      </c>
      <c r="M430" s="10" t="n">
        <v>0</v>
      </c>
      <c r="N430" s="10" t="n">
        <v>42</v>
      </c>
      <c r="O430" s="8" t="inlineStr">
        <is>
          <t>YZK</t>
        </is>
      </c>
      <c r="P430" s="8" t="inlineStr">
        <is>
          <t>STANDARD</t>
        </is>
      </c>
      <c r="Q430" s="8" t="inlineStr">
        <is>
          <t>WHAP</t>
        </is>
      </c>
      <c r="R430" s="8" t="inlineStr">
        <is>
          <t>OUI</t>
        </is>
      </c>
      <c r="S430" s="8" t="inlineStr">
        <is>
          <t>31/08/2026 02:59</t>
        </is>
      </c>
    </row>
    <row r="431">
      <c r="A431" s="7" t="inlineStr">
        <is>
          <t>WHAP-0427</t>
        </is>
      </c>
      <c r="B431" s="7" t="inlineStr">
        <is>
          <t>CAR2-0427</t>
        </is>
      </c>
      <c r="C431" s="7" t="inlineStr">
        <is>
          <t>traverse</t>
        </is>
      </c>
      <c r="D431" s="7" t="inlineStr">
        <is>
          <t>Carrosserie et coque</t>
        </is>
      </c>
      <c r="E431" s="7" t="inlineStr">
        <is>
          <t>Carrosserie et coque</t>
        </is>
      </c>
      <c r="F431" s="7" t="inlineStr">
        <is>
          <t>PIECE_VEHICULE</t>
        </is>
      </c>
      <c r="G431" s="7" t="inlineStr">
        <is>
          <t>unité</t>
        </is>
      </c>
      <c r="H431" s="7" t="inlineStr">
        <is>
          <t>LARGE</t>
        </is>
      </c>
      <c r="I431" s="7" t="n">
        <v>0</v>
      </c>
      <c r="J431" s="7" t="inlineStr">
        <is>
          <t>C-04-04</t>
        </is>
      </c>
      <c r="K431" s="7" t="inlineStr"/>
      <c r="L431" s="9" t="n">
        <v>0</v>
      </c>
      <c r="M431" s="9" t="n">
        <v>0</v>
      </c>
      <c r="N431" s="9" t="n">
        <v>47</v>
      </c>
      <c r="O431" s="7" t="inlineStr">
        <is>
          <t>MAG</t>
        </is>
      </c>
      <c r="P431" s="7" t="inlineStr">
        <is>
          <t>STANDARD</t>
        </is>
      </c>
      <c r="Q431" s="7" t="inlineStr">
        <is>
          <t>WHAP</t>
        </is>
      </c>
      <c r="R431" s="7" t="inlineStr">
        <is>
          <t>OUI</t>
        </is>
      </c>
      <c r="S431" s="7" t="inlineStr">
        <is>
          <t>31/08/2026 02:59</t>
        </is>
      </c>
    </row>
    <row r="432">
      <c r="A432" s="8" t="inlineStr">
        <is>
          <t>WHAP-0428</t>
        </is>
      </c>
      <c r="B432" s="8" t="inlineStr">
        <is>
          <t>CAR2-0428</t>
        </is>
      </c>
      <c r="C432" s="8" t="inlineStr">
        <is>
          <t>renfort</t>
        </is>
      </c>
      <c r="D432" s="8" t="inlineStr">
        <is>
          <t>Carrosserie et coque</t>
        </is>
      </c>
      <c r="E432" s="8" t="inlineStr">
        <is>
          <t>Carrosserie et coque</t>
        </is>
      </c>
      <c r="F432" s="8" t="inlineStr">
        <is>
          <t>PIECE_VEHICULE</t>
        </is>
      </c>
      <c r="G432" s="8" t="inlineStr">
        <is>
          <t>unité</t>
        </is>
      </c>
      <c r="H432" s="8" t="inlineStr">
        <is>
          <t>LARGE</t>
        </is>
      </c>
      <c r="I432" s="8" t="n">
        <v>0</v>
      </c>
      <c r="J432" s="8" t="inlineStr">
        <is>
          <t>B-01-02</t>
        </is>
      </c>
      <c r="K432" s="8" t="inlineStr"/>
      <c r="L432" s="10" t="n">
        <v>0</v>
      </c>
      <c r="M432" s="10" t="n">
        <v>0</v>
      </c>
      <c r="N432" s="10" t="n">
        <v>49</v>
      </c>
      <c r="O432" s="8" t="inlineStr">
        <is>
          <t>CTL</t>
        </is>
      </c>
      <c r="P432" s="8" t="inlineStr">
        <is>
          <t>STANDARD</t>
        </is>
      </c>
      <c r="Q432" s="8" t="inlineStr">
        <is>
          <t>WHAP</t>
        </is>
      </c>
      <c r="R432" s="8" t="inlineStr">
        <is>
          <t>OUI</t>
        </is>
      </c>
      <c r="S432" s="8" t="inlineStr">
        <is>
          <t>31/08/2026 02:59</t>
        </is>
      </c>
    </row>
    <row r="433">
      <c r="A433" s="7" t="inlineStr">
        <is>
          <t>WHAP-0429</t>
        </is>
      </c>
      <c r="B433" s="7" t="inlineStr">
        <is>
          <t>CAR2-0429</t>
        </is>
      </c>
      <c r="C433" s="7" t="inlineStr">
        <is>
          <t>support</t>
        </is>
      </c>
      <c r="D433" s="7" t="inlineStr">
        <is>
          <t>Carrosserie et coque</t>
        </is>
      </c>
      <c r="E433" s="7" t="inlineStr">
        <is>
          <t>Carrosserie et coque</t>
        </is>
      </c>
      <c r="F433" s="7" t="inlineStr">
        <is>
          <t>PIECE_VEHICULE</t>
        </is>
      </c>
      <c r="G433" s="7" t="inlineStr">
        <is>
          <t>unité</t>
        </is>
      </c>
      <c r="H433" s="7" t="inlineStr">
        <is>
          <t>LARGE</t>
        </is>
      </c>
      <c r="I433" s="7" t="n">
        <v>0</v>
      </c>
      <c r="J433" s="7" t="inlineStr">
        <is>
          <t>B-03-04</t>
        </is>
      </c>
      <c r="K433" s="7" t="inlineStr"/>
      <c r="L433" s="9" t="n">
        <v>0</v>
      </c>
      <c r="M433" s="9" t="n">
        <v>0</v>
      </c>
      <c r="N433" s="9" t="n">
        <v>46</v>
      </c>
      <c r="O433" s="7" t="inlineStr">
        <is>
          <t>FAU</t>
        </is>
      </c>
      <c r="P433" s="7" t="inlineStr">
        <is>
          <t>STANDARD</t>
        </is>
      </c>
      <c r="Q433" s="7" t="inlineStr">
        <is>
          <t>WHAP</t>
        </is>
      </c>
      <c r="R433" s="7" t="inlineStr">
        <is>
          <t>OUI</t>
        </is>
      </c>
      <c r="S433" s="7" t="inlineStr">
        <is>
          <t>31/08/2026 02:59</t>
        </is>
      </c>
    </row>
    <row r="434">
      <c r="A434" s="8" t="inlineStr">
        <is>
          <t>WHAP-0430</t>
        </is>
      </c>
      <c r="B434" s="8" t="inlineStr">
        <is>
          <t>CAR2-0430</t>
        </is>
      </c>
      <c r="C434" s="8" t="inlineStr">
        <is>
          <t>équerre</t>
        </is>
      </c>
      <c r="D434" s="8" t="inlineStr">
        <is>
          <t>Carrosserie et coque</t>
        </is>
      </c>
      <c r="E434" s="8" t="inlineStr">
        <is>
          <t>Carrosserie et coque</t>
        </is>
      </c>
      <c r="F434" s="8" t="inlineStr">
        <is>
          <t>PIECE_VEHICULE</t>
        </is>
      </c>
      <c r="G434" s="8" t="inlineStr">
        <is>
          <t>unité</t>
        </is>
      </c>
      <c r="H434" s="8" t="inlineStr">
        <is>
          <t>LARGE</t>
        </is>
      </c>
      <c r="I434" s="8" t="n">
        <v>0</v>
      </c>
      <c r="J434" s="8" t="inlineStr">
        <is>
          <t>E-01-01</t>
        </is>
      </c>
      <c r="K434" s="8" t="inlineStr"/>
      <c r="L434" s="10" t="n">
        <v>0</v>
      </c>
      <c r="M434" s="10" t="n">
        <v>0</v>
      </c>
      <c r="N434" s="10" t="n">
        <v>40</v>
      </c>
      <c r="O434" s="8" t="inlineStr">
        <is>
          <t>HEL</t>
        </is>
      </c>
      <c r="P434" s="8" t="inlineStr">
        <is>
          <t>STANDARD</t>
        </is>
      </c>
      <c r="Q434" s="8" t="inlineStr">
        <is>
          <t>WHAP</t>
        </is>
      </c>
      <c r="R434" s="8" t="inlineStr">
        <is>
          <t>OUI</t>
        </is>
      </c>
      <c r="S434" s="8" t="inlineStr">
        <is>
          <t>31/08/2026 02:59</t>
        </is>
      </c>
    </row>
    <row r="435">
      <c r="A435" s="7" t="inlineStr">
        <is>
          <t>WHAP-0431</t>
        </is>
      </c>
      <c r="B435" s="7" t="inlineStr">
        <is>
          <t>CAR2-0431</t>
        </is>
      </c>
      <c r="C435" s="7" t="inlineStr">
        <is>
          <t>profilé</t>
        </is>
      </c>
      <c r="D435" s="7" t="inlineStr">
        <is>
          <t>Carrosserie et coque</t>
        </is>
      </c>
      <c r="E435" s="7" t="inlineStr">
        <is>
          <t>Carrosserie et coque</t>
        </is>
      </c>
      <c r="F435" s="7" t="inlineStr">
        <is>
          <t>PIECE_VEHICULE</t>
        </is>
      </c>
      <c r="G435" s="7" t="inlineStr">
        <is>
          <t>unité</t>
        </is>
      </c>
      <c r="H435" s="7" t="inlineStr">
        <is>
          <t>LARGE</t>
        </is>
      </c>
      <c r="I435" s="7" t="n">
        <v>0</v>
      </c>
      <c r="J435" s="7" t="inlineStr">
        <is>
          <t>F-06-04</t>
        </is>
      </c>
      <c r="K435" s="7" t="inlineStr"/>
      <c r="L435" s="9" t="n">
        <v>0</v>
      </c>
      <c r="M435" s="9" t="n">
        <v>0</v>
      </c>
      <c r="N435" s="9" t="n">
        <v>44</v>
      </c>
      <c r="O435" s="7" t="inlineStr">
        <is>
          <t>CTL</t>
        </is>
      </c>
      <c r="P435" s="7" t="inlineStr">
        <is>
          <t>STANDARD</t>
        </is>
      </c>
      <c r="Q435" s="7" t="inlineStr">
        <is>
          <t>WHAP</t>
        </is>
      </c>
      <c r="R435" s="7" t="inlineStr">
        <is>
          <t>OUI</t>
        </is>
      </c>
      <c r="S435" s="7" t="inlineStr">
        <is>
          <t>31/08/2026 02:59</t>
        </is>
      </c>
    </row>
    <row r="436">
      <c r="A436" s="8" t="inlineStr">
        <is>
          <t>WHAP-0432</t>
        </is>
      </c>
      <c r="B436" s="8" t="inlineStr">
        <is>
          <t>CAR2-0432</t>
        </is>
      </c>
      <c r="C436" s="8" t="inlineStr">
        <is>
          <t>panneau d'accès</t>
        </is>
      </c>
      <c r="D436" s="8" t="inlineStr">
        <is>
          <t>Carrosserie et coque</t>
        </is>
      </c>
      <c r="E436" s="8" t="inlineStr">
        <is>
          <t>Carrosserie et coque</t>
        </is>
      </c>
      <c r="F436" s="8" t="inlineStr">
        <is>
          <t>PIECE_VEHICULE</t>
        </is>
      </c>
      <c r="G436" s="8" t="inlineStr">
        <is>
          <t>unité</t>
        </is>
      </c>
      <c r="H436" s="8" t="inlineStr">
        <is>
          <t>LARGE</t>
        </is>
      </c>
      <c r="I436" s="8" t="n">
        <v>0</v>
      </c>
      <c r="J436" s="8" t="inlineStr">
        <is>
          <t>F-05-02</t>
        </is>
      </c>
      <c r="K436" s="8" t="inlineStr"/>
      <c r="L436" s="10" t="n">
        <v>0</v>
      </c>
      <c r="M436" s="10" t="n">
        <v>0</v>
      </c>
      <c r="N436" s="10" t="n">
        <v>41</v>
      </c>
      <c r="O436" s="8" t="inlineStr">
        <is>
          <t>SKF</t>
        </is>
      </c>
      <c r="P436" s="8" t="inlineStr">
        <is>
          <t>STANDARD</t>
        </is>
      </c>
      <c r="Q436" s="8" t="inlineStr">
        <is>
          <t>WHAP</t>
        </is>
      </c>
      <c r="R436" s="8" t="inlineStr">
        <is>
          <t>OUI</t>
        </is>
      </c>
      <c r="S436" s="8" t="inlineStr">
        <is>
          <t>31/08/2026 02:59</t>
        </is>
      </c>
    </row>
    <row r="437">
      <c r="A437" s="7" t="inlineStr">
        <is>
          <t>WHAP-0433</t>
        </is>
      </c>
      <c r="B437" s="7" t="inlineStr">
        <is>
          <t>CAR2-0433</t>
        </is>
      </c>
      <c r="C437" s="7" t="inlineStr">
        <is>
          <t>trappe de maintenance</t>
        </is>
      </c>
      <c r="D437" s="7" t="inlineStr">
        <is>
          <t>Carrosserie et coque</t>
        </is>
      </c>
      <c r="E437" s="7" t="inlineStr">
        <is>
          <t>Carrosserie et coque</t>
        </is>
      </c>
      <c r="F437" s="7" t="inlineStr">
        <is>
          <t>PIECE_VEHICULE</t>
        </is>
      </c>
      <c r="G437" s="7" t="inlineStr">
        <is>
          <t>unité</t>
        </is>
      </c>
      <c r="H437" s="7" t="inlineStr">
        <is>
          <t>LARGE</t>
        </is>
      </c>
      <c r="I437" s="7" t="n">
        <v>0</v>
      </c>
      <c r="J437" s="7" t="inlineStr">
        <is>
          <t>A-02-01</t>
        </is>
      </c>
      <c r="K437" s="7" t="inlineStr"/>
      <c r="L437" s="9" t="n">
        <v>0</v>
      </c>
      <c r="M437" s="9" t="n">
        <v>0</v>
      </c>
      <c r="N437" s="9" t="n">
        <v>50</v>
      </c>
      <c r="O437" s="7" t="inlineStr">
        <is>
          <t>SUM</t>
        </is>
      </c>
      <c r="P437" s="7" t="inlineStr">
        <is>
          <t>STANDARD</t>
        </is>
      </c>
      <c r="Q437" s="7" t="inlineStr">
        <is>
          <t>WHAP</t>
        </is>
      </c>
      <c r="R437" s="7" t="inlineStr">
        <is>
          <t>OUI</t>
        </is>
      </c>
      <c r="S437" s="7" t="inlineStr">
        <is>
          <t>31/08/2026 02:59</t>
        </is>
      </c>
    </row>
    <row r="438">
      <c r="A438" s="8" t="inlineStr">
        <is>
          <t>WHAP-0434</t>
        </is>
      </c>
      <c r="B438" s="8" t="inlineStr">
        <is>
          <t>CAR2-0434</t>
        </is>
      </c>
      <c r="C438" s="8" t="inlineStr">
        <is>
          <t>trappe d'évacuation</t>
        </is>
      </c>
      <c r="D438" s="8" t="inlineStr">
        <is>
          <t>Carrosserie et coque</t>
        </is>
      </c>
      <c r="E438" s="8" t="inlineStr">
        <is>
          <t>Carrosserie et coque</t>
        </is>
      </c>
      <c r="F438" s="8" t="inlineStr">
        <is>
          <t>PIECE_VEHICULE</t>
        </is>
      </c>
      <c r="G438" s="8" t="inlineStr">
        <is>
          <t>unité</t>
        </is>
      </c>
      <c r="H438" s="8" t="inlineStr">
        <is>
          <t>LARGE</t>
        </is>
      </c>
      <c r="I438" s="8" t="n">
        <v>0</v>
      </c>
      <c r="J438" s="8" t="inlineStr">
        <is>
          <t>E-06-04</t>
        </is>
      </c>
      <c r="K438" s="8" t="inlineStr"/>
      <c r="L438" s="10" t="n">
        <v>0</v>
      </c>
      <c r="M438" s="10" t="n">
        <v>0</v>
      </c>
      <c r="N438" s="10" t="n">
        <v>41</v>
      </c>
      <c r="O438" s="8" t="inlineStr">
        <is>
          <t>MAG</t>
        </is>
      </c>
      <c r="P438" s="8" t="inlineStr">
        <is>
          <t>STANDARD</t>
        </is>
      </c>
      <c r="Q438" s="8" t="inlineStr">
        <is>
          <t>WHAP</t>
        </is>
      </c>
      <c r="R438" s="8" t="inlineStr">
        <is>
          <t>OUI</t>
        </is>
      </c>
      <c r="S438" s="8" t="inlineStr">
        <is>
          <t>31/08/2026 02:59</t>
        </is>
      </c>
    </row>
    <row r="439">
      <c r="A439" s="7" t="inlineStr">
        <is>
          <t>WHAP-0435</t>
        </is>
      </c>
      <c r="B439" s="7" t="inlineStr">
        <is>
          <t>CAR2-0435</t>
        </is>
      </c>
      <c r="C439" s="7" t="inlineStr">
        <is>
          <t>rampe arrière</t>
        </is>
      </c>
      <c r="D439" s="7" t="inlineStr">
        <is>
          <t>Carrosserie et coque</t>
        </is>
      </c>
      <c r="E439" s="7" t="inlineStr">
        <is>
          <t>Carrosserie et coque</t>
        </is>
      </c>
      <c r="F439" s="7" t="inlineStr">
        <is>
          <t>PIECE_VEHICULE</t>
        </is>
      </c>
      <c r="G439" s="7" t="inlineStr">
        <is>
          <t>unité</t>
        </is>
      </c>
      <c r="H439" s="7" t="inlineStr">
        <is>
          <t>LARGE</t>
        </is>
      </c>
      <c r="I439" s="7" t="n">
        <v>0</v>
      </c>
      <c r="J439" s="7" t="inlineStr">
        <is>
          <t>A-01-02</t>
        </is>
      </c>
      <c r="K439" s="7" t="inlineStr"/>
      <c r="L439" s="9" t="n">
        <v>0</v>
      </c>
      <c r="M439" s="9" t="n">
        <v>0</v>
      </c>
      <c r="N439" s="9" t="n">
        <v>40</v>
      </c>
      <c r="O439" s="7" t="inlineStr">
        <is>
          <t>HEL</t>
        </is>
      </c>
      <c r="P439" s="7" t="inlineStr">
        <is>
          <t>STANDARD</t>
        </is>
      </c>
      <c r="Q439" s="7" t="inlineStr">
        <is>
          <t>WHAP</t>
        </is>
      </c>
      <c r="R439" s="7" t="inlineStr">
        <is>
          <t>OUI</t>
        </is>
      </c>
      <c r="S439" s="7" t="inlineStr">
        <is>
          <t>31/08/2026 02:59</t>
        </is>
      </c>
    </row>
    <row r="440">
      <c r="A440" s="8" t="inlineStr">
        <is>
          <t>WHAP-0436</t>
        </is>
      </c>
      <c r="B440" s="8" t="inlineStr">
        <is>
          <t>CAR2-0436</t>
        </is>
      </c>
      <c r="C440" s="8" t="inlineStr">
        <is>
          <t>charnière de rampe</t>
        </is>
      </c>
      <c r="D440" s="8" t="inlineStr">
        <is>
          <t>Carrosserie et coque</t>
        </is>
      </c>
      <c r="E440" s="8" t="inlineStr">
        <is>
          <t>Carrosserie et coque</t>
        </is>
      </c>
      <c r="F440" s="8" t="inlineStr">
        <is>
          <t>PIECE_VEHICULE</t>
        </is>
      </c>
      <c r="G440" s="8" t="inlineStr">
        <is>
          <t>unité</t>
        </is>
      </c>
      <c r="H440" s="8" t="inlineStr">
        <is>
          <t>LARGE</t>
        </is>
      </c>
      <c r="I440" s="8" t="n">
        <v>0</v>
      </c>
      <c r="J440" s="8" t="inlineStr">
        <is>
          <t>C-03-02</t>
        </is>
      </c>
      <c r="K440" s="8" t="inlineStr"/>
      <c r="L440" s="10" t="n">
        <v>0</v>
      </c>
      <c r="M440" s="10" t="n">
        <v>0</v>
      </c>
      <c r="N440" s="10" t="n">
        <v>40</v>
      </c>
      <c r="O440" s="8" t="inlineStr">
        <is>
          <t>MAG</t>
        </is>
      </c>
      <c r="P440" s="8" t="inlineStr">
        <is>
          <t>STANDARD</t>
        </is>
      </c>
      <c r="Q440" s="8" t="inlineStr">
        <is>
          <t>WHAP</t>
        </is>
      </c>
      <c r="R440" s="8" t="inlineStr">
        <is>
          <t>OUI</t>
        </is>
      </c>
      <c r="S440" s="8" t="inlineStr">
        <is>
          <t>31/08/2026 02:59</t>
        </is>
      </c>
    </row>
    <row r="441">
      <c r="A441" s="7" t="inlineStr">
        <is>
          <t>WHAP-0437</t>
        </is>
      </c>
      <c r="B441" s="7" t="inlineStr">
        <is>
          <t>CAR2-0437</t>
        </is>
      </c>
      <c r="C441" s="7" t="inlineStr">
        <is>
          <t>verrou de rampe</t>
        </is>
      </c>
      <c r="D441" s="7" t="inlineStr">
        <is>
          <t>Carrosserie et coque</t>
        </is>
      </c>
      <c r="E441" s="7" t="inlineStr">
        <is>
          <t>Carrosserie et coque</t>
        </is>
      </c>
      <c r="F441" s="7" t="inlineStr">
        <is>
          <t>PIECE_VEHICULE</t>
        </is>
      </c>
      <c r="G441" s="7" t="inlineStr">
        <is>
          <t>unité</t>
        </is>
      </c>
      <c r="H441" s="7" t="inlineStr">
        <is>
          <t>LARGE</t>
        </is>
      </c>
      <c r="I441" s="7" t="n">
        <v>0</v>
      </c>
      <c r="J441" s="7" t="inlineStr">
        <is>
          <t>F-05-01</t>
        </is>
      </c>
      <c r="K441" s="7" t="inlineStr"/>
      <c r="L441" s="9" t="n">
        <v>0</v>
      </c>
      <c r="M441" s="9" t="n">
        <v>0</v>
      </c>
      <c r="N441" s="9" t="n">
        <v>46</v>
      </c>
      <c r="O441" s="7" t="inlineStr">
        <is>
          <t>YZK</t>
        </is>
      </c>
      <c r="P441" s="7" t="inlineStr">
        <is>
          <t>STANDARD</t>
        </is>
      </c>
      <c r="Q441" s="7" t="inlineStr">
        <is>
          <t>WHAP</t>
        </is>
      </c>
      <c r="R441" s="7" t="inlineStr">
        <is>
          <t>OUI</t>
        </is>
      </c>
      <c r="S441" s="7" t="inlineStr">
        <is>
          <t>31/08/2026 02:59</t>
        </is>
      </c>
    </row>
    <row r="442">
      <c r="A442" s="8" t="inlineStr">
        <is>
          <t>WHAP-0438</t>
        </is>
      </c>
      <c r="B442" s="8" t="inlineStr">
        <is>
          <t>CAR2-0438</t>
        </is>
      </c>
      <c r="C442" s="8" t="inlineStr">
        <is>
          <t>vérin de rampe</t>
        </is>
      </c>
      <c r="D442" s="8" t="inlineStr">
        <is>
          <t>Carrosserie et coque</t>
        </is>
      </c>
      <c r="E442" s="8" t="inlineStr">
        <is>
          <t>Carrosserie et coque</t>
        </is>
      </c>
      <c r="F442" s="8" t="inlineStr">
        <is>
          <t>PIECE_VEHICULE</t>
        </is>
      </c>
      <c r="G442" s="8" t="inlineStr">
        <is>
          <t>unité</t>
        </is>
      </c>
      <c r="H442" s="8" t="inlineStr">
        <is>
          <t>LARGE</t>
        </is>
      </c>
      <c r="I442" s="8" t="n">
        <v>0</v>
      </c>
      <c r="J442" s="8" t="inlineStr">
        <is>
          <t>E-02-03</t>
        </is>
      </c>
      <c r="K442" s="8" t="inlineStr"/>
      <c r="L442" s="10" t="n">
        <v>0</v>
      </c>
      <c r="M442" s="10" t="n">
        <v>0</v>
      </c>
      <c r="N442" s="10" t="n">
        <v>45</v>
      </c>
      <c r="O442" s="8" t="inlineStr">
        <is>
          <t>DEL</t>
        </is>
      </c>
      <c r="P442" s="8" t="inlineStr">
        <is>
          <t>STANDARD</t>
        </is>
      </c>
      <c r="Q442" s="8" t="inlineStr">
        <is>
          <t>WHAP</t>
        </is>
      </c>
      <c r="R442" s="8" t="inlineStr">
        <is>
          <t>OUI</t>
        </is>
      </c>
      <c r="S442" s="8" t="inlineStr">
        <is>
          <t>31/08/2026 02:59</t>
        </is>
      </c>
    </row>
    <row r="443">
      <c r="A443" s="7" t="inlineStr">
        <is>
          <t>WHAP-0439</t>
        </is>
      </c>
      <c r="B443" s="7" t="inlineStr">
        <is>
          <t>CAR2-0439</t>
        </is>
      </c>
      <c r="C443" s="7" t="inlineStr">
        <is>
          <t>butée de porte</t>
        </is>
      </c>
      <c r="D443" s="7" t="inlineStr">
        <is>
          <t>Carrosserie et coque</t>
        </is>
      </c>
      <c r="E443" s="7" t="inlineStr">
        <is>
          <t>Carrosserie et coque</t>
        </is>
      </c>
      <c r="F443" s="7" t="inlineStr">
        <is>
          <t>PIECE_VEHICULE</t>
        </is>
      </c>
      <c r="G443" s="7" t="inlineStr">
        <is>
          <t>unité</t>
        </is>
      </c>
      <c r="H443" s="7" t="inlineStr">
        <is>
          <t>LARGE</t>
        </is>
      </c>
      <c r="I443" s="7" t="n">
        <v>0</v>
      </c>
      <c r="J443" s="7" t="inlineStr">
        <is>
          <t>D-04-03</t>
        </is>
      </c>
      <c r="K443" s="7" t="inlineStr"/>
      <c r="L443" s="9" t="n">
        <v>0</v>
      </c>
      <c r="M443" s="9" t="n">
        <v>0</v>
      </c>
      <c r="N443" s="9" t="n">
        <v>50</v>
      </c>
      <c r="O443" s="7" t="inlineStr">
        <is>
          <t>VAL</t>
        </is>
      </c>
      <c r="P443" s="7" t="inlineStr">
        <is>
          <t>STANDARD</t>
        </is>
      </c>
      <c r="Q443" s="7" t="inlineStr">
        <is>
          <t>WHAP</t>
        </is>
      </c>
      <c r="R443" s="7" t="inlineStr">
        <is>
          <t>OUI</t>
        </is>
      </c>
      <c r="S443" s="7" t="inlineStr">
        <is>
          <t>31/08/2026 02:59</t>
        </is>
      </c>
    </row>
    <row r="444">
      <c r="A444" s="8" t="inlineStr">
        <is>
          <t>WHAP-0440</t>
        </is>
      </c>
      <c r="B444" s="8" t="inlineStr">
        <is>
          <t>CAR2-0440</t>
        </is>
      </c>
      <c r="C444" s="8" t="inlineStr">
        <is>
          <t>joint de carrosserie</t>
        </is>
      </c>
      <c r="D444" s="8" t="inlineStr">
        <is>
          <t>Carrosserie et coque</t>
        </is>
      </c>
      <c r="E444" s="8" t="inlineStr">
        <is>
          <t>Carrosserie et coque</t>
        </is>
      </c>
      <c r="F444" s="8" t="inlineStr">
        <is>
          <t>PIECE_VEHICULE</t>
        </is>
      </c>
      <c r="G444" s="8" t="inlineStr">
        <is>
          <t>unité</t>
        </is>
      </c>
      <c r="H444" s="8" t="inlineStr">
        <is>
          <t>LARGE</t>
        </is>
      </c>
      <c r="I444" s="8" t="n">
        <v>0</v>
      </c>
      <c r="J444" s="8" t="inlineStr">
        <is>
          <t>E-05-03</t>
        </is>
      </c>
      <c r="K444" s="8" t="inlineStr"/>
      <c r="L444" s="10" t="n">
        <v>0</v>
      </c>
      <c r="M444" s="10" t="n">
        <v>0</v>
      </c>
      <c r="N444" s="10" t="n">
        <v>41</v>
      </c>
      <c r="O444" s="8" t="inlineStr">
        <is>
          <t>BOS</t>
        </is>
      </c>
      <c r="P444" s="8" t="inlineStr">
        <is>
          <t>STANDARD</t>
        </is>
      </c>
      <c r="Q444" s="8" t="inlineStr">
        <is>
          <t>WHAP</t>
        </is>
      </c>
      <c r="R444" s="8" t="inlineStr">
        <is>
          <t>OUI</t>
        </is>
      </c>
      <c r="S444" s="8" t="inlineStr">
        <is>
          <t>31/08/2026 02:59</t>
        </is>
      </c>
    </row>
    <row r="445">
      <c r="A445" s="7" t="inlineStr">
        <is>
          <t>WHAP-0441</t>
        </is>
      </c>
      <c r="B445" s="7" t="inlineStr">
        <is>
          <t>CAR2-0441</t>
        </is>
      </c>
      <c r="C445" s="7" t="inlineStr">
        <is>
          <t>joint de trappe</t>
        </is>
      </c>
      <c r="D445" s="7" t="inlineStr">
        <is>
          <t>Carrosserie et coque</t>
        </is>
      </c>
      <c r="E445" s="7" t="inlineStr">
        <is>
          <t>Carrosserie et coque</t>
        </is>
      </c>
      <c r="F445" s="7" t="inlineStr">
        <is>
          <t>PIECE_VEHICULE</t>
        </is>
      </c>
      <c r="G445" s="7" t="inlineStr">
        <is>
          <t>unité</t>
        </is>
      </c>
      <c r="H445" s="7" t="inlineStr">
        <is>
          <t>LARGE</t>
        </is>
      </c>
      <c r="I445" s="7" t="n">
        <v>0</v>
      </c>
      <c r="J445" s="7" t="inlineStr">
        <is>
          <t>B-03-04</t>
        </is>
      </c>
      <c r="K445" s="7" t="inlineStr"/>
      <c r="L445" s="9" t="n">
        <v>0</v>
      </c>
      <c r="M445" s="9" t="n">
        <v>0</v>
      </c>
      <c r="N445" s="9" t="n">
        <v>49</v>
      </c>
      <c r="O445" s="7" t="inlineStr">
        <is>
          <t>VAL</t>
        </is>
      </c>
      <c r="P445" s="7" t="inlineStr">
        <is>
          <t>STANDARD</t>
        </is>
      </c>
      <c r="Q445" s="7" t="inlineStr">
        <is>
          <t>WHAP</t>
        </is>
      </c>
      <c r="R445" s="7" t="inlineStr">
        <is>
          <t>OUI</t>
        </is>
      </c>
      <c r="S445" s="7" t="inlineStr">
        <is>
          <t>31/08/2026 02:59</t>
        </is>
      </c>
    </row>
    <row r="446">
      <c r="A446" s="8" t="inlineStr">
        <is>
          <t>WHAP-0442</t>
        </is>
      </c>
      <c r="B446" s="8" t="inlineStr">
        <is>
          <t>CAR2-0442</t>
        </is>
      </c>
      <c r="C446" s="8" t="inlineStr">
        <is>
          <t>isolant acoustique</t>
        </is>
      </c>
      <c r="D446" s="8" t="inlineStr">
        <is>
          <t>Carrosserie et coque</t>
        </is>
      </c>
      <c r="E446" s="8" t="inlineStr">
        <is>
          <t>Carrosserie et coque</t>
        </is>
      </c>
      <c r="F446" s="8" t="inlineStr">
        <is>
          <t>PIECE_VEHICULE</t>
        </is>
      </c>
      <c r="G446" s="8" t="inlineStr">
        <is>
          <t>unité</t>
        </is>
      </c>
      <c r="H446" s="8" t="inlineStr">
        <is>
          <t>LARGE</t>
        </is>
      </c>
      <c r="I446" s="8" t="n">
        <v>0</v>
      </c>
      <c r="J446" s="8" t="inlineStr">
        <is>
          <t>B-02-03</t>
        </is>
      </c>
      <c r="K446" s="8" t="inlineStr"/>
      <c r="L446" s="10" t="n">
        <v>0</v>
      </c>
      <c r="M446" s="10" t="n">
        <v>0</v>
      </c>
      <c r="N446" s="10" t="n">
        <v>48</v>
      </c>
      <c r="O446" s="8" t="inlineStr">
        <is>
          <t>SKF</t>
        </is>
      </c>
      <c r="P446" s="8" t="inlineStr">
        <is>
          <t>STANDARD</t>
        </is>
      </c>
      <c r="Q446" s="8" t="inlineStr">
        <is>
          <t>WHAP</t>
        </is>
      </c>
      <c r="R446" s="8" t="inlineStr">
        <is>
          <t>OUI</t>
        </is>
      </c>
      <c r="S446" s="8" t="inlineStr">
        <is>
          <t>31/08/2026 02:59</t>
        </is>
      </c>
    </row>
    <row r="447">
      <c r="A447" s="7" t="inlineStr">
        <is>
          <t>WHAP-0443</t>
        </is>
      </c>
      <c r="B447" s="7" t="inlineStr">
        <is>
          <t>CAR2-0443</t>
        </is>
      </c>
      <c r="C447" s="7" t="inlineStr">
        <is>
          <t>isolant thermique</t>
        </is>
      </c>
      <c r="D447" s="7" t="inlineStr">
        <is>
          <t>Carrosserie et coque</t>
        </is>
      </c>
      <c r="E447" s="7" t="inlineStr">
        <is>
          <t>Carrosserie et coque</t>
        </is>
      </c>
      <c r="F447" s="7" t="inlineStr">
        <is>
          <t>PIECE_VEHICULE</t>
        </is>
      </c>
      <c r="G447" s="7" t="inlineStr">
        <is>
          <t>unité</t>
        </is>
      </c>
      <c r="H447" s="7" t="inlineStr">
        <is>
          <t>LARGE</t>
        </is>
      </c>
      <c r="I447" s="7" t="n">
        <v>0</v>
      </c>
      <c r="J447" s="7" t="inlineStr">
        <is>
          <t>E-02-04</t>
        </is>
      </c>
      <c r="K447" s="7" t="inlineStr"/>
      <c r="L447" s="9" t="n">
        <v>0</v>
      </c>
      <c r="M447" s="9" t="n">
        <v>0</v>
      </c>
      <c r="N447" s="9" t="n">
        <v>40</v>
      </c>
      <c r="O447" s="7" t="inlineStr">
        <is>
          <t>HEL</t>
        </is>
      </c>
      <c r="P447" s="7" t="inlineStr">
        <is>
          <t>STANDARD</t>
        </is>
      </c>
      <c r="Q447" s="7" t="inlineStr">
        <is>
          <t>WHAP</t>
        </is>
      </c>
      <c r="R447" s="7" t="inlineStr">
        <is>
          <t>OUI</t>
        </is>
      </c>
      <c r="S447" s="7" t="inlineStr">
        <is>
          <t>31/08/2026 02:59</t>
        </is>
      </c>
    </row>
    <row r="448">
      <c r="A448" s="8" t="inlineStr">
        <is>
          <t>WHAP-0444</t>
        </is>
      </c>
      <c r="B448" s="8" t="inlineStr">
        <is>
          <t>CAR2-0444</t>
        </is>
      </c>
      <c r="C448" s="8" t="inlineStr">
        <is>
          <t>revêtement intérieur</t>
        </is>
      </c>
      <c r="D448" s="8" t="inlineStr">
        <is>
          <t>Carrosserie et coque</t>
        </is>
      </c>
      <c r="E448" s="8" t="inlineStr">
        <is>
          <t>Carrosserie et coque</t>
        </is>
      </c>
      <c r="F448" s="8" t="inlineStr">
        <is>
          <t>PIECE_VEHICULE</t>
        </is>
      </c>
      <c r="G448" s="8" t="inlineStr">
        <is>
          <t>unité</t>
        </is>
      </c>
      <c r="H448" s="8" t="inlineStr">
        <is>
          <t>LARGE</t>
        </is>
      </c>
      <c r="I448" s="8" t="n">
        <v>0</v>
      </c>
      <c r="J448" s="8" t="inlineStr">
        <is>
          <t>A-04-01</t>
        </is>
      </c>
      <c r="K448" s="8" t="inlineStr"/>
      <c r="L448" s="10" t="n">
        <v>0</v>
      </c>
      <c r="M448" s="10" t="n">
        <v>0</v>
      </c>
      <c r="N448" s="10" t="n">
        <v>44</v>
      </c>
      <c r="O448" s="8" t="inlineStr">
        <is>
          <t>DEL</t>
        </is>
      </c>
      <c r="P448" s="8" t="inlineStr">
        <is>
          <t>STANDARD</t>
        </is>
      </c>
      <c r="Q448" s="8" t="inlineStr">
        <is>
          <t>WHAP</t>
        </is>
      </c>
      <c r="R448" s="8" t="inlineStr">
        <is>
          <t>OUI</t>
        </is>
      </c>
      <c r="S448" s="8" t="inlineStr">
        <is>
          <t>31/08/2026 02:59</t>
        </is>
      </c>
    </row>
    <row r="449">
      <c r="A449" s="7" t="inlineStr">
        <is>
          <t>WHAP-0445</t>
        </is>
      </c>
      <c r="B449" s="7" t="inlineStr">
        <is>
          <t>CAR2-0445</t>
        </is>
      </c>
      <c r="C449" s="7" t="inlineStr">
        <is>
          <t>protection anti-éclats</t>
        </is>
      </c>
      <c r="D449" s="7" t="inlineStr">
        <is>
          <t>Carrosserie et coque</t>
        </is>
      </c>
      <c r="E449" s="7" t="inlineStr">
        <is>
          <t>Carrosserie et coque</t>
        </is>
      </c>
      <c r="F449" s="7" t="inlineStr">
        <is>
          <t>PIECE_VEHICULE</t>
        </is>
      </c>
      <c r="G449" s="7" t="inlineStr">
        <is>
          <t>unité</t>
        </is>
      </c>
      <c r="H449" s="7" t="inlineStr">
        <is>
          <t>LARGE</t>
        </is>
      </c>
      <c r="I449" s="7" t="n">
        <v>0</v>
      </c>
      <c r="J449" s="7" t="inlineStr">
        <is>
          <t>B-03-04</t>
        </is>
      </c>
      <c r="K449" s="7" t="inlineStr"/>
      <c r="L449" s="9" t="n">
        <v>0</v>
      </c>
      <c r="M449" s="9" t="n">
        <v>0</v>
      </c>
      <c r="N449" s="9" t="n">
        <v>43</v>
      </c>
      <c r="O449" s="7" t="inlineStr">
        <is>
          <t>YZK</t>
        </is>
      </c>
      <c r="P449" s="7" t="inlineStr">
        <is>
          <t>STANDARD</t>
        </is>
      </c>
      <c r="Q449" s="7" t="inlineStr">
        <is>
          <t>WHAP</t>
        </is>
      </c>
      <c r="R449" s="7" t="inlineStr">
        <is>
          <t>OUI</t>
        </is>
      </c>
      <c r="S449" s="7" t="inlineStr">
        <is>
          <t>31/08/2026 02:59</t>
        </is>
      </c>
    </row>
    <row r="450">
      <c r="A450" s="8" t="inlineStr">
        <is>
          <t>WHAP-0446</t>
        </is>
      </c>
      <c r="B450" s="8" t="inlineStr">
        <is>
          <t>POR-0446</t>
        </is>
      </c>
      <c r="C450" s="8" t="inlineStr">
        <is>
          <t>porte conducteur</t>
        </is>
      </c>
      <c r="D450" s="8" t="inlineStr">
        <is>
          <t>Portes et trappes</t>
        </is>
      </c>
      <c r="E450" s="8" t="inlineStr">
        <is>
          <t>Portes et trappes</t>
        </is>
      </c>
      <c r="F450" s="8" t="inlineStr">
        <is>
          <t>PIECE_VEHICULE</t>
        </is>
      </c>
      <c r="G450" s="8" t="inlineStr">
        <is>
          <t>unité</t>
        </is>
      </c>
      <c r="H450" s="8" t="inlineStr">
        <is>
          <t>LARGE</t>
        </is>
      </c>
      <c r="I450" s="8" t="n">
        <v>0</v>
      </c>
      <c r="J450" s="8" t="inlineStr">
        <is>
          <t>C-02-04 : 32</t>
        </is>
      </c>
      <c r="K450" s="8" t="inlineStr"/>
      <c r="L450" s="10" t="n">
        <v>32</v>
      </c>
      <c r="M450" s="10" t="n">
        <v>32</v>
      </c>
      <c r="N450" s="10" t="n">
        <v>40</v>
      </c>
      <c r="O450" s="8" t="inlineStr">
        <is>
          <t>SUM</t>
        </is>
      </c>
      <c r="P450" s="8" t="inlineStr">
        <is>
          <t>STANDARD</t>
        </is>
      </c>
      <c r="Q450" s="8" t="inlineStr">
        <is>
          <t>WHAP</t>
        </is>
      </c>
      <c r="R450" s="8" t="inlineStr">
        <is>
          <t>OUI</t>
        </is>
      </c>
      <c r="S450" s="8" t="inlineStr">
        <is>
          <t>31/08/2026 02:59</t>
        </is>
      </c>
    </row>
    <row r="451">
      <c r="A451" s="7" t="inlineStr">
        <is>
          <t>WHAP-0447</t>
        </is>
      </c>
      <c r="B451" s="7" t="inlineStr">
        <is>
          <t>POR-0447</t>
        </is>
      </c>
      <c r="C451" s="7" t="inlineStr">
        <is>
          <t>porte équipage</t>
        </is>
      </c>
      <c r="D451" s="7" t="inlineStr">
        <is>
          <t>Portes et trappes</t>
        </is>
      </c>
      <c r="E451" s="7" t="inlineStr">
        <is>
          <t>Portes et trappes</t>
        </is>
      </c>
      <c r="F451" s="7" t="inlineStr">
        <is>
          <t>PIECE_VEHICULE</t>
        </is>
      </c>
      <c r="G451" s="7" t="inlineStr">
        <is>
          <t>unité</t>
        </is>
      </c>
      <c r="H451" s="7" t="inlineStr">
        <is>
          <t>LARGE</t>
        </is>
      </c>
      <c r="I451" s="7" t="n">
        <v>0</v>
      </c>
      <c r="J451" s="7" t="inlineStr">
        <is>
          <t>F-01-01 : 45</t>
        </is>
      </c>
      <c r="K451" s="7" t="inlineStr"/>
      <c r="L451" s="9" t="n">
        <v>45</v>
      </c>
      <c r="M451" s="9" t="n">
        <v>45</v>
      </c>
      <c r="N451" s="9" t="n">
        <v>41</v>
      </c>
      <c r="O451" s="7" t="inlineStr">
        <is>
          <t>FAU</t>
        </is>
      </c>
      <c r="P451" s="7" t="inlineStr">
        <is>
          <t>STANDARD</t>
        </is>
      </c>
      <c r="Q451" s="7" t="inlineStr">
        <is>
          <t>WHAP</t>
        </is>
      </c>
      <c r="R451" s="7" t="inlineStr">
        <is>
          <t>OUI</t>
        </is>
      </c>
      <c r="S451" s="7" t="inlineStr">
        <is>
          <t>31/08/2026 02:59</t>
        </is>
      </c>
    </row>
    <row r="452">
      <c r="A452" s="8" t="inlineStr">
        <is>
          <t>WHAP-0448</t>
        </is>
      </c>
      <c r="B452" s="8" t="inlineStr">
        <is>
          <t>POR-0448</t>
        </is>
      </c>
      <c r="C452" s="8" t="inlineStr">
        <is>
          <t>porte arrière</t>
        </is>
      </c>
      <c r="D452" s="8" t="inlineStr">
        <is>
          <t>Portes et trappes</t>
        </is>
      </c>
      <c r="E452" s="8" t="inlineStr">
        <is>
          <t>Portes et trappes</t>
        </is>
      </c>
      <c r="F452" s="8" t="inlineStr">
        <is>
          <t>PIECE_VEHICULE</t>
        </is>
      </c>
      <c r="G452" s="8" t="inlineStr">
        <is>
          <t>unité</t>
        </is>
      </c>
      <c r="H452" s="8" t="inlineStr">
        <is>
          <t>LARGE</t>
        </is>
      </c>
      <c r="I452" s="8" t="n">
        <v>0</v>
      </c>
      <c r="J452" s="8" t="inlineStr">
        <is>
          <t>A-04-02</t>
        </is>
      </c>
      <c r="K452" s="8" t="inlineStr"/>
      <c r="L452" s="10" t="n">
        <v>0</v>
      </c>
      <c r="M452" s="10" t="n">
        <v>0</v>
      </c>
      <c r="N452" s="10" t="n">
        <v>41</v>
      </c>
      <c r="O452" s="8" t="inlineStr">
        <is>
          <t>BOS</t>
        </is>
      </c>
      <c r="P452" s="8" t="inlineStr">
        <is>
          <t>STANDARD</t>
        </is>
      </c>
      <c r="Q452" s="8" t="inlineStr">
        <is>
          <t>WHAP</t>
        </is>
      </c>
      <c r="R452" s="8" t="inlineStr">
        <is>
          <t>OUI</t>
        </is>
      </c>
      <c r="S452" s="8" t="inlineStr">
        <is>
          <t>31/08/2026 02:59</t>
        </is>
      </c>
    </row>
    <row r="453">
      <c r="A453" s="7" t="inlineStr">
        <is>
          <t>WHAP-0449</t>
        </is>
      </c>
      <c r="B453" s="7" t="inlineStr">
        <is>
          <t>POR-0449</t>
        </is>
      </c>
      <c r="C453" s="7" t="inlineStr">
        <is>
          <t>trappe supérieure</t>
        </is>
      </c>
      <c r="D453" s="7" t="inlineStr">
        <is>
          <t>Portes et trappes</t>
        </is>
      </c>
      <c r="E453" s="7" t="inlineStr">
        <is>
          <t>Portes et trappes</t>
        </is>
      </c>
      <c r="F453" s="7" t="inlineStr">
        <is>
          <t>PIECE_VEHICULE</t>
        </is>
      </c>
      <c r="G453" s="7" t="inlineStr">
        <is>
          <t>unité</t>
        </is>
      </c>
      <c r="H453" s="7" t="inlineStr">
        <is>
          <t>LARGE</t>
        </is>
      </c>
      <c r="I453" s="7" t="n">
        <v>0</v>
      </c>
      <c r="J453" s="7" t="inlineStr">
        <is>
          <t>E-06-02</t>
        </is>
      </c>
      <c r="K453" s="7" t="inlineStr"/>
      <c r="L453" s="9" t="n">
        <v>0</v>
      </c>
      <c r="M453" s="9" t="n">
        <v>0</v>
      </c>
      <c r="N453" s="9" t="n">
        <v>48</v>
      </c>
      <c r="O453" s="7" t="inlineStr">
        <is>
          <t>BOS</t>
        </is>
      </c>
      <c r="P453" s="7" t="inlineStr">
        <is>
          <t>STANDARD</t>
        </is>
      </c>
      <c r="Q453" s="7" t="inlineStr">
        <is>
          <t>WHAP</t>
        </is>
      </c>
      <c r="R453" s="7" t="inlineStr">
        <is>
          <t>OUI</t>
        </is>
      </c>
      <c r="S453" s="7" t="inlineStr">
        <is>
          <t>31/08/2026 02:59</t>
        </is>
      </c>
    </row>
    <row r="454">
      <c r="A454" s="8" t="inlineStr">
        <is>
          <t>WHAP-0450</t>
        </is>
      </c>
      <c r="B454" s="8" t="inlineStr">
        <is>
          <t>POR-0450</t>
        </is>
      </c>
      <c r="C454" s="8" t="inlineStr">
        <is>
          <t>trappe latérale</t>
        </is>
      </c>
      <c r="D454" s="8" t="inlineStr">
        <is>
          <t>Portes et trappes</t>
        </is>
      </c>
      <c r="E454" s="8" t="inlineStr">
        <is>
          <t>Portes et trappes</t>
        </is>
      </c>
      <c r="F454" s="8" t="inlineStr">
        <is>
          <t>PIECE_VEHICULE</t>
        </is>
      </c>
      <c r="G454" s="8" t="inlineStr">
        <is>
          <t>unité</t>
        </is>
      </c>
      <c r="H454" s="8" t="inlineStr">
        <is>
          <t>LARGE</t>
        </is>
      </c>
      <c r="I454" s="8" t="n">
        <v>0</v>
      </c>
      <c r="J454" s="8" t="inlineStr">
        <is>
          <t>C-05-01</t>
        </is>
      </c>
      <c r="K454" s="8" t="inlineStr"/>
      <c r="L454" s="10" t="n">
        <v>0</v>
      </c>
      <c r="M454" s="10" t="n">
        <v>0</v>
      </c>
      <c r="N454" s="10" t="n">
        <v>43</v>
      </c>
      <c r="O454" s="8" t="inlineStr">
        <is>
          <t>DEL</t>
        </is>
      </c>
      <c r="P454" s="8" t="inlineStr">
        <is>
          <t>STANDARD</t>
        </is>
      </c>
      <c r="Q454" s="8" t="inlineStr">
        <is>
          <t>WHAP</t>
        </is>
      </c>
      <c r="R454" s="8" t="inlineStr">
        <is>
          <t>OUI</t>
        </is>
      </c>
      <c r="S454" s="8" t="inlineStr">
        <is>
          <t>31/08/2026 02:59</t>
        </is>
      </c>
    </row>
    <row r="455">
      <c r="A455" s="7" t="inlineStr">
        <is>
          <t>WHAP-0451</t>
        </is>
      </c>
      <c r="B455" s="7" t="inlineStr">
        <is>
          <t>POR-0451</t>
        </is>
      </c>
      <c r="C455" s="7" t="inlineStr">
        <is>
          <t>trappe moteur</t>
        </is>
      </c>
      <c r="D455" s="7" t="inlineStr">
        <is>
          <t>Portes et trappes</t>
        </is>
      </c>
      <c r="E455" s="7" t="inlineStr">
        <is>
          <t>Portes et trappes</t>
        </is>
      </c>
      <c r="F455" s="7" t="inlineStr">
        <is>
          <t>PIECE_VEHICULE</t>
        </is>
      </c>
      <c r="G455" s="7" t="inlineStr">
        <is>
          <t>unité</t>
        </is>
      </c>
      <c r="H455" s="7" t="inlineStr">
        <is>
          <t>LARGE</t>
        </is>
      </c>
      <c r="I455" s="7" t="n">
        <v>0</v>
      </c>
      <c r="J455" s="7" t="inlineStr">
        <is>
          <t>F-06-01</t>
        </is>
      </c>
      <c r="K455" s="7" t="inlineStr"/>
      <c r="L455" s="9" t="n">
        <v>0</v>
      </c>
      <c r="M455" s="9" t="n">
        <v>0</v>
      </c>
      <c r="N455" s="9" t="n">
        <v>49</v>
      </c>
      <c r="O455" s="7" t="inlineStr">
        <is>
          <t>FAU</t>
        </is>
      </c>
      <c r="P455" s="7" t="inlineStr">
        <is>
          <t>STANDARD</t>
        </is>
      </c>
      <c r="Q455" s="7" t="inlineStr">
        <is>
          <t>WHAP</t>
        </is>
      </c>
      <c r="R455" s="7" t="inlineStr">
        <is>
          <t>OUI</t>
        </is>
      </c>
      <c r="S455" s="7" t="inlineStr">
        <is>
          <t>31/08/2026 02:59</t>
        </is>
      </c>
    </row>
    <row r="456">
      <c r="A456" s="8" t="inlineStr">
        <is>
          <t>WHAP-0452</t>
        </is>
      </c>
      <c r="B456" s="8" t="inlineStr">
        <is>
          <t>POR-0452</t>
        </is>
      </c>
      <c r="C456" s="8" t="inlineStr">
        <is>
          <t>charnière</t>
        </is>
      </c>
      <c r="D456" s="8" t="inlineStr">
        <is>
          <t>Portes et trappes</t>
        </is>
      </c>
      <c r="E456" s="8" t="inlineStr">
        <is>
          <t>Portes et trappes</t>
        </is>
      </c>
      <c r="F456" s="8" t="inlineStr">
        <is>
          <t>PIECE_VEHICULE</t>
        </is>
      </c>
      <c r="G456" s="8" t="inlineStr">
        <is>
          <t>unité</t>
        </is>
      </c>
      <c r="H456" s="8" t="inlineStr">
        <is>
          <t>LARGE</t>
        </is>
      </c>
      <c r="I456" s="8" t="n">
        <v>0</v>
      </c>
      <c r="J456" s="8" t="inlineStr">
        <is>
          <t>A-06-02</t>
        </is>
      </c>
      <c r="K456" s="8" t="inlineStr"/>
      <c r="L456" s="10" t="n">
        <v>0</v>
      </c>
      <c r="M456" s="10" t="n">
        <v>0</v>
      </c>
      <c r="N456" s="10" t="n">
        <v>50</v>
      </c>
      <c r="O456" s="8" t="inlineStr">
        <is>
          <t>HEL</t>
        </is>
      </c>
      <c r="P456" s="8" t="inlineStr">
        <is>
          <t>STANDARD</t>
        </is>
      </c>
      <c r="Q456" s="8" t="inlineStr">
        <is>
          <t>WHAP</t>
        </is>
      </c>
      <c r="R456" s="8" t="inlineStr">
        <is>
          <t>OUI</t>
        </is>
      </c>
      <c r="S456" s="8" t="inlineStr">
        <is>
          <t>31/08/2026 02:59</t>
        </is>
      </c>
    </row>
    <row r="457">
      <c r="A457" s="7" t="inlineStr">
        <is>
          <t>WHAP-0453</t>
        </is>
      </c>
      <c r="B457" s="7" t="inlineStr">
        <is>
          <t>POR-0453</t>
        </is>
      </c>
      <c r="C457" s="7" t="inlineStr">
        <is>
          <t>serrure</t>
        </is>
      </c>
      <c r="D457" s="7" t="inlineStr">
        <is>
          <t>Portes et trappes</t>
        </is>
      </c>
      <c r="E457" s="7" t="inlineStr">
        <is>
          <t>Portes et trappes</t>
        </is>
      </c>
      <c r="F457" s="7" t="inlineStr">
        <is>
          <t>PIECE_VEHICULE</t>
        </is>
      </c>
      <c r="G457" s="7" t="inlineStr">
        <is>
          <t>unité</t>
        </is>
      </c>
      <c r="H457" s="7" t="inlineStr">
        <is>
          <t>LARGE</t>
        </is>
      </c>
      <c r="I457" s="7" t="n">
        <v>0</v>
      </c>
      <c r="J457" s="7" t="inlineStr">
        <is>
          <t>E-04-02</t>
        </is>
      </c>
      <c r="K457" s="7" t="inlineStr"/>
      <c r="L457" s="9" t="n">
        <v>0</v>
      </c>
      <c r="M457" s="9" t="n">
        <v>0</v>
      </c>
      <c r="N457" s="9" t="n">
        <v>45</v>
      </c>
      <c r="O457" s="7" t="inlineStr">
        <is>
          <t>SUM</t>
        </is>
      </c>
      <c r="P457" s="7" t="inlineStr">
        <is>
          <t>STANDARD</t>
        </is>
      </c>
      <c r="Q457" s="7" t="inlineStr">
        <is>
          <t>WHAP</t>
        </is>
      </c>
      <c r="R457" s="7" t="inlineStr">
        <is>
          <t>OUI</t>
        </is>
      </c>
      <c r="S457" s="7" t="inlineStr">
        <is>
          <t>31/08/2026 02:59</t>
        </is>
      </c>
    </row>
    <row r="458">
      <c r="A458" s="8" t="inlineStr">
        <is>
          <t>WHAP-0454</t>
        </is>
      </c>
      <c r="B458" s="8" t="inlineStr">
        <is>
          <t>POR-0454</t>
        </is>
      </c>
      <c r="C458" s="8" t="inlineStr">
        <is>
          <t>loquet</t>
        </is>
      </c>
      <c r="D458" s="8" t="inlineStr">
        <is>
          <t>Portes et trappes</t>
        </is>
      </c>
      <c r="E458" s="8" t="inlineStr">
        <is>
          <t>Portes et trappes</t>
        </is>
      </c>
      <c r="F458" s="8" t="inlineStr">
        <is>
          <t>PIECE_VEHICULE</t>
        </is>
      </c>
      <c r="G458" s="8" t="inlineStr">
        <is>
          <t>unité</t>
        </is>
      </c>
      <c r="H458" s="8" t="inlineStr">
        <is>
          <t>LARGE</t>
        </is>
      </c>
      <c r="I458" s="8" t="n">
        <v>0</v>
      </c>
      <c r="J458" s="8" t="inlineStr">
        <is>
          <t>F-05-02</t>
        </is>
      </c>
      <c r="K458" s="8" t="inlineStr"/>
      <c r="L458" s="10" t="n">
        <v>0</v>
      </c>
      <c r="M458" s="10" t="n">
        <v>0</v>
      </c>
      <c r="N458" s="10" t="n">
        <v>47</v>
      </c>
      <c r="O458" s="8" t="inlineStr">
        <is>
          <t>SKF</t>
        </is>
      </c>
      <c r="P458" s="8" t="inlineStr">
        <is>
          <t>STANDARD</t>
        </is>
      </c>
      <c r="Q458" s="8" t="inlineStr">
        <is>
          <t>WHAP</t>
        </is>
      </c>
      <c r="R458" s="8" t="inlineStr">
        <is>
          <t>OUI</t>
        </is>
      </c>
      <c r="S458" s="8" t="inlineStr">
        <is>
          <t>31/08/2026 02:59</t>
        </is>
      </c>
    </row>
    <row r="459">
      <c r="A459" s="7" t="inlineStr">
        <is>
          <t>WHAP-0455</t>
        </is>
      </c>
      <c r="B459" s="7" t="inlineStr">
        <is>
          <t>POR-0455</t>
        </is>
      </c>
      <c r="C459" s="7" t="inlineStr">
        <is>
          <t>verrou rotatif</t>
        </is>
      </c>
      <c r="D459" s="7" t="inlineStr">
        <is>
          <t>Portes et trappes</t>
        </is>
      </c>
      <c r="E459" s="7" t="inlineStr">
        <is>
          <t>Portes et trappes</t>
        </is>
      </c>
      <c r="F459" s="7" t="inlineStr">
        <is>
          <t>PIECE_VEHICULE</t>
        </is>
      </c>
      <c r="G459" s="7" t="inlineStr">
        <is>
          <t>unité</t>
        </is>
      </c>
      <c r="H459" s="7" t="inlineStr">
        <is>
          <t>LARGE</t>
        </is>
      </c>
      <c r="I459" s="7" t="n">
        <v>0</v>
      </c>
      <c r="J459" s="7" t="inlineStr">
        <is>
          <t>C-03-04</t>
        </is>
      </c>
      <c r="K459" s="7" t="inlineStr"/>
      <c r="L459" s="9" t="n">
        <v>0</v>
      </c>
      <c r="M459" s="9" t="n">
        <v>0</v>
      </c>
      <c r="N459" s="9" t="n">
        <v>43</v>
      </c>
      <c r="O459" s="7" t="inlineStr">
        <is>
          <t>BOS</t>
        </is>
      </c>
      <c r="P459" s="7" t="inlineStr">
        <is>
          <t>STANDARD</t>
        </is>
      </c>
      <c r="Q459" s="7" t="inlineStr">
        <is>
          <t>WHAP</t>
        </is>
      </c>
      <c r="R459" s="7" t="inlineStr">
        <is>
          <t>OUI</t>
        </is>
      </c>
      <c r="S459" s="7" t="inlineStr">
        <is>
          <t>31/08/2026 02:59</t>
        </is>
      </c>
    </row>
    <row r="460">
      <c r="A460" s="8" t="inlineStr">
        <is>
          <t>WHAP-0456</t>
        </is>
      </c>
      <c r="B460" s="8" t="inlineStr">
        <is>
          <t>POR-0456</t>
        </is>
      </c>
      <c r="C460" s="8" t="inlineStr">
        <is>
          <t>poignée intérieure</t>
        </is>
      </c>
      <c r="D460" s="8" t="inlineStr">
        <is>
          <t>Portes et trappes</t>
        </is>
      </c>
      <c r="E460" s="8" t="inlineStr">
        <is>
          <t>Portes et trappes</t>
        </is>
      </c>
      <c r="F460" s="8" t="inlineStr">
        <is>
          <t>PIECE_VEHICULE</t>
        </is>
      </c>
      <c r="G460" s="8" t="inlineStr">
        <is>
          <t>unité</t>
        </is>
      </c>
      <c r="H460" s="8" t="inlineStr">
        <is>
          <t>LARGE</t>
        </is>
      </c>
      <c r="I460" s="8" t="n">
        <v>0</v>
      </c>
      <c r="J460" s="8" t="inlineStr">
        <is>
          <t>B-03-03</t>
        </is>
      </c>
      <c r="K460" s="8" t="inlineStr"/>
      <c r="L460" s="10" t="n">
        <v>0</v>
      </c>
      <c r="M460" s="10" t="n">
        <v>0</v>
      </c>
      <c r="N460" s="10" t="n">
        <v>44</v>
      </c>
      <c r="O460" s="8" t="inlineStr">
        <is>
          <t>FAU</t>
        </is>
      </c>
      <c r="P460" s="8" t="inlineStr">
        <is>
          <t>STANDARD</t>
        </is>
      </c>
      <c r="Q460" s="8" t="inlineStr">
        <is>
          <t>WHAP</t>
        </is>
      </c>
      <c r="R460" s="8" t="inlineStr">
        <is>
          <t>OUI</t>
        </is>
      </c>
      <c r="S460" s="8" t="inlineStr">
        <is>
          <t>31/08/2026 02:59</t>
        </is>
      </c>
    </row>
    <row r="461">
      <c r="A461" s="7" t="inlineStr">
        <is>
          <t>WHAP-0457</t>
        </is>
      </c>
      <c r="B461" s="7" t="inlineStr">
        <is>
          <t>POR-0457</t>
        </is>
      </c>
      <c r="C461" s="7" t="inlineStr">
        <is>
          <t>poignée extérieure</t>
        </is>
      </c>
      <c r="D461" s="7" t="inlineStr">
        <is>
          <t>Portes et trappes</t>
        </is>
      </c>
      <c r="E461" s="7" t="inlineStr">
        <is>
          <t>Portes et trappes</t>
        </is>
      </c>
      <c r="F461" s="7" t="inlineStr">
        <is>
          <t>PIECE_VEHICULE</t>
        </is>
      </c>
      <c r="G461" s="7" t="inlineStr">
        <is>
          <t>unité</t>
        </is>
      </c>
      <c r="H461" s="7" t="inlineStr">
        <is>
          <t>LARGE</t>
        </is>
      </c>
      <c r="I461" s="7" t="n">
        <v>0</v>
      </c>
      <c r="J461" s="7" t="inlineStr">
        <is>
          <t>A-06-01</t>
        </is>
      </c>
      <c r="K461" s="7" t="inlineStr"/>
      <c r="L461" s="9" t="n">
        <v>0</v>
      </c>
      <c r="M461" s="9" t="n">
        <v>0</v>
      </c>
      <c r="N461" s="9" t="n">
        <v>47</v>
      </c>
      <c r="O461" s="7" t="inlineStr">
        <is>
          <t>HEL</t>
        </is>
      </c>
      <c r="P461" s="7" t="inlineStr">
        <is>
          <t>STANDARD</t>
        </is>
      </c>
      <c r="Q461" s="7" t="inlineStr">
        <is>
          <t>WHAP</t>
        </is>
      </c>
      <c r="R461" s="7" t="inlineStr">
        <is>
          <t>OUI</t>
        </is>
      </c>
      <c r="S461" s="7" t="inlineStr">
        <is>
          <t>31/08/2026 02:59</t>
        </is>
      </c>
    </row>
    <row r="462">
      <c r="A462" s="8" t="inlineStr">
        <is>
          <t>WHAP-0458</t>
        </is>
      </c>
      <c r="B462" s="8" t="inlineStr">
        <is>
          <t>POR-0458</t>
        </is>
      </c>
      <c r="C462" s="8" t="inlineStr">
        <is>
          <t>câble de commande</t>
        </is>
      </c>
      <c r="D462" s="8" t="inlineStr">
        <is>
          <t>Portes et trappes</t>
        </is>
      </c>
      <c r="E462" s="8" t="inlineStr">
        <is>
          <t>Portes et trappes</t>
        </is>
      </c>
      <c r="F462" s="8" t="inlineStr">
        <is>
          <t>PIECE_VEHICULE</t>
        </is>
      </c>
      <c r="G462" s="8" t="inlineStr">
        <is>
          <t>unité</t>
        </is>
      </c>
      <c r="H462" s="8" t="inlineStr">
        <is>
          <t>LARGE</t>
        </is>
      </c>
      <c r="I462" s="8" t="n">
        <v>0</v>
      </c>
      <c r="J462" s="8" t="inlineStr">
        <is>
          <t>F-05-03</t>
        </is>
      </c>
      <c r="K462" s="8" t="inlineStr"/>
      <c r="L462" s="10" t="n">
        <v>0</v>
      </c>
      <c r="M462" s="10" t="n">
        <v>0</v>
      </c>
      <c r="N462" s="10" t="n">
        <v>48</v>
      </c>
      <c r="O462" s="8" t="inlineStr">
        <is>
          <t>SKF</t>
        </is>
      </c>
      <c r="P462" s="8" t="inlineStr">
        <is>
          <t>STANDARD</t>
        </is>
      </c>
      <c r="Q462" s="8" t="inlineStr">
        <is>
          <t>WHAP</t>
        </is>
      </c>
      <c r="R462" s="8" t="inlineStr">
        <is>
          <t>OUI</t>
        </is>
      </c>
      <c r="S462" s="8" t="inlineStr">
        <is>
          <t>31/08/2026 02:59</t>
        </is>
      </c>
    </row>
    <row r="463">
      <c r="A463" s="7" t="inlineStr">
        <is>
          <t>WHAP-0459</t>
        </is>
      </c>
      <c r="B463" s="7" t="inlineStr">
        <is>
          <t>POR-0459</t>
        </is>
      </c>
      <c r="C463" s="7" t="inlineStr">
        <is>
          <t>vérin à gaz</t>
        </is>
      </c>
      <c r="D463" s="7" t="inlineStr">
        <is>
          <t>Portes et trappes</t>
        </is>
      </c>
      <c r="E463" s="7" t="inlineStr">
        <is>
          <t>Portes et trappes</t>
        </is>
      </c>
      <c r="F463" s="7" t="inlineStr">
        <is>
          <t>PIECE_VEHICULE</t>
        </is>
      </c>
      <c r="G463" s="7" t="inlineStr">
        <is>
          <t>unité</t>
        </is>
      </c>
      <c r="H463" s="7" t="inlineStr">
        <is>
          <t>LARGE</t>
        </is>
      </c>
      <c r="I463" s="7" t="n">
        <v>0</v>
      </c>
      <c r="J463" s="7" t="inlineStr">
        <is>
          <t>F-06-01</t>
        </is>
      </c>
      <c r="K463" s="7" t="inlineStr"/>
      <c r="L463" s="9" t="n">
        <v>0</v>
      </c>
      <c r="M463" s="9" t="n">
        <v>0</v>
      </c>
      <c r="N463" s="9" t="n">
        <v>45</v>
      </c>
      <c r="O463" s="7" t="inlineStr">
        <is>
          <t>VAL</t>
        </is>
      </c>
      <c r="P463" s="7" t="inlineStr">
        <is>
          <t>STANDARD</t>
        </is>
      </c>
      <c r="Q463" s="7" t="inlineStr">
        <is>
          <t>WHAP</t>
        </is>
      </c>
      <c r="R463" s="7" t="inlineStr">
        <is>
          <t>OUI</t>
        </is>
      </c>
      <c r="S463" s="7" t="inlineStr">
        <is>
          <t>31/08/2026 02:59</t>
        </is>
      </c>
    </row>
    <row r="464">
      <c r="A464" s="8" t="inlineStr">
        <is>
          <t>WHAP-0460</t>
        </is>
      </c>
      <c r="B464" s="8" t="inlineStr">
        <is>
          <t>POR-0460</t>
        </is>
      </c>
      <c r="C464" s="8" t="inlineStr">
        <is>
          <t>vérin hydraulique</t>
        </is>
      </c>
      <c r="D464" s="8" t="inlineStr">
        <is>
          <t>Portes et trappes</t>
        </is>
      </c>
      <c r="E464" s="8" t="inlineStr">
        <is>
          <t>Portes et trappes</t>
        </is>
      </c>
      <c r="F464" s="8" t="inlineStr">
        <is>
          <t>PIECE_VEHICULE</t>
        </is>
      </c>
      <c r="G464" s="8" t="inlineStr">
        <is>
          <t>unité</t>
        </is>
      </c>
      <c r="H464" s="8" t="inlineStr">
        <is>
          <t>LARGE</t>
        </is>
      </c>
      <c r="I464" s="8" t="n">
        <v>0</v>
      </c>
      <c r="J464" s="8" t="inlineStr">
        <is>
          <t>A-06-04</t>
        </is>
      </c>
      <c r="K464" s="8" t="inlineStr"/>
      <c r="L464" s="10" t="n">
        <v>0</v>
      </c>
      <c r="M464" s="10" t="n">
        <v>0</v>
      </c>
      <c r="N464" s="10" t="n">
        <v>44</v>
      </c>
      <c r="O464" s="8" t="inlineStr">
        <is>
          <t>DEL</t>
        </is>
      </c>
      <c r="P464" s="8" t="inlineStr">
        <is>
          <t>STANDARD</t>
        </is>
      </c>
      <c r="Q464" s="8" t="inlineStr">
        <is>
          <t>WHAP</t>
        </is>
      </c>
      <c r="R464" s="8" t="inlineStr">
        <is>
          <t>OUI</t>
        </is>
      </c>
      <c r="S464" s="8" t="inlineStr">
        <is>
          <t>31/08/2026 02:59</t>
        </is>
      </c>
    </row>
    <row r="465">
      <c r="A465" s="7" t="inlineStr">
        <is>
          <t>WHAP-0461</t>
        </is>
      </c>
      <c r="B465" s="7" t="inlineStr">
        <is>
          <t>POR-0461</t>
        </is>
      </c>
      <c r="C465" s="7" t="inlineStr">
        <is>
          <t>joint de porte</t>
        </is>
      </c>
      <c r="D465" s="7" t="inlineStr">
        <is>
          <t>Portes et trappes</t>
        </is>
      </c>
      <c r="E465" s="7" t="inlineStr">
        <is>
          <t>Portes et trappes</t>
        </is>
      </c>
      <c r="F465" s="7" t="inlineStr">
        <is>
          <t>PIECE_VEHICULE</t>
        </is>
      </c>
      <c r="G465" s="7" t="inlineStr">
        <is>
          <t>unité</t>
        </is>
      </c>
      <c r="H465" s="7" t="inlineStr">
        <is>
          <t>LARGE</t>
        </is>
      </c>
      <c r="I465" s="7" t="n">
        <v>0</v>
      </c>
      <c r="J465" s="7" t="inlineStr">
        <is>
          <t>F-06-04</t>
        </is>
      </c>
      <c r="K465" s="7" t="inlineStr"/>
      <c r="L465" s="9" t="n">
        <v>0</v>
      </c>
      <c r="M465" s="9" t="n">
        <v>0</v>
      </c>
      <c r="N465" s="9" t="n">
        <v>42</v>
      </c>
      <c r="O465" s="7" t="inlineStr">
        <is>
          <t>SKF</t>
        </is>
      </c>
      <c r="P465" s="7" t="inlineStr">
        <is>
          <t>STANDARD</t>
        </is>
      </c>
      <c r="Q465" s="7" t="inlineStr">
        <is>
          <t>WHAP</t>
        </is>
      </c>
      <c r="R465" s="7" t="inlineStr">
        <is>
          <t>OUI</t>
        </is>
      </c>
      <c r="S465" s="7" t="inlineStr">
        <is>
          <t>31/08/2026 02:59</t>
        </is>
      </c>
    </row>
    <row r="466">
      <c r="A466" s="8" t="inlineStr">
        <is>
          <t>WHAP-0462</t>
        </is>
      </c>
      <c r="B466" s="8" t="inlineStr">
        <is>
          <t>POR-0462</t>
        </is>
      </c>
      <c r="C466" s="8" t="inlineStr">
        <is>
          <t>joint de trappe</t>
        </is>
      </c>
      <c r="D466" s="8" t="inlineStr">
        <is>
          <t>Portes et trappes</t>
        </is>
      </c>
      <c r="E466" s="8" t="inlineStr">
        <is>
          <t>Portes et trappes</t>
        </is>
      </c>
      <c r="F466" s="8" t="inlineStr">
        <is>
          <t>PIECE_VEHICULE</t>
        </is>
      </c>
      <c r="G466" s="8" t="inlineStr">
        <is>
          <t>unité</t>
        </is>
      </c>
      <c r="H466" s="8" t="inlineStr">
        <is>
          <t>LARGE</t>
        </is>
      </c>
      <c r="I466" s="8" t="n">
        <v>0</v>
      </c>
      <c r="J466" s="8" t="inlineStr">
        <is>
          <t>B-02-01</t>
        </is>
      </c>
      <c r="K466" s="8" t="inlineStr"/>
      <c r="L466" s="10" t="n">
        <v>0</v>
      </c>
      <c r="M466" s="10" t="n">
        <v>0</v>
      </c>
      <c r="N466" s="10" t="n">
        <v>42</v>
      </c>
      <c r="O466" s="8" t="inlineStr">
        <is>
          <t>FAU</t>
        </is>
      </c>
      <c r="P466" s="8" t="inlineStr">
        <is>
          <t>STANDARD</t>
        </is>
      </c>
      <c r="Q466" s="8" t="inlineStr">
        <is>
          <t>WHAP</t>
        </is>
      </c>
      <c r="R466" s="8" t="inlineStr">
        <is>
          <t>OUI</t>
        </is>
      </c>
      <c r="S466" s="8" t="inlineStr">
        <is>
          <t>31/08/2026 02:59</t>
        </is>
      </c>
    </row>
    <row r="467">
      <c r="A467" s="7" t="inlineStr">
        <is>
          <t>WHAP-0463</t>
        </is>
      </c>
      <c r="B467" s="7" t="inlineStr">
        <is>
          <t>POR-0463</t>
        </is>
      </c>
      <c r="C467" s="7" t="inlineStr">
        <is>
          <t>vitre blindée</t>
        </is>
      </c>
      <c r="D467" s="7" t="inlineStr">
        <is>
          <t>Portes et trappes</t>
        </is>
      </c>
      <c r="E467" s="7" t="inlineStr">
        <is>
          <t>Portes et trappes</t>
        </is>
      </c>
      <c r="F467" s="7" t="inlineStr">
        <is>
          <t>PIECE_VEHICULE</t>
        </is>
      </c>
      <c r="G467" s="7" t="inlineStr">
        <is>
          <t>unité</t>
        </is>
      </c>
      <c r="H467" s="7" t="inlineStr">
        <is>
          <t>LARGE</t>
        </is>
      </c>
      <c r="I467" s="7" t="n">
        <v>0</v>
      </c>
      <c r="J467" s="7" t="inlineStr">
        <is>
          <t>B-06-01</t>
        </is>
      </c>
      <c r="K467" s="7" t="inlineStr"/>
      <c r="L467" s="9" t="n">
        <v>0</v>
      </c>
      <c r="M467" s="9" t="n">
        <v>0</v>
      </c>
      <c r="N467" s="9" t="n">
        <v>44</v>
      </c>
      <c r="O467" s="7" t="inlineStr">
        <is>
          <t>YZK</t>
        </is>
      </c>
      <c r="P467" s="7" t="inlineStr">
        <is>
          <t>STANDARD</t>
        </is>
      </c>
      <c r="Q467" s="7" t="inlineStr">
        <is>
          <t>WHAP</t>
        </is>
      </c>
      <c r="R467" s="7" t="inlineStr">
        <is>
          <t>OUI</t>
        </is>
      </c>
      <c r="S467" s="7" t="inlineStr">
        <is>
          <t>31/08/2026 02:59</t>
        </is>
      </c>
    </row>
    <row r="468">
      <c r="A468" s="8" t="inlineStr">
        <is>
          <t>WHAP-0464</t>
        </is>
      </c>
      <c r="B468" s="8" t="inlineStr">
        <is>
          <t>POR-0464</t>
        </is>
      </c>
      <c r="C468" s="8" t="inlineStr">
        <is>
          <t>cadre de vitre</t>
        </is>
      </c>
      <c r="D468" s="8" t="inlineStr">
        <is>
          <t>Portes et trappes</t>
        </is>
      </c>
      <c r="E468" s="8" t="inlineStr">
        <is>
          <t>Portes et trappes</t>
        </is>
      </c>
      <c r="F468" s="8" t="inlineStr">
        <is>
          <t>PIECE_VEHICULE</t>
        </is>
      </c>
      <c r="G468" s="8" t="inlineStr">
        <is>
          <t>unité</t>
        </is>
      </c>
      <c r="H468" s="8" t="inlineStr">
        <is>
          <t>LARGE</t>
        </is>
      </c>
      <c r="I468" s="8" t="n">
        <v>0</v>
      </c>
      <c r="J468" s="8" t="inlineStr">
        <is>
          <t>B-02-01</t>
        </is>
      </c>
      <c r="K468" s="8" t="inlineStr"/>
      <c r="L468" s="10" t="n">
        <v>0</v>
      </c>
      <c r="M468" s="10" t="n">
        <v>0</v>
      </c>
      <c r="N468" s="10" t="n">
        <v>47</v>
      </c>
      <c r="O468" s="8" t="inlineStr">
        <is>
          <t>VAL</t>
        </is>
      </c>
      <c r="P468" s="8" t="inlineStr">
        <is>
          <t>STANDARD</t>
        </is>
      </c>
      <c r="Q468" s="8" t="inlineStr">
        <is>
          <t>WHAP</t>
        </is>
      </c>
      <c r="R468" s="8" t="inlineStr">
        <is>
          <t>OUI</t>
        </is>
      </c>
      <c r="S468" s="8" t="inlineStr">
        <is>
          <t>31/08/2026 02:59</t>
        </is>
      </c>
    </row>
    <row r="469">
      <c r="A469" s="7" t="inlineStr">
        <is>
          <t>WHAP-0465</t>
        </is>
      </c>
      <c r="B469" s="7" t="inlineStr">
        <is>
          <t>POR-0465</t>
        </is>
      </c>
      <c r="C469" s="7" t="inlineStr">
        <is>
          <t>lève-vitre</t>
        </is>
      </c>
      <c r="D469" s="7" t="inlineStr">
        <is>
          <t>Portes et trappes</t>
        </is>
      </c>
      <c r="E469" s="7" t="inlineStr">
        <is>
          <t>Portes et trappes</t>
        </is>
      </c>
      <c r="F469" s="7" t="inlineStr">
        <is>
          <t>PIECE_VEHICULE</t>
        </is>
      </c>
      <c r="G469" s="7" t="inlineStr">
        <is>
          <t>unité</t>
        </is>
      </c>
      <c r="H469" s="7" t="inlineStr">
        <is>
          <t>LARGE</t>
        </is>
      </c>
      <c r="I469" s="7" t="n">
        <v>0</v>
      </c>
      <c r="J469" s="7" t="inlineStr">
        <is>
          <t>A-01-04</t>
        </is>
      </c>
      <c r="K469" s="7" t="inlineStr"/>
      <c r="L469" s="9" t="n">
        <v>0</v>
      </c>
      <c r="M469" s="9" t="n">
        <v>0</v>
      </c>
      <c r="N469" s="9" t="n">
        <v>49</v>
      </c>
      <c r="O469" s="7" t="inlineStr">
        <is>
          <t>SUM</t>
        </is>
      </c>
      <c r="P469" s="7" t="inlineStr">
        <is>
          <t>STANDARD</t>
        </is>
      </c>
      <c r="Q469" s="7" t="inlineStr">
        <is>
          <t>WHAP</t>
        </is>
      </c>
      <c r="R469" s="7" t="inlineStr">
        <is>
          <t>OUI</t>
        </is>
      </c>
      <c r="S469" s="7" t="inlineStr">
        <is>
          <t>31/08/2026 02:59</t>
        </is>
      </c>
    </row>
    <row r="470">
      <c r="A470" s="8" t="inlineStr">
        <is>
          <t>WHAP-0466</t>
        </is>
      </c>
      <c r="B470" s="8" t="inlineStr">
        <is>
          <t>POR-0466</t>
        </is>
      </c>
      <c r="C470" s="8" t="inlineStr">
        <is>
          <t>mécanisme de vitre</t>
        </is>
      </c>
      <c r="D470" s="8" t="inlineStr">
        <is>
          <t>Portes et trappes</t>
        </is>
      </c>
      <c r="E470" s="8" t="inlineStr">
        <is>
          <t>Portes et trappes</t>
        </is>
      </c>
      <c r="F470" s="8" t="inlineStr">
        <is>
          <t>PIECE_VEHICULE</t>
        </is>
      </c>
      <c r="G470" s="8" t="inlineStr">
        <is>
          <t>unité</t>
        </is>
      </c>
      <c r="H470" s="8" t="inlineStr">
        <is>
          <t>LARGE</t>
        </is>
      </c>
      <c r="I470" s="8" t="n">
        <v>0</v>
      </c>
      <c r="J470" s="8" t="inlineStr">
        <is>
          <t>C-06-03</t>
        </is>
      </c>
      <c r="K470" s="8" t="inlineStr"/>
      <c r="L470" s="10" t="n">
        <v>0</v>
      </c>
      <c r="M470" s="10" t="n">
        <v>0</v>
      </c>
      <c r="N470" s="10" t="n">
        <v>40</v>
      </c>
      <c r="O470" s="8" t="inlineStr">
        <is>
          <t>DEL</t>
        </is>
      </c>
      <c r="P470" s="8" t="inlineStr">
        <is>
          <t>STANDARD</t>
        </is>
      </c>
      <c r="Q470" s="8" t="inlineStr">
        <is>
          <t>WHAP</t>
        </is>
      </c>
      <c r="R470" s="8" t="inlineStr">
        <is>
          <t>OUI</t>
        </is>
      </c>
      <c r="S470" s="8" t="inlineStr">
        <is>
          <t>31/08/2026 02:59</t>
        </is>
      </c>
    </row>
    <row r="471">
      <c r="A471" s="7" t="inlineStr">
        <is>
          <t>WHAP-0467</t>
        </is>
      </c>
      <c r="B471" s="7" t="inlineStr">
        <is>
          <t>POR-0467</t>
        </is>
      </c>
      <c r="C471" s="7" t="inlineStr">
        <is>
          <t>butée</t>
        </is>
      </c>
      <c r="D471" s="7" t="inlineStr">
        <is>
          <t>Portes et trappes</t>
        </is>
      </c>
      <c r="E471" s="7" t="inlineStr">
        <is>
          <t>Portes et trappes</t>
        </is>
      </c>
      <c r="F471" s="7" t="inlineStr">
        <is>
          <t>PIECE_VEHICULE</t>
        </is>
      </c>
      <c r="G471" s="7" t="inlineStr">
        <is>
          <t>unité</t>
        </is>
      </c>
      <c r="H471" s="7" t="inlineStr">
        <is>
          <t>LARGE</t>
        </is>
      </c>
      <c r="I471" s="7" t="n">
        <v>0</v>
      </c>
      <c r="J471" s="7" t="inlineStr">
        <is>
          <t>A-05-04</t>
        </is>
      </c>
      <c r="K471" s="7" t="inlineStr"/>
      <c r="L471" s="9" t="n">
        <v>0</v>
      </c>
      <c r="M471" s="9" t="n">
        <v>0</v>
      </c>
      <c r="N471" s="9" t="n">
        <v>43</v>
      </c>
      <c r="O471" s="7" t="inlineStr">
        <is>
          <t>DEL</t>
        </is>
      </c>
      <c r="P471" s="7" t="inlineStr">
        <is>
          <t>STANDARD</t>
        </is>
      </c>
      <c r="Q471" s="7" t="inlineStr">
        <is>
          <t>WHAP</t>
        </is>
      </c>
      <c r="R471" s="7" t="inlineStr">
        <is>
          <t>OUI</t>
        </is>
      </c>
      <c r="S471" s="7" t="inlineStr">
        <is>
          <t>31/08/2026 02:59</t>
        </is>
      </c>
    </row>
    <row r="472">
      <c r="A472" s="8" t="inlineStr">
        <is>
          <t>WHAP-0468</t>
        </is>
      </c>
      <c r="B472" s="8" t="inlineStr">
        <is>
          <t>POR-0468</t>
        </is>
      </c>
      <c r="C472" s="8" t="inlineStr">
        <is>
          <t>gâche</t>
        </is>
      </c>
      <c r="D472" s="8" t="inlineStr">
        <is>
          <t>Portes et trappes</t>
        </is>
      </c>
      <c r="E472" s="8" t="inlineStr">
        <is>
          <t>Portes et trappes</t>
        </is>
      </c>
      <c r="F472" s="8" t="inlineStr">
        <is>
          <t>PIECE_VEHICULE</t>
        </is>
      </c>
      <c r="G472" s="8" t="inlineStr">
        <is>
          <t>unité</t>
        </is>
      </c>
      <c r="H472" s="8" t="inlineStr">
        <is>
          <t>LARGE</t>
        </is>
      </c>
      <c r="I472" s="8" t="n">
        <v>0</v>
      </c>
      <c r="J472" s="8" t="inlineStr">
        <is>
          <t>A-01-02</t>
        </is>
      </c>
      <c r="K472" s="8" t="inlineStr"/>
      <c r="L472" s="10" t="n">
        <v>0</v>
      </c>
      <c r="M472" s="10" t="n">
        <v>0</v>
      </c>
      <c r="N472" s="10" t="n">
        <v>42</v>
      </c>
      <c r="O472" s="8" t="inlineStr">
        <is>
          <t>BOS</t>
        </is>
      </c>
      <c r="P472" s="8" t="inlineStr">
        <is>
          <t>STANDARD</t>
        </is>
      </c>
      <c r="Q472" s="8" t="inlineStr">
        <is>
          <t>WHAP</t>
        </is>
      </c>
      <c r="R472" s="8" t="inlineStr">
        <is>
          <t>OUI</t>
        </is>
      </c>
      <c r="S472" s="8" t="inlineStr">
        <is>
          <t>31/08/2026 02:59</t>
        </is>
      </c>
    </row>
    <row r="473">
      <c r="A473" s="7" t="inlineStr">
        <is>
          <t>WHAP-0469</t>
        </is>
      </c>
      <c r="B473" s="7" t="inlineStr">
        <is>
          <t>POR-0469</t>
        </is>
      </c>
      <c r="C473" s="7" t="inlineStr">
        <is>
          <t>axe de charnière</t>
        </is>
      </c>
      <c r="D473" s="7" t="inlineStr">
        <is>
          <t>Portes et trappes</t>
        </is>
      </c>
      <c r="E473" s="7" t="inlineStr">
        <is>
          <t>Portes et trappes</t>
        </is>
      </c>
      <c r="F473" s="7" t="inlineStr">
        <is>
          <t>PIECE_VEHICULE</t>
        </is>
      </c>
      <c r="G473" s="7" t="inlineStr">
        <is>
          <t>unité</t>
        </is>
      </c>
      <c r="H473" s="7" t="inlineStr">
        <is>
          <t>LARGE</t>
        </is>
      </c>
      <c r="I473" s="7" t="n">
        <v>0</v>
      </c>
      <c r="J473" s="7" t="inlineStr">
        <is>
          <t>D-03-02</t>
        </is>
      </c>
      <c r="K473" s="7" t="inlineStr"/>
      <c r="L473" s="9" t="n">
        <v>0</v>
      </c>
      <c r="M473" s="9" t="n">
        <v>0</v>
      </c>
      <c r="N473" s="9" t="n">
        <v>46</v>
      </c>
      <c r="O473" s="7" t="inlineStr">
        <is>
          <t>VAL</t>
        </is>
      </c>
      <c r="P473" s="7" t="inlineStr">
        <is>
          <t>STANDARD</t>
        </is>
      </c>
      <c r="Q473" s="7" t="inlineStr">
        <is>
          <t>WHAP</t>
        </is>
      </c>
      <c r="R473" s="7" t="inlineStr">
        <is>
          <t>OUI</t>
        </is>
      </c>
      <c r="S473" s="7" t="inlineStr">
        <is>
          <t>31/08/2026 02:59</t>
        </is>
      </c>
    </row>
    <row r="474">
      <c r="A474" s="8" t="inlineStr">
        <is>
          <t>WHAP-0470</t>
        </is>
      </c>
      <c r="B474" s="8" t="inlineStr">
        <is>
          <t>HAB-0470</t>
        </is>
      </c>
      <c r="C474" s="8" t="inlineStr">
        <is>
          <t>siège conducteur</t>
        </is>
      </c>
      <c r="D474" s="8" t="inlineStr">
        <is>
          <t>Habitacle</t>
        </is>
      </c>
      <c r="E474" s="8" t="inlineStr">
        <is>
          <t>Habitacle</t>
        </is>
      </c>
      <c r="F474" s="8" t="inlineStr">
        <is>
          <t>PIECE_VEHICULE</t>
        </is>
      </c>
      <c r="G474" s="8" t="inlineStr">
        <is>
          <t>unité</t>
        </is>
      </c>
      <c r="H474" s="8" t="inlineStr">
        <is>
          <t>LARGE</t>
        </is>
      </c>
      <c r="I474" s="8" t="n">
        <v>0</v>
      </c>
      <c r="J474" s="8" t="inlineStr">
        <is>
          <t>D-04-04 : 98</t>
        </is>
      </c>
      <c r="K474" s="8" t="inlineStr"/>
      <c r="L474" s="10" t="n">
        <v>98</v>
      </c>
      <c r="M474" s="10" t="n">
        <v>98</v>
      </c>
      <c r="N474" s="10" t="n">
        <v>48</v>
      </c>
      <c r="O474" s="8" t="inlineStr">
        <is>
          <t>YZK</t>
        </is>
      </c>
      <c r="P474" s="8" t="inlineStr">
        <is>
          <t>STANDARD</t>
        </is>
      </c>
      <c r="Q474" s="8" t="inlineStr">
        <is>
          <t>WHAP</t>
        </is>
      </c>
      <c r="R474" s="8" t="inlineStr">
        <is>
          <t>OUI</t>
        </is>
      </c>
      <c r="S474" s="8" t="inlineStr">
        <is>
          <t>31/08/2026 02:59</t>
        </is>
      </c>
    </row>
    <row r="475">
      <c r="A475" s="7" t="inlineStr">
        <is>
          <t>WHAP-0471</t>
        </is>
      </c>
      <c r="B475" s="7" t="inlineStr">
        <is>
          <t>HAB-0471</t>
        </is>
      </c>
      <c r="C475" s="7" t="inlineStr">
        <is>
          <t>siège chef de bord</t>
        </is>
      </c>
      <c r="D475" s="7" t="inlineStr">
        <is>
          <t>Habitacle</t>
        </is>
      </c>
      <c r="E475" s="7" t="inlineStr">
        <is>
          <t>Habitacle</t>
        </is>
      </c>
      <c r="F475" s="7" t="inlineStr">
        <is>
          <t>PIECE_VEHICULE</t>
        </is>
      </c>
      <c r="G475" s="7" t="inlineStr">
        <is>
          <t>unité</t>
        </is>
      </c>
      <c r="H475" s="7" t="inlineStr">
        <is>
          <t>LARGE</t>
        </is>
      </c>
      <c r="I475" s="7" t="n">
        <v>0</v>
      </c>
      <c r="J475" s="7" t="inlineStr">
        <is>
          <t>F-04-03</t>
        </is>
      </c>
      <c r="K475" s="7" t="inlineStr"/>
      <c r="L475" s="9" t="n">
        <v>0</v>
      </c>
      <c r="M475" s="9" t="n">
        <v>0</v>
      </c>
      <c r="N475" s="9" t="n">
        <v>42</v>
      </c>
      <c r="O475" s="7" t="inlineStr">
        <is>
          <t>YZK</t>
        </is>
      </c>
      <c r="P475" s="7" t="inlineStr">
        <is>
          <t>STANDARD</t>
        </is>
      </c>
      <c r="Q475" s="7" t="inlineStr">
        <is>
          <t>WHAP</t>
        </is>
      </c>
      <c r="R475" s="7" t="inlineStr">
        <is>
          <t>OUI</t>
        </is>
      </c>
      <c r="S475" s="7" t="inlineStr">
        <is>
          <t>31/08/2026 02:59</t>
        </is>
      </c>
    </row>
    <row r="476">
      <c r="A476" s="8" t="inlineStr">
        <is>
          <t>WHAP-0472</t>
        </is>
      </c>
      <c r="B476" s="8" t="inlineStr">
        <is>
          <t>HAB-0472</t>
        </is>
      </c>
      <c r="C476" s="8" t="inlineStr">
        <is>
          <t>siège opérateur</t>
        </is>
      </c>
      <c r="D476" s="8" t="inlineStr">
        <is>
          <t>Habitacle</t>
        </is>
      </c>
      <c r="E476" s="8" t="inlineStr">
        <is>
          <t>Habitacle</t>
        </is>
      </c>
      <c r="F476" s="8" t="inlineStr">
        <is>
          <t>PIECE_VEHICULE</t>
        </is>
      </c>
      <c r="G476" s="8" t="inlineStr">
        <is>
          <t>unité</t>
        </is>
      </c>
      <c r="H476" s="8" t="inlineStr">
        <is>
          <t>LARGE</t>
        </is>
      </c>
      <c r="I476" s="8" t="n">
        <v>0</v>
      </c>
      <c r="J476" s="8" t="inlineStr">
        <is>
          <t>E-02-03</t>
        </is>
      </c>
      <c r="K476" s="8" t="inlineStr"/>
      <c r="L476" s="10" t="n">
        <v>0</v>
      </c>
      <c r="M476" s="10" t="n">
        <v>0</v>
      </c>
      <c r="N476" s="10" t="n">
        <v>47</v>
      </c>
      <c r="O476" s="8" t="inlineStr">
        <is>
          <t>DEL</t>
        </is>
      </c>
      <c r="P476" s="8" t="inlineStr">
        <is>
          <t>STANDARD</t>
        </is>
      </c>
      <c r="Q476" s="8" t="inlineStr">
        <is>
          <t>WHAP</t>
        </is>
      </c>
      <c r="R476" s="8" t="inlineStr">
        <is>
          <t>OUI</t>
        </is>
      </c>
      <c r="S476" s="8" t="inlineStr">
        <is>
          <t>31/08/2026 02:59</t>
        </is>
      </c>
    </row>
    <row r="477">
      <c r="A477" s="7" t="inlineStr">
        <is>
          <t>WHAP-0473</t>
        </is>
      </c>
      <c r="B477" s="7" t="inlineStr">
        <is>
          <t>HAB-0473</t>
        </is>
      </c>
      <c r="C477" s="7" t="inlineStr">
        <is>
          <t>siège anti-souffle</t>
        </is>
      </c>
      <c r="D477" s="7" t="inlineStr">
        <is>
          <t>Habitacle</t>
        </is>
      </c>
      <c r="E477" s="7" t="inlineStr">
        <is>
          <t>Habitacle</t>
        </is>
      </c>
      <c r="F477" s="7" t="inlineStr">
        <is>
          <t>PIECE_VEHICULE</t>
        </is>
      </c>
      <c r="G477" s="7" t="inlineStr">
        <is>
          <t>unité</t>
        </is>
      </c>
      <c r="H477" s="7" t="inlineStr">
        <is>
          <t>LARGE</t>
        </is>
      </c>
      <c r="I477" s="7" t="n">
        <v>0</v>
      </c>
      <c r="J477" s="7" t="inlineStr">
        <is>
          <t>C-05-01</t>
        </is>
      </c>
      <c r="K477" s="7" t="inlineStr"/>
      <c r="L477" s="9" t="n">
        <v>0</v>
      </c>
      <c r="M477" s="9" t="n">
        <v>0</v>
      </c>
      <c r="N477" s="9" t="n">
        <v>43</v>
      </c>
      <c r="O477" s="7" t="inlineStr">
        <is>
          <t>SUM</t>
        </is>
      </c>
      <c r="P477" s="7" t="inlineStr">
        <is>
          <t>STANDARD</t>
        </is>
      </c>
      <c r="Q477" s="7" t="inlineStr">
        <is>
          <t>WHAP</t>
        </is>
      </c>
      <c r="R477" s="7" t="inlineStr">
        <is>
          <t>OUI</t>
        </is>
      </c>
      <c r="S477" s="7" t="inlineStr">
        <is>
          <t>31/08/2026 02:59</t>
        </is>
      </c>
    </row>
    <row r="478">
      <c r="A478" s="8" t="inlineStr">
        <is>
          <t>WHAP-0474</t>
        </is>
      </c>
      <c r="B478" s="8" t="inlineStr">
        <is>
          <t>HAB-0474</t>
        </is>
      </c>
      <c r="C478" s="8" t="inlineStr">
        <is>
          <t>support de siège</t>
        </is>
      </c>
      <c r="D478" s="8" t="inlineStr">
        <is>
          <t>Habitacle</t>
        </is>
      </c>
      <c r="E478" s="8" t="inlineStr">
        <is>
          <t>Habitacle</t>
        </is>
      </c>
      <c r="F478" s="8" t="inlineStr">
        <is>
          <t>PIECE_VEHICULE</t>
        </is>
      </c>
      <c r="G478" s="8" t="inlineStr">
        <is>
          <t>unité</t>
        </is>
      </c>
      <c r="H478" s="8" t="inlineStr">
        <is>
          <t>LARGE</t>
        </is>
      </c>
      <c r="I478" s="8" t="n">
        <v>0</v>
      </c>
      <c r="J478" s="8" t="inlineStr">
        <is>
          <t>E-05-02</t>
        </is>
      </c>
      <c r="K478" s="8" t="inlineStr"/>
      <c r="L478" s="10" t="n">
        <v>0</v>
      </c>
      <c r="M478" s="10" t="n">
        <v>0</v>
      </c>
      <c r="N478" s="10" t="n">
        <v>41</v>
      </c>
      <c r="O478" s="8" t="inlineStr">
        <is>
          <t>SUM</t>
        </is>
      </c>
      <c r="P478" s="8" t="inlineStr">
        <is>
          <t>STANDARD</t>
        </is>
      </c>
      <c r="Q478" s="8" t="inlineStr">
        <is>
          <t>WHAP</t>
        </is>
      </c>
      <c r="R478" s="8" t="inlineStr">
        <is>
          <t>OUI</t>
        </is>
      </c>
      <c r="S478" s="8" t="inlineStr">
        <is>
          <t>31/08/2026 02:59</t>
        </is>
      </c>
    </row>
    <row r="479">
      <c r="A479" s="7" t="inlineStr">
        <is>
          <t>WHAP-0475</t>
        </is>
      </c>
      <c r="B479" s="7" t="inlineStr">
        <is>
          <t>HAB-0475</t>
        </is>
      </c>
      <c r="C479" s="7" t="inlineStr">
        <is>
          <t>ceinture de sécurité</t>
        </is>
      </c>
      <c r="D479" s="7" t="inlineStr">
        <is>
          <t>Habitacle</t>
        </is>
      </c>
      <c r="E479" s="7" t="inlineStr">
        <is>
          <t>Habitacle</t>
        </is>
      </c>
      <c r="F479" s="7" t="inlineStr">
        <is>
          <t>PIECE_VEHICULE</t>
        </is>
      </c>
      <c r="G479" s="7" t="inlineStr">
        <is>
          <t>unité</t>
        </is>
      </c>
      <c r="H479" s="7" t="inlineStr">
        <is>
          <t>LARGE</t>
        </is>
      </c>
      <c r="I479" s="7" t="n">
        <v>0</v>
      </c>
      <c r="J479" s="7" t="inlineStr">
        <is>
          <t>B-04-03</t>
        </is>
      </c>
      <c r="K479" s="7" t="inlineStr"/>
      <c r="L479" s="9" t="n">
        <v>0</v>
      </c>
      <c r="M479" s="9" t="n">
        <v>0</v>
      </c>
      <c r="N479" s="9" t="n">
        <v>49</v>
      </c>
      <c r="O479" s="7" t="inlineStr">
        <is>
          <t>CTL</t>
        </is>
      </c>
      <c r="P479" s="7" t="inlineStr">
        <is>
          <t>STANDARD</t>
        </is>
      </c>
      <c r="Q479" s="7" t="inlineStr">
        <is>
          <t>WHAP</t>
        </is>
      </c>
      <c r="R479" s="7" t="inlineStr">
        <is>
          <t>OUI</t>
        </is>
      </c>
      <c r="S479" s="7" t="inlineStr">
        <is>
          <t>31/08/2026 02:59</t>
        </is>
      </c>
    </row>
    <row r="480">
      <c r="A480" s="8" t="inlineStr">
        <is>
          <t>WHAP-0476</t>
        </is>
      </c>
      <c r="B480" s="8" t="inlineStr">
        <is>
          <t>HAB-0476</t>
        </is>
      </c>
      <c r="C480" s="8" t="inlineStr">
        <is>
          <t>enrouleur de ceinture</t>
        </is>
      </c>
      <c r="D480" s="8" t="inlineStr">
        <is>
          <t>Habitacle</t>
        </is>
      </c>
      <c r="E480" s="8" t="inlineStr">
        <is>
          <t>Habitacle</t>
        </is>
      </c>
      <c r="F480" s="8" t="inlineStr">
        <is>
          <t>PIECE_VEHICULE</t>
        </is>
      </c>
      <c r="G480" s="8" t="inlineStr">
        <is>
          <t>unité</t>
        </is>
      </c>
      <c r="H480" s="8" t="inlineStr">
        <is>
          <t>LARGE</t>
        </is>
      </c>
      <c r="I480" s="8" t="n">
        <v>0</v>
      </c>
      <c r="J480" s="8" t="inlineStr">
        <is>
          <t>E-02-03</t>
        </is>
      </c>
      <c r="K480" s="8" t="inlineStr"/>
      <c r="L480" s="10" t="n">
        <v>0</v>
      </c>
      <c r="M480" s="10" t="n">
        <v>0</v>
      </c>
      <c r="N480" s="10" t="n">
        <v>41</v>
      </c>
      <c r="O480" s="8" t="inlineStr">
        <is>
          <t>MAG</t>
        </is>
      </c>
      <c r="P480" s="8" t="inlineStr">
        <is>
          <t>STANDARD</t>
        </is>
      </c>
      <c r="Q480" s="8" t="inlineStr">
        <is>
          <t>WHAP</t>
        </is>
      </c>
      <c r="R480" s="8" t="inlineStr">
        <is>
          <t>OUI</t>
        </is>
      </c>
      <c r="S480" s="8" t="inlineStr">
        <is>
          <t>31/08/2026 02:59</t>
        </is>
      </c>
    </row>
    <row r="481">
      <c r="A481" s="7" t="inlineStr">
        <is>
          <t>WHAP-0477</t>
        </is>
      </c>
      <c r="B481" s="7" t="inlineStr">
        <is>
          <t>HAB-0477</t>
        </is>
      </c>
      <c r="C481" s="7" t="inlineStr">
        <is>
          <t>boucle de ceinture</t>
        </is>
      </c>
      <c r="D481" s="7" t="inlineStr">
        <is>
          <t>Habitacle</t>
        </is>
      </c>
      <c r="E481" s="7" t="inlineStr">
        <is>
          <t>Habitacle</t>
        </is>
      </c>
      <c r="F481" s="7" t="inlineStr">
        <is>
          <t>PIECE_VEHICULE</t>
        </is>
      </c>
      <c r="G481" s="7" t="inlineStr">
        <is>
          <t>unité</t>
        </is>
      </c>
      <c r="H481" s="7" t="inlineStr">
        <is>
          <t>LARGE</t>
        </is>
      </c>
      <c r="I481" s="7" t="n">
        <v>0</v>
      </c>
      <c r="J481" s="7" t="inlineStr">
        <is>
          <t>A-02-03</t>
        </is>
      </c>
      <c r="K481" s="7" t="inlineStr"/>
      <c r="L481" s="9" t="n">
        <v>0</v>
      </c>
      <c r="M481" s="9" t="n">
        <v>0</v>
      </c>
      <c r="N481" s="9" t="n">
        <v>41</v>
      </c>
      <c r="O481" s="7" t="inlineStr">
        <is>
          <t>SUM</t>
        </is>
      </c>
      <c r="P481" s="7" t="inlineStr">
        <is>
          <t>STANDARD</t>
        </is>
      </c>
      <c r="Q481" s="7" t="inlineStr">
        <is>
          <t>WHAP</t>
        </is>
      </c>
      <c r="R481" s="7" t="inlineStr">
        <is>
          <t>OUI</t>
        </is>
      </c>
      <c r="S481" s="7" t="inlineStr">
        <is>
          <t>31/08/2026 02:59</t>
        </is>
      </c>
    </row>
    <row r="482">
      <c r="A482" s="8" t="inlineStr">
        <is>
          <t>WHAP-0478</t>
        </is>
      </c>
      <c r="B482" s="8" t="inlineStr">
        <is>
          <t>HAB-0478</t>
        </is>
      </c>
      <c r="C482" s="8" t="inlineStr">
        <is>
          <t>tableau de bord</t>
        </is>
      </c>
      <c r="D482" s="8" t="inlineStr">
        <is>
          <t>Habitacle</t>
        </is>
      </c>
      <c r="E482" s="8" t="inlineStr">
        <is>
          <t>Habitacle</t>
        </is>
      </c>
      <c r="F482" s="8" t="inlineStr">
        <is>
          <t>PIECE_VEHICULE</t>
        </is>
      </c>
      <c r="G482" s="8" t="inlineStr">
        <is>
          <t>unité</t>
        </is>
      </c>
      <c r="H482" s="8" t="inlineStr">
        <is>
          <t>LARGE</t>
        </is>
      </c>
      <c r="I482" s="8" t="n">
        <v>0</v>
      </c>
      <c r="J482" s="8" t="inlineStr">
        <is>
          <t>A-02-04</t>
        </is>
      </c>
      <c r="K482" s="8" t="inlineStr"/>
      <c r="L482" s="10" t="n">
        <v>0</v>
      </c>
      <c r="M482" s="10" t="n">
        <v>0</v>
      </c>
      <c r="N482" s="10" t="n">
        <v>47</v>
      </c>
      <c r="O482" s="8" t="inlineStr">
        <is>
          <t>HEL</t>
        </is>
      </c>
      <c r="P482" s="8" t="inlineStr">
        <is>
          <t>STANDARD</t>
        </is>
      </c>
      <c r="Q482" s="8" t="inlineStr">
        <is>
          <t>WHAP</t>
        </is>
      </c>
      <c r="R482" s="8" t="inlineStr">
        <is>
          <t>OUI</t>
        </is>
      </c>
      <c r="S482" s="8" t="inlineStr">
        <is>
          <t>31/08/2026 02:59</t>
        </is>
      </c>
    </row>
    <row r="483">
      <c r="A483" s="7" t="inlineStr">
        <is>
          <t>WHAP-0479</t>
        </is>
      </c>
      <c r="B483" s="7" t="inlineStr">
        <is>
          <t>HAB-0479</t>
        </is>
      </c>
      <c r="C483" s="7" t="inlineStr">
        <is>
          <t>console centrale</t>
        </is>
      </c>
      <c r="D483" s="7" t="inlineStr">
        <is>
          <t>Habitacle</t>
        </is>
      </c>
      <c r="E483" s="7" t="inlineStr">
        <is>
          <t>Habitacle</t>
        </is>
      </c>
      <c r="F483" s="7" t="inlineStr">
        <is>
          <t>PIECE_VEHICULE</t>
        </is>
      </c>
      <c r="G483" s="7" t="inlineStr">
        <is>
          <t>unité</t>
        </is>
      </c>
      <c r="H483" s="7" t="inlineStr">
        <is>
          <t>LARGE</t>
        </is>
      </c>
      <c r="I483" s="7" t="n">
        <v>0</v>
      </c>
      <c r="J483" s="7" t="inlineStr">
        <is>
          <t>C-06-03</t>
        </is>
      </c>
      <c r="K483" s="7" t="inlineStr"/>
      <c r="L483" s="9" t="n">
        <v>0</v>
      </c>
      <c r="M483" s="9" t="n">
        <v>0</v>
      </c>
      <c r="N483" s="9" t="n">
        <v>43</v>
      </c>
      <c r="O483" s="7" t="inlineStr">
        <is>
          <t>HEL</t>
        </is>
      </c>
      <c r="P483" s="7" t="inlineStr">
        <is>
          <t>STANDARD</t>
        </is>
      </c>
      <c r="Q483" s="7" t="inlineStr">
        <is>
          <t>WHAP</t>
        </is>
      </c>
      <c r="R483" s="7" t="inlineStr">
        <is>
          <t>OUI</t>
        </is>
      </c>
      <c r="S483" s="7" t="inlineStr">
        <is>
          <t>31/08/2026 02:59</t>
        </is>
      </c>
    </row>
    <row r="484">
      <c r="A484" s="8" t="inlineStr">
        <is>
          <t>WHAP-0480</t>
        </is>
      </c>
      <c r="B484" s="8" t="inlineStr">
        <is>
          <t>HAB-0480</t>
        </is>
      </c>
      <c r="C484" s="8" t="inlineStr">
        <is>
          <t>panneau de commande</t>
        </is>
      </c>
      <c r="D484" s="8" t="inlineStr">
        <is>
          <t>Habitacle</t>
        </is>
      </c>
      <c r="E484" s="8" t="inlineStr">
        <is>
          <t>Habitacle</t>
        </is>
      </c>
      <c r="F484" s="8" t="inlineStr">
        <is>
          <t>PIECE_VEHICULE</t>
        </is>
      </c>
      <c r="G484" s="8" t="inlineStr">
        <is>
          <t>unité</t>
        </is>
      </c>
      <c r="H484" s="8" t="inlineStr">
        <is>
          <t>LARGE</t>
        </is>
      </c>
      <c r="I484" s="8" t="n">
        <v>0</v>
      </c>
      <c r="J484" s="8" t="inlineStr">
        <is>
          <t>E-05-04</t>
        </is>
      </c>
      <c r="K484" s="8" t="inlineStr"/>
      <c r="L484" s="10" t="n">
        <v>0</v>
      </c>
      <c r="M484" s="10" t="n">
        <v>0</v>
      </c>
      <c r="N484" s="10" t="n">
        <v>44</v>
      </c>
      <c r="O484" s="8" t="inlineStr">
        <is>
          <t>MAG</t>
        </is>
      </c>
      <c r="P484" s="8" t="inlineStr">
        <is>
          <t>STANDARD</t>
        </is>
      </c>
      <c r="Q484" s="8" t="inlineStr">
        <is>
          <t>WHAP</t>
        </is>
      </c>
      <c r="R484" s="8" t="inlineStr">
        <is>
          <t>OUI</t>
        </is>
      </c>
      <c r="S484" s="8" t="inlineStr">
        <is>
          <t>31/08/2026 02:59</t>
        </is>
      </c>
    </row>
    <row r="485">
      <c r="A485" s="7" t="inlineStr">
        <is>
          <t>WHAP-0481</t>
        </is>
      </c>
      <c r="B485" s="7" t="inlineStr">
        <is>
          <t>HAB-0481</t>
        </is>
      </c>
      <c r="C485" s="7" t="inlineStr">
        <is>
          <t>interrupteur</t>
        </is>
      </c>
      <c r="D485" s="7" t="inlineStr">
        <is>
          <t>Habitacle</t>
        </is>
      </c>
      <c r="E485" s="7" t="inlineStr">
        <is>
          <t>Habitacle</t>
        </is>
      </c>
      <c r="F485" s="7" t="inlineStr">
        <is>
          <t>PIECE_VEHICULE</t>
        </is>
      </c>
      <c r="G485" s="7" t="inlineStr">
        <is>
          <t>unité</t>
        </is>
      </c>
      <c r="H485" s="7" t="inlineStr">
        <is>
          <t>LARGE</t>
        </is>
      </c>
      <c r="I485" s="7" t="n">
        <v>0</v>
      </c>
      <c r="J485" s="7" t="inlineStr">
        <is>
          <t>E-05-01</t>
        </is>
      </c>
      <c r="K485" s="7" t="inlineStr"/>
      <c r="L485" s="9" t="n">
        <v>0</v>
      </c>
      <c r="M485" s="9" t="n">
        <v>0</v>
      </c>
      <c r="N485" s="9" t="n">
        <v>40</v>
      </c>
      <c r="O485" s="7" t="inlineStr">
        <is>
          <t>BOS</t>
        </is>
      </c>
      <c r="P485" s="7" t="inlineStr">
        <is>
          <t>STANDARD</t>
        </is>
      </c>
      <c r="Q485" s="7" t="inlineStr">
        <is>
          <t>WHAP</t>
        </is>
      </c>
      <c r="R485" s="7" t="inlineStr">
        <is>
          <t>OUI</t>
        </is>
      </c>
      <c r="S485" s="7" t="inlineStr">
        <is>
          <t>31/08/2026 02:59</t>
        </is>
      </c>
    </row>
    <row r="486">
      <c r="A486" s="8" t="inlineStr">
        <is>
          <t>WHAP-0482</t>
        </is>
      </c>
      <c r="B486" s="8" t="inlineStr">
        <is>
          <t>HAB-0482</t>
        </is>
      </c>
      <c r="C486" s="8" t="inlineStr">
        <is>
          <t>commutateur</t>
        </is>
      </c>
      <c r="D486" s="8" t="inlineStr">
        <is>
          <t>Habitacle</t>
        </is>
      </c>
      <c r="E486" s="8" t="inlineStr">
        <is>
          <t>Habitacle</t>
        </is>
      </c>
      <c r="F486" s="8" t="inlineStr">
        <is>
          <t>PIECE_VEHICULE</t>
        </is>
      </c>
      <c r="G486" s="8" t="inlineStr">
        <is>
          <t>unité</t>
        </is>
      </c>
      <c r="H486" s="8" t="inlineStr">
        <is>
          <t>LARGE</t>
        </is>
      </c>
      <c r="I486" s="8" t="n">
        <v>0</v>
      </c>
      <c r="J486" s="8" t="inlineStr">
        <is>
          <t>F-05-04</t>
        </is>
      </c>
      <c r="K486" s="8" t="inlineStr"/>
      <c r="L486" s="10" t="n">
        <v>0</v>
      </c>
      <c r="M486" s="10" t="n">
        <v>0</v>
      </c>
      <c r="N486" s="10" t="n">
        <v>49</v>
      </c>
      <c r="O486" s="8" t="inlineStr">
        <is>
          <t>FAU</t>
        </is>
      </c>
      <c r="P486" s="8" t="inlineStr">
        <is>
          <t>STANDARD</t>
        </is>
      </c>
      <c r="Q486" s="8" t="inlineStr">
        <is>
          <t>WHAP</t>
        </is>
      </c>
      <c r="R486" s="8" t="inlineStr">
        <is>
          <t>OUI</t>
        </is>
      </c>
      <c r="S486" s="8" t="inlineStr">
        <is>
          <t>31/08/2026 02:59</t>
        </is>
      </c>
    </row>
    <row r="487">
      <c r="A487" s="7" t="inlineStr">
        <is>
          <t>WHAP-0483</t>
        </is>
      </c>
      <c r="B487" s="7" t="inlineStr">
        <is>
          <t>HAB-0483</t>
        </is>
      </c>
      <c r="C487" s="7" t="inlineStr">
        <is>
          <t>bouton poussoir</t>
        </is>
      </c>
      <c r="D487" s="7" t="inlineStr">
        <is>
          <t>Habitacle</t>
        </is>
      </c>
      <c r="E487" s="7" t="inlineStr">
        <is>
          <t>Habitacle</t>
        </is>
      </c>
      <c r="F487" s="7" t="inlineStr">
        <is>
          <t>PIECE_VEHICULE</t>
        </is>
      </c>
      <c r="G487" s="7" t="inlineStr">
        <is>
          <t>unité</t>
        </is>
      </c>
      <c r="H487" s="7" t="inlineStr">
        <is>
          <t>LARGE</t>
        </is>
      </c>
      <c r="I487" s="7" t="n">
        <v>0</v>
      </c>
      <c r="J487" s="7" t="inlineStr">
        <is>
          <t>F-02-03</t>
        </is>
      </c>
      <c r="K487" s="7" t="inlineStr"/>
      <c r="L487" s="9" t="n">
        <v>0</v>
      </c>
      <c r="M487" s="9" t="n">
        <v>0</v>
      </c>
      <c r="N487" s="9" t="n">
        <v>40</v>
      </c>
      <c r="O487" s="7" t="inlineStr">
        <is>
          <t>YZK</t>
        </is>
      </c>
      <c r="P487" s="7" t="inlineStr">
        <is>
          <t>STANDARD</t>
        </is>
      </c>
      <c r="Q487" s="7" t="inlineStr">
        <is>
          <t>WHAP</t>
        </is>
      </c>
      <c r="R487" s="7" t="inlineStr">
        <is>
          <t>OUI</t>
        </is>
      </c>
      <c r="S487" s="7" t="inlineStr">
        <is>
          <t>31/08/2026 02:59</t>
        </is>
      </c>
    </row>
    <row r="488">
      <c r="A488" s="8" t="inlineStr">
        <is>
          <t>WHAP-0484</t>
        </is>
      </c>
      <c r="B488" s="8" t="inlineStr">
        <is>
          <t>HAB-0484</t>
        </is>
      </c>
      <c r="C488" s="8" t="inlineStr">
        <is>
          <t>voyant</t>
        </is>
      </c>
      <c r="D488" s="8" t="inlineStr">
        <is>
          <t>Habitacle</t>
        </is>
      </c>
      <c r="E488" s="8" t="inlineStr">
        <is>
          <t>Habitacle</t>
        </is>
      </c>
      <c r="F488" s="8" t="inlineStr">
        <is>
          <t>PIECE_VEHICULE</t>
        </is>
      </c>
      <c r="G488" s="8" t="inlineStr">
        <is>
          <t>unité</t>
        </is>
      </c>
      <c r="H488" s="8" t="inlineStr">
        <is>
          <t>LARGE</t>
        </is>
      </c>
      <c r="I488" s="8" t="n">
        <v>0</v>
      </c>
      <c r="J488" s="8" t="inlineStr">
        <is>
          <t>E-01-01</t>
        </is>
      </c>
      <c r="K488" s="8" t="inlineStr"/>
      <c r="L488" s="10" t="n">
        <v>0</v>
      </c>
      <c r="M488" s="10" t="n">
        <v>0</v>
      </c>
      <c r="N488" s="10" t="n">
        <v>49</v>
      </c>
      <c r="O488" s="8" t="inlineStr">
        <is>
          <t>DEL</t>
        </is>
      </c>
      <c r="P488" s="8" t="inlineStr">
        <is>
          <t>STANDARD</t>
        </is>
      </c>
      <c r="Q488" s="8" t="inlineStr">
        <is>
          <t>WHAP</t>
        </is>
      </c>
      <c r="R488" s="8" t="inlineStr">
        <is>
          <t>OUI</t>
        </is>
      </c>
      <c r="S488" s="8" t="inlineStr">
        <is>
          <t>31/08/2026 02:59</t>
        </is>
      </c>
    </row>
    <row r="489">
      <c r="A489" s="7" t="inlineStr">
        <is>
          <t>WHAP-0485</t>
        </is>
      </c>
      <c r="B489" s="7" t="inlineStr">
        <is>
          <t>HAB-0485</t>
        </is>
      </c>
      <c r="C489" s="7" t="inlineStr">
        <is>
          <t>prise 24 V</t>
        </is>
      </c>
      <c r="D489" s="7" t="inlineStr">
        <is>
          <t>Habitacle</t>
        </is>
      </c>
      <c r="E489" s="7" t="inlineStr">
        <is>
          <t>Habitacle</t>
        </is>
      </c>
      <c r="F489" s="7" t="inlineStr">
        <is>
          <t>PIECE_VEHICULE</t>
        </is>
      </c>
      <c r="G489" s="7" t="inlineStr">
        <is>
          <t>unité</t>
        </is>
      </c>
      <c r="H489" s="7" t="inlineStr">
        <is>
          <t>LARGE</t>
        </is>
      </c>
      <c r="I489" s="7" t="n">
        <v>0</v>
      </c>
      <c r="J489" s="7" t="inlineStr">
        <is>
          <t>B-05-02</t>
        </is>
      </c>
      <c r="K489" s="7" t="inlineStr"/>
      <c r="L489" s="9" t="n">
        <v>0</v>
      </c>
      <c r="M489" s="9" t="n">
        <v>0</v>
      </c>
      <c r="N489" s="9" t="n">
        <v>44</v>
      </c>
      <c r="O489" s="7" t="inlineStr">
        <is>
          <t>CTL</t>
        </is>
      </c>
      <c r="P489" s="7" t="inlineStr">
        <is>
          <t>STANDARD</t>
        </is>
      </c>
      <c r="Q489" s="7" t="inlineStr">
        <is>
          <t>WHAP</t>
        </is>
      </c>
      <c r="R489" s="7" t="inlineStr">
        <is>
          <t>OUI</t>
        </is>
      </c>
      <c r="S489" s="7" t="inlineStr">
        <is>
          <t>31/08/2026 02:59</t>
        </is>
      </c>
    </row>
    <row r="490">
      <c r="A490" s="8" t="inlineStr">
        <is>
          <t>WHAP-0486</t>
        </is>
      </c>
      <c r="B490" s="8" t="inlineStr">
        <is>
          <t>HAB-0486</t>
        </is>
      </c>
      <c r="C490" s="8" t="inlineStr">
        <is>
          <t>prise diagnostic</t>
        </is>
      </c>
      <c r="D490" s="8" t="inlineStr">
        <is>
          <t>Habitacle</t>
        </is>
      </c>
      <c r="E490" s="8" t="inlineStr">
        <is>
          <t>Habitacle</t>
        </is>
      </c>
      <c r="F490" s="8" t="inlineStr">
        <is>
          <t>PIECE_VEHICULE</t>
        </is>
      </c>
      <c r="G490" s="8" t="inlineStr">
        <is>
          <t>unité</t>
        </is>
      </c>
      <c r="H490" s="8" t="inlineStr">
        <is>
          <t>LARGE</t>
        </is>
      </c>
      <c r="I490" s="8" t="n">
        <v>0</v>
      </c>
      <c r="J490" s="8" t="inlineStr">
        <is>
          <t>D-06-03</t>
        </is>
      </c>
      <c r="K490" s="8" t="inlineStr"/>
      <c r="L490" s="10" t="n">
        <v>0</v>
      </c>
      <c r="M490" s="10" t="n">
        <v>0</v>
      </c>
      <c r="N490" s="10" t="n">
        <v>41</v>
      </c>
      <c r="O490" s="8" t="inlineStr">
        <is>
          <t>CTL</t>
        </is>
      </c>
      <c r="P490" s="8" t="inlineStr">
        <is>
          <t>STANDARD</t>
        </is>
      </c>
      <c r="Q490" s="8" t="inlineStr">
        <is>
          <t>WHAP</t>
        </is>
      </c>
      <c r="R490" s="8" t="inlineStr">
        <is>
          <t>OUI</t>
        </is>
      </c>
      <c r="S490" s="8" t="inlineStr">
        <is>
          <t>31/08/2026 02:59</t>
        </is>
      </c>
    </row>
    <row r="491">
      <c r="A491" s="7" t="inlineStr">
        <is>
          <t>WHAP-0487</t>
        </is>
      </c>
      <c r="B491" s="7" t="inlineStr">
        <is>
          <t>HAB-0487</t>
        </is>
      </c>
      <c r="C491" s="7" t="inlineStr">
        <is>
          <t>rétroviseur</t>
        </is>
      </c>
      <c r="D491" s="7" t="inlineStr">
        <is>
          <t>Habitacle</t>
        </is>
      </c>
      <c r="E491" s="7" t="inlineStr">
        <is>
          <t>Habitacle</t>
        </is>
      </c>
      <c r="F491" s="7" t="inlineStr">
        <is>
          <t>PIECE_VEHICULE</t>
        </is>
      </c>
      <c r="G491" s="7" t="inlineStr">
        <is>
          <t>unité</t>
        </is>
      </c>
      <c r="H491" s="7" t="inlineStr">
        <is>
          <t>LARGE</t>
        </is>
      </c>
      <c r="I491" s="7" t="n">
        <v>0</v>
      </c>
      <c r="J491" s="7" t="inlineStr">
        <is>
          <t>C-03-01</t>
        </is>
      </c>
      <c r="K491" s="7" t="inlineStr"/>
      <c r="L491" s="9" t="n">
        <v>0</v>
      </c>
      <c r="M491" s="9" t="n">
        <v>0</v>
      </c>
      <c r="N491" s="9" t="n">
        <v>43</v>
      </c>
      <c r="O491" s="7" t="inlineStr">
        <is>
          <t>MAG</t>
        </is>
      </c>
      <c r="P491" s="7" t="inlineStr">
        <is>
          <t>STANDARD</t>
        </is>
      </c>
      <c r="Q491" s="7" t="inlineStr">
        <is>
          <t>WHAP</t>
        </is>
      </c>
      <c r="R491" s="7" t="inlineStr">
        <is>
          <t>OUI</t>
        </is>
      </c>
      <c r="S491" s="7" t="inlineStr">
        <is>
          <t>31/08/2026 02:59</t>
        </is>
      </c>
    </row>
    <row r="492">
      <c r="A492" s="8" t="inlineStr">
        <is>
          <t>WHAP-0488</t>
        </is>
      </c>
      <c r="B492" s="8" t="inlineStr">
        <is>
          <t>HAB-0488</t>
        </is>
      </c>
      <c r="C492" s="8" t="inlineStr">
        <is>
          <t>support rétroviseur</t>
        </is>
      </c>
      <c r="D492" s="8" t="inlineStr">
        <is>
          <t>Habitacle</t>
        </is>
      </c>
      <c r="E492" s="8" t="inlineStr">
        <is>
          <t>Habitacle</t>
        </is>
      </c>
      <c r="F492" s="8" t="inlineStr">
        <is>
          <t>PIECE_VEHICULE</t>
        </is>
      </c>
      <c r="G492" s="8" t="inlineStr">
        <is>
          <t>unité</t>
        </is>
      </c>
      <c r="H492" s="8" t="inlineStr">
        <is>
          <t>LARGE</t>
        </is>
      </c>
      <c r="I492" s="8" t="n">
        <v>0</v>
      </c>
      <c r="J492" s="8" t="inlineStr">
        <is>
          <t>B-03-02</t>
        </is>
      </c>
      <c r="K492" s="8" t="inlineStr"/>
      <c r="L492" s="10" t="n">
        <v>0</v>
      </c>
      <c r="M492" s="10" t="n">
        <v>0</v>
      </c>
      <c r="N492" s="10" t="n">
        <v>42</v>
      </c>
      <c r="O492" s="8" t="inlineStr">
        <is>
          <t>YZK</t>
        </is>
      </c>
      <c r="P492" s="8" t="inlineStr">
        <is>
          <t>STANDARD</t>
        </is>
      </c>
      <c r="Q492" s="8" t="inlineStr">
        <is>
          <t>WHAP</t>
        </is>
      </c>
      <c r="R492" s="8" t="inlineStr">
        <is>
          <t>OUI</t>
        </is>
      </c>
      <c r="S492" s="8" t="inlineStr">
        <is>
          <t>31/08/2026 02:59</t>
        </is>
      </c>
    </row>
    <row r="493">
      <c r="A493" s="7" t="inlineStr">
        <is>
          <t>WHAP-0489</t>
        </is>
      </c>
      <c r="B493" s="7" t="inlineStr">
        <is>
          <t>HAB-0489</t>
        </is>
      </c>
      <c r="C493" s="7" t="inlineStr">
        <is>
          <t>essuie-glace</t>
        </is>
      </c>
      <c r="D493" s="7" t="inlineStr">
        <is>
          <t>Habitacle</t>
        </is>
      </c>
      <c r="E493" s="7" t="inlineStr">
        <is>
          <t>Habitacle</t>
        </is>
      </c>
      <c r="F493" s="7" t="inlineStr">
        <is>
          <t>PIECE_VEHICULE</t>
        </is>
      </c>
      <c r="G493" s="7" t="inlineStr">
        <is>
          <t>unité</t>
        </is>
      </c>
      <c r="H493" s="7" t="inlineStr">
        <is>
          <t>LARGE</t>
        </is>
      </c>
      <c r="I493" s="7" t="n">
        <v>0</v>
      </c>
      <c r="J493" s="7" t="inlineStr">
        <is>
          <t>D-01-03</t>
        </is>
      </c>
      <c r="K493" s="7" t="inlineStr"/>
      <c r="L493" s="9" t="n">
        <v>0</v>
      </c>
      <c r="M493" s="9" t="n">
        <v>0</v>
      </c>
      <c r="N493" s="9" t="n">
        <v>40</v>
      </c>
      <c r="O493" s="7" t="inlineStr">
        <is>
          <t>VAL</t>
        </is>
      </c>
      <c r="P493" s="7" t="inlineStr">
        <is>
          <t>STANDARD</t>
        </is>
      </c>
      <c r="Q493" s="7" t="inlineStr">
        <is>
          <t>WHAP</t>
        </is>
      </c>
      <c r="R493" s="7" t="inlineStr">
        <is>
          <t>OUI</t>
        </is>
      </c>
      <c r="S493" s="7" t="inlineStr">
        <is>
          <t>31/08/2026 02:59</t>
        </is>
      </c>
    </row>
    <row r="494">
      <c r="A494" s="8" t="inlineStr">
        <is>
          <t>WHAP-0490</t>
        </is>
      </c>
      <c r="B494" s="8" t="inlineStr">
        <is>
          <t>HAB-0490</t>
        </is>
      </c>
      <c r="C494" s="8" t="inlineStr">
        <is>
          <t>bras d'essuie-glace</t>
        </is>
      </c>
      <c r="D494" s="8" t="inlineStr">
        <is>
          <t>Habitacle</t>
        </is>
      </c>
      <c r="E494" s="8" t="inlineStr">
        <is>
          <t>Habitacle</t>
        </is>
      </c>
      <c r="F494" s="8" t="inlineStr">
        <is>
          <t>PIECE_VEHICULE</t>
        </is>
      </c>
      <c r="G494" s="8" t="inlineStr">
        <is>
          <t>unité</t>
        </is>
      </c>
      <c r="H494" s="8" t="inlineStr">
        <is>
          <t>LARGE</t>
        </is>
      </c>
      <c r="I494" s="8" t="n">
        <v>0</v>
      </c>
      <c r="J494" s="8" t="inlineStr">
        <is>
          <t>A-01-01</t>
        </is>
      </c>
      <c r="K494" s="8" t="inlineStr"/>
      <c r="L494" s="10" t="n">
        <v>0</v>
      </c>
      <c r="M494" s="10" t="n">
        <v>0</v>
      </c>
      <c r="N494" s="10" t="n">
        <v>42</v>
      </c>
      <c r="O494" s="8" t="inlineStr">
        <is>
          <t>DEL</t>
        </is>
      </c>
      <c r="P494" s="8" t="inlineStr">
        <is>
          <t>STANDARD</t>
        </is>
      </c>
      <c r="Q494" s="8" t="inlineStr">
        <is>
          <t>WHAP</t>
        </is>
      </c>
      <c r="R494" s="8" t="inlineStr">
        <is>
          <t>OUI</t>
        </is>
      </c>
      <c r="S494" s="8" t="inlineStr">
        <is>
          <t>31/08/2026 02:59</t>
        </is>
      </c>
    </row>
    <row r="495">
      <c r="A495" s="7" t="inlineStr">
        <is>
          <t>WHAP-0491</t>
        </is>
      </c>
      <c r="B495" s="7" t="inlineStr">
        <is>
          <t>HAB-0491</t>
        </is>
      </c>
      <c r="C495" s="7" t="inlineStr">
        <is>
          <t>balai d'essuie-glace</t>
        </is>
      </c>
      <c r="D495" s="7" t="inlineStr">
        <is>
          <t>Habitacle</t>
        </is>
      </c>
      <c r="E495" s="7" t="inlineStr">
        <is>
          <t>Habitacle</t>
        </is>
      </c>
      <c r="F495" s="7" t="inlineStr">
        <is>
          <t>PIECE_VEHICULE</t>
        </is>
      </c>
      <c r="G495" s="7" t="inlineStr">
        <is>
          <t>unité</t>
        </is>
      </c>
      <c r="H495" s="7" t="inlineStr">
        <is>
          <t>LARGE</t>
        </is>
      </c>
      <c r="I495" s="7" t="n">
        <v>0</v>
      </c>
      <c r="J495" s="7" t="inlineStr">
        <is>
          <t>B-05-04</t>
        </is>
      </c>
      <c r="K495" s="7" t="inlineStr"/>
      <c r="L495" s="9" t="n">
        <v>0</v>
      </c>
      <c r="M495" s="9" t="n">
        <v>0</v>
      </c>
      <c r="N495" s="9" t="n">
        <v>43</v>
      </c>
      <c r="O495" s="7" t="inlineStr">
        <is>
          <t>FAU</t>
        </is>
      </c>
      <c r="P495" s="7" t="inlineStr">
        <is>
          <t>STANDARD</t>
        </is>
      </c>
      <c r="Q495" s="7" t="inlineStr">
        <is>
          <t>WHAP</t>
        </is>
      </c>
      <c r="R495" s="7" t="inlineStr">
        <is>
          <t>OUI</t>
        </is>
      </c>
      <c r="S495" s="7" t="inlineStr">
        <is>
          <t>31/08/2026 02:59</t>
        </is>
      </c>
    </row>
    <row r="496">
      <c r="A496" s="8" t="inlineStr">
        <is>
          <t>WHAP-0492</t>
        </is>
      </c>
      <c r="B496" s="8" t="inlineStr">
        <is>
          <t>HAB-0492</t>
        </is>
      </c>
      <c r="C496" s="8" t="inlineStr">
        <is>
          <t>moteur d'essuie-glace</t>
        </is>
      </c>
      <c r="D496" s="8" t="inlineStr">
        <is>
          <t>Habitacle</t>
        </is>
      </c>
      <c r="E496" s="8" t="inlineStr">
        <is>
          <t>Habitacle</t>
        </is>
      </c>
      <c r="F496" s="8" t="inlineStr">
        <is>
          <t>PIECE_VEHICULE</t>
        </is>
      </c>
      <c r="G496" s="8" t="inlineStr">
        <is>
          <t>unité</t>
        </is>
      </c>
      <c r="H496" s="8" t="inlineStr">
        <is>
          <t>LARGE</t>
        </is>
      </c>
      <c r="I496" s="8" t="n">
        <v>0</v>
      </c>
      <c r="J496" s="8" t="inlineStr">
        <is>
          <t>E-03-02</t>
        </is>
      </c>
      <c r="K496" s="8" t="inlineStr"/>
      <c r="L496" s="10" t="n">
        <v>0</v>
      </c>
      <c r="M496" s="10" t="n">
        <v>0</v>
      </c>
      <c r="N496" s="10" t="n">
        <v>47</v>
      </c>
      <c r="O496" s="8" t="inlineStr">
        <is>
          <t>SUM</t>
        </is>
      </c>
      <c r="P496" s="8" t="inlineStr">
        <is>
          <t>STANDARD</t>
        </is>
      </c>
      <c r="Q496" s="8" t="inlineStr">
        <is>
          <t>WHAP</t>
        </is>
      </c>
      <c r="R496" s="8" t="inlineStr">
        <is>
          <t>OUI</t>
        </is>
      </c>
      <c r="S496" s="8" t="inlineStr">
        <is>
          <t>31/08/2026 02:59</t>
        </is>
      </c>
    </row>
    <row r="497">
      <c r="A497" s="7" t="inlineStr">
        <is>
          <t>WHAP-0493</t>
        </is>
      </c>
      <c r="B497" s="7" t="inlineStr">
        <is>
          <t>HAB-0493</t>
        </is>
      </c>
      <c r="C497" s="7" t="inlineStr">
        <is>
          <t>lave-glace</t>
        </is>
      </c>
      <c r="D497" s="7" t="inlineStr">
        <is>
          <t>Habitacle</t>
        </is>
      </c>
      <c r="E497" s="7" t="inlineStr">
        <is>
          <t>Habitacle</t>
        </is>
      </c>
      <c r="F497" s="7" t="inlineStr">
        <is>
          <t>PIECE_VEHICULE</t>
        </is>
      </c>
      <c r="G497" s="7" t="inlineStr">
        <is>
          <t>unité</t>
        </is>
      </c>
      <c r="H497" s="7" t="inlineStr">
        <is>
          <t>LARGE</t>
        </is>
      </c>
      <c r="I497" s="7" t="n">
        <v>0</v>
      </c>
      <c r="J497" s="7" t="inlineStr">
        <is>
          <t>C-04-02</t>
        </is>
      </c>
      <c r="K497" s="7" t="inlineStr"/>
      <c r="L497" s="9" t="n">
        <v>0</v>
      </c>
      <c r="M497" s="9" t="n">
        <v>0</v>
      </c>
      <c r="N497" s="9" t="n">
        <v>42</v>
      </c>
      <c r="O497" s="7" t="inlineStr">
        <is>
          <t>MAG</t>
        </is>
      </c>
      <c r="P497" s="7" t="inlineStr">
        <is>
          <t>STANDARD</t>
        </is>
      </c>
      <c r="Q497" s="7" t="inlineStr">
        <is>
          <t>WHAP</t>
        </is>
      </c>
      <c r="R497" s="7" t="inlineStr">
        <is>
          <t>OUI</t>
        </is>
      </c>
      <c r="S497" s="7" t="inlineStr">
        <is>
          <t>31/08/2026 02:59</t>
        </is>
      </c>
    </row>
    <row r="498">
      <c r="A498" s="8" t="inlineStr">
        <is>
          <t>WHAP-0494</t>
        </is>
      </c>
      <c r="B498" s="8" t="inlineStr">
        <is>
          <t>HAB-0494</t>
        </is>
      </c>
      <c r="C498" s="8" t="inlineStr">
        <is>
          <t>réservoir lave-glace</t>
        </is>
      </c>
      <c r="D498" s="8" t="inlineStr">
        <is>
          <t>Habitacle</t>
        </is>
      </c>
      <c r="E498" s="8" t="inlineStr">
        <is>
          <t>Habitacle</t>
        </is>
      </c>
      <c r="F498" s="8" t="inlineStr">
        <is>
          <t>PIECE_VEHICULE</t>
        </is>
      </c>
      <c r="G498" s="8" t="inlineStr">
        <is>
          <t>unité</t>
        </is>
      </c>
      <c r="H498" s="8" t="inlineStr">
        <is>
          <t>LARGE</t>
        </is>
      </c>
      <c r="I498" s="8" t="n">
        <v>0</v>
      </c>
      <c r="J498" s="8" t="inlineStr">
        <is>
          <t>E-02-04</t>
        </is>
      </c>
      <c r="K498" s="8" t="inlineStr"/>
      <c r="L498" s="10" t="n">
        <v>0</v>
      </c>
      <c r="M498" s="10" t="n">
        <v>0</v>
      </c>
      <c r="N498" s="10" t="n">
        <v>44</v>
      </c>
      <c r="O498" s="8" t="inlineStr">
        <is>
          <t>SUM</t>
        </is>
      </c>
      <c r="P498" s="8" t="inlineStr">
        <is>
          <t>STANDARD</t>
        </is>
      </c>
      <c r="Q498" s="8" t="inlineStr">
        <is>
          <t>WHAP</t>
        </is>
      </c>
      <c r="R498" s="8" t="inlineStr">
        <is>
          <t>OUI</t>
        </is>
      </c>
      <c r="S498" s="8" t="inlineStr">
        <is>
          <t>31/08/2026 02:59</t>
        </is>
      </c>
    </row>
    <row r="499">
      <c r="A499" s="7" t="inlineStr">
        <is>
          <t>WHAP-0495</t>
        </is>
      </c>
      <c r="B499" s="7" t="inlineStr">
        <is>
          <t>HAB-0495</t>
        </is>
      </c>
      <c r="C499" s="7" t="inlineStr">
        <is>
          <t>pompe lave-glace</t>
        </is>
      </c>
      <c r="D499" s="7" t="inlineStr">
        <is>
          <t>Habitacle</t>
        </is>
      </c>
      <c r="E499" s="7" t="inlineStr">
        <is>
          <t>Habitacle</t>
        </is>
      </c>
      <c r="F499" s="7" t="inlineStr">
        <is>
          <t>PIECE_VEHICULE</t>
        </is>
      </c>
      <c r="G499" s="7" t="inlineStr">
        <is>
          <t>unité</t>
        </is>
      </c>
      <c r="H499" s="7" t="inlineStr">
        <is>
          <t>LARGE</t>
        </is>
      </c>
      <c r="I499" s="7" t="n">
        <v>0</v>
      </c>
      <c r="J499" s="7" t="inlineStr">
        <is>
          <t>F-02-03</t>
        </is>
      </c>
      <c r="K499" s="7" t="inlineStr"/>
      <c r="L499" s="9" t="n">
        <v>0</v>
      </c>
      <c r="M499" s="9" t="n">
        <v>0</v>
      </c>
      <c r="N499" s="9" t="n">
        <v>44</v>
      </c>
      <c r="O499" s="7" t="inlineStr">
        <is>
          <t>CTL</t>
        </is>
      </c>
      <c r="P499" s="7" t="inlineStr">
        <is>
          <t>STANDARD</t>
        </is>
      </c>
      <c r="Q499" s="7" t="inlineStr">
        <is>
          <t>WHAP</t>
        </is>
      </c>
      <c r="R499" s="7" t="inlineStr">
        <is>
          <t>OUI</t>
        </is>
      </c>
      <c r="S499" s="7" t="inlineStr">
        <is>
          <t>31/08/2026 02:59</t>
        </is>
      </c>
    </row>
    <row r="500">
      <c r="A500" s="8" t="inlineStr">
        <is>
          <t>WHAP-0496</t>
        </is>
      </c>
      <c r="B500" s="8" t="inlineStr">
        <is>
          <t>HVA-0496</t>
        </is>
      </c>
      <c r="C500" s="8" t="inlineStr">
        <is>
          <t>compresseur climatisation</t>
        </is>
      </c>
      <c r="D500" s="8" t="inlineStr">
        <is>
          <t>HVAC</t>
        </is>
      </c>
      <c r="E500" s="8" t="inlineStr">
        <is>
          <t>HVAC</t>
        </is>
      </c>
      <c r="F500" s="8" t="inlineStr">
        <is>
          <t>PIECE_VEHICULE</t>
        </is>
      </c>
      <c r="G500" s="8" t="inlineStr">
        <is>
          <t>unité</t>
        </is>
      </c>
      <c r="H500" s="8" t="inlineStr">
        <is>
          <t>SMALL</t>
        </is>
      </c>
      <c r="I500" s="8" t="n">
        <v>5</v>
      </c>
      <c r="J500" s="8" t="inlineStr">
        <is>
          <t>C-04-02</t>
        </is>
      </c>
      <c r="K500" s="8" t="inlineStr"/>
      <c r="L500" s="10" t="n">
        <v>0</v>
      </c>
      <c r="M500" s="10" t="n">
        <v>0</v>
      </c>
      <c r="N500" s="10" t="n">
        <v>49</v>
      </c>
      <c r="O500" s="8" t="inlineStr">
        <is>
          <t>BOS</t>
        </is>
      </c>
      <c r="P500" s="8" t="inlineStr">
        <is>
          <t>STANDARD</t>
        </is>
      </c>
      <c r="Q500" s="8" t="inlineStr">
        <is>
          <t>WHAP</t>
        </is>
      </c>
      <c r="R500" s="8" t="inlineStr">
        <is>
          <t>OUI</t>
        </is>
      </c>
      <c r="S500" s="8" t="inlineStr">
        <is>
          <t>31/08/2026 02:59</t>
        </is>
      </c>
    </row>
    <row r="501">
      <c r="A501" s="7" t="inlineStr">
        <is>
          <t>WHAP-0497</t>
        </is>
      </c>
      <c r="B501" s="7" t="inlineStr">
        <is>
          <t>HVA-0497</t>
        </is>
      </c>
      <c r="C501" s="7" t="inlineStr">
        <is>
          <t>condenseur</t>
        </is>
      </c>
      <c r="D501" s="7" t="inlineStr">
        <is>
          <t>HVAC</t>
        </is>
      </c>
      <c r="E501" s="7" t="inlineStr">
        <is>
          <t>HVAC</t>
        </is>
      </c>
      <c r="F501" s="7" t="inlineStr">
        <is>
          <t>PIECE_VEHICULE</t>
        </is>
      </c>
      <c r="G501" s="7" t="inlineStr">
        <is>
          <t>unité</t>
        </is>
      </c>
      <c r="H501" s="7" t="inlineStr">
        <is>
          <t>SMALL</t>
        </is>
      </c>
      <c r="I501" s="7" t="n">
        <v>5</v>
      </c>
      <c r="J501" s="7" t="inlineStr">
        <is>
          <t>C-06-04 : 820</t>
        </is>
      </c>
      <c r="K501" s="7" t="inlineStr"/>
      <c r="L501" s="9" t="n">
        <v>820</v>
      </c>
      <c r="M501" s="9" t="n">
        <v>820</v>
      </c>
      <c r="N501" s="9" t="n">
        <v>40</v>
      </c>
      <c r="O501" s="7" t="inlineStr">
        <is>
          <t>HEL</t>
        </is>
      </c>
      <c r="P501" s="7" t="inlineStr">
        <is>
          <t>STANDARD</t>
        </is>
      </c>
      <c r="Q501" s="7" t="inlineStr">
        <is>
          <t>WHAP</t>
        </is>
      </c>
      <c r="R501" s="7" t="inlineStr">
        <is>
          <t>OUI</t>
        </is>
      </c>
      <c r="S501" s="7" t="inlineStr">
        <is>
          <t>31/08/2026 02:59</t>
        </is>
      </c>
    </row>
    <row r="502">
      <c r="A502" s="8" t="inlineStr">
        <is>
          <t>WHAP-0498</t>
        </is>
      </c>
      <c r="B502" s="8" t="inlineStr">
        <is>
          <t>HVA-0498</t>
        </is>
      </c>
      <c r="C502" s="8" t="inlineStr">
        <is>
          <t>évaporateur</t>
        </is>
      </c>
      <c r="D502" s="8" t="inlineStr">
        <is>
          <t>HVAC</t>
        </is>
      </c>
      <c r="E502" s="8" t="inlineStr">
        <is>
          <t>HVAC</t>
        </is>
      </c>
      <c r="F502" s="8" t="inlineStr">
        <is>
          <t>PIECE_VEHICULE</t>
        </is>
      </c>
      <c r="G502" s="8" t="inlineStr">
        <is>
          <t>unité</t>
        </is>
      </c>
      <c r="H502" s="8" t="inlineStr">
        <is>
          <t>SMALL</t>
        </is>
      </c>
      <c r="I502" s="8" t="n">
        <v>5</v>
      </c>
      <c r="J502" s="8" t="inlineStr">
        <is>
          <t>A-06-03</t>
        </is>
      </c>
      <c r="K502" s="8" t="inlineStr"/>
      <c r="L502" s="10" t="n">
        <v>0</v>
      </c>
      <c r="M502" s="10" t="n">
        <v>0</v>
      </c>
      <c r="N502" s="10" t="n">
        <v>42</v>
      </c>
      <c r="O502" s="8" t="inlineStr">
        <is>
          <t>SUM</t>
        </is>
      </c>
      <c r="P502" s="8" t="inlineStr">
        <is>
          <t>STANDARD</t>
        </is>
      </c>
      <c r="Q502" s="8" t="inlineStr">
        <is>
          <t>WHAP</t>
        </is>
      </c>
      <c r="R502" s="8" t="inlineStr">
        <is>
          <t>OUI</t>
        </is>
      </c>
      <c r="S502" s="8" t="inlineStr">
        <is>
          <t>31/08/2026 02:59</t>
        </is>
      </c>
    </row>
    <row r="503">
      <c r="A503" s="7" t="inlineStr">
        <is>
          <t>WHAP-0499</t>
        </is>
      </c>
      <c r="B503" s="7" t="inlineStr">
        <is>
          <t>HVA-0499</t>
        </is>
      </c>
      <c r="C503" s="7" t="inlineStr">
        <is>
          <t>détendeur</t>
        </is>
      </c>
      <c r="D503" s="7" t="inlineStr">
        <is>
          <t>HVAC</t>
        </is>
      </c>
      <c r="E503" s="7" t="inlineStr">
        <is>
          <t>HVAC</t>
        </is>
      </c>
      <c r="F503" s="7" t="inlineStr">
        <is>
          <t>PIECE_VEHICULE</t>
        </is>
      </c>
      <c r="G503" s="7" t="inlineStr">
        <is>
          <t>unité</t>
        </is>
      </c>
      <c r="H503" s="7" t="inlineStr">
        <is>
          <t>SMALL</t>
        </is>
      </c>
      <c r="I503" s="7" t="n">
        <v>5</v>
      </c>
      <c r="J503" s="7" t="inlineStr">
        <is>
          <t>F-06-03</t>
        </is>
      </c>
      <c r="K503" s="7" t="inlineStr"/>
      <c r="L503" s="9" t="n">
        <v>0</v>
      </c>
      <c r="M503" s="9" t="n">
        <v>0</v>
      </c>
      <c r="N503" s="9" t="n">
        <v>46</v>
      </c>
      <c r="O503" s="7" t="inlineStr">
        <is>
          <t>CTL</t>
        </is>
      </c>
      <c r="P503" s="7" t="inlineStr">
        <is>
          <t>STANDARD</t>
        </is>
      </c>
      <c r="Q503" s="7" t="inlineStr">
        <is>
          <t>WHAP</t>
        </is>
      </c>
      <c r="R503" s="7" t="inlineStr">
        <is>
          <t>OUI</t>
        </is>
      </c>
      <c r="S503" s="7" t="inlineStr">
        <is>
          <t>31/08/2026 02:59</t>
        </is>
      </c>
    </row>
    <row r="504">
      <c r="A504" s="8" t="inlineStr">
        <is>
          <t>WHAP-0500</t>
        </is>
      </c>
      <c r="B504" s="8" t="inlineStr">
        <is>
          <t>HVA-0500</t>
        </is>
      </c>
      <c r="C504" s="8" t="inlineStr">
        <is>
          <t>filtre déshydrateur</t>
        </is>
      </c>
      <c r="D504" s="8" t="inlineStr">
        <is>
          <t>HVAC</t>
        </is>
      </c>
      <c r="E504" s="8" t="inlineStr">
        <is>
          <t>HVAC</t>
        </is>
      </c>
      <c r="F504" s="8" t="inlineStr">
        <is>
          <t>PIECE_VEHICULE</t>
        </is>
      </c>
      <c r="G504" s="8" t="inlineStr">
        <is>
          <t>unité</t>
        </is>
      </c>
      <c r="H504" s="8" t="inlineStr">
        <is>
          <t>SMALL</t>
        </is>
      </c>
      <c r="I504" s="8" t="n">
        <v>5</v>
      </c>
      <c r="J504" s="8" t="inlineStr">
        <is>
          <t>D-06-03</t>
        </is>
      </c>
      <c r="K504" s="8" t="inlineStr"/>
      <c r="L504" s="10" t="n">
        <v>0</v>
      </c>
      <c r="M504" s="10" t="n">
        <v>0</v>
      </c>
      <c r="N504" s="10" t="n">
        <v>43</v>
      </c>
      <c r="O504" s="8" t="inlineStr">
        <is>
          <t>FAU</t>
        </is>
      </c>
      <c r="P504" s="8" t="inlineStr">
        <is>
          <t>STANDARD</t>
        </is>
      </c>
      <c r="Q504" s="8" t="inlineStr">
        <is>
          <t>WHAP</t>
        </is>
      </c>
      <c r="R504" s="8" t="inlineStr">
        <is>
          <t>OUI</t>
        </is>
      </c>
      <c r="S504" s="8" t="inlineStr">
        <is>
          <t>31/08/2026 02:59</t>
        </is>
      </c>
    </row>
    <row r="505">
      <c r="A505" s="7" t="inlineStr">
        <is>
          <t>WHAP-0501</t>
        </is>
      </c>
      <c r="B505" s="7" t="inlineStr">
        <is>
          <t>HVA-0501</t>
        </is>
      </c>
      <c r="C505" s="7" t="inlineStr">
        <is>
          <t>soufflante</t>
        </is>
      </c>
      <c r="D505" s="7" t="inlineStr">
        <is>
          <t>HVAC</t>
        </is>
      </c>
      <c r="E505" s="7" t="inlineStr">
        <is>
          <t>HVAC</t>
        </is>
      </c>
      <c r="F505" s="7" t="inlineStr">
        <is>
          <t>PIECE_VEHICULE</t>
        </is>
      </c>
      <c r="G505" s="7" t="inlineStr">
        <is>
          <t>unité</t>
        </is>
      </c>
      <c r="H505" s="7" t="inlineStr">
        <is>
          <t>SMALL</t>
        </is>
      </c>
      <c r="I505" s="7" t="n">
        <v>5</v>
      </c>
      <c r="J505" s="7" t="inlineStr">
        <is>
          <t>A-03-01</t>
        </is>
      </c>
      <c r="K505" s="7" t="inlineStr"/>
      <c r="L505" s="9" t="n">
        <v>0</v>
      </c>
      <c r="M505" s="9" t="n">
        <v>0</v>
      </c>
      <c r="N505" s="9" t="n">
        <v>45</v>
      </c>
      <c r="O505" s="7" t="inlineStr">
        <is>
          <t>HEL</t>
        </is>
      </c>
      <c r="P505" s="7" t="inlineStr">
        <is>
          <t>STANDARD</t>
        </is>
      </c>
      <c r="Q505" s="7" t="inlineStr">
        <is>
          <t>WHAP</t>
        </is>
      </c>
      <c r="R505" s="7" t="inlineStr">
        <is>
          <t>OUI</t>
        </is>
      </c>
      <c r="S505" s="7" t="inlineStr">
        <is>
          <t>31/08/2026 02:59</t>
        </is>
      </c>
    </row>
    <row r="506">
      <c r="A506" s="8" t="inlineStr">
        <is>
          <t>WHAP-0502</t>
        </is>
      </c>
      <c r="B506" s="8" t="inlineStr">
        <is>
          <t>HVA-0502</t>
        </is>
      </c>
      <c r="C506" s="8" t="inlineStr">
        <is>
          <t>moteur soufflante</t>
        </is>
      </c>
      <c r="D506" s="8" t="inlineStr">
        <is>
          <t>HVAC</t>
        </is>
      </c>
      <c r="E506" s="8" t="inlineStr">
        <is>
          <t>HVAC</t>
        </is>
      </c>
      <c r="F506" s="8" t="inlineStr">
        <is>
          <t>PIECE_VEHICULE</t>
        </is>
      </c>
      <c r="G506" s="8" t="inlineStr">
        <is>
          <t>unité</t>
        </is>
      </c>
      <c r="H506" s="8" t="inlineStr">
        <is>
          <t>SMALL</t>
        </is>
      </c>
      <c r="I506" s="8" t="n">
        <v>5</v>
      </c>
      <c r="J506" s="8" t="inlineStr">
        <is>
          <t>A-01-04</t>
        </is>
      </c>
      <c r="K506" s="8" t="inlineStr"/>
      <c r="L506" s="10" t="n">
        <v>0</v>
      </c>
      <c r="M506" s="10" t="n">
        <v>0</v>
      </c>
      <c r="N506" s="10" t="n">
        <v>45</v>
      </c>
      <c r="O506" s="8" t="inlineStr">
        <is>
          <t>SUM</t>
        </is>
      </c>
      <c r="P506" s="8" t="inlineStr">
        <is>
          <t>STANDARD</t>
        </is>
      </c>
      <c r="Q506" s="8" t="inlineStr">
        <is>
          <t>WHAP</t>
        </is>
      </c>
      <c r="R506" s="8" t="inlineStr">
        <is>
          <t>OUI</t>
        </is>
      </c>
      <c r="S506" s="8" t="inlineStr">
        <is>
          <t>31/08/2026 02:59</t>
        </is>
      </c>
    </row>
    <row r="507">
      <c r="A507" s="7" t="inlineStr">
        <is>
          <t>WHAP-0503</t>
        </is>
      </c>
      <c r="B507" s="7" t="inlineStr">
        <is>
          <t>HVA-0503</t>
        </is>
      </c>
      <c r="C507" s="7" t="inlineStr">
        <is>
          <t>pulseur</t>
        </is>
      </c>
      <c r="D507" s="7" t="inlineStr">
        <is>
          <t>HVAC</t>
        </is>
      </c>
      <c r="E507" s="7" t="inlineStr">
        <is>
          <t>HVAC</t>
        </is>
      </c>
      <c r="F507" s="7" t="inlineStr">
        <is>
          <t>PIECE_VEHICULE</t>
        </is>
      </c>
      <c r="G507" s="7" t="inlineStr">
        <is>
          <t>unité</t>
        </is>
      </c>
      <c r="H507" s="7" t="inlineStr">
        <is>
          <t>SMALL</t>
        </is>
      </c>
      <c r="I507" s="7" t="n">
        <v>5</v>
      </c>
      <c r="J507" s="7" t="inlineStr">
        <is>
          <t>C-03-02</t>
        </is>
      </c>
      <c r="K507" s="7" t="inlineStr"/>
      <c r="L507" s="9" t="n">
        <v>0</v>
      </c>
      <c r="M507" s="9" t="n">
        <v>0</v>
      </c>
      <c r="N507" s="9" t="n">
        <v>46</v>
      </c>
      <c r="O507" s="7" t="inlineStr">
        <is>
          <t>BOS</t>
        </is>
      </c>
      <c r="P507" s="7" t="inlineStr">
        <is>
          <t>STANDARD</t>
        </is>
      </c>
      <c r="Q507" s="7" t="inlineStr">
        <is>
          <t>WHAP</t>
        </is>
      </c>
      <c r="R507" s="7" t="inlineStr">
        <is>
          <t>OUI</t>
        </is>
      </c>
      <c r="S507" s="7" t="inlineStr">
        <is>
          <t>31/08/2026 02:59</t>
        </is>
      </c>
    </row>
    <row r="508">
      <c r="A508" s="8" t="inlineStr">
        <is>
          <t>WHAP-0504</t>
        </is>
      </c>
      <c r="B508" s="8" t="inlineStr">
        <is>
          <t>HVA-0504</t>
        </is>
      </c>
      <c r="C508" s="8" t="inlineStr">
        <is>
          <t>boîtier HVAC</t>
        </is>
      </c>
      <c r="D508" s="8" t="inlineStr">
        <is>
          <t>HVAC</t>
        </is>
      </c>
      <c r="E508" s="8" t="inlineStr">
        <is>
          <t>HVAC</t>
        </is>
      </c>
      <c r="F508" s="8" t="inlineStr">
        <is>
          <t>PIECE_VEHICULE</t>
        </is>
      </c>
      <c r="G508" s="8" t="inlineStr">
        <is>
          <t>unité</t>
        </is>
      </c>
      <c r="H508" s="8" t="inlineStr">
        <is>
          <t>SMALL</t>
        </is>
      </c>
      <c r="I508" s="8" t="n">
        <v>5</v>
      </c>
      <c r="J508" s="8" t="inlineStr">
        <is>
          <t>C-06-02</t>
        </is>
      </c>
      <c r="K508" s="8" t="inlineStr"/>
      <c r="L508" s="10" t="n">
        <v>0</v>
      </c>
      <c r="M508" s="10" t="n">
        <v>0</v>
      </c>
      <c r="N508" s="10" t="n">
        <v>49</v>
      </c>
      <c r="O508" s="8" t="inlineStr">
        <is>
          <t>DEL</t>
        </is>
      </c>
      <c r="P508" s="8" t="inlineStr">
        <is>
          <t>STANDARD</t>
        </is>
      </c>
      <c r="Q508" s="8" t="inlineStr">
        <is>
          <t>WHAP</t>
        </is>
      </c>
      <c r="R508" s="8" t="inlineStr">
        <is>
          <t>OUI</t>
        </is>
      </c>
      <c r="S508" s="8" t="inlineStr">
        <is>
          <t>31/08/2026 02:59</t>
        </is>
      </c>
    </row>
    <row r="509">
      <c r="A509" s="7" t="inlineStr">
        <is>
          <t>WHAP-0505</t>
        </is>
      </c>
      <c r="B509" s="7" t="inlineStr">
        <is>
          <t>HVA-0505</t>
        </is>
      </c>
      <c r="C509" s="7" t="inlineStr">
        <is>
          <t>volet d'air</t>
        </is>
      </c>
      <c r="D509" s="7" t="inlineStr">
        <is>
          <t>HVAC</t>
        </is>
      </c>
      <c r="E509" s="7" t="inlineStr">
        <is>
          <t>HVAC</t>
        </is>
      </c>
      <c r="F509" s="7" t="inlineStr">
        <is>
          <t>PIECE_VEHICULE</t>
        </is>
      </c>
      <c r="G509" s="7" t="inlineStr">
        <is>
          <t>unité</t>
        </is>
      </c>
      <c r="H509" s="7" t="inlineStr">
        <is>
          <t>SMALL</t>
        </is>
      </c>
      <c r="I509" s="7" t="n">
        <v>5</v>
      </c>
      <c r="J509" s="7" t="inlineStr">
        <is>
          <t>E-04-02</t>
        </is>
      </c>
      <c r="K509" s="7" t="inlineStr"/>
      <c r="L509" s="9" t="n">
        <v>0</v>
      </c>
      <c r="M509" s="9" t="n">
        <v>0</v>
      </c>
      <c r="N509" s="9" t="n">
        <v>40</v>
      </c>
      <c r="O509" s="7" t="inlineStr">
        <is>
          <t>DEL</t>
        </is>
      </c>
      <c r="P509" s="7" t="inlineStr">
        <is>
          <t>STANDARD</t>
        </is>
      </c>
      <c r="Q509" s="7" t="inlineStr">
        <is>
          <t>WHAP</t>
        </is>
      </c>
      <c r="R509" s="7" t="inlineStr">
        <is>
          <t>OUI</t>
        </is>
      </c>
      <c r="S509" s="7" t="inlineStr">
        <is>
          <t>31/08/2026 02:59</t>
        </is>
      </c>
    </row>
    <row r="510">
      <c r="A510" s="8" t="inlineStr">
        <is>
          <t>WHAP-0506</t>
        </is>
      </c>
      <c r="B510" s="8" t="inlineStr">
        <is>
          <t>HVA-0506</t>
        </is>
      </c>
      <c r="C510" s="8" t="inlineStr">
        <is>
          <t>actionneur de volet</t>
        </is>
      </c>
      <c r="D510" s="8" t="inlineStr">
        <is>
          <t>HVAC</t>
        </is>
      </c>
      <c r="E510" s="8" t="inlineStr">
        <is>
          <t>HVAC</t>
        </is>
      </c>
      <c r="F510" s="8" t="inlineStr">
        <is>
          <t>PIECE_VEHICULE</t>
        </is>
      </c>
      <c r="G510" s="8" t="inlineStr">
        <is>
          <t>unité</t>
        </is>
      </c>
      <c r="H510" s="8" t="inlineStr">
        <is>
          <t>SMALL</t>
        </is>
      </c>
      <c r="I510" s="8" t="n">
        <v>5</v>
      </c>
      <c r="J510" s="8" t="inlineStr">
        <is>
          <t>E-03-01</t>
        </is>
      </c>
      <c r="K510" s="8" t="inlineStr"/>
      <c r="L510" s="10" t="n">
        <v>0</v>
      </c>
      <c r="M510" s="10" t="n">
        <v>0</v>
      </c>
      <c r="N510" s="10" t="n">
        <v>47</v>
      </c>
      <c r="O510" s="8" t="inlineStr">
        <is>
          <t>MAG</t>
        </is>
      </c>
      <c r="P510" s="8" t="inlineStr">
        <is>
          <t>STANDARD</t>
        </is>
      </c>
      <c r="Q510" s="8" t="inlineStr">
        <is>
          <t>WHAP</t>
        </is>
      </c>
      <c r="R510" s="8" t="inlineStr">
        <is>
          <t>OUI</t>
        </is>
      </c>
      <c r="S510" s="8" t="inlineStr">
        <is>
          <t>31/08/2026 02:59</t>
        </is>
      </c>
    </row>
    <row r="511">
      <c r="A511" s="7" t="inlineStr">
        <is>
          <t>WHAP-0507</t>
        </is>
      </c>
      <c r="B511" s="7" t="inlineStr">
        <is>
          <t>HVA-0507</t>
        </is>
      </c>
      <c r="C511" s="7" t="inlineStr">
        <is>
          <t>filtre cabine</t>
        </is>
      </c>
      <c r="D511" s="7" t="inlineStr">
        <is>
          <t>HVAC</t>
        </is>
      </c>
      <c r="E511" s="7" t="inlineStr">
        <is>
          <t>HVAC</t>
        </is>
      </c>
      <c r="F511" s="7" t="inlineStr">
        <is>
          <t>PIECE_VEHICULE</t>
        </is>
      </c>
      <c r="G511" s="7" t="inlineStr">
        <is>
          <t>unité</t>
        </is>
      </c>
      <c r="H511" s="7" t="inlineStr">
        <is>
          <t>SMALL</t>
        </is>
      </c>
      <c r="I511" s="7" t="n">
        <v>5</v>
      </c>
      <c r="J511" s="7" t="inlineStr">
        <is>
          <t>F-06-02</t>
        </is>
      </c>
      <c r="K511" s="7" t="inlineStr"/>
      <c r="L511" s="9" t="n">
        <v>0</v>
      </c>
      <c r="M511" s="9" t="n">
        <v>0</v>
      </c>
      <c r="N511" s="9" t="n">
        <v>49</v>
      </c>
      <c r="O511" s="7" t="inlineStr">
        <is>
          <t>CTL</t>
        </is>
      </c>
      <c r="P511" s="7" t="inlineStr">
        <is>
          <t>STANDARD</t>
        </is>
      </c>
      <c r="Q511" s="7" t="inlineStr">
        <is>
          <t>WHAP</t>
        </is>
      </c>
      <c r="R511" s="7" t="inlineStr">
        <is>
          <t>OUI</t>
        </is>
      </c>
      <c r="S511" s="7" t="inlineStr">
        <is>
          <t>31/08/2026 02:59</t>
        </is>
      </c>
    </row>
    <row r="512">
      <c r="A512" s="8" t="inlineStr">
        <is>
          <t>WHAP-0508</t>
        </is>
      </c>
      <c r="B512" s="8" t="inlineStr">
        <is>
          <t>HVA-0508</t>
        </is>
      </c>
      <c r="C512" s="8" t="inlineStr">
        <is>
          <t>filtre NBC</t>
        </is>
      </c>
      <c r="D512" s="8" t="inlineStr">
        <is>
          <t>HVAC</t>
        </is>
      </c>
      <c r="E512" s="8" t="inlineStr">
        <is>
          <t>HVAC</t>
        </is>
      </c>
      <c r="F512" s="8" t="inlineStr">
        <is>
          <t>PIECE_VEHICULE</t>
        </is>
      </c>
      <c r="G512" s="8" t="inlineStr">
        <is>
          <t>unité</t>
        </is>
      </c>
      <c r="H512" s="8" t="inlineStr">
        <is>
          <t>SMALL</t>
        </is>
      </c>
      <c r="I512" s="8" t="n">
        <v>5</v>
      </c>
      <c r="J512" s="8" t="inlineStr">
        <is>
          <t>A-04-02</t>
        </is>
      </c>
      <c r="K512" s="8" t="inlineStr"/>
      <c r="L512" s="10" t="n">
        <v>0</v>
      </c>
      <c r="M512" s="10" t="n">
        <v>0</v>
      </c>
      <c r="N512" s="10" t="n">
        <v>46</v>
      </c>
      <c r="O512" s="8" t="inlineStr">
        <is>
          <t>MAG</t>
        </is>
      </c>
      <c r="P512" s="8" t="inlineStr">
        <is>
          <t>STANDARD</t>
        </is>
      </c>
      <c r="Q512" s="8" t="inlineStr">
        <is>
          <t>WHAP</t>
        </is>
      </c>
      <c r="R512" s="8" t="inlineStr">
        <is>
          <t>OUI</t>
        </is>
      </c>
      <c r="S512" s="8" t="inlineStr">
        <is>
          <t>31/08/2026 02:59</t>
        </is>
      </c>
    </row>
    <row r="513">
      <c r="A513" s="7" t="inlineStr">
        <is>
          <t>WHAP-0509</t>
        </is>
      </c>
      <c r="B513" s="7" t="inlineStr">
        <is>
          <t>HVA-0509</t>
        </is>
      </c>
      <c r="C513" s="7" t="inlineStr">
        <is>
          <t>capteur température cabine</t>
        </is>
      </c>
      <c r="D513" s="7" t="inlineStr">
        <is>
          <t>HVAC</t>
        </is>
      </c>
      <c r="E513" s="7" t="inlineStr">
        <is>
          <t>HVAC</t>
        </is>
      </c>
      <c r="F513" s="7" t="inlineStr">
        <is>
          <t>PIECE_VEHICULE</t>
        </is>
      </c>
      <c r="G513" s="7" t="inlineStr">
        <is>
          <t>unité</t>
        </is>
      </c>
      <c r="H513" s="7" t="inlineStr">
        <is>
          <t>SMALL</t>
        </is>
      </c>
      <c r="I513" s="7" t="n">
        <v>5</v>
      </c>
      <c r="J513" s="7" t="inlineStr">
        <is>
          <t>A-04-01</t>
        </is>
      </c>
      <c r="K513" s="7" t="inlineStr"/>
      <c r="L513" s="9" t="n">
        <v>0</v>
      </c>
      <c r="M513" s="9" t="n">
        <v>0</v>
      </c>
      <c r="N513" s="9" t="n">
        <v>48</v>
      </c>
      <c r="O513" s="7" t="inlineStr">
        <is>
          <t>DEL</t>
        </is>
      </c>
      <c r="P513" s="7" t="inlineStr">
        <is>
          <t>STANDARD</t>
        </is>
      </c>
      <c r="Q513" s="7" t="inlineStr">
        <is>
          <t>WHAP</t>
        </is>
      </c>
      <c r="R513" s="7" t="inlineStr">
        <is>
          <t>OUI</t>
        </is>
      </c>
      <c r="S513" s="7" t="inlineStr">
        <is>
          <t>31/08/2026 02:59</t>
        </is>
      </c>
    </row>
    <row r="514">
      <c r="A514" s="8" t="inlineStr">
        <is>
          <t>WHAP-0510</t>
        </is>
      </c>
      <c r="B514" s="8" t="inlineStr">
        <is>
          <t>HVA-0510</t>
        </is>
      </c>
      <c r="C514" s="8" t="inlineStr">
        <is>
          <t>capteur pression climatisation</t>
        </is>
      </c>
      <c r="D514" s="8" t="inlineStr">
        <is>
          <t>HVAC</t>
        </is>
      </c>
      <c r="E514" s="8" t="inlineStr">
        <is>
          <t>HVAC</t>
        </is>
      </c>
      <c r="F514" s="8" t="inlineStr">
        <is>
          <t>PIECE_VEHICULE</t>
        </is>
      </c>
      <c r="G514" s="8" t="inlineStr">
        <is>
          <t>unité</t>
        </is>
      </c>
      <c r="H514" s="8" t="inlineStr">
        <is>
          <t>SMALL</t>
        </is>
      </c>
      <c r="I514" s="8" t="n">
        <v>5</v>
      </c>
      <c r="J514" s="8" t="inlineStr">
        <is>
          <t>F-06-01</t>
        </is>
      </c>
      <c r="K514" s="8" t="inlineStr"/>
      <c r="L514" s="10" t="n">
        <v>0</v>
      </c>
      <c r="M514" s="10" t="n">
        <v>0</v>
      </c>
      <c r="N514" s="10" t="n">
        <v>44</v>
      </c>
      <c r="O514" s="8" t="inlineStr">
        <is>
          <t>SKF</t>
        </is>
      </c>
      <c r="P514" s="8" t="inlineStr">
        <is>
          <t>STANDARD</t>
        </is>
      </c>
      <c r="Q514" s="8" t="inlineStr">
        <is>
          <t>WHAP</t>
        </is>
      </c>
      <c r="R514" s="8" t="inlineStr">
        <is>
          <t>OUI</t>
        </is>
      </c>
      <c r="S514" s="8" t="inlineStr">
        <is>
          <t>31/08/2026 02:59</t>
        </is>
      </c>
    </row>
    <row r="515">
      <c r="A515" s="7" t="inlineStr">
        <is>
          <t>WHAP-0511</t>
        </is>
      </c>
      <c r="B515" s="7" t="inlineStr">
        <is>
          <t>HVA-0511</t>
        </is>
      </c>
      <c r="C515" s="7" t="inlineStr">
        <is>
          <t>conduite frigorifique</t>
        </is>
      </c>
      <c r="D515" s="7" t="inlineStr">
        <is>
          <t>HVAC</t>
        </is>
      </c>
      <c r="E515" s="7" t="inlineStr">
        <is>
          <t>HVAC</t>
        </is>
      </c>
      <c r="F515" s="7" t="inlineStr">
        <is>
          <t>PIECE_VEHICULE</t>
        </is>
      </c>
      <c r="G515" s="7" t="inlineStr">
        <is>
          <t>unité</t>
        </is>
      </c>
      <c r="H515" s="7" t="inlineStr">
        <is>
          <t>SMALL</t>
        </is>
      </c>
      <c r="I515" s="7" t="n">
        <v>5</v>
      </c>
      <c r="J515" s="7" t="inlineStr">
        <is>
          <t>C-04-01</t>
        </is>
      </c>
      <c r="K515" s="7" t="inlineStr"/>
      <c r="L515" s="9" t="n">
        <v>0</v>
      </c>
      <c r="M515" s="9" t="n">
        <v>0</v>
      </c>
      <c r="N515" s="9" t="n">
        <v>46</v>
      </c>
      <c r="O515" s="7" t="inlineStr">
        <is>
          <t>HEL</t>
        </is>
      </c>
      <c r="P515" s="7" t="inlineStr">
        <is>
          <t>STANDARD</t>
        </is>
      </c>
      <c r="Q515" s="7" t="inlineStr">
        <is>
          <t>WHAP</t>
        </is>
      </c>
      <c r="R515" s="7" t="inlineStr">
        <is>
          <t>OUI</t>
        </is>
      </c>
      <c r="S515" s="7" t="inlineStr">
        <is>
          <t>31/08/2026 02:59</t>
        </is>
      </c>
    </row>
    <row r="516">
      <c r="A516" s="8" t="inlineStr">
        <is>
          <t>WHAP-0512</t>
        </is>
      </c>
      <c r="B516" s="8" t="inlineStr">
        <is>
          <t>HVA-0512</t>
        </is>
      </c>
      <c r="C516" s="8" t="inlineStr">
        <is>
          <t>flexible climatisation</t>
        </is>
      </c>
      <c r="D516" s="8" t="inlineStr">
        <is>
          <t>HVAC</t>
        </is>
      </c>
      <c r="E516" s="8" t="inlineStr">
        <is>
          <t>HVAC</t>
        </is>
      </c>
      <c r="F516" s="8" t="inlineStr">
        <is>
          <t>PIECE_VEHICULE</t>
        </is>
      </c>
      <c r="G516" s="8" t="inlineStr">
        <is>
          <t>unité</t>
        </is>
      </c>
      <c r="H516" s="8" t="inlineStr">
        <is>
          <t>SMALL</t>
        </is>
      </c>
      <c r="I516" s="8" t="n">
        <v>5</v>
      </c>
      <c r="J516" s="8" t="inlineStr">
        <is>
          <t>C-04-03</t>
        </is>
      </c>
      <c r="K516" s="8" t="inlineStr"/>
      <c r="L516" s="10" t="n">
        <v>0</v>
      </c>
      <c r="M516" s="10" t="n">
        <v>0</v>
      </c>
      <c r="N516" s="10" t="n">
        <v>41</v>
      </c>
      <c r="O516" s="8" t="inlineStr">
        <is>
          <t>HEL</t>
        </is>
      </c>
      <c r="P516" s="8" t="inlineStr">
        <is>
          <t>STANDARD</t>
        </is>
      </c>
      <c r="Q516" s="8" t="inlineStr">
        <is>
          <t>WHAP</t>
        </is>
      </c>
      <c r="R516" s="8" t="inlineStr">
        <is>
          <t>OUI</t>
        </is>
      </c>
      <c r="S516" s="8" t="inlineStr">
        <is>
          <t>31/08/2026 02:59</t>
        </is>
      </c>
    </row>
    <row r="517">
      <c r="A517" s="7" t="inlineStr">
        <is>
          <t>WHAP-0513</t>
        </is>
      </c>
      <c r="B517" s="7" t="inlineStr">
        <is>
          <t>HVA-0513</t>
        </is>
      </c>
      <c r="C517" s="7" t="inlineStr">
        <is>
          <t>raccord climatisation</t>
        </is>
      </c>
      <c r="D517" s="7" t="inlineStr">
        <is>
          <t>HVAC</t>
        </is>
      </c>
      <c r="E517" s="7" t="inlineStr">
        <is>
          <t>HVAC</t>
        </is>
      </c>
      <c r="F517" s="7" t="inlineStr">
        <is>
          <t>PIECE_VEHICULE</t>
        </is>
      </c>
      <c r="G517" s="7" t="inlineStr">
        <is>
          <t>unité</t>
        </is>
      </c>
      <c r="H517" s="7" t="inlineStr">
        <is>
          <t>SMALL</t>
        </is>
      </c>
      <c r="I517" s="7" t="n">
        <v>5</v>
      </c>
      <c r="J517" s="7" t="inlineStr">
        <is>
          <t>C-05-03</t>
        </is>
      </c>
      <c r="K517" s="7" t="inlineStr"/>
      <c r="L517" s="9" t="n">
        <v>0</v>
      </c>
      <c r="M517" s="9" t="n">
        <v>0</v>
      </c>
      <c r="N517" s="9" t="n">
        <v>46</v>
      </c>
      <c r="O517" s="7" t="inlineStr">
        <is>
          <t>DEL</t>
        </is>
      </c>
      <c r="P517" s="7" t="inlineStr">
        <is>
          <t>STANDARD</t>
        </is>
      </c>
      <c r="Q517" s="7" t="inlineStr">
        <is>
          <t>WHAP</t>
        </is>
      </c>
      <c r="R517" s="7" t="inlineStr">
        <is>
          <t>OUI</t>
        </is>
      </c>
      <c r="S517" s="7" t="inlineStr">
        <is>
          <t>31/08/2026 02:59</t>
        </is>
      </c>
    </row>
    <row r="518">
      <c r="A518" s="8" t="inlineStr">
        <is>
          <t>WHAP-0514</t>
        </is>
      </c>
      <c r="B518" s="8" t="inlineStr">
        <is>
          <t>HVA-0514</t>
        </is>
      </c>
      <c r="C518" s="8" t="inlineStr">
        <is>
          <t>chauffage cabine</t>
        </is>
      </c>
      <c r="D518" s="8" t="inlineStr">
        <is>
          <t>HVAC</t>
        </is>
      </c>
      <c r="E518" s="8" t="inlineStr">
        <is>
          <t>HVAC</t>
        </is>
      </c>
      <c r="F518" s="8" t="inlineStr">
        <is>
          <t>PIECE_VEHICULE</t>
        </is>
      </c>
      <c r="G518" s="8" t="inlineStr">
        <is>
          <t>unité</t>
        </is>
      </c>
      <c r="H518" s="8" t="inlineStr">
        <is>
          <t>SMALL</t>
        </is>
      </c>
      <c r="I518" s="8" t="n">
        <v>5</v>
      </c>
      <c r="J518" s="8" t="inlineStr">
        <is>
          <t>F-06-02</t>
        </is>
      </c>
      <c r="K518" s="8" t="inlineStr"/>
      <c r="L518" s="10" t="n">
        <v>0</v>
      </c>
      <c r="M518" s="10" t="n">
        <v>0</v>
      </c>
      <c r="N518" s="10" t="n">
        <v>44</v>
      </c>
      <c r="O518" s="8" t="inlineStr">
        <is>
          <t>VAL</t>
        </is>
      </c>
      <c r="P518" s="8" t="inlineStr">
        <is>
          <t>STANDARD</t>
        </is>
      </c>
      <c r="Q518" s="8" t="inlineStr">
        <is>
          <t>WHAP</t>
        </is>
      </c>
      <c r="R518" s="8" t="inlineStr">
        <is>
          <t>OUI</t>
        </is>
      </c>
      <c r="S518" s="8" t="inlineStr">
        <is>
          <t>31/08/2026 02:59</t>
        </is>
      </c>
    </row>
    <row r="519">
      <c r="A519" s="7" t="inlineStr">
        <is>
          <t>WHAP-0515</t>
        </is>
      </c>
      <c r="B519" s="7" t="inlineStr">
        <is>
          <t>HVA-0515</t>
        </is>
      </c>
      <c r="C519" s="7" t="inlineStr">
        <is>
          <t>radiateur chauffage</t>
        </is>
      </c>
      <c r="D519" s="7" t="inlineStr">
        <is>
          <t>HVAC</t>
        </is>
      </c>
      <c r="E519" s="7" t="inlineStr">
        <is>
          <t>HVAC</t>
        </is>
      </c>
      <c r="F519" s="7" t="inlineStr">
        <is>
          <t>PIECE_VEHICULE</t>
        </is>
      </c>
      <c r="G519" s="7" t="inlineStr">
        <is>
          <t>unité</t>
        </is>
      </c>
      <c r="H519" s="7" t="inlineStr">
        <is>
          <t>SMALL</t>
        </is>
      </c>
      <c r="I519" s="7" t="n">
        <v>5</v>
      </c>
      <c r="J519" s="7" t="inlineStr">
        <is>
          <t>F-02-01</t>
        </is>
      </c>
      <c r="K519" s="7" t="inlineStr"/>
      <c r="L519" s="9" t="n">
        <v>0</v>
      </c>
      <c r="M519" s="9" t="n">
        <v>0</v>
      </c>
      <c r="N519" s="9" t="n">
        <v>43</v>
      </c>
      <c r="O519" s="7" t="inlineStr">
        <is>
          <t>VAL</t>
        </is>
      </c>
      <c r="P519" s="7" t="inlineStr">
        <is>
          <t>STANDARD</t>
        </is>
      </c>
      <c r="Q519" s="7" t="inlineStr">
        <is>
          <t>WHAP</t>
        </is>
      </c>
      <c r="R519" s="7" t="inlineStr">
        <is>
          <t>OUI</t>
        </is>
      </c>
      <c r="S519" s="7" t="inlineStr">
        <is>
          <t>31/08/2026 02:59</t>
        </is>
      </c>
    </row>
    <row r="520">
      <c r="A520" s="8" t="inlineStr">
        <is>
          <t>WHAP-0516</t>
        </is>
      </c>
      <c r="B520" s="8" t="inlineStr">
        <is>
          <t>HVA-0516</t>
        </is>
      </c>
      <c r="C520" s="8" t="inlineStr">
        <is>
          <t>vanne chauffage</t>
        </is>
      </c>
      <c r="D520" s="8" t="inlineStr">
        <is>
          <t>HVAC</t>
        </is>
      </c>
      <c r="E520" s="8" t="inlineStr">
        <is>
          <t>HVAC</t>
        </is>
      </c>
      <c r="F520" s="8" t="inlineStr">
        <is>
          <t>PIECE_VEHICULE</t>
        </is>
      </c>
      <c r="G520" s="8" t="inlineStr">
        <is>
          <t>unité</t>
        </is>
      </c>
      <c r="H520" s="8" t="inlineStr">
        <is>
          <t>SMALL</t>
        </is>
      </c>
      <c r="I520" s="8" t="n">
        <v>5</v>
      </c>
      <c r="J520" s="8" t="inlineStr">
        <is>
          <t>B-03-04</t>
        </is>
      </c>
      <c r="K520" s="8" t="inlineStr"/>
      <c r="L520" s="10" t="n">
        <v>0</v>
      </c>
      <c r="M520" s="10" t="n">
        <v>0</v>
      </c>
      <c r="N520" s="10" t="n">
        <v>40</v>
      </c>
      <c r="O520" s="8" t="inlineStr">
        <is>
          <t>VAL</t>
        </is>
      </c>
      <c r="P520" s="8" t="inlineStr">
        <is>
          <t>STANDARD</t>
        </is>
      </c>
      <c r="Q520" s="8" t="inlineStr">
        <is>
          <t>WHAP</t>
        </is>
      </c>
      <c r="R520" s="8" t="inlineStr">
        <is>
          <t>OUI</t>
        </is>
      </c>
      <c r="S520" s="8" t="inlineStr">
        <is>
          <t>31/08/2026 02:59</t>
        </is>
      </c>
    </row>
    <row r="521">
      <c r="A521" s="7" t="inlineStr">
        <is>
          <t>WHAP-0517</t>
        </is>
      </c>
      <c r="B521" s="7" t="inlineStr">
        <is>
          <t>HVA-0517</t>
        </is>
      </c>
      <c r="C521" s="7" t="inlineStr">
        <is>
          <t>thermostat cabine</t>
        </is>
      </c>
      <c r="D521" s="7" t="inlineStr">
        <is>
          <t>HVAC</t>
        </is>
      </c>
      <c r="E521" s="7" t="inlineStr">
        <is>
          <t>HVAC</t>
        </is>
      </c>
      <c r="F521" s="7" t="inlineStr">
        <is>
          <t>PIECE_VEHICULE</t>
        </is>
      </c>
      <c r="G521" s="7" t="inlineStr">
        <is>
          <t>unité</t>
        </is>
      </c>
      <c r="H521" s="7" t="inlineStr">
        <is>
          <t>SMALL</t>
        </is>
      </c>
      <c r="I521" s="7" t="n">
        <v>5</v>
      </c>
      <c r="J521" s="7" t="inlineStr">
        <is>
          <t>F-01-01</t>
        </is>
      </c>
      <c r="K521" s="7" t="inlineStr"/>
      <c r="L521" s="9" t="n">
        <v>0</v>
      </c>
      <c r="M521" s="9" t="n">
        <v>0</v>
      </c>
      <c r="N521" s="9" t="n">
        <v>41</v>
      </c>
      <c r="O521" s="7" t="inlineStr">
        <is>
          <t>SKF</t>
        </is>
      </c>
      <c r="P521" s="7" t="inlineStr">
        <is>
          <t>STANDARD</t>
        </is>
      </c>
      <c r="Q521" s="7" t="inlineStr">
        <is>
          <t>WHAP</t>
        </is>
      </c>
      <c r="R521" s="7" t="inlineStr">
        <is>
          <t>OUI</t>
        </is>
      </c>
      <c r="S521" s="7" t="inlineStr">
        <is>
          <t>31/08/2026 02:59</t>
        </is>
      </c>
    </row>
    <row r="522">
      <c r="A522" s="8" t="inlineStr">
        <is>
          <t>WHAP-0518</t>
        </is>
      </c>
      <c r="B522" s="8" t="inlineStr">
        <is>
          <t>HVA-0518</t>
        </is>
      </c>
      <c r="C522" s="8" t="inlineStr">
        <is>
          <t>grille de ventilation</t>
        </is>
      </c>
      <c r="D522" s="8" t="inlineStr">
        <is>
          <t>HVAC</t>
        </is>
      </c>
      <c r="E522" s="8" t="inlineStr">
        <is>
          <t>HVAC</t>
        </is>
      </c>
      <c r="F522" s="8" t="inlineStr">
        <is>
          <t>PIECE_VEHICULE</t>
        </is>
      </c>
      <c r="G522" s="8" t="inlineStr">
        <is>
          <t>unité</t>
        </is>
      </c>
      <c r="H522" s="8" t="inlineStr">
        <is>
          <t>SMALL</t>
        </is>
      </c>
      <c r="I522" s="8" t="n">
        <v>5</v>
      </c>
      <c r="J522" s="8" t="inlineStr">
        <is>
          <t>D-04-03</t>
        </is>
      </c>
      <c r="K522" s="8" t="inlineStr"/>
      <c r="L522" s="10" t="n">
        <v>0</v>
      </c>
      <c r="M522" s="10" t="n">
        <v>0</v>
      </c>
      <c r="N522" s="10" t="n">
        <v>49</v>
      </c>
      <c r="O522" s="8" t="inlineStr">
        <is>
          <t>VAL</t>
        </is>
      </c>
      <c r="P522" s="8" t="inlineStr">
        <is>
          <t>STANDARD</t>
        </is>
      </c>
      <c r="Q522" s="8" t="inlineStr">
        <is>
          <t>WHAP</t>
        </is>
      </c>
      <c r="R522" s="8" t="inlineStr">
        <is>
          <t>OUI</t>
        </is>
      </c>
      <c r="S522" s="8" t="inlineStr">
        <is>
          <t>31/08/2026 02:59</t>
        </is>
      </c>
    </row>
    <row r="523">
      <c r="A523" s="7" t="inlineStr">
        <is>
          <t>WHAP-0519</t>
        </is>
      </c>
      <c r="B523" s="7" t="inlineStr">
        <is>
          <t>HVA-0519</t>
        </is>
      </c>
      <c r="C523" s="7" t="inlineStr">
        <is>
          <t>diffuseur d'air</t>
        </is>
      </c>
      <c r="D523" s="7" t="inlineStr">
        <is>
          <t>HVAC</t>
        </is>
      </c>
      <c r="E523" s="7" t="inlineStr">
        <is>
          <t>HVAC</t>
        </is>
      </c>
      <c r="F523" s="7" t="inlineStr">
        <is>
          <t>PIECE_VEHICULE</t>
        </is>
      </c>
      <c r="G523" s="7" t="inlineStr">
        <is>
          <t>unité</t>
        </is>
      </c>
      <c r="H523" s="7" t="inlineStr">
        <is>
          <t>SMALL</t>
        </is>
      </c>
      <c r="I523" s="7" t="n">
        <v>5</v>
      </c>
      <c r="J523" s="7" t="inlineStr">
        <is>
          <t>C-03-04</t>
        </is>
      </c>
      <c r="K523" s="7" t="inlineStr"/>
      <c r="L523" s="9" t="n">
        <v>0</v>
      </c>
      <c r="M523" s="9" t="n">
        <v>0</v>
      </c>
      <c r="N523" s="9" t="n">
        <v>47</v>
      </c>
      <c r="O523" s="7" t="inlineStr">
        <is>
          <t>SUM</t>
        </is>
      </c>
      <c r="P523" s="7" t="inlineStr">
        <is>
          <t>STANDARD</t>
        </is>
      </c>
      <c r="Q523" s="7" t="inlineStr">
        <is>
          <t>WHAP</t>
        </is>
      </c>
      <c r="R523" s="7" t="inlineStr">
        <is>
          <t>OUI</t>
        </is>
      </c>
      <c r="S523" s="7" t="inlineStr">
        <is>
          <t>31/08/2026 02:59</t>
        </is>
      </c>
    </row>
    <row r="524">
      <c r="A524" s="8" t="inlineStr">
        <is>
          <t>WHAP-0520</t>
        </is>
      </c>
      <c r="B524" s="8" t="inlineStr">
        <is>
          <t>NBC-0520</t>
        </is>
      </c>
      <c r="C524" s="8" t="inlineStr">
        <is>
          <t>unité de filtration NBC</t>
        </is>
      </c>
      <c r="D524" s="8" t="inlineStr">
        <is>
          <t>Protection NBC</t>
        </is>
      </c>
      <c r="E524" s="8" t="inlineStr">
        <is>
          <t>Protection NBC</t>
        </is>
      </c>
      <c r="F524" s="8" t="inlineStr">
        <is>
          <t>EQUIPEMENT_VEHICULE</t>
        </is>
      </c>
      <c r="G524" s="8" t="inlineStr">
        <is>
          <t>unité</t>
        </is>
      </c>
      <c r="H524" s="8" t="inlineStr">
        <is>
          <t>LARGE</t>
        </is>
      </c>
      <c r="I524" s="8" t="n">
        <v>0</v>
      </c>
      <c r="J524" s="8" t="inlineStr">
        <is>
          <t>A-03-03 : 30</t>
        </is>
      </c>
      <c r="K524" s="8" t="inlineStr"/>
      <c r="L524" s="10" t="n">
        <v>30</v>
      </c>
      <c r="M524" s="10" t="n">
        <v>30</v>
      </c>
      <c r="N524" s="10" t="n">
        <v>44</v>
      </c>
      <c r="O524" s="8" t="inlineStr">
        <is>
          <t>BOS</t>
        </is>
      </c>
      <c r="P524" s="8" t="inlineStr">
        <is>
          <t>STANDARD</t>
        </is>
      </c>
      <c r="Q524" s="8" t="inlineStr">
        <is>
          <t>WHAP</t>
        </is>
      </c>
      <c r="R524" s="8" t="inlineStr">
        <is>
          <t>OUI</t>
        </is>
      </c>
      <c r="S524" s="8" t="inlineStr">
        <is>
          <t>31/08/2026 02:59</t>
        </is>
      </c>
    </row>
    <row r="525">
      <c r="A525" s="7" t="inlineStr">
        <is>
          <t>WHAP-0521</t>
        </is>
      </c>
      <c r="B525" s="7" t="inlineStr">
        <is>
          <t>NBC-0521</t>
        </is>
      </c>
      <c r="C525" s="7" t="inlineStr">
        <is>
          <t>filtre NBC</t>
        </is>
      </c>
      <c r="D525" s="7" t="inlineStr">
        <is>
          <t>Protection NBC</t>
        </is>
      </c>
      <c r="E525" s="7" t="inlineStr">
        <is>
          <t>Protection NBC</t>
        </is>
      </c>
      <c r="F525" s="7" t="inlineStr">
        <is>
          <t>EQUIPEMENT_VEHICULE</t>
        </is>
      </c>
      <c r="G525" s="7" t="inlineStr">
        <is>
          <t>unité</t>
        </is>
      </c>
      <c r="H525" s="7" t="inlineStr">
        <is>
          <t>LARGE</t>
        </is>
      </c>
      <c r="I525" s="7" t="n">
        <v>0</v>
      </c>
      <c r="J525" s="7" t="inlineStr">
        <is>
          <t>D-04-01 : 12</t>
        </is>
      </c>
      <c r="K525" s="7" t="inlineStr"/>
      <c r="L525" s="9" t="n">
        <v>12</v>
      </c>
      <c r="M525" s="9" t="n">
        <v>12</v>
      </c>
      <c r="N525" s="9" t="n">
        <v>44</v>
      </c>
      <c r="O525" s="7" t="inlineStr">
        <is>
          <t>YZK</t>
        </is>
      </c>
      <c r="P525" s="7" t="inlineStr">
        <is>
          <t>STANDARD</t>
        </is>
      </c>
      <c r="Q525" s="7" t="inlineStr">
        <is>
          <t>WHAP</t>
        </is>
      </c>
      <c r="R525" s="7" t="inlineStr">
        <is>
          <t>OUI</t>
        </is>
      </c>
      <c r="S525" s="7" t="inlineStr">
        <is>
          <t>31/08/2026 02:59</t>
        </is>
      </c>
    </row>
    <row r="526">
      <c r="A526" s="8" t="inlineStr">
        <is>
          <t>WHAP-0522</t>
        </is>
      </c>
      <c r="B526" s="8" t="inlineStr">
        <is>
          <t>NBC-0522</t>
        </is>
      </c>
      <c r="C526" s="8" t="inlineStr">
        <is>
          <t>ventilateur NBC</t>
        </is>
      </c>
      <c r="D526" s="8" t="inlineStr">
        <is>
          <t>Protection NBC</t>
        </is>
      </c>
      <c r="E526" s="8" t="inlineStr">
        <is>
          <t>Protection NBC</t>
        </is>
      </c>
      <c r="F526" s="8" t="inlineStr">
        <is>
          <t>EQUIPEMENT_VEHICULE</t>
        </is>
      </c>
      <c r="G526" s="8" t="inlineStr">
        <is>
          <t>unité</t>
        </is>
      </c>
      <c r="H526" s="8" t="inlineStr">
        <is>
          <t>LARGE</t>
        </is>
      </c>
      <c r="I526" s="8" t="n">
        <v>0</v>
      </c>
      <c r="J526" s="8" t="inlineStr">
        <is>
          <t>B-02-04</t>
        </is>
      </c>
      <c r="K526" s="8" t="inlineStr"/>
      <c r="L526" s="10" t="n">
        <v>0</v>
      </c>
      <c r="M526" s="10" t="n">
        <v>0</v>
      </c>
      <c r="N526" s="10" t="n">
        <v>42</v>
      </c>
      <c r="O526" s="8" t="inlineStr">
        <is>
          <t>CTL</t>
        </is>
      </c>
      <c r="P526" s="8" t="inlineStr">
        <is>
          <t>STANDARD</t>
        </is>
      </c>
      <c r="Q526" s="8" t="inlineStr">
        <is>
          <t>WHAP</t>
        </is>
      </c>
      <c r="R526" s="8" t="inlineStr">
        <is>
          <t>OUI</t>
        </is>
      </c>
      <c r="S526" s="8" t="inlineStr">
        <is>
          <t>31/08/2026 02:59</t>
        </is>
      </c>
    </row>
    <row r="527">
      <c r="A527" s="7" t="inlineStr">
        <is>
          <t>WHAP-0523</t>
        </is>
      </c>
      <c r="B527" s="7" t="inlineStr">
        <is>
          <t>NBC-0523</t>
        </is>
      </c>
      <c r="C527" s="7" t="inlineStr">
        <is>
          <t>soufflante NBC</t>
        </is>
      </c>
      <c r="D527" s="7" t="inlineStr">
        <is>
          <t>Protection NBC</t>
        </is>
      </c>
      <c r="E527" s="7" t="inlineStr">
        <is>
          <t>Protection NBC</t>
        </is>
      </c>
      <c r="F527" s="7" t="inlineStr">
        <is>
          <t>EQUIPEMENT_VEHICULE</t>
        </is>
      </c>
      <c r="G527" s="7" t="inlineStr">
        <is>
          <t>unité</t>
        </is>
      </c>
      <c r="H527" s="7" t="inlineStr">
        <is>
          <t>LARGE</t>
        </is>
      </c>
      <c r="I527" s="7" t="n">
        <v>0</v>
      </c>
      <c r="J527" s="7" t="inlineStr">
        <is>
          <t>F-06-01</t>
        </is>
      </c>
      <c r="K527" s="7" t="inlineStr"/>
      <c r="L527" s="9" t="n">
        <v>0</v>
      </c>
      <c r="M527" s="9" t="n">
        <v>0</v>
      </c>
      <c r="N527" s="9" t="n">
        <v>41</v>
      </c>
      <c r="O527" s="7" t="inlineStr">
        <is>
          <t>YZK</t>
        </is>
      </c>
      <c r="P527" s="7" t="inlineStr">
        <is>
          <t>STANDARD</t>
        </is>
      </c>
      <c r="Q527" s="7" t="inlineStr">
        <is>
          <t>WHAP</t>
        </is>
      </c>
      <c r="R527" s="7" t="inlineStr">
        <is>
          <t>OUI</t>
        </is>
      </c>
      <c r="S527" s="7" t="inlineStr">
        <is>
          <t>31/08/2026 02:59</t>
        </is>
      </c>
    </row>
    <row r="528">
      <c r="A528" s="8" t="inlineStr">
        <is>
          <t>WHAP-0524</t>
        </is>
      </c>
      <c r="B528" s="8" t="inlineStr">
        <is>
          <t>NBC-0524</t>
        </is>
      </c>
      <c r="C528" s="8" t="inlineStr">
        <is>
          <t>capteur contamination</t>
        </is>
      </c>
      <c r="D528" s="8" t="inlineStr">
        <is>
          <t>Protection NBC</t>
        </is>
      </c>
      <c r="E528" s="8" t="inlineStr">
        <is>
          <t>Protection NBC</t>
        </is>
      </c>
      <c r="F528" s="8" t="inlineStr">
        <is>
          <t>EQUIPEMENT_VEHICULE</t>
        </is>
      </c>
      <c r="G528" s="8" t="inlineStr">
        <is>
          <t>unité</t>
        </is>
      </c>
      <c r="H528" s="8" t="inlineStr">
        <is>
          <t>LARGE</t>
        </is>
      </c>
      <c r="I528" s="8" t="n">
        <v>0</v>
      </c>
      <c r="J528" s="8" t="inlineStr">
        <is>
          <t>F-02-02</t>
        </is>
      </c>
      <c r="K528" s="8" t="inlineStr"/>
      <c r="L528" s="10" t="n">
        <v>0</v>
      </c>
      <c r="M528" s="10" t="n">
        <v>0</v>
      </c>
      <c r="N528" s="10" t="n">
        <v>43</v>
      </c>
      <c r="O528" s="8" t="inlineStr">
        <is>
          <t>VAL</t>
        </is>
      </c>
      <c r="P528" s="8" t="inlineStr">
        <is>
          <t>STANDARD</t>
        </is>
      </c>
      <c r="Q528" s="8" t="inlineStr">
        <is>
          <t>WHAP</t>
        </is>
      </c>
      <c r="R528" s="8" t="inlineStr">
        <is>
          <t>OUI</t>
        </is>
      </c>
      <c r="S528" s="8" t="inlineStr">
        <is>
          <t>31/08/2026 02:59</t>
        </is>
      </c>
    </row>
    <row r="529">
      <c r="A529" s="7" t="inlineStr">
        <is>
          <t>WHAP-0525</t>
        </is>
      </c>
      <c r="B529" s="7" t="inlineStr">
        <is>
          <t>NBC-0525</t>
        </is>
      </c>
      <c r="C529" s="7" t="inlineStr">
        <is>
          <t>capteur pression cabine</t>
        </is>
      </c>
      <c r="D529" s="7" t="inlineStr">
        <is>
          <t>Protection NBC</t>
        </is>
      </c>
      <c r="E529" s="7" t="inlineStr">
        <is>
          <t>Protection NBC</t>
        </is>
      </c>
      <c r="F529" s="7" t="inlineStr">
        <is>
          <t>EQUIPEMENT_VEHICULE</t>
        </is>
      </c>
      <c r="G529" s="7" t="inlineStr">
        <is>
          <t>unité</t>
        </is>
      </c>
      <c r="H529" s="7" t="inlineStr">
        <is>
          <t>LARGE</t>
        </is>
      </c>
      <c r="I529" s="7" t="n">
        <v>0</v>
      </c>
      <c r="J529" s="7" t="inlineStr">
        <is>
          <t>C-03-03</t>
        </is>
      </c>
      <c r="K529" s="7" t="inlineStr"/>
      <c r="L529" s="9" t="n">
        <v>0</v>
      </c>
      <c r="M529" s="9" t="n">
        <v>0</v>
      </c>
      <c r="N529" s="9" t="n">
        <v>42</v>
      </c>
      <c r="O529" s="7" t="inlineStr">
        <is>
          <t>DEL</t>
        </is>
      </c>
      <c r="P529" s="7" t="inlineStr">
        <is>
          <t>STANDARD</t>
        </is>
      </c>
      <c r="Q529" s="7" t="inlineStr">
        <is>
          <t>WHAP</t>
        </is>
      </c>
      <c r="R529" s="7" t="inlineStr">
        <is>
          <t>OUI</t>
        </is>
      </c>
      <c r="S529" s="7" t="inlineStr">
        <is>
          <t>31/08/2026 02:59</t>
        </is>
      </c>
    </row>
    <row r="530">
      <c r="A530" s="8" t="inlineStr">
        <is>
          <t>WHAP-0526</t>
        </is>
      </c>
      <c r="B530" s="8" t="inlineStr">
        <is>
          <t>NBC-0526</t>
        </is>
      </c>
      <c r="C530" s="8" t="inlineStr">
        <is>
          <t>vanne d'isolement</t>
        </is>
      </c>
      <c r="D530" s="8" t="inlineStr">
        <is>
          <t>Protection NBC</t>
        </is>
      </c>
      <c r="E530" s="8" t="inlineStr">
        <is>
          <t>Protection NBC</t>
        </is>
      </c>
      <c r="F530" s="8" t="inlineStr">
        <is>
          <t>EQUIPEMENT_VEHICULE</t>
        </is>
      </c>
      <c r="G530" s="8" t="inlineStr">
        <is>
          <t>unité</t>
        </is>
      </c>
      <c r="H530" s="8" t="inlineStr">
        <is>
          <t>LARGE</t>
        </is>
      </c>
      <c r="I530" s="8" t="n">
        <v>0</v>
      </c>
      <c r="J530" s="8" t="inlineStr">
        <is>
          <t>F-02-02</t>
        </is>
      </c>
      <c r="K530" s="8" t="inlineStr"/>
      <c r="L530" s="10" t="n">
        <v>0</v>
      </c>
      <c r="M530" s="10" t="n">
        <v>0</v>
      </c>
      <c r="N530" s="10" t="n">
        <v>42</v>
      </c>
      <c r="O530" s="8" t="inlineStr">
        <is>
          <t>VAL</t>
        </is>
      </c>
      <c r="P530" s="8" t="inlineStr">
        <is>
          <t>STANDARD</t>
        </is>
      </c>
      <c r="Q530" s="8" t="inlineStr">
        <is>
          <t>WHAP</t>
        </is>
      </c>
      <c r="R530" s="8" t="inlineStr">
        <is>
          <t>OUI</t>
        </is>
      </c>
      <c r="S530" s="8" t="inlineStr">
        <is>
          <t>31/08/2026 02:59</t>
        </is>
      </c>
    </row>
    <row r="531">
      <c r="A531" s="7" t="inlineStr">
        <is>
          <t>WHAP-0527</t>
        </is>
      </c>
      <c r="B531" s="7" t="inlineStr">
        <is>
          <t>NBC-0527</t>
        </is>
      </c>
      <c r="C531" s="7" t="inlineStr">
        <is>
          <t>clapet anti-retour</t>
        </is>
      </c>
      <c r="D531" s="7" t="inlineStr">
        <is>
          <t>Protection NBC</t>
        </is>
      </c>
      <c r="E531" s="7" t="inlineStr">
        <is>
          <t>Protection NBC</t>
        </is>
      </c>
      <c r="F531" s="7" t="inlineStr">
        <is>
          <t>EQUIPEMENT_VEHICULE</t>
        </is>
      </c>
      <c r="G531" s="7" t="inlineStr">
        <is>
          <t>unité</t>
        </is>
      </c>
      <c r="H531" s="7" t="inlineStr">
        <is>
          <t>LARGE</t>
        </is>
      </c>
      <c r="I531" s="7" t="n">
        <v>0</v>
      </c>
      <c r="J531" s="7" t="inlineStr">
        <is>
          <t>D-03-02</t>
        </is>
      </c>
      <c r="K531" s="7" t="inlineStr"/>
      <c r="L531" s="9" t="n">
        <v>0</v>
      </c>
      <c r="M531" s="9" t="n">
        <v>0</v>
      </c>
      <c r="N531" s="9" t="n">
        <v>43</v>
      </c>
      <c r="O531" s="7" t="inlineStr">
        <is>
          <t>FAU</t>
        </is>
      </c>
      <c r="P531" s="7" t="inlineStr">
        <is>
          <t>STANDARD</t>
        </is>
      </c>
      <c r="Q531" s="7" t="inlineStr">
        <is>
          <t>WHAP</t>
        </is>
      </c>
      <c r="R531" s="7" t="inlineStr">
        <is>
          <t>OUI</t>
        </is>
      </c>
      <c r="S531" s="7" t="inlineStr">
        <is>
          <t>31/08/2026 02:59</t>
        </is>
      </c>
    </row>
    <row r="532">
      <c r="A532" s="8" t="inlineStr">
        <is>
          <t>WHAP-0528</t>
        </is>
      </c>
      <c r="B532" s="8" t="inlineStr">
        <is>
          <t>NBC-0528</t>
        </is>
      </c>
      <c r="C532" s="8" t="inlineStr">
        <is>
          <t>conduit NBC</t>
        </is>
      </c>
      <c r="D532" s="8" t="inlineStr">
        <is>
          <t>Protection NBC</t>
        </is>
      </c>
      <c r="E532" s="8" t="inlineStr">
        <is>
          <t>Protection NBC</t>
        </is>
      </c>
      <c r="F532" s="8" t="inlineStr">
        <is>
          <t>EQUIPEMENT_VEHICULE</t>
        </is>
      </c>
      <c r="G532" s="8" t="inlineStr">
        <is>
          <t>unité</t>
        </is>
      </c>
      <c r="H532" s="8" t="inlineStr">
        <is>
          <t>LARGE</t>
        </is>
      </c>
      <c r="I532" s="8" t="n">
        <v>0</v>
      </c>
      <c r="J532" s="8" t="inlineStr">
        <is>
          <t>A-05-03</t>
        </is>
      </c>
      <c r="K532" s="8" t="inlineStr"/>
      <c r="L532" s="10" t="n">
        <v>0</v>
      </c>
      <c r="M532" s="10" t="n">
        <v>0</v>
      </c>
      <c r="N532" s="10" t="n">
        <v>50</v>
      </c>
      <c r="O532" s="8" t="inlineStr">
        <is>
          <t>BOS</t>
        </is>
      </c>
      <c r="P532" s="8" t="inlineStr">
        <is>
          <t>STANDARD</t>
        </is>
      </c>
      <c r="Q532" s="8" t="inlineStr">
        <is>
          <t>WHAP</t>
        </is>
      </c>
      <c r="R532" s="8" t="inlineStr">
        <is>
          <t>OUI</t>
        </is>
      </c>
      <c r="S532" s="8" t="inlineStr">
        <is>
          <t>31/08/2026 02:59</t>
        </is>
      </c>
    </row>
    <row r="533">
      <c r="A533" s="7" t="inlineStr">
        <is>
          <t>WHAP-0529</t>
        </is>
      </c>
      <c r="B533" s="7" t="inlineStr">
        <is>
          <t>NBC-0529</t>
        </is>
      </c>
      <c r="C533" s="7" t="inlineStr">
        <is>
          <t>joint étanche</t>
        </is>
      </c>
      <c r="D533" s="7" t="inlineStr">
        <is>
          <t>Protection NBC</t>
        </is>
      </c>
      <c r="E533" s="7" t="inlineStr">
        <is>
          <t>Protection NBC</t>
        </is>
      </c>
      <c r="F533" s="7" t="inlineStr">
        <is>
          <t>EQUIPEMENT_VEHICULE</t>
        </is>
      </c>
      <c r="G533" s="7" t="inlineStr">
        <is>
          <t>unité</t>
        </is>
      </c>
      <c r="H533" s="7" t="inlineStr">
        <is>
          <t>LARGE</t>
        </is>
      </c>
      <c r="I533" s="7" t="n">
        <v>0</v>
      </c>
      <c r="J533" s="7" t="inlineStr">
        <is>
          <t>B-01-01</t>
        </is>
      </c>
      <c r="K533" s="7" t="inlineStr"/>
      <c r="L533" s="9" t="n">
        <v>0</v>
      </c>
      <c r="M533" s="9" t="n">
        <v>0</v>
      </c>
      <c r="N533" s="9" t="n">
        <v>46</v>
      </c>
      <c r="O533" s="7" t="inlineStr">
        <is>
          <t>VAL</t>
        </is>
      </c>
      <c r="P533" s="7" t="inlineStr">
        <is>
          <t>STANDARD</t>
        </is>
      </c>
      <c r="Q533" s="7" t="inlineStr">
        <is>
          <t>WHAP</t>
        </is>
      </c>
      <c r="R533" s="7" t="inlineStr">
        <is>
          <t>OUI</t>
        </is>
      </c>
      <c r="S533" s="7" t="inlineStr">
        <is>
          <t>31/08/2026 02:59</t>
        </is>
      </c>
    </row>
    <row r="534">
      <c r="A534" s="8" t="inlineStr">
        <is>
          <t>WHAP-0530</t>
        </is>
      </c>
      <c r="B534" s="8" t="inlineStr">
        <is>
          <t>NBC-0530</t>
        </is>
      </c>
      <c r="C534" s="8" t="inlineStr">
        <is>
          <t>boîtier de commande NBC</t>
        </is>
      </c>
      <c r="D534" s="8" t="inlineStr">
        <is>
          <t>Protection NBC</t>
        </is>
      </c>
      <c r="E534" s="8" t="inlineStr">
        <is>
          <t>Protection NBC</t>
        </is>
      </c>
      <c r="F534" s="8" t="inlineStr">
        <is>
          <t>EQUIPEMENT_VEHICULE</t>
        </is>
      </c>
      <c r="G534" s="8" t="inlineStr">
        <is>
          <t>unité</t>
        </is>
      </c>
      <c r="H534" s="8" t="inlineStr">
        <is>
          <t>LARGE</t>
        </is>
      </c>
      <c r="I534" s="8" t="n">
        <v>0</v>
      </c>
      <c r="J534" s="8" t="inlineStr">
        <is>
          <t>F-03-01</t>
        </is>
      </c>
      <c r="K534" s="8" t="inlineStr"/>
      <c r="L534" s="10" t="n">
        <v>0</v>
      </c>
      <c r="M534" s="10" t="n">
        <v>0</v>
      </c>
      <c r="N534" s="10" t="n">
        <v>44</v>
      </c>
      <c r="O534" s="8" t="inlineStr">
        <is>
          <t>CTL</t>
        </is>
      </c>
      <c r="P534" s="8" t="inlineStr">
        <is>
          <t>STANDARD</t>
        </is>
      </c>
      <c r="Q534" s="8" t="inlineStr">
        <is>
          <t>WHAP</t>
        </is>
      </c>
      <c r="R534" s="8" t="inlineStr">
        <is>
          <t>OUI</t>
        </is>
      </c>
      <c r="S534" s="8" t="inlineStr">
        <is>
          <t>31/08/2026 02:59</t>
        </is>
      </c>
    </row>
    <row r="535">
      <c r="A535" s="7" t="inlineStr">
        <is>
          <t>WHAP-0531</t>
        </is>
      </c>
      <c r="B535" s="7" t="inlineStr">
        <is>
          <t>NBC-0531</t>
        </is>
      </c>
      <c r="C535" s="7" t="inlineStr">
        <is>
          <t>indicateur de pression</t>
        </is>
      </c>
      <c r="D535" s="7" t="inlineStr">
        <is>
          <t>Protection NBC</t>
        </is>
      </c>
      <c r="E535" s="7" t="inlineStr">
        <is>
          <t>Protection NBC</t>
        </is>
      </c>
      <c r="F535" s="7" t="inlineStr">
        <is>
          <t>EQUIPEMENT_VEHICULE</t>
        </is>
      </c>
      <c r="G535" s="7" t="inlineStr">
        <is>
          <t>unité</t>
        </is>
      </c>
      <c r="H535" s="7" t="inlineStr">
        <is>
          <t>LARGE</t>
        </is>
      </c>
      <c r="I535" s="7" t="n">
        <v>0</v>
      </c>
      <c r="J535" s="7" t="inlineStr">
        <is>
          <t>E-06-03</t>
        </is>
      </c>
      <c r="K535" s="7" t="inlineStr"/>
      <c r="L535" s="9" t="n">
        <v>0</v>
      </c>
      <c r="M535" s="9" t="n">
        <v>0</v>
      </c>
      <c r="N535" s="9" t="n">
        <v>50</v>
      </c>
      <c r="O535" s="7" t="inlineStr">
        <is>
          <t>MAG</t>
        </is>
      </c>
      <c r="P535" s="7" t="inlineStr">
        <is>
          <t>STANDARD</t>
        </is>
      </c>
      <c r="Q535" s="7" t="inlineStr">
        <is>
          <t>WHAP</t>
        </is>
      </c>
      <c r="R535" s="7" t="inlineStr">
        <is>
          <t>OUI</t>
        </is>
      </c>
      <c r="S535" s="7" t="inlineStr">
        <is>
          <t>31/08/2026 02:59</t>
        </is>
      </c>
    </row>
    <row r="536">
      <c r="A536" s="8" t="inlineStr">
        <is>
          <t>WHAP-0532</t>
        </is>
      </c>
      <c r="B536" s="8" t="inlineStr">
        <is>
          <t>NBC-0532</t>
        </is>
      </c>
      <c r="C536" s="8" t="inlineStr">
        <is>
          <t>manomètre cabine</t>
        </is>
      </c>
      <c r="D536" s="8" t="inlineStr">
        <is>
          <t>Protection NBC</t>
        </is>
      </c>
      <c r="E536" s="8" t="inlineStr">
        <is>
          <t>Protection NBC</t>
        </is>
      </c>
      <c r="F536" s="8" t="inlineStr">
        <is>
          <t>EQUIPEMENT_VEHICULE</t>
        </is>
      </c>
      <c r="G536" s="8" t="inlineStr">
        <is>
          <t>unité</t>
        </is>
      </c>
      <c r="H536" s="8" t="inlineStr">
        <is>
          <t>LARGE</t>
        </is>
      </c>
      <c r="I536" s="8" t="n">
        <v>0</v>
      </c>
      <c r="J536" s="8" t="inlineStr">
        <is>
          <t>F-05-02</t>
        </is>
      </c>
      <c r="K536" s="8" t="inlineStr"/>
      <c r="L536" s="10" t="n">
        <v>0</v>
      </c>
      <c r="M536" s="10" t="n">
        <v>0</v>
      </c>
      <c r="N536" s="10" t="n">
        <v>46</v>
      </c>
      <c r="O536" s="8" t="inlineStr">
        <is>
          <t>YZK</t>
        </is>
      </c>
      <c r="P536" s="8" t="inlineStr">
        <is>
          <t>STANDARD</t>
        </is>
      </c>
      <c r="Q536" s="8" t="inlineStr">
        <is>
          <t>WHAP</t>
        </is>
      </c>
      <c r="R536" s="8" t="inlineStr">
        <is>
          <t>OUI</t>
        </is>
      </c>
      <c r="S536" s="8" t="inlineStr">
        <is>
          <t>31/08/2026 02:59</t>
        </is>
      </c>
    </row>
    <row r="537">
      <c r="A537" s="7" t="inlineStr">
        <is>
          <t>WHAP-0533</t>
        </is>
      </c>
      <c r="B537" s="7" t="inlineStr">
        <is>
          <t>NBC-0533</t>
        </is>
      </c>
      <c r="C537" s="7" t="inlineStr">
        <is>
          <t>filtre primaire</t>
        </is>
      </c>
      <c r="D537" s="7" t="inlineStr">
        <is>
          <t>Protection NBC</t>
        </is>
      </c>
      <c r="E537" s="7" t="inlineStr">
        <is>
          <t>Protection NBC</t>
        </is>
      </c>
      <c r="F537" s="7" t="inlineStr">
        <is>
          <t>EQUIPEMENT_VEHICULE</t>
        </is>
      </c>
      <c r="G537" s="7" t="inlineStr">
        <is>
          <t>unité</t>
        </is>
      </c>
      <c r="H537" s="7" t="inlineStr">
        <is>
          <t>LARGE</t>
        </is>
      </c>
      <c r="I537" s="7" t="n">
        <v>0</v>
      </c>
      <c r="J537" s="7" t="inlineStr">
        <is>
          <t>E-02-01</t>
        </is>
      </c>
      <c r="K537" s="7" t="inlineStr"/>
      <c r="L537" s="9" t="n">
        <v>0</v>
      </c>
      <c r="M537" s="9" t="n">
        <v>0</v>
      </c>
      <c r="N537" s="9" t="n">
        <v>45</v>
      </c>
      <c r="O537" s="7" t="inlineStr">
        <is>
          <t>BOS</t>
        </is>
      </c>
      <c r="P537" s="7" t="inlineStr">
        <is>
          <t>STANDARD</t>
        </is>
      </c>
      <c r="Q537" s="7" t="inlineStr">
        <is>
          <t>WHAP</t>
        </is>
      </c>
      <c r="R537" s="7" t="inlineStr">
        <is>
          <t>OUI</t>
        </is>
      </c>
      <c r="S537" s="7" t="inlineStr">
        <is>
          <t>31/08/2026 02:59</t>
        </is>
      </c>
    </row>
    <row r="538">
      <c r="A538" s="8" t="inlineStr">
        <is>
          <t>WHAP-0534</t>
        </is>
      </c>
      <c r="B538" s="8" t="inlineStr">
        <is>
          <t>NBC-0534</t>
        </is>
      </c>
      <c r="C538" s="8" t="inlineStr">
        <is>
          <t>filtre secondaire</t>
        </is>
      </c>
      <c r="D538" s="8" t="inlineStr">
        <is>
          <t>Protection NBC</t>
        </is>
      </c>
      <c r="E538" s="8" t="inlineStr">
        <is>
          <t>Protection NBC</t>
        </is>
      </c>
      <c r="F538" s="8" t="inlineStr">
        <is>
          <t>EQUIPEMENT_VEHICULE</t>
        </is>
      </c>
      <c r="G538" s="8" t="inlineStr">
        <is>
          <t>unité</t>
        </is>
      </c>
      <c r="H538" s="8" t="inlineStr">
        <is>
          <t>LARGE</t>
        </is>
      </c>
      <c r="I538" s="8" t="n">
        <v>0</v>
      </c>
      <c r="J538" s="8" t="inlineStr">
        <is>
          <t>F-06-04</t>
        </is>
      </c>
      <c r="K538" s="8" t="inlineStr"/>
      <c r="L538" s="10" t="n">
        <v>0</v>
      </c>
      <c r="M538" s="10" t="n">
        <v>0</v>
      </c>
      <c r="N538" s="10" t="n">
        <v>46</v>
      </c>
      <c r="O538" s="8" t="inlineStr">
        <is>
          <t>CTL</t>
        </is>
      </c>
      <c r="P538" s="8" t="inlineStr">
        <is>
          <t>STANDARD</t>
        </is>
      </c>
      <c r="Q538" s="8" t="inlineStr">
        <is>
          <t>WHAP</t>
        </is>
      </c>
      <c r="R538" s="8" t="inlineStr">
        <is>
          <t>OUI</t>
        </is>
      </c>
      <c r="S538" s="8" t="inlineStr">
        <is>
          <t>31/08/2026 02:59</t>
        </is>
      </c>
    </row>
    <row r="539">
      <c r="A539" s="7" t="inlineStr">
        <is>
          <t>WHAP-0535</t>
        </is>
      </c>
      <c r="B539" s="7" t="inlineStr">
        <is>
          <t>INC-0535</t>
        </is>
      </c>
      <c r="C539" s="7" t="inlineStr">
        <is>
          <t>unité de détection incendie</t>
        </is>
      </c>
      <c r="D539" s="7" t="inlineStr">
        <is>
          <t>Incendie</t>
        </is>
      </c>
      <c r="E539" s="7" t="inlineStr">
        <is>
          <t>Incendie</t>
        </is>
      </c>
      <c r="F539" s="7" t="inlineStr">
        <is>
          <t>EQUIPEMENT_VEHICULE</t>
        </is>
      </c>
      <c r="G539" s="7" t="inlineStr">
        <is>
          <t>unité</t>
        </is>
      </c>
      <c r="H539" s="7" t="inlineStr">
        <is>
          <t>LARGE</t>
        </is>
      </c>
      <c r="I539" s="7" t="n">
        <v>0</v>
      </c>
      <c r="J539" s="7" t="inlineStr">
        <is>
          <t>D-04-01 : 12</t>
        </is>
      </c>
      <c r="K539" s="7" t="inlineStr"/>
      <c r="L539" s="9" t="n">
        <v>12</v>
      </c>
      <c r="M539" s="9" t="n">
        <v>12</v>
      </c>
      <c r="N539" s="9" t="n">
        <v>41</v>
      </c>
      <c r="O539" s="7" t="inlineStr">
        <is>
          <t>CTL</t>
        </is>
      </c>
      <c r="P539" s="7" t="inlineStr">
        <is>
          <t>STANDARD</t>
        </is>
      </c>
      <c r="Q539" s="7" t="inlineStr">
        <is>
          <t>WHAP</t>
        </is>
      </c>
      <c r="R539" s="7" t="inlineStr">
        <is>
          <t>OUI</t>
        </is>
      </c>
      <c r="S539" s="7" t="inlineStr">
        <is>
          <t>31/08/2026 02:59</t>
        </is>
      </c>
    </row>
    <row r="540">
      <c r="A540" s="8" t="inlineStr">
        <is>
          <t>WHAP-0536</t>
        </is>
      </c>
      <c r="B540" s="8" t="inlineStr">
        <is>
          <t>INC-0536</t>
        </is>
      </c>
      <c r="C540" s="8" t="inlineStr">
        <is>
          <t>capteur flamme</t>
        </is>
      </c>
      <c r="D540" s="8" t="inlineStr">
        <is>
          <t>Incendie</t>
        </is>
      </c>
      <c r="E540" s="8" t="inlineStr">
        <is>
          <t>Incendie</t>
        </is>
      </c>
      <c r="F540" s="8" t="inlineStr">
        <is>
          <t>EQUIPEMENT_VEHICULE</t>
        </is>
      </c>
      <c r="G540" s="8" t="inlineStr">
        <is>
          <t>unité</t>
        </is>
      </c>
      <c r="H540" s="8" t="inlineStr">
        <is>
          <t>LARGE</t>
        </is>
      </c>
      <c r="I540" s="8" t="n">
        <v>0</v>
      </c>
      <c r="J540" s="8" t="inlineStr">
        <is>
          <t>C-02-04</t>
        </is>
      </c>
      <c r="K540" s="8" t="inlineStr"/>
      <c r="L540" s="10" t="n">
        <v>0</v>
      </c>
      <c r="M540" s="10" t="n">
        <v>0</v>
      </c>
      <c r="N540" s="10" t="n">
        <v>44</v>
      </c>
      <c r="O540" s="8" t="inlineStr">
        <is>
          <t>MAG</t>
        </is>
      </c>
      <c r="P540" s="8" t="inlineStr">
        <is>
          <t>STANDARD</t>
        </is>
      </c>
      <c r="Q540" s="8" t="inlineStr">
        <is>
          <t>WHAP</t>
        </is>
      </c>
      <c r="R540" s="8" t="inlineStr">
        <is>
          <t>OUI</t>
        </is>
      </c>
      <c r="S540" s="8" t="inlineStr">
        <is>
          <t>31/08/2026 02:59</t>
        </is>
      </c>
    </row>
    <row r="541">
      <c r="A541" s="7" t="inlineStr">
        <is>
          <t>WHAP-0537</t>
        </is>
      </c>
      <c r="B541" s="7" t="inlineStr">
        <is>
          <t>INC-0537</t>
        </is>
      </c>
      <c r="C541" s="7" t="inlineStr">
        <is>
          <t>capteur température incendie</t>
        </is>
      </c>
      <c r="D541" s="7" t="inlineStr">
        <is>
          <t>Incendie</t>
        </is>
      </c>
      <c r="E541" s="7" t="inlineStr">
        <is>
          <t>Incendie</t>
        </is>
      </c>
      <c r="F541" s="7" t="inlineStr">
        <is>
          <t>EQUIPEMENT_VEHICULE</t>
        </is>
      </c>
      <c r="G541" s="7" t="inlineStr">
        <is>
          <t>unité</t>
        </is>
      </c>
      <c r="H541" s="7" t="inlineStr">
        <is>
          <t>LARGE</t>
        </is>
      </c>
      <c r="I541" s="7" t="n">
        <v>0</v>
      </c>
      <c r="J541" s="7" t="inlineStr">
        <is>
          <t>D-01-01</t>
        </is>
      </c>
      <c r="K541" s="7" t="inlineStr"/>
      <c r="L541" s="9" t="n">
        <v>0</v>
      </c>
      <c r="M541" s="9" t="n">
        <v>0</v>
      </c>
      <c r="N541" s="9" t="n">
        <v>46</v>
      </c>
      <c r="O541" s="7" t="inlineStr">
        <is>
          <t>SKF</t>
        </is>
      </c>
      <c r="P541" s="7" t="inlineStr">
        <is>
          <t>STANDARD</t>
        </is>
      </c>
      <c r="Q541" s="7" t="inlineStr">
        <is>
          <t>WHAP</t>
        </is>
      </c>
      <c r="R541" s="7" t="inlineStr">
        <is>
          <t>OUI</t>
        </is>
      </c>
      <c r="S541" s="7" t="inlineStr">
        <is>
          <t>31/08/2026 02:59</t>
        </is>
      </c>
    </row>
    <row r="542">
      <c r="A542" s="8" t="inlineStr">
        <is>
          <t>WHAP-0538</t>
        </is>
      </c>
      <c r="B542" s="8" t="inlineStr">
        <is>
          <t>INC-0538</t>
        </is>
      </c>
      <c r="C542" s="8" t="inlineStr">
        <is>
          <t>capteur fumée</t>
        </is>
      </c>
      <c r="D542" s="8" t="inlineStr">
        <is>
          <t>Incendie</t>
        </is>
      </c>
      <c r="E542" s="8" t="inlineStr">
        <is>
          <t>Incendie</t>
        </is>
      </c>
      <c r="F542" s="8" t="inlineStr">
        <is>
          <t>EQUIPEMENT_VEHICULE</t>
        </is>
      </c>
      <c r="G542" s="8" t="inlineStr">
        <is>
          <t>unité</t>
        </is>
      </c>
      <c r="H542" s="8" t="inlineStr">
        <is>
          <t>LARGE</t>
        </is>
      </c>
      <c r="I542" s="8" t="n">
        <v>0</v>
      </c>
      <c r="J542" s="8" t="inlineStr">
        <is>
          <t>A-01-03</t>
        </is>
      </c>
      <c r="K542" s="8" t="inlineStr"/>
      <c r="L542" s="10" t="n">
        <v>0</v>
      </c>
      <c r="M542" s="10" t="n">
        <v>0</v>
      </c>
      <c r="N542" s="10" t="n">
        <v>41</v>
      </c>
      <c r="O542" s="8" t="inlineStr">
        <is>
          <t>DEL</t>
        </is>
      </c>
      <c r="P542" s="8" t="inlineStr">
        <is>
          <t>STANDARD</t>
        </is>
      </c>
      <c r="Q542" s="8" t="inlineStr">
        <is>
          <t>WHAP</t>
        </is>
      </c>
      <c r="R542" s="8" t="inlineStr">
        <is>
          <t>OUI</t>
        </is>
      </c>
      <c r="S542" s="8" t="inlineStr">
        <is>
          <t>31/08/2026 02:59</t>
        </is>
      </c>
    </row>
    <row r="543">
      <c r="A543" s="7" t="inlineStr">
        <is>
          <t>WHAP-0539</t>
        </is>
      </c>
      <c r="B543" s="7" t="inlineStr">
        <is>
          <t>INC-0539</t>
        </is>
      </c>
      <c r="C543" s="7" t="inlineStr">
        <is>
          <t>bouteille extinctrice</t>
        </is>
      </c>
      <c r="D543" s="7" t="inlineStr">
        <is>
          <t>Incendie</t>
        </is>
      </c>
      <c r="E543" s="7" t="inlineStr">
        <is>
          <t>Incendie</t>
        </is>
      </c>
      <c r="F543" s="7" t="inlineStr">
        <is>
          <t>EQUIPEMENT_VEHICULE</t>
        </is>
      </c>
      <c r="G543" s="7" t="inlineStr">
        <is>
          <t>unité</t>
        </is>
      </c>
      <c r="H543" s="7" t="inlineStr">
        <is>
          <t>LARGE</t>
        </is>
      </c>
      <c r="I543" s="7" t="n">
        <v>0</v>
      </c>
      <c r="J543" s="7" t="inlineStr">
        <is>
          <t>A-03-03</t>
        </is>
      </c>
      <c r="K543" s="7" t="inlineStr"/>
      <c r="L543" s="9" t="n">
        <v>0</v>
      </c>
      <c r="M543" s="9" t="n">
        <v>0</v>
      </c>
      <c r="N543" s="9" t="n">
        <v>47</v>
      </c>
      <c r="O543" s="7" t="inlineStr">
        <is>
          <t>MAG</t>
        </is>
      </c>
      <c r="P543" s="7" t="inlineStr">
        <is>
          <t>STANDARD</t>
        </is>
      </c>
      <c r="Q543" s="7" t="inlineStr">
        <is>
          <t>WHAP</t>
        </is>
      </c>
      <c r="R543" s="7" t="inlineStr">
        <is>
          <t>OUI</t>
        </is>
      </c>
      <c r="S543" s="7" t="inlineStr">
        <is>
          <t>31/08/2026 02:59</t>
        </is>
      </c>
    </row>
    <row r="544">
      <c r="A544" s="8" t="inlineStr">
        <is>
          <t>WHAP-0540</t>
        </is>
      </c>
      <c r="B544" s="8" t="inlineStr">
        <is>
          <t>INC-0540</t>
        </is>
      </c>
      <c r="C544" s="8" t="inlineStr">
        <is>
          <t>agent extincteur</t>
        </is>
      </c>
      <c r="D544" s="8" t="inlineStr">
        <is>
          <t>Incendie</t>
        </is>
      </c>
      <c r="E544" s="8" t="inlineStr">
        <is>
          <t>Incendie</t>
        </is>
      </c>
      <c r="F544" s="8" t="inlineStr">
        <is>
          <t>EQUIPEMENT_VEHICULE</t>
        </is>
      </c>
      <c r="G544" s="8" t="inlineStr">
        <is>
          <t>unité</t>
        </is>
      </c>
      <c r="H544" s="8" t="inlineStr">
        <is>
          <t>LARGE</t>
        </is>
      </c>
      <c r="I544" s="8" t="n">
        <v>0</v>
      </c>
      <c r="J544" s="8" t="inlineStr">
        <is>
          <t>D-03-04</t>
        </is>
      </c>
      <c r="K544" s="8" t="inlineStr"/>
      <c r="L544" s="10" t="n">
        <v>0</v>
      </c>
      <c r="M544" s="10" t="n">
        <v>0</v>
      </c>
      <c r="N544" s="10" t="n">
        <v>48</v>
      </c>
      <c r="O544" s="8" t="inlineStr">
        <is>
          <t>FAU</t>
        </is>
      </c>
      <c r="P544" s="8" t="inlineStr">
        <is>
          <t>STANDARD</t>
        </is>
      </c>
      <c r="Q544" s="8" t="inlineStr">
        <is>
          <t>WHAP</t>
        </is>
      </c>
      <c r="R544" s="8" t="inlineStr">
        <is>
          <t>OUI</t>
        </is>
      </c>
      <c r="S544" s="8" t="inlineStr">
        <is>
          <t>31/08/2026 02:59</t>
        </is>
      </c>
    </row>
    <row r="545">
      <c r="A545" s="7" t="inlineStr">
        <is>
          <t>WHAP-0541</t>
        </is>
      </c>
      <c r="B545" s="7" t="inlineStr">
        <is>
          <t>INC-0541</t>
        </is>
      </c>
      <c r="C545" s="7" t="inlineStr">
        <is>
          <t>tuyau d'extinction</t>
        </is>
      </c>
      <c r="D545" s="7" t="inlineStr">
        <is>
          <t>Incendie</t>
        </is>
      </c>
      <c r="E545" s="7" t="inlineStr">
        <is>
          <t>Incendie</t>
        </is>
      </c>
      <c r="F545" s="7" t="inlineStr">
        <is>
          <t>EQUIPEMENT_VEHICULE</t>
        </is>
      </c>
      <c r="G545" s="7" t="inlineStr">
        <is>
          <t>unité</t>
        </is>
      </c>
      <c r="H545" s="7" t="inlineStr">
        <is>
          <t>LARGE</t>
        </is>
      </c>
      <c r="I545" s="7" t="n">
        <v>0</v>
      </c>
      <c r="J545" s="7" t="inlineStr">
        <is>
          <t>B-06-03</t>
        </is>
      </c>
      <c r="K545" s="7" t="inlineStr"/>
      <c r="L545" s="9" t="n">
        <v>0</v>
      </c>
      <c r="M545" s="9" t="n">
        <v>0</v>
      </c>
      <c r="N545" s="9" t="n">
        <v>46</v>
      </c>
      <c r="O545" s="7" t="inlineStr">
        <is>
          <t>YZK</t>
        </is>
      </c>
      <c r="P545" s="7" t="inlineStr">
        <is>
          <t>STANDARD</t>
        </is>
      </c>
      <c r="Q545" s="7" t="inlineStr">
        <is>
          <t>WHAP</t>
        </is>
      </c>
      <c r="R545" s="7" t="inlineStr">
        <is>
          <t>OUI</t>
        </is>
      </c>
      <c r="S545" s="7" t="inlineStr">
        <is>
          <t>31/08/2026 02:59</t>
        </is>
      </c>
    </row>
    <row r="546">
      <c r="A546" s="8" t="inlineStr">
        <is>
          <t>WHAP-0542</t>
        </is>
      </c>
      <c r="B546" s="8" t="inlineStr">
        <is>
          <t>INC-0542</t>
        </is>
      </c>
      <c r="C546" s="8" t="inlineStr">
        <is>
          <t>buse d'extinction</t>
        </is>
      </c>
      <c r="D546" s="8" t="inlineStr">
        <is>
          <t>Incendie</t>
        </is>
      </c>
      <c r="E546" s="8" t="inlineStr">
        <is>
          <t>Incendie</t>
        </is>
      </c>
      <c r="F546" s="8" t="inlineStr">
        <is>
          <t>EQUIPEMENT_VEHICULE</t>
        </is>
      </c>
      <c r="G546" s="8" t="inlineStr">
        <is>
          <t>unité</t>
        </is>
      </c>
      <c r="H546" s="8" t="inlineStr">
        <is>
          <t>LARGE</t>
        </is>
      </c>
      <c r="I546" s="8" t="n">
        <v>0</v>
      </c>
      <c r="J546" s="8" t="inlineStr">
        <is>
          <t>F-03-04</t>
        </is>
      </c>
      <c r="K546" s="8" t="inlineStr"/>
      <c r="L546" s="10" t="n">
        <v>0</v>
      </c>
      <c r="M546" s="10" t="n">
        <v>0</v>
      </c>
      <c r="N546" s="10" t="n">
        <v>42</v>
      </c>
      <c r="O546" s="8" t="inlineStr">
        <is>
          <t>SKF</t>
        </is>
      </c>
      <c r="P546" s="8" t="inlineStr">
        <is>
          <t>STANDARD</t>
        </is>
      </c>
      <c r="Q546" s="8" t="inlineStr">
        <is>
          <t>WHAP</t>
        </is>
      </c>
      <c r="R546" s="8" t="inlineStr">
        <is>
          <t>OUI</t>
        </is>
      </c>
      <c r="S546" s="8" t="inlineStr">
        <is>
          <t>31/08/2026 02:59</t>
        </is>
      </c>
    </row>
    <row r="547">
      <c r="A547" s="7" t="inlineStr">
        <is>
          <t>WHAP-0543</t>
        </is>
      </c>
      <c r="B547" s="7" t="inlineStr">
        <is>
          <t>INC-0543</t>
        </is>
      </c>
      <c r="C547" s="7" t="inlineStr">
        <is>
          <t>vanne d'extinction</t>
        </is>
      </c>
      <c r="D547" s="7" t="inlineStr">
        <is>
          <t>Incendie</t>
        </is>
      </c>
      <c r="E547" s="7" t="inlineStr">
        <is>
          <t>Incendie</t>
        </is>
      </c>
      <c r="F547" s="7" t="inlineStr">
        <is>
          <t>EQUIPEMENT_VEHICULE</t>
        </is>
      </c>
      <c r="G547" s="7" t="inlineStr">
        <is>
          <t>unité</t>
        </is>
      </c>
      <c r="H547" s="7" t="inlineStr">
        <is>
          <t>LARGE</t>
        </is>
      </c>
      <c r="I547" s="7" t="n">
        <v>0</v>
      </c>
      <c r="J547" s="7" t="inlineStr">
        <is>
          <t>B-03-02</t>
        </is>
      </c>
      <c r="K547" s="7" t="inlineStr"/>
      <c r="L547" s="9" t="n">
        <v>0</v>
      </c>
      <c r="M547" s="9" t="n">
        <v>0</v>
      </c>
      <c r="N547" s="9" t="n">
        <v>45</v>
      </c>
      <c r="O547" s="7" t="inlineStr">
        <is>
          <t>YZK</t>
        </is>
      </c>
      <c r="P547" s="7" t="inlineStr">
        <is>
          <t>STANDARD</t>
        </is>
      </c>
      <c r="Q547" s="7" t="inlineStr">
        <is>
          <t>WHAP</t>
        </is>
      </c>
      <c r="R547" s="7" t="inlineStr">
        <is>
          <t>OUI</t>
        </is>
      </c>
      <c r="S547" s="7" t="inlineStr">
        <is>
          <t>31/08/2026 02:59</t>
        </is>
      </c>
    </row>
    <row r="548">
      <c r="A548" s="8" t="inlineStr">
        <is>
          <t>WHAP-0544</t>
        </is>
      </c>
      <c r="B548" s="8" t="inlineStr">
        <is>
          <t>INC-0544</t>
        </is>
      </c>
      <c r="C548" s="8" t="inlineStr">
        <is>
          <t>électrovanne incendie</t>
        </is>
      </c>
      <c r="D548" s="8" t="inlineStr">
        <is>
          <t>Incendie</t>
        </is>
      </c>
      <c r="E548" s="8" t="inlineStr">
        <is>
          <t>Incendie</t>
        </is>
      </c>
      <c r="F548" s="8" t="inlineStr">
        <is>
          <t>EQUIPEMENT_VEHICULE</t>
        </is>
      </c>
      <c r="G548" s="8" t="inlineStr">
        <is>
          <t>unité</t>
        </is>
      </c>
      <c r="H548" s="8" t="inlineStr">
        <is>
          <t>LARGE</t>
        </is>
      </c>
      <c r="I548" s="8" t="n">
        <v>0</v>
      </c>
      <c r="J548" s="8" t="inlineStr">
        <is>
          <t>B-05-03</t>
        </is>
      </c>
      <c r="K548" s="8" t="inlineStr"/>
      <c r="L548" s="10" t="n">
        <v>0</v>
      </c>
      <c r="M548" s="10" t="n">
        <v>0</v>
      </c>
      <c r="N548" s="10" t="n">
        <v>46</v>
      </c>
      <c r="O548" s="8" t="inlineStr">
        <is>
          <t>YZK</t>
        </is>
      </c>
      <c r="P548" s="8" t="inlineStr">
        <is>
          <t>STANDARD</t>
        </is>
      </c>
      <c r="Q548" s="8" t="inlineStr">
        <is>
          <t>WHAP</t>
        </is>
      </c>
      <c r="R548" s="8" t="inlineStr">
        <is>
          <t>OUI</t>
        </is>
      </c>
      <c r="S548" s="8" t="inlineStr">
        <is>
          <t>31/08/2026 02:59</t>
        </is>
      </c>
    </row>
    <row r="549">
      <c r="A549" s="7" t="inlineStr">
        <is>
          <t>WHAP-0545</t>
        </is>
      </c>
      <c r="B549" s="7" t="inlineStr">
        <is>
          <t>INC-0545</t>
        </is>
      </c>
      <c r="C549" s="7" t="inlineStr">
        <is>
          <t>boîtier de commande incendie</t>
        </is>
      </c>
      <c r="D549" s="7" t="inlineStr">
        <is>
          <t>Incendie</t>
        </is>
      </c>
      <c r="E549" s="7" t="inlineStr">
        <is>
          <t>Incendie</t>
        </is>
      </c>
      <c r="F549" s="7" t="inlineStr">
        <is>
          <t>EQUIPEMENT_VEHICULE</t>
        </is>
      </c>
      <c r="G549" s="7" t="inlineStr">
        <is>
          <t>unité</t>
        </is>
      </c>
      <c r="H549" s="7" t="inlineStr">
        <is>
          <t>LARGE</t>
        </is>
      </c>
      <c r="I549" s="7" t="n">
        <v>0</v>
      </c>
      <c r="J549" s="7" t="inlineStr">
        <is>
          <t>A-03-03</t>
        </is>
      </c>
      <c r="K549" s="7" t="inlineStr"/>
      <c r="L549" s="9" t="n">
        <v>0</v>
      </c>
      <c r="M549" s="9" t="n">
        <v>0</v>
      </c>
      <c r="N549" s="9" t="n">
        <v>45</v>
      </c>
      <c r="O549" s="7" t="inlineStr">
        <is>
          <t>BOS</t>
        </is>
      </c>
      <c r="P549" s="7" t="inlineStr">
        <is>
          <t>STANDARD</t>
        </is>
      </c>
      <c r="Q549" s="7" t="inlineStr">
        <is>
          <t>WHAP</t>
        </is>
      </c>
      <c r="R549" s="7" t="inlineStr">
        <is>
          <t>OUI</t>
        </is>
      </c>
      <c r="S549" s="7" t="inlineStr">
        <is>
          <t>31/08/2026 02:59</t>
        </is>
      </c>
    </row>
    <row r="550">
      <c r="A550" s="8" t="inlineStr">
        <is>
          <t>WHAP-0546</t>
        </is>
      </c>
      <c r="B550" s="8" t="inlineStr">
        <is>
          <t>INC-0546</t>
        </is>
      </c>
      <c r="C550" s="8" t="inlineStr">
        <is>
          <t>bouton déclenchement manuel</t>
        </is>
      </c>
      <c r="D550" s="8" t="inlineStr">
        <is>
          <t>Incendie</t>
        </is>
      </c>
      <c r="E550" s="8" t="inlineStr">
        <is>
          <t>Incendie</t>
        </is>
      </c>
      <c r="F550" s="8" t="inlineStr">
        <is>
          <t>EQUIPEMENT_VEHICULE</t>
        </is>
      </c>
      <c r="G550" s="8" t="inlineStr">
        <is>
          <t>unité</t>
        </is>
      </c>
      <c r="H550" s="8" t="inlineStr">
        <is>
          <t>LARGE</t>
        </is>
      </c>
      <c r="I550" s="8" t="n">
        <v>0</v>
      </c>
      <c r="J550" s="8" t="inlineStr">
        <is>
          <t>F-03-02</t>
        </is>
      </c>
      <c r="K550" s="8" t="inlineStr"/>
      <c r="L550" s="10" t="n">
        <v>0</v>
      </c>
      <c r="M550" s="10" t="n">
        <v>0</v>
      </c>
      <c r="N550" s="10" t="n">
        <v>43</v>
      </c>
      <c r="O550" s="8" t="inlineStr">
        <is>
          <t>VAL</t>
        </is>
      </c>
      <c r="P550" s="8" t="inlineStr">
        <is>
          <t>STANDARD</t>
        </is>
      </c>
      <c r="Q550" s="8" t="inlineStr">
        <is>
          <t>WHAP</t>
        </is>
      </c>
      <c r="R550" s="8" t="inlineStr">
        <is>
          <t>OUI</t>
        </is>
      </c>
      <c r="S550" s="8" t="inlineStr">
        <is>
          <t>31/08/2026 02:59</t>
        </is>
      </c>
    </row>
    <row r="551">
      <c r="A551" s="7" t="inlineStr">
        <is>
          <t>WHAP-0547</t>
        </is>
      </c>
      <c r="B551" s="7" t="inlineStr">
        <is>
          <t>INC-0547</t>
        </is>
      </c>
      <c r="C551" s="7" t="inlineStr">
        <is>
          <t>alarme incendie</t>
        </is>
      </c>
      <c r="D551" s="7" t="inlineStr">
        <is>
          <t>Incendie</t>
        </is>
      </c>
      <c r="E551" s="7" t="inlineStr">
        <is>
          <t>Incendie</t>
        </is>
      </c>
      <c r="F551" s="7" t="inlineStr">
        <is>
          <t>EQUIPEMENT_VEHICULE</t>
        </is>
      </c>
      <c r="G551" s="7" t="inlineStr">
        <is>
          <t>unité</t>
        </is>
      </c>
      <c r="H551" s="7" t="inlineStr">
        <is>
          <t>LARGE</t>
        </is>
      </c>
      <c r="I551" s="7" t="n">
        <v>0</v>
      </c>
      <c r="J551" s="7" t="inlineStr">
        <is>
          <t>F-03-04</t>
        </is>
      </c>
      <c r="K551" s="7" t="inlineStr"/>
      <c r="L551" s="9" t="n">
        <v>0</v>
      </c>
      <c r="M551" s="9" t="n">
        <v>0</v>
      </c>
      <c r="N551" s="9" t="n">
        <v>47</v>
      </c>
      <c r="O551" s="7" t="inlineStr">
        <is>
          <t>VAL</t>
        </is>
      </c>
      <c r="P551" s="7" t="inlineStr">
        <is>
          <t>STANDARD</t>
        </is>
      </c>
      <c r="Q551" s="7" t="inlineStr">
        <is>
          <t>WHAP</t>
        </is>
      </c>
      <c r="R551" s="7" t="inlineStr">
        <is>
          <t>OUI</t>
        </is>
      </c>
      <c r="S551" s="7" t="inlineStr">
        <is>
          <t>31/08/2026 02:59</t>
        </is>
      </c>
    </row>
    <row r="552">
      <c r="A552" s="8" t="inlineStr">
        <is>
          <t>WHAP-0548</t>
        </is>
      </c>
      <c r="B552" s="8" t="inlineStr">
        <is>
          <t>INC-0548</t>
        </is>
      </c>
      <c r="C552" s="8" t="inlineStr">
        <is>
          <t>faisceau incendie</t>
        </is>
      </c>
      <c r="D552" s="8" t="inlineStr">
        <is>
          <t>Incendie</t>
        </is>
      </c>
      <c r="E552" s="8" t="inlineStr">
        <is>
          <t>Incendie</t>
        </is>
      </c>
      <c r="F552" s="8" t="inlineStr">
        <is>
          <t>EQUIPEMENT_VEHICULE</t>
        </is>
      </c>
      <c r="G552" s="8" t="inlineStr">
        <is>
          <t>unité</t>
        </is>
      </c>
      <c r="H552" s="8" t="inlineStr">
        <is>
          <t>LARGE</t>
        </is>
      </c>
      <c r="I552" s="8" t="n">
        <v>0</v>
      </c>
      <c r="J552" s="8" t="inlineStr">
        <is>
          <t>C-06-03</t>
        </is>
      </c>
      <c r="K552" s="8" t="inlineStr"/>
      <c r="L552" s="10" t="n">
        <v>0</v>
      </c>
      <c r="M552" s="10" t="n">
        <v>0</v>
      </c>
      <c r="N552" s="10" t="n">
        <v>41</v>
      </c>
      <c r="O552" s="8" t="inlineStr">
        <is>
          <t>BOS</t>
        </is>
      </c>
      <c r="P552" s="8" t="inlineStr">
        <is>
          <t>STANDARD</t>
        </is>
      </c>
      <c r="Q552" s="8" t="inlineStr">
        <is>
          <t>WHAP</t>
        </is>
      </c>
      <c r="R552" s="8" t="inlineStr">
        <is>
          <t>OUI</t>
        </is>
      </c>
      <c r="S552" s="8" t="inlineStr">
        <is>
          <t>31/08/2026 02:59</t>
        </is>
      </c>
    </row>
    <row r="553">
      <c r="A553" s="7" t="inlineStr">
        <is>
          <t>WHAP-0549</t>
        </is>
      </c>
      <c r="B553" s="7" t="inlineStr">
        <is>
          <t>INC-0549</t>
        </is>
      </c>
      <c r="C553" s="7" t="inlineStr">
        <is>
          <t>support bouteille</t>
        </is>
      </c>
      <c r="D553" s="7" t="inlineStr">
        <is>
          <t>Incendie</t>
        </is>
      </c>
      <c r="E553" s="7" t="inlineStr">
        <is>
          <t>Incendie</t>
        </is>
      </c>
      <c r="F553" s="7" t="inlineStr">
        <is>
          <t>EQUIPEMENT_VEHICULE</t>
        </is>
      </c>
      <c r="G553" s="7" t="inlineStr">
        <is>
          <t>unité</t>
        </is>
      </c>
      <c r="H553" s="7" t="inlineStr">
        <is>
          <t>LARGE</t>
        </is>
      </c>
      <c r="I553" s="7" t="n">
        <v>0</v>
      </c>
      <c r="J553" s="7" t="inlineStr">
        <is>
          <t>F-03-02</t>
        </is>
      </c>
      <c r="K553" s="7" t="inlineStr"/>
      <c r="L553" s="9" t="n">
        <v>0</v>
      </c>
      <c r="M553" s="9" t="n">
        <v>0</v>
      </c>
      <c r="N553" s="9" t="n">
        <v>50</v>
      </c>
      <c r="O553" s="7" t="inlineStr">
        <is>
          <t>VAL</t>
        </is>
      </c>
      <c r="P553" s="7" t="inlineStr">
        <is>
          <t>STANDARD</t>
        </is>
      </c>
      <c r="Q553" s="7" t="inlineStr">
        <is>
          <t>WHAP</t>
        </is>
      </c>
      <c r="R553" s="7" t="inlineStr">
        <is>
          <t>OUI</t>
        </is>
      </c>
      <c r="S553" s="7" t="inlineStr">
        <is>
          <t>31/08/2026 02:59</t>
        </is>
      </c>
    </row>
    <row r="554">
      <c r="A554" s="8" t="inlineStr">
        <is>
          <t>WHAP-0550</t>
        </is>
      </c>
      <c r="B554" s="8" t="inlineStr">
        <is>
          <t>INC-0550</t>
        </is>
      </c>
      <c r="C554" s="8" t="inlineStr">
        <is>
          <t>pressostat bouteille</t>
        </is>
      </c>
      <c r="D554" s="8" t="inlineStr">
        <is>
          <t>Incendie</t>
        </is>
      </c>
      <c r="E554" s="8" t="inlineStr">
        <is>
          <t>Incendie</t>
        </is>
      </c>
      <c r="F554" s="8" t="inlineStr">
        <is>
          <t>EQUIPEMENT_VEHICULE</t>
        </is>
      </c>
      <c r="G554" s="8" t="inlineStr">
        <is>
          <t>unité</t>
        </is>
      </c>
      <c r="H554" s="8" t="inlineStr">
        <is>
          <t>LARGE</t>
        </is>
      </c>
      <c r="I554" s="8" t="n">
        <v>0</v>
      </c>
      <c r="J554" s="8" t="inlineStr">
        <is>
          <t>E-05-02</t>
        </is>
      </c>
      <c r="K554" s="8" t="inlineStr"/>
      <c r="L554" s="10" t="n">
        <v>0</v>
      </c>
      <c r="M554" s="10" t="n">
        <v>0</v>
      </c>
      <c r="N554" s="10" t="n">
        <v>44</v>
      </c>
      <c r="O554" s="8" t="inlineStr">
        <is>
          <t>HEL</t>
        </is>
      </c>
      <c r="P554" s="8" t="inlineStr">
        <is>
          <t>STANDARD</t>
        </is>
      </c>
      <c r="Q554" s="8" t="inlineStr">
        <is>
          <t>WHAP</t>
        </is>
      </c>
      <c r="R554" s="8" t="inlineStr">
        <is>
          <t>OUI</t>
        </is>
      </c>
      <c r="S554" s="8" t="inlineStr">
        <is>
          <t>31/08/2026 02:59</t>
        </is>
      </c>
    </row>
    <row r="555">
      <c r="A555" s="7" t="inlineStr">
        <is>
          <t>WHAP-0551</t>
        </is>
      </c>
      <c r="B555" s="7" t="inlineStr">
        <is>
          <t>NAV-0551</t>
        </is>
      </c>
      <c r="C555" s="7" t="inlineStr">
        <is>
          <t>antenne radio</t>
        </is>
      </c>
      <c r="D555" s="7" t="inlineStr">
        <is>
          <t>Navigation et communication</t>
        </is>
      </c>
      <c r="E555" s="7" t="inlineStr">
        <is>
          <t>Navigation et communication</t>
        </is>
      </c>
      <c r="F555" s="7" t="inlineStr">
        <is>
          <t>EQUIPEMENT_VEHICULE</t>
        </is>
      </c>
      <c r="G555" s="7" t="inlineStr">
        <is>
          <t>unité</t>
        </is>
      </c>
      <c r="H555" s="7" t="inlineStr">
        <is>
          <t>LARGE</t>
        </is>
      </c>
      <c r="I555" s="7" t="n">
        <v>0</v>
      </c>
      <c r="J555" s="7" t="inlineStr">
        <is>
          <t>F-02-01 : 52</t>
        </is>
      </c>
      <c r="K555" s="7" t="inlineStr"/>
      <c r="L555" s="9" t="n">
        <v>52</v>
      </c>
      <c r="M555" s="9" t="n">
        <v>52</v>
      </c>
      <c r="N555" s="9" t="n">
        <v>45</v>
      </c>
      <c r="O555" s="7" t="inlineStr">
        <is>
          <t>FAU</t>
        </is>
      </c>
      <c r="P555" s="7" t="inlineStr">
        <is>
          <t>STANDARD</t>
        </is>
      </c>
      <c r="Q555" s="7" t="inlineStr">
        <is>
          <t>WHAP</t>
        </is>
      </c>
      <c r="R555" s="7" t="inlineStr">
        <is>
          <t>OUI</t>
        </is>
      </c>
      <c r="S555" s="7" t="inlineStr">
        <is>
          <t>31/08/2026 02:59</t>
        </is>
      </c>
    </row>
    <row r="556">
      <c r="A556" s="8" t="inlineStr">
        <is>
          <t>WHAP-0552</t>
        </is>
      </c>
      <c r="B556" s="8" t="inlineStr">
        <is>
          <t>NAV-0552</t>
        </is>
      </c>
      <c r="C556" s="8" t="inlineStr">
        <is>
          <t>antenne GPS</t>
        </is>
      </c>
      <c r="D556" s="8" t="inlineStr">
        <is>
          <t>Navigation et communication</t>
        </is>
      </c>
      <c r="E556" s="8" t="inlineStr">
        <is>
          <t>Navigation et communication</t>
        </is>
      </c>
      <c r="F556" s="8" t="inlineStr">
        <is>
          <t>EQUIPEMENT_VEHICULE</t>
        </is>
      </c>
      <c r="G556" s="8" t="inlineStr">
        <is>
          <t>unité</t>
        </is>
      </c>
      <c r="H556" s="8" t="inlineStr">
        <is>
          <t>LARGE</t>
        </is>
      </c>
      <c r="I556" s="8" t="n">
        <v>0</v>
      </c>
      <c r="J556" s="8" t="inlineStr">
        <is>
          <t>F-06-01 : 156</t>
        </is>
      </c>
      <c r="K556" s="8" t="inlineStr"/>
      <c r="L556" s="10" t="n">
        <v>156</v>
      </c>
      <c r="M556" s="10" t="n">
        <v>156</v>
      </c>
      <c r="N556" s="10" t="n">
        <v>40</v>
      </c>
      <c r="O556" s="8" t="inlineStr">
        <is>
          <t>FAU</t>
        </is>
      </c>
      <c r="P556" s="8" t="inlineStr">
        <is>
          <t>STANDARD</t>
        </is>
      </c>
      <c r="Q556" s="8" t="inlineStr">
        <is>
          <t>WHAP</t>
        </is>
      </c>
      <c r="R556" s="8" t="inlineStr">
        <is>
          <t>OUI</t>
        </is>
      </c>
      <c r="S556" s="8" t="inlineStr">
        <is>
          <t>31/08/2026 02:59</t>
        </is>
      </c>
    </row>
    <row r="557">
      <c r="A557" s="7" t="inlineStr">
        <is>
          <t>WHAP-0553</t>
        </is>
      </c>
      <c r="B557" s="7" t="inlineStr">
        <is>
          <t>NAV-0553</t>
        </is>
      </c>
      <c r="C557" s="7" t="inlineStr">
        <is>
          <t>radio VHF</t>
        </is>
      </c>
      <c r="D557" s="7" t="inlineStr">
        <is>
          <t>Navigation et communication</t>
        </is>
      </c>
      <c r="E557" s="7" t="inlineStr">
        <is>
          <t>Navigation et communication</t>
        </is>
      </c>
      <c r="F557" s="7" t="inlineStr">
        <is>
          <t>EQUIPEMENT_VEHICULE</t>
        </is>
      </c>
      <c r="G557" s="7" t="inlineStr">
        <is>
          <t>unité</t>
        </is>
      </c>
      <c r="H557" s="7" t="inlineStr">
        <is>
          <t>LARGE</t>
        </is>
      </c>
      <c r="I557" s="7" t="n">
        <v>0</v>
      </c>
      <c r="J557" s="7" t="inlineStr">
        <is>
          <t>B-06-03</t>
        </is>
      </c>
      <c r="K557" s="7" t="inlineStr"/>
      <c r="L557" s="9" t="n">
        <v>0</v>
      </c>
      <c r="M557" s="9" t="n">
        <v>0</v>
      </c>
      <c r="N557" s="9" t="n">
        <v>42</v>
      </c>
      <c r="O557" s="7" t="inlineStr">
        <is>
          <t>VAL</t>
        </is>
      </c>
      <c r="P557" s="7" t="inlineStr">
        <is>
          <t>STANDARD</t>
        </is>
      </c>
      <c r="Q557" s="7" t="inlineStr">
        <is>
          <t>WHAP</t>
        </is>
      </c>
      <c r="R557" s="7" t="inlineStr">
        <is>
          <t>OUI</t>
        </is>
      </c>
      <c r="S557" s="7" t="inlineStr">
        <is>
          <t>31/08/2026 02:59</t>
        </is>
      </c>
    </row>
    <row r="558">
      <c r="A558" s="8" t="inlineStr">
        <is>
          <t>WHAP-0554</t>
        </is>
      </c>
      <c r="B558" s="8" t="inlineStr">
        <is>
          <t>NAV-0554</t>
        </is>
      </c>
      <c r="C558" s="8" t="inlineStr">
        <is>
          <t>radio UHF</t>
        </is>
      </c>
      <c r="D558" s="8" t="inlineStr">
        <is>
          <t>Navigation et communication</t>
        </is>
      </c>
      <c r="E558" s="8" t="inlineStr">
        <is>
          <t>Navigation et communication</t>
        </is>
      </c>
      <c r="F558" s="8" t="inlineStr">
        <is>
          <t>EQUIPEMENT_VEHICULE</t>
        </is>
      </c>
      <c r="G558" s="8" t="inlineStr">
        <is>
          <t>unité</t>
        </is>
      </c>
      <c r="H558" s="8" t="inlineStr">
        <is>
          <t>LARGE</t>
        </is>
      </c>
      <c r="I558" s="8" t="n">
        <v>0</v>
      </c>
      <c r="J558" s="8" t="inlineStr">
        <is>
          <t>B-05-03</t>
        </is>
      </c>
      <c r="K558" s="8" t="inlineStr"/>
      <c r="L558" s="10" t="n">
        <v>0</v>
      </c>
      <c r="M558" s="10" t="n">
        <v>0</v>
      </c>
      <c r="N558" s="10" t="n">
        <v>41</v>
      </c>
      <c r="O558" s="8" t="inlineStr">
        <is>
          <t>CTL</t>
        </is>
      </c>
      <c r="P558" s="8" t="inlineStr">
        <is>
          <t>STANDARD</t>
        </is>
      </c>
      <c r="Q558" s="8" t="inlineStr">
        <is>
          <t>WHAP</t>
        </is>
      </c>
      <c r="R558" s="8" t="inlineStr">
        <is>
          <t>OUI</t>
        </is>
      </c>
      <c r="S558" s="8" t="inlineStr">
        <is>
          <t>31/08/2026 02:59</t>
        </is>
      </c>
    </row>
    <row r="559">
      <c r="A559" s="7" t="inlineStr">
        <is>
          <t>WHAP-0555</t>
        </is>
      </c>
      <c r="B559" s="7" t="inlineStr">
        <is>
          <t>NAV-0555</t>
        </is>
      </c>
      <c r="C559" s="7" t="inlineStr">
        <is>
          <t>amplificateur</t>
        </is>
      </c>
      <c r="D559" s="7" t="inlineStr">
        <is>
          <t>Navigation et communication</t>
        </is>
      </c>
      <c r="E559" s="7" t="inlineStr">
        <is>
          <t>Navigation et communication</t>
        </is>
      </c>
      <c r="F559" s="7" t="inlineStr">
        <is>
          <t>EQUIPEMENT_VEHICULE</t>
        </is>
      </c>
      <c r="G559" s="7" t="inlineStr">
        <is>
          <t>unité</t>
        </is>
      </c>
      <c r="H559" s="7" t="inlineStr">
        <is>
          <t>LARGE</t>
        </is>
      </c>
      <c r="I559" s="7" t="n">
        <v>0</v>
      </c>
      <c r="J559" s="7" t="inlineStr">
        <is>
          <t>D-02-04</t>
        </is>
      </c>
      <c r="K559" s="7" t="inlineStr"/>
      <c r="L559" s="9" t="n">
        <v>0</v>
      </c>
      <c r="M559" s="9" t="n">
        <v>0</v>
      </c>
      <c r="N559" s="9" t="n">
        <v>44</v>
      </c>
      <c r="O559" s="7" t="inlineStr">
        <is>
          <t>CTL</t>
        </is>
      </c>
      <c r="P559" s="7" t="inlineStr">
        <is>
          <t>STANDARD</t>
        </is>
      </c>
      <c r="Q559" s="7" t="inlineStr">
        <is>
          <t>WHAP</t>
        </is>
      </c>
      <c r="R559" s="7" t="inlineStr">
        <is>
          <t>OUI</t>
        </is>
      </c>
      <c r="S559" s="7" t="inlineStr">
        <is>
          <t>31/08/2026 02:59</t>
        </is>
      </c>
    </row>
    <row r="560">
      <c r="A560" s="8" t="inlineStr">
        <is>
          <t>WHAP-0556</t>
        </is>
      </c>
      <c r="B560" s="8" t="inlineStr">
        <is>
          <t>NAV-0556</t>
        </is>
      </c>
      <c r="C560" s="8" t="inlineStr">
        <is>
          <t>boîtier radio</t>
        </is>
      </c>
      <c r="D560" s="8" t="inlineStr">
        <is>
          <t>Navigation et communication</t>
        </is>
      </c>
      <c r="E560" s="8" t="inlineStr">
        <is>
          <t>Navigation et communication</t>
        </is>
      </c>
      <c r="F560" s="8" t="inlineStr">
        <is>
          <t>EQUIPEMENT_VEHICULE</t>
        </is>
      </c>
      <c r="G560" s="8" t="inlineStr">
        <is>
          <t>unité</t>
        </is>
      </c>
      <c r="H560" s="8" t="inlineStr">
        <is>
          <t>LARGE</t>
        </is>
      </c>
      <c r="I560" s="8" t="n">
        <v>0</v>
      </c>
      <c r="J560" s="8" t="inlineStr">
        <is>
          <t>E-02-04</t>
        </is>
      </c>
      <c r="K560" s="8" t="inlineStr"/>
      <c r="L560" s="10" t="n">
        <v>0</v>
      </c>
      <c r="M560" s="10" t="n">
        <v>0</v>
      </c>
      <c r="N560" s="10" t="n">
        <v>45</v>
      </c>
      <c r="O560" s="8" t="inlineStr">
        <is>
          <t>DEL</t>
        </is>
      </c>
      <c r="P560" s="8" t="inlineStr">
        <is>
          <t>STANDARD</t>
        </is>
      </c>
      <c r="Q560" s="8" t="inlineStr">
        <is>
          <t>WHAP</t>
        </is>
      </c>
      <c r="R560" s="8" t="inlineStr">
        <is>
          <t>OUI</t>
        </is>
      </c>
      <c r="S560" s="8" t="inlineStr">
        <is>
          <t>31/08/2026 02:59</t>
        </is>
      </c>
    </row>
    <row r="561">
      <c r="A561" s="7" t="inlineStr">
        <is>
          <t>WHAP-0557</t>
        </is>
      </c>
      <c r="B561" s="7" t="inlineStr">
        <is>
          <t>NAV-0557</t>
        </is>
      </c>
      <c r="C561" s="7" t="inlineStr">
        <is>
          <t>microphone</t>
        </is>
      </c>
      <c r="D561" s="7" t="inlineStr">
        <is>
          <t>Navigation et communication</t>
        </is>
      </c>
      <c r="E561" s="7" t="inlineStr">
        <is>
          <t>Navigation et communication</t>
        </is>
      </c>
      <c r="F561" s="7" t="inlineStr">
        <is>
          <t>EQUIPEMENT_VEHICULE</t>
        </is>
      </c>
      <c r="G561" s="7" t="inlineStr">
        <is>
          <t>unité</t>
        </is>
      </c>
      <c r="H561" s="7" t="inlineStr">
        <is>
          <t>LARGE</t>
        </is>
      </c>
      <c r="I561" s="7" t="n">
        <v>0</v>
      </c>
      <c r="J561" s="7" t="inlineStr">
        <is>
          <t>C-03-02</t>
        </is>
      </c>
      <c r="K561" s="7" t="inlineStr"/>
      <c r="L561" s="9" t="n">
        <v>0</v>
      </c>
      <c r="M561" s="9" t="n">
        <v>0</v>
      </c>
      <c r="N561" s="9" t="n">
        <v>47</v>
      </c>
      <c r="O561" s="7" t="inlineStr">
        <is>
          <t>SUM</t>
        </is>
      </c>
      <c r="P561" s="7" t="inlineStr">
        <is>
          <t>STANDARD</t>
        </is>
      </c>
      <c r="Q561" s="7" t="inlineStr">
        <is>
          <t>WHAP</t>
        </is>
      </c>
      <c r="R561" s="7" t="inlineStr">
        <is>
          <t>OUI</t>
        </is>
      </c>
      <c r="S561" s="7" t="inlineStr">
        <is>
          <t>31/08/2026 02:59</t>
        </is>
      </c>
    </row>
    <row r="562">
      <c r="A562" s="8" t="inlineStr">
        <is>
          <t>WHAP-0558</t>
        </is>
      </c>
      <c r="B562" s="8" t="inlineStr">
        <is>
          <t>NAV-0558</t>
        </is>
      </c>
      <c r="C562" s="8" t="inlineStr">
        <is>
          <t>haut-parleur</t>
        </is>
      </c>
      <c r="D562" s="8" t="inlineStr">
        <is>
          <t>Navigation et communication</t>
        </is>
      </c>
      <c r="E562" s="8" t="inlineStr">
        <is>
          <t>Navigation et communication</t>
        </is>
      </c>
      <c r="F562" s="8" t="inlineStr">
        <is>
          <t>EQUIPEMENT_VEHICULE</t>
        </is>
      </c>
      <c r="G562" s="8" t="inlineStr">
        <is>
          <t>unité</t>
        </is>
      </c>
      <c r="H562" s="8" t="inlineStr">
        <is>
          <t>LARGE</t>
        </is>
      </c>
      <c r="I562" s="8" t="n">
        <v>0</v>
      </c>
      <c r="J562" s="8" t="inlineStr">
        <is>
          <t>E-04-03</t>
        </is>
      </c>
      <c r="K562" s="8" t="inlineStr"/>
      <c r="L562" s="10" t="n">
        <v>0</v>
      </c>
      <c r="M562" s="10" t="n">
        <v>0</v>
      </c>
      <c r="N562" s="10" t="n">
        <v>48</v>
      </c>
      <c r="O562" s="8" t="inlineStr">
        <is>
          <t>BOS</t>
        </is>
      </c>
      <c r="P562" s="8" t="inlineStr">
        <is>
          <t>STANDARD</t>
        </is>
      </c>
      <c r="Q562" s="8" t="inlineStr">
        <is>
          <t>WHAP</t>
        </is>
      </c>
      <c r="R562" s="8" t="inlineStr">
        <is>
          <t>OUI</t>
        </is>
      </c>
      <c r="S562" s="8" t="inlineStr">
        <is>
          <t>31/08/2026 02:59</t>
        </is>
      </c>
    </row>
    <row r="563">
      <c r="A563" s="7" t="inlineStr">
        <is>
          <t>WHAP-0559</t>
        </is>
      </c>
      <c r="B563" s="7" t="inlineStr">
        <is>
          <t>NAV-0559</t>
        </is>
      </c>
      <c r="C563" s="7" t="inlineStr">
        <is>
          <t>casque équipage</t>
        </is>
      </c>
      <c r="D563" s="7" t="inlineStr">
        <is>
          <t>Navigation et communication</t>
        </is>
      </c>
      <c r="E563" s="7" t="inlineStr">
        <is>
          <t>Navigation et communication</t>
        </is>
      </c>
      <c r="F563" s="7" t="inlineStr">
        <is>
          <t>EQUIPEMENT_VEHICULE</t>
        </is>
      </c>
      <c r="G563" s="7" t="inlineStr">
        <is>
          <t>unité</t>
        </is>
      </c>
      <c r="H563" s="7" t="inlineStr">
        <is>
          <t>LARGE</t>
        </is>
      </c>
      <c r="I563" s="7" t="n">
        <v>0</v>
      </c>
      <c r="J563" s="7" t="inlineStr">
        <is>
          <t>E-05-02</t>
        </is>
      </c>
      <c r="K563" s="7" t="inlineStr"/>
      <c r="L563" s="9" t="n">
        <v>0</v>
      </c>
      <c r="M563" s="9" t="n">
        <v>0</v>
      </c>
      <c r="N563" s="9" t="n">
        <v>47</v>
      </c>
      <c r="O563" s="7" t="inlineStr">
        <is>
          <t>BOS</t>
        </is>
      </c>
      <c r="P563" s="7" t="inlineStr">
        <is>
          <t>STANDARD</t>
        </is>
      </c>
      <c r="Q563" s="7" t="inlineStr">
        <is>
          <t>WHAP</t>
        </is>
      </c>
      <c r="R563" s="7" t="inlineStr">
        <is>
          <t>OUI</t>
        </is>
      </c>
      <c r="S563" s="7" t="inlineStr">
        <is>
          <t>31/08/2026 02:59</t>
        </is>
      </c>
    </row>
    <row r="564">
      <c r="A564" s="8" t="inlineStr">
        <is>
          <t>WHAP-0560</t>
        </is>
      </c>
      <c r="B564" s="8" t="inlineStr">
        <is>
          <t>NAV-0560</t>
        </is>
      </c>
      <c r="C564" s="8" t="inlineStr">
        <is>
          <t>intercom</t>
        </is>
      </c>
      <c r="D564" s="8" t="inlineStr">
        <is>
          <t>Navigation et communication</t>
        </is>
      </c>
      <c r="E564" s="8" t="inlineStr">
        <is>
          <t>Navigation et communication</t>
        </is>
      </c>
      <c r="F564" s="8" t="inlineStr">
        <is>
          <t>EQUIPEMENT_VEHICULE</t>
        </is>
      </c>
      <c r="G564" s="8" t="inlineStr">
        <is>
          <t>unité</t>
        </is>
      </c>
      <c r="H564" s="8" t="inlineStr">
        <is>
          <t>LARGE</t>
        </is>
      </c>
      <c r="I564" s="8" t="n">
        <v>0</v>
      </c>
      <c r="J564" s="8" t="inlineStr">
        <is>
          <t>E-05-03</t>
        </is>
      </c>
      <c r="K564" s="8" t="inlineStr"/>
      <c r="L564" s="10" t="n">
        <v>0</v>
      </c>
      <c r="M564" s="10" t="n">
        <v>0</v>
      </c>
      <c r="N564" s="10" t="n">
        <v>43</v>
      </c>
      <c r="O564" s="8" t="inlineStr">
        <is>
          <t>SUM</t>
        </is>
      </c>
      <c r="P564" s="8" t="inlineStr">
        <is>
          <t>STANDARD</t>
        </is>
      </c>
      <c r="Q564" s="8" t="inlineStr">
        <is>
          <t>WHAP</t>
        </is>
      </c>
      <c r="R564" s="8" t="inlineStr">
        <is>
          <t>OUI</t>
        </is>
      </c>
      <c r="S564" s="8" t="inlineStr">
        <is>
          <t>31/08/2026 02:59</t>
        </is>
      </c>
    </row>
    <row r="565">
      <c r="A565" s="7" t="inlineStr">
        <is>
          <t>WHAP-0561</t>
        </is>
      </c>
      <c r="B565" s="7" t="inlineStr">
        <is>
          <t>NAV-0561</t>
        </is>
      </c>
      <c r="C565" s="7" t="inlineStr">
        <is>
          <t>boîtier intercom</t>
        </is>
      </c>
      <c r="D565" s="7" t="inlineStr">
        <is>
          <t>Navigation et communication</t>
        </is>
      </c>
      <c r="E565" s="7" t="inlineStr">
        <is>
          <t>Navigation et communication</t>
        </is>
      </c>
      <c r="F565" s="7" t="inlineStr">
        <is>
          <t>EQUIPEMENT_VEHICULE</t>
        </is>
      </c>
      <c r="G565" s="7" t="inlineStr">
        <is>
          <t>unité</t>
        </is>
      </c>
      <c r="H565" s="7" t="inlineStr">
        <is>
          <t>LARGE</t>
        </is>
      </c>
      <c r="I565" s="7" t="n">
        <v>0</v>
      </c>
      <c r="J565" s="7" t="inlineStr">
        <is>
          <t>E-01-03</t>
        </is>
      </c>
      <c r="K565" s="7" t="inlineStr"/>
      <c r="L565" s="9" t="n">
        <v>0</v>
      </c>
      <c r="M565" s="9" t="n">
        <v>0</v>
      </c>
      <c r="N565" s="9" t="n">
        <v>40</v>
      </c>
      <c r="O565" s="7" t="inlineStr">
        <is>
          <t>BOS</t>
        </is>
      </c>
      <c r="P565" s="7" t="inlineStr">
        <is>
          <t>STANDARD</t>
        </is>
      </c>
      <c r="Q565" s="7" t="inlineStr">
        <is>
          <t>WHAP</t>
        </is>
      </c>
      <c r="R565" s="7" t="inlineStr">
        <is>
          <t>OUI</t>
        </is>
      </c>
      <c r="S565" s="7" t="inlineStr">
        <is>
          <t>31/08/2026 02:59</t>
        </is>
      </c>
    </row>
    <row r="566">
      <c r="A566" s="8" t="inlineStr">
        <is>
          <t>WHAP-0562</t>
        </is>
      </c>
      <c r="B566" s="8" t="inlineStr">
        <is>
          <t>NAV-0562</t>
        </is>
      </c>
      <c r="C566" s="8" t="inlineStr">
        <is>
          <t>câble coaxial</t>
        </is>
      </c>
      <c r="D566" s="8" t="inlineStr">
        <is>
          <t>Navigation et communication</t>
        </is>
      </c>
      <c r="E566" s="8" t="inlineStr">
        <is>
          <t>Navigation et communication</t>
        </is>
      </c>
      <c r="F566" s="8" t="inlineStr">
        <is>
          <t>EQUIPEMENT_VEHICULE</t>
        </is>
      </c>
      <c r="G566" s="8" t="inlineStr">
        <is>
          <t>unité</t>
        </is>
      </c>
      <c r="H566" s="8" t="inlineStr">
        <is>
          <t>LARGE</t>
        </is>
      </c>
      <c r="I566" s="8" t="n">
        <v>0</v>
      </c>
      <c r="J566" s="8" t="inlineStr">
        <is>
          <t>A-02-04</t>
        </is>
      </c>
      <c r="K566" s="8" t="inlineStr"/>
      <c r="L566" s="10" t="n">
        <v>0</v>
      </c>
      <c r="M566" s="10" t="n">
        <v>0</v>
      </c>
      <c r="N566" s="10" t="n">
        <v>50</v>
      </c>
      <c r="O566" s="8" t="inlineStr">
        <is>
          <t>HEL</t>
        </is>
      </c>
      <c r="P566" s="8" t="inlineStr">
        <is>
          <t>STANDARD</t>
        </is>
      </c>
      <c r="Q566" s="8" t="inlineStr">
        <is>
          <t>WHAP</t>
        </is>
      </c>
      <c r="R566" s="8" t="inlineStr">
        <is>
          <t>OUI</t>
        </is>
      </c>
      <c r="S566" s="8" t="inlineStr">
        <is>
          <t>31/08/2026 02:59</t>
        </is>
      </c>
    </row>
    <row r="567">
      <c r="A567" s="7" t="inlineStr">
        <is>
          <t>WHAP-0563</t>
        </is>
      </c>
      <c r="B567" s="7" t="inlineStr">
        <is>
          <t>NAV-0563</t>
        </is>
      </c>
      <c r="C567" s="7" t="inlineStr">
        <is>
          <t>connecteur RF</t>
        </is>
      </c>
      <c r="D567" s="7" t="inlineStr">
        <is>
          <t>Navigation et communication</t>
        </is>
      </c>
      <c r="E567" s="7" t="inlineStr">
        <is>
          <t>Navigation et communication</t>
        </is>
      </c>
      <c r="F567" s="7" t="inlineStr">
        <is>
          <t>EQUIPEMENT_VEHICULE</t>
        </is>
      </c>
      <c r="G567" s="7" t="inlineStr">
        <is>
          <t>unité</t>
        </is>
      </c>
      <c r="H567" s="7" t="inlineStr">
        <is>
          <t>LARGE</t>
        </is>
      </c>
      <c r="I567" s="7" t="n">
        <v>0</v>
      </c>
      <c r="J567" s="7" t="inlineStr">
        <is>
          <t>E-05-01</t>
        </is>
      </c>
      <c r="K567" s="7" t="inlineStr"/>
      <c r="L567" s="9" t="n">
        <v>0</v>
      </c>
      <c r="M567" s="9" t="n">
        <v>0</v>
      </c>
      <c r="N567" s="9" t="n">
        <v>50</v>
      </c>
      <c r="O567" s="7" t="inlineStr">
        <is>
          <t>HEL</t>
        </is>
      </c>
      <c r="P567" s="7" t="inlineStr">
        <is>
          <t>STANDARD</t>
        </is>
      </c>
      <c r="Q567" s="7" t="inlineStr">
        <is>
          <t>WHAP</t>
        </is>
      </c>
      <c r="R567" s="7" t="inlineStr">
        <is>
          <t>OUI</t>
        </is>
      </c>
      <c r="S567" s="7" t="inlineStr">
        <is>
          <t>31/08/2026 02:59</t>
        </is>
      </c>
    </row>
    <row r="568">
      <c r="A568" s="8" t="inlineStr">
        <is>
          <t>WHAP-0564</t>
        </is>
      </c>
      <c r="B568" s="8" t="inlineStr">
        <is>
          <t>NAV-0564</t>
        </is>
      </c>
      <c r="C568" s="8" t="inlineStr">
        <is>
          <t>module GPS</t>
        </is>
      </c>
      <c r="D568" s="8" t="inlineStr">
        <is>
          <t>Navigation et communication</t>
        </is>
      </c>
      <c r="E568" s="8" t="inlineStr">
        <is>
          <t>Navigation et communication</t>
        </is>
      </c>
      <c r="F568" s="8" t="inlineStr">
        <is>
          <t>EQUIPEMENT_VEHICULE</t>
        </is>
      </c>
      <c r="G568" s="8" t="inlineStr">
        <is>
          <t>unité</t>
        </is>
      </c>
      <c r="H568" s="8" t="inlineStr">
        <is>
          <t>LARGE</t>
        </is>
      </c>
      <c r="I568" s="8" t="n">
        <v>0</v>
      </c>
      <c r="J568" s="8" t="inlineStr">
        <is>
          <t>E-02-03</t>
        </is>
      </c>
      <c r="K568" s="8" t="inlineStr"/>
      <c r="L568" s="10" t="n">
        <v>0</v>
      </c>
      <c r="M568" s="10" t="n">
        <v>0</v>
      </c>
      <c r="N568" s="10" t="n">
        <v>40</v>
      </c>
      <c r="O568" s="8" t="inlineStr">
        <is>
          <t>DEL</t>
        </is>
      </c>
      <c r="P568" s="8" t="inlineStr">
        <is>
          <t>STANDARD</t>
        </is>
      </c>
      <c r="Q568" s="8" t="inlineStr">
        <is>
          <t>WHAP</t>
        </is>
      </c>
      <c r="R568" s="8" t="inlineStr">
        <is>
          <t>OUI</t>
        </is>
      </c>
      <c r="S568" s="8" t="inlineStr">
        <is>
          <t>31/08/2026 02:59</t>
        </is>
      </c>
    </row>
    <row r="569">
      <c r="A569" s="7" t="inlineStr">
        <is>
          <t>WHAP-0565</t>
        </is>
      </c>
      <c r="B569" s="7" t="inlineStr">
        <is>
          <t>NAV-0565</t>
        </is>
      </c>
      <c r="C569" s="7" t="inlineStr">
        <is>
          <t>antenne GNSS</t>
        </is>
      </c>
      <c r="D569" s="7" t="inlineStr">
        <is>
          <t>Navigation et communication</t>
        </is>
      </c>
      <c r="E569" s="7" t="inlineStr">
        <is>
          <t>Navigation et communication</t>
        </is>
      </c>
      <c r="F569" s="7" t="inlineStr">
        <is>
          <t>EQUIPEMENT_VEHICULE</t>
        </is>
      </c>
      <c r="G569" s="7" t="inlineStr">
        <is>
          <t>unité</t>
        </is>
      </c>
      <c r="H569" s="7" t="inlineStr">
        <is>
          <t>LARGE</t>
        </is>
      </c>
      <c r="I569" s="7" t="n">
        <v>0</v>
      </c>
      <c r="J569" s="7" t="inlineStr">
        <is>
          <t>F-05-04</t>
        </is>
      </c>
      <c r="K569" s="7" t="inlineStr"/>
      <c r="L569" s="9" t="n">
        <v>0</v>
      </c>
      <c r="M569" s="9" t="n">
        <v>0</v>
      </c>
      <c r="N569" s="9" t="n">
        <v>44</v>
      </c>
      <c r="O569" s="7" t="inlineStr">
        <is>
          <t>SKF</t>
        </is>
      </c>
      <c r="P569" s="7" t="inlineStr">
        <is>
          <t>STANDARD</t>
        </is>
      </c>
      <c r="Q569" s="7" t="inlineStr">
        <is>
          <t>WHAP</t>
        </is>
      </c>
      <c r="R569" s="7" t="inlineStr">
        <is>
          <t>OUI</t>
        </is>
      </c>
      <c r="S569" s="7" t="inlineStr">
        <is>
          <t>31/08/2026 02:59</t>
        </is>
      </c>
    </row>
    <row r="570">
      <c r="A570" s="8" t="inlineStr">
        <is>
          <t>WHAP-0566</t>
        </is>
      </c>
      <c r="B570" s="8" t="inlineStr">
        <is>
          <t>NAV-0566</t>
        </is>
      </c>
      <c r="C570" s="8" t="inlineStr">
        <is>
          <t>unité de navigation</t>
        </is>
      </c>
      <c r="D570" s="8" t="inlineStr">
        <is>
          <t>Navigation et communication</t>
        </is>
      </c>
      <c r="E570" s="8" t="inlineStr">
        <is>
          <t>Navigation et communication</t>
        </is>
      </c>
      <c r="F570" s="8" t="inlineStr">
        <is>
          <t>EQUIPEMENT_VEHICULE</t>
        </is>
      </c>
      <c r="G570" s="8" t="inlineStr">
        <is>
          <t>unité</t>
        </is>
      </c>
      <c r="H570" s="8" t="inlineStr">
        <is>
          <t>LARGE</t>
        </is>
      </c>
      <c r="I570" s="8" t="n">
        <v>0</v>
      </c>
      <c r="J570" s="8" t="inlineStr">
        <is>
          <t>A-06-03</t>
        </is>
      </c>
      <c r="K570" s="8" t="inlineStr"/>
      <c r="L570" s="10" t="n">
        <v>0</v>
      </c>
      <c r="M570" s="10" t="n">
        <v>0</v>
      </c>
      <c r="N570" s="10" t="n">
        <v>44</v>
      </c>
      <c r="O570" s="8" t="inlineStr">
        <is>
          <t>SUM</t>
        </is>
      </c>
      <c r="P570" s="8" t="inlineStr">
        <is>
          <t>STANDARD</t>
        </is>
      </c>
      <c r="Q570" s="8" t="inlineStr">
        <is>
          <t>WHAP</t>
        </is>
      </c>
      <c r="R570" s="8" t="inlineStr">
        <is>
          <t>OUI</t>
        </is>
      </c>
      <c r="S570" s="8" t="inlineStr">
        <is>
          <t>31/08/2026 02:59</t>
        </is>
      </c>
    </row>
    <row r="571">
      <c r="A571" s="7" t="inlineStr">
        <is>
          <t>WHAP-0567</t>
        </is>
      </c>
      <c r="B571" s="7" t="inlineStr">
        <is>
          <t>NAV-0567</t>
        </is>
      </c>
      <c r="C571" s="7" t="inlineStr">
        <is>
          <t>écran navigation</t>
        </is>
      </c>
      <c r="D571" s="7" t="inlineStr">
        <is>
          <t>Navigation et communication</t>
        </is>
      </c>
      <c r="E571" s="7" t="inlineStr">
        <is>
          <t>Navigation et communication</t>
        </is>
      </c>
      <c r="F571" s="7" t="inlineStr">
        <is>
          <t>EQUIPEMENT_VEHICULE</t>
        </is>
      </c>
      <c r="G571" s="7" t="inlineStr">
        <is>
          <t>unité</t>
        </is>
      </c>
      <c r="H571" s="7" t="inlineStr">
        <is>
          <t>LARGE</t>
        </is>
      </c>
      <c r="I571" s="7" t="n">
        <v>0</v>
      </c>
      <c r="J571" s="7" t="inlineStr">
        <is>
          <t>F-06-02</t>
        </is>
      </c>
      <c r="K571" s="7" t="inlineStr"/>
      <c r="L571" s="9" t="n">
        <v>0</v>
      </c>
      <c r="M571" s="9" t="n">
        <v>0</v>
      </c>
      <c r="N571" s="9" t="n">
        <v>43</v>
      </c>
      <c r="O571" s="7" t="inlineStr">
        <is>
          <t>YZK</t>
        </is>
      </c>
      <c r="P571" s="7" t="inlineStr">
        <is>
          <t>STANDARD</t>
        </is>
      </c>
      <c r="Q571" s="7" t="inlineStr">
        <is>
          <t>WHAP</t>
        </is>
      </c>
      <c r="R571" s="7" t="inlineStr">
        <is>
          <t>OUI</t>
        </is>
      </c>
      <c r="S571" s="7" t="inlineStr">
        <is>
          <t>31/08/2026 02:59</t>
        </is>
      </c>
    </row>
    <row r="572">
      <c r="A572" s="8" t="inlineStr">
        <is>
          <t>WHAP-0568</t>
        </is>
      </c>
      <c r="B572" s="8" t="inlineStr">
        <is>
          <t>NAV-0568</t>
        </is>
      </c>
      <c r="C572" s="8" t="inlineStr">
        <is>
          <t>unité de stockage données</t>
        </is>
      </c>
      <c r="D572" s="8" t="inlineStr">
        <is>
          <t>Navigation et communication</t>
        </is>
      </c>
      <c r="E572" s="8" t="inlineStr">
        <is>
          <t>Navigation et communication</t>
        </is>
      </c>
      <c r="F572" s="8" t="inlineStr">
        <is>
          <t>EQUIPEMENT_VEHICULE</t>
        </is>
      </c>
      <c r="G572" s="8" t="inlineStr">
        <is>
          <t>unité</t>
        </is>
      </c>
      <c r="H572" s="8" t="inlineStr">
        <is>
          <t>LARGE</t>
        </is>
      </c>
      <c r="I572" s="8" t="n">
        <v>0</v>
      </c>
      <c r="J572" s="8" t="inlineStr">
        <is>
          <t>D-06-04</t>
        </is>
      </c>
      <c r="K572" s="8" t="inlineStr"/>
      <c r="L572" s="10" t="n">
        <v>0</v>
      </c>
      <c r="M572" s="10" t="n">
        <v>0</v>
      </c>
      <c r="N572" s="10" t="n">
        <v>48</v>
      </c>
      <c r="O572" s="8" t="inlineStr">
        <is>
          <t>VAL</t>
        </is>
      </c>
      <c r="P572" s="8" t="inlineStr">
        <is>
          <t>STANDARD</t>
        </is>
      </c>
      <c r="Q572" s="8" t="inlineStr">
        <is>
          <t>WHAP</t>
        </is>
      </c>
      <c r="R572" s="8" t="inlineStr">
        <is>
          <t>OUI</t>
        </is>
      </c>
      <c r="S572" s="8" t="inlineStr">
        <is>
          <t>31/08/2026 02:59</t>
        </is>
      </c>
    </row>
    <row r="573">
      <c r="A573" s="7" t="inlineStr">
        <is>
          <t>WHAP-0569</t>
        </is>
      </c>
      <c r="B573" s="7" t="inlineStr">
        <is>
          <t>NAV-0569</t>
        </is>
      </c>
      <c r="C573" s="7" t="inlineStr">
        <is>
          <t>routeur véhicule</t>
        </is>
      </c>
      <c r="D573" s="7" t="inlineStr">
        <is>
          <t>Navigation et communication</t>
        </is>
      </c>
      <c r="E573" s="7" t="inlineStr">
        <is>
          <t>Navigation et communication</t>
        </is>
      </c>
      <c r="F573" s="7" t="inlineStr">
        <is>
          <t>EQUIPEMENT_VEHICULE</t>
        </is>
      </c>
      <c r="G573" s="7" t="inlineStr">
        <is>
          <t>unité</t>
        </is>
      </c>
      <c r="H573" s="7" t="inlineStr">
        <is>
          <t>LARGE</t>
        </is>
      </c>
      <c r="I573" s="7" t="n">
        <v>0</v>
      </c>
      <c r="J573" s="7" t="inlineStr">
        <is>
          <t>D-04-01</t>
        </is>
      </c>
      <c r="K573" s="7" t="inlineStr"/>
      <c r="L573" s="9" t="n">
        <v>0</v>
      </c>
      <c r="M573" s="9" t="n">
        <v>0</v>
      </c>
      <c r="N573" s="9" t="n">
        <v>42</v>
      </c>
      <c r="O573" s="7" t="inlineStr">
        <is>
          <t>SKF</t>
        </is>
      </c>
      <c r="P573" s="7" t="inlineStr">
        <is>
          <t>STANDARD</t>
        </is>
      </c>
      <c r="Q573" s="7" t="inlineStr">
        <is>
          <t>WHAP</t>
        </is>
      </c>
      <c r="R573" s="7" t="inlineStr">
        <is>
          <t>OUI</t>
        </is>
      </c>
      <c r="S573" s="7" t="inlineStr">
        <is>
          <t>31/08/2026 02:59</t>
        </is>
      </c>
    </row>
    <row r="574">
      <c r="A574" s="8" t="inlineStr">
        <is>
          <t>WHAP-0570</t>
        </is>
      </c>
      <c r="B574" s="8" t="inlineStr">
        <is>
          <t>NAV-0570</t>
        </is>
      </c>
      <c r="C574" s="8" t="inlineStr">
        <is>
          <t>commutateur réseau</t>
        </is>
      </c>
      <c r="D574" s="8" t="inlineStr">
        <is>
          <t>Navigation et communication</t>
        </is>
      </c>
      <c r="E574" s="8" t="inlineStr">
        <is>
          <t>Navigation et communication</t>
        </is>
      </c>
      <c r="F574" s="8" t="inlineStr">
        <is>
          <t>EQUIPEMENT_VEHICULE</t>
        </is>
      </c>
      <c r="G574" s="8" t="inlineStr">
        <is>
          <t>unité</t>
        </is>
      </c>
      <c r="H574" s="8" t="inlineStr">
        <is>
          <t>LARGE</t>
        </is>
      </c>
      <c r="I574" s="8" t="n">
        <v>0</v>
      </c>
      <c r="J574" s="8" t="inlineStr">
        <is>
          <t>A-05-01</t>
        </is>
      </c>
      <c r="K574" s="8" t="inlineStr"/>
      <c r="L574" s="10" t="n">
        <v>0</v>
      </c>
      <c r="M574" s="10" t="n">
        <v>0</v>
      </c>
      <c r="N574" s="10" t="n">
        <v>49</v>
      </c>
      <c r="O574" s="8" t="inlineStr">
        <is>
          <t>SUM</t>
        </is>
      </c>
      <c r="P574" s="8" t="inlineStr">
        <is>
          <t>STANDARD</t>
        </is>
      </c>
      <c r="Q574" s="8" t="inlineStr">
        <is>
          <t>WHAP</t>
        </is>
      </c>
      <c r="R574" s="8" t="inlineStr">
        <is>
          <t>OUI</t>
        </is>
      </c>
      <c r="S574" s="8" t="inlineStr">
        <is>
          <t>31/08/2026 02:59</t>
        </is>
      </c>
    </row>
    <row r="575">
      <c r="A575" s="7" t="inlineStr">
        <is>
          <t>WHAP-0571</t>
        </is>
      </c>
      <c r="B575" s="7" t="inlineStr">
        <is>
          <t>NAV-0571</t>
        </is>
      </c>
      <c r="C575" s="7" t="inlineStr">
        <is>
          <t>câble Ethernet</t>
        </is>
      </c>
      <c r="D575" s="7" t="inlineStr">
        <is>
          <t>Navigation et communication</t>
        </is>
      </c>
      <c r="E575" s="7" t="inlineStr">
        <is>
          <t>Navigation et communication</t>
        </is>
      </c>
      <c r="F575" s="7" t="inlineStr">
        <is>
          <t>EQUIPEMENT_VEHICULE</t>
        </is>
      </c>
      <c r="G575" s="7" t="inlineStr">
        <is>
          <t>unité</t>
        </is>
      </c>
      <c r="H575" s="7" t="inlineStr">
        <is>
          <t>LARGE</t>
        </is>
      </c>
      <c r="I575" s="7" t="n">
        <v>0</v>
      </c>
      <c r="J575" s="7" t="inlineStr">
        <is>
          <t>E-01-01</t>
        </is>
      </c>
      <c r="K575" s="7" t="inlineStr"/>
      <c r="L575" s="9" t="n">
        <v>0</v>
      </c>
      <c r="M575" s="9" t="n">
        <v>0</v>
      </c>
      <c r="N575" s="9" t="n">
        <v>40</v>
      </c>
      <c r="O575" s="7" t="inlineStr">
        <is>
          <t>SUM</t>
        </is>
      </c>
      <c r="P575" s="7" t="inlineStr">
        <is>
          <t>STANDARD</t>
        </is>
      </c>
      <c r="Q575" s="7" t="inlineStr">
        <is>
          <t>WHAP</t>
        </is>
      </c>
      <c r="R575" s="7" t="inlineStr">
        <is>
          <t>OUI</t>
        </is>
      </c>
      <c r="S575" s="7" t="inlineStr">
        <is>
          <t>31/08/2026 02:59</t>
        </is>
      </c>
    </row>
    <row r="576">
      <c r="A576" s="8" t="inlineStr">
        <is>
          <t>WHAP-0572</t>
        </is>
      </c>
      <c r="B576" s="8" t="inlineStr">
        <is>
          <t>NAV-0572</t>
        </is>
      </c>
      <c r="C576" s="8" t="inlineStr">
        <is>
          <t>connecteur Ethernet</t>
        </is>
      </c>
      <c r="D576" s="8" t="inlineStr">
        <is>
          <t>Navigation et communication</t>
        </is>
      </c>
      <c r="E576" s="8" t="inlineStr">
        <is>
          <t>Navigation et communication</t>
        </is>
      </c>
      <c r="F576" s="8" t="inlineStr">
        <is>
          <t>EQUIPEMENT_VEHICULE</t>
        </is>
      </c>
      <c r="G576" s="8" t="inlineStr">
        <is>
          <t>unité</t>
        </is>
      </c>
      <c r="H576" s="8" t="inlineStr">
        <is>
          <t>LARGE</t>
        </is>
      </c>
      <c r="I576" s="8" t="n">
        <v>0</v>
      </c>
      <c r="J576" s="8" t="inlineStr">
        <is>
          <t>D-02-04</t>
        </is>
      </c>
      <c r="K576" s="8" t="inlineStr"/>
      <c r="L576" s="10" t="n">
        <v>0</v>
      </c>
      <c r="M576" s="10" t="n">
        <v>0</v>
      </c>
      <c r="N576" s="10" t="n">
        <v>43</v>
      </c>
      <c r="O576" s="8" t="inlineStr">
        <is>
          <t>SKF</t>
        </is>
      </c>
      <c r="P576" s="8" t="inlineStr">
        <is>
          <t>STANDARD</t>
        </is>
      </c>
      <c r="Q576" s="8" t="inlineStr">
        <is>
          <t>WHAP</t>
        </is>
      </c>
      <c r="R576" s="8" t="inlineStr">
        <is>
          <t>OUI</t>
        </is>
      </c>
      <c r="S576" s="8" t="inlineStr">
        <is>
          <t>31/08/2026 02:59</t>
        </is>
      </c>
    </row>
    <row r="577">
      <c r="A577" s="7" t="inlineStr">
        <is>
          <t>WHAP-0573</t>
        </is>
      </c>
      <c r="B577" s="7" t="inlineStr">
        <is>
          <t>NAV-0573</t>
        </is>
      </c>
      <c r="C577" s="7" t="inlineStr">
        <is>
          <t>boîtier communication</t>
        </is>
      </c>
      <c r="D577" s="7" t="inlineStr">
        <is>
          <t>Navigation et communication</t>
        </is>
      </c>
      <c r="E577" s="7" t="inlineStr">
        <is>
          <t>Navigation et communication</t>
        </is>
      </c>
      <c r="F577" s="7" t="inlineStr">
        <is>
          <t>EQUIPEMENT_VEHICULE</t>
        </is>
      </c>
      <c r="G577" s="7" t="inlineStr">
        <is>
          <t>unité</t>
        </is>
      </c>
      <c r="H577" s="7" t="inlineStr">
        <is>
          <t>LARGE</t>
        </is>
      </c>
      <c r="I577" s="7" t="n">
        <v>0</v>
      </c>
      <c r="J577" s="7" t="inlineStr">
        <is>
          <t>D-01-03</t>
        </is>
      </c>
      <c r="K577" s="7" t="inlineStr"/>
      <c r="L577" s="9" t="n">
        <v>0</v>
      </c>
      <c r="M577" s="9" t="n">
        <v>0</v>
      </c>
      <c r="N577" s="9" t="n">
        <v>45</v>
      </c>
      <c r="O577" s="7" t="inlineStr">
        <is>
          <t>YZK</t>
        </is>
      </c>
      <c r="P577" s="7" t="inlineStr">
        <is>
          <t>STANDARD</t>
        </is>
      </c>
      <c r="Q577" s="7" t="inlineStr">
        <is>
          <t>WHAP</t>
        </is>
      </c>
      <c r="R577" s="7" t="inlineStr">
        <is>
          <t>OUI</t>
        </is>
      </c>
      <c r="S577" s="7" t="inlineStr">
        <is>
          <t>31/08/2026 02:59</t>
        </is>
      </c>
    </row>
    <row r="578">
      <c r="A578" s="8" t="inlineStr">
        <is>
          <t>WHAP-0574</t>
        </is>
      </c>
      <c r="B578" s="8" t="inlineStr">
        <is>
          <t>OBS-0574</t>
        </is>
      </c>
      <c r="C578" s="8" t="inlineStr">
        <is>
          <t>périscope</t>
        </is>
      </c>
      <c r="D578" s="8" t="inlineStr">
        <is>
          <t>Observation</t>
        </is>
      </c>
      <c r="E578" s="8" t="inlineStr">
        <is>
          <t>Observation</t>
        </is>
      </c>
      <c r="F578" s="8" t="inlineStr">
        <is>
          <t>EQUIPEMENT_VEHICULE</t>
        </is>
      </c>
      <c r="G578" s="8" t="inlineStr">
        <is>
          <t>unité</t>
        </is>
      </c>
      <c r="H578" s="8" t="inlineStr">
        <is>
          <t>LARGE</t>
        </is>
      </c>
      <c r="I578" s="8" t="n">
        <v>0</v>
      </c>
      <c r="J578" s="8" t="inlineStr">
        <is>
          <t>F-04-03 : 104</t>
        </is>
      </c>
      <c r="K578" s="8" t="inlineStr"/>
      <c r="L578" s="10" t="n">
        <v>104</v>
      </c>
      <c r="M578" s="10" t="n">
        <v>104</v>
      </c>
      <c r="N578" s="10" t="n">
        <v>46</v>
      </c>
      <c r="O578" s="8" t="inlineStr">
        <is>
          <t>FAU</t>
        </is>
      </c>
      <c r="P578" s="8" t="inlineStr">
        <is>
          <t>STANDARD</t>
        </is>
      </c>
      <c r="Q578" s="8" t="inlineStr">
        <is>
          <t>WHAP</t>
        </is>
      </c>
      <c r="R578" s="8" t="inlineStr">
        <is>
          <t>OUI</t>
        </is>
      </c>
      <c r="S578" s="8" t="inlineStr">
        <is>
          <t>31/08/2026 02:59</t>
        </is>
      </c>
    </row>
    <row r="579">
      <c r="A579" s="7" t="inlineStr">
        <is>
          <t>WHAP-0575</t>
        </is>
      </c>
      <c r="B579" s="7" t="inlineStr">
        <is>
          <t>OBS-0575</t>
        </is>
      </c>
      <c r="C579" s="7" t="inlineStr">
        <is>
          <t>bloc optique</t>
        </is>
      </c>
      <c r="D579" s="7" t="inlineStr">
        <is>
          <t>Observation</t>
        </is>
      </c>
      <c r="E579" s="7" t="inlineStr">
        <is>
          <t>Observation</t>
        </is>
      </c>
      <c r="F579" s="7" t="inlineStr">
        <is>
          <t>EQUIPEMENT_VEHICULE</t>
        </is>
      </c>
      <c r="G579" s="7" t="inlineStr">
        <is>
          <t>unité</t>
        </is>
      </c>
      <c r="H579" s="7" t="inlineStr">
        <is>
          <t>LARGE</t>
        </is>
      </c>
      <c r="I579" s="7" t="n">
        <v>0</v>
      </c>
      <c r="J579" s="7" t="inlineStr">
        <is>
          <t>B-04-03 : 66</t>
        </is>
      </c>
      <c r="K579" s="7" t="inlineStr"/>
      <c r="L579" s="9" t="n">
        <v>66</v>
      </c>
      <c r="M579" s="9" t="n">
        <v>66</v>
      </c>
      <c r="N579" s="9" t="n">
        <v>43</v>
      </c>
      <c r="O579" s="7" t="inlineStr">
        <is>
          <t>CTL</t>
        </is>
      </c>
      <c r="P579" s="7" t="inlineStr">
        <is>
          <t>STANDARD</t>
        </is>
      </c>
      <c r="Q579" s="7" t="inlineStr">
        <is>
          <t>WHAP</t>
        </is>
      </c>
      <c r="R579" s="7" t="inlineStr">
        <is>
          <t>OUI</t>
        </is>
      </c>
      <c r="S579" s="7" t="inlineStr">
        <is>
          <t>31/08/2026 02:59</t>
        </is>
      </c>
    </row>
    <row r="580">
      <c r="A580" s="8" t="inlineStr">
        <is>
          <t>WHAP-0576</t>
        </is>
      </c>
      <c r="B580" s="8" t="inlineStr">
        <is>
          <t>OBS-0576</t>
        </is>
      </c>
      <c r="C580" s="8" t="inlineStr">
        <is>
          <t>viseur conducteur</t>
        </is>
      </c>
      <c r="D580" s="8" t="inlineStr">
        <is>
          <t>Observation</t>
        </is>
      </c>
      <c r="E580" s="8" t="inlineStr">
        <is>
          <t>Observation</t>
        </is>
      </c>
      <c r="F580" s="8" t="inlineStr">
        <is>
          <t>EQUIPEMENT_VEHICULE</t>
        </is>
      </c>
      <c r="G580" s="8" t="inlineStr">
        <is>
          <t>unité</t>
        </is>
      </c>
      <c r="H580" s="8" t="inlineStr">
        <is>
          <t>LARGE</t>
        </is>
      </c>
      <c r="I580" s="8" t="n">
        <v>0</v>
      </c>
      <c r="J580" s="8" t="inlineStr">
        <is>
          <t>C-06-04</t>
        </is>
      </c>
      <c r="K580" s="8" t="inlineStr"/>
      <c r="L580" s="10" t="n">
        <v>0</v>
      </c>
      <c r="M580" s="10" t="n">
        <v>0</v>
      </c>
      <c r="N580" s="10" t="n">
        <v>49</v>
      </c>
      <c r="O580" s="8" t="inlineStr">
        <is>
          <t>HEL</t>
        </is>
      </c>
      <c r="P580" s="8" t="inlineStr">
        <is>
          <t>STANDARD</t>
        </is>
      </c>
      <c r="Q580" s="8" t="inlineStr">
        <is>
          <t>WHAP</t>
        </is>
      </c>
      <c r="R580" s="8" t="inlineStr">
        <is>
          <t>OUI</t>
        </is>
      </c>
      <c r="S580" s="8" t="inlineStr">
        <is>
          <t>31/08/2026 02:59</t>
        </is>
      </c>
    </row>
    <row r="581">
      <c r="A581" s="7" t="inlineStr">
        <is>
          <t>WHAP-0577</t>
        </is>
      </c>
      <c r="B581" s="7" t="inlineStr">
        <is>
          <t>OBS-0577</t>
        </is>
      </c>
      <c r="C581" s="7" t="inlineStr">
        <is>
          <t>caméra avant</t>
        </is>
      </c>
      <c r="D581" s="7" t="inlineStr">
        <is>
          <t>Observation</t>
        </is>
      </c>
      <c r="E581" s="7" t="inlineStr">
        <is>
          <t>Observation</t>
        </is>
      </c>
      <c r="F581" s="7" t="inlineStr">
        <is>
          <t>EQUIPEMENT_VEHICULE</t>
        </is>
      </c>
      <c r="G581" s="7" t="inlineStr">
        <is>
          <t>unité</t>
        </is>
      </c>
      <c r="H581" s="7" t="inlineStr">
        <is>
          <t>LARGE</t>
        </is>
      </c>
      <c r="I581" s="7" t="n">
        <v>0</v>
      </c>
      <c r="J581" s="7" t="inlineStr">
        <is>
          <t>C-03-01</t>
        </is>
      </c>
      <c r="K581" s="7" t="inlineStr"/>
      <c r="L581" s="9" t="n">
        <v>0</v>
      </c>
      <c r="M581" s="9" t="n">
        <v>0</v>
      </c>
      <c r="N581" s="9" t="n">
        <v>41</v>
      </c>
      <c r="O581" s="7" t="inlineStr">
        <is>
          <t>BOS</t>
        </is>
      </c>
      <c r="P581" s="7" t="inlineStr">
        <is>
          <t>STANDARD</t>
        </is>
      </c>
      <c r="Q581" s="7" t="inlineStr">
        <is>
          <t>WHAP</t>
        </is>
      </c>
      <c r="R581" s="7" t="inlineStr">
        <is>
          <t>OUI</t>
        </is>
      </c>
      <c r="S581" s="7" t="inlineStr">
        <is>
          <t>31/08/2026 02:59</t>
        </is>
      </c>
    </row>
    <row r="582">
      <c r="A582" s="8" t="inlineStr">
        <is>
          <t>WHAP-0578</t>
        </is>
      </c>
      <c r="B582" s="8" t="inlineStr">
        <is>
          <t>OBS-0578</t>
        </is>
      </c>
      <c r="C582" s="8" t="inlineStr">
        <is>
          <t>caméra arrière</t>
        </is>
      </c>
      <c r="D582" s="8" t="inlineStr">
        <is>
          <t>Observation</t>
        </is>
      </c>
      <c r="E582" s="8" t="inlineStr">
        <is>
          <t>Observation</t>
        </is>
      </c>
      <c r="F582" s="8" t="inlineStr">
        <is>
          <t>EQUIPEMENT_VEHICULE</t>
        </is>
      </c>
      <c r="G582" s="8" t="inlineStr">
        <is>
          <t>unité</t>
        </is>
      </c>
      <c r="H582" s="8" t="inlineStr">
        <is>
          <t>LARGE</t>
        </is>
      </c>
      <c r="I582" s="8" t="n">
        <v>0</v>
      </c>
      <c r="J582" s="8" t="inlineStr">
        <is>
          <t>D-05-03</t>
        </is>
      </c>
      <c r="K582" s="8" t="inlineStr"/>
      <c r="L582" s="10" t="n">
        <v>0</v>
      </c>
      <c r="M582" s="10" t="n">
        <v>0</v>
      </c>
      <c r="N582" s="10" t="n">
        <v>47</v>
      </c>
      <c r="O582" s="8" t="inlineStr">
        <is>
          <t>CTL</t>
        </is>
      </c>
      <c r="P582" s="8" t="inlineStr">
        <is>
          <t>STANDARD</t>
        </is>
      </c>
      <c r="Q582" s="8" t="inlineStr">
        <is>
          <t>WHAP</t>
        </is>
      </c>
      <c r="R582" s="8" t="inlineStr">
        <is>
          <t>OUI</t>
        </is>
      </c>
      <c r="S582" s="8" t="inlineStr">
        <is>
          <t>31/08/2026 02:59</t>
        </is>
      </c>
    </row>
    <row r="583">
      <c r="A583" s="7" t="inlineStr">
        <is>
          <t>WHAP-0579</t>
        </is>
      </c>
      <c r="B583" s="7" t="inlineStr">
        <is>
          <t>OBS-0579</t>
        </is>
      </c>
      <c r="C583" s="7" t="inlineStr">
        <is>
          <t>caméra latérale</t>
        </is>
      </c>
      <c r="D583" s="7" t="inlineStr">
        <is>
          <t>Observation</t>
        </is>
      </c>
      <c r="E583" s="7" t="inlineStr">
        <is>
          <t>Observation</t>
        </is>
      </c>
      <c r="F583" s="7" t="inlineStr">
        <is>
          <t>EQUIPEMENT_VEHICULE</t>
        </is>
      </c>
      <c r="G583" s="7" t="inlineStr">
        <is>
          <t>unité</t>
        </is>
      </c>
      <c r="H583" s="7" t="inlineStr">
        <is>
          <t>LARGE</t>
        </is>
      </c>
      <c r="I583" s="7" t="n">
        <v>0</v>
      </c>
      <c r="J583" s="7" t="inlineStr">
        <is>
          <t>B-01-03</t>
        </is>
      </c>
      <c r="K583" s="7" t="inlineStr"/>
      <c r="L583" s="9" t="n">
        <v>0</v>
      </c>
      <c r="M583" s="9" t="n">
        <v>0</v>
      </c>
      <c r="N583" s="9" t="n">
        <v>50</v>
      </c>
      <c r="O583" s="7" t="inlineStr">
        <is>
          <t>SKF</t>
        </is>
      </c>
      <c r="P583" s="7" t="inlineStr">
        <is>
          <t>STANDARD</t>
        </is>
      </c>
      <c r="Q583" s="7" t="inlineStr">
        <is>
          <t>WHAP</t>
        </is>
      </c>
      <c r="R583" s="7" t="inlineStr">
        <is>
          <t>OUI</t>
        </is>
      </c>
      <c r="S583" s="7" t="inlineStr">
        <is>
          <t>31/08/2026 02:59</t>
        </is>
      </c>
    </row>
    <row r="584">
      <c r="A584" s="8" t="inlineStr">
        <is>
          <t>WHAP-0580</t>
        </is>
      </c>
      <c r="B584" s="8" t="inlineStr">
        <is>
          <t>OBS-0580</t>
        </is>
      </c>
      <c r="C584" s="8" t="inlineStr">
        <is>
          <t>caméra thermique</t>
        </is>
      </c>
      <c r="D584" s="8" t="inlineStr">
        <is>
          <t>Observation</t>
        </is>
      </c>
      <c r="E584" s="8" t="inlineStr">
        <is>
          <t>Observation</t>
        </is>
      </c>
      <c r="F584" s="8" t="inlineStr">
        <is>
          <t>EQUIPEMENT_VEHICULE</t>
        </is>
      </c>
      <c r="G584" s="8" t="inlineStr">
        <is>
          <t>unité</t>
        </is>
      </c>
      <c r="H584" s="8" t="inlineStr">
        <is>
          <t>LARGE</t>
        </is>
      </c>
      <c r="I584" s="8" t="n">
        <v>0</v>
      </c>
      <c r="J584" s="8" t="inlineStr">
        <is>
          <t>B-01-03</t>
        </is>
      </c>
      <c r="K584" s="8" t="inlineStr"/>
      <c r="L584" s="10" t="n">
        <v>0</v>
      </c>
      <c r="M584" s="10" t="n">
        <v>0</v>
      </c>
      <c r="N584" s="10" t="n">
        <v>45</v>
      </c>
      <c r="O584" s="8" t="inlineStr">
        <is>
          <t>SKF</t>
        </is>
      </c>
      <c r="P584" s="8" t="inlineStr">
        <is>
          <t>STANDARD</t>
        </is>
      </c>
      <c r="Q584" s="8" t="inlineStr">
        <is>
          <t>WHAP</t>
        </is>
      </c>
      <c r="R584" s="8" t="inlineStr">
        <is>
          <t>OUI</t>
        </is>
      </c>
      <c r="S584" s="8" t="inlineStr">
        <is>
          <t>31/08/2026 02:59</t>
        </is>
      </c>
    </row>
    <row r="585">
      <c r="A585" s="7" t="inlineStr">
        <is>
          <t>WHAP-0581</t>
        </is>
      </c>
      <c r="B585" s="7" t="inlineStr">
        <is>
          <t>OBS-0581</t>
        </is>
      </c>
      <c r="C585" s="7" t="inlineStr">
        <is>
          <t>module infrarouge</t>
        </is>
      </c>
      <c r="D585" s="7" t="inlineStr">
        <is>
          <t>Observation</t>
        </is>
      </c>
      <c r="E585" s="7" t="inlineStr">
        <is>
          <t>Observation</t>
        </is>
      </c>
      <c r="F585" s="7" t="inlineStr">
        <is>
          <t>EQUIPEMENT_VEHICULE</t>
        </is>
      </c>
      <c r="G585" s="7" t="inlineStr">
        <is>
          <t>unité</t>
        </is>
      </c>
      <c r="H585" s="7" t="inlineStr">
        <is>
          <t>LARGE</t>
        </is>
      </c>
      <c r="I585" s="7" t="n">
        <v>0</v>
      </c>
      <c r="J585" s="7" t="inlineStr">
        <is>
          <t>E-01-04</t>
        </is>
      </c>
      <c r="K585" s="7" t="inlineStr"/>
      <c r="L585" s="9" t="n">
        <v>0</v>
      </c>
      <c r="M585" s="9" t="n">
        <v>0</v>
      </c>
      <c r="N585" s="9" t="n">
        <v>46</v>
      </c>
      <c r="O585" s="7" t="inlineStr">
        <is>
          <t>SUM</t>
        </is>
      </c>
      <c r="P585" s="7" t="inlineStr">
        <is>
          <t>STANDARD</t>
        </is>
      </c>
      <c r="Q585" s="7" t="inlineStr">
        <is>
          <t>WHAP</t>
        </is>
      </c>
      <c r="R585" s="7" t="inlineStr">
        <is>
          <t>OUI</t>
        </is>
      </c>
      <c r="S585" s="7" t="inlineStr">
        <is>
          <t>31/08/2026 02:59</t>
        </is>
      </c>
    </row>
    <row r="586">
      <c r="A586" s="8" t="inlineStr">
        <is>
          <t>WHAP-0582</t>
        </is>
      </c>
      <c r="B586" s="8" t="inlineStr">
        <is>
          <t>OBS-0582</t>
        </is>
      </c>
      <c r="C586" s="8" t="inlineStr">
        <is>
          <t>écran caméra</t>
        </is>
      </c>
      <c r="D586" s="8" t="inlineStr">
        <is>
          <t>Observation</t>
        </is>
      </c>
      <c r="E586" s="8" t="inlineStr">
        <is>
          <t>Observation</t>
        </is>
      </c>
      <c r="F586" s="8" t="inlineStr">
        <is>
          <t>EQUIPEMENT_VEHICULE</t>
        </is>
      </c>
      <c r="G586" s="8" t="inlineStr">
        <is>
          <t>unité</t>
        </is>
      </c>
      <c r="H586" s="8" t="inlineStr">
        <is>
          <t>LARGE</t>
        </is>
      </c>
      <c r="I586" s="8" t="n">
        <v>0</v>
      </c>
      <c r="J586" s="8" t="inlineStr">
        <is>
          <t>D-01-01</t>
        </is>
      </c>
      <c r="K586" s="8" t="inlineStr"/>
      <c r="L586" s="10" t="n">
        <v>0</v>
      </c>
      <c r="M586" s="10" t="n">
        <v>0</v>
      </c>
      <c r="N586" s="10" t="n">
        <v>45</v>
      </c>
      <c r="O586" s="8" t="inlineStr">
        <is>
          <t>VAL</t>
        </is>
      </c>
      <c r="P586" s="8" t="inlineStr">
        <is>
          <t>STANDARD</t>
        </is>
      </c>
      <c r="Q586" s="8" t="inlineStr">
        <is>
          <t>WHAP</t>
        </is>
      </c>
      <c r="R586" s="8" t="inlineStr">
        <is>
          <t>OUI</t>
        </is>
      </c>
      <c r="S586" s="8" t="inlineStr">
        <is>
          <t>31/08/2026 02:59</t>
        </is>
      </c>
    </row>
    <row r="587">
      <c r="A587" s="7" t="inlineStr">
        <is>
          <t>WHAP-0583</t>
        </is>
      </c>
      <c r="B587" s="7" t="inlineStr">
        <is>
          <t>OBS-0583</t>
        </is>
      </c>
      <c r="C587" s="7" t="inlineStr">
        <is>
          <t>unité de traitement vidéo</t>
        </is>
      </c>
      <c r="D587" s="7" t="inlineStr">
        <is>
          <t>Observation</t>
        </is>
      </c>
      <c r="E587" s="7" t="inlineStr">
        <is>
          <t>Observation</t>
        </is>
      </c>
      <c r="F587" s="7" t="inlineStr">
        <is>
          <t>EQUIPEMENT_VEHICULE</t>
        </is>
      </c>
      <c r="G587" s="7" t="inlineStr">
        <is>
          <t>unité</t>
        </is>
      </c>
      <c r="H587" s="7" t="inlineStr">
        <is>
          <t>LARGE</t>
        </is>
      </c>
      <c r="I587" s="7" t="n">
        <v>0</v>
      </c>
      <c r="J587" s="7" t="inlineStr">
        <is>
          <t>A-04-04</t>
        </is>
      </c>
      <c r="K587" s="7" t="inlineStr"/>
      <c r="L587" s="9" t="n">
        <v>0</v>
      </c>
      <c r="M587" s="9" t="n">
        <v>0</v>
      </c>
      <c r="N587" s="9" t="n">
        <v>45</v>
      </c>
      <c r="O587" s="7" t="inlineStr">
        <is>
          <t>HEL</t>
        </is>
      </c>
      <c r="P587" s="7" t="inlineStr">
        <is>
          <t>STANDARD</t>
        </is>
      </c>
      <c r="Q587" s="7" t="inlineStr">
        <is>
          <t>WHAP</t>
        </is>
      </c>
      <c r="R587" s="7" t="inlineStr">
        <is>
          <t>OUI</t>
        </is>
      </c>
      <c r="S587" s="7" t="inlineStr">
        <is>
          <t>31/08/2026 02:59</t>
        </is>
      </c>
    </row>
    <row r="588">
      <c r="A588" s="8" t="inlineStr">
        <is>
          <t>WHAP-0584</t>
        </is>
      </c>
      <c r="B588" s="8" t="inlineStr">
        <is>
          <t>OBS-0584</t>
        </is>
      </c>
      <c r="C588" s="8" t="inlineStr">
        <is>
          <t>câble vidéo</t>
        </is>
      </c>
      <c r="D588" s="8" t="inlineStr">
        <is>
          <t>Observation</t>
        </is>
      </c>
      <c r="E588" s="8" t="inlineStr">
        <is>
          <t>Observation</t>
        </is>
      </c>
      <c r="F588" s="8" t="inlineStr">
        <is>
          <t>EQUIPEMENT_VEHICULE</t>
        </is>
      </c>
      <c r="G588" s="8" t="inlineStr">
        <is>
          <t>unité</t>
        </is>
      </c>
      <c r="H588" s="8" t="inlineStr">
        <is>
          <t>LARGE</t>
        </is>
      </c>
      <c r="I588" s="8" t="n">
        <v>0</v>
      </c>
      <c r="J588" s="8" t="inlineStr">
        <is>
          <t>D-02-02</t>
        </is>
      </c>
      <c r="K588" s="8" t="inlineStr"/>
      <c r="L588" s="10" t="n">
        <v>0</v>
      </c>
      <c r="M588" s="10" t="n">
        <v>0</v>
      </c>
      <c r="N588" s="10" t="n">
        <v>46</v>
      </c>
      <c r="O588" s="8" t="inlineStr">
        <is>
          <t>VAL</t>
        </is>
      </c>
      <c r="P588" s="8" t="inlineStr">
        <is>
          <t>STANDARD</t>
        </is>
      </c>
      <c r="Q588" s="8" t="inlineStr">
        <is>
          <t>WHAP</t>
        </is>
      </c>
      <c r="R588" s="8" t="inlineStr">
        <is>
          <t>OUI</t>
        </is>
      </c>
      <c r="S588" s="8" t="inlineStr">
        <is>
          <t>31/08/2026 02:59</t>
        </is>
      </c>
    </row>
    <row r="589">
      <c r="A589" s="7" t="inlineStr">
        <is>
          <t>WHAP-0585</t>
        </is>
      </c>
      <c r="B589" s="7" t="inlineStr">
        <is>
          <t>OBS-0585</t>
        </is>
      </c>
      <c r="C589" s="7" t="inlineStr">
        <is>
          <t>connecteur vidéo</t>
        </is>
      </c>
      <c r="D589" s="7" t="inlineStr">
        <is>
          <t>Observation</t>
        </is>
      </c>
      <c r="E589" s="7" t="inlineStr">
        <is>
          <t>Observation</t>
        </is>
      </c>
      <c r="F589" s="7" t="inlineStr">
        <is>
          <t>EQUIPEMENT_VEHICULE</t>
        </is>
      </c>
      <c r="G589" s="7" t="inlineStr">
        <is>
          <t>unité</t>
        </is>
      </c>
      <c r="H589" s="7" t="inlineStr">
        <is>
          <t>LARGE</t>
        </is>
      </c>
      <c r="I589" s="7" t="n">
        <v>0</v>
      </c>
      <c r="J589" s="7" t="inlineStr">
        <is>
          <t>F-06-04</t>
        </is>
      </c>
      <c r="K589" s="7" t="inlineStr"/>
      <c r="L589" s="9" t="n">
        <v>0</v>
      </c>
      <c r="M589" s="9" t="n">
        <v>0</v>
      </c>
      <c r="N589" s="9" t="n">
        <v>50</v>
      </c>
      <c r="O589" s="7" t="inlineStr">
        <is>
          <t>SKF</t>
        </is>
      </c>
      <c r="P589" s="7" t="inlineStr">
        <is>
          <t>STANDARD</t>
        </is>
      </c>
      <c r="Q589" s="7" t="inlineStr">
        <is>
          <t>WHAP</t>
        </is>
      </c>
      <c r="R589" s="7" t="inlineStr">
        <is>
          <t>OUI</t>
        </is>
      </c>
      <c r="S589" s="7" t="inlineStr">
        <is>
          <t>31/08/2026 02:59</t>
        </is>
      </c>
    </row>
    <row r="590">
      <c r="A590" s="8" t="inlineStr">
        <is>
          <t>WHAP-0586</t>
        </is>
      </c>
      <c r="B590" s="8" t="inlineStr">
        <is>
          <t>OBS-0586</t>
        </is>
      </c>
      <c r="C590" s="8" t="inlineStr">
        <is>
          <t>support caméra</t>
        </is>
      </c>
      <c r="D590" s="8" t="inlineStr">
        <is>
          <t>Observation</t>
        </is>
      </c>
      <c r="E590" s="8" t="inlineStr">
        <is>
          <t>Observation</t>
        </is>
      </c>
      <c r="F590" s="8" t="inlineStr">
        <is>
          <t>EQUIPEMENT_VEHICULE</t>
        </is>
      </c>
      <c r="G590" s="8" t="inlineStr">
        <is>
          <t>unité</t>
        </is>
      </c>
      <c r="H590" s="8" t="inlineStr">
        <is>
          <t>LARGE</t>
        </is>
      </c>
      <c r="I590" s="8" t="n">
        <v>0</v>
      </c>
      <c r="J590" s="8" t="inlineStr">
        <is>
          <t>A-01-01</t>
        </is>
      </c>
      <c r="K590" s="8" t="inlineStr"/>
      <c r="L590" s="10" t="n">
        <v>0</v>
      </c>
      <c r="M590" s="10" t="n">
        <v>0</v>
      </c>
      <c r="N590" s="10" t="n">
        <v>42</v>
      </c>
      <c r="O590" s="8" t="inlineStr">
        <is>
          <t>SUM</t>
        </is>
      </c>
      <c r="P590" s="8" t="inlineStr">
        <is>
          <t>STANDARD</t>
        </is>
      </c>
      <c r="Q590" s="8" t="inlineStr">
        <is>
          <t>WHAP</t>
        </is>
      </c>
      <c r="R590" s="8" t="inlineStr">
        <is>
          <t>OUI</t>
        </is>
      </c>
      <c r="S590" s="8" t="inlineStr">
        <is>
          <t>31/08/2026 02:59</t>
        </is>
      </c>
    </row>
    <row r="591">
      <c r="A591" s="7" t="inlineStr">
        <is>
          <t>WHAP-0587</t>
        </is>
      </c>
      <c r="B591" s="7" t="inlineStr">
        <is>
          <t>OBS-0587</t>
        </is>
      </c>
      <c r="C591" s="7" t="inlineStr">
        <is>
          <t>capot caméra</t>
        </is>
      </c>
      <c r="D591" s="7" t="inlineStr">
        <is>
          <t>Observation</t>
        </is>
      </c>
      <c r="E591" s="7" t="inlineStr">
        <is>
          <t>Observation</t>
        </is>
      </c>
      <c r="F591" s="7" t="inlineStr">
        <is>
          <t>EQUIPEMENT_VEHICULE</t>
        </is>
      </c>
      <c r="G591" s="7" t="inlineStr">
        <is>
          <t>unité</t>
        </is>
      </c>
      <c r="H591" s="7" t="inlineStr">
        <is>
          <t>LARGE</t>
        </is>
      </c>
      <c r="I591" s="7" t="n">
        <v>0</v>
      </c>
      <c r="J591" s="7" t="inlineStr">
        <is>
          <t>E-06-04</t>
        </is>
      </c>
      <c r="K591" s="7" t="inlineStr"/>
      <c r="L591" s="9" t="n">
        <v>0</v>
      </c>
      <c r="M591" s="9" t="n">
        <v>0</v>
      </c>
      <c r="N591" s="9" t="n">
        <v>41</v>
      </c>
      <c r="O591" s="7" t="inlineStr">
        <is>
          <t>SUM</t>
        </is>
      </c>
      <c r="P591" s="7" t="inlineStr">
        <is>
          <t>STANDARD</t>
        </is>
      </c>
      <c r="Q591" s="7" t="inlineStr">
        <is>
          <t>WHAP</t>
        </is>
      </c>
      <c r="R591" s="7" t="inlineStr">
        <is>
          <t>OUI</t>
        </is>
      </c>
      <c r="S591" s="7" t="inlineStr">
        <is>
          <t>31/08/2026 02:59</t>
        </is>
      </c>
    </row>
    <row r="592">
      <c r="A592" s="8" t="inlineStr">
        <is>
          <t>WHAP-0588</t>
        </is>
      </c>
      <c r="B592" s="8" t="inlineStr">
        <is>
          <t>OBS-0588</t>
        </is>
      </c>
      <c r="C592" s="8" t="inlineStr">
        <is>
          <t>essuie-optique</t>
        </is>
      </c>
      <c r="D592" s="8" t="inlineStr">
        <is>
          <t>Observation</t>
        </is>
      </c>
      <c r="E592" s="8" t="inlineStr">
        <is>
          <t>Observation</t>
        </is>
      </c>
      <c r="F592" s="8" t="inlineStr">
        <is>
          <t>EQUIPEMENT_VEHICULE</t>
        </is>
      </c>
      <c r="G592" s="8" t="inlineStr">
        <is>
          <t>unité</t>
        </is>
      </c>
      <c r="H592" s="8" t="inlineStr">
        <is>
          <t>LARGE</t>
        </is>
      </c>
      <c r="I592" s="8" t="n">
        <v>0</v>
      </c>
      <c r="J592" s="8" t="inlineStr">
        <is>
          <t>F-02-04</t>
        </is>
      </c>
      <c r="K592" s="8" t="inlineStr"/>
      <c r="L592" s="10" t="n">
        <v>0</v>
      </c>
      <c r="M592" s="10" t="n">
        <v>0</v>
      </c>
      <c r="N592" s="10" t="n">
        <v>45</v>
      </c>
      <c r="O592" s="8" t="inlineStr">
        <is>
          <t>SKF</t>
        </is>
      </c>
      <c r="P592" s="8" t="inlineStr">
        <is>
          <t>STANDARD</t>
        </is>
      </c>
      <c r="Q592" s="8" t="inlineStr">
        <is>
          <t>WHAP</t>
        </is>
      </c>
      <c r="R592" s="8" t="inlineStr">
        <is>
          <t>OUI</t>
        </is>
      </c>
      <c r="S592" s="8" t="inlineStr">
        <is>
          <t>31/08/2026 02:59</t>
        </is>
      </c>
    </row>
    <row r="593">
      <c r="A593" s="7" t="inlineStr">
        <is>
          <t>WHAP-0589</t>
        </is>
      </c>
      <c r="B593" s="7" t="inlineStr">
        <is>
          <t>OBS-0589</t>
        </is>
      </c>
      <c r="C593" s="7" t="inlineStr">
        <is>
          <t>chauffage optique</t>
        </is>
      </c>
      <c r="D593" s="7" t="inlineStr">
        <is>
          <t>Observation</t>
        </is>
      </c>
      <c r="E593" s="7" t="inlineStr">
        <is>
          <t>Observation</t>
        </is>
      </c>
      <c r="F593" s="7" t="inlineStr">
        <is>
          <t>EQUIPEMENT_VEHICULE</t>
        </is>
      </c>
      <c r="G593" s="7" t="inlineStr">
        <is>
          <t>unité</t>
        </is>
      </c>
      <c r="H593" s="7" t="inlineStr">
        <is>
          <t>LARGE</t>
        </is>
      </c>
      <c r="I593" s="7" t="n">
        <v>0</v>
      </c>
      <c r="J593" s="7" t="inlineStr">
        <is>
          <t>D-02-01</t>
        </is>
      </c>
      <c r="K593" s="7" t="inlineStr"/>
      <c r="L593" s="9" t="n">
        <v>0</v>
      </c>
      <c r="M593" s="9" t="n">
        <v>0</v>
      </c>
      <c r="N593" s="9" t="n">
        <v>49</v>
      </c>
      <c r="O593" s="7" t="inlineStr">
        <is>
          <t>FAU</t>
        </is>
      </c>
      <c r="P593" s="7" t="inlineStr">
        <is>
          <t>STANDARD</t>
        </is>
      </c>
      <c r="Q593" s="7" t="inlineStr">
        <is>
          <t>WHAP</t>
        </is>
      </c>
      <c r="R593" s="7" t="inlineStr">
        <is>
          <t>OUI</t>
        </is>
      </c>
      <c r="S593" s="7" t="inlineStr">
        <is>
          <t>31/08/2026 02:59</t>
        </is>
      </c>
    </row>
    <row r="594">
      <c r="A594" s="8" t="inlineStr">
        <is>
          <t>WHAP-0590</t>
        </is>
      </c>
      <c r="B594" s="8" t="inlineStr">
        <is>
          <t>OBS-0590</t>
        </is>
      </c>
      <c r="C594" s="8" t="inlineStr">
        <is>
          <t>capteur luminosité</t>
        </is>
      </c>
      <c r="D594" s="8" t="inlineStr">
        <is>
          <t>Observation</t>
        </is>
      </c>
      <c r="E594" s="8" t="inlineStr">
        <is>
          <t>Observation</t>
        </is>
      </c>
      <c r="F594" s="8" t="inlineStr">
        <is>
          <t>EQUIPEMENT_VEHICULE</t>
        </is>
      </c>
      <c r="G594" s="8" t="inlineStr">
        <is>
          <t>unité</t>
        </is>
      </c>
      <c r="H594" s="8" t="inlineStr">
        <is>
          <t>LARGE</t>
        </is>
      </c>
      <c r="I594" s="8" t="n">
        <v>0</v>
      </c>
      <c r="J594" s="8" t="inlineStr">
        <is>
          <t>E-03-01</t>
        </is>
      </c>
      <c r="K594" s="8" t="inlineStr"/>
      <c r="L594" s="10" t="n">
        <v>0</v>
      </c>
      <c r="M594" s="10" t="n">
        <v>0</v>
      </c>
      <c r="N594" s="10" t="n">
        <v>42</v>
      </c>
      <c r="O594" s="8" t="inlineStr">
        <is>
          <t>BOS</t>
        </is>
      </c>
      <c r="P594" s="8" t="inlineStr">
        <is>
          <t>STANDARD</t>
        </is>
      </c>
      <c r="Q594" s="8" t="inlineStr">
        <is>
          <t>WHAP</t>
        </is>
      </c>
      <c r="R594" s="8" t="inlineStr">
        <is>
          <t>OUI</t>
        </is>
      </c>
      <c r="S594" s="8" t="inlineStr">
        <is>
          <t>31/08/2026 02:59</t>
        </is>
      </c>
    </row>
    <row r="595">
      <c r="A595" s="7" t="inlineStr">
        <is>
          <t>WHAP-0591</t>
        </is>
      </c>
      <c r="B595" s="7" t="inlineStr">
        <is>
          <t>TRE-0591</t>
        </is>
      </c>
      <c r="C595" s="7" t="inlineStr">
        <is>
          <t>treuil hydraulique</t>
        </is>
      </c>
      <c r="D595" s="7" t="inlineStr">
        <is>
          <t>Treuil et récupération</t>
        </is>
      </c>
      <c r="E595" s="7" t="inlineStr">
        <is>
          <t>Treuil et récupération</t>
        </is>
      </c>
      <c r="F595" s="7" t="inlineStr">
        <is>
          <t>EQUIPEMENT_VEHICULE</t>
        </is>
      </c>
      <c r="G595" s="7" t="inlineStr">
        <is>
          <t>unité</t>
        </is>
      </c>
      <c r="H595" s="7" t="inlineStr">
        <is>
          <t>LARGE</t>
        </is>
      </c>
      <c r="I595" s="7" t="n">
        <v>0</v>
      </c>
      <c r="J595" s="7" t="inlineStr">
        <is>
          <t>A-04-02 : 120</t>
        </is>
      </c>
      <c r="K595" s="7" t="inlineStr"/>
      <c r="L595" s="9" t="n">
        <v>120</v>
      </c>
      <c r="M595" s="9" t="n">
        <v>120</v>
      </c>
      <c r="N595" s="9" t="n">
        <v>40</v>
      </c>
      <c r="O595" s="7" t="inlineStr">
        <is>
          <t>SUM</t>
        </is>
      </c>
      <c r="P595" s="7" t="inlineStr">
        <is>
          <t>STANDARD</t>
        </is>
      </c>
      <c r="Q595" s="7" t="inlineStr">
        <is>
          <t>WHAP</t>
        </is>
      </c>
      <c r="R595" s="7" t="inlineStr">
        <is>
          <t>OUI</t>
        </is>
      </c>
      <c r="S595" s="7" t="inlineStr">
        <is>
          <t>31/08/2026 02:59</t>
        </is>
      </c>
    </row>
    <row r="596">
      <c r="A596" s="8" t="inlineStr">
        <is>
          <t>WHAP-0592</t>
        </is>
      </c>
      <c r="B596" s="8" t="inlineStr">
        <is>
          <t>TRE-0592</t>
        </is>
      </c>
      <c r="C596" s="8" t="inlineStr">
        <is>
          <t>moteur hydraulique de treuil</t>
        </is>
      </c>
      <c r="D596" s="8" t="inlineStr">
        <is>
          <t>Treuil et récupération</t>
        </is>
      </c>
      <c r="E596" s="8" t="inlineStr">
        <is>
          <t>Treuil et récupération</t>
        </is>
      </c>
      <c r="F596" s="8" t="inlineStr">
        <is>
          <t>EQUIPEMENT_VEHICULE</t>
        </is>
      </c>
      <c r="G596" s="8" t="inlineStr">
        <is>
          <t>unité</t>
        </is>
      </c>
      <c r="H596" s="8" t="inlineStr">
        <is>
          <t>LARGE</t>
        </is>
      </c>
      <c r="I596" s="8" t="n">
        <v>0</v>
      </c>
      <c r="J596" s="8" t="inlineStr">
        <is>
          <t>D-04-04 : 70</t>
        </is>
      </c>
      <c r="K596" s="8" t="inlineStr"/>
      <c r="L596" s="10" t="n">
        <v>70</v>
      </c>
      <c r="M596" s="10" t="n">
        <v>70</v>
      </c>
      <c r="N596" s="10" t="n">
        <v>44</v>
      </c>
      <c r="O596" s="8" t="inlineStr">
        <is>
          <t>FAU</t>
        </is>
      </c>
      <c r="P596" s="8" t="inlineStr">
        <is>
          <t>STANDARD</t>
        </is>
      </c>
      <c r="Q596" s="8" t="inlineStr">
        <is>
          <t>WHAP</t>
        </is>
      </c>
      <c r="R596" s="8" t="inlineStr">
        <is>
          <t>OUI</t>
        </is>
      </c>
      <c r="S596" s="8" t="inlineStr">
        <is>
          <t>31/08/2026 02:59</t>
        </is>
      </c>
    </row>
    <row r="597">
      <c r="A597" s="7" t="inlineStr">
        <is>
          <t>WHAP-0593</t>
        </is>
      </c>
      <c r="B597" s="7" t="inlineStr">
        <is>
          <t>TRE-0593</t>
        </is>
      </c>
      <c r="C597" s="7" t="inlineStr">
        <is>
          <t>tambour</t>
        </is>
      </c>
      <c r="D597" s="7" t="inlineStr">
        <is>
          <t>Treuil et récupération</t>
        </is>
      </c>
      <c r="E597" s="7" t="inlineStr">
        <is>
          <t>Treuil et récupération</t>
        </is>
      </c>
      <c r="F597" s="7" t="inlineStr">
        <is>
          <t>EQUIPEMENT_VEHICULE</t>
        </is>
      </c>
      <c r="G597" s="7" t="inlineStr">
        <is>
          <t>unité</t>
        </is>
      </c>
      <c r="H597" s="7" t="inlineStr">
        <is>
          <t>LARGE</t>
        </is>
      </c>
      <c r="I597" s="7" t="n">
        <v>0</v>
      </c>
      <c r="J597" s="7" t="inlineStr">
        <is>
          <t>C-01-01</t>
        </is>
      </c>
      <c r="K597" s="7" t="inlineStr"/>
      <c r="L597" s="9" t="n">
        <v>0</v>
      </c>
      <c r="M597" s="9" t="n">
        <v>0</v>
      </c>
      <c r="N597" s="9" t="n">
        <v>47</v>
      </c>
      <c r="O597" s="7" t="inlineStr">
        <is>
          <t>HEL</t>
        </is>
      </c>
      <c r="P597" s="7" t="inlineStr">
        <is>
          <t>STANDARD</t>
        </is>
      </c>
      <c r="Q597" s="7" t="inlineStr">
        <is>
          <t>WHAP</t>
        </is>
      </c>
      <c r="R597" s="7" t="inlineStr">
        <is>
          <t>OUI</t>
        </is>
      </c>
      <c r="S597" s="7" t="inlineStr">
        <is>
          <t>31/08/2026 02:59</t>
        </is>
      </c>
    </row>
    <row r="598">
      <c r="A598" s="8" t="inlineStr">
        <is>
          <t>WHAP-0594</t>
        </is>
      </c>
      <c r="B598" s="8" t="inlineStr">
        <is>
          <t>TRE-0594</t>
        </is>
      </c>
      <c r="C598" s="8" t="inlineStr">
        <is>
          <t>câble de treuil</t>
        </is>
      </c>
      <c r="D598" s="8" t="inlineStr">
        <is>
          <t>Treuil et récupération</t>
        </is>
      </c>
      <c r="E598" s="8" t="inlineStr">
        <is>
          <t>Treuil et récupération</t>
        </is>
      </c>
      <c r="F598" s="8" t="inlineStr">
        <is>
          <t>EQUIPEMENT_VEHICULE</t>
        </is>
      </c>
      <c r="G598" s="8" t="inlineStr">
        <is>
          <t>unité</t>
        </is>
      </c>
      <c r="H598" s="8" t="inlineStr">
        <is>
          <t>LARGE</t>
        </is>
      </c>
      <c r="I598" s="8" t="n">
        <v>0</v>
      </c>
      <c r="J598" s="8" t="inlineStr">
        <is>
          <t>E-04-04</t>
        </is>
      </c>
      <c r="K598" s="8" t="inlineStr"/>
      <c r="L598" s="10" t="n">
        <v>0</v>
      </c>
      <c r="M598" s="10" t="n">
        <v>0</v>
      </c>
      <c r="N598" s="10" t="n">
        <v>45</v>
      </c>
      <c r="O598" s="8" t="inlineStr">
        <is>
          <t>SUM</t>
        </is>
      </c>
      <c r="P598" s="8" t="inlineStr">
        <is>
          <t>STANDARD</t>
        </is>
      </c>
      <c r="Q598" s="8" t="inlineStr">
        <is>
          <t>WHAP</t>
        </is>
      </c>
      <c r="R598" s="8" t="inlineStr">
        <is>
          <t>OUI</t>
        </is>
      </c>
      <c r="S598" s="8" t="inlineStr">
        <is>
          <t>31/08/2026 02:59</t>
        </is>
      </c>
    </row>
    <row r="599">
      <c r="A599" s="7" t="inlineStr">
        <is>
          <t>WHAP-0595</t>
        </is>
      </c>
      <c r="B599" s="7" t="inlineStr">
        <is>
          <t>TRE-0595</t>
        </is>
      </c>
      <c r="C599" s="7" t="inlineStr">
        <is>
          <t>crochet de treuil</t>
        </is>
      </c>
      <c r="D599" s="7" t="inlineStr">
        <is>
          <t>Treuil et récupération</t>
        </is>
      </c>
      <c r="E599" s="7" t="inlineStr">
        <is>
          <t>Treuil et récupération</t>
        </is>
      </c>
      <c r="F599" s="7" t="inlineStr">
        <is>
          <t>EQUIPEMENT_VEHICULE</t>
        </is>
      </c>
      <c r="G599" s="7" t="inlineStr">
        <is>
          <t>unité</t>
        </is>
      </c>
      <c r="H599" s="7" t="inlineStr">
        <is>
          <t>LARGE</t>
        </is>
      </c>
      <c r="I599" s="7" t="n">
        <v>0</v>
      </c>
      <c r="J599" s="7" t="inlineStr">
        <is>
          <t>B-01-01</t>
        </is>
      </c>
      <c r="K599" s="7" t="inlineStr"/>
      <c r="L599" s="9" t="n">
        <v>0</v>
      </c>
      <c r="M599" s="9" t="n">
        <v>0</v>
      </c>
      <c r="N599" s="9" t="n">
        <v>41</v>
      </c>
      <c r="O599" s="7" t="inlineStr">
        <is>
          <t>VAL</t>
        </is>
      </c>
      <c r="P599" s="7" t="inlineStr">
        <is>
          <t>STANDARD</t>
        </is>
      </c>
      <c r="Q599" s="7" t="inlineStr">
        <is>
          <t>WHAP</t>
        </is>
      </c>
      <c r="R599" s="7" t="inlineStr">
        <is>
          <t>OUI</t>
        </is>
      </c>
      <c r="S599" s="7" t="inlineStr">
        <is>
          <t>31/08/2026 02:59</t>
        </is>
      </c>
    </row>
    <row r="600">
      <c r="A600" s="8" t="inlineStr">
        <is>
          <t>WHAP-0596</t>
        </is>
      </c>
      <c r="B600" s="8" t="inlineStr">
        <is>
          <t>TRE-0596</t>
        </is>
      </c>
      <c r="C600" s="8" t="inlineStr">
        <is>
          <t>guide-câble</t>
        </is>
      </c>
      <c r="D600" s="8" t="inlineStr">
        <is>
          <t>Treuil et récupération</t>
        </is>
      </c>
      <c r="E600" s="8" t="inlineStr">
        <is>
          <t>Treuil et récupération</t>
        </is>
      </c>
      <c r="F600" s="8" t="inlineStr">
        <is>
          <t>EQUIPEMENT_VEHICULE</t>
        </is>
      </c>
      <c r="G600" s="8" t="inlineStr">
        <is>
          <t>unité</t>
        </is>
      </c>
      <c r="H600" s="8" t="inlineStr">
        <is>
          <t>LARGE</t>
        </is>
      </c>
      <c r="I600" s="8" t="n">
        <v>0</v>
      </c>
      <c r="J600" s="8" t="inlineStr">
        <is>
          <t>C-05-01</t>
        </is>
      </c>
      <c r="K600" s="8" t="inlineStr"/>
      <c r="L600" s="10" t="n">
        <v>0</v>
      </c>
      <c r="M600" s="10" t="n">
        <v>0</v>
      </c>
      <c r="N600" s="10" t="n">
        <v>44</v>
      </c>
      <c r="O600" s="8" t="inlineStr">
        <is>
          <t>BOS</t>
        </is>
      </c>
      <c r="P600" s="8" t="inlineStr">
        <is>
          <t>STANDARD</t>
        </is>
      </c>
      <c r="Q600" s="8" t="inlineStr">
        <is>
          <t>WHAP</t>
        </is>
      </c>
      <c r="R600" s="8" t="inlineStr">
        <is>
          <t>OUI</t>
        </is>
      </c>
      <c r="S600" s="8" t="inlineStr">
        <is>
          <t>31/08/2026 02:59</t>
        </is>
      </c>
    </row>
    <row r="601">
      <c r="A601" s="7" t="inlineStr">
        <is>
          <t>WHAP-0597</t>
        </is>
      </c>
      <c r="B601" s="7" t="inlineStr">
        <is>
          <t>TRE-0597</t>
        </is>
      </c>
      <c r="C601" s="7" t="inlineStr">
        <is>
          <t>galet de guidage</t>
        </is>
      </c>
      <c r="D601" s="7" t="inlineStr">
        <is>
          <t>Treuil et récupération</t>
        </is>
      </c>
      <c r="E601" s="7" t="inlineStr">
        <is>
          <t>Treuil et récupération</t>
        </is>
      </c>
      <c r="F601" s="7" t="inlineStr">
        <is>
          <t>EQUIPEMENT_VEHICULE</t>
        </is>
      </c>
      <c r="G601" s="7" t="inlineStr">
        <is>
          <t>unité</t>
        </is>
      </c>
      <c r="H601" s="7" t="inlineStr">
        <is>
          <t>LARGE</t>
        </is>
      </c>
      <c r="I601" s="7" t="n">
        <v>0</v>
      </c>
      <c r="J601" s="7" t="inlineStr">
        <is>
          <t>C-01-01</t>
        </is>
      </c>
      <c r="K601" s="7" t="inlineStr"/>
      <c r="L601" s="9" t="n">
        <v>0</v>
      </c>
      <c r="M601" s="9" t="n">
        <v>0</v>
      </c>
      <c r="N601" s="9" t="n">
        <v>47</v>
      </c>
      <c r="O601" s="7" t="inlineStr">
        <is>
          <t>HEL</t>
        </is>
      </c>
      <c r="P601" s="7" t="inlineStr">
        <is>
          <t>STANDARD</t>
        </is>
      </c>
      <c r="Q601" s="7" t="inlineStr">
        <is>
          <t>WHAP</t>
        </is>
      </c>
      <c r="R601" s="7" t="inlineStr">
        <is>
          <t>OUI</t>
        </is>
      </c>
      <c r="S601" s="7" t="inlineStr">
        <is>
          <t>31/08/2026 02:59</t>
        </is>
      </c>
    </row>
    <row r="602">
      <c r="A602" s="8" t="inlineStr">
        <is>
          <t>WHAP-0598</t>
        </is>
      </c>
      <c r="B602" s="8" t="inlineStr">
        <is>
          <t>TRE-0598</t>
        </is>
      </c>
      <c r="C602" s="8" t="inlineStr">
        <is>
          <t>embrayage de treuil</t>
        </is>
      </c>
      <c r="D602" s="8" t="inlineStr">
        <is>
          <t>Treuil et récupération</t>
        </is>
      </c>
      <c r="E602" s="8" t="inlineStr">
        <is>
          <t>Treuil et récupération</t>
        </is>
      </c>
      <c r="F602" s="8" t="inlineStr">
        <is>
          <t>EQUIPEMENT_VEHICULE</t>
        </is>
      </c>
      <c r="G602" s="8" t="inlineStr">
        <is>
          <t>unité</t>
        </is>
      </c>
      <c r="H602" s="8" t="inlineStr">
        <is>
          <t>LARGE</t>
        </is>
      </c>
      <c r="I602" s="8" t="n">
        <v>0</v>
      </c>
      <c r="J602" s="8" t="inlineStr">
        <is>
          <t>E-04-04</t>
        </is>
      </c>
      <c r="K602" s="8" t="inlineStr"/>
      <c r="L602" s="10" t="n">
        <v>0</v>
      </c>
      <c r="M602" s="10" t="n">
        <v>0</v>
      </c>
      <c r="N602" s="10" t="n">
        <v>47</v>
      </c>
      <c r="O602" s="8" t="inlineStr">
        <is>
          <t>DEL</t>
        </is>
      </c>
      <c r="P602" s="8" t="inlineStr">
        <is>
          <t>STANDARD</t>
        </is>
      </c>
      <c r="Q602" s="8" t="inlineStr">
        <is>
          <t>WHAP</t>
        </is>
      </c>
      <c r="R602" s="8" t="inlineStr">
        <is>
          <t>OUI</t>
        </is>
      </c>
      <c r="S602" s="8" t="inlineStr">
        <is>
          <t>31/08/2026 02:59</t>
        </is>
      </c>
    </row>
    <row r="603">
      <c r="A603" s="7" t="inlineStr">
        <is>
          <t>WHAP-0599</t>
        </is>
      </c>
      <c r="B603" s="7" t="inlineStr">
        <is>
          <t>TRE-0599</t>
        </is>
      </c>
      <c r="C603" s="7" t="inlineStr">
        <is>
          <t>frein de treuil</t>
        </is>
      </c>
      <c r="D603" s="7" t="inlineStr">
        <is>
          <t>Treuil et récupération</t>
        </is>
      </c>
      <c r="E603" s="7" t="inlineStr">
        <is>
          <t>Treuil et récupération</t>
        </is>
      </c>
      <c r="F603" s="7" t="inlineStr">
        <is>
          <t>EQUIPEMENT_VEHICULE</t>
        </is>
      </c>
      <c r="G603" s="7" t="inlineStr">
        <is>
          <t>unité</t>
        </is>
      </c>
      <c r="H603" s="7" t="inlineStr">
        <is>
          <t>LARGE</t>
        </is>
      </c>
      <c r="I603" s="7" t="n">
        <v>0</v>
      </c>
      <c r="J603" s="7" t="inlineStr">
        <is>
          <t>B-02-03</t>
        </is>
      </c>
      <c r="K603" s="7" t="inlineStr"/>
      <c r="L603" s="9" t="n">
        <v>0</v>
      </c>
      <c r="M603" s="9" t="n">
        <v>0</v>
      </c>
      <c r="N603" s="9" t="n">
        <v>49</v>
      </c>
      <c r="O603" s="7" t="inlineStr">
        <is>
          <t>FAU</t>
        </is>
      </c>
      <c r="P603" s="7" t="inlineStr">
        <is>
          <t>STANDARD</t>
        </is>
      </c>
      <c r="Q603" s="7" t="inlineStr">
        <is>
          <t>WHAP</t>
        </is>
      </c>
      <c r="R603" s="7" t="inlineStr">
        <is>
          <t>OUI</t>
        </is>
      </c>
      <c r="S603" s="7" t="inlineStr">
        <is>
          <t>31/08/2026 02:59</t>
        </is>
      </c>
    </row>
    <row r="604">
      <c r="A604" s="8" t="inlineStr">
        <is>
          <t>WHAP-0600</t>
        </is>
      </c>
      <c r="B604" s="8" t="inlineStr">
        <is>
          <t>TRE-0600</t>
        </is>
      </c>
      <c r="C604" s="8" t="inlineStr">
        <is>
          <t>réducteur de treuil</t>
        </is>
      </c>
      <c r="D604" s="8" t="inlineStr">
        <is>
          <t>Treuil et récupération</t>
        </is>
      </c>
      <c r="E604" s="8" t="inlineStr">
        <is>
          <t>Treuil et récupération</t>
        </is>
      </c>
      <c r="F604" s="8" t="inlineStr">
        <is>
          <t>EQUIPEMENT_VEHICULE</t>
        </is>
      </c>
      <c r="G604" s="8" t="inlineStr">
        <is>
          <t>unité</t>
        </is>
      </c>
      <c r="H604" s="8" t="inlineStr">
        <is>
          <t>LARGE</t>
        </is>
      </c>
      <c r="I604" s="8" t="n">
        <v>0</v>
      </c>
      <c r="J604" s="8" t="inlineStr">
        <is>
          <t>F-05-01</t>
        </is>
      </c>
      <c r="K604" s="8" t="inlineStr"/>
      <c r="L604" s="10" t="n">
        <v>0</v>
      </c>
      <c r="M604" s="10" t="n">
        <v>0</v>
      </c>
      <c r="N604" s="10" t="n">
        <v>50</v>
      </c>
      <c r="O604" s="8" t="inlineStr">
        <is>
          <t>FAU</t>
        </is>
      </c>
      <c r="P604" s="8" t="inlineStr">
        <is>
          <t>STANDARD</t>
        </is>
      </c>
      <c r="Q604" s="8" t="inlineStr">
        <is>
          <t>WHAP</t>
        </is>
      </c>
      <c r="R604" s="8" t="inlineStr">
        <is>
          <t>OUI</t>
        </is>
      </c>
      <c r="S604" s="8" t="inlineStr">
        <is>
          <t>31/08/2026 02:59</t>
        </is>
      </c>
    </row>
    <row r="605">
      <c r="A605" s="7" t="inlineStr">
        <is>
          <t>WHAP-0601</t>
        </is>
      </c>
      <c r="B605" s="7" t="inlineStr">
        <is>
          <t>TRE-0601</t>
        </is>
      </c>
      <c r="C605" s="7" t="inlineStr">
        <is>
          <t>commande de treuil</t>
        </is>
      </c>
      <c r="D605" s="7" t="inlineStr">
        <is>
          <t>Treuil et récupération</t>
        </is>
      </c>
      <c r="E605" s="7" t="inlineStr">
        <is>
          <t>Treuil et récupération</t>
        </is>
      </c>
      <c r="F605" s="7" t="inlineStr">
        <is>
          <t>EQUIPEMENT_VEHICULE</t>
        </is>
      </c>
      <c r="G605" s="7" t="inlineStr">
        <is>
          <t>unité</t>
        </is>
      </c>
      <c r="H605" s="7" t="inlineStr">
        <is>
          <t>LARGE</t>
        </is>
      </c>
      <c r="I605" s="7" t="n">
        <v>0</v>
      </c>
      <c r="J605" s="7" t="inlineStr">
        <is>
          <t>F-03-03</t>
        </is>
      </c>
      <c r="K605" s="7" t="inlineStr"/>
      <c r="L605" s="9" t="n">
        <v>0</v>
      </c>
      <c r="M605" s="9" t="n">
        <v>0</v>
      </c>
      <c r="N605" s="9" t="n">
        <v>40</v>
      </c>
      <c r="O605" s="7" t="inlineStr">
        <is>
          <t>SKF</t>
        </is>
      </c>
      <c r="P605" s="7" t="inlineStr">
        <is>
          <t>STANDARD</t>
        </is>
      </c>
      <c r="Q605" s="7" t="inlineStr">
        <is>
          <t>WHAP</t>
        </is>
      </c>
      <c r="R605" s="7" t="inlineStr">
        <is>
          <t>OUI</t>
        </is>
      </c>
      <c r="S605" s="7" t="inlineStr">
        <is>
          <t>31/08/2026 02:59</t>
        </is>
      </c>
    </row>
    <row r="606">
      <c r="A606" s="8" t="inlineStr">
        <is>
          <t>WHAP-0602</t>
        </is>
      </c>
      <c r="B606" s="8" t="inlineStr">
        <is>
          <t>TRE-0602</t>
        </is>
      </c>
      <c r="C606" s="8" t="inlineStr">
        <is>
          <t>télécommande</t>
        </is>
      </c>
      <c r="D606" s="8" t="inlineStr">
        <is>
          <t>Treuil et récupération</t>
        </is>
      </c>
      <c r="E606" s="8" t="inlineStr">
        <is>
          <t>Treuil et récupération</t>
        </is>
      </c>
      <c r="F606" s="8" t="inlineStr">
        <is>
          <t>EQUIPEMENT_VEHICULE</t>
        </is>
      </c>
      <c r="G606" s="8" t="inlineStr">
        <is>
          <t>unité</t>
        </is>
      </c>
      <c r="H606" s="8" t="inlineStr">
        <is>
          <t>LARGE</t>
        </is>
      </c>
      <c r="I606" s="8" t="n">
        <v>0</v>
      </c>
      <c r="J606" s="8" t="inlineStr">
        <is>
          <t>D-04-03</t>
        </is>
      </c>
      <c r="K606" s="8" t="inlineStr"/>
      <c r="L606" s="10" t="n">
        <v>0</v>
      </c>
      <c r="M606" s="10" t="n">
        <v>0</v>
      </c>
      <c r="N606" s="10" t="n">
        <v>41</v>
      </c>
      <c r="O606" s="8" t="inlineStr">
        <is>
          <t>FAU</t>
        </is>
      </c>
      <c r="P606" s="8" t="inlineStr">
        <is>
          <t>STANDARD</t>
        </is>
      </c>
      <c r="Q606" s="8" t="inlineStr">
        <is>
          <t>WHAP</t>
        </is>
      </c>
      <c r="R606" s="8" t="inlineStr">
        <is>
          <t>OUI</t>
        </is>
      </c>
      <c r="S606" s="8" t="inlineStr">
        <is>
          <t>31/08/2026 02:59</t>
        </is>
      </c>
    </row>
    <row r="607">
      <c r="A607" s="7" t="inlineStr">
        <is>
          <t>WHAP-0603</t>
        </is>
      </c>
      <c r="B607" s="7" t="inlineStr">
        <is>
          <t>TRE-0603</t>
        </is>
      </c>
      <c r="C607" s="7" t="inlineStr">
        <is>
          <t>flexible hydraulique</t>
        </is>
      </c>
      <c r="D607" s="7" t="inlineStr">
        <is>
          <t>Treuil et récupération</t>
        </is>
      </c>
      <c r="E607" s="7" t="inlineStr">
        <is>
          <t>Treuil et récupération</t>
        </is>
      </c>
      <c r="F607" s="7" t="inlineStr">
        <is>
          <t>EQUIPEMENT_VEHICULE</t>
        </is>
      </c>
      <c r="G607" s="7" t="inlineStr">
        <is>
          <t>unité</t>
        </is>
      </c>
      <c r="H607" s="7" t="inlineStr">
        <is>
          <t>LARGE</t>
        </is>
      </c>
      <c r="I607" s="7" t="n">
        <v>0</v>
      </c>
      <c r="J607" s="7" t="inlineStr">
        <is>
          <t>D-02-04</t>
        </is>
      </c>
      <c r="K607" s="7" t="inlineStr"/>
      <c r="L607" s="9" t="n">
        <v>0</v>
      </c>
      <c r="M607" s="9" t="n">
        <v>0</v>
      </c>
      <c r="N607" s="9" t="n">
        <v>49</v>
      </c>
      <c r="O607" s="7" t="inlineStr">
        <is>
          <t>CTL</t>
        </is>
      </c>
      <c r="P607" s="7" t="inlineStr">
        <is>
          <t>STANDARD</t>
        </is>
      </c>
      <c r="Q607" s="7" t="inlineStr">
        <is>
          <t>WHAP</t>
        </is>
      </c>
      <c r="R607" s="7" t="inlineStr">
        <is>
          <t>OUI</t>
        </is>
      </c>
      <c r="S607" s="7" t="inlineStr">
        <is>
          <t>31/08/2026 02:59</t>
        </is>
      </c>
    </row>
    <row r="608">
      <c r="A608" s="8" t="inlineStr">
        <is>
          <t>WHAP-0604</t>
        </is>
      </c>
      <c r="B608" s="8" t="inlineStr">
        <is>
          <t>TRE-0604</t>
        </is>
      </c>
      <c r="C608" s="8" t="inlineStr">
        <is>
          <t>support de treuil</t>
        </is>
      </c>
      <c r="D608" s="8" t="inlineStr">
        <is>
          <t>Treuil et récupération</t>
        </is>
      </c>
      <c r="E608" s="8" t="inlineStr">
        <is>
          <t>Treuil et récupération</t>
        </is>
      </c>
      <c r="F608" s="8" t="inlineStr">
        <is>
          <t>EQUIPEMENT_VEHICULE</t>
        </is>
      </c>
      <c r="G608" s="8" t="inlineStr">
        <is>
          <t>unité</t>
        </is>
      </c>
      <c r="H608" s="8" t="inlineStr">
        <is>
          <t>LARGE</t>
        </is>
      </c>
      <c r="I608" s="8" t="n">
        <v>0</v>
      </c>
      <c r="J608" s="8" t="inlineStr">
        <is>
          <t>A-02-04</t>
        </is>
      </c>
      <c r="K608" s="8" t="inlineStr"/>
      <c r="L608" s="10" t="n">
        <v>0</v>
      </c>
      <c r="M608" s="10" t="n">
        <v>0</v>
      </c>
      <c r="N608" s="10" t="n">
        <v>44</v>
      </c>
      <c r="O608" s="8" t="inlineStr">
        <is>
          <t>SUM</t>
        </is>
      </c>
      <c r="P608" s="8" t="inlineStr">
        <is>
          <t>STANDARD</t>
        </is>
      </c>
      <c r="Q608" s="8" t="inlineStr">
        <is>
          <t>WHAP</t>
        </is>
      </c>
      <c r="R608" s="8" t="inlineStr">
        <is>
          <t>OUI</t>
        </is>
      </c>
      <c r="S608" s="8" t="inlineStr">
        <is>
          <t>31/08/2026 02:59</t>
        </is>
      </c>
    </row>
    <row r="609">
      <c r="A609" s="7" t="inlineStr">
        <is>
          <t>WHAP-0605</t>
        </is>
      </c>
      <c r="B609" s="7" t="inlineStr">
        <is>
          <t>TRE-0605</t>
        </is>
      </c>
      <c r="C609" s="7" t="inlineStr">
        <is>
          <t>poulie de renvoi</t>
        </is>
      </c>
      <c r="D609" s="7" t="inlineStr">
        <is>
          <t>Treuil et récupération</t>
        </is>
      </c>
      <c r="E609" s="7" t="inlineStr">
        <is>
          <t>Treuil et récupération</t>
        </is>
      </c>
      <c r="F609" s="7" t="inlineStr">
        <is>
          <t>EQUIPEMENT_VEHICULE</t>
        </is>
      </c>
      <c r="G609" s="7" t="inlineStr">
        <is>
          <t>unité</t>
        </is>
      </c>
      <c r="H609" s="7" t="inlineStr">
        <is>
          <t>LARGE</t>
        </is>
      </c>
      <c r="I609" s="7" t="n">
        <v>0</v>
      </c>
      <c r="J609" s="7" t="inlineStr">
        <is>
          <t>E-05-02</t>
        </is>
      </c>
      <c r="K609" s="7" t="inlineStr"/>
      <c r="L609" s="9" t="n">
        <v>0</v>
      </c>
      <c r="M609" s="9" t="n">
        <v>0</v>
      </c>
      <c r="N609" s="9" t="n">
        <v>43</v>
      </c>
      <c r="O609" s="7" t="inlineStr">
        <is>
          <t>HEL</t>
        </is>
      </c>
      <c r="P609" s="7" t="inlineStr">
        <is>
          <t>STANDARD</t>
        </is>
      </c>
      <c r="Q609" s="7" t="inlineStr">
        <is>
          <t>WHAP</t>
        </is>
      </c>
      <c r="R609" s="7" t="inlineStr">
        <is>
          <t>OUI</t>
        </is>
      </c>
      <c r="S609" s="7" t="inlineStr">
        <is>
          <t>31/08/2026 02:59</t>
        </is>
      </c>
    </row>
    <row r="610">
      <c r="A610" s="8" t="inlineStr">
        <is>
          <t>WHAP-0606</t>
        </is>
      </c>
      <c r="B610" s="8" t="inlineStr">
        <is>
          <t>TRE-0606</t>
        </is>
      </c>
      <c r="C610" s="8" t="inlineStr">
        <is>
          <t>manille</t>
        </is>
      </c>
      <c r="D610" s="8" t="inlineStr">
        <is>
          <t>Treuil et récupération</t>
        </is>
      </c>
      <c r="E610" s="8" t="inlineStr">
        <is>
          <t>Treuil et récupération</t>
        </is>
      </c>
      <c r="F610" s="8" t="inlineStr">
        <is>
          <t>EQUIPEMENT_VEHICULE</t>
        </is>
      </c>
      <c r="G610" s="8" t="inlineStr">
        <is>
          <t>unité</t>
        </is>
      </c>
      <c r="H610" s="8" t="inlineStr">
        <is>
          <t>LARGE</t>
        </is>
      </c>
      <c r="I610" s="8" t="n">
        <v>0</v>
      </c>
      <c r="J610" s="8" t="inlineStr">
        <is>
          <t>E-01-01</t>
        </is>
      </c>
      <c r="K610" s="8" t="inlineStr"/>
      <c r="L610" s="10" t="n">
        <v>0</v>
      </c>
      <c r="M610" s="10" t="n">
        <v>0</v>
      </c>
      <c r="N610" s="10" t="n">
        <v>41</v>
      </c>
      <c r="O610" s="8" t="inlineStr">
        <is>
          <t>DEL</t>
        </is>
      </c>
      <c r="P610" s="8" t="inlineStr">
        <is>
          <t>STANDARD</t>
        </is>
      </c>
      <c r="Q610" s="8" t="inlineStr">
        <is>
          <t>WHAP</t>
        </is>
      </c>
      <c r="R610" s="8" t="inlineStr">
        <is>
          <t>OUI</t>
        </is>
      </c>
      <c r="S610" s="8" t="inlineStr">
        <is>
          <t>31/08/2026 02:59</t>
        </is>
      </c>
    </row>
    <row r="611">
      <c r="A611" s="7" t="inlineStr">
        <is>
          <t>WHAP-0607</t>
        </is>
      </c>
      <c r="B611" s="7" t="inlineStr">
        <is>
          <t>TRE-0607</t>
        </is>
      </c>
      <c r="C611" s="7" t="inlineStr">
        <is>
          <t>anneau de remorquage</t>
        </is>
      </c>
      <c r="D611" s="7" t="inlineStr">
        <is>
          <t>Treuil et récupération</t>
        </is>
      </c>
      <c r="E611" s="7" t="inlineStr">
        <is>
          <t>Treuil et récupération</t>
        </is>
      </c>
      <c r="F611" s="7" t="inlineStr">
        <is>
          <t>EQUIPEMENT_VEHICULE</t>
        </is>
      </c>
      <c r="G611" s="7" t="inlineStr">
        <is>
          <t>unité</t>
        </is>
      </c>
      <c r="H611" s="7" t="inlineStr">
        <is>
          <t>LARGE</t>
        </is>
      </c>
      <c r="I611" s="7" t="n">
        <v>0</v>
      </c>
      <c r="J611" s="7" t="inlineStr">
        <is>
          <t>D-02-01</t>
        </is>
      </c>
      <c r="K611" s="7" t="inlineStr"/>
      <c r="L611" s="9" t="n">
        <v>0</v>
      </c>
      <c r="M611" s="9" t="n">
        <v>0</v>
      </c>
      <c r="N611" s="9" t="n">
        <v>46</v>
      </c>
      <c r="O611" s="7" t="inlineStr">
        <is>
          <t>YZK</t>
        </is>
      </c>
      <c r="P611" s="7" t="inlineStr">
        <is>
          <t>STANDARD</t>
        </is>
      </c>
      <c r="Q611" s="7" t="inlineStr">
        <is>
          <t>WHAP</t>
        </is>
      </c>
      <c r="R611" s="7" t="inlineStr">
        <is>
          <t>OUI</t>
        </is>
      </c>
      <c r="S611" s="7" t="inlineStr">
        <is>
          <t>31/08/2026 02:59</t>
        </is>
      </c>
    </row>
    <row r="612">
      <c r="A612" s="8" t="inlineStr">
        <is>
          <t>WHAP-0608</t>
        </is>
      </c>
      <c r="B612" s="8" t="inlineStr">
        <is>
          <t>TRE-0608</t>
        </is>
      </c>
      <c r="C612" s="8" t="inlineStr">
        <is>
          <t>crochet de remorquage</t>
        </is>
      </c>
      <c r="D612" s="8" t="inlineStr">
        <is>
          <t>Treuil et récupération</t>
        </is>
      </c>
      <c r="E612" s="8" t="inlineStr">
        <is>
          <t>Treuil et récupération</t>
        </is>
      </c>
      <c r="F612" s="8" t="inlineStr">
        <is>
          <t>EQUIPEMENT_VEHICULE</t>
        </is>
      </c>
      <c r="G612" s="8" t="inlineStr">
        <is>
          <t>unité</t>
        </is>
      </c>
      <c r="H612" s="8" t="inlineStr">
        <is>
          <t>LARGE</t>
        </is>
      </c>
      <c r="I612" s="8" t="n">
        <v>0</v>
      </c>
      <c r="J612" s="8" t="inlineStr">
        <is>
          <t>F-05-01</t>
        </is>
      </c>
      <c r="K612" s="8" t="inlineStr"/>
      <c r="L612" s="10" t="n">
        <v>0</v>
      </c>
      <c r="M612" s="10" t="n">
        <v>0</v>
      </c>
      <c r="N612" s="10" t="n">
        <v>41</v>
      </c>
      <c r="O612" s="8" t="inlineStr">
        <is>
          <t>VAL</t>
        </is>
      </c>
      <c r="P612" s="8" t="inlineStr">
        <is>
          <t>STANDARD</t>
        </is>
      </c>
      <c r="Q612" s="8" t="inlineStr">
        <is>
          <t>WHAP</t>
        </is>
      </c>
      <c r="R612" s="8" t="inlineStr">
        <is>
          <t>OUI</t>
        </is>
      </c>
      <c r="S612" s="8" t="inlineStr">
        <is>
          <t>31/08/2026 02:59</t>
        </is>
      </c>
    </row>
    <row r="613">
      <c r="A613" s="7" t="inlineStr">
        <is>
          <t>WHAP-0609</t>
        </is>
      </c>
      <c r="B613" s="7" t="inlineStr">
        <is>
          <t>TRE-0609</t>
        </is>
      </c>
      <c r="C613" s="7" t="inlineStr">
        <is>
          <t>barre de remorquage</t>
        </is>
      </c>
      <c r="D613" s="7" t="inlineStr">
        <is>
          <t>Treuil et récupération</t>
        </is>
      </c>
      <c r="E613" s="7" t="inlineStr">
        <is>
          <t>Treuil et récupération</t>
        </is>
      </c>
      <c r="F613" s="7" t="inlineStr">
        <is>
          <t>EQUIPEMENT_VEHICULE</t>
        </is>
      </c>
      <c r="G613" s="7" t="inlineStr">
        <is>
          <t>unité</t>
        </is>
      </c>
      <c r="H613" s="7" t="inlineStr">
        <is>
          <t>LARGE</t>
        </is>
      </c>
      <c r="I613" s="7" t="n">
        <v>0</v>
      </c>
      <c r="J613" s="7" t="inlineStr">
        <is>
          <t>C-03-04</t>
        </is>
      </c>
      <c r="K613" s="7" t="inlineStr"/>
      <c r="L613" s="9" t="n">
        <v>0</v>
      </c>
      <c r="M613" s="9" t="n">
        <v>0</v>
      </c>
      <c r="N613" s="9" t="n">
        <v>44</v>
      </c>
      <c r="O613" s="7" t="inlineStr">
        <is>
          <t>BOS</t>
        </is>
      </c>
      <c r="P613" s="7" t="inlineStr">
        <is>
          <t>STANDARD</t>
        </is>
      </c>
      <c r="Q613" s="7" t="inlineStr">
        <is>
          <t>WHAP</t>
        </is>
      </c>
      <c r="R613" s="7" t="inlineStr">
        <is>
          <t>OUI</t>
        </is>
      </c>
      <c r="S613" s="7" t="inlineStr">
        <is>
          <t>31/08/2026 02:59</t>
        </is>
      </c>
    </row>
    <row r="614">
      <c r="A614" s="8" t="inlineStr">
        <is>
          <t>WHAP-0610</t>
        </is>
      </c>
      <c r="B614" s="8" t="inlineStr">
        <is>
          <t>AMP-0610</t>
        </is>
      </c>
      <c r="C614" s="8" t="inlineStr">
        <is>
          <t>hydrojet gauche</t>
        </is>
      </c>
      <c r="D614" s="8" t="inlineStr">
        <is>
          <t>Propulsion amphibie</t>
        </is>
      </c>
      <c r="E614" s="8" t="inlineStr">
        <is>
          <t>Propulsion amphibie</t>
        </is>
      </c>
      <c r="F614" s="8" t="inlineStr">
        <is>
          <t>PIECE_VEHICULE</t>
        </is>
      </c>
      <c r="G614" s="8" t="inlineStr">
        <is>
          <t>unité</t>
        </is>
      </c>
      <c r="H614" s="8" t="inlineStr">
        <is>
          <t>LARGE</t>
        </is>
      </c>
      <c r="I614" s="8" t="n">
        <v>0</v>
      </c>
      <c r="J614" s="8" t="inlineStr">
        <is>
          <t>C-03-02 : 140</t>
        </is>
      </c>
      <c r="K614" s="8" t="inlineStr"/>
      <c r="L614" s="10" t="n">
        <v>140</v>
      </c>
      <c r="M614" s="10" t="n">
        <v>140</v>
      </c>
      <c r="N614" s="10" t="n">
        <v>50</v>
      </c>
      <c r="O614" s="8" t="inlineStr">
        <is>
          <t>BOS</t>
        </is>
      </c>
      <c r="P614" s="8" t="inlineStr">
        <is>
          <t>STANDARD</t>
        </is>
      </c>
      <c r="Q614" s="8" t="inlineStr">
        <is>
          <t>WHAP</t>
        </is>
      </c>
      <c r="R614" s="8" t="inlineStr">
        <is>
          <t>OUI</t>
        </is>
      </c>
      <c r="S614" s="8" t="inlineStr">
        <is>
          <t>31/08/2026 02:59</t>
        </is>
      </c>
    </row>
    <row r="615">
      <c r="A615" s="7" t="inlineStr">
        <is>
          <t>WHAP-0611</t>
        </is>
      </c>
      <c r="B615" s="7" t="inlineStr">
        <is>
          <t>AMP-0611</t>
        </is>
      </c>
      <c r="C615" s="7" t="inlineStr">
        <is>
          <t>hydrojet droit</t>
        </is>
      </c>
      <c r="D615" s="7" t="inlineStr">
        <is>
          <t>Propulsion amphibie</t>
        </is>
      </c>
      <c r="E615" s="7" t="inlineStr">
        <is>
          <t>Propulsion amphibie</t>
        </is>
      </c>
      <c r="F615" s="7" t="inlineStr">
        <is>
          <t>PIECE_VEHICULE</t>
        </is>
      </c>
      <c r="G615" s="7" t="inlineStr">
        <is>
          <t>unité</t>
        </is>
      </c>
      <c r="H615" s="7" t="inlineStr">
        <is>
          <t>LARGE</t>
        </is>
      </c>
      <c r="I615" s="7" t="n">
        <v>0</v>
      </c>
      <c r="J615" s="7" t="inlineStr">
        <is>
          <t>F-05-03 : 380</t>
        </is>
      </c>
      <c r="K615" s="7" t="inlineStr"/>
      <c r="L615" s="9" t="n">
        <v>380</v>
      </c>
      <c r="M615" s="9" t="n">
        <v>380</v>
      </c>
      <c r="N615" s="9" t="n">
        <v>40</v>
      </c>
      <c r="O615" s="7" t="inlineStr">
        <is>
          <t>VAL</t>
        </is>
      </c>
      <c r="P615" s="7" t="inlineStr">
        <is>
          <t>STANDARD</t>
        </is>
      </c>
      <c r="Q615" s="7" t="inlineStr">
        <is>
          <t>WHAP</t>
        </is>
      </c>
      <c r="R615" s="7" t="inlineStr">
        <is>
          <t>OUI</t>
        </is>
      </c>
      <c r="S615" s="7" t="inlineStr">
        <is>
          <t>31/08/2026 02:59</t>
        </is>
      </c>
    </row>
    <row r="616">
      <c r="A616" s="8" t="inlineStr">
        <is>
          <t>WHAP-0612</t>
        </is>
      </c>
      <c r="B616" s="8" t="inlineStr">
        <is>
          <t>AMP-0612</t>
        </is>
      </c>
      <c r="C616" s="8" t="inlineStr">
        <is>
          <t>pompe d'alimentation hydrojet</t>
        </is>
      </c>
      <c r="D616" s="8" t="inlineStr">
        <is>
          <t>Propulsion amphibie</t>
        </is>
      </c>
      <c r="E616" s="8" t="inlineStr">
        <is>
          <t>Propulsion amphibie</t>
        </is>
      </c>
      <c r="F616" s="8" t="inlineStr">
        <is>
          <t>PIECE_VEHICULE</t>
        </is>
      </c>
      <c r="G616" s="8" t="inlineStr">
        <is>
          <t>unité</t>
        </is>
      </c>
      <c r="H616" s="8" t="inlineStr">
        <is>
          <t>LARGE</t>
        </is>
      </c>
      <c r="I616" s="8" t="n">
        <v>0</v>
      </c>
      <c r="J616" s="8" t="inlineStr">
        <is>
          <t>E-05-03</t>
        </is>
      </c>
      <c r="K616" s="8" t="inlineStr"/>
      <c r="L616" s="10" t="n">
        <v>0</v>
      </c>
      <c r="M616" s="10" t="n">
        <v>0</v>
      </c>
      <c r="N616" s="10" t="n">
        <v>42</v>
      </c>
      <c r="O616" s="8" t="inlineStr">
        <is>
          <t>SUM</t>
        </is>
      </c>
      <c r="P616" s="8" t="inlineStr">
        <is>
          <t>STANDARD</t>
        </is>
      </c>
      <c r="Q616" s="8" t="inlineStr">
        <is>
          <t>WHAP</t>
        </is>
      </c>
      <c r="R616" s="8" t="inlineStr">
        <is>
          <t>OUI</t>
        </is>
      </c>
      <c r="S616" s="8" t="inlineStr">
        <is>
          <t>31/08/2026 02:59</t>
        </is>
      </c>
    </row>
    <row r="617">
      <c r="A617" s="7" t="inlineStr">
        <is>
          <t>WHAP-0613</t>
        </is>
      </c>
      <c r="B617" s="7" t="inlineStr">
        <is>
          <t>AMP-0613</t>
        </is>
      </c>
      <c r="C617" s="7" t="inlineStr">
        <is>
          <t>turbine hydrojet</t>
        </is>
      </c>
      <c r="D617" s="7" t="inlineStr">
        <is>
          <t>Propulsion amphibie</t>
        </is>
      </c>
      <c r="E617" s="7" t="inlineStr">
        <is>
          <t>Propulsion amphibie</t>
        </is>
      </c>
      <c r="F617" s="7" t="inlineStr">
        <is>
          <t>PIECE_VEHICULE</t>
        </is>
      </c>
      <c r="G617" s="7" t="inlineStr">
        <is>
          <t>unité</t>
        </is>
      </c>
      <c r="H617" s="7" t="inlineStr">
        <is>
          <t>LARGE</t>
        </is>
      </c>
      <c r="I617" s="7" t="n">
        <v>0</v>
      </c>
      <c r="J617" s="7" t="inlineStr">
        <is>
          <t>D-03-02</t>
        </is>
      </c>
      <c r="K617" s="7" t="inlineStr"/>
      <c r="L617" s="9" t="n">
        <v>0</v>
      </c>
      <c r="M617" s="9" t="n">
        <v>0</v>
      </c>
      <c r="N617" s="9" t="n">
        <v>50</v>
      </c>
      <c r="O617" s="7" t="inlineStr">
        <is>
          <t>YZK</t>
        </is>
      </c>
      <c r="P617" s="7" t="inlineStr">
        <is>
          <t>STANDARD</t>
        </is>
      </c>
      <c r="Q617" s="7" t="inlineStr">
        <is>
          <t>WHAP</t>
        </is>
      </c>
      <c r="R617" s="7" t="inlineStr">
        <is>
          <t>OUI</t>
        </is>
      </c>
      <c r="S617" s="7" t="inlineStr">
        <is>
          <t>31/08/2026 02:59</t>
        </is>
      </c>
    </row>
    <row r="618">
      <c r="A618" s="8" t="inlineStr">
        <is>
          <t>WHAP-0614</t>
        </is>
      </c>
      <c r="B618" s="8" t="inlineStr">
        <is>
          <t>AMP-0614</t>
        </is>
      </c>
      <c r="C618" s="8" t="inlineStr">
        <is>
          <t>stator hydrojet</t>
        </is>
      </c>
      <c r="D618" s="8" t="inlineStr">
        <is>
          <t>Propulsion amphibie</t>
        </is>
      </c>
      <c r="E618" s="8" t="inlineStr">
        <is>
          <t>Propulsion amphibie</t>
        </is>
      </c>
      <c r="F618" s="8" t="inlineStr">
        <is>
          <t>PIECE_VEHICULE</t>
        </is>
      </c>
      <c r="G618" s="8" t="inlineStr">
        <is>
          <t>unité</t>
        </is>
      </c>
      <c r="H618" s="8" t="inlineStr">
        <is>
          <t>LARGE</t>
        </is>
      </c>
      <c r="I618" s="8" t="n">
        <v>0</v>
      </c>
      <c r="J618" s="8" t="inlineStr">
        <is>
          <t>C-02-01</t>
        </is>
      </c>
      <c r="K618" s="8" t="inlineStr"/>
      <c r="L618" s="10" t="n">
        <v>0</v>
      </c>
      <c r="M618" s="10" t="n">
        <v>0</v>
      </c>
      <c r="N618" s="10" t="n">
        <v>46</v>
      </c>
      <c r="O618" s="8" t="inlineStr">
        <is>
          <t>HEL</t>
        </is>
      </c>
      <c r="P618" s="8" t="inlineStr">
        <is>
          <t>STANDARD</t>
        </is>
      </c>
      <c r="Q618" s="8" t="inlineStr">
        <is>
          <t>WHAP</t>
        </is>
      </c>
      <c r="R618" s="8" t="inlineStr">
        <is>
          <t>OUI</t>
        </is>
      </c>
      <c r="S618" s="8" t="inlineStr">
        <is>
          <t>31/08/2026 02:59</t>
        </is>
      </c>
    </row>
    <row r="619">
      <c r="A619" s="7" t="inlineStr">
        <is>
          <t>WHAP-0615</t>
        </is>
      </c>
      <c r="B619" s="7" t="inlineStr">
        <is>
          <t>AMP-0615</t>
        </is>
      </c>
      <c r="C619" s="7" t="inlineStr">
        <is>
          <t>arbre hydrojet</t>
        </is>
      </c>
      <c r="D619" s="7" t="inlineStr">
        <is>
          <t>Propulsion amphibie</t>
        </is>
      </c>
      <c r="E619" s="7" t="inlineStr">
        <is>
          <t>Propulsion amphibie</t>
        </is>
      </c>
      <c r="F619" s="7" t="inlineStr">
        <is>
          <t>PIECE_VEHICULE</t>
        </is>
      </c>
      <c r="G619" s="7" t="inlineStr">
        <is>
          <t>unité</t>
        </is>
      </c>
      <c r="H619" s="7" t="inlineStr">
        <is>
          <t>LARGE</t>
        </is>
      </c>
      <c r="I619" s="7" t="n">
        <v>0</v>
      </c>
      <c r="J619" s="7" t="inlineStr">
        <is>
          <t>E-04-01</t>
        </is>
      </c>
      <c r="K619" s="7" t="inlineStr"/>
      <c r="L619" s="9" t="n">
        <v>0</v>
      </c>
      <c r="M619" s="9" t="n">
        <v>0</v>
      </c>
      <c r="N619" s="9" t="n">
        <v>48</v>
      </c>
      <c r="O619" s="7" t="inlineStr">
        <is>
          <t>SUM</t>
        </is>
      </c>
      <c r="P619" s="7" t="inlineStr">
        <is>
          <t>STANDARD</t>
        </is>
      </c>
      <c r="Q619" s="7" t="inlineStr">
        <is>
          <t>WHAP</t>
        </is>
      </c>
      <c r="R619" s="7" t="inlineStr">
        <is>
          <t>OUI</t>
        </is>
      </c>
      <c r="S619" s="7" t="inlineStr">
        <is>
          <t>31/08/2026 02:59</t>
        </is>
      </c>
    </row>
    <row r="620">
      <c r="A620" s="8" t="inlineStr">
        <is>
          <t>WHAP-0616</t>
        </is>
      </c>
      <c r="B620" s="8" t="inlineStr">
        <is>
          <t>AMP-0616</t>
        </is>
      </c>
      <c r="C620" s="8" t="inlineStr">
        <is>
          <t>roulement hydrojet</t>
        </is>
      </c>
      <c r="D620" s="8" t="inlineStr">
        <is>
          <t>Propulsion amphibie</t>
        </is>
      </c>
      <c r="E620" s="8" t="inlineStr">
        <is>
          <t>Propulsion amphibie</t>
        </is>
      </c>
      <c r="F620" s="8" t="inlineStr">
        <is>
          <t>PIECE_VEHICULE</t>
        </is>
      </c>
      <c r="G620" s="8" t="inlineStr">
        <is>
          <t>unité</t>
        </is>
      </c>
      <c r="H620" s="8" t="inlineStr">
        <is>
          <t>LARGE</t>
        </is>
      </c>
      <c r="I620" s="8" t="n">
        <v>0</v>
      </c>
      <c r="J620" s="8" t="inlineStr">
        <is>
          <t>E-06-03</t>
        </is>
      </c>
      <c r="K620" s="8" t="inlineStr"/>
      <c r="L620" s="10" t="n">
        <v>0</v>
      </c>
      <c r="M620" s="10" t="n">
        <v>0</v>
      </c>
      <c r="N620" s="10" t="n">
        <v>44</v>
      </c>
      <c r="O620" s="8" t="inlineStr">
        <is>
          <t>DEL</t>
        </is>
      </c>
      <c r="P620" s="8" t="inlineStr">
        <is>
          <t>STANDARD</t>
        </is>
      </c>
      <c r="Q620" s="8" t="inlineStr">
        <is>
          <t>WHAP</t>
        </is>
      </c>
      <c r="R620" s="8" t="inlineStr">
        <is>
          <t>OUI</t>
        </is>
      </c>
      <c r="S620" s="8" t="inlineStr">
        <is>
          <t>31/08/2026 02:59</t>
        </is>
      </c>
    </row>
    <row r="621">
      <c r="A621" s="7" t="inlineStr">
        <is>
          <t>WHAP-0617</t>
        </is>
      </c>
      <c r="B621" s="7" t="inlineStr">
        <is>
          <t>AMP-0617</t>
        </is>
      </c>
      <c r="C621" s="7" t="inlineStr">
        <is>
          <t>joint hydrojet</t>
        </is>
      </c>
      <c r="D621" s="7" t="inlineStr">
        <is>
          <t>Propulsion amphibie</t>
        </is>
      </c>
      <c r="E621" s="7" t="inlineStr">
        <is>
          <t>Propulsion amphibie</t>
        </is>
      </c>
      <c r="F621" s="7" t="inlineStr">
        <is>
          <t>PIECE_VEHICULE</t>
        </is>
      </c>
      <c r="G621" s="7" t="inlineStr">
        <is>
          <t>unité</t>
        </is>
      </c>
      <c r="H621" s="7" t="inlineStr">
        <is>
          <t>LARGE</t>
        </is>
      </c>
      <c r="I621" s="7" t="n">
        <v>0</v>
      </c>
      <c r="J621" s="7" t="inlineStr">
        <is>
          <t>A-03-04</t>
        </is>
      </c>
      <c r="K621" s="7" t="inlineStr"/>
      <c r="L621" s="9" t="n">
        <v>0</v>
      </c>
      <c r="M621" s="9" t="n">
        <v>0</v>
      </c>
      <c r="N621" s="9" t="n">
        <v>47</v>
      </c>
      <c r="O621" s="7" t="inlineStr">
        <is>
          <t>BOS</t>
        </is>
      </c>
      <c r="P621" s="7" t="inlineStr">
        <is>
          <t>STANDARD</t>
        </is>
      </c>
      <c r="Q621" s="7" t="inlineStr">
        <is>
          <t>WHAP</t>
        </is>
      </c>
      <c r="R621" s="7" t="inlineStr">
        <is>
          <t>OUI</t>
        </is>
      </c>
      <c r="S621" s="7" t="inlineStr">
        <is>
          <t>31/08/2026 02:59</t>
        </is>
      </c>
    </row>
    <row r="622">
      <c r="A622" s="8" t="inlineStr">
        <is>
          <t>WHAP-0618</t>
        </is>
      </c>
      <c r="B622" s="8" t="inlineStr">
        <is>
          <t>AMP-0618</t>
        </is>
      </c>
      <c r="C622" s="8" t="inlineStr">
        <is>
          <t>buse hydrojet</t>
        </is>
      </c>
      <c r="D622" s="8" t="inlineStr">
        <is>
          <t>Propulsion amphibie</t>
        </is>
      </c>
      <c r="E622" s="8" t="inlineStr">
        <is>
          <t>Propulsion amphibie</t>
        </is>
      </c>
      <c r="F622" s="8" t="inlineStr">
        <is>
          <t>PIECE_VEHICULE</t>
        </is>
      </c>
      <c r="G622" s="8" t="inlineStr">
        <is>
          <t>unité</t>
        </is>
      </c>
      <c r="H622" s="8" t="inlineStr">
        <is>
          <t>LARGE</t>
        </is>
      </c>
      <c r="I622" s="8" t="n">
        <v>0</v>
      </c>
      <c r="J622" s="8" t="inlineStr">
        <is>
          <t>D-01-02</t>
        </is>
      </c>
      <c r="K622" s="8" t="inlineStr"/>
      <c r="L622" s="10" t="n">
        <v>0</v>
      </c>
      <c r="M622" s="10" t="n">
        <v>0</v>
      </c>
      <c r="N622" s="10" t="n">
        <v>42</v>
      </c>
      <c r="O622" s="8" t="inlineStr">
        <is>
          <t>YZK</t>
        </is>
      </c>
      <c r="P622" s="8" t="inlineStr">
        <is>
          <t>STANDARD</t>
        </is>
      </c>
      <c r="Q622" s="8" t="inlineStr">
        <is>
          <t>WHAP</t>
        </is>
      </c>
      <c r="R622" s="8" t="inlineStr">
        <is>
          <t>OUI</t>
        </is>
      </c>
      <c r="S622" s="8" t="inlineStr">
        <is>
          <t>31/08/2026 02:59</t>
        </is>
      </c>
    </row>
    <row r="623">
      <c r="A623" s="7" t="inlineStr">
        <is>
          <t>WHAP-0619</t>
        </is>
      </c>
      <c r="B623" s="7" t="inlineStr">
        <is>
          <t>AMP-0619</t>
        </is>
      </c>
      <c r="C623" s="7" t="inlineStr">
        <is>
          <t>gouverne hydrojet</t>
        </is>
      </c>
      <c r="D623" s="7" t="inlineStr">
        <is>
          <t>Propulsion amphibie</t>
        </is>
      </c>
      <c r="E623" s="7" t="inlineStr">
        <is>
          <t>Propulsion amphibie</t>
        </is>
      </c>
      <c r="F623" s="7" t="inlineStr">
        <is>
          <t>PIECE_VEHICULE</t>
        </is>
      </c>
      <c r="G623" s="7" t="inlineStr">
        <is>
          <t>unité</t>
        </is>
      </c>
      <c r="H623" s="7" t="inlineStr">
        <is>
          <t>LARGE</t>
        </is>
      </c>
      <c r="I623" s="7" t="n">
        <v>0</v>
      </c>
      <c r="J623" s="7" t="inlineStr">
        <is>
          <t>D-06-03</t>
        </is>
      </c>
      <c r="K623" s="7" t="inlineStr"/>
      <c r="L623" s="9" t="n">
        <v>0</v>
      </c>
      <c r="M623" s="9" t="n">
        <v>0</v>
      </c>
      <c r="N623" s="9" t="n">
        <v>43</v>
      </c>
      <c r="O623" s="7" t="inlineStr">
        <is>
          <t>FAU</t>
        </is>
      </c>
      <c r="P623" s="7" t="inlineStr">
        <is>
          <t>STANDARD</t>
        </is>
      </c>
      <c r="Q623" s="7" t="inlineStr">
        <is>
          <t>WHAP</t>
        </is>
      </c>
      <c r="R623" s="7" t="inlineStr">
        <is>
          <t>OUI</t>
        </is>
      </c>
      <c r="S623" s="7" t="inlineStr">
        <is>
          <t>31/08/2026 02:59</t>
        </is>
      </c>
    </row>
    <row r="624">
      <c r="A624" s="8" t="inlineStr">
        <is>
          <t>WHAP-0620</t>
        </is>
      </c>
      <c r="B624" s="8" t="inlineStr">
        <is>
          <t>AMP-0620</t>
        </is>
      </c>
      <c r="C624" s="8" t="inlineStr">
        <is>
          <t>actionneur hydrojet</t>
        </is>
      </c>
      <c r="D624" s="8" t="inlineStr">
        <is>
          <t>Propulsion amphibie</t>
        </is>
      </c>
      <c r="E624" s="8" t="inlineStr">
        <is>
          <t>Propulsion amphibie</t>
        </is>
      </c>
      <c r="F624" s="8" t="inlineStr">
        <is>
          <t>PIECE_VEHICULE</t>
        </is>
      </c>
      <c r="G624" s="8" t="inlineStr">
        <is>
          <t>unité</t>
        </is>
      </c>
      <c r="H624" s="8" t="inlineStr">
        <is>
          <t>LARGE</t>
        </is>
      </c>
      <c r="I624" s="8" t="n">
        <v>0</v>
      </c>
      <c r="J624" s="8" t="inlineStr">
        <is>
          <t>C-06-03</t>
        </is>
      </c>
      <c r="K624" s="8" t="inlineStr"/>
      <c r="L624" s="10" t="n">
        <v>0</v>
      </c>
      <c r="M624" s="10" t="n">
        <v>0</v>
      </c>
      <c r="N624" s="10" t="n">
        <v>45</v>
      </c>
      <c r="O624" s="8" t="inlineStr">
        <is>
          <t>HEL</t>
        </is>
      </c>
      <c r="P624" s="8" t="inlineStr">
        <is>
          <t>STANDARD</t>
        </is>
      </c>
      <c r="Q624" s="8" t="inlineStr">
        <is>
          <t>WHAP</t>
        </is>
      </c>
      <c r="R624" s="8" t="inlineStr">
        <is>
          <t>OUI</t>
        </is>
      </c>
      <c r="S624" s="8" t="inlineStr">
        <is>
          <t>31/08/2026 02:59</t>
        </is>
      </c>
    </row>
    <row r="625">
      <c r="A625" s="7" t="inlineStr">
        <is>
          <t>WHAP-0621</t>
        </is>
      </c>
      <c r="B625" s="7" t="inlineStr">
        <is>
          <t>AMP-0621</t>
        </is>
      </c>
      <c r="C625" s="7" t="inlineStr">
        <is>
          <t>commande hydrojet</t>
        </is>
      </c>
      <c r="D625" s="7" t="inlineStr">
        <is>
          <t>Propulsion amphibie</t>
        </is>
      </c>
      <c r="E625" s="7" t="inlineStr">
        <is>
          <t>Propulsion amphibie</t>
        </is>
      </c>
      <c r="F625" s="7" t="inlineStr">
        <is>
          <t>PIECE_VEHICULE</t>
        </is>
      </c>
      <c r="G625" s="7" t="inlineStr">
        <is>
          <t>unité</t>
        </is>
      </c>
      <c r="H625" s="7" t="inlineStr">
        <is>
          <t>LARGE</t>
        </is>
      </c>
      <c r="I625" s="7" t="n">
        <v>0</v>
      </c>
      <c r="J625" s="7" t="inlineStr">
        <is>
          <t>D-03-04</t>
        </is>
      </c>
      <c r="K625" s="7" t="inlineStr"/>
      <c r="L625" s="9" t="n">
        <v>0</v>
      </c>
      <c r="M625" s="9" t="n">
        <v>0</v>
      </c>
      <c r="N625" s="9" t="n">
        <v>41</v>
      </c>
      <c r="O625" s="7" t="inlineStr">
        <is>
          <t>VAL</t>
        </is>
      </c>
      <c r="P625" s="7" t="inlineStr">
        <is>
          <t>STANDARD</t>
        </is>
      </c>
      <c r="Q625" s="7" t="inlineStr">
        <is>
          <t>WHAP</t>
        </is>
      </c>
      <c r="R625" s="7" t="inlineStr">
        <is>
          <t>OUI</t>
        </is>
      </c>
      <c r="S625" s="7" t="inlineStr">
        <is>
          <t>31/08/2026 02:59</t>
        </is>
      </c>
    </row>
    <row r="626">
      <c r="A626" s="8" t="inlineStr">
        <is>
          <t>WHAP-0622</t>
        </is>
      </c>
      <c r="B626" s="8" t="inlineStr">
        <is>
          <t>AMP-0622</t>
        </is>
      </c>
      <c r="C626" s="8" t="inlineStr">
        <is>
          <t>grille d'admission</t>
        </is>
      </c>
      <c r="D626" s="8" t="inlineStr">
        <is>
          <t>Propulsion amphibie</t>
        </is>
      </c>
      <c r="E626" s="8" t="inlineStr">
        <is>
          <t>Propulsion amphibie</t>
        </is>
      </c>
      <c r="F626" s="8" t="inlineStr">
        <is>
          <t>PIECE_VEHICULE</t>
        </is>
      </c>
      <c r="G626" s="8" t="inlineStr">
        <is>
          <t>unité</t>
        </is>
      </c>
      <c r="H626" s="8" t="inlineStr">
        <is>
          <t>LARGE</t>
        </is>
      </c>
      <c r="I626" s="8" t="n">
        <v>0</v>
      </c>
      <c r="J626" s="8" t="inlineStr">
        <is>
          <t>A-06-03</t>
        </is>
      </c>
      <c r="K626" s="8" t="inlineStr"/>
      <c r="L626" s="10" t="n">
        <v>0</v>
      </c>
      <c r="M626" s="10" t="n">
        <v>0</v>
      </c>
      <c r="N626" s="10" t="n">
        <v>48</v>
      </c>
      <c r="O626" s="8" t="inlineStr">
        <is>
          <t>SUM</t>
        </is>
      </c>
      <c r="P626" s="8" t="inlineStr">
        <is>
          <t>STANDARD</t>
        </is>
      </c>
      <c r="Q626" s="8" t="inlineStr">
        <is>
          <t>WHAP</t>
        </is>
      </c>
      <c r="R626" s="8" t="inlineStr">
        <is>
          <t>OUI</t>
        </is>
      </c>
      <c r="S626" s="8" t="inlineStr">
        <is>
          <t>31/08/2026 02:59</t>
        </is>
      </c>
    </row>
    <row r="627">
      <c r="A627" s="7" t="inlineStr">
        <is>
          <t>WHAP-0623</t>
        </is>
      </c>
      <c r="B627" s="7" t="inlineStr">
        <is>
          <t>AMP-0623</t>
        </is>
      </c>
      <c r="C627" s="7" t="inlineStr">
        <is>
          <t>clapet d'admission</t>
        </is>
      </c>
      <c r="D627" s="7" t="inlineStr">
        <is>
          <t>Propulsion amphibie</t>
        </is>
      </c>
      <c r="E627" s="7" t="inlineStr">
        <is>
          <t>Propulsion amphibie</t>
        </is>
      </c>
      <c r="F627" s="7" t="inlineStr">
        <is>
          <t>PIECE_VEHICULE</t>
        </is>
      </c>
      <c r="G627" s="7" t="inlineStr">
        <is>
          <t>unité</t>
        </is>
      </c>
      <c r="H627" s="7" t="inlineStr">
        <is>
          <t>LARGE</t>
        </is>
      </c>
      <c r="I627" s="7" t="n">
        <v>0</v>
      </c>
      <c r="J627" s="7" t="inlineStr">
        <is>
          <t>A-06-01</t>
        </is>
      </c>
      <c r="K627" s="7" t="inlineStr"/>
      <c r="L627" s="9" t="n">
        <v>0</v>
      </c>
      <c r="M627" s="9" t="n">
        <v>0</v>
      </c>
      <c r="N627" s="9" t="n">
        <v>42</v>
      </c>
      <c r="O627" s="7" t="inlineStr">
        <is>
          <t>SUM</t>
        </is>
      </c>
      <c r="P627" s="7" t="inlineStr">
        <is>
          <t>STANDARD</t>
        </is>
      </c>
      <c r="Q627" s="7" t="inlineStr">
        <is>
          <t>WHAP</t>
        </is>
      </c>
      <c r="R627" s="7" t="inlineStr">
        <is>
          <t>OUI</t>
        </is>
      </c>
      <c r="S627" s="7" t="inlineStr">
        <is>
          <t>31/08/2026 02:59</t>
        </is>
      </c>
    </row>
    <row r="628">
      <c r="A628" s="8" t="inlineStr">
        <is>
          <t>WHAP-0624</t>
        </is>
      </c>
      <c r="B628" s="8" t="inlineStr">
        <is>
          <t>AMP-0624</t>
        </is>
      </c>
      <c r="C628" s="8" t="inlineStr">
        <is>
          <t>conduit d'eau</t>
        </is>
      </c>
      <c r="D628" s="8" t="inlineStr">
        <is>
          <t>Propulsion amphibie</t>
        </is>
      </c>
      <c r="E628" s="8" t="inlineStr">
        <is>
          <t>Propulsion amphibie</t>
        </is>
      </c>
      <c r="F628" s="8" t="inlineStr">
        <is>
          <t>PIECE_VEHICULE</t>
        </is>
      </c>
      <c r="G628" s="8" t="inlineStr">
        <is>
          <t>unité</t>
        </is>
      </c>
      <c r="H628" s="8" t="inlineStr">
        <is>
          <t>LARGE</t>
        </is>
      </c>
      <c r="I628" s="8" t="n">
        <v>0</v>
      </c>
      <c r="J628" s="8" t="inlineStr">
        <is>
          <t>E-02-02</t>
        </is>
      </c>
      <c r="K628" s="8" t="inlineStr"/>
      <c r="L628" s="10" t="n">
        <v>0</v>
      </c>
      <c r="M628" s="10" t="n">
        <v>0</v>
      </c>
      <c r="N628" s="10" t="n">
        <v>44</v>
      </c>
      <c r="O628" s="8" t="inlineStr">
        <is>
          <t>DEL</t>
        </is>
      </c>
      <c r="P628" s="8" t="inlineStr">
        <is>
          <t>STANDARD</t>
        </is>
      </c>
      <c r="Q628" s="8" t="inlineStr">
        <is>
          <t>WHAP</t>
        </is>
      </c>
      <c r="R628" s="8" t="inlineStr">
        <is>
          <t>OUI</t>
        </is>
      </c>
      <c r="S628" s="8" t="inlineStr">
        <is>
          <t>31/08/2026 02:59</t>
        </is>
      </c>
    </row>
    <row r="629">
      <c r="A629" s="7" t="inlineStr">
        <is>
          <t>WHAP-0625</t>
        </is>
      </c>
      <c r="B629" s="7" t="inlineStr">
        <is>
          <t>AMP-0625</t>
        </is>
      </c>
      <c r="C629" s="7" t="inlineStr">
        <is>
          <t>vanne d'eau</t>
        </is>
      </c>
      <c r="D629" s="7" t="inlineStr">
        <is>
          <t>Propulsion amphibie</t>
        </is>
      </c>
      <c r="E629" s="7" t="inlineStr">
        <is>
          <t>Propulsion amphibie</t>
        </is>
      </c>
      <c r="F629" s="7" t="inlineStr">
        <is>
          <t>PIECE_VEHICULE</t>
        </is>
      </c>
      <c r="G629" s="7" t="inlineStr">
        <is>
          <t>unité</t>
        </is>
      </c>
      <c r="H629" s="7" t="inlineStr">
        <is>
          <t>LARGE</t>
        </is>
      </c>
      <c r="I629" s="7" t="n">
        <v>0</v>
      </c>
      <c r="J629" s="7" t="inlineStr">
        <is>
          <t>B-06-03</t>
        </is>
      </c>
      <c r="K629" s="7" t="inlineStr"/>
      <c r="L629" s="9" t="n">
        <v>0</v>
      </c>
      <c r="M629" s="9" t="n">
        <v>0</v>
      </c>
      <c r="N629" s="9" t="n">
        <v>42</v>
      </c>
      <c r="O629" s="7" t="inlineStr">
        <is>
          <t>CTL</t>
        </is>
      </c>
      <c r="P629" s="7" t="inlineStr">
        <is>
          <t>STANDARD</t>
        </is>
      </c>
      <c r="Q629" s="7" t="inlineStr">
        <is>
          <t>WHAP</t>
        </is>
      </c>
      <c r="R629" s="7" t="inlineStr">
        <is>
          <t>OUI</t>
        </is>
      </c>
      <c r="S629" s="7" t="inlineStr">
        <is>
          <t>31/08/2026 02:59</t>
        </is>
      </c>
    </row>
    <row r="630">
      <c r="A630" s="8" t="inlineStr">
        <is>
          <t>WHAP-0626</t>
        </is>
      </c>
      <c r="B630" s="8" t="inlineStr">
        <is>
          <t>AMP-0626</t>
        </is>
      </c>
      <c r="C630" s="8" t="inlineStr">
        <is>
          <t>capteur vitesse hydrojet</t>
        </is>
      </c>
      <c r="D630" s="8" t="inlineStr">
        <is>
          <t>Propulsion amphibie</t>
        </is>
      </c>
      <c r="E630" s="8" t="inlineStr">
        <is>
          <t>Propulsion amphibie</t>
        </is>
      </c>
      <c r="F630" s="8" t="inlineStr">
        <is>
          <t>PIECE_VEHICULE</t>
        </is>
      </c>
      <c r="G630" s="8" t="inlineStr">
        <is>
          <t>unité</t>
        </is>
      </c>
      <c r="H630" s="8" t="inlineStr">
        <is>
          <t>LARGE</t>
        </is>
      </c>
      <c r="I630" s="8" t="n">
        <v>0</v>
      </c>
      <c r="J630" s="8" t="inlineStr">
        <is>
          <t>C-01-01</t>
        </is>
      </c>
      <c r="K630" s="8" t="inlineStr"/>
      <c r="L630" s="10" t="n">
        <v>0</v>
      </c>
      <c r="M630" s="10" t="n">
        <v>0</v>
      </c>
      <c r="N630" s="10" t="n">
        <v>50</v>
      </c>
      <c r="O630" s="8" t="inlineStr">
        <is>
          <t>BOS</t>
        </is>
      </c>
      <c r="P630" s="8" t="inlineStr">
        <is>
          <t>STANDARD</t>
        </is>
      </c>
      <c r="Q630" s="8" t="inlineStr">
        <is>
          <t>WHAP</t>
        </is>
      </c>
      <c r="R630" s="8" t="inlineStr">
        <is>
          <t>OUI</t>
        </is>
      </c>
      <c r="S630" s="8" t="inlineStr">
        <is>
          <t>31/08/2026 02:59</t>
        </is>
      </c>
    </row>
    <row r="631">
      <c r="A631" s="7" t="inlineStr">
        <is>
          <t>WHAP-0627</t>
        </is>
      </c>
      <c r="B631" s="7" t="inlineStr">
        <is>
          <t>AMP-0627</t>
        </is>
      </c>
      <c r="C631" s="7" t="inlineStr">
        <is>
          <t>capteur pression hydrojet</t>
        </is>
      </c>
      <c r="D631" s="7" t="inlineStr">
        <is>
          <t>Propulsion amphibie</t>
        </is>
      </c>
      <c r="E631" s="7" t="inlineStr">
        <is>
          <t>Propulsion amphibie</t>
        </is>
      </c>
      <c r="F631" s="7" t="inlineStr">
        <is>
          <t>PIECE_VEHICULE</t>
        </is>
      </c>
      <c r="G631" s="7" t="inlineStr">
        <is>
          <t>unité</t>
        </is>
      </c>
      <c r="H631" s="7" t="inlineStr">
        <is>
          <t>LARGE</t>
        </is>
      </c>
      <c r="I631" s="7" t="n">
        <v>0</v>
      </c>
      <c r="J631" s="7" t="inlineStr">
        <is>
          <t>D-06-04</t>
        </is>
      </c>
      <c r="K631" s="7" t="inlineStr"/>
      <c r="L631" s="9" t="n">
        <v>0</v>
      </c>
      <c r="M631" s="9" t="n">
        <v>0</v>
      </c>
      <c r="N631" s="9" t="n">
        <v>40</v>
      </c>
      <c r="O631" s="7" t="inlineStr">
        <is>
          <t>YZK</t>
        </is>
      </c>
      <c r="P631" s="7" t="inlineStr">
        <is>
          <t>STANDARD</t>
        </is>
      </c>
      <c r="Q631" s="7" t="inlineStr">
        <is>
          <t>WHAP</t>
        </is>
      </c>
      <c r="R631" s="7" t="inlineStr">
        <is>
          <t>OUI</t>
        </is>
      </c>
      <c r="S631" s="7" t="inlineStr">
        <is>
          <t>31/08/2026 02:59</t>
        </is>
      </c>
    </row>
    <row r="632">
      <c r="A632" s="8" t="inlineStr">
        <is>
          <t>WHAP-0628</t>
        </is>
      </c>
      <c r="B632" s="8" t="inlineStr">
        <is>
          <t>AMP-0628</t>
        </is>
      </c>
      <c r="C632" s="8" t="inlineStr">
        <is>
          <t>support hydrojet</t>
        </is>
      </c>
      <c r="D632" s="8" t="inlineStr">
        <is>
          <t>Propulsion amphibie</t>
        </is>
      </c>
      <c r="E632" s="8" t="inlineStr">
        <is>
          <t>Propulsion amphibie</t>
        </is>
      </c>
      <c r="F632" s="8" t="inlineStr">
        <is>
          <t>PIECE_VEHICULE</t>
        </is>
      </c>
      <c r="G632" s="8" t="inlineStr">
        <is>
          <t>unité</t>
        </is>
      </c>
      <c r="H632" s="8" t="inlineStr">
        <is>
          <t>LARGE</t>
        </is>
      </c>
      <c r="I632" s="8" t="n">
        <v>0</v>
      </c>
      <c r="J632" s="8" t="inlineStr">
        <is>
          <t>C-01-04</t>
        </is>
      </c>
      <c r="K632" s="8" t="inlineStr"/>
      <c r="L632" s="10" t="n">
        <v>0</v>
      </c>
      <c r="M632" s="10" t="n">
        <v>0</v>
      </c>
      <c r="N632" s="10" t="n">
        <v>50</v>
      </c>
      <c r="O632" s="8" t="inlineStr">
        <is>
          <t>HEL</t>
        </is>
      </c>
      <c r="P632" s="8" t="inlineStr">
        <is>
          <t>STANDARD</t>
        </is>
      </c>
      <c r="Q632" s="8" t="inlineStr">
        <is>
          <t>WHAP</t>
        </is>
      </c>
      <c r="R632" s="8" t="inlineStr">
        <is>
          <t>OUI</t>
        </is>
      </c>
      <c r="S632" s="8" t="inlineStr">
        <is>
          <t>31/08/2026 02:59</t>
        </is>
      </c>
    </row>
    <row r="633">
      <c r="A633" s="7" t="inlineStr">
        <is>
          <t>WHAP-0629</t>
        </is>
      </c>
      <c r="B633" s="7" t="inlineStr">
        <is>
          <t>FIX-0629</t>
        </is>
      </c>
      <c r="C633" s="7" t="inlineStr">
        <is>
          <t>vis hexagonale</t>
        </is>
      </c>
      <c r="D633" s="7" t="inlineStr">
        <is>
          <t>Fixations et consommables</t>
        </is>
      </c>
      <c r="E633" s="7" t="inlineStr">
        <is>
          <t>Fixations et consommables</t>
        </is>
      </c>
      <c r="F633" s="7" t="inlineStr">
        <is>
          <t>CONSOMMABLE</t>
        </is>
      </c>
      <c r="G633" s="7" t="inlineStr">
        <is>
          <t>unité</t>
        </is>
      </c>
      <c r="H633" s="7" t="inlineStr">
        <is>
          <t>SMALL</t>
        </is>
      </c>
      <c r="I633" s="7" t="n">
        <v>5</v>
      </c>
      <c r="J633" s="7" t="inlineStr">
        <is>
          <t>C-05-04 : 120</t>
        </is>
      </c>
      <c r="K633" s="7" t="inlineStr"/>
      <c r="L633" s="9" t="n">
        <v>120</v>
      </c>
      <c r="M633" s="9" t="n">
        <v>120</v>
      </c>
      <c r="N633" s="9" t="n">
        <v>42</v>
      </c>
      <c r="O633" s="7" t="inlineStr">
        <is>
          <t>DEL</t>
        </is>
      </c>
      <c r="P633" s="7" t="inlineStr">
        <is>
          <t>STANDARD</t>
        </is>
      </c>
      <c r="Q633" s="7" t="inlineStr">
        <is>
          <t>WHAP</t>
        </is>
      </c>
      <c r="R633" s="7" t="inlineStr">
        <is>
          <t>OUI</t>
        </is>
      </c>
      <c r="S633" s="7" t="inlineStr">
        <is>
          <t>31/08/2026 02:59</t>
        </is>
      </c>
    </row>
    <row r="634">
      <c r="A634" s="8" t="inlineStr">
        <is>
          <t>WHAP-0630</t>
        </is>
      </c>
      <c r="B634" s="8" t="inlineStr">
        <is>
          <t>FIX-0630</t>
        </is>
      </c>
      <c r="C634" s="8" t="inlineStr">
        <is>
          <t>vis à tête cylindrique</t>
        </is>
      </c>
      <c r="D634" s="8" t="inlineStr">
        <is>
          <t>Fixations et consommables</t>
        </is>
      </c>
      <c r="E634" s="8" t="inlineStr">
        <is>
          <t>Fixations et consommables</t>
        </is>
      </c>
      <c r="F634" s="8" t="inlineStr">
        <is>
          <t>CONSOMMABLE</t>
        </is>
      </c>
      <c r="G634" s="8" t="inlineStr">
        <is>
          <t>unité</t>
        </is>
      </c>
      <c r="H634" s="8" t="inlineStr">
        <is>
          <t>SMALL</t>
        </is>
      </c>
      <c r="I634" s="8" t="n">
        <v>5</v>
      </c>
      <c r="J634" s="8" t="inlineStr">
        <is>
          <t>B-01-02 : 720</t>
        </is>
      </c>
      <c r="K634" s="8" t="inlineStr"/>
      <c r="L634" s="10" t="n">
        <v>720</v>
      </c>
      <c r="M634" s="10" t="n">
        <v>720</v>
      </c>
      <c r="N634" s="10" t="n">
        <v>43</v>
      </c>
      <c r="O634" s="8" t="inlineStr">
        <is>
          <t>SKF</t>
        </is>
      </c>
      <c r="P634" s="8" t="inlineStr">
        <is>
          <t>STANDARD</t>
        </is>
      </c>
      <c r="Q634" s="8" t="inlineStr">
        <is>
          <t>WHAP</t>
        </is>
      </c>
      <c r="R634" s="8" t="inlineStr">
        <is>
          <t>OUI</t>
        </is>
      </c>
      <c r="S634" s="8" t="inlineStr">
        <is>
          <t>31/08/2026 02:59</t>
        </is>
      </c>
    </row>
    <row r="635">
      <c r="A635" s="7" t="inlineStr">
        <is>
          <t>WHAP-0631</t>
        </is>
      </c>
      <c r="B635" s="7" t="inlineStr">
        <is>
          <t>FIX-0631</t>
        </is>
      </c>
      <c r="C635" s="7" t="inlineStr">
        <is>
          <t>vis fraisée</t>
        </is>
      </c>
      <c r="D635" s="7" t="inlineStr">
        <is>
          <t>Fixations et consommables</t>
        </is>
      </c>
      <c r="E635" s="7" t="inlineStr">
        <is>
          <t>Fixations et consommables</t>
        </is>
      </c>
      <c r="F635" s="7" t="inlineStr">
        <is>
          <t>CONSOMMABLE</t>
        </is>
      </c>
      <c r="G635" s="7" t="inlineStr">
        <is>
          <t>unité</t>
        </is>
      </c>
      <c r="H635" s="7" t="inlineStr">
        <is>
          <t>SMALL</t>
        </is>
      </c>
      <c r="I635" s="7" t="n">
        <v>5</v>
      </c>
      <c r="J635" s="7" t="inlineStr">
        <is>
          <t>E-02-03</t>
        </is>
      </c>
      <c r="K635" s="7" t="inlineStr"/>
      <c r="L635" s="9" t="n">
        <v>0</v>
      </c>
      <c r="M635" s="9" t="n">
        <v>0</v>
      </c>
      <c r="N635" s="9" t="n">
        <v>48</v>
      </c>
      <c r="O635" s="7" t="inlineStr">
        <is>
          <t>HEL</t>
        </is>
      </c>
      <c r="P635" s="7" t="inlineStr">
        <is>
          <t>STANDARD</t>
        </is>
      </c>
      <c r="Q635" s="7" t="inlineStr">
        <is>
          <t>WHAP</t>
        </is>
      </c>
      <c r="R635" s="7" t="inlineStr">
        <is>
          <t>OUI</t>
        </is>
      </c>
      <c r="S635" s="7" t="inlineStr">
        <is>
          <t>31/08/2026 02:59</t>
        </is>
      </c>
    </row>
    <row r="636">
      <c r="A636" s="8" t="inlineStr">
        <is>
          <t>WHAP-0632</t>
        </is>
      </c>
      <c r="B636" s="8" t="inlineStr">
        <is>
          <t>FIX-0632</t>
        </is>
      </c>
      <c r="C636" s="8" t="inlineStr">
        <is>
          <t>vis à embase</t>
        </is>
      </c>
      <c r="D636" s="8" t="inlineStr">
        <is>
          <t>Fixations et consommables</t>
        </is>
      </c>
      <c r="E636" s="8" t="inlineStr">
        <is>
          <t>Fixations et consommables</t>
        </is>
      </c>
      <c r="F636" s="8" t="inlineStr">
        <is>
          <t>CONSOMMABLE</t>
        </is>
      </c>
      <c r="G636" s="8" t="inlineStr">
        <is>
          <t>unité</t>
        </is>
      </c>
      <c r="H636" s="8" t="inlineStr">
        <is>
          <t>SMALL</t>
        </is>
      </c>
      <c r="I636" s="8" t="n">
        <v>5</v>
      </c>
      <c r="J636" s="8" t="inlineStr">
        <is>
          <t>B-05-01</t>
        </is>
      </c>
      <c r="K636" s="8" t="inlineStr"/>
      <c r="L636" s="10" t="n">
        <v>0</v>
      </c>
      <c r="M636" s="10" t="n">
        <v>0</v>
      </c>
      <c r="N636" s="10" t="n">
        <v>49</v>
      </c>
      <c r="O636" s="8" t="inlineStr">
        <is>
          <t>VAL</t>
        </is>
      </c>
      <c r="P636" s="8" t="inlineStr">
        <is>
          <t>STANDARD</t>
        </is>
      </c>
      <c r="Q636" s="8" t="inlineStr">
        <is>
          <t>WHAP</t>
        </is>
      </c>
      <c r="R636" s="8" t="inlineStr">
        <is>
          <t>OUI</t>
        </is>
      </c>
      <c r="S636" s="8" t="inlineStr">
        <is>
          <t>31/08/2026 02:59</t>
        </is>
      </c>
    </row>
    <row r="637">
      <c r="A637" s="7" t="inlineStr">
        <is>
          <t>WHAP-0633</t>
        </is>
      </c>
      <c r="B637" s="7" t="inlineStr">
        <is>
          <t>FIX-0633</t>
        </is>
      </c>
      <c r="C637" s="7" t="inlineStr">
        <is>
          <t>boulon hexagonal</t>
        </is>
      </c>
      <c r="D637" s="7" t="inlineStr">
        <is>
          <t>Fixations et consommables</t>
        </is>
      </c>
      <c r="E637" s="7" t="inlineStr">
        <is>
          <t>Fixations et consommables</t>
        </is>
      </c>
      <c r="F637" s="7" t="inlineStr">
        <is>
          <t>CONSOMMABLE</t>
        </is>
      </c>
      <c r="G637" s="7" t="inlineStr">
        <is>
          <t>unité</t>
        </is>
      </c>
      <c r="H637" s="7" t="inlineStr">
        <is>
          <t>SMALL</t>
        </is>
      </c>
      <c r="I637" s="7" t="n">
        <v>5</v>
      </c>
      <c r="J637" s="7" t="inlineStr">
        <is>
          <t>B-03-01</t>
        </is>
      </c>
      <c r="K637" s="7" t="inlineStr"/>
      <c r="L637" s="9" t="n">
        <v>0</v>
      </c>
      <c r="M637" s="9" t="n">
        <v>0</v>
      </c>
      <c r="N637" s="9" t="n">
        <v>40</v>
      </c>
      <c r="O637" s="7" t="inlineStr">
        <is>
          <t>FAU</t>
        </is>
      </c>
      <c r="P637" s="7" t="inlineStr">
        <is>
          <t>STANDARD</t>
        </is>
      </c>
      <c r="Q637" s="7" t="inlineStr">
        <is>
          <t>WHAP</t>
        </is>
      </c>
      <c r="R637" s="7" t="inlineStr">
        <is>
          <t>OUI</t>
        </is>
      </c>
      <c r="S637" s="7" t="inlineStr">
        <is>
          <t>31/08/2026 02:59</t>
        </is>
      </c>
    </row>
    <row r="638">
      <c r="A638" s="8" t="inlineStr">
        <is>
          <t>WHAP-0634</t>
        </is>
      </c>
      <c r="B638" s="8" t="inlineStr">
        <is>
          <t>FIX-0634</t>
        </is>
      </c>
      <c r="C638" s="8" t="inlineStr">
        <is>
          <t>goujon</t>
        </is>
      </c>
      <c r="D638" s="8" t="inlineStr">
        <is>
          <t>Fixations et consommables</t>
        </is>
      </c>
      <c r="E638" s="8" t="inlineStr">
        <is>
          <t>Fixations et consommables</t>
        </is>
      </c>
      <c r="F638" s="8" t="inlineStr">
        <is>
          <t>CONSOMMABLE</t>
        </is>
      </c>
      <c r="G638" s="8" t="inlineStr">
        <is>
          <t>unité</t>
        </is>
      </c>
      <c r="H638" s="8" t="inlineStr">
        <is>
          <t>SMALL</t>
        </is>
      </c>
      <c r="I638" s="8" t="n">
        <v>5</v>
      </c>
      <c r="J638" s="8" t="inlineStr">
        <is>
          <t>B-02-03</t>
        </is>
      </c>
      <c r="K638" s="8" t="inlineStr"/>
      <c r="L638" s="10" t="n">
        <v>0</v>
      </c>
      <c r="M638" s="10" t="n">
        <v>0</v>
      </c>
      <c r="N638" s="10" t="n">
        <v>45</v>
      </c>
      <c r="O638" s="8" t="inlineStr">
        <is>
          <t>CTL</t>
        </is>
      </c>
      <c r="P638" s="8" t="inlineStr">
        <is>
          <t>STANDARD</t>
        </is>
      </c>
      <c r="Q638" s="8" t="inlineStr">
        <is>
          <t>WHAP</t>
        </is>
      </c>
      <c r="R638" s="8" t="inlineStr">
        <is>
          <t>OUI</t>
        </is>
      </c>
      <c r="S638" s="8" t="inlineStr">
        <is>
          <t>31/08/2026 02:59</t>
        </is>
      </c>
    </row>
    <row r="639">
      <c r="A639" s="7" t="inlineStr">
        <is>
          <t>WHAP-0635</t>
        </is>
      </c>
      <c r="B639" s="7" t="inlineStr">
        <is>
          <t>FIX-0635</t>
        </is>
      </c>
      <c r="C639" s="7" t="inlineStr">
        <is>
          <t>écrou hexagonal</t>
        </is>
      </c>
      <c r="D639" s="7" t="inlineStr">
        <is>
          <t>Fixations et consommables</t>
        </is>
      </c>
      <c r="E639" s="7" t="inlineStr">
        <is>
          <t>Fixations et consommables</t>
        </is>
      </c>
      <c r="F639" s="7" t="inlineStr">
        <is>
          <t>CONSOMMABLE</t>
        </is>
      </c>
      <c r="G639" s="7" t="inlineStr">
        <is>
          <t>unité</t>
        </is>
      </c>
      <c r="H639" s="7" t="inlineStr">
        <is>
          <t>SMALL</t>
        </is>
      </c>
      <c r="I639" s="7" t="n">
        <v>5</v>
      </c>
      <c r="J639" s="7" t="inlineStr">
        <is>
          <t>D-01-01</t>
        </is>
      </c>
      <c r="K639" s="7" t="inlineStr"/>
      <c r="L639" s="9" t="n">
        <v>0</v>
      </c>
      <c r="M639" s="9" t="n">
        <v>0</v>
      </c>
      <c r="N639" s="9" t="n">
        <v>42</v>
      </c>
      <c r="O639" s="7" t="inlineStr">
        <is>
          <t>CTL</t>
        </is>
      </c>
      <c r="P639" s="7" t="inlineStr">
        <is>
          <t>STANDARD</t>
        </is>
      </c>
      <c r="Q639" s="7" t="inlineStr">
        <is>
          <t>WHAP</t>
        </is>
      </c>
      <c r="R639" s="7" t="inlineStr">
        <is>
          <t>OUI</t>
        </is>
      </c>
      <c r="S639" s="7" t="inlineStr">
        <is>
          <t>31/08/2026 02:59</t>
        </is>
      </c>
    </row>
    <row r="640">
      <c r="A640" s="8" t="inlineStr">
        <is>
          <t>WHAP-0636</t>
        </is>
      </c>
      <c r="B640" s="8" t="inlineStr">
        <is>
          <t>FIX-0636</t>
        </is>
      </c>
      <c r="C640" s="8" t="inlineStr">
        <is>
          <t>écrou frein</t>
        </is>
      </c>
      <c r="D640" s="8" t="inlineStr">
        <is>
          <t>Fixations et consommables</t>
        </is>
      </c>
      <c r="E640" s="8" t="inlineStr">
        <is>
          <t>Fixations et consommables</t>
        </is>
      </c>
      <c r="F640" s="8" t="inlineStr">
        <is>
          <t>CONSOMMABLE</t>
        </is>
      </c>
      <c r="G640" s="8" t="inlineStr">
        <is>
          <t>unité</t>
        </is>
      </c>
      <c r="H640" s="8" t="inlineStr">
        <is>
          <t>SMALL</t>
        </is>
      </c>
      <c r="I640" s="8" t="n">
        <v>5</v>
      </c>
      <c r="J640" s="8" t="inlineStr">
        <is>
          <t>C-03-04</t>
        </is>
      </c>
      <c r="K640" s="8" t="inlineStr"/>
      <c r="L640" s="10" t="n">
        <v>0</v>
      </c>
      <c r="M640" s="10" t="n">
        <v>0</v>
      </c>
      <c r="N640" s="10" t="n">
        <v>40</v>
      </c>
      <c r="O640" s="8" t="inlineStr">
        <is>
          <t>BOS</t>
        </is>
      </c>
      <c r="P640" s="8" t="inlineStr">
        <is>
          <t>STANDARD</t>
        </is>
      </c>
      <c r="Q640" s="8" t="inlineStr">
        <is>
          <t>WHAP</t>
        </is>
      </c>
      <c r="R640" s="8" t="inlineStr">
        <is>
          <t>OUI</t>
        </is>
      </c>
      <c r="S640" s="8" t="inlineStr">
        <is>
          <t>31/08/2026 02:59</t>
        </is>
      </c>
    </row>
    <row r="641">
      <c r="A641" s="7" t="inlineStr">
        <is>
          <t>WHAP-0637</t>
        </is>
      </c>
      <c r="B641" s="7" t="inlineStr">
        <is>
          <t>FIX-0637</t>
        </is>
      </c>
      <c r="C641" s="7" t="inlineStr">
        <is>
          <t>écrou à créneaux</t>
        </is>
      </c>
      <c r="D641" s="7" t="inlineStr">
        <is>
          <t>Fixations et consommables</t>
        </is>
      </c>
      <c r="E641" s="7" t="inlineStr">
        <is>
          <t>Fixations et consommables</t>
        </is>
      </c>
      <c r="F641" s="7" t="inlineStr">
        <is>
          <t>CONSOMMABLE</t>
        </is>
      </c>
      <c r="G641" s="7" t="inlineStr">
        <is>
          <t>unité</t>
        </is>
      </c>
      <c r="H641" s="7" t="inlineStr">
        <is>
          <t>SMALL</t>
        </is>
      </c>
      <c r="I641" s="7" t="n">
        <v>5</v>
      </c>
      <c r="J641" s="7" t="inlineStr">
        <is>
          <t>D-04-04</t>
        </is>
      </c>
      <c r="K641" s="7" t="inlineStr"/>
      <c r="L641" s="9" t="n">
        <v>0</v>
      </c>
      <c r="M641" s="9" t="n">
        <v>0</v>
      </c>
      <c r="N641" s="9" t="n">
        <v>46</v>
      </c>
      <c r="O641" s="7" t="inlineStr">
        <is>
          <t>FAU</t>
        </is>
      </c>
      <c r="P641" s="7" t="inlineStr">
        <is>
          <t>STANDARD</t>
        </is>
      </c>
      <c r="Q641" s="7" t="inlineStr">
        <is>
          <t>WHAP</t>
        </is>
      </c>
      <c r="R641" s="7" t="inlineStr">
        <is>
          <t>OUI</t>
        </is>
      </c>
      <c r="S641" s="7" t="inlineStr">
        <is>
          <t>31/08/2026 02:59</t>
        </is>
      </c>
    </row>
    <row r="642">
      <c r="A642" s="8" t="inlineStr">
        <is>
          <t>WHAP-0638</t>
        </is>
      </c>
      <c r="B642" s="8" t="inlineStr">
        <is>
          <t>FIX-0638</t>
        </is>
      </c>
      <c r="C642" s="8" t="inlineStr">
        <is>
          <t>écrou borgne</t>
        </is>
      </c>
      <c r="D642" s="8" t="inlineStr">
        <is>
          <t>Fixations et consommables</t>
        </is>
      </c>
      <c r="E642" s="8" t="inlineStr">
        <is>
          <t>Fixations et consommables</t>
        </is>
      </c>
      <c r="F642" s="8" t="inlineStr">
        <is>
          <t>CONSOMMABLE</t>
        </is>
      </c>
      <c r="G642" s="8" t="inlineStr">
        <is>
          <t>unité</t>
        </is>
      </c>
      <c r="H642" s="8" t="inlineStr">
        <is>
          <t>SMALL</t>
        </is>
      </c>
      <c r="I642" s="8" t="n">
        <v>5</v>
      </c>
      <c r="J642" s="8" t="inlineStr">
        <is>
          <t>F-06-01</t>
        </is>
      </c>
      <c r="K642" s="8" t="inlineStr"/>
      <c r="L642" s="10" t="n">
        <v>0</v>
      </c>
      <c r="M642" s="10" t="n">
        <v>0</v>
      </c>
      <c r="N642" s="10" t="n">
        <v>45</v>
      </c>
      <c r="O642" s="8" t="inlineStr">
        <is>
          <t>VAL</t>
        </is>
      </c>
      <c r="P642" s="8" t="inlineStr">
        <is>
          <t>STANDARD</t>
        </is>
      </c>
      <c r="Q642" s="8" t="inlineStr">
        <is>
          <t>WHAP</t>
        </is>
      </c>
      <c r="R642" s="8" t="inlineStr">
        <is>
          <t>OUI</t>
        </is>
      </c>
      <c r="S642" s="8" t="inlineStr">
        <is>
          <t>31/08/2026 02:59</t>
        </is>
      </c>
    </row>
    <row r="643">
      <c r="A643" s="7" t="inlineStr">
        <is>
          <t>WHAP-0639</t>
        </is>
      </c>
      <c r="B643" s="7" t="inlineStr">
        <is>
          <t>FIX-0639</t>
        </is>
      </c>
      <c r="C643" s="7" t="inlineStr">
        <is>
          <t>rondelle plate</t>
        </is>
      </c>
      <c r="D643" s="7" t="inlineStr">
        <is>
          <t>Fixations et consommables</t>
        </is>
      </c>
      <c r="E643" s="7" t="inlineStr">
        <is>
          <t>Fixations et consommables</t>
        </is>
      </c>
      <c r="F643" s="7" t="inlineStr">
        <is>
          <t>CONSOMMABLE</t>
        </is>
      </c>
      <c r="G643" s="7" t="inlineStr">
        <is>
          <t>unité</t>
        </is>
      </c>
      <c r="H643" s="7" t="inlineStr">
        <is>
          <t>SMALL</t>
        </is>
      </c>
      <c r="I643" s="7" t="n">
        <v>5</v>
      </c>
      <c r="J643" s="7" t="inlineStr">
        <is>
          <t>A-02-02</t>
        </is>
      </c>
      <c r="K643" s="7" t="inlineStr"/>
      <c r="L643" s="9" t="n">
        <v>0</v>
      </c>
      <c r="M643" s="9" t="n">
        <v>0</v>
      </c>
      <c r="N643" s="9" t="n">
        <v>48</v>
      </c>
      <c r="O643" s="7" t="inlineStr">
        <is>
          <t>BOS</t>
        </is>
      </c>
      <c r="P643" s="7" t="inlineStr">
        <is>
          <t>STANDARD</t>
        </is>
      </c>
      <c r="Q643" s="7" t="inlineStr">
        <is>
          <t>WHAP</t>
        </is>
      </c>
      <c r="R643" s="7" t="inlineStr">
        <is>
          <t>OUI</t>
        </is>
      </c>
      <c r="S643" s="7" t="inlineStr">
        <is>
          <t>31/08/2026 02:59</t>
        </is>
      </c>
    </row>
    <row r="644">
      <c r="A644" s="8" t="inlineStr">
        <is>
          <t>WHAP-0640</t>
        </is>
      </c>
      <c r="B644" s="8" t="inlineStr">
        <is>
          <t>FIX-0640</t>
        </is>
      </c>
      <c r="C644" s="8" t="inlineStr">
        <is>
          <t>rondelle ressort</t>
        </is>
      </c>
      <c r="D644" s="8" t="inlineStr">
        <is>
          <t>Fixations et consommables</t>
        </is>
      </c>
      <c r="E644" s="8" t="inlineStr">
        <is>
          <t>Fixations et consommables</t>
        </is>
      </c>
      <c r="F644" s="8" t="inlineStr">
        <is>
          <t>CONSOMMABLE</t>
        </is>
      </c>
      <c r="G644" s="8" t="inlineStr">
        <is>
          <t>unité</t>
        </is>
      </c>
      <c r="H644" s="8" t="inlineStr">
        <is>
          <t>SMALL</t>
        </is>
      </c>
      <c r="I644" s="8" t="n">
        <v>5</v>
      </c>
      <c r="J644" s="8" t="inlineStr">
        <is>
          <t>C-05-01</t>
        </is>
      </c>
      <c r="K644" s="8" t="inlineStr"/>
      <c r="L644" s="10" t="n">
        <v>0</v>
      </c>
      <c r="M644" s="10" t="n">
        <v>0</v>
      </c>
      <c r="N644" s="10" t="n">
        <v>41</v>
      </c>
      <c r="O644" s="8" t="inlineStr">
        <is>
          <t>MAG</t>
        </is>
      </c>
      <c r="P644" s="8" t="inlineStr">
        <is>
          <t>STANDARD</t>
        </is>
      </c>
      <c r="Q644" s="8" t="inlineStr">
        <is>
          <t>WHAP</t>
        </is>
      </c>
      <c r="R644" s="8" t="inlineStr">
        <is>
          <t>OUI</t>
        </is>
      </c>
      <c r="S644" s="8" t="inlineStr">
        <is>
          <t>31/08/2026 02:59</t>
        </is>
      </c>
    </row>
    <row r="645">
      <c r="A645" s="7" t="inlineStr">
        <is>
          <t>WHAP-0641</t>
        </is>
      </c>
      <c r="B645" s="7" t="inlineStr">
        <is>
          <t>FIX-0641</t>
        </is>
      </c>
      <c r="C645" s="7" t="inlineStr">
        <is>
          <t>rondelle frein</t>
        </is>
      </c>
      <c r="D645" s="7" t="inlineStr">
        <is>
          <t>Fixations et consommables</t>
        </is>
      </c>
      <c r="E645" s="7" t="inlineStr">
        <is>
          <t>Fixations et consommables</t>
        </is>
      </c>
      <c r="F645" s="7" t="inlineStr">
        <is>
          <t>CONSOMMABLE</t>
        </is>
      </c>
      <c r="G645" s="7" t="inlineStr">
        <is>
          <t>unité</t>
        </is>
      </c>
      <c r="H645" s="7" t="inlineStr">
        <is>
          <t>SMALL</t>
        </is>
      </c>
      <c r="I645" s="7" t="n">
        <v>5</v>
      </c>
      <c r="J645" s="7" t="inlineStr">
        <is>
          <t>A-06-04</t>
        </is>
      </c>
      <c r="K645" s="7" t="inlineStr"/>
      <c r="L645" s="9" t="n">
        <v>0</v>
      </c>
      <c r="M645" s="9" t="n">
        <v>0</v>
      </c>
      <c r="N645" s="9" t="n">
        <v>48</v>
      </c>
      <c r="O645" s="7" t="inlineStr">
        <is>
          <t>SUM</t>
        </is>
      </c>
      <c r="P645" s="7" t="inlineStr">
        <is>
          <t>STANDARD</t>
        </is>
      </c>
      <c r="Q645" s="7" t="inlineStr">
        <is>
          <t>WHAP</t>
        </is>
      </c>
      <c r="R645" s="7" t="inlineStr">
        <is>
          <t>OUI</t>
        </is>
      </c>
      <c r="S645" s="7" t="inlineStr">
        <is>
          <t>31/08/2026 02:59</t>
        </is>
      </c>
    </row>
    <row r="646">
      <c r="A646" s="8" t="inlineStr">
        <is>
          <t>WHAP-0642</t>
        </is>
      </c>
      <c r="B646" s="8" t="inlineStr">
        <is>
          <t>FIX-0642</t>
        </is>
      </c>
      <c r="C646" s="8" t="inlineStr">
        <is>
          <t>circlip intérieur</t>
        </is>
      </c>
      <c r="D646" s="8" t="inlineStr">
        <is>
          <t>Fixations et consommables</t>
        </is>
      </c>
      <c r="E646" s="8" t="inlineStr">
        <is>
          <t>Fixations et consommables</t>
        </is>
      </c>
      <c r="F646" s="8" t="inlineStr">
        <is>
          <t>CONSOMMABLE</t>
        </is>
      </c>
      <c r="G646" s="8" t="inlineStr">
        <is>
          <t>unité</t>
        </is>
      </c>
      <c r="H646" s="8" t="inlineStr">
        <is>
          <t>SMALL</t>
        </is>
      </c>
      <c r="I646" s="8" t="n">
        <v>5</v>
      </c>
      <c r="J646" s="8" t="inlineStr">
        <is>
          <t>B-04-04</t>
        </is>
      </c>
      <c r="K646" s="8" t="inlineStr"/>
      <c r="L646" s="10" t="n">
        <v>0</v>
      </c>
      <c r="M646" s="10" t="n">
        <v>0</v>
      </c>
      <c r="N646" s="10" t="n">
        <v>43</v>
      </c>
      <c r="O646" s="8" t="inlineStr">
        <is>
          <t>VAL</t>
        </is>
      </c>
      <c r="P646" s="8" t="inlineStr">
        <is>
          <t>STANDARD</t>
        </is>
      </c>
      <c r="Q646" s="8" t="inlineStr">
        <is>
          <t>WHAP</t>
        </is>
      </c>
      <c r="R646" s="8" t="inlineStr">
        <is>
          <t>OUI</t>
        </is>
      </c>
      <c r="S646" s="8" t="inlineStr">
        <is>
          <t>31/08/2026 02:59</t>
        </is>
      </c>
    </row>
    <row r="647">
      <c r="A647" s="7" t="inlineStr">
        <is>
          <t>WHAP-0643</t>
        </is>
      </c>
      <c r="B647" s="7" t="inlineStr">
        <is>
          <t>FIX-0643</t>
        </is>
      </c>
      <c r="C647" s="7" t="inlineStr">
        <is>
          <t>circlip extérieur</t>
        </is>
      </c>
      <c r="D647" s="7" t="inlineStr">
        <is>
          <t>Fixations et consommables</t>
        </is>
      </c>
      <c r="E647" s="7" t="inlineStr">
        <is>
          <t>Fixations et consommables</t>
        </is>
      </c>
      <c r="F647" s="7" t="inlineStr">
        <is>
          <t>CONSOMMABLE</t>
        </is>
      </c>
      <c r="G647" s="7" t="inlineStr">
        <is>
          <t>unité</t>
        </is>
      </c>
      <c r="H647" s="7" t="inlineStr">
        <is>
          <t>SMALL</t>
        </is>
      </c>
      <c r="I647" s="7" t="n">
        <v>5</v>
      </c>
      <c r="J647" s="7" t="inlineStr">
        <is>
          <t>C-06-02</t>
        </is>
      </c>
      <c r="K647" s="7" t="inlineStr"/>
      <c r="L647" s="9" t="n">
        <v>0</v>
      </c>
      <c r="M647" s="9" t="n">
        <v>0</v>
      </c>
      <c r="N647" s="9" t="n">
        <v>50</v>
      </c>
      <c r="O647" s="7" t="inlineStr">
        <is>
          <t>BOS</t>
        </is>
      </c>
      <c r="P647" s="7" t="inlineStr">
        <is>
          <t>STANDARD</t>
        </is>
      </c>
      <c r="Q647" s="7" t="inlineStr">
        <is>
          <t>WHAP</t>
        </is>
      </c>
      <c r="R647" s="7" t="inlineStr">
        <is>
          <t>OUI</t>
        </is>
      </c>
      <c r="S647" s="7" t="inlineStr">
        <is>
          <t>31/08/2026 02:59</t>
        </is>
      </c>
    </row>
    <row r="648">
      <c r="A648" s="8" t="inlineStr">
        <is>
          <t>WHAP-0644</t>
        </is>
      </c>
      <c r="B648" s="8" t="inlineStr">
        <is>
          <t>FIX-0644</t>
        </is>
      </c>
      <c r="C648" s="8" t="inlineStr">
        <is>
          <t>goupille</t>
        </is>
      </c>
      <c r="D648" s="8" t="inlineStr">
        <is>
          <t>Fixations et consommables</t>
        </is>
      </c>
      <c r="E648" s="8" t="inlineStr">
        <is>
          <t>Fixations et consommables</t>
        </is>
      </c>
      <c r="F648" s="8" t="inlineStr">
        <is>
          <t>CONSOMMABLE</t>
        </is>
      </c>
      <c r="G648" s="8" t="inlineStr">
        <is>
          <t>unité</t>
        </is>
      </c>
      <c r="H648" s="8" t="inlineStr">
        <is>
          <t>SMALL</t>
        </is>
      </c>
      <c r="I648" s="8" t="n">
        <v>5</v>
      </c>
      <c r="J648" s="8" t="inlineStr">
        <is>
          <t>A-02-01</t>
        </is>
      </c>
      <c r="K648" s="8" t="inlineStr"/>
      <c r="L648" s="10" t="n">
        <v>0</v>
      </c>
      <c r="M648" s="10" t="n">
        <v>0</v>
      </c>
      <c r="N648" s="10" t="n">
        <v>43</v>
      </c>
      <c r="O648" s="8" t="inlineStr">
        <is>
          <t>DEL</t>
        </is>
      </c>
      <c r="P648" s="8" t="inlineStr">
        <is>
          <t>STANDARD</t>
        </is>
      </c>
      <c r="Q648" s="8" t="inlineStr">
        <is>
          <t>WHAP</t>
        </is>
      </c>
      <c r="R648" s="8" t="inlineStr">
        <is>
          <t>OUI</t>
        </is>
      </c>
      <c r="S648" s="8" t="inlineStr">
        <is>
          <t>31/08/2026 02:59</t>
        </is>
      </c>
    </row>
    <row r="649">
      <c r="A649" s="7" t="inlineStr">
        <is>
          <t>WHAP-0645</t>
        </is>
      </c>
      <c r="B649" s="7" t="inlineStr">
        <is>
          <t>FIX-0645</t>
        </is>
      </c>
      <c r="C649" s="7" t="inlineStr">
        <is>
          <t>goupille élastique</t>
        </is>
      </c>
      <c r="D649" s="7" t="inlineStr">
        <is>
          <t>Fixations et consommables</t>
        </is>
      </c>
      <c r="E649" s="7" t="inlineStr">
        <is>
          <t>Fixations et consommables</t>
        </is>
      </c>
      <c r="F649" s="7" t="inlineStr">
        <is>
          <t>CONSOMMABLE</t>
        </is>
      </c>
      <c r="G649" s="7" t="inlineStr">
        <is>
          <t>unité</t>
        </is>
      </c>
      <c r="H649" s="7" t="inlineStr">
        <is>
          <t>SMALL</t>
        </is>
      </c>
      <c r="I649" s="7" t="n">
        <v>5</v>
      </c>
      <c r="J649" s="7" t="inlineStr">
        <is>
          <t>F-04-04</t>
        </is>
      </c>
      <c r="K649" s="7" t="inlineStr"/>
      <c r="L649" s="9" t="n">
        <v>0</v>
      </c>
      <c r="M649" s="9" t="n">
        <v>0</v>
      </c>
      <c r="N649" s="9" t="n">
        <v>41</v>
      </c>
      <c r="O649" s="7" t="inlineStr">
        <is>
          <t>SKF</t>
        </is>
      </c>
      <c r="P649" s="7" t="inlineStr">
        <is>
          <t>STANDARD</t>
        </is>
      </c>
      <c r="Q649" s="7" t="inlineStr">
        <is>
          <t>WHAP</t>
        </is>
      </c>
      <c r="R649" s="7" t="inlineStr">
        <is>
          <t>OUI</t>
        </is>
      </c>
      <c r="S649" s="7" t="inlineStr">
        <is>
          <t>31/08/2026 02:59</t>
        </is>
      </c>
    </row>
    <row r="650">
      <c r="A650" s="8" t="inlineStr">
        <is>
          <t>WHAP-0646</t>
        </is>
      </c>
      <c r="B650" s="8" t="inlineStr">
        <is>
          <t>FIX-0646</t>
        </is>
      </c>
      <c r="C650" s="8" t="inlineStr">
        <is>
          <t>rivet</t>
        </is>
      </c>
      <c r="D650" s="8" t="inlineStr">
        <is>
          <t>Fixations et consommables</t>
        </is>
      </c>
      <c r="E650" s="8" t="inlineStr">
        <is>
          <t>Fixations et consommables</t>
        </is>
      </c>
      <c r="F650" s="8" t="inlineStr">
        <is>
          <t>CONSOMMABLE</t>
        </is>
      </c>
      <c r="G650" s="8" t="inlineStr">
        <is>
          <t>unité</t>
        </is>
      </c>
      <c r="H650" s="8" t="inlineStr">
        <is>
          <t>SMALL</t>
        </is>
      </c>
      <c r="I650" s="8" t="n">
        <v>5</v>
      </c>
      <c r="J650" s="8" t="inlineStr">
        <is>
          <t>B-05-02</t>
        </is>
      </c>
      <c r="K650" s="8" t="inlineStr"/>
      <c r="L650" s="10" t="n">
        <v>0</v>
      </c>
      <c r="M650" s="10" t="n">
        <v>0</v>
      </c>
      <c r="N650" s="10" t="n">
        <v>50</v>
      </c>
      <c r="O650" s="8" t="inlineStr">
        <is>
          <t>YZK</t>
        </is>
      </c>
      <c r="P650" s="8" t="inlineStr">
        <is>
          <t>STANDARD</t>
        </is>
      </c>
      <c r="Q650" s="8" t="inlineStr">
        <is>
          <t>WHAP</t>
        </is>
      </c>
      <c r="R650" s="8" t="inlineStr">
        <is>
          <t>OUI</t>
        </is>
      </c>
      <c r="S650" s="8" t="inlineStr">
        <is>
          <t>31/08/2026 02:59</t>
        </is>
      </c>
    </row>
    <row r="651">
      <c r="A651" s="7" t="inlineStr">
        <is>
          <t>WHAP-0647</t>
        </is>
      </c>
      <c r="B651" s="7" t="inlineStr">
        <is>
          <t>FIX-0647</t>
        </is>
      </c>
      <c r="C651" s="7" t="inlineStr">
        <is>
          <t>agrafe</t>
        </is>
      </c>
      <c r="D651" s="7" t="inlineStr">
        <is>
          <t>Fixations et consommables</t>
        </is>
      </c>
      <c r="E651" s="7" t="inlineStr">
        <is>
          <t>Fixations et consommables</t>
        </is>
      </c>
      <c r="F651" s="7" t="inlineStr">
        <is>
          <t>CONSOMMABLE</t>
        </is>
      </c>
      <c r="G651" s="7" t="inlineStr">
        <is>
          <t>unité</t>
        </is>
      </c>
      <c r="H651" s="7" t="inlineStr">
        <is>
          <t>SMALL</t>
        </is>
      </c>
      <c r="I651" s="7" t="n">
        <v>5</v>
      </c>
      <c r="J651" s="7" t="inlineStr">
        <is>
          <t>B-01-01</t>
        </is>
      </c>
      <c r="K651" s="7" t="inlineStr"/>
      <c r="L651" s="9" t="n">
        <v>0</v>
      </c>
      <c r="M651" s="9" t="n">
        <v>0</v>
      </c>
      <c r="N651" s="9" t="n">
        <v>48</v>
      </c>
      <c r="O651" s="7" t="inlineStr">
        <is>
          <t>VAL</t>
        </is>
      </c>
      <c r="P651" s="7" t="inlineStr">
        <is>
          <t>STANDARD</t>
        </is>
      </c>
      <c r="Q651" s="7" t="inlineStr">
        <is>
          <t>WHAP</t>
        </is>
      </c>
      <c r="R651" s="7" t="inlineStr">
        <is>
          <t>OUI</t>
        </is>
      </c>
      <c r="S651" s="7" t="inlineStr">
        <is>
          <t>31/08/2026 02:59</t>
        </is>
      </c>
    </row>
    <row r="652">
      <c r="A652" s="8" t="inlineStr">
        <is>
          <t>WHAP-0648</t>
        </is>
      </c>
      <c r="B652" s="8" t="inlineStr">
        <is>
          <t>FIX-0648</t>
        </is>
      </c>
      <c r="C652" s="8" t="inlineStr">
        <is>
          <t>collier métallique</t>
        </is>
      </c>
      <c r="D652" s="8" t="inlineStr">
        <is>
          <t>Fixations et consommables</t>
        </is>
      </c>
      <c r="E652" s="8" t="inlineStr">
        <is>
          <t>Fixations et consommables</t>
        </is>
      </c>
      <c r="F652" s="8" t="inlineStr">
        <is>
          <t>CONSOMMABLE</t>
        </is>
      </c>
      <c r="G652" s="8" t="inlineStr">
        <is>
          <t>unité</t>
        </is>
      </c>
      <c r="H652" s="8" t="inlineStr">
        <is>
          <t>SMALL</t>
        </is>
      </c>
      <c r="I652" s="8" t="n">
        <v>5</v>
      </c>
      <c r="J652" s="8" t="inlineStr">
        <is>
          <t>C-03-02</t>
        </is>
      </c>
      <c r="K652" s="8" t="inlineStr"/>
      <c r="L652" s="10" t="n">
        <v>0</v>
      </c>
      <c r="M652" s="10" t="n">
        <v>0</v>
      </c>
      <c r="N652" s="10" t="n">
        <v>41</v>
      </c>
      <c r="O652" s="8" t="inlineStr">
        <is>
          <t>MAG</t>
        </is>
      </c>
      <c r="P652" s="8" t="inlineStr">
        <is>
          <t>STANDARD</t>
        </is>
      </c>
      <c r="Q652" s="8" t="inlineStr">
        <is>
          <t>WHAP</t>
        </is>
      </c>
      <c r="R652" s="8" t="inlineStr">
        <is>
          <t>OUI</t>
        </is>
      </c>
      <c r="S652" s="8" t="inlineStr">
        <is>
          <t>31/08/2026 02:59</t>
        </is>
      </c>
    </row>
    <row r="653">
      <c r="A653" s="7" t="inlineStr">
        <is>
          <t>WHAP-0649</t>
        </is>
      </c>
      <c r="B653" s="7" t="inlineStr">
        <is>
          <t>FIX-0649</t>
        </is>
      </c>
      <c r="C653" s="7" t="inlineStr">
        <is>
          <t>collier plastique</t>
        </is>
      </c>
      <c r="D653" s="7" t="inlineStr">
        <is>
          <t>Fixations et consommables</t>
        </is>
      </c>
      <c r="E653" s="7" t="inlineStr">
        <is>
          <t>Fixations et consommables</t>
        </is>
      </c>
      <c r="F653" s="7" t="inlineStr">
        <is>
          <t>CONSOMMABLE</t>
        </is>
      </c>
      <c r="G653" s="7" t="inlineStr">
        <is>
          <t>unité</t>
        </is>
      </c>
      <c r="H653" s="7" t="inlineStr">
        <is>
          <t>SMALL</t>
        </is>
      </c>
      <c r="I653" s="7" t="n">
        <v>5</v>
      </c>
      <c r="J653" s="7" t="inlineStr">
        <is>
          <t>D-03-03</t>
        </is>
      </c>
      <c r="K653" s="7" t="inlineStr"/>
      <c r="L653" s="9" t="n">
        <v>0</v>
      </c>
      <c r="M653" s="9" t="n">
        <v>0</v>
      </c>
      <c r="N653" s="9" t="n">
        <v>46</v>
      </c>
      <c r="O653" s="7" t="inlineStr">
        <is>
          <t>YZK</t>
        </is>
      </c>
      <c r="P653" s="7" t="inlineStr">
        <is>
          <t>STANDARD</t>
        </is>
      </c>
      <c r="Q653" s="7" t="inlineStr">
        <is>
          <t>WHAP</t>
        </is>
      </c>
      <c r="R653" s="7" t="inlineStr">
        <is>
          <t>OUI</t>
        </is>
      </c>
      <c r="S653" s="7" t="inlineStr">
        <is>
          <t>31/08/2026 02:59</t>
        </is>
      </c>
    </row>
    <row r="654">
      <c r="A654" s="8" t="inlineStr">
        <is>
          <t>WHAP-0650</t>
        </is>
      </c>
      <c r="B654" s="8" t="inlineStr">
        <is>
          <t>FIX-0650</t>
        </is>
      </c>
      <c r="C654" s="8" t="inlineStr">
        <is>
          <t>joint torique</t>
        </is>
      </c>
      <c r="D654" s="8" t="inlineStr">
        <is>
          <t>Fixations et consommables</t>
        </is>
      </c>
      <c r="E654" s="8" t="inlineStr">
        <is>
          <t>Fixations et consommables</t>
        </is>
      </c>
      <c r="F654" s="8" t="inlineStr">
        <is>
          <t>CONSOMMABLE</t>
        </is>
      </c>
      <c r="G654" s="8" t="inlineStr">
        <is>
          <t>unité</t>
        </is>
      </c>
      <c r="H654" s="8" t="inlineStr">
        <is>
          <t>SMALL</t>
        </is>
      </c>
      <c r="I654" s="8" t="n">
        <v>5</v>
      </c>
      <c r="J654" s="8" t="inlineStr">
        <is>
          <t>F-04-01</t>
        </is>
      </c>
      <c r="K654" s="8" t="inlineStr"/>
      <c r="L654" s="10" t="n">
        <v>0</v>
      </c>
      <c r="M654" s="10" t="n">
        <v>0</v>
      </c>
      <c r="N654" s="10" t="n">
        <v>48</v>
      </c>
      <c r="O654" s="8" t="inlineStr">
        <is>
          <t>CTL</t>
        </is>
      </c>
      <c r="P654" s="8" t="inlineStr">
        <is>
          <t>STANDARD</t>
        </is>
      </c>
      <c r="Q654" s="8" t="inlineStr">
        <is>
          <t>WHAP</t>
        </is>
      </c>
      <c r="R654" s="8" t="inlineStr">
        <is>
          <t>OUI</t>
        </is>
      </c>
      <c r="S654" s="8" t="inlineStr">
        <is>
          <t>31/08/2026 02:59</t>
        </is>
      </c>
    </row>
    <row r="655">
      <c r="A655" s="7" t="inlineStr">
        <is>
          <t>WHAP-0651</t>
        </is>
      </c>
      <c r="B655" s="7" t="inlineStr">
        <is>
          <t>FIX-0651</t>
        </is>
      </c>
      <c r="C655" s="7" t="inlineStr">
        <is>
          <t>joint plat</t>
        </is>
      </c>
      <c r="D655" s="7" t="inlineStr">
        <is>
          <t>Fixations et consommables</t>
        </is>
      </c>
      <c r="E655" s="7" t="inlineStr">
        <is>
          <t>Fixations et consommables</t>
        </is>
      </c>
      <c r="F655" s="7" t="inlineStr">
        <is>
          <t>CONSOMMABLE</t>
        </is>
      </c>
      <c r="G655" s="7" t="inlineStr">
        <is>
          <t>unité</t>
        </is>
      </c>
      <c r="H655" s="7" t="inlineStr">
        <is>
          <t>SMALL</t>
        </is>
      </c>
      <c r="I655" s="7" t="n">
        <v>5</v>
      </c>
      <c r="J655" s="7" t="inlineStr">
        <is>
          <t>C-02-01</t>
        </is>
      </c>
      <c r="K655" s="7" t="inlineStr"/>
      <c r="L655" s="9" t="n">
        <v>0</v>
      </c>
      <c r="M655" s="9" t="n">
        <v>0</v>
      </c>
      <c r="N655" s="9" t="n">
        <v>47</v>
      </c>
      <c r="O655" s="7" t="inlineStr">
        <is>
          <t>HEL</t>
        </is>
      </c>
      <c r="P655" s="7" t="inlineStr">
        <is>
          <t>STANDARD</t>
        </is>
      </c>
      <c r="Q655" s="7" t="inlineStr">
        <is>
          <t>WHAP</t>
        </is>
      </c>
      <c r="R655" s="7" t="inlineStr">
        <is>
          <t>OUI</t>
        </is>
      </c>
      <c r="S655" s="7" t="inlineStr">
        <is>
          <t>31/08/2026 02:59</t>
        </is>
      </c>
    </row>
    <row r="656">
      <c r="A656" s="8" t="inlineStr">
        <is>
          <t>WHAP-0652</t>
        </is>
      </c>
      <c r="B656" s="8" t="inlineStr">
        <is>
          <t>FIX-0652</t>
        </is>
      </c>
      <c r="C656" s="8" t="inlineStr">
        <is>
          <t>joint spi</t>
        </is>
      </c>
      <c r="D656" s="8" t="inlineStr">
        <is>
          <t>Fixations et consommables</t>
        </is>
      </c>
      <c r="E656" s="8" t="inlineStr">
        <is>
          <t>Fixations et consommables</t>
        </is>
      </c>
      <c r="F656" s="8" t="inlineStr">
        <is>
          <t>CONSOMMABLE</t>
        </is>
      </c>
      <c r="G656" s="8" t="inlineStr">
        <is>
          <t>unité</t>
        </is>
      </c>
      <c r="H656" s="8" t="inlineStr">
        <is>
          <t>SMALL</t>
        </is>
      </c>
      <c r="I656" s="8" t="n">
        <v>5</v>
      </c>
      <c r="J656" s="8" t="inlineStr">
        <is>
          <t>E-05-04</t>
        </is>
      </c>
      <c r="K656" s="8" t="inlineStr"/>
      <c r="L656" s="10" t="n">
        <v>0</v>
      </c>
      <c r="M656" s="10" t="n">
        <v>0</v>
      </c>
      <c r="N656" s="10" t="n">
        <v>44</v>
      </c>
      <c r="O656" s="8" t="inlineStr">
        <is>
          <t>HEL</t>
        </is>
      </c>
      <c r="P656" s="8" t="inlineStr">
        <is>
          <t>STANDARD</t>
        </is>
      </c>
      <c r="Q656" s="8" t="inlineStr">
        <is>
          <t>WHAP</t>
        </is>
      </c>
      <c r="R656" s="8" t="inlineStr">
        <is>
          <t>OUI</t>
        </is>
      </c>
      <c r="S656" s="8" t="inlineStr">
        <is>
          <t>31/08/2026 02:59</t>
        </is>
      </c>
    </row>
    <row r="657">
      <c r="A657" s="7" t="inlineStr">
        <is>
          <t>WHAP-0653</t>
        </is>
      </c>
      <c r="B657" s="7" t="inlineStr">
        <is>
          <t>FIX-0653</t>
        </is>
      </c>
      <c r="C657" s="7" t="inlineStr">
        <is>
          <t>bague</t>
        </is>
      </c>
      <c r="D657" s="7" t="inlineStr">
        <is>
          <t>Fixations et consommables</t>
        </is>
      </c>
      <c r="E657" s="7" t="inlineStr">
        <is>
          <t>Fixations et consommables</t>
        </is>
      </c>
      <c r="F657" s="7" t="inlineStr">
        <is>
          <t>CONSOMMABLE</t>
        </is>
      </c>
      <c r="G657" s="7" t="inlineStr">
        <is>
          <t>unité</t>
        </is>
      </c>
      <c r="H657" s="7" t="inlineStr">
        <is>
          <t>SMALL</t>
        </is>
      </c>
      <c r="I657" s="7" t="n">
        <v>5</v>
      </c>
      <c r="J657" s="7" t="inlineStr">
        <is>
          <t>D-06-03</t>
        </is>
      </c>
      <c r="K657" s="7" t="inlineStr"/>
      <c r="L657" s="9" t="n">
        <v>0</v>
      </c>
      <c r="M657" s="9" t="n">
        <v>0</v>
      </c>
      <c r="N657" s="9" t="n">
        <v>40</v>
      </c>
      <c r="O657" s="7" t="inlineStr">
        <is>
          <t>SKF</t>
        </is>
      </c>
      <c r="P657" s="7" t="inlineStr">
        <is>
          <t>STANDARD</t>
        </is>
      </c>
      <c r="Q657" s="7" t="inlineStr">
        <is>
          <t>WHAP</t>
        </is>
      </c>
      <c r="R657" s="7" t="inlineStr">
        <is>
          <t>OUI</t>
        </is>
      </c>
      <c r="S657" s="7" t="inlineStr">
        <is>
          <t>31/08/2026 02:59</t>
        </is>
      </c>
    </row>
    <row r="658">
      <c r="A658" s="8" t="inlineStr">
        <is>
          <t>WHAP-0654</t>
        </is>
      </c>
      <c r="B658" s="8" t="inlineStr">
        <is>
          <t>FIX-0654</t>
        </is>
      </c>
      <c r="C658" s="8" t="inlineStr">
        <is>
          <t>entretoise</t>
        </is>
      </c>
      <c r="D658" s="8" t="inlineStr">
        <is>
          <t>Fixations et consommables</t>
        </is>
      </c>
      <c r="E658" s="8" t="inlineStr">
        <is>
          <t>Fixations et consommables</t>
        </is>
      </c>
      <c r="F658" s="8" t="inlineStr">
        <is>
          <t>CONSOMMABLE</t>
        </is>
      </c>
      <c r="G658" s="8" t="inlineStr">
        <is>
          <t>unité</t>
        </is>
      </c>
      <c r="H658" s="8" t="inlineStr">
        <is>
          <t>SMALL</t>
        </is>
      </c>
      <c r="I658" s="8" t="n">
        <v>5</v>
      </c>
      <c r="J658" s="8" t="inlineStr">
        <is>
          <t>B-02-01</t>
        </is>
      </c>
      <c r="K658" s="8" t="inlineStr"/>
      <c r="L658" s="10" t="n">
        <v>0</v>
      </c>
      <c r="M658" s="10" t="n">
        <v>0</v>
      </c>
      <c r="N658" s="10" t="n">
        <v>43</v>
      </c>
      <c r="O658" s="8" t="inlineStr">
        <is>
          <t>FAU</t>
        </is>
      </c>
      <c r="P658" s="8" t="inlineStr">
        <is>
          <t>STANDARD</t>
        </is>
      </c>
      <c r="Q658" s="8" t="inlineStr">
        <is>
          <t>WHAP</t>
        </is>
      </c>
      <c r="R658" s="8" t="inlineStr">
        <is>
          <t>OUI</t>
        </is>
      </c>
      <c r="S658" s="8" t="inlineStr">
        <is>
          <t>31/08/2026 02:59</t>
        </is>
      </c>
    </row>
    <row r="659">
      <c r="A659" s="7" t="inlineStr">
        <is>
          <t>WHAP-0655</t>
        </is>
      </c>
      <c r="B659" s="7" t="inlineStr">
        <is>
          <t>FIX-0655</t>
        </is>
      </c>
      <c r="C659" s="7" t="inlineStr">
        <is>
          <t>silentbloc</t>
        </is>
      </c>
      <c r="D659" s="7" t="inlineStr">
        <is>
          <t>Fixations et consommables</t>
        </is>
      </c>
      <c r="E659" s="7" t="inlineStr">
        <is>
          <t>Fixations et consommables</t>
        </is>
      </c>
      <c r="F659" s="7" t="inlineStr">
        <is>
          <t>CONSOMMABLE</t>
        </is>
      </c>
      <c r="G659" s="7" t="inlineStr">
        <is>
          <t>unité</t>
        </is>
      </c>
      <c r="H659" s="7" t="inlineStr">
        <is>
          <t>SMALL</t>
        </is>
      </c>
      <c r="I659" s="7" t="n">
        <v>5</v>
      </c>
      <c r="J659" s="7" t="inlineStr">
        <is>
          <t>B-01-02</t>
        </is>
      </c>
      <c r="K659" s="7" t="inlineStr"/>
      <c r="L659" s="9" t="n">
        <v>0</v>
      </c>
      <c r="M659" s="9" t="n">
        <v>0</v>
      </c>
      <c r="N659" s="9" t="n">
        <v>44</v>
      </c>
      <c r="O659" s="7" t="inlineStr">
        <is>
          <t>YZK</t>
        </is>
      </c>
      <c r="P659" s="7" t="inlineStr">
        <is>
          <t>STANDARD</t>
        </is>
      </c>
      <c r="Q659" s="7" t="inlineStr">
        <is>
          <t>WHAP</t>
        </is>
      </c>
      <c r="R659" s="7" t="inlineStr">
        <is>
          <t>OUI</t>
        </is>
      </c>
      <c r="S659" s="7" t="inlineStr">
        <is>
          <t>31/08/2026 02:59</t>
        </is>
      </c>
    </row>
    <row r="660">
      <c r="A660" s="8" t="inlineStr">
        <is>
          <t>WHAP-0656</t>
        </is>
      </c>
      <c r="B660" s="8" t="inlineStr">
        <is>
          <t>FIX-0656</t>
        </is>
      </c>
      <c r="C660" s="8" t="inlineStr">
        <is>
          <t>graisseur</t>
        </is>
      </c>
      <c r="D660" s="8" t="inlineStr">
        <is>
          <t>Fixations et consommables</t>
        </is>
      </c>
      <c r="E660" s="8" t="inlineStr">
        <is>
          <t>Fixations et consommables</t>
        </is>
      </c>
      <c r="F660" s="8" t="inlineStr">
        <is>
          <t>CONSOMMABLE</t>
        </is>
      </c>
      <c r="G660" s="8" t="inlineStr">
        <is>
          <t>unité</t>
        </is>
      </c>
      <c r="H660" s="8" t="inlineStr">
        <is>
          <t>SMALL</t>
        </is>
      </c>
      <c r="I660" s="8" t="n">
        <v>5</v>
      </c>
      <c r="J660" s="8" t="inlineStr">
        <is>
          <t>C-03-03</t>
        </is>
      </c>
      <c r="K660" s="8" t="inlineStr"/>
      <c r="L660" s="10" t="n">
        <v>0</v>
      </c>
      <c r="M660" s="10" t="n">
        <v>0</v>
      </c>
      <c r="N660" s="10" t="n">
        <v>49</v>
      </c>
      <c r="O660" s="8" t="inlineStr">
        <is>
          <t>BOS</t>
        </is>
      </c>
      <c r="P660" s="8" t="inlineStr">
        <is>
          <t>STANDARD</t>
        </is>
      </c>
      <c r="Q660" s="8" t="inlineStr">
        <is>
          <t>WHAP</t>
        </is>
      </c>
      <c r="R660" s="8" t="inlineStr">
        <is>
          <t>OUI</t>
        </is>
      </c>
      <c r="S660" s="8" t="inlineStr">
        <is>
          <t>31/08/2026 02:59</t>
        </is>
      </c>
    </row>
    <row r="661">
      <c r="A661" s="7" t="inlineStr">
        <is>
          <t>WHAP-0657</t>
        </is>
      </c>
      <c r="B661" s="7" t="inlineStr">
        <is>
          <t>FIX-0657</t>
        </is>
      </c>
      <c r="C661" s="7" t="inlineStr">
        <is>
          <t>bouchon</t>
        </is>
      </c>
      <c r="D661" s="7" t="inlineStr">
        <is>
          <t>Fixations et consommables</t>
        </is>
      </c>
      <c r="E661" s="7" t="inlineStr">
        <is>
          <t>Fixations et consommables</t>
        </is>
      </c>
      <c r="F661" s="7" t="inlineStr">
        <is>
          <t>CONSOMMABLE</t>
        </is>
      </c>
      <c r="G661" s="7" t="inlineStr">
        <is>
          <t>unité</t>
        </is>
      </c>
      <c r="H661" s="7" t="inlineStr">
        <is>
          <t>SMALL</t>
        </is>
      </c>
      <c r="I661" s="7" t="n">
        <v>5</v>
      </c>
      <c r="J661" s="7" t="inlineStr">
        <is>
          <t>D-01-03</t>
        </is>
      </c>
      <c r="K661" s="7" t="inlineStr"/>
      <c r="L661" s="9" t="n">
        <v>0</v>
      </c>
      <c r="M661" s="9" t="n">
        <v>0</v>
      </c>
      <c r="N661" s="9" t="n">
        <v>41</v>
      </c>
      <c r="O661" s="7" t="inlineStr">
        <is>
          <t>SKF</t>
        </is>
      </c>
      <c r="P661" s="7" t="inlineStr">
        <is>
          <t>STANDARD</t>
        </is>
      </c>
      <c r="Q661" s="7" t="inlineStr">
        <is>
          <t>WHAP</t>
        </is>
      </c>
      <c r="R661" s="7" t="inlineStr">
        <is>
          <t>OUI</t>
        </is>
      </c>
      <c r="S661" s="7" t="inlineStr">
        <is>
          <t>31/08/2026 02:59</t>
        </is>
      </c>
    </row>
    <row r="662">
      <c r="A662" s="8" t="inlineStr">
        <is>
          <t>WHAP-0658</t>
        </is>
      </c>
      <c r="B662" s="8" t="inlineStr">
        <is>
          <t>FIX-0658</t>
        </is>
      </c>
      <c r="C662" s="8" t="inlineStr">
        <is>
          <t>capuchon</t>
        </is>
      </c>
      <c r="D662" s="8" t="inlineStr">
        <is>
          <t>Fixations et consommables</t>
        </is>
      </c>
      <c r="E662" s="8" t="inlineStr">
        <is>
          <t>Fixations et consommables</t>
        </is>
      </c>
      <c r="F662" s="8" t="inlineStr">
        <is>
          <t>CONSOMMABLE</t>
        </is>
      </c>
      <c r="G662" s="8" t="inlineStr">
        <is>
          <t>unité</t>
        </is>
      </c>
      <c r="H662" s="8" t="inlineStr">
        <is>
          <t>SMALL</t>
        </is>
      </c>
      <c r="I662" s="8" t="n">
        <v>5</v>
      </c>
      <c r="J662" s="8" t="inlineStr">
        <is>
          <t>F-01-04</t>
        </is>
      </c>
      <c r="K662" s="8" t="inlineStr"/>
      <c r="L662" s="10" t="n">
        <v>0</v>
      </c>
      <c r="M662" s="10" t="n">
        <v>0</v>
      </c>
      <c r="N662" s="10" t="n">
        <v>41</v>
      </c>
      <c r="O662" s="8" t="inlineStr">
        <is>
          <t>YZK</t>
        </is>
      </c>
      <c r="P662" s="8" t="inlineStr">
        <is>
          <t>STANDARD</t>
        </is>
      </c>
      <c r="Q662" s="8" t="inlineStr">
        <is>
          <t>WHAP</t>
        </is>
      </c>
      <c r="R662" s="8" t="inlineStr">
        <is>
          <t>OUI</t>
        </is>
      </c>
      <c r="S662" s="8" t="inlineStr">
        <is>
          <t>31/08/2026 02:59</t>
        </is>
      </c>
    </row>
    <row r="663">
      <c r="A663" s="7" t="inlineStr">
        <is>
          <t>WHAP-0659</t>
        </is>
      </c>
      <c r="B663" s="7" t="inlineStr">
        <is>
          <t>FIX-0659</t>
        </is>
      </c>
      <c r="C663" s="7" t="inlineStr">
        <is>
          <t>adhésif technique</t>
        </is>
      </c>
      <c r="D663" s="7" t="inlineStr">
        <is>
          <t>Fixations et consommables</t>
        </is>
      </c>
      <c r="E663" s="7" t="inlineStr">
        <is>
          <t>Fixations et consommables</t>
        </is>
      </c>
      <c r="F663" s="7" t="inlineStr">
        <is>
          <t>CONSOMMABLE</t>
        </is>
      </c>
      <c r="G663" s="7" t="inlineStr">
        <is>
          <t>unité</t>
        </is>
      </c>
      <c r="H663" s="7" t="inlineStr">
        <is>
          <t>SMALL</t>
        </is>
      </c>
      <c r="I663" s="7" t="n">
        <v>5</v>
      </c>
      <c r="J663" s="7" t="inlineStr">
        <is>
          <t>D-05-02</t>
        </is>
      </c>
      <c r="K663" s="7" t="inlineStr"/>
      <c r="L663" s="9" t="n">
        <v>0</v>
      </c>
      <c r="M663" s="9" t="n">
        <v>0</v>
      </c>
      <c r="N663" s="9" t="n">
        <v>49</v>
      </c>
      <c r="O663" s="7" t="inlineStr">
        <is>
          <t>CTL</t>
        </is>
      </c>
      <c r="P663" s="7" t="inlineStr">
        <is>
          <t>STANDARD</t>
        </is>
      </c>
      <c r="Q663" s="7" t="inlineStr">
        <is>
          <t>WHAP</t>
        </is>
      </c>
      <c r="R663" s="7" t="inlineStr">
        <is>
          <t>OUI</t>
        </is>
      </c>
      <c r="S663" s="7" t="inlineStr">
        <is>
          <t>31/08/2026 02:59</t>
        </is>
      </c>
    </row>
    <row r="664">
      <c r="A664" s="8" t="inlineStr">
        <is>
          <t>WHAP-0660</t>
        </is>
      </c>
      <c r="B664" s="8" t="inlineStr">
        <is>
          <t>FIX-0660</t>
        </is>
      </c>
      <c r="C664" s="8" t="inlineStr">
        <is>
          <t>mastic d'étanchéité</t>
        </is>
      </c>
      <c r="D664" s="8" t="inlineStr">
        <is>
          <t>Fixations et consommables</t>
        </is>
      </c>
      <c r="E664" s="8" t="inlineStr">
        <is>
          <t>Fixations et consommables</t>
        </is>
      </c>
      <c r="F664" s="8" t="inlineStr">
        <is>
          <t>CONSOMMABLE</t>
        </is>
      </c>
      <c r="G664" s="8" t="inlineStr">
        <is>
          <t>unité</t>
        </is>
      </c>
      <c r="H664" s="8" t="inlineStr">
        <is>
          <t>SMALL</t>
        </is>
      </c>
      <c r="I664" s="8" t="n">
        <v>5</v>
      </c>
      <c r="J664" s="8" t="inlineStr">
        <is>
          <t>A-01-01</t>
        </is>
      </c>
      <c r="K664" s="8" t="inlineStr"/>
      <c r="L664" s="10" t="n">
        <v>0</v>
      </c>
      <c r="M664" s="10" t="n">
        <v>0</v>
      </c>
      <c r="N664" s="10" t="n">
        <v>48</v>
      </c>
      <c r="O664" s="8" t="inlineStr">
        <is>
          <t>DEL</t>
        </is>
      </c>
      <c r="P664" s="8" t="inlineStr">
        <is>
          <t>STANDARD</t>
        </is>
      </c>
      <c r="Q664" s="8" t="inlineStr">
        <is>
          <t>WHAP</t>
        </is>
      </c>
      <c r="R664" s="8" t="inlineStr">
        <is>
          <t>OUI</t>
        </is>
      </c>
      <c r="S664" s="8" t="inlineStr">
        <is>
          <t>31/08/2026 02:59</t>
        </is>
      </c>
    </row>
    <row r="665">
      <c r="A665" s="7" t="inlineStr">
        <is>
          <t>WHAP-0661</t>
        </is>
      </c>
      <c r="B665" s="7" t="inlineStr">
        <is>
          <t>FIX-0661</t>
        </is>
      </c>
      <c r="C665" s="7" t="inlineStr">
        <is>
          <t>frein-filet</t>
        </is>
      </c>
      <c r="D665" s="7" t="inlineStr">
        <is>
          <t>Fixations et consommables</t>
        </is>
      </c>
      <c r="E665" s="7" t="inlineStr">
        <is>
          <t>Fixations et consommables</t>
        </is>
      </c>
      <c r="F665" s="7" t="inlineStr">
        <is>
          <t>CONSOMMABLE</t>
        </is>
      </c>
      <c r="G665" s="7" t="inlineStr">
        <is>
          <t>unité</t>
        </is>
      </c>
      <c r="H665" s="7" t="inlineStr">
        <is>
          <t>SMALL</t>
        </is>
      </c>
      <c r="I665" s="7" t="n">
        <v>5</v>
      </c>
      <c r="J665" s="7" t="inlineStr">
        <is>
          <t>B-04-01</t>
        </is>
      </c>
      <c r="K665" s="7" t="inlineStr"/>
      <c r="L665" s="9" t="n">
        <v>0</v>
      </c>
      <c r="M665" s="9" t="n">
        <v>0</v>
      </c>
      <c r="N665" s="9" t="n">
        <v>43</v>
      </c>
      <c r="O665" s="7" t="inlineStr">
        <is>
          <t>FAU</t>
        </is>
      </c>
      <c r="P665" s="7" t="inlineStr">
        <is>
          <t>STANDARD</t>
        </is>
      </c>
      <c r="Q665" s="7" t="inlineStr">
        <is>
          <t>WHAP</t>
        </is>
      </c>
      <c r="R665" s="7" t="inlineStr">
        <is>
          <t>OUI</t>
        </is>
      </c>
      <c r="S665" s="7" t="inlineStr">
        <is>
          <t>31/08/2026 02:59</t>
        </is>
      </c>
    </row>
    <row r="666">
      <c r="A666" s="8" t="inlineStr">
        <is>
          <t>WHAP-0662</t>
        </is>
      </c>
      <c r="B666" s="8" t="inlineStr">
        <is>
          <t>FIX-0662</t>
        </is>
      </c>
      <c r="C666" s="8" t="inlineStr">
        <is>
          <t>lubrifiant</t>
        </is>
      </c>
      <c r="D666" s="8" t="inlineStr">
        <is>
          <t>Fixations et consommables</t>
        </is>
      </c>
      <c r="E666" s="8" t="inlineStr">
        <is>
          <t>Fixations et consommables</t>
        </is>
      </c>
      <c r="F666" s="8" t="inlineStr">
        <is>
          <t>CONSOMMABLE</t>
        </is>
      </c>
      <c r="G666" s="8" t="inlineStr">
        <is>
          <t>unité</t>
        </is>
      </c>
      <c r="H666" s="8" t="inlineStr">
        <is>
          <t>SMALL</t>
        </is>
      </c>
      <c r="I666" s="8" t="n">
        <v>5</v>
      </c>
      <c r="J666" s="8" t="inlineStr">
        <is>
          <t>E-02-03</t>
        </is>
      </c>
      <c r="K666" s="8" t="inlineStr"/>
      <c r="L666" s="10" t="n">
        <v>0</v>
      </c>
      <c r="M666" s="10" t="n">
        <v>0</v>
      </c>
      <c r="N666" s="10" t="n">
        <v>41</v>
      </c>
      <c r="O666" s="8" t="inlineStr">
        <is>
          <t>SUM</t>
        </is>
      </c>
      <c r="P666" s="8" t="inlineStr">
        <is>
          <t>STANDARD</t>
        </is>
      </c>
      <c r="Q666" s="8" t="inlineStr">
        <is>
          <t>WHAP</t>
        </is>
      </c>
      <c r="R666" s="8" t="inlineStr">
        <is>
          <t>OUI</t>
        </is>
      </c>
      <c r="S666" s="8" t="inlineStr">
        <is>
          <t>31/08/2026 02:59</t>
        </is>
      </c>
    </row>
    <row r="667">
      <c r="A667" s="7" t="inlineStr">
        <is>
          <t>WHAP-0663</t>
        </is>
      </c>
      <c r="B667" s="7" t="inlineStr">
        <is>
          <t>FIX-0663</t>
        </is>
      </c>
      <c r="C667" s="7" t="inlineStr">
        <is>
          <t>graisse</t>
        </is>
      </c>
      <c r="D667" s="7" t="inlineStr">
        <is>
          <t>Fixations et consommables</t>
        </is>
      </c>
      <c r="E667" s="7" t="inlineStr">
        <is>
          <t>Fixations et consommables</t>
        </is>
      </c>
      <c r="F667" s="7" t="inlineStr">
        <is>
          <t>CONSOMMABLE</t>
        </is>
      </c>
      <c r="G667" s="7" t="inlineStr">
        <is>
          <t>unité</t>
        </is>
      </c>
      <c r="H667" s="7" t="inlineStr">
        <is>
          <t>SMALL</t>
        </is>
      </c>
      <c r="I667" s="7" t="n">
        <v>5</v>
      </c>
      <c r="J667" s="7" t="inlineStr">
        <is>
          <t>C-06-02</t>
        </is>
      </c>
      <c r="K667" s="7" t="inlineStr"/>
      <c r="L667" s="9" t="n">
        <v>0</v>
      </c>
      <c r="M667" s="9" t="n">
        <v>0</v>
      </c>
      <c r="N667" s="9" t="n">
        <v>42</v>
      </c>
      <c r="O667" s="7" t="inlineStr">
        <is>
          <t>BOS</t>
        </is>
      </c>
      <c r="P667" s="7" t="inlineStr">
        <is>
          <t>STANDARD</t>
        </is>
      </c>
      <c r="Q667" s="7" t="inlineStr">
        <is>
          <t>WHAP</t>
        </is>
      </c>
      <c r="R667" s="7" t="inlineStr">
        <is>
          <t>OUI</t>
        </is>
      </c>
      <c r="S667" s="7" t="inlineStr">
        <is>
          <t>31/08/2026 02:59</t>
        </is>
      </c>
    </row>
    <row r="668">
      <c r="A668" s="8" t="inlineStr">
        <is>
          <t>WHAP-0664</t>
        </is>
      </c>
      <c r="B668" s="8" t="inlineStr">
        <is>
          <t>FIX-0664</t>
        </is>
      </c>
      <c r="C668" s="8" t="inlineStr">
        <is>
          <t>huile moteur</t>
        </is>
      </c>
      <c r="D668" s="8" t="inlineStr">
        <is>
          <t>Fixations et consommables</t>
        </is>
      </c>
      <c r="E668" s="8" t="inlineStr">
        <is>
          <t>Fixations et consommables</t>
        </is>
      </c>
      <c r="F668" s="8" t="inlineStr">
        <is>
          <t>CONSOMMABLE</t>
        </is>
      </c>
      <c r="G668" s="8" t="inlineStr">
        <is>
          <t>unité</t>
        </is>
      </c>
      <c r="H668" s="8" t="inlineStr">
        <is>
          <t>SMALL</t>
        </is>
      </c>
      <c r="I668" s="8" t="n">
        <v>5</v>
      </c>
      <c r="J668" s="8" t="inlineStr">
        <is>
          <t>B-03-01</t>
        </is>
      </c>
      <c r="K668" s="8" t="inlineStr"/>
      <c r="L668" s="10" t="n">
        <v>0</v>
      </c>
      <c r="M668" s="10" t="n">
        <v>0</v>
      </c>
      <c r="N668" s="10" t="n">
        <v>50</v>
      </c>
      <c r="O668" s="8" t="inlineStr">
        <is>
          <t>CTL</t>
        </is>
      </c>
      <c r="P668" s="8" t="inlineStr">
        <is>
          <t>STANDARD</t>
        </is>
      </c>
      <c r="Q668" s="8" t="inlineStr">
        <is>
          <t>WHAP</t>
        </is>
      </c>
      <c r="R668" s="8" t="inlineStr">
        <is>
          <t>OUI</t>
        </is>
      </c>
      <c r="S668" s="8" t="inlineStr">
        <is>
          <t>31/08/2026 02:59</t>
        </is>
      </c>
    </row>
    <row r="669">
      <c r="A669" s="7" t="inlineStr">
        <is>
          <t>WHAP-0665</t>
        </is>
      </c>
      <c r="B669" s="7" t="inlineStr">
        <is>
          <t>FIX-0665</t>
        </is>
      </c>
      <c r="C669" s="7" t="inlineStr">
        <is>
          <t>huile transmission</t>
        </is>
      </c>
      <c r="D669" s="7" t="inlineStr">
        <is>
          <t>Fixations et consommables</t>
        </is>
      </c>
      <c r="E669" s="7" t="inlineStr">
        <is>
          <t>Fixations et consommables</t>
        </is>
      </c>
      <c r="F669" s="7" t="inlineStr">
        <is>
          <t>CONSOMMABLE</t>
        </is>
      </c>
      <c r="G669" s="7" t="inlineStr">
        <is>
          <t>unité</t>
        </is>
      </c>
      <c r="H669" s="7" t="inlineStr">
        <is>
          <t>SMALL</t>
        </is>
      </c>
      <c r="I669" s="7" t="n">
        <v>5</v>
      </c>
      <c r="J669" s="7" t="inlineStr">
        <is>
          <t>C-02-03</t>
        </is>
      </c>
      <c r="K669" s="7" t="inlineStr"/>
      <c r="L669" s="9" t="n">
        <v>0</v>
      </c>
      <c r="M669" s="9" t="n">
        <v>0</v>
      </c>
      <c r="N669" s="9" t="n">
        <v>42</v>
      </c>
      <c r="O669" s="7" t="inlineStr">
        <is>
          <t>HEL</t>
        </is>
      </c>
      <c r="P669" s="7" t="inlineStr">
        <is>
          <t>STANDARD</t>
        </is>
      </c>
      <c r="Q669" s="7" t="inlineStr">
        <is>
          <t>WHAP</t>
        </is>
      </c>
      <c r="R669" s="7" t="inlineStr">
        <is>
          <t>OUI</t>
        </is>
      </c>
      <c r="S669" s="7" t="inlineStr">
        <is>
          <t>31/08/2026 02:59</t>
        </is>
      </c>
    </row>
    <row r="670">
      <c r="A670" s="8" t="inlineStr">
        <is>
          <t>WHAP-0666</t>
        </is>
      </c>
      <c r="B670" s="8" t="inlineStr">
        <is>
          <t>FIX-0666</t>
        </is>
      </c>
      <c r="C670" s="8" t="inlineStr">
        <is>
          <t>liquide hydraulique</t>
        </is>
      </c>
      <c r="D670" s="8" t="inlineStr">
        <is>
          <t>Fixations et consommables</t>
        </is>
      </c>
      <c r="E670" s="8" t="inlineStr">
        <is>
          <t>Fixations et consommables</t>
        </is>
      </c>
      <c r="F670" s="8" t="inlineStr">
        <is>
          <t>CONSOMMABLE</t>
        </is>
      </c>
      <c r="G670" s="8" t="inlineStr">
        <is>
          <t>unité</t>
        </is>
      </c>
      <c r="H670" s="8" t="inlineStr">
        <is>
          <t>SMALL</t>
        </is>
      </c>
      <c r="I670" s="8" t="n">
        <v>5</v>
      </c>
      <c r="J670" s="8" t="inlineStr">
        <is>
          <t>F-04-03</t>
        </is>
      </c>
      <c r="K670" s="8" t="inlineStr"/>
      <c r="L670" s="10" t="n">
        <v>0</v>
      </c>
      <c r="M670" s="10" t="n">
        <v>0</v>
      </c>
      <c r="N670" s="10" t="n">
        <v>46</v>
      </c>
      <c r="O670" s="8" t="inlineStr">
        <is>
          <t>SKF</t>
        </is>
      </c>
      <c r="P670" s="8" t="inlineStr">
        <is>
          <t>STANDARD</t>
        </is>
      </c>
      <c r="Q670" s="8" t="inlineStr">
        <is>
          <t>WHAP</t>
        </is>
      </c>
      <c r="R670" s="8" t="inlineStr">
        <is>
          <t>OUI</t>
        </is>
      </c>
      <c r="S670" s="8" t="inlineStr">
        <is>
          <t>31/08/2026 02:59</t>
        </is>
      </c>
    </row>
    <row r="671">
      <c r="A671" s="7" t="inlineStr">
        <is>
          <t>WHAP-0667</t>
        </is>
      </c>
      <c r="B671" s="7" t="inlineStr">
        <is>
          <t>FIX-0667</t>
        </is>
      </c>
      <c r="C671" s="7" t="inlineStr">
        <is>
          <t>liquide de refroidissement</t>
        </is>
      </c>
      <c r="D671" s="7" t="inlineStr">
        <is>
          <t>Fixations et consommables</t>
        </is>
      </c>
      <c r="E671" s="7" t="inlineStr">
        <is>
          <t>Fixations et consommables</t>
        </is>
      </c>
      <c r="F671" s="7" t="inlineStr">
        <is>
          <t>CONSOMMABLE</t>
        </is>
      </c>
      <c r="G671" s="7" t="inlineStr">
        <is>
          <t>unité</t>
        </is>
      </c>
      <c r="H671" s="7" t="inlineStr">
        <is>
          <t>SMALL</t>
        </is>
      </c>
      <c r="I671" s="7" t="n">
        <v>5</v>
      </c>
      <c r="J671" s="7" t="inlineStr">
        <is>
          <t>B-01-04</t>
        </is>
      </c>
      <c r="K671" s="7" t="inlineStr"/>
      <c r="L671" s="9" t="n">
        <v>0</v>
      </c>
      <c r="M671" s="9" t="n">
        <v>0</v>
      </c>
      <c r="N671" s="9" t="n">
        <v>48</v>
      </c>
      <c r="O671" s="7" t="inlineStr">
        <is>
          <t>VAL</t>
        </is>
      </c>
      <c r="P671" s="7" t="inlineStr">
        <is>
          <t>STANDARD</t>
        </is>
      </c>
      <c r="Q671" s="7" t="inlineStr">
        <is>
          <t>WHAP</t>
        </is>
      </c>
      <c r="R671" s="7" t="inlineStr">
        <is>
          <t>OUI</t>
        </is>
      </c>
      <c r="S671" s="7" t="inlineStr">
        <is>
          <t>31/08/2026 02:59</t>
        </is>
      </c>
    </row>
    <row r="672">
      <c r="A672" s="8" t="inlineStr">
        <is>
          <t>WHAP-0668</t>
        </is>
      </c>
      <c r="B672" s="8" t="inlineStr">
        <is>
          <t>FIX-0668</t>
        </is>
      </c>
      <c r="C672" s="8" t="inlineStr">
        <is>
          <t>liquide de frein</t>
        </is>
      </c>
      <c r="D672" s="8" t="inlineStr">
        <is>
          <t>Fixations et consommables</t>
        </is>
      </c>
      <c r="E672" s="8" t="inlineStr">
        <is>
          <t>Fixations et consommables</t>
        </is>
      </c>
      <c r="F672" s="8" t="inlineStr">
        <is>
          <t>CONSOMMABLE</t>
        </is>
      </c>
      <c r="G672" s="8" t="inlineStr">
        <is>
          <t>unité</t>
        </is>
      </c>
      <c r="H672" s="8" t="inlineStr">
        <is>
          <t>SMALL</t>
        </is>
      </c>
      <c r="I672" s="8" t="n">
        <v>5</v>
      </c>
      <c r="J672" s="8" t="inlineStr">
        <is>
          <t>F-03-01</t>
        </is>
      </c>
      <c r="K672" s="8" t="inlineStr"/>
      <c r="L672" s="10" t="n">
        <v>0</v>
      </c>
      <c r="M672" s="10" t="n">
        <v>0</v>
      </c>
      <c r="N672" s="10" t="n">
        <v>49</v>
      </c>
      <c r="O672" s="8" t="inlineStr">
        <is>
          <t>SKF</t>
        </is>
      </c>
      <c r="P672" s="8" t="inlineStr">
        <is>
          <t>STANDARD</t>
        </is>
      </c>
      <c r="Q672" s="8" t="inlineStr">
        <is>
          <t>WHAP</t>
        </is>
      </c>
      <c r="R672" s="8" t="inlineStr">
        <is>
          <t>OUI</t>
        </is>
      </c>
      <c r="S672" s="8" t="inlineStr">
        <is>
          <t>31/08/2026 02:59</t>
        </is>
      </c>
    </row>
    <row r="673">
      <c r="A673" s="7" t="inlineStr">
        <is>
          <t>WHAP-0669</t>
        </is>
      </c>
      <c r="B673" s="7" t="inlineStr">
        <is>
          <t>FIX-0669</t>
        </is>
      </c>
      <c r="C673" s="7" t="inlineStr">
        <is>
          <t>liquide lave-glace</t>
        </is>
      </c>
      <c r="D673" s="7" t="inlineStr">
        <is>
          <t>Fixations et consommables</t>
        </is>
      </c>
      <c r="E673" s="7" t="inlineStr">
        <is>
          <t>Fixations et consommables</t>
        </is>
      </c>
      <c r="F673" s="7" t="inlineStr">
        <is>
          <t>CONSOMMABLE</t>
        </is>
      </c>
      <c r="G673" s="7" t="inlineStr">
        <is>
          <t>unité</t>
        </is>
      </c>
      <c r="H673" s="7" t="inlineStr">
        <is>
          <t>SMALL</t>
        </is>
      </c>
      <c r="I673" s="7" t="n">
        <v>5</v>
      </c>
      <c r="J673" s="7" t="inlineStr">
        <is>
          <t>A-05-04</t>
        </is>
      </c>
      <c r="K673" s="7" t="inlineStr"/>
      <c r="L673" s="9" t="n">
        <v>0</v>
      </c>
      <c r="M673" s="9" t="n">
        <v>0</v>
      </c>
      <c r="N673" s="9" t="n">
        <v>40</v>
      </c>
      <c r="O673" s="7" t="inlineStr">
        <is>
          <t>SUM</t>
        </is>
      </c>
      <c r="P673" s="7" t="inlineStr">
        <is>
          <t>STANDARD</t>
        </is>
      </c>
      <c r="Q673" s="7" t="inlineStr">
        <is>
          <t>WHAP</t>
        </is>
      </c>
      <c r="R673" s="7" t="inlineStr">
        <is>
          <t>OUI</t>
        </is>
      </c>
      <c r="S673" s="7" t="inlineStr">
        <is>
          <t>31/08/2026 02:59</t>
        </is>
      </c>
    </row>
    <row r="674">
      <c r="A674" s="8" t="inlineStr">
        <is>
          <t>WHAP-0670</t>
        </is>
      </c>
      <c r="B674" s="8" t="inlineStr">
        <is>
          <t>ROU-0670</t>
        </is>
      </c>
      <c r="C674" s="8" t="inlineStr">
        <is>
          <t>jante — AVG</t>
        </is>
      </c>
      <c r="D674" s="8" t="inlineStr">
        <is>
          <t>Roues et pneus</t>
        </is>
      </c>
      <c r="E674" s="8" t="inlineStr">
        <is>
          <t>Roues et pneus</t>
        </is>
      </c>
      <c r="F674" s="8" t="inlineStr">
        <is>
          <t>PIECE_VEHICULE</t>
        </is>
      </c>
      <c r="G674" s="8" t="inlineStr">
        <is>
          <t>unité</t>
        </is>
      </c>
      <c r="H674" s="8" t="inlineStr">
        <is>
          <t>LARGE</t>
        </is>
      </c>
      <c r="I674" s="8" t="n">
        <v>0</v>
      </c>
      <c r="J674" s="8" t="inlineStr">
        <is>
          <t>D-06-04</t>
        </is>
      </c>
      <c r="K674" s="8" t="inlineStr"/>
      <c r="L674" s="10" t="n">
        <v>0</v>
      </c>
      <c r="M674" s="10" t="n">
        <v>0</v>
      </c>
      <c r="N674" s="10" t="n">
        <v>26</v>
      </c>
      <c r="O674" s="8" t="inlineStr">
        <is>
          <t>CTL</t>
        </is>
      </c>
      <c r="P674" s="8" t="inlineStr">
        <is>
          <t>IMPORTANT</t>
        </is>
      </c>
      <c r="Q674" s="8" t="inlineStr">
        <is>
          <t>WHAP</t>
        </is>
      </c>
      <c r="R674" s="8" t="inlineStr">
        <is>
          <t>OUI</t>
        </is>
      </c>
      <c r="S674" s="8" t="inlineStr">
        <is>
          <t>31/08/2026 02:59</t>
        </is>
      </c>
    </row>
    <row r="675">
      <c r="A675" s="7" t="inlineStr">
        <is>
          <t>WHAP-0671</t>
        </is>
      </c>
      <c r="B675" s="7" t="inlineStr">
        <is>
          <t>ROU-0671</t>
        </is>
      </c>
      <c r="C675" s="7" t="inlineStr">
        <is>
          <t>roue complète — AVG</t>
        </is>
      </c>
      <c r="D675" s="7" t="inlineStr">
        <is>
          <t>Roues et pneus</t>
        </is>
      </c>
      <c r="E675" s="7" t="inlineStr">
        <is>
          <t>Roues et pneus</t>
        </is>
      </c>
      <c r="F675" s="7" t="inlineStr">
        <is>
          <t>PIECE_VEHICULE</t>
        </is>
      </c>
      <c r="G675" s="7" t="inlineStr">
        <is>
          <t>unité</t>
        </is>
      </c>
      <c r="H675" s="7" t="inlineStr">
        <is>
          <t>LARGE</t>
        </is>
      </c>
      <c r="I675" s="7" t="n">
        <v>0</v>
      </c>
      <c r="J675" s="7" t="inlineStr">
        <is>
          <t>D-05-03</t>
        </is>
      </c>
      <c r="K675" s="7" t="inlineStr"/>
      <c r="L675" s="9" t="n">
        <v>0</v>
      </c>
      <c r="M675" s="9" t="n">
        <v>0</v>
      </c>
      <c r="N675" s="9" t="n">
        <v>22</v>
      </c>
      <c r="O675" s="7" t="inlineStr">
        <is>
          <t>CTL</t>
        </is>
      </c>
      <c r="P675" s="7" t="inlineStr">
        <is>
          <t>IMPORTANT</t>
        </is>
      </c>
      <c r="Q675" s="7" t="inlineStr">
        <is>
          <t>WHAP</t>
        </is>
      </c>
      <c r="R675" s="7" t="inlineStr">
        <is>
          <t>OUI</t>
        </is>
      </c>
      <c r="S675" s="7" t="inlineStr">
        <is>
          <t>31/08/2026 02:59</t>
        </is>
      </c>
    </row>
    <row r="676">
      <c r="A676" s="8" t="inlineStr">
        <is>
          <t>WHAP-0672</t>
        </is>
      </c>
      <c r="B676" s="8" t="inlineStr">
        <is>
          <t>ROU-0672</t>
        </is>
      </c>
      <c r="C676" s="8" t="inlineStr">
        <is>
          <t>pneu — AVG</t>
        </is>
      </c>
      <c r="D676" s="8" t="inlineStr">
        <is>
          <t>Roues et pneus</t>
        </is>
      </c>
      <c r="E676" s="8" t="inlineStr">
        <is>
          <t>Roues et pneus</t>
        </is>
      </c>
      <c r="F676" s="8" t="inlineStr">
        <is>
          <t>PIECE_VEHICULE</t>
        </is>
      </c>
      <c r="G676" s="8" t="inlineStr">
        <is>
          <t>unité</t>
        </is>
      </c>
      <c r="H676" s="8" t="inlineStr">
        <is>
          <t>LARGE</t>
        </is>
      </c>
      <c r="I676" s="8" t="n">
        <v>0</v>
      </c>
      <c r="J676" s="8" t="inlineStr">
        <is>
          <t>C-03-02</t>
        </is>
      </c>
      <c r="K676" s="8" t="inlineStr"/>
      <c r="L676" s="10" t="n">
        <v>0</v>
      </c>
      <c r="M676" s="10" t="n">
        <v>0</v>
      </c>
      <c r="N676" s="10" t="n">
        <v>32</v>
      </c>
      <c r="O676" s="8" t="inlineStr">
        <is>
          <t>HEL</t>
        </is>
      </c>
      <c r="P676" s="8" t="inlineStr">
        <is>
          <t>IMPORTANT</t>
        </is>
      </c>
      <c r="Q676" s="8" t="inlineStr">
        <is>
          <t>WHAP</t>
        </is>
      </c>
      <c r="R676" s="8" t="inlineStr">
        <is>
          <t>OUI</t>
        </is>
      </c>
      <c r="S676" s="8" t="inlineStr">
        <is>
          <t>31/08/2026 02:59</t>
        </is>
      </c>
    </row>
    <row r="677">
      <c r="A677" s="7" t="inlineStr">
        <is>
          <t>WHAP-0673</t>
        </is>
      </c>
      <c r="B677" s="7" t="inlineStr">
        <is>
          <t>ROU-0673</t>
        </is>
      </c>
      <c r="C677" s="7" t="inlineStr">
        <is>
          <t>insert run-flat — AVG</t>
        </is>
      </c>
      <c r="D677" s="7" t="inlineStr">
        <is>
          <t>Roues et pneus</t>
        </is>
      </c>
      <c r="E677" s="7" t="inlineStr">
        <is>
          <t>Roues et pneus</t>
        </is>
      </c>
      <c r="F677" s="7" t="inlineStr">
        <is>
          <t>PIECE_VEHICULE</t>
        </is>
      </c>
      <c r="G677" s="7" t="inlineStr">
        <is>
          <t>unité</t>
        </is>
      </c>
      <c r="H677" s="7" t="inlineStr">
        <is>
          <t>LARGE</t>
        </is>
      </c>
      <c r="I677" s="7" t="n">
        <v>0</v>
      </c>
      <c r="J677" s="7" t="inlineStr">
        <is>
          <t>F-01-03</t>
        </is>
      </c>
      <c r="K677" s="7" t="inlineStr"/>
      <c r="L677" s="9" t="n">
        <v>0</v>
      </c>
      <c r="M677" s="9" t="n">
        <v>0</v>
      </c>
      <c r="N677" s="9" t="n">
        <v>23</v>
      </c>
      <c r="O677" s="7" t="inlineStr">
        <is>
          <t>YZK</t>
        </is>
      </c>
      <c r="P677" s="7" t="inlineStr">
        <is>
          <t>IMPORTANT</t>
        </is>
      </c>
      <c r="Q677" s="7" t="inlineStr">
        <is>
          <t>WHAP</t>
        </is>
      </c>
      <c r="R677" s="7" t="inlineStr">
        <is>
          <t>OUI</t>
        </is>
      </c>
      <c r="S677" s="7" t="inlineStr">
        <is>
          <t>31/08/2026 02:59</t>
        </is>
      </c>
    </row>
    <row r="678">
      <c r="A678" s="8" t="inlineStr">
        <is>
          <t>WHAP-0674</t>
        </is>
      </c>
      <c r="B678" s="8" t="inlineStr">
        <is>
          <t>ROU-0674</t>
        </is>
      </c>
      <c r="C678" s="8" t="inlineStr">
        <is>
          <t>valve de pneu — AVG</t>
        </is>
      </c>
      <c r="D678" s="8" t="inlineStr">
        <is>
          <t>Roues et pneus</t>
        </is>
      </c>
      <c r="E678" s="8" t="inlineStr">
        <is>
          <t>Roues et pneus</t>
        </is>
      </c>
      <c r="F678" s="8" t="inlineStr">
        <is>
          <t>PIECE_VEHICULE</t>
        </is>
      </c>
      <c r="G678" s="8" t="inlineStr">
        <is>
          <t>unité</t>
        </is>
      </c>
      <c r="H678" s="8" t="inlineStr">
        <is>
          <t>LARGE</t>
        </is>
      </c>
      <c r="I678" s="8" t="n">
        <v>0</v>
      </c>
      <c r="J678" s="8" t="inlineStr">
        <is>
          <t>A-04-03</t>
        </is>
      </c>
      <c r="K678" s="8" t="inlineStr"/>
      <c r="L678" s="10" t="n">
        <v>0</v>
      </c>
      <c r="M678" s="10" t="n">
        <v>0</v>
      </c>
      <c r="N678" s="10" t="n">
        <v>30</v>
      </c>
      <c r="O678" s="8" t="inlineStr">
        <is>
          <t>DEL</t>
        </is>
      </c>
      <c r="P678" s="8" t="inlineStr">
        <is>
          <t>IMPORTANT</t>
        </is>
      </c>
      <c r="Q678" s="8" t="inlineStr">
        <is>
          <t>WHAP</t>
        </is>
      </c>
      <c r="R678" s="8" t="inlineStr">
        <is>
          <t>OUI</t>
        </is>
      </c>
      <c r="S678" s="8" t="inlineStr">
        <is>
          <t>31/08/2026 02:59</t>
        </is>
      </c>
    </row>
    <row r="679">
      <c r="A679" s="7" t="inlineStr">
        <is>
          <t>WHAP-0675</t>
        </is>
      </c>
      <c r="B679" s="7" t="inlineStr">
        <is>
          <t>ROU-0675</t>
        </is>
      </c>
      <c r="C679" s="7" t="inlineStr">
        <is>
          <t>capteur pression pneu — AVG</t>
        </is>
      </c>
      <c r="D679" s="7" t="inlineStr">
        <is>
          <t>Roues et pneus</t>
        </is>
      </c>
      <c r="E679" s="7" t="inlineStr">
        <is>
          <t>Roues et pneus</t>
        </is>
      </c>
      <c r="F679" s="7" t="inlineStr">
        <is>
          <t>PIECE_VEHICULE</t>
        </is>
      </c>
      <c r="G679" s="7" t="inlineStr">
        <is>
          <t>unité</t>
        </is>
      </c>
      <c r="H679" s="7" t="inlineStr">
        <is>
          <t>LARGE</t>
        </is>
      </c>
      <c r="I679" s="7" t="n">
        <v>0</v>
      </c>
      <c r="J679" s="7" t="inlineStr">
        <is>
          <t>E-03-03</t>
        </is>
      </c>
      <c r="K679" s="7" t="inlineStr"/>
      <c r="L679" s="9" t="n">
        <v>0</v>
      </c>
      <c r="M679" s="9" t="n">
        <v>0</v>
      </c>
      <c r="N679" s="9" t="n">
        <v>31</v>
      </c>
      <c r="O679" s="7" t="inlineStr">
        <is>
          <t>SUM</t>
        </is>
      </c>
      <c r="P679" s="7" t="inlineStr">
        <is>
          <t>IMPORTANT</t>
        </is>
      </c>
      <c r="Q679" s="7" t="inlineStr">
        <is>
          <t>WHAP</t>
        </is>
      </c>
      <c r="R679" s="7" t="inlineStr">
        <is>
          <t>OUI</t>
        </is>
      </c>
      <c r="S679" s="7" t="inlineStr">
        <is>
          <t>31/08/2026 02:59</t>
        </is>
      </c>
    </row>
    <row r="680">
      <c r="A680" s="8" t="inlineStr">
        <is>
          <t>WHAP-0676</t>
        </is>
      </c>
      <c r="B680" s="8" t="inlineStr">
        <is>
          <t>ROU-0676</t>
        </is>
      </c>
      <c r="C680" s="8" t="inlineStr">
        <is>
          <t>écrou de roue — AVG</t>
        </is>
      </c>
      <c r="D680" s="8" t="inlineStr">
        <is>
          <t>Roues et pneus</t>
        </is>
      </c>
      <c r="E680" s="8" t="inlineStr">
        <is>
          <t>Roues et pneus</t>
        </is>
      </c>
      <c r="F680" s="8" t="inlineStr">
        <is>
          <t>PIECE_VEHICULE</t>
        </is>
      </c>
      <c r="G680" s="8" t="inlineStr">
        <is>
          <t>unité</t>
        </is>
      </c>
      <c r="H680" s="8" t="inlineStr">
        <is>
          <t>LARGE</t>
        </is>
      </c>
      <c r="I680" s="8" t="n">
        <v>0</v>
      </c>
      <c r="J680" s="8" t="inlineStr">
        <is>
          <t>B-02-02</t>
        </is>
      </c>
      <c r="K680" s="8" t="inlineStr"/>
      <c r="L680" s="10" t="n">
        <v>0</v>
      </c>
      <c r="M680" s="10" t="n">
        <v>0</v>
      </c>
      <c r="N680" s="10" t="n">
        <v>28</v>
      </c>
      <c r="O680" s="8" t="inlineStr">
        <is>
          <t>YZK</t>
        </is>
      </c>
      <c r="P680" s="8" t="inlineStr">
        <is>
          <t>IMPORTANT</t>
        </is>
      </c>
      <c r="Q680" s="8" t="inlineStr">
        <is>
          <t>WHAP</t>
        </is>
      </c>
      <c r="R680" s="8" t="inlineStr">
        <is>
          <t>OUI</t>
        </is>
      </c>
      <c r="S680" s="8" t="inlineStr">
        <is>
          <t>31/08/2026 02:59</t>
        </is>
      </c>
    </row>
    <row r="681">
      <c r="A681" s="7" t="inlineStr">
        <is>
          <t>WHAP-0677</t>
        </is>
      </c>
      <c r="B681" s="7" t="inlineStr">
        <is>
          <t>ROU-0677</t>
        </is>
      </c>
      <c r="C681" s="7" t="inlineStr">
        <is>
          <t>goujon de roue — AVG</t>
        </is>
      </c>
      <c r="D681" s="7" t="inlineStr">
        <is>
          <t>Roues et pneus</t>
        </is>
      </c>
      <c r="E681" s="7" t="inlineStr">
        <is>
          <t>Roues et pneus</t>
        </is>
      </c>
      <c r="F681" s="7" t="inlineStr">
        <is>
          <t>PIECE_VEHICULE</t>
        </is>
      </c>
      <c r="G681" s="7" t="inlineStr">
        <is>
          <t>unité</t>
        </is>
      </c>
      <c r="H681" s="7" t="inlineStr">
        <is>
          <t>LARGE</t>
        </is>
      </c>
      <c r="I681" s="7" t="n">
        <v>0</v>
      </c>
      <c r="J681" s="7" t="inlineStr">
        <is>
          <t>A-03-04</t>
        </is>
      </c>
      <c r="K681" s="7" t="inlineStr"/>
      <c r="L681" s="9" t="n">
        <v>0</v>
      </c>
      <c r="M681" s="9" t="n">
        <v>0</v>
      </c>
      <c r="N681" s="9" t="n">
        <v>31</v>
      </c>
      <c r="O681" s="7" t="inlineStr">
        <is>
          <t>DEL</t>
        </is>
      </c>
      <c r="P681" s="7" t="inlineStr">
        <is>
          <t>IMPORTANT</t>
        </is>
      </c>
      <c r="Q681" s="7" t="inlineStr">
        <is>
          <t>WHAP</t>
        </is>
      </c>
      <c r="R681" s="7" t="inlineStr">
        <is>
          <t>OUI</t>
        </is>
      </c>
      <c r="S681" s="7" t="inlineStr">
        <is>
          <t>31/08/2026 02:59</t>
        </is>
      </c>
    </row>
    <row r="682">
      <c r="A682" s="8" t="inlineStr">
        <is>
          <t>WHAP-0678</t>
        </is>
      </c>
      <c r="B682" s="8" t="inlineStr">
        <is>
          <t>ROU-0678</t>
        </is>
      </c>
      <c r="C682" s="8" t="inlineStr">
        <is>
          <t>entretoise de roue — AVG</t>
        </is>
      </c>
      <c r="D682" s="8" t="inlineStr">
        <is>
          <t>Roues et pneus</t>
        </is>
      </c>
      <c r="E682" s="8" t="inlineStr">
        <is>
          <t>Roues et pneus</t>
        </is>
      </c>
      <c r="F682" s="8" t="inlineStr">
        <is>
          <t>PIECE_VEHICULE</t>
        </is>
      </c>
      <c r="G682" s="8" t="inlineStr">
        <is>
          <t>unité</t>
        </is>
      </c>
      <c r="H682" s="8" t="inlineStr">
        <is>
          <t>LARGE</t>
        </is>
      </c>
      <c r="I682" s="8" t="n">
        <v>0</v>
      </c>
      <c r="J682" s="8" t="inlineStr">
        <is>
          <t>A-04-02</t>
        </is>
      </c>
      <c r="K682" s="8" t="inlineStr"/>
      <c r="L682" s="10" t="n">
        <v>0</v>
      </c>
      <c r="M682" s="10" t="n">
        <v>0</v>
      </c>
      <c r="N682" s="10" t="n">
        <v>25</v>
      </c>
      <c r="O682" s="8" t="inlineStr">
        <is>
          <t>MAG</t>
        </is>
      </c>
      <c r="P682" s="8" t="inlineStr">
        <is>
          <t>IMPORTANT</t>
        </is>
      </c>
      <c r="Q682" s="8" t="inlineStr">
        <is>
          <t>WHAP</t>
        </is>
      </c>
      <c r="R682" s="8" t="inlineStr">
        <is>
          <t>OUI</t>
        </is>
      </c>
      <c r="S682" s="8" t="inlineStr">
        <is>
          <t>31/08/2026 02:59</t>
        </is>
      </c>
    </row>
    <row r="683">
      <c r="A683" s="7" t="inlineStr">
        <is>
          <t>WHAP-0679</t>
        </is>
      </c>
      <c r="B683" s="7" t="inlineStr">
        <is>
          <t>ROU-0679</t>
        </is>
      </c>
      <c r="C683" s="7" t="inlineStr">
        <is>
          <t>moyeu — AVG</t>
        </is>
      </c>
      <c r="D683" s="7" t="inlineStr">
        <is>
          <t>Roues et pneus</t>
        </is>
      </c>
      <c r="E683" s="7" t="inlineStr">
        <is>
          <t>Roues et pneus</t>
        </is>
      </c>
      <c r="F683" s="7" t="inlineStr">
        <is>
          <t>PIECE_VEHICULE</t>
        </is>
      </c>
      <c r="G683" s="7" t="inlineStr">
        <is>
          <t>unité</t>
        </is>
      </c>
      <c r="H683" s="7" t="inlineStr">
        <is>
          <t>LARGE</t>
        </is>
      </c>
      <c r="I683" s="7" t="n">
        <v>0</v>
      </c>
      <c r="J683" s="7" t="inlineStr">
        <is>
          <t>B-04-02</t>
        </is>
      </c>
      <c r="K683" s="7" t="inlineStr"/>
      <c r="L683" s="9" t="n">
        <v>0</v>
      </c>
      <c r="M683" s="9" t="n">
        <v>0</v>
      </c>
      <c r="N683" s="9" t="n">
        <v>24</v>
      </c>
      <c r="O683" s="7" t="inlineStr">
        <is>
          <t>VAL</t>
        </is>
      </c>
      <c r="P683" s="7" t="inlineStr">
        <is>
          <t>IMPORTANT</t>
        </is>
      </c>
      <c r="Q683" s="7" t="inlineStr">
        <is>
          <t>WHAP</t>
        </is>
      </c>
      <c r="R683" s="7" t="inlineStr">
        <is>
          <t>OUI</t>
        </is>
      </c>
      <c r="S683" s="7" t="inlineStr">
        <is>
          <t>31/08/2026 02:59</t>
        </is>
      </c>
    </row>
    <row r="684">
      <c r="A684" s="8" t="inlineStr">
        <is>
          <t>WHAP-0680</t>
        </is>
      </c>
      <c r="B684" s="8" t="inlineStr">
        <is>
          <t>ROU-0680</t>
        </is>
      </c>
      <c r="C684" s="8" t="inlineStr">
        <is>
          <t>cache-moyeu — AVG</t>
        </is>
      </c>
      <c r="D684" s="8" t="inlineStr">
        <is>
          <t>Roues et pneus</t>
        </is>
      </c>
      <c r="E684" s="8" t="inlineStr">
        <is>
          <t>Roues et pneus</t>
        </is>
      </c>
      <c r="F684" s="8" t="inlineStr">
        <is>
          <t>PIECE_VEHICULE</t>
        </is>
      </c>
      <c r="G684" s="8" t="inlineStr">
        <is>
          <t>unité</t>
        </is>
      </c>
      <c r="H684" s="8" t="inlineStr">
        <is>
          <t>LARGE</t>
        </is>
      </c>
      <c r="I684" s="8" t="n">
        <v>0</v>
      </c>
      <c r="J684" s="8" t="inlineStr">
        <is>
          <t>B-03-01</t>
        </is>
      </c>
      <c r="K684" s="8" t="inlineStr"/>
      <c r="L684" s="10" t="n">
        <v>0</v>
      </c>
      <c r="M684" s="10" t="n">
        <v>0</v>
      </c>
      <c r="N684" s="10" t="n">
        <v>26</v>
      </c>
      <c r="O684" s="8" t="inlineStr">
        <is>
          <t>YZK</t>
        </is>
      </c>
      <c r="P684" s="8" t="inlineStr">
        <is>
          <t>IMPORTANT</t>
        </is>
      </c>
      <c r="Q684" s="8" t="inlineStr">
        <is>
          <t>WHAP</t>
        </is>
      </c>
      <c r="R684" s="8" t="inlineStr">
        <is>
          <t>OUI</t>
        </is>
      </c>
      <c r="S684" s="8" t="inlineStr">
        <is>
          <t>31/08/2026 02:59</t>
        </is>
      </c>
    </row>
    <row r="685">
      <c r="A685" s="7" t="inlineStr">
        <is>
          <t>WHAP-0681</t>
        </is>
      </c>
      <c r="B685" s="7" t="inlineStr">
        <is>
          <t>ROU-0681</t>
        </is>
      </c>
      <c r="C685" s="7" t="inlineStr">
        <is>
          <t>joint de moyeu — AVG</t>
        </is>
      </c>
      <c r="D685" s="7" t="inlineStr">
        <is>
          <t>Roues et pneus</t>
        </is>
      </c>
      <c r="E685" s="7" t="inlineStr">
        <is>
          <t>Roues et pneus</t>
        </is>
      </c>
      <c r="F685" s="7" t="inlineStr">
        <is>
          <t>PIECE_VEHICULE</t>
        </is>
      </c>
      <c r="G685" s="7" t="inlineStr">
        <is>
          <t>unité</t>
        </is>
      </c>
      <c r="H685" s="7" t="inlineStr">
        <is>
          <t>LARGE</t>
        </is>
      </c>
      <c r="I685" s="7" t="n">
        <v>0</v>
      </c>
      <c r="J685" s="7" t="inlineStr">
        <is>
          <t>D-03-04</t>
        </is>
      </c>
      <c r="K685" s="7" t="inlineStr"/>
      <c r="L685" s="9" t="n">
        <v>0</v>
      </c>
      <c r="M685" s="9" t="n">
        <v>0</v>
      </c>
      <c r="N685" s="9" t="n">
        <v>31</v>
      </c>
      <c r="O685" s="7" t="inlineStr">
        <is>
          <t>SKF</t>
        </is>
      </c>
      <c r="P685" s="7" t="inlineStr">
        <is>
          <t>IMPORTANT</t>
        </is>
      </c>
      <c r="Q685" s="7" t="inlineStr">
        <is>
          <t>WHAP</t>
        </is>
      </c>
      <c r="R685" s="7" t="inlineStr">
        <is>
          <t>OUI</t>
        </is>
      </c>
      <c r="S685" s="7" t="inlineStr">
        <is>
          <t>31/08/2026 02:59</t>
        </is>
      </c>
    </row>
    <row r="686">
      <c r="A686" s="8" t="inlineStr">
        <is>
          <t>WHAP-0682</t>
        </is>
      </c>
      <c r="B686" s="8" t="inlineStr">
        <is>
          <t>ROU-0682</t>
        </is>
      </c>
      <c r="C686" s="8" t="inlineStr">
        <is>
          <t>roulement de roue — AVG</t>
        </is>
      </c>
      <c r="D686" s="8" t="inlineStr">
        <is>
          <t>Roues et pneus</t>
        </is>
      </c>
      <c r="E686" s="8" t="inlineStr">
        <is>
          <t>Roues et pneus</t>
        </is>
      </c>
      <c r="F686" s="8" t="inlineStr">
        <is>
          <t>PIECE_VEHICULE</t>
        </is>
      </c>
      <c r="G686" s="8" t="inlineStr">
        <is>
          <t>unité</t>
        </is>
      </c>
      <c r="H686" s="8" t="inlineStr">
        <is>
          <t>LARGE</t>
        </is>
      </c>
      <c r="I686" s="8" t="n">
        <v>0</v>
      </c>
      <c r="J686" s="8" t="inlineStr">
        <is>
          <t>C-05-02</t>
        </is>
      </c>
      <c r="K686" s="8" t="inlineStr"/>
      <c r="L686" s="10" t="n">
        <v>0</v>
      </c>
      <c r="M686" s="10" t="n">
        <v>0</v>
      </c>
      <c r="N686" s="10" t="n">
        <v>23</v>
      </c>
      <c r="O686" s="8" t="inlineStr">
        <is>
          <t>HEL</t>
        </is>
      </c>
      <c r="P686" s="8" t="inlineStr">
        <is>
          <t>IMPORTANT</t>
        </is>
      </c>
      <c r="Q686" s="8" t="inlineStr">
        <is>
          <t>WHAP</t>
        </is>
      </c>
      <c r="R686" s="8" t="inlineStr">
        <is>
          <t>OUI</t>
        </is>
      </c>
      <c r="S686" s="8" t="inlineStr">
        <is>
          <t>31/08/2026 02:59</t>
        </is>
      </c>
    </row>
    <row r="687">
      <c r="A687" s="7" t="inlineStr">
        <is>
          <t>WHAP-0683</t>
        </is>
      </c>
      <c r="B687" s="7" t="inlineStr">
        <is>
          <t>ROU-0683</t>
        </is>
      </c>
      <c r="C687" s="7" t="inlineStr">
        <is>
          <t>bague de roulement — AVG</t>
        </is>
      </c>
      <c r="D687" s="7" t="inlineStr">
        <is>
          <t>Roues et pneus</t>
        </is>
      </c>
      <c r="E687" s="7" t="inlineStr">
        <is>
          <t>Roues et pneus</t>
        </is>
      </c>
      <c r="F687" s="7" t="inlineStr">
        <is>
          <t>PIECE_VEHICULE</t>
        </is>
      </c>
      <c r="G687" s="7" t="inlineStr">
        <is>
          <t>unité</t>
        </is>
      </c>
      <c r="H687" s="7" t="inlineStr">
        <is>
          <t>LARGE</t>
        </is>
      </c>
      <c r="I687" s="7" t="n">
        <v>0</v>
      </c>
      <c r="J687" s="7" t="inlineStr">
        <is>
          <t>A-03-01</t>
        </is>
      </c>
      <c r="K687" s="7" t="inlineStr"/>
      <c r="L687" s="9" t="n">
        <v>0</v>
      </c>
      <c r="M687" s="9" t="n">
        <v>0</v>
      </c>
      <c r="N687" s="9" t="n">
        <v>23</v>
      </c>
      <c r="O687" s="7" t="inlineStr">
        <is>
          <t>BOS</t>
        </is>
      </c>
      <c r="P687" s="7" t="inlineStr">
        <is>
          <t>IMPORTANT</t>
        </is>
      </c>
      <c r="Q687" s="7" t="inlineStr">
        <is>
          <t>WHAP</t>
        </is>
      </c>
      <c r="R687" s="7" t="inlineStr">
        <is>
          <t>OUI</t>
        </is>
      </c>
      <c r="S687" s="7" t="inlineStr">
        <is>
          <t>31/08/2026 02:59</t>
        </is>
      </c>
    </row>
    <row r="688">
      <c r="A688" s="8" t="inlineStr">
        <is>
          <t>WHAP-0684</t>
        </is>
      </c>
      <c r="B688" s="8" t="inlineStr">
        <is>
          <t>ROU-0684</t>
        </is>
      </c>
      <c r="C688" s="8" t="inlineStr">
        <is>
          <t>anneau de retenue — AVG</t>
        </is>
      </c>
      <c r="D688" s="8" t="inlineStr">
        <is>
          <t>Roues et pneus</t>
        </is>
      </c>
      <c r="E688" s="8" t="inlineStr">
        <is>
          <t>Roues et pneus</t>
        </is>
      </c>
      <c r="F688" s="8" t="inlineStr">
        <is>
          <t>PIECE_VEHICULE</t>
        </is>
      </c>
      <c r="G688" s="8" t="inlineStr">
        <is>
          <t>unité</t>
        </is>
      </c>
      <c r="H688" s="8" t="inlineStr">
        <is>
          <t>LARGE</t>
        </is>
      </c>
      <c r="I688" s="8" t="n">
        <v>0</v>
      </c>
      <c r="J688" s="8" t="inlineStr">
        <is>
          <t>C-04-04</t>
        </is>
      </c>
      <c r="K688" s="8" t="inlineStr"/>
      <c r="L688" s="10" t="n">
        <v>0</v>
      </c>
      <c r="M688" s="10" t="n">
        <v>0</v>
      </c>
      <c r="N688" s="10" t="n">
        <v>23</v>
      </c>
      <c r="O688" s="8" t="inlineStr">
        <is>
          <t>DEL</t>
        </is>
      </c>
      <c r="P688" s="8" t="inlineStr">
        <is>
          <t>IMPORTANT</t>
        </is>
      </c>
      <c r="Q688" s="8" t="inlineStr">
        <is>
          <t>WHAP</t>
        </is>
      </c>
      <c r="R688" s="8" t="inlineStr">
        <is>
          <t>OUI</t>
        </is>
      </c>
      <c r="S688" s="8" t="inlineStr">
        <is>
          <t>31/08/2026 02:59</t>
        </is>
      </c>
    </row>
    <row r="689">
      <c r="A689" s="7" t="inlineStr">
        <is>
          <t>WHAP-0685</t>
        </is>
      </c>
      <c r="B689" s="7" t="inlineStr">
        <is>
          <t>ROU-0685</t>
        </is>
      </c>
      <c r="C689" s="7" t="inlineStr">
        <is>
          <t>disque de jante — AVG</t>
        </is>
      </c>
      <c r="D689" s="7" t="inlineStr">
        <is>
          <t>Roues et pneus</t>
        </is>
      </c>
      <c r="E689" s="7" t="inlineStr">
        <is>
          <t>Roues et pneus</t>
        </is>
      </c>
      <c r="F689" s="7" t="inlineStr">
        <is>
          <t>PIECE_VEHICULE</t>
        </is>
      </c>
      <c r="G689" s="7" t="inlineStr">
        <is>
          <t>unité</t>
        </is>
      </c>
      <c r="H689" s="7" t="inlineStr">
        <is>
          <t>LARGE</t>
        </is>
      </c>
      <c r="I689" s="7" t="n">
        <v>0</v>
      </c>
      <c r="J689" s="7" t="inlineStr">
        <is>
          <t>D-04-04</t>
        </is>
      </c>
      <c r="K689" s="7" t="inlineStr"/>
      <c r="L689" s="9" t="n">
        <v>0</v>
      </c>
      <c r="M689" s="9" t="n">
        <v>0</v>
      </c>
      <c r="N689" s="9" t="n">
        <v>27</v>
      </c>
      <c r="O689" s="7" t="inlineStr">
        <is>
          <t>CTL</t>
        </is>
      </c>
      <c r="P689" s="7" t="inlineStr">
        <is>
          <t>IMPORTANT</t>
        </is>
      </c>
      <c r="Q689" s="7" t="inlineStr">
        <is>
          <t>WHAP</t>
        </is>
      </c>
      <c r="R689" s="7" t="inlineStr">
        <is>
          <t>OUI</t>
        </is>
      </c>
      <c r="S689" s="7" t="inlineStr">
        <is>
          <t>31/08/2026 02:59</t>
        </is>
      </c>
    </row>
    <row r="690">
      <c r="A690" s="8" t="inlineStr">
        <is>
          <t>WHAP-0686</t>
        </is>
      </c>
      <c r="B690" s="8" t="inlineStr">
        <is>
          <t>ROU-0686</t>
        </is>
      </c>
      <c r="C690" s="8" t="inlineStr">
        <is>
          <t>cerclage de jante — AVG</t>
        </is>
      </c>
      <c r="D690" s="8" t="inlineStr">
        <is>
          <t>Roues et pneus</t>
        </is>
      </c>
      <c r="E690" s="8" t="inlineStr">
        <is>
          <t>Roues et pneus</t>
        </is>
      </c>
      <c r="F690" s="8" t="inlineStr">
        <is>
          <t>PIECE_VEHICULE</t>
        </is>
      </c>
      <c r="G690" s="8" t="inlineStr">
        <is>
          <t>unité</t>
        </is>
      </c>
      <c r="H690" s="8" t="inlineStr">
        <is>
          <t>LARGE</t>
        </is>
      </c>
      <c r="I690" s="8" t="n">
        <v>0</v>
      </c>
      <c r="J690" s="8" t="inlineStr">
        <is>
          <t>C-06-02</t>
        </is>
      </c>
      <c r="K690" s="8" t="inlineStr"/>
      <c r="L690" s="10" t="n">
        <v>0</v>
      </c>
      <c r="M690" s="10" t="n">
        <v>0</v>
      </c>
      <c r="N690" s="10" t="n">
        <v>25</v>
      </c>
      <c r="O690" s="8" t="inlineStr">
        <is>
          <t>MAG</t>
        </is>
      </c>
      <c r="P690" s="8" t="inlineStr">
        <is>
          <t>IMPORTANT</t>
        </is>
      </c>
      <c r="Q690" s="8" t="inlineStr">
        <is>
          <t>WHAP</t>
        </is>
      </c>
      <c r="R690" s="8" t="inlineStr">
        <is>
          <t>OUI</t>
        </is>
      </c>
      <c r="S690" s="8" t="inlineStr">
        <is>
          <t>31/08/2026 02:59</t>
        </is>
      </c>
    </row>
    <row r="691">
      <c r="A691" s="7" t="inlineStr">
        <is>
          <t>WHAP-0687</t>
        </is>
      </c>
      <c r="B691" s="7" t="inlineStr">
        <is>
          <t>ROU-0687</t>
        </is>
      </c>
      <c r="C691" s="7" t="inlineStr">
        <is>
          <t>système CTIS — AVG</t>
        </is>
      </c>
      <c r="D691" s="7" t="inlineStr">
        <is>
          <t>Roues et pneus</t>
        </is>
      </c>
      <c r="E691" s="7" t="inlineStr">
        <is>
          <t>Roues et pneus</t>
        </is>
      </c>
      <c r="F691" s="7" t="inlineStr">
        <is>
          <t>PIECE_VEHICULE</t>
        </is>
      </c>
      <c r="G691" s="7" t="inlineStr">
        <is>
          <t>unité</t>
        </is>
      </c>
      <c r="H691" s="7" t="inlineStr">
        <is>
          <t>LARGE</t>
        </is>
      </c>
      <c r="I691" s="7" t="n">
        <v>0</v>
      </c>
      <c r="J691" s="7" t="inlineStr">
        <is>
          <t>D-02-02</t>
        </is>
      </c>
      <c r="K691" s="7" t="inlineStr"/>
      <c r="L691" s="9" t="n">
        <v>0</v>
      </c>
      <c r="M691" s="9" t="n">
        <v>0</v>
      </c>
      <c r="N691" s="9" t="n">
        <v>30</v>
      </c>
      <c r="O691" s="7" t="inlineStr">
        <is>
          <t>YZK</t>
        </is>
      </c>
      <c r="P691" s="7" t="inlineStr">
        <is>
          <t>IMPORTANT</t>
        </is>
      </c>
      <c r="Q691" s="7" t="inlineStr">
        <is>
          <t>WHAP</t>
        </is>
      </c>
      <c r="R691" s="7" t="inlineStr">
        <is>
          <t>OUI</t>
        </is>
      </c>
      <c r="S691" s="7" t="inlineStr">
        <is>
          <t>31/08/2026 02:59</t>
        </is>
      </c>
    </row>
    <row r="692">
      <c r="A692" s="8" t="inlineStr">
        <is>
          <t>WHAP-0688</t>
        </is>
      </c>
      <c r="B692" s="8" t="inlineStr">
        <is>
          <t>ROU-0688</t>
        </is>
      </c>
      <c r="C692" s="8" t="inlineStr">
        <is>
          <t>rotor CTIS — AVG</t>
        </is>
      </c>
      <c r="D692" s="8" t="inlineStr">
        <is>
          <t>Roues et pneus</t>
        </is>
      </c>
      <c r="E692" s="8" t="inlineStr">
        <is>
          <t>Roues et pneus</t>
        </is>
      </c>
      <c r="F692" s="8" t="inlineStr">
        <is>
          <t>PIECE_VEHICULE</t>
        </is>
      </c>
      <c r="G692" s="8" t="inlineStr">
        <is>
          <t>unité</t>
        </is>
      </c>
      <c r="H692" s="8" t="inlineStr">
        <is>
          <t>LARGE</t>
        </is>
      </c>
      <c r="I692" s="8" t="n">
        <v>0</v>
      </c>
      <c r="J692" s="8" t="inlineStr">
        <is>
          <t>B-04-02</t>
        </is>
      </c>
      <c r="K692" s="8" t="inlineStr"/>
      <c r="L692" s="10" t="n">
        <v>0</v>
      </c>
      <c r="M692" s="10" t="n">
        <v>0</v>
      </c>
      <c r="N692" s="10" t="n">
        <v>22</v>
      </c>
      <c r="O692" s="8" t="inlineStr">
        <is>
          <t>YZK</t>
        </is>
      </c>
      <c r="P692" s="8" t="inlineStr">
        <is>
          <t>IMPORTANT</t>
        </is>
      </c>
      <c r="Q692" s="8" t="inlineStr">
        <is>
          <t>WHAP</t>
        </is>
      </c>
      <c r="R692" s="8" t="inlineStr">
        <is>
          <t>OUI</t>
        </is>
      </c>
      <c r="S692" s="8" t="inlineStr">
        <is>
          <t>31/08/2026 02:59</t>
        </is>
      </c>
    </row>
    <row r="693">
      <c r="A693" s="7" t="inlineStr">
        <is>
          <t>WHAP-0689</t>
        </is>
      </c>
      <c r="B693" s="7" t="inlineStr">
        <is>
          <t>ROU-0689</t>
        </is>
      </c>
      <c r="C693" s="7" t="inlineStr">
        <is>
          <t>joint tournant CTIS — AVG</t>
        </is>
      </c>
      <c r="D693" s="7" t="inlineStr">
        <is>
          <t>Roues et pneus</t>
        </is>
      </c>
      <c r="E693" s="7" t="inlineStr">
        <is>
          <t>Roues et pneus</t>
        </is>
      </c>
      <c r="F693" s="7" t="inlineStr">
        <is>
          <t>PIECE_VEHICULE</t>
        </is>
      </c>
      <c r="G693" s="7" t="inlineStr">
        <is>
          <t>unité</t>
        </is>
      </c>
      <c r="H693" s="7" t="inlineStr">
        <is>
          <t>LARGE</t>
        </is>
      </c>
      <c r="I693" s="7" t="n">
        <v>0</v>
      </c>
      <c r="J693" s="7" t="inlineStr">
        <is>
          <t>F-01-03</t>
        </is>
      </c>
      <c r="K693" s="7" t="inlineStr"/>
      <c r="L693" s="9" t="n">
        <v>0</v>
      </c>
      <c r="M693" s="9" t="n">
        <v>0</v>
      </c>
      <c r="N693" s="9" t="n">
        <v>30</v>
      </c>
      <c r="O693" s="7" t="inlineStr">
        <is>
          <t>CTL</t>
        </is>
      </c>
      <c r="P693" s="7" t="inlineStr">
        <is>
          <t>IMPORTANT</t>
        </is>
      </c>
      <c r="Q693" s="7" t="inlineStr">
        <is>
          <t>WHAP</t>
        </is>
      </c>
      <c r="R693" s="7" t="inlineStr">
        <is>
          <t>OUI</t>
        </is>
      </c>
      <c r="S693" s="7" t="inlineStr">
        <is>
          <t>31/08/2026 02:59</t>
        </is>
      </c>
    </row>
    <row r="694">
      <c r="A694" s="8" t="inlineStr">
        <is>
          <t>WHAP-0690</t>
        </is>
      </c>
      <c r="B694" s="8" t="inlineStr">
        <is>
          <t>ROU-0690</t>
        </is>
      </c>
      <c r="C694" s="8" t="inlineStr">
        <is>
          <t>flexible CTIS — AVG</t>
        </is>
      </c>
      <c r="D694" s="8" t="inlineStr">
        <is>
          <t>Roues et pneus</t>
        </is>
      </c>
      <c r="E694" s="8" t="inlineStr">
        <is>
          <t>Roues et pneus</t>
        </is>
      </c>
      <c r="F694" s="8" t="inlineStr">
        <is>
          <t>PIECE_VEHICULE</t>
        </is>
      </c>
      <c r="G694" s="8" t="inlineStr">
        <is>
          <t>unité</t>
        </is>
      </c>
      <c r="H694" s="8" t="inlineStr">
        <is>
          <t>LARGE</t>
        </is>
      </c>
      <c r="I694" s="8" t="n">
        <v>0</v>
      </c>
      <c r="J694" s="8" t="inlineStr">
        <is>
          <t>C-06-02</t>
        </is>
      </c>
      <c r="K694" s="8" t="inlineStr"/>
      <c r="L694" s="10" t="n">
        <v>0</v>
      </c>
      <c r="M694" s="10" t="n">
        <v>0</v>
      </c>
      <c r="N694" s="10" t="n">
        <v>25</v>
      </c>
      <c r="O694" s="8" t="inlineStr">
        <is>
          <t>MAG</t>
        </is>
      </c>
      <c r="P694" s="8" t="inlineStr">
        <is>
          <t>IMPORTANT</t>
        </is>
      </c>
      <c r="Q694" s="8" t="inlineStr">
        <is>
          <t>WHAP</t>
        </is>
      </c>
      <c r="R694" s="8" t="inlineStr">
        <is>
          <t>OUI</t>
        </is>
      </c>
      <c r="S694" s="8" t="inlineStr">
        <is>
          <t>31/08/2026 02:59</t>
        </is>
      </c>
    </row>
    <row r="695">
      <c r="A695" s="7" t="inlineStr">
        <is>
          <t>WHAP-0691</t>
        </is>
      </c>
      <c r="B695" s="7" t="inlineStr">
        <is>
          <t>ROU-0691</t>
        </is>
      </c>
      <c r="C695" s="7" t="inlineStr">
        <is>
          <t>raccord CTIS — AVG</t>
        </is>
      </c>
      <c r="D695" s="7" t="inlineStr">
        <is>
          <t>Roues et pneus</t>
        </is>
      </c>
      <c r="E695" s="7" t="inlineStr">
        <is>
          <t>Roues et pneus</t>
        </is>
      </c>
      <c r="F695" s="7" t="inlineStr">
        <is>
          <t>PIECE_VEHICULE</t>
        </is>
      </c>
      <c r="G695" s="7" t="inlineStr">
        <is>
          <t>unité</t>
        </is>
      </c>
      <c r="H695" s="7" t="inlineStr">
        <is>
          <t>LARGE</t>
        </is>
      </c>
      <c r="I695" s="7" t="n">
        <v>0</v>
      </c>
      <c r="J695" s="7" t="inlineStr">
        <is>
          <t>A-03-01</t>
        </is>
      </c>
      <c r="K695" s="7" t="inlineStr"/>
      <c r="L695" s="9" t="n">
        <v>0</v>
      </c>
      <c r="M695" s="9" t="n">
        <v>0</v>
      </c>
      <c r="N695" s="9" t="n">
        <v>28</v>
      </c>
      <c r="O695" s="7" t="inlineStr">
        <is>
          <t>HEL</t>
        </is>
      </c>
      <c r="P695" s="7" t="inlineStr">
        <is>
          <t>IMPORTANT</t>
        </is>
      </c>
      <c r="Q695" s="7" t="inlineStr">
        <is>
          <t>WHAP</t>
        </is>
      </c>
      <c r="R695" s="7" t="inlineStr">
        <is>
          <t>OUI</t>
        </is>
      </c>
      <c r="S695" s="7" t="inlineStr">
        <is>
          <t>31/08/2026 02:59</t>
        </is>
      </c>
    </row>
    <row r="696">
      <c r="A696" s="8" t="inlineStr">
        <is>
          <t>WHAP-0692</t>
        </is>
      </c>
      <c r="B696" s="8" t="inlineStr">
        <is>
          <t>ROU-0692</t>
        </is>
      </c>
      <c r="C696" s="8" t="inlineStr">
        <is>
          <t>valve CTIS — AVG</t>
        </is>
      </c>
      <c r="D696" s="8" t="inlineStr">
        <is>
          <t>Roues et pneus</t>
        </is>
      </c>
      <c r="E696" s="8" t="inlineStr">
        <is>
          <t>Roues et pneus</t>
        </is>
      </c>
      <c r="F696" s="8" t="inlineStr">
        <is>
          <t>PIECE_VEHICULE</t>
        </is>
      </c>
      <c r="G696" s="8" t="inlineStr">
        <is>
          <t>unité</t>
        </is>
      </c>
      <c r="H696" s="8" t="inlineStr">
        <is>
          <t>LARGE</t>
        </is>
      </c>
      <c r="I696" s="8" t="n">
        <v>0</v>
      </c>
      <c r="J696" s="8" t="inlineStr">
        <is>
          <t>F-04-02</t>
        </is>
      </c>
      <c r="K696" s="8" t="inlineStr"/>
      <c r="L696" s="10" t="n">
        <v>0</v>
      </c>
      <c r="M696" s="10" t="n">
        <v>0</v>
      </c>
      <c r="N696" s="10" t="n">
        <v>23</v>
      </c>
      <c r="O696" s="8" t="inlineStr">
        <is>
          <t>YZK</t>
        </is>
      </c>
      <c r="P696" s="8" t="inlineStr">
        <is>
          <t>IMPORTANT</t>
        </is>
      </c>
      <c r="Q696" s="8" t="inlineStr">
        <is>
          <t>WHAP</t>
        </is>
      </c>
      <c r="R696" s="8" t="inlineStr">
        <is>
          <t>OUI</t>
        </is>
      </c>
      <c r="S696" s="8" t="inlineStr">
        <is>
          <t>31/08/2026 02:59</t>
        </is>
      </c>
    </row>
    <row r="697">
      <c r="A697" s="7" t="inlineStr">
        <is>
          <t>WHAP-0693</t>
        </is>
      </c>
      <c r="B697" s="7" t="inlineStr">
        <is>
          <t>ROU-0693</t>
        </is>
      </c>
      <c r="C697" s="7" t="inlineStr">
        <is>
          <t>manomètre CTIS — AVG</t>
        </is>
      </c>
      <c r="D697" s="7" t="inlineStr">
        <is>
          <t>Roues et pneus</t>
        </is>
      </c>
      <c r="E697" s="7" t="inlineStr">
        <is>
          <t>Roues et pneus</t>
        </is>
      </c>
      <c r="F697" s="7" t="inlineStr">
        <is>
          <t>PIECE_VEHICULE</t>
        </is>
      </c>
      <c r="G697" s="7" t="inlineStr">
        <is>
          <t>unité</t>
        </is>
      </c>
      <c r="H697" s="7" t="inlineStr">
        <is>
          <t>LARGE</t>
        </is>
      </c>
      <c r="I697" s="7" t="n">
        <v>0</v>
      </c>
      <c r="J697" s="7" t="inlineStr">
        <is>
          <t>C-02-03</t>
        </is>
      </c>
      <c r="K697" s="7" t="inlineStr"/>
      <c r="L697" s="9" t="n">
        <v>0</v>
      </c>
      <c r="M697" s="9" t="n">
        <v>0</v>
      </c>
      <c r="N697" s="9" t="n">
        <v>30</v>
      </c>
      <c r="O697" s="7" t="inlineStr">
        <is>
          <t>MAG</t>
        </is>
      </c>
      <c r="P697" s="7" t="inlineStr">
        <is>
          <t>IMPORTANT</t>
        </is>
      </c>
      <c r="Q697" s="7" t="inlineStr">
        <is>
          <t>WHAP</t>
        </is>
      </c>
      <c r="R697" s="7" t="inlineStr">
        <is>
          <t>OUI</t>
        </is>
      </c>
      <c r="S697" s="7" t="inlineStr">
        <is>
          <t>31/08/2026 02:59</t>
        </is>
      </c>
    </row>
    <row r="698">
      <c r="A698" s="8" t="inlineStr">
        <is>
          <t>WHAP-0694</t>
        </is>
      </c>
      <c r="B698" s="8" t="inlineStr">
        <is>
          <t>ROU-0694</t>
        </is>
      </c>
      <c r="C698" s="8" t="inlineStr">
        <is>
          <t>bloc distributeur CTIS — AVG</t>
        </is>
      </c>
      <c r="D698" s="8" t="inlineStr">
        <is>
          <t>Roues et pneus</t>
        </is>
      </c>
      <c r="E698" s="8" t="inlineStr">
        <is>
          <t>Roues et pneus</t>
        </is>
      </c>
      <c r="F698" s="8" t="inlineStr">
        <is>
          <t>PIECE_VEHICULE</t>
        </is>
      </c>
      <c r="G698" s="8" t="inlineStr">
        <is>
          <t>unité</t>
        </is>
      </c>
      <c r="H698" s="8" t="inlineStr">
        <is>
          <t>LARGE</t>
        </is>
      </c>
      <c r="I698" s="8" t="n">
        <v>0</v>
      </c>
      <c r="J698" s="8" t="inlineStr">
        <is>
          <t>F-05-01</t>
        </is>
      </c>
      <c r="K698" s="8" t="inlineStr"/>
      <c r="L698" s="10" t="n">
        <v>0</v>
      </c>
      <c r="M698" s="10" t="n">
        <v>0</v>
      </c>
      <c r="N698" s="10" t="n">
        <v>32</v>
      </c>
      <c r="O698" s="8" t="inlineStr">
        <is>
          <t>SKF</t>
        </is>
      </c>
      <c r="P698" s="8" t="inlineStr">
        <is>
          <t>IMPORTANT</t>
        </is>
      </c>
      <c r="Q698" s="8" t="inlineStr">
        <is>
          <t>WHAP</t>
        </is>
      </c>
      <c r="R698" s="8" t="inlineStr">
        <is>
          <t>OUI</t>
        </is>
      </c>
      <c r="S698" s="8" t="inlineStr">
        <is>
          <t>31/08/2026 02:59</t>
        </is>
      </c>
    </row>
    <row r="699">
      <c r="A699" s="7" t="inlineStr">
        <is>
          <t>WHAP-0695</t>
        </is>
      </c>
      <c r="B699" s="7" t="inlineStr">
        <is>
          <t>ROU-0695</t>
        </is>
      </c>
      <c r="C699" s="7" t="inlineStr">
        <is>
          <t>jante — AVD</t>
        </is>
      </c>
      <c r="D699" s="7" t="inlineStr">
        <is>
          <t>Roues et pneus</t>
        </is>
      </c>
      <c r="E699" s="7" t="inlineStr">
        <is>
          <t>Roues et pneus</t>
        </is>
      </c>
      <c r="F699" s="7" t="inlineStr">
        <is>
          <t>PIECE_VEHICULE</t>
        </is>
      </c>
      <c r="G699" s="7" t="inlineStr">
        <is>
          <t>unité</t>
        </is>
      </c>
      <c r="H699" s="7" t="inlineStr">
        <is>
          <t>LARGE</t>
        </is>
      </c>
      <c r="I699" s="7" t="n">
        <v>0</v>
      </c>
      <c r="J699" s="7" t="inlineStr">
        <is>
          <t>C-04-03</t>
        </is>
      </c>
      <c r="K699" s="7" t="inlineStr"/>
      <c r="L699" s="9" t="n">
        <v>0</v>
      </c>
      <c r="M699" s="9" t="n">
        <v>0</v>
      </c>
      <c r="N699" s="9" t="n">
        <v>24</v>
      </c>
      <c r="O699" s="7" t="inlineStr">
        <is>
          <t>DEL</t>
        </is>
      </c>
      <c r="P699" s="7" t="inlineStr">
        <is>
          <t>IMPORTANT</t>
        </is>
      </c>
      <c r="Q699" s="7" t="inlineStr">
        <is>
          <t>WHAP</t>
        </is>
      </c>
      <c r="R699" s="7" t="inlineStr">
        <is>
          <t>OUI</t>
        </is>
      </c>
      <c r="S699" s="7" t="inlineStr">
        <is>
          <t>31/08/2026 02:59</t>
        </is>
      </c>
    </row>
    <row r="700">
      <c r="A700" s="8" t="inlineStr">
        <is>
          <t>WHAP-0696</t>
        </is>
      </c>
      <c r="B700" s="8" t="inlineStr">
        <is>
          <t>ROU-0696</t>
        </is>
      </c>
      <c r="C700" s="8" t="inlineStr">
        <is>
          <t>roue complète — AVD</t>
        </is>
      </c>
      <c r="D700" s="8" t="inlineStr">
        <is>
          <t>Roues et pneus</t>
        </is>
      </c>
      <c r="E700" s="8" t="inlineStr">
        <is>
          <t>Roues et pneus</t>
        </is>
      </c>
      <c r="F700" s="8" t="inlineStr">
        <is>
          <t>PIECE_VEHICULE</t>
        </is>
      </c>
      <c r="G700" s="8" t="inlineStr">
        <is>
          <t>unité</t>
        </is>
      </c>
      <c r="H700" s="8" t="inlineStr">
        <is>
          <t>LARGE</t>
        </is>
      </c>
      <c r="I700" s="8" t="n">
        <v>0</v>
      </c>
      <c r="J700" s="8" t="inlineStr">
        <is>
          <t>F-06-04</t>
        </is>
      </c>
      <c r="K700" s="8" t="inlineStr"/>
      <c r="L700" s="10" t="n">
        <v>0</v>
      </c>
      <c r="M700" s="10" t="n">
        <v>0</v>
      </c>
      <c r="N700" s="10" t="n">
        <v>32</v>
      </c>
      <c r="O700" s="8" t="inlineStr">
        <is>
          <t>CTL</t>
        </is>
      </c>
      <c r="P700" s="8" t="inlineStr">
        <is>
          <t>IMPORTANT</t>
        </is>
      </c>
      <c r="Q700" s="8" t="inlineStr">
        <is>
          <t>WHAP</t>
        </is>
      </c>
      <c r="R700" s="8" t="inlineStr">
        <is>
          <t>OUI</t>
        </is>
      </c>
      <c r="S700" s="8" t="inlineStr">
        <is>
          <t>31/08/2026 02:59</t>
        </is>
      </c>
    </row>
    <row r="701">
      <c r="A701" s="7" t="inlineStr">
        <is>
          <t>WHAP-0697</t>
        </is>
      </c>
      <c r="B701" s="7" t="inlineStr">
        <is>
          <t>ROU-0697</t>
        </is>
      </c>
      <c r="C701" s="7" t="inlineStr">
        <is>
          <t>pneu — AVD</t>
        </is>
      </c>
      <c r="D701" s="7" t="inlineStr">
        <is>
          <t>Roues et pneus</t>
        </is>
      </c>
      <c r="E701" s="7" t="inlineStr">
        <is>
          <t>Roues et pneus</t>
        </is>
      </c>
      <c r="F701" s="7" t="inlineStr">
        <is>
          <t>PIECE_VEHICULE</t>
        </is>
      </c>
      <c r="G701" s="7" t="inlineStr">
        <is>
          <t>unité</t>
        </is>
      </c>
      <c r="H701" s="7" t="inlineStr">
        <is>
          <t>LARGE</t>
        </is>
      </c>
      <c r="I701" s="7" t="n">
        <v>0</v>
      </c>
      <c r="J701" s="7" t="inlineStr">
        <is>
          <t>A-04-01</t>
        </is>
      </c>
      <c r="K701" s="7" t="inlineStr"/>
      <c r="L701" s="9" t="n">
        <v>0</v>
      </c>
      <c r="M701" s="9" t="n">
        <v>0</v>
      </c>
      <c r="N701" s="9" t="n">
        <v>25</v>
      </c>
      <c r="O701" s="7" t="inlineStr">
        <is>
          <t>HEL</t>
        </is>
      </c>
      <c r="P701" s="7" t="inlineStr">
        <is>
          <t>IMPORTANT</t>
        </is>
      </c>
      <c r="Q701" s="7" t="inlineStr">
        <is>
          <t>WHAP</t>
        </is>
      </c>
      <c r="R701" s="7" t="inlineStr">
        <is>
          <t>OUI</t>
        </is>
      </c>
      <c r="S701" s="7" t="inlineStr">
        <is>
          <t>31/08/2026 02:59</t>
        </is>
      </c>
    </row>
    <row r="702">
      <c r="A702" s="8" t="inlineStr">
        <is>
          <t>WHAP-0698</t>
        </is>
      </c>
      <c r="B702" s="8" t="inlineStr">
        <is>
          <t>ROU-0698</t>
        </is>
      </c>
      <c r="C702" s="8" t="inlineStr">
        <is>
          <t>insert run-flat — AVD</t>
        </is>
      </c>
      <c r="D702" s="8" t="inlineStr">
        <is>
          <t>Roues et pneus</t>
        </is>
      </c>
      <c r="E702" s="8" t="inlineStr">
        <is>
          <t>Roues et pneus</t>
        </is>
      </c>
      <c r="F702" s="8" t="inlineStr">
        <is>
          <t>PIECE_VEHICULE</t>
        </is>
      </c>
      <c r="G702" s="8" t="inlineStr">
        <is>
          <t>unité</t>
        </is>
      </c>
      <c r="H702" s="8" t="inlineStr">
        <is>
          <t>LARGE</t>
        </is>
      </c>
      <c r="I702" s="8" t="n">
        <v>0</v>
      </c>
      <c r="J702" s="8" t="inlineStr">
        <is>
          <t>D-03-01</t>
        </is>
      </c>
      <c r="K702" s="8" t="inlineStr"/>
      <c r="L702" s="10" t="n">
        <v>0</v>
      </c>
      <c r="M702" s="10" t="n">
        <v>0</v>
      </c>
      <c r="N702" s="10" t="n">
        <v>22</v>
      </c>
      <c r="O702" s="8" t="inlineStr">
        <is>
          <t>CTL</t>
        </is>
      </c>
      <c r="P702" s="8" t="inlineStr">
        <is>
          <t>IMPORTANT</t>
        </is>
      </c>
      <c r="Q702" s="8" t="inlineStr">
        <is>
          <t>WHAP</t>
        </is>
      </c>
      <c r="R702" s="8" t="inlineStr">
        <is>
          <t>OUI</t>
        </is>
      </c>
      <c r="S702" s="8" t="inlineStr">
        <is>
          <t>31/08/2026 02:59</t>
        </is>
      </c>
    </row>
    <row r="703">
      <c r="A703" s="7" t="inlineStr">
        <is>
          <t>WHAP-0699</t>
        </is>
      </c>
      <c r="B703" s="7" t="inlineStr">
        <is>
          <t>ROU-0699</t>
        </is>
      </c>
      <c r="C703" s="7" t="inlineStr">
        <is>
          <t>valve de pneu — AVD</t>
        </is>
      </c>
      <c r="D703" s="7" t="inlineStr">
        <is>
          <t>Roues et pneus</t>
        </is>
      </c>
      <c r="E703" s="7" t="inlineStr">
        <is>
          <t>Roues et pneus</t>
        </is>
      </c>
      <c r="F703" s="7" t="inlineStr">
        <is>
          <t>PIECE_VEHICULE</t>
        </is>
      </c>
      <c r="G703" s="7" t="inlineStr">
        <is>
          <t>unité</t>
        </is>
      </c>
      <c r="H703" s="7" t="inlineStr">
        <is>
          <t>LARGE</t>
        </is>
      </c>
      <c r="I703" s="7" t="n">
        <v>0</v>
      </c>
      <c r="J703" s="7" t="inlineStr">
        <is>
          <t>F-02-04</t>
        </is>
      </c>
      <c r="K703" s="7" t="inlineStr"/>
      <c r="L703" s="9" t="n">
        <v>0</v>
      </c>
      <c r="M703" s="9" t="n">
        <v>0</v>
      </c>
      <c r="N703" s="9" t="n">
        <v>29</v>
      </c>
      <c r="O703" s="7" t="inlineStr">
        <is>
          <t>VAL</t>
        </is>
      </c>
      <c r="P703" s="7" t="inlineStr">
        <is>
          <t>IMPORTANT</t>
        </is>
      </c>
      <c r="Q703" s="7" t="inlineStr">
        <is>
          <t>WHAP</t>
        </is>
      </c>
      <c r="R703" s="7" t="inlineStr">
        <is>
          <t>OUI</t>
        </is>
      </c>
      <c r="S703" s="7" t="inlineStr">
        <is>
          <t>31/08/2026 02:59</t>
        </is>
      </c>
    </row>
    <row r="704">
      <c r="A704" s="8" t="inlineStr">
        <is>
          <t>WHAP-0700</t>
        </is>
      </c>
      <c r="B704" s="8" t="inlineStr">
        <is>
          <t>ROU-0700</t>
        </is>
      </c>
      <c r="C704" s="8" t="inlineStr">
        <is>
          <t>capteur pression pneu — AVD</t>
        </is>
      </c>
      <c r="D704" s="8" t="inlineStr">
        <is>
          <t>Roues et pneus</t>
        </is>
      </c>
      <c r="E704" s="8" t="inlineStr">
        <is>
          <t>Roues et pneus</t>
        </is>
      </c>
      <c r="F704" s="8" t="inlineStr">
        <is>
          <t>PIECE_VEHICULE</t>
        </is>
      </c>
      <c r="G704" s="8" t="inlineStr">
        <is>
          <t>unité</t>
        </is>
      </c>
      <c r="H704" s="8" t="inlineStr">
        <is>
          <t>LARGE</t>
        </is>
      </c>
      <c r="I704" s="8" t="n">
        <v>0</v>
      </c>
      <c r="J704" s="8" t="inlineStr">
        <is>
          <t>B-02-01</t>
        </is>
      </c>
      <c r="K704" s="8" t="inlineStr"/>
      <c r="L704" s="10" t="n">
        <v>0</v>
      </c>
      <c r="M704" s="10" t="n">
        <v>0</v>
      </c>
      <c r="N704" s="10" t="n">
        <v>31</v>
      </c>
      <c r="O704" s="8" t="inlineStr">
        <is>
          <t>SKF</t>
        </is>
      </c>
      <c r="P704" s="8" t="inlineStr">
        <is>
          <t>IMPORTANT</t>
        </is>
      </c>
      <c r="Q704" s="8" t="inlineStr">
        <is>
          <t>WHAP</t>
        </is>
      </c>
      <c r="R704" s="8" t="inlineStr">
        <is>
          <t>OUI</t>
        </is>
      </c>
      <c r="S704" s="8" t="inlineStr">
        <is>
          <t>31/08/2026 02:59</t>
        </is>
      </c>
    </row>
    <row r="705">
      <c r="A705" s="7" t="inlineStr">
        <is>
          <t>WHAP-0701</t>
        </is>
      </c>
      <c r="B705" s="7" t="inlineStr">
        <is>
          <t>ROU-0701</t>
        </is>
      </c>
      <c r="C705" s="7" t="inlineStr">
        <is>
          <t>écrou de roue — AVD</t>
        </is>
      </c>
      <c r="D705" s="7" t="inlineStr">
        <is>
          <t>Roues et pneus</t>
        </is>
      </c>
      <c r="E705" s="7" t="inlineStr">
        <is>
          <t>Roues et pneus</t>
        </is>
      </c>
      <c r="F705" s="7" t="inlineStr">
        <is>
          <t>PIECE_VEHICULE</t>
        </is>
      </c>
      <c r="G705" s="7" t="inlineStr">
        <is>
          <t>unité</t>
        </is>
      </c>
      <c r="H705" s="7" t="inlineStr">
        <is>
          <t>LARGE</t>
        </is>
      </c>
      <c r="I705" s="7" t="n">
        <v>0</v>
      </c>
      <c r="J705" s="7" t="inlineStr">
        <is>
          <t>B-03-01</t>
        </is>
      </c>
      <c r="K705" s="7" t="inlineStr"/>
      <c r="L705" s="9" t="n">
        <v>0</v>
      </c>
      <c r="M705" s="9" t="n">
        <v>0</v>
      </c>
      <c r="N705" s="9" t="n">
        <v>28</v>
      </c>
      <c r="O705" s="7" t="inlineStr">
        <is>
          <t>CTL</t>
        </is>
      </c>
      <c r="P705" s="7" t="inlineStr">
        <is>
          <t>IMPORTANT</t>
        </is>
      </c>
      <c r="Q705" s="7" t="inlineStr">
        <is>
          <t>WHAP</t>
        </is>
      </c>
      <c r="R705" s="7" t="inlineStr">
        <is>
          <t>OUI</t>
        </is>
      </c>
      <c r="S705" s="7" t="inlineStr">
        <is>
          <t>31/08/2026 02:59</t>
        </is>
      </c>
    </row>
    <row r="706">
      <c r="A706" s="8" t="inlineStr">
        <is>
          <t>WHAP-0702</t>
        </is>
      </c>
      <c r="B706" s="8" t="inlineStr">
        <is>
          <t>ROU-0702</t>
        </is>
      </c>
      <c r="C706" s="8" t="inlineStr">
        <is>
          <t>goujon de roue — AVD</t>
        </is>
      </c>
      <c r="D706" s="8" t="inlineStr">
        <is>
          <t>Roues et pneus</t>
        </is>
      </c>
      <c r="E706" s="8" t="inlineStr">
        <is>
          <t>Roues et pneus</t>
        </is>
      </c>
      <c r="F706" s="8" t="inlineStr">
        <is>
          <t>PIECE_VEHICULE</t>
        </is>
      </c>
      <c r="G706" s="8" t="inlineStr">
        <is>
          <t>unité</t>
        </is>
      </c>
      <c r="H706" s="8" t="inlineStr">
        <is>
          <t>LARGE</t>
        </is>
      </c>
      <c r="I706" s="8" t="n">
        <v>0</v>
      </c>
      <c r="J706" s="8" t="inlineStr">
        <is>
          <t>E-05-04</t>
        </is>
      </c>
      <c r="K706" s="8" t="inlineStr"/>
      <c r="L706" s="10" t="n">
        <v>0</v>
      </c>
      <c r="M706" s="10" t="n">
        <v>0</v>
      </c>
      <c r="N706" s="10" t="n">
        <v>29</v>
      </c>
      <c r="O706" s="8" t="inlineStr">
        <is>
          <t>HEL</t>
        </is>
      </c>
      <c r="P706" s="8" t="inlineStr">
        <is>
          <t>IMPORTANT</t>
        </is>
      </c>
      <c r="Q706" s="8" t="inlineStr">
        <is>
          <t>WHAP</t>
        </is>
      </c>
      <c r="R706" s="8" t="inlineStr">
        <is>
          <t>OUI</t>
        </is>
      </c>
      <c r="S706" s="8" t="inlineStr">
        <is>
          <t>31/08/2026 02:59</t>
        </is>
      </c>
    </row>
    <row r="707">
      <c r="A707" s="7" t="inlineStr">
        <is>
          <t>WHAP-0703</t>
        </is>
      </c>
      <c r="B707" s="7" t="inlineStr">
        <is>
          <t>ROU-0703</t>
        </is>
      </c>
      <c r="C707" s="7" t="inlineStr">
        <is>
          <t>entretoise de roue — AVD</t>
        </is>
      </c>
      <c r="D707" s="7" t="inlineStr">
        <is>
          <t>Roues et pneus</t>
        </is>
      </c>
      <c r="E707" s="7" t="inlineStr">
        <is>
          <t>Roues et pneus</t>
        </is>
      </c>
      <c r="F707" s="7" t="inlineStr">
        <is>
          <t>PIECE_VEHICULE</t>
        </is>
      </c>
      <c r="G707" s="7" t="inlineStr">
        <is>
          <t>unité</t>
        </is>
      </c>
      <c r="H707" s="7" t="inlineStr">
        <is>
          <t>LARGE</t>
        </is>
      </c>
      <c r="I707" s="7" t="n">
        <v>0</v>
      </c>
      <c r="J707" s="7" t="inlineStr">
        <is>
          <t>D-06-04</t>
        </is>
      </c>
      <c r="K707" s="7" t="inlineStr"/>
      <c r="L707" s="9" t="n">
        <v>0</v>
      </c>
      <c r="M707" s="9" t="n">
        <v>0</v>
      </c>
      <c r="N707" s="9" t="n">
        <v>22</v>
      </c>
      <c r="O707" s="7" t="inlineStr">
        <is>
          <t>YZK</t>
        </is>
      </c>
      <c r="P707" s="7" t="inlineStr">
        <is>
          <t>IMPORTANT</t>
        </is>
      </c>
      <c r="Q707" s="7" t="inlineStr">
        <is>
          <t>WHAP</t>
        </is>
      </c>
      <c r="R707" s="7" t="inlineStr">
        <is>
          <t>OUI</t>
        </is>
      </c>
      <c r="S707" s="7" t="inlineStr">
        <is>
          <t>31/08/2026 02:59</t>
        </is>
      </c>
    </row>
    <row r="708">
      <c r="A708" s="8" t="inlineStr">
        <is>
          <t>WHAP-0704</t>
        </is>
      </c>
      <c r="B708" s="8" t="inlineStr">
        <is>
          <t>ROU-0704</t>
        </is>
      </c>
      <c r="C708" s="8" t="inlineStr">
        <is>
          <t>moyeu — AVD</t>
        </is>
      </c>
      <c r="D708" s="8" t="inlineStr">
        <is>
          <t>Roues et pneus</t>
        </is>
      </c>
      <c r="E708" s="8" t="inlineStr">
        <is>
          <t>Roues et pneus</t>
        </is>
      </c>
      <c r="F708" s="8" t="inlineStr">
        <is>
          <t>PIECE_VEHICULE</t>
        </is>
      </c>
      <c r="G708" s="8" t="inlineStr">
        <is>
          <t>unité</t>
        </is>
      </c>
      <c r="H708" s="8" t="inlineStr">
        <is>
          <t>LARGE</t>
        </is>
      </c>
      <c r="I708" s="8" t="n">
        <v>0</v>
      </c>
      <c r="J708" s="8" t="inlineStr">
        <is>
          <t>D-06-01</t>
        </is>
      </c>
      <c r="K708" s="8" t="inlineStr"/>
      <c r="L708" s="10" t="n">
        <v>0</v>
      </c>
      <c r="M708" s="10" t="n">
        <v>0</v>
      </c>
      <c r="N708" s="10" t="n">
        <v>22</v>
      </c>
      <c r="O708" s="8" t="inlineStr">
        <is>
          <t>SKF</t>
        </is>
      </c>
      <c r="P708" s="8" t="inlineStr">
        <is>
          <t>IMPORTANT</t>
        </is>
      </c>
      <c r="Q708" s="8" t="inlineStr">
        <is>
          <t>WHAP</t>
        </is>
      </c>
      <c r="R708" s="8" t="inlineStr">
        <is>
          <t>OUI</t>
        </is>
      </c>
      <c r="S708" s="8" t="inlineStr">
        <is>
          <t>31/08/2026 02:59</t>
        </is>
      </c>
    </row>
    <row r="709">
      <c r="A709" s="7" t="inlineStr">
        <is>
          <t>WHAP-0705</t>
        </is>
      </c>
      <c r="B709" s="7" t="inlineStr">
        <is>
          <t>ROU-0705</t>
        </is>
      </c>
      <c r="C709" s="7" t="inlineStr">
        <is>
          <t>cache-moyeu — AVD</t>
        </is>
      </c>
      <c r="D709" s="7" t="inlineStr">
        <is>
          <t>Roues et pneus</t>
        </is>
      </c>
      <c r="E709" s="7" t="inlineStr">
        <is>
          <t>Roues et pneus</t>
        </is>
      </c>
      <c r="F709" s="7" t="inlineStr">
        <is>
          <t>PIECE_VEHICULE</t>
        </is>
      </c>
      <c r="G709" s="7" t="inlineStr">
        <is>
          <t>unité</t>
        </is>
      </c>
      <c r="H709" s="7" t="inlineStr">
        <is>
          <t>LARGE</t>
        </is>
      </c>
      <c r="I709" s="7" t="n">
        <v>0</v>
      </c>
      <c r="J709" s="7" t="inlineStr">
        <is>
          <t>D-05-02</t>
        </is>
      </c>
      <c r="K709" s="7" t="inlineStr"/>
      <c r="L709" s="9" t="n">
        <v>0</v>
      </c>
      <c r="M709" s="9" t="n">
        <v>0</v>
      </c>
      <c r="N709" s="9" t="n">
        <v>23</v>
      </c>
      <c r="O709" s="7" t="inlineStr">
        <is>
          <t>CTL</t>
        </is>
      </c>
      <c r="P709" s="7" t="inlineStr">
        <is>
          <t>IMPORTANT</t>
        </is>
      </c>
      <c r="Q709" s="7" t="inlineStr">
        <is>
          <t>WHAP</t>
        </is>
      </c>
      <c r="R709" s="7" t="inlineStr">
        <is>
          <t>OUI</t>
        </is>
      </c>
      <c r="S709" s="7" t="inlineStr">
        <is>
          <t>31/08/2026 02:59</t>
        </is>
      </c>
    </row>
    <row r="710">
      <c r="A710" s="8" t="inlineStr">
        <is>
          <t>WHAP-0706</t>
        </is>
      </c>
      <c r="B710" s="8" t="inlineStr">
        <is>
          <t>ROU-0706</t>
        </is>
      </c>
      <c r="C710" s="8" t="inlineStr">
        <is>
          <t>joint de moyeu — AVD</t>
        </is>
      </c>
      <c r="D710" s="8" t="inlineStr">
        <is>
          <t>Roues et pneus</t>
        </is>
      </c>
      <c r="E710" s="8" t="inlineStr">
        <is>
          <t>Roues et pneus</t>
        </is>
      </c>
      <c r="F710" s="8" t="inlineStr">
        <is>
          <t>PIECE_VEHICULE</t>
        </is>
      </c>
      <c r="G710" s="8" t="inlineStr">
        <is>
          <t>unité</t>
        </is>
      </c>
      <c r="H710" s="8" t="inlineStr">
        <is>
          <t>LARGE</t>
        </is>
      </c>
      <c r="I710" s="8" t="n">
        <v>0</v>
      </c>
      <c r="J710" s="8" t="inlineStr">
        <is>
          <t>C-04-04</t>
        </is>
      </c>
      <c r="K710" s="8" t="inlineStr"/>
      <c r="L710" s="10" t="n">
        <v>0</v>
      </c>
      <c r="M710" s="10" t="n">
        <v>0</v>
      </c>
      <c r="N710" s="10" t="n">
        <v>28</v>
      </c>
      <c r="O710" s="8" t="inlineStr">
        <is>
          <t>MAG</t>
        </is>
      </c>
      <c r="P710" s="8" t="inlineStr">
        <is>
          <t>IMPORTANT</t>
        </is>
      </c>
      <c r="Q710" s="8" t="inlineStr">
        <is>
          <t>WHAP</t>
        </is>
      </c>
      <c r="R710" s="8" t="inlineStr">
        <is>
          <t>OUI</t>
        </is>
      </c>
      <c r="S710" s="8" t="inlineStr">
        <is>
          <t>31/08/2026 02:59</t>
        </is>
      </c>
    </row>
    <row r="711">
      <c r="A711" s="7" t="inlineStr">
        <is>
          <t>WHAP-0707</t>
        </is>
      </c>
      <c r="B711" s="7" t="inlineStr">
        <is>
          <t>ROU-0707</t>
        </is>
      </c>
      <c r="C711" s="7" t="inlineStr">
        <is>
          <t>roulement de roue — AVD</t>
        </is>
      </c>
      <c r="D711" s="7" t="inlineStr">
        <is>
          <t>Roues et pneus</t>
        </is>
      </c>
      <c r="E711" s="7" t="inlineStr">
        <is>
          <t>Roues et pneus</t>
        </is>
      </c>
      <c r="F711" s="7" t="inlineStr">
        <is>
          <t>PIECE_VEHICULE</t>
        </is>
      </c>
      <c r="G711" s="7" t="inlineStr">
        <is>
          <t>unité</t>
        </is>
      </c>
      <c r="H711" s="7" t="inlineStr">
        <is>
          <t>LARGE</t>
        </is>
      </c>
      <c r="I711" s="7" t="n">
        <v>0</v>
      </c>
      <c r="J711" s="7" t="inlineStr">
        <is>
          <t>C-06-03</t>
        </is>
      </c>
      <c r="K711" s="7" t="inlineStr"/>
      <c r="L711" s="9" t="n">
        <v>0</v>
      </c>
      <c r="M711" s="9" t="n">
        <v>0</v>
      </c>
      <c r="N711" s="9" t="n">
        <v>24</v>
      </c>
      <c r="O711" s="7" t="inlineStr">
        <is>
          <t>BOS</t>
        </is>
      </c>
      <c r="P711" s="7" t="inlineStr">
        <is>
          <t>IMPORTANT</t>
        </is>
      </c>
      <c r="Q711" s="7" t="inlineStr">
        <is>
          <t>WHAP</t>
        </is>
      </c>
      <c r="R711" s="7" t="inlineStr">
        <is>
          <t>OUI</t>
        </is>
      </c>
      <c r="S711" s="7" t="inlineStr">
        <is>
          <t>31/08/2026 02:59</t>
        </is>
      </c>
    </row>
    <row r="712">
      <c r="A712" s="8" t="inlineStr">
        <is>
          <t>WHAP-0708</t>
        </is>
      </c>
      <c r="B712" s="8" t="inlineStr">
        <is>
          <t>ROU-0708</t>
        </is>
      </c>
      <c r="C712" s="8" t="inlineStr">
        <is>
          <t>bague de roulement — AVD</t>
        </is>
      </c>
      <c r="D712" s="8" t="inlineStr">
        <is>
          <t>Roues et pneus</t>
        </is>
      </c>
      <c r="E712" s="8" t="inlineStr">
        <is>
          <t>Roues et pneus</t>
        </is>
      </c>
      <c r="F712" s="8" t="inlineStr">
        <is>
          <t>PIECE_VEHICULE</t>
        </is>
      </c>
      <c r="G712" s="8" t="inlineStr">
        <is>
          <t>unité</t>
        </is>
      </c>
      <c r="H712" s="8" t="inlineStr">
        <is>
          <t>LARGE</t>
        </is>
      </c>
      <c r="I712" s="8" t="n">
        <v>0</v>
      </c>
      <c r="J712" s="8" t="inlineStr">
        <is>
          <t>A-02-01</t>
        </is>
      </c>
      <c r="K712" s="8" t="inlineStr"/>
      <c r="L712" s="10" t="n">
        <v>0</v>
      </c>
      <c r="M712" s="10" t="n">
        <v>0</v>
      </c>
      <c r="N712" s="10" t="n">
        <v>27</v>
      </c>
      <c r="O712" s="8" t="inlineStr">
        <is>
          <t>HEL</t>
        </is>
      </c>
      <c r="P712" s="8" t="inlineStr">
        <is>
          <t>IMPORTANT</t>
        </is>
      </c>
      <c r="Q712" s="8" t="inlineStr">
        <is>
          <t>WHAP</t>
        </is>
      </c>
      <c r="R712" s="8" t="inlineStr">
        <is>
          <t>OUI</t>
        </is>
      </c>
      <c r="S712" s="8" t="inlineStr">
        <is>
          <t>31/08/2026 02:59</t>
        </is>
      </c>
    </row>
    <row r="713">
      <c r="A713" s="7" t="inlineStr">
        <is>
          <t>WHAP-0709</t>
        </is>
      </c>
      <c r="B713" s="7" t="inlineStr">
        <is>
          <t>ROU-0709</t>
        </is>
      </c>
      <c r="C713" s="7" t="inlineStr">
        <is>
          <t>anneau de retenue — AVD</t>
        </is>
      </c>
      <c r="D713" s="7" t="inlineStr">
        <is>
          <t>Roues et pneus</t>
        </is>
      </c>
      <c r="E713" s="7" t="inlineStr">
        <is>
          <t>Roues et pneus</t>
        </is>
      </c>
      <c r="F713" s="7" t="inlineStr">
        <is>
          <t>PIECE_VEHICULE</t>
        </is>
      </c>
      <c r="G713" s="7" t="inlineStr">
        <is>
          <t>unité</t>
        </is>
      </c>
      <c r="H713" s="7" t="inlineStr">
        <is>
          <t>LARGE</t>
        </is>
      </c>
      <c r="I713" s="7" t="n">
        <v>0</v>
      </c>
      <c r="J713" s="7" t="inlineStr">
        <is>
          <t>C-05-04</t>
        </is>
      </c>
      <c r="K713" s="7" t="inlineStr"/>
      <c r="L713" s="9" t="n">
        <v>0</v>
      </c>
      <c r="M713" s="9" t="n">
        <v>0</v>
      </c>
      <c r="N713" s="9" t="n">
        <v>26</v>
      </c>
      <c r="O713" s="7" t="inlineStr">
        <is>
          <t>MAG</t>
        </is>
      </c>
      <c r="P713" s="7" t="inlineStr">
        <is>
          <t>IMPORTANT</t>
        </is>
      </c>
      <c r="Q713" s="7" t="inlineStr">
        <is>
          <t>WHAP</t>
        </is>
      </c>
      <c r="R713" s="7" t="inlineStr">
        <is>
          <t>OUI</t>
        </is>
      </c>
      <c r="S713" s="7" t="inlineStr">
        <is>
          <t>31/08/2026 02:59</t>
        </is>
      </c>
    </row>
    <row r="714">
      <c r="A714" s="8" t="inlineStr">
        <is>
          <t>WHAP-0710</t>
        </is>
      </c>
      <c r="B714" s="8" t="inlineStr">
        <is>
          <t>ROU-0710</t>
        </is>
      </c>
      <c r="C714" s="8" t="inlineStr">
        <is>
          <t>disque de jante — AVD</t>
        </is>
      </c>
      <c r="D714" s="8" t="inlineStr">
        <is>
          <t>Roues et pneus</t>
        </is>
      </c>
      <c r="E714" s="8" t="inlineStr">
        <is>
          <t>Roues et pneus</t>
        </is>
      </c>
      <c r="F714" s="8" t="inlineStr">
        <is>
          <t>PIECE_VEHICULE</t>
        </is>
      </c>
      <c r="G714" s="8" t="inlineStr">
        <is>
          <t>unité</t>
        </is>
      </c>
      <c r="H714" s="8" t="inlineStr">
        <is>
          <t>LARGE</t>
        </is>
      </c>
      <c r="I714" s="8" t="n">
        <v>0</v>
      </c>
      <c r="J714" s="8" t="inlineStr">
        <is>
          <t>C-03-02</t>
        </is>
      </c>
      <c r="K714" s="8" t="inlineStr"/>
      <c r="L714" s="10" t="n">
        <v>0</v>
      </c>
      <c r="M714" s="10" t="n">
        <v>0</v>
      </c>
      <c r="N714" s="10" t="n">
        <v>28</v>
      </c>
      <c r="O714" s="8" t="inlineStr">
        <is>
          <t>HEL</t>
        </is>
      </c>
      <c r="P714" s="8" t="inlineStr">
        <is>
          <t>IMPORTANT</t>
        </is>
      </c>
      <c r="Q714" s="8" t="inlineStr">
        <is>
          <t>WHAP</t>
        </is>
      </c>
      <c r="R714" s="8" t="inlineStr">
        <is>
          <t>OUI</t>
        </is>
      </c>
      <c r="S714" s="8" t="inlineStr">
        <is>
          <t>31/08/2026 02:59</t>
        </is>
      </c>
    </row>
    <row r="715">
      <c r="A715" s="7" t="inlineStr">
        <is>
          <t>WHAP-0711</t>
        </is>
      </c>
      <c r="B715" s="7" t="inlineStr">
        <is>
          <t>ROU-0711</t>
        </is>
      </c>
      <c r="C715" s="7" t="inlineStr">
        <is>
          <t>cerclage de jante — AVD</t>
        </is>
      </c>
      <c r="D715" s="7" t="inlineStr">
        <is>
          <t>Roues et pneus</t>
        </is>
      </c>
      <c r="E715" s="7" t="inlineStr">
        <is>
          <t>Roues et pneus</t>
        </is>
      </c>
      <c r="F715" s="7" t="inlineStr">
        <is>
          <t>PIECE_VEHICULE</t>
        </is>
      </c>
      <c r="G715" s="7" t="inlineStr">
        <is>
          <t>unité</t>
        </is>
      </c>
      <c r="H715" s="7" t="inlineStr">
        <is>
          <t>LARGE</t>
        </is>
      </c>
      <c r="I715" s="7" t="n">
        <v>0</v>
      </c>
      <c r="J715" s="7" t="inlineStr">
        <is>
          <t>E-01-04</t>
        </is>
      </c>
      <c r="K715" s="7" t="inlineStr"/>
      <c r="L715" s="9" t="n">
        <v>0</v>
      </c>
      <c r="M715" s="9" t="n">
        <v>0</v>
      </c>
      <c r="N715" s="9" t="n">
        <v>28</v>
      </c>
      <c r="O715" s="7" t="inlineStr">
        <is>
          <t>HEL</t>
        </is>
      </c>
      <c r="P715" s="7" t="inlineStr">
        <is>
          <t>IMPORTANT</t>
        </is>
      </c>
      <c r="Q715" s="7" t="inlineStr">
        <is>
          <t>WHAP</t>
        </is>
      </c>
      <c r="R715" s="7" t="inlineStr">
        <is>
          <t>OUI</t>
        </is>
      </c>
      <c r="S715" s="7" t="inlineStr">
        <is>
          <t>31/08/2026 02:59</t>
        </is>
      </c>
    </row>
    <row r="716">
      <c r="A716" s="8" t="inlineStr">
        <is>
          <t>WHAP-0712</t>
        </is>
      </c>
      <c r="B716" s="8" t="inlineStr">
        <is>
          <t>ROU-0712</t>
        </is>
      </c>
      <c r="C716" s="8" t="inlineStr">
        <is>
          <t>système CTIS — AVD</t>
        </is>
      </c>
      <c r="D716" s="8" t="inlineStr">
        <is>
          <t>Roues et pneus</t>
        </is>
      </c>
      <c r="E716" s="8" t="inlineStr">
        <is>
          <t>Roues et pneus</t>
        </is>
      </c>
      <c r="F716" s="8" t="inlineStr">
        <is>
          <t>PIECE_VEHICULE</t>
        </is>
      </c>
      <c r="G716" s="8" t="inlineStr">
        <is>
          <t>unité</t>
        </is>
      </c>
      <c r="H716" s="8" t="inlineStr">
        <is>
          <t>LARGE</t>
        </is>
      </c>
      <c r="I716" s="8" t="n">
        <v>0</v>
      </c>
      <c r="J716" s="8" t="inlineStr">
        <is>
          <t>D-05-02</t>
        </is>
      </c>
      <c r="K716" s="8" t="inlineStr"/>
      <c r="L716" s="10" t="n">
        <v>0</v>
      </c>
      <c r="M716" s="10" t="n">
        <v>0</v>
      </c>
      <c r="N716" s="10" t="n">
        <v>25</v>
      </c>
      <c r="O716" s="8" t="inlineStr">
        <is>
          <t>CTL</t>
        </is>
      </c>
      <c r="P716" s="8" t="inlineStr">
        <is>
          <t>IMPORTANT</t>
        </is>
      </c>
      <c r="Q716" s="8" t="inlineStr">
        <is>
          <t>WHAP</t>
        </is>
      </c>
      <c r="R716" s="8" t="inlineStr">
        <is>
          <t>OUI</t>
        </is>
      </c>
      <c r="S716" s="8" t="inlineStr">
        <is>
          <t>31/08/2026 02:59</t>
        </is>
      </c>
    </row>
    <row r="717">
      <c r="A717" s="7" t="inlineStr">
        <is>
          <t>WHAP-0713</t>
        </is>
      </c>
      <c r="B717" s="7" t="inlineStr">
        <is>
          <t>ROU-0713</t>
        </is>
      </c>
      <c r="C717" s="7" t="inlineStr">
        <is>
          <t>rotor CTIS — AVD</t>
        </is>
      </c>
      <c r="D717" s="7" t="inlineStr">
        <is>
          <t>Roues et pneus</t>
        </is>
      </c>
      <c r="E717" s="7" t="inlineStr">
        <is>
          <t>Roues et pneus</t>
        </is>
      </c>
      <c r="F717" s="7" t="inlineStr">
        <is>
          <t>PIECE_VEHICULE</t>
        </is>
      </c>
      <c r="G717" s="7" t="inlineStr">
        <is>
          <t>unité</t>
        </is>
      </c>
      <c r="H717" s="7" t="inlineStr">
        <is>
          <t>LARGE</t>
        </is>
      </c>
      <c r="I717" s="7" t="n">
        <v>0</v>
      </c>
      <c r="J717" s="7" t="inlineStr">
        <is>
          <t>D-05-04</t>
        </is>
      </c>
      <c r="K717" s="7" t="inlineStr"/>
      <c r="L717" s="9" t="n">
        <v>0</v>
      </c>
      <c r="M717" s="9" t="n">
        <v>0</v>
      </c>
      <c r="N717" s="9" t="n">
        <v>30</v>
      </c>
      <c r="O717" s="7" t="inlineStr">
        <is>
          <t>VAL</t>
        </is>
      </c>
      <c r="P717" s="7" t="inlineStr">
        <is>
          <t>IMPORTANT</t>
        </is>
      </c>
      <c r="Q717" s="7" t="inlineStr">
        <is>
          <t>WHAP</t>
        </is>
      </c>
      <c r="R717" s="7" t="inlineStr">
        <is>
          <t>OUI</t>
        </is>
      </c>
      <c r="S717" s="7" t="inlineStr">
        <is>
          <t>31/08/2026 02:59</t>
        </is>
      </c>
    </row>
    <row r="718">
      <c r="A718" s="8" t="inlineStr">
        <is>
          <t>WHAP-0714</t>
        </is>
      </c>
      <c r="B718" s="8" t="inlineStr">
        <is>
          <t>ROU-0714</t>
        </is>
      </c>
      <c r="C718" s="8" t="inlineStr">
        <is>
          <t>joint tournant CTIS — AVD</t>
        </is>
      </c>
      <c r="D718" s="8" t="inlineStr">
        <is>
          <t>Roues et pneus</t>
        </is>
      </c>
      <c r="E718" s="8" t="inlineStr">
        <is>
          <t>Roues et pneus</t>
        </is>
      </c>
      <c r="F718" s="8" t="inlineStr">
        <is>
          <t>PIECE_VEHICULE</t>
        </is>
      </c>
      <c r="G718" s="8" t="inlineStr">
        <is>
          <t>unité</t>
        </is>
      </c>
      <c r="H718" s="8" t="inlineStr">
        <is>
          <t>LARGE</t>
        </is>
      </c>
      <c r="I718" s="8" t="n">
        <v>0</v>
      </c>
      <c r="J718" s="8" t="inlineStr">
        <is>
          <t>E-04-04</t>
        </is>
      </c>
      <c r="K718" s="8" t="inlineStr"/>
      <c r="L718" s="10" t="n">
        <v>0</v>
      </c>
      <c r="M718" s="10" t="n">
        <v>0</v>
      </c>
      <c r="N718" s="10" t="n">
        <v>31</v>
      </c>
      <c r="O718" s="8" t="inlineStr">
        <is>
          <t>BOS</t>
        </is>
      </c>
      <c r="P718" s="8" t="inlineStr">
        <is>
          <t>IMPORTANT</t>
        </is>
      </c>
      <c r="Q718" s="8" t="inlineStr">
        <is>
          <t>WHAP</t>
        </is>
      </c>
      <c r="R718" s="8" t="inlineStr">
        <is>
          <t>OUI</t>
        </is>
      </c>
      <c r="S718" s="8" t="inlineStr">
        <is>
          <t>31/08/2026 02:59</t>
        </is>
      </c>
    </row>
    <row r="719">
      <c r="A719" s="7" t="inlineStr">
        <is>
          <t>WHAP-0715</t>
        </is>
      </c>
      <c r="B719" s="7" t="inlineStr">
        <is>
          <t>ROU-0715</t>
        </is>
      </c>
      <c r="C719" s="7" t="inlineStr">
        <is>
          <t>flexible CTIS — AVD</t>
        </is>
      </c>
      <c r="D719" s="7" t="inlineStr">
        <is>
          <t>Roues et pneus</t>
        </is>
      </c>
      <c r="E719" s="7" t="inlineStr">
        <is>
          <t>Roues et pneus</t>
        </is>
      </c>
      <c r="F719" s="7" t="inlineStr">
        <is>
          <t>PIECE_VEHICULE</t>
        </is>
      </c>
      <c r="G719" s="7" t="inlineStr">
        <is>
          <t>unité</t>
        </is>
      </c>
      <c r="H719" s="7" t="inlineStr">
        <is>
          <t>LARGE</t>
        </is>
      </c>
      <c r="I719" s="7" t="n">
        <v>0</v>
      </c>
      <c r="J719" s="7" t="inlineStr">
        <is>
          <t>D-06-03</t>
        </is>
      </c>
      <c r="K719" s="7" t="inlineStr"/>
      <c r="L719" s="9" t="n">
        <v>0</v>
      </c>
      <c r="M719" s="9" t="n">
        <v>0</v>
      </c>
      <c r="N719" s="9" t="n">
        <v>30</v>
      </c>
      <c r="O719" s="7" t="inlineStr">
        <is>
          <t>FAU</t>
        </is>
      </c>
      <c r="P719" s="7" t="inlineStr">
        <is>
          <t>IMPORTANT</t>
        </is>
      </c>
      <c r="Q719" s="7" t="inlineStr">
        <is>
          <t>WHAP</t>
        </is>
      </c>
      <c r="R719" s="7" t="inlineStr">
        <is>
          <t>OUI</t>
        </is>
      </c>
      <c r="S719" s="7" t="inlineStr">
        <is>
          <t>31/08/2026 02:59</t>
        </is>
      </c>
    </row>
    <row r="720">
      <c r="A720" s="8" t="inlineStr">
        <is>
          <t>WHAP-0716</t>
        </is>
      </c>
      <c r="B720" s="8" t="inlineStr">
        <is>
          <t>ROU-0716</t>
        </is>
      </c>
      <c r="C720" s="8" t="inlineStr">
        <is>
          <t>raccord CTIS — AVD</t>
        </is>
      </c>
      <c r="D720" s="8" t="inlineStr">
        <is>
          <t>Roues et pneus</t>
        </is>
      </c>
      <c r="E720" s="8" t="inlineStr">
        <is>
          <t>Roues et pneus</t>
        </is>
      </c>
      <c r="F720" s="8" t="inlineStr">
        <is>
          <t>PIECE_VEHICULE</t>
        </is>
      </c>
      <c r="G720" s="8" t="inlineStr">
        <is>
          <t>unité</t>
        </is>
      </c>
      <c r="H720" s="8" t="inlineStr">
        <is>
          <t>LARGE</t>
        </is>
      </c>
      <c r="I720" s="8" t="n">
        <v>0</v>
      </c>
      <c r="J720" s="8" t="inlineStr">
        <is>
          <t>D-03-04</t>
        </is>
      </c>
      <c r="K720" s="8" t="inlineStr"/>
      <c r="L720" s="10" t="n">
        <v>0</v>
      </c>
      <c r="M720" s="10" t="n">
        <v>0</v>
      </c>
      <c r="N720" s="10" t="n">
        <v>28</v>
      </c>
      <c r="O720" s="8" t="inlineStr">
        <is>
          <t>CTL</t>
        </is>
      </c>
      <c r="P720" s="8" t="inlineStr">
        <is>
          <t>IMPORTANT</t>
        </is>
      </c>
      <c r="Q720" s="8" t="inlineStr">
        <is>
          <t>WHAP</t>
        </is>
      </c>
      <c r="R720" s="8" t="inlineStr">
        <is>
          <t>OUI</t>
        </is>
      </c>
      <c r="S720" s="8" t="inlineStr">
        <is>
          <t>31/08/2026 02:59</t>
        </is>
      </c>
    </row>
    <row r="721">
      <c r="A721" s="7" t="inlineStr">
        <is>
          <t>WHAP-0717</t>
        </is>
      </c>
      <c r="B721" s="7" t="inlineStr">
        <is>
          <t>ROU-0717</t>
        </is>
      </c>
      <c r="C721" s="7" t="inlineStr">
        <is>
          <t>valve CTIS — AVD</t>
        </is>
      </c>
      <c r="D721" s="7" t="inlineStr">
        <is>
          <t>Roues et pneus</t>
        </is>
      </c>
      <c r="E721" s="7" t="inlineStr">
        <is>
          <t>Roues et pneus</t>
        </is>
      </c>
      <c r="F721" s="7" t="inlineStr">
        <is>
          <t>PIECE_VEHICULE</t>
        </is>
      </c>
      <c r="G721" s="7" t="inlineStr">
        <is>
          <t>unité</t>
        </is>
      </c>
      <c r="H721" s="7" t="inlineStr">
        <is>
          <t>LARGE</t>
        </is>
      </c>
      <c r="I721" s="7" t="n">
        <v>0</v>
      </c>
      <c r="J721" s="7" t="inlineStr">
        <is>
          <t>F-02-03</t>
        </is>
      </c>
      <c r="K721" s="7" t="inlineStr"/>
      <c r="L721" s="9" t="n">
        <v>0</v>
      </c>
      <c r="M721" s="9" t="n">
        <v>0</v>
      </c>
      <c r="N721" s="9" t="n">
        <v>28</v>
      </c>
      <c r="O721" s="7" t="inlineStr">
        <is>
          <t>FAU</t>
        </is>
      </c>
      <c r="P721" s="7" t="inlineStr">
        <is>
          <t>IMPORTANT</t>
        </is>
      </c>
      <c r="Q721" s="7" t="inlineStr">
        <is>
          <t>WHAP</t>
        </is>
      </c>
      <c r="R721" s="7" t="inlineStr">
        <is>
          <t>OUI</t>
        </is>
      </c>
      <c r="S721" s="7" t="inlineStr">
        <is>
          <t>31/08/2026 02:59</t>
        </is>
      </c>
    </row>
    <row r="722">
      <c r="A722" s="8" t="inlineStr">
        <is>
          <t>WHAP-0718</t>
        </is>
      </c>
      <c r="B722" s="8" t="inlineStr">
        <is>
          <t>ROU-0718</t>
        </is>
      </c>
      <c r="C722" s="8" t="inlineStr">
        <is>
          <t>manomètre CTIS — AVD</t>
        </is>
      </c>
      <c r="D722" s="8" t="inlineStr">
        <is>
          <t>Roues et pneus</t>
        </is>
      </c>
      <c r="E722" s="8" t="inlineStr">
        <is>
          <t>Roues et pneus</t>
        </is>
      </c>
      <c r="F722" s="8" t="inlineStr">
        <is>
          <t>PIECE_VEHICULE</t>
        </is>
      </c>
      <c r="G722" s="8" t="inlineStr">
        <is>
          <t>unité</t>
        </is>
      </c>
      <c r="H722" s="8" t="inlineStr">
        <is>
          <t>LARGE</t>
        </is>
      </c>
      <c r="I722" s="8" t="n">
        <v>0</v>
      </c>
      <c r="J722" s="8" t="inlineStr">
        <is>
          <t>C-06-03</t>
        </is>
      </c>
      <c r="K722" s="8" t="inlineStr"/>
      <c r="L722" s="10" t="n">
        <v>0</v>
      </c>
      <c r="M722" s="10" t="n">
        <v>0</v>
      </c>
      <c r="N722" s="10" t="n">
        <v>28</v>
      </c>
      <c r="O722" s="8" t="inlineStr">
        <is>
          <t>SUM</t>
        </is>
      </c>
      <c r="P722" s="8" t="inlineStr">
        <is>
          <t>IMPORTANT</t>
        </is>
      </c>
      <c r="Q722" s="8" t="inlineStr">
        <is>
          <t>WHAP</t>
        </is>
      </c>
      <c r="R722" s="8" t="inlineStr">
        <is>
          <t>OUI</t>
        </is>
      </c>
      <c r="S722" s="8" t="inlineStr">
        <is>
          <t>31/08/2026 02:59</t>
        </is>
      </c>
    </row>
    <row r="723">
      <c r="A723" s="7" t="inlineStr">
        <is>
          <t>WHAP-0719</t>
        </is>
      </c>
      <c r="B723" s="7" t="inlineStr">
        <is>
          <t>ROU-0719</t>
        </is>
      </c>
      <c r="C723" s="7" t="inlineStr">
        <is>
          <t>bloc distributeur CTIS — AVD</t>
        </is>
      </c>
      <c r="D723" s="7" t="inlineStr">
        <is>
          <t>Roues et pneus</t>
        </is>
      </c>
      <c r="E723" s="7" t="inlineStr">
        <is>
          <t>Roues et pneus</t>
        </is>
      </c>
      <c r="F723" s="7" t="inlineStr">
        <is>
          <t>PIECE_VEHICULE</t>
        </is>
      </c>
      <c r="G723" s="7" t="inlineStr">
        <is>
          <t>unité</t>
        </is>
      </c>
      <c r="H723" s="7" t="inlineStr">
        <is>
          <t>LARGE</t>
        </is>
      </c>
      <c r="I723" s="7" t="n">
        <v>0</v>
      </c>
      <c r="J723" s="7" t="inlineStr">
        <is>
          <t>E-01-02</t>
        </is>
      </c>
      <c r="K723" s="7" t="inlineStr"/>
      <c r="L723" s="9" t="n">
        <v>0</v>
      </c>
      <c r="M723" s="9" t="n">
        <v>0</v>
      </c>
      <c r="N723" s="9" t="n">
        <v>22</v>
      </c>
      <c r="O723" s="7" t="inlineStr">
        <is>
          <t>BOS</t>
        </is>
      </c>
      <c r="P723" s="7" t="inlineStr">
        <is>
          <t>IMPORTANT</t>
        </is>
      </c>
      <c r="Q723" s="7" t="inlineStr">
        <is>
          <t>WHAP</t>
        </is>
      </c>
      <c r="R723" s="7" t="inlineStr">
        <is>
          <t>OUI</t>
        </is>
      </c>
      <c r="S723" s="7" t="inlineStr">
        <is>
          <t>31/08/2026 02:59</t>
        </is>
      </c>
    </row>
    <row r="724">
      <c r="A724" s="8" t="inlineStr">
        <is>
          <t>WHAP-0720</t>
        </is>
      </c>
      <c r="B724" s="8" t="inlineStr">
        <is>
          <t>ROU-0720</t>
        </is>
      </c>
      <c r="C724" s="8" t="inlineStr">
        <is>
          <t>jante — ARG</t>
        </is>
      </c>
      <c r="D724" s="8" t="inlineStr">
        <is>
          <t>Roues et pneus</t>
        </is>
      </c>
      <c r="E724" s="8" t="inlineStr">
        <is>
          <t>Roues et pneus</t>
        </is>
      </c>
      <c r="F724" s="8" t="inlineStr">
        <is>
          <t>PIECE_VEHICULE</t>
        </is>
      </c>
      <c r="G724" s="8" t="inlineStr">
        <is>
          <t>unité</t>
        </is>
      </c>
      <c r="H724" s="8" t="inlineStr">
        <is>
          <t>LARGE</t>
        </is>
      </c>
      <c r="I724" s="8" t="n">
        <v>0</v>
      </c>
      <c r="J724" s="8" t="inlineStr">
        <is>
          <t>A-05-03</t>
        </is>
      </c>
      <c r="K724" s="8" t="inlineStr"/>
      <c r="L724" s="10" t="n">
        <v>0</v>
      </c>
      <c r="M724" s="10" t="n">
        <v>0</v>
      </c>
      <c r="N724" s="10" t="n">
        <v>27</v>
      </c>
      <c r="O724" s="8" t="inlineStr">
        <is>
          <t>BOS</t>
        </is>
      </c>
      <c r="P724" s="8" t="inlineStr">
        <is>
          <t>IMPORTANT</t>
        </is>
      </c>
      <c r="Q724" s="8" t="inlineStr">
        <is>
          <t>WHAP</t>
        </is>
      </c>
      <c r="R724" s="8" t="inlineStr">
        <is>
          <t>OUI</t>
        </is>
      </c>
      <c r="S724" s="8" t="inlineStr">
        <is>
          <t>31/08/2026 02:59</t>
        </is>
      </c>
    </row>
    <row r="725">
      <c r="A725" s="7" t="inlineStr">
        <is>
          <t>WHAP-0721</t>
        </is>
      </c>
      <c r="B725" s="7" t="inlineStr">
        <is>
          <t>ROU-0721</t>
        </is>
      </c>
      <c r="C725" s="7" t="inlineStr">
        <is>
          <t>roue complète — ARG</t>
        </is>
      </c>
      <c r="D725" s="7" t="inlineStr">
        <is>
          <t>Roues et pneus</t>
        </is>
      </c>
      <c r="E725" s="7" t="inlineStr">
        <is>
          <t>Roues et pneus</t>
        </is>
      </c>
      <c r="F725" s="7" t="inlineStr">
        <is>
          <t>PIECE_VEHICULE</t>
        </is>
      </c>
      <c r="G725" s="7" t="inlineStr">
        <is>
          <t>unité</t>
        </is>
      </c>
      <c r="H725" s="7" t="inlineStr">
        <is>
          <t>LARGE</t>
        </is>
      </c>
      <c r="I725" s="7" t="n">
        <v>0</v>
      </c>
      <c r="J725" s="7" t="inlineStr">
        <is>
          <t>C-01-01</t>
        </is>
      </c>
      <c r="K725" s="7" t="inlineStr"/>
      <c r="L725" s="9" t="n">
        <v>0</v>
      </c>
      <c r="M725" s="9" t="n">
        <v>0</v>
      </c>
      <c r="N725" s="9" t="n">
        <v>24</v>
      </c>
      <c r="O725" s="7" t="inlineStr">
        <is>
          <t>SUM</t>
        </is>
      </c>
      <c r="P725" s="7" t="inlineStr">
        <is>
          <t>IMPORTANT</t>
        </is>
      </c>
      <c r="Q725" s="7" t="inlineStr">
        <is>
          <t>WHAP</t>
        </is>
      </c>
      <c r="R725" s="7" t="inlineStr">
        <is>
          <t>OUI</t>
        </is>
      </c>
      <c r="S725" s="7" t="inlineStr">
        <is>
          <t>31/08/2026 02:59</t>
        </is>
      </c>
    </row>
    <row r="726">
      <c r="A726" s="8" t="inlineStr">
        <is>
          <t>WHAP-0722</t>
        </is>
      </c>
      <c r="B726" s="8" t="inlineStr">
        <is>
          <t>ROU-0722</t>
        </is>
      </c>
      <c r="C726" s="8" t="inlineStr">
        <is>
          <t>pneu — ARG</t>
        </is>
      </c>
      <c r="D726" s="8" t="inlineStr">
        <is>
          <t>Roues et pneus</t>
        </is>
      </c>
      <c r="E726" s="8" t="inlineStr">
        <is>
          <t>Roues et pneus</t>
        </is>
      </c>
      <c r="F726" s="8" t="inlineStr">
        <is>
          <t>PIECE_VEHICULE</t>
        </is>
      </c>
      <c r="G726" s="8" t="inlineStr">
        <is>
          <t>unité</t>
        </is>
      </c>
      <c r="H726" s="8" t="inlineStr">
        <is>
          <t>LARGE</t>
        </is>
      </c>
      <c r="I726" s="8" t="n">
        <v>0</v>
      </c>
      <c r="J726" s="8" t="inlineStr">
        <is>
          <t>F-02-01</t>
        </is>
      </c>
      <c r="K726" s="8" t="inlineStr"/>
      <c r="L726" s="10" t="n">
        <v>0</v>
      </c>
      <c r="M726" s="10" t="n">
        <v>0</v>
      </c>
      <c r="N726" s="10" t="n">
        <v>31</v>
      </c>
      <c r="O726" s="8" t="inlineStr">
        <is>
          <t>VAL</t>
        </is>
      </c>
      <c r="P726" s="8" t="inlineStr">
        <is>
          <t>IMPORTANT</t>
        </is>
      </c>
      <c r="Q726" s="8" t="inlineStr">
        <is>
          <t>WHAP</t>
        </is>
      </c>
      <c r="R726" s="8" t="inlineStr">
        <is>
          <t>OUI</t>
        </is>
      </c>
      <c r="S726" s="8" t="inlineStr">
        <is>
          <t>31/08/2026 02:59</t>
        </is>
      </c>
    </row>
    <row r="727">
      <c r="A727" s="7" t="inlineStr">
        <is>
          <t>WHAP-0723</t>
        </is>
      </c>
      <c r="B727" s="7" t="inlineStr">
        <is>
          <t>ROU-0723</t>
        </is>
      </c>
      <c r="C727" s="7" t="inlineStr">
        <is>
          <t>insert run-flat — ARG</t>
        </is>
      </c>
      <c r="D727" s="7" t="inlineStr">
        <is>
          <t>Roues et pneus</t>
        </is>
      </c>
      <c r="E727" s="7" t="inlineStr">
        <is>
          <t>Roues et pneus</t>
        </is>
      </c>
      <c r="F727" s="7" t="inlineStr">
        <is>
          <t>PIECE_VEHICULE</t>
        </is>
      </c>
      <c r="G727" s="7" t="inlineStr">
        <is>
          <t>unité</t>
        </is>
      </c>
      <c r="H727" s="7" t="inlineStr">
        <is>
          <t>LARGE</t>
        </is>
      </c>
      <c r="I727" s="7" t="n">
        <v>0</v>
      </c>
      <c r="J727" s="7" t="inlineStr">
        <is>
          <t>C-02-04</t>
        </is>
      </c>
      <c r="K727" s="7" t="inlineStr"/>
      <c r="L727" s="9" t="n">
        <v>0</v>
      </c>
      <c r="M727" s="9" t="n">
        <v>0</v>
      </c>
      <c r="N727" s="9" t="n">
        <v>23</v>
      </c>
      <c r="O727" s="7" t="inlineStr">
        <is>
          <t>DEL</t>
        </is>
      </c>
      <c r="P727" s="7" t="inlineStr">
        <is>
          <t>IMPORTANT</t>
        </is>
      </c>
      <c r="Q727" s="7" t="inlineStr">
        <is>
          <t>WHAP</t>
        </is>
      </c>
      <c r="R727" s="7" t="inlineStr">
        <is>
          <t>OUI</t>
        </is>
      </c>
      <c r="S727" s="7" t="inlineStr">
        <is>
          <t>31/08/2026 02:59</t>
        </is>
      </c>
    </row>
    <row r="728">
      <c r="A728" s="8" t="inlineStr">
        <is>
          <t>WHAP-0724</t>
        </is>
      </c>
      <c r="B728" s="8" t="inlineStr">
        <is>
          <t>ROU-0724</t>
        </is>
      </c>
      <c r="C728" s="8" t="inlineStr">
        <is>
          <t>valve de pneu — ARG</t>
        </is>
      </c>
      <c r="D728" s="8" t="inlineStr">
        <is>
          <t>Roues et pneus</t>
        </is>
      </c>
      <c r="E728" s="8" t="inlineStr">
        <is>
          <t>Roues et pneus</t>
        </is>
      </c>
      <c r="F728" s="8" t="inlineStr">
        <is>
          <t>PIECE_VEHICULE</t>
        </is>
      </c>
      <c r="G728" s="8" t="inlineStr">
        <is>
          <t>unité</t>
        </is>
      </c>
      <c r="H728" s="8" t="inlineStr">
        <is>
          <t>LARGE</t>
        </is>
      </c>
      <c r="I728" s="8" t="n">
        <v>0</v>
      </c>
      <c r="J728" s="8" t="inlineStr">
        <is>
          <t>C-03-04</t>
        </is>
      </c>
      <c r="K728" s="8" t="inlineStr"/>
      <c r="L728" s="10" t="n">
        <v>0</v>
      </c>
      <c r="M728" s="10" t="n">
        <v>0</v>
      </c>
      <c r="N728" s="10" t="n">
        <v>27</v>
      </c>
      <c r="O728" s="8" t="inlineStr">
        <is>
          <t>BOS</t>
        </is>
      </c>
      <c r="P728" s="8" t="inlineStr">
        <is>
          <t>IMPORTANT</t>
        </is>
      </c>
      <c r="Q728" s="8" t="inlineStr">
        <is>
          <t>WHAP</t>
        </is>
      </c>
      <c r="R728" s="8" t="inlineStr">
        <is>
          <t>OUI</t>
        </is>
      </c>
      <c r="S728" s="8" t="inlineStr">
        <is>
          <t>31/08/2026 02:59</t>
        </is>
      </c>
    </row>
    <row r="729">
      <c r="A729" s="7" t="inlineStr">
        <is>
          <t>WHAP-0725</t>
        </is>
      </c>
      <c r="B729" s="7" t="inlineStr">
        <is>
          <t>ROU-0725</t>
        </is>
      </c>
      <c r="C729" s="7" t="inlineStr">
        <is>
          <t>capteur pression pneu — ARG</t>
        </is>
      </c>
      <c r="D729" s="7" t="inlineStr">
        <is>
          <t>Roues et pneus</t>
        </is>
      </c>
      <c r="E729" s="7" t="inlineStr">
        <is>
          <t>Roues et pneus</t>
        </is>
      </c>
      <c r="F729" s="7" t="inlineStr">
        <is>
          <t>PIECE_VEHICULE</t>
        </is>
      </c>
      <c r="G729" s="7" t="inlineStr">
        <is>
          <t>unité</t>
        </is>
      </c>
      <c r="H729" s="7" t="inlineStr">
        <is>
          <t>LARGE</t>
        </is>
      </c>
      <c r="I729" s="7" t="n">
        <v>0</v>
      </c>
      <c r="J729" s="7" t="inlineStr">
        <is>
          <t>F-02-03</t>
        </is>
      </c>
      <c r="K729" s="7" t="inlineStr"/>
      <c r="L729" s="9" t="n">
        <v>0</v>
      </c>
      <c r="M729" s="9" t="n">
        <v>0</v>
      </c>
      <c r="N729" s="9" t="n">
        <v>30</v>
      </c>
      <c r="O729" s="7" t="inlineStr">
        <is>
          <t>FAU</t>
        </is>
      </c>
      <c r="P729" s="7" t="inlineStr">
        <is>
          <t>IMPORTANT</t>
        </is>
      </c>
      <c r="Q729" s="7" t="inlineStr">
        <is>
          <t>WHAP</t>
        </is>
      </c>
      <c r="R729" s="7" t="inlineStr">
        <is>
          <t>OUI</t>
        </is>
      </c>
      <c r="S729" s="7" t="inlineStr">
        <is>
          <t>31/08/2026 02:59</t>
        </is>
      </c>
    </row>
    <row r="730">
      <c r="A730" s="8" t="inlineStr">
        <is>
          <t>WHAP-0726</t>
        </is>
      </c>
      <c r="B730" s="8" t="inlineStr">
        <is>
          <t>ROU-0726</t>
        </is>
      </c>
      <c r="C730" s="8" t="inlineStr">
        <is>
          <t>écrou de roue — ARG</t>
        </is>
      </c>
      <c r="D730" s="8" t="inlineStr">
        <is>
          <t>Roues et pneus</t>
        </is>
      </c>
      <c r="E730" s="8" t="inlineStr">
        <is>
          <t>Roues et pneus</t>
        </is>
      </c>
      <c r="F730" s="8" t="inlineStr">
        <is>
          <t>PIECE_VEHICULE</t>
        </is>
      </c>
      <c r="G730" s="8" t="inlineStr">
        <is>
          <t>unité</t>
        </is>
      </c>
      <c r="H730" s="8" t="inlineStr">
        <is>
          <t>LARGE</t>
        </is>
      </c>
      <c r="I730" s="8" t="n">
        <v>0</v>
      </c>
      <c r="J730" s="8" t="inlineStr">
        <is>
          <t>E-01-02</t>
        </is>
      </c>
      <c r="K730" s="8" t="inlineStr"/>
      <c r="L730" s="10" t="n">
        <v>0</v>
      </c>
      <c r="M730" s="10" t="n">
        <v>0</v>
      </c>
      <c r="N730" s="10" t="n">
        <v>32</v>
      </c>
      <c r="O730" s="8" t="inlineStr">
        <is>
          <t>MAG</t>
        </is>
      </c>
      <c r="P730" s="8" t="inlineStr">
        <is>
          <t>IMPORTANT</t>
        </is>
      </c>
      <c r="Q730" s="8" t="inlineStr">
        <is>
          <t>WHAP</t>
        </is>
      </c>
      <c r="R730" s="8" t="inlineStr">
        <is>
          <t>OUI</t>
        </is>
      </c>
      <c r="S730" s="8" t="inlineStr">
        <is>
          <t>31/08/2026 02:59</t>
        </is>
      </c>
    </row>
    <row r="731">
      <c r="A731" s="7" t="inlineStr">
        <is>
          <t>WHAP-0727</t>
        </is>
      </c>
      <c r="B731" s="7" t="inlineStr">
        <is>
          <t>ROU-0727</t>
        </is>
      </c>
      <c r="C731" s="7" t="inlineStr">
        <is>
          <t>goujon de roue — ARG</t>
        </is>
      </c>
      <c r="D731" s="7" t="inlineStr">
        <is>
          <t>Roues et pneus</t>
        </is>
      </c>
      <c r="E731" s="7" t="inlineStr">
        <is>
          <t>Roues et pneus</t>
        </is>
      </c>
      <c r="F731" s="7" t="inlineStr">
        <is>
          <t>PIECE_VEHICULE</t>
        </is>
      </c>
      <c r="G731" s="7" t="inlineStr">
        <is>
          <t>unité</t>
        </is>
      </c>
      <c r="H731" s="7" t="inlineStr">
        <is>
          <t>LARGE</t>
        </is>
      </c>
      <c r="I731" s="7" t="n">
        <v>0</v>
      </c>
      <c r="J731" s="7" t="inlineStr">
        <is>
          <t>C-05-02</t>
        </is>
      </c>
      <c r="K731" s="7" t="inlineStr"/>
      <c r="L731" s="9" t="n">
        <v>0</v>
      </c>
      <c r="M731" s="9" t="n">
        <v>0</v>
      </c>
      <c r="N731" s="9" t="n">
        <v>25</v>
      </c>
      <c r="O731" s="7" t="inlineStr">
        <is>
          <t>BOS</t>
        </is>
      </c>
      <c r="P731" s="7" t="inlineStr">
        <is>
          <t>IMPORTANT</t>
        </is>
      </c>
      <c r="Q731" s="7" t="inlineStr">
        <is>
          <t>WHAP</t>
        </is>
      </c>
      <c r="R731" s="7" t="inlineStr">
        <is>
          <t>OUI</t>
        </is>
      </c>
      <c r="S731" s="7" t="inlineStr">
        <is>
          <t>31/08/2026 02:59</t>
        </is>
      </c>
    </row>
    <row r="732">
      <c r="A732" s="8" t="inlineStr">
        <is>
          <t>WHAP-0728</t>
        </is>
      </c>
      <c r="B732" s="8" t="inlineStr">
        <is>
          <t>ROU-0728</t>
        </is>
      </c>
      <c r="C732" s="8" t="inlineStr">
        <is>
          <t>entretoise de roue — ARG</t>
        </is>
      </c>
      <c r="D732" s="8" t="inlineStr">
        <is>
          <t>Roues et pneus</t>
        </is>
      </c>
      <c r="E732" s="8" t="inlineStr">
        <is>
          <t>Roues et pneus</t>
        </is>
      </c>
      <c r="F732" s="8" t="inlineStr">
        <is>
          <t>PIECE_VEHICULE</t>
        </is>
      </c>
      <c r="G732" s="8" t="inlineStr">
        <is>
          <t>unité</t>
        </is>
      </c>
      <c r="H732" s="8" t="inlineStr">
        <is>
          <t>LARGE</t>
        </is>
      </c>
      <c r="I732" s="8" t="n">
        <v>0</v>
      </c>
      <c r="J732" s="8" t="inlineStr">
        <is>
          <t>A-01-04</t>
        </is>
      </c>
      <c r="K732" s="8" t="inlineStr"/>
      <c r="L732" s="10" t="n">
        <v>0</v>
      </c>
      <c r="M732" s="10" t="n">
        <v>0</v>
      </c>
      <c r="N732" s="10" t="n">
        <v>31</v>
      </c>
      <c r="O732" s="8" t="inlineStr">
        <is>
          <t>MAG</t>
        </is>
      </c>
      <c r="P732" s="8" t="inlineStr">
        <is>
          <t>IMPORTANT</t>
        </is>
      </c>
      <c r="Q732" s="8" t="inlineStr">
        <is>
          <t>WHAP</t>
        </is>
      </c>
      <c r="R732" s="8" t="inlineStr">
        <is>
          <t>OUI</t>
        </is>
      </c>
      <c r="S732" s="8" t="inlineStr">
        <is>
          <t>31/08/2026 02:59</t>
        </is>
      </c>
    </row>
    <row r="733">
      <c r="A733" s="7" t="inlineStr">
        <is>
          <t>WHAP-0729</t>
        </is>
      </c>
      <c r="B733" s="7" t="inlineStr">
        <is>
          <t>ROU-0729</t>
        </is>
      </c>
      <c r="C733" s="7" t="inlineStr">
        <is>
          <t>moyeu — ARG</t>
        </is>
      </c>
      <c r="D733" s="7" t="inlineStr">
        <is>
          <t>Roues et pneus</t>
        </is>
      </c>
      <c r="E733" s="7" t="inlineStr">
        <is>
          <t>Roues et pneus</t>
        </is>
      </c>
      <c r="F733" s="7" t="inlineStr">
        <is>
          <t>PIECE_VEHICULE</t>
        </is>
      </c>
      <c r="G733" s="7" t="inlineStr">
        <is>
          <t>unité</t>
        </is>
      </c>
      <c r="H733" s="7" t="inlineStr">
        <is>
          <t>LARGE</t>
        </is>
      </c>
      <c r="I733" s="7" t="n">
        <v>0</v>
      </c>
      <c r="J733" s="7" t="inlineStr">
        <is>
          <t>F-06-01</t>
        </is>
      </c>
      <c r="K733" s="7" t="inlineStr"/>
      <c r="L733" s="9" t="n">
        <v>0</v>
      </c>
      <c r="M733" s="9" t="n">
        <v>0</v>
      </c>
      <c r="N733" s="9" t="n">
        <v>27</v>
      </c>
      <c r="O733" s="7" t="inlineStr">
        <is>
          <t>YZK</t>
        </is>
      </c>
      <c r="P733" s="7" t="inlineStr">
        <is>
          <t>IMPORTANT</t>
        </is>
      </c>
      <c r="Q733" s="7" t="inlineStr">
        <is>
          <t>WHAP</t>
        </is>
      </c>
      <c r="R733" s="7" t="inlineStr">
        <is>
          <t>OUI</t>
        </is>
      </c>
      <c r="S733" s="7" t="inlineStr">
        <is>
          <t>31/08/2026 02:59</t>
        </is>
      </c>
    </row>
    <row r="734">
      <c r="A734" s="8" t="inlineStr">
        <is>
          <t>WHAP-0730</t>
        </is>
      </c>
      <c r="B734" s="8" t="inlineStr">
        <is>
          <t>ROU-0730</t>
        </is>
      </c>
      <c r="C734" s="8" t="inlineStr">
        <is>
          <t>cache-moyeu — ARG</t>
        </is>
      </c>
      <c r="D734" s="8" t="inlineStr">
        <is>
          <t>Roues et pneus</t>
        </is>
      </c>
      <c r="E734" s="8" t="inlineStr">
        <is>
          <t>Roues et pneus</t>
        </is>
      </c>
      <c r="F734" s="8" t="inlineStr">
        <is>
          <t>PIECE_VEHICULE</t>
        </is>
      </c>
      <c r="G734" s="8" t="inlineStr">
        <is>
          <t>unité</t>
        </is>
      </c>
      <c r="H734" s="8" t="inlineStr">
        <is>
          <t>LARGE</t>
        </is>
      </c>
      <c r="I734" s="8" t="n">
        <v>0</v>
      </c>
      <c r="J734" s="8" t="inlineStr">
        <is>
          <t>D-05-02</t>
        </is>
      </c>
      <c r="K734" s="8" t="inlineStr"/>
      <c r="L734" s="10" t="n">
        <v>0</v>
      </c>
      <c r="M734" s="10" t="n">
        <v>0</v>
      </c>
      <c r="N734" s="10" t="n">
        <v>24</v>
      </c>
      <c r="O734" s="8" t="inlineStr">
        <is>
          <t>YZK</t>
        </is>
      </c>
      <c r="P734" s="8" t="inlineStr">
        <is>
          <t>IMPORTANT</t>
        </is>
      </c>
      <c r="Q734" s="8" t="inlineStr">
        <is>
          <t>WHAP</t>
        </is>
      </c>
      <c r="R734" s="8" t="inlineStr">
        <is>
          <t>OUI</t>
        </is>
      </c>
      <c r="S734" s="8" t="inlineStr">
        <is>
          <t>31/08/2026 02:59</t>
        </is>
      </c>
    </row>
    <row r="735">
      <c r="A735" s="7" t="inlineStr">
        <is>
          <t>WHAP-0731</t>
        </is>
      </c>
      <c r="B735" s="7" t="inlineStr">
        <is>
          <t>ROU-0731</t>
        </is>
      </c>
      <c r="C735" s="7" t="inlineStr">
        <is>
          <t>joint de moyeu — ARG</t>
        </is>
      </c>
      <c r="D735" s="7" t="inlineStr">
        <is>
          <t>Roues et pneus</t>
        </is>
      </c>
      <c r="E735" s="7" t="inlineStr">
        <is>
          <t>Roues et pneus</t>
        </is>
      </c>
      <c r="F735" s="7" t="inlineStr">
        <is>
          <t>PIECE_VEHICULE</t>
        </is>
      </c>
      <c r="G735" s="7" t="inlineStr">
        <is>
          <t>unité</t>
        </is>
      </c>
      <c r="H735" s="7" t="inlineStr">
        <is>
          <t>LARGE</t>
        </is>
      </c>
      <c r="I735" s="7" t="n">
        <v>0</v>
      </c>
      <c r="J735" s="7" t="inlineStr">
        <is>
          <t>F-02-01</t>
        </is>
      </c>
      <c r="K735" s="7" t="inlineStr"/>
      <c r="L735" s="9" t="n">
        <v>0</v>
      </c>
      <c r="M735" s="9" t="n">
        <v>0</v>
      </c>
      <c r="N735" s="9" t="n">
        <v>22</v>
      </c>
      <c r="O735" s="7" t="inlineStr">
        <is>
          <t>YZK</t>
        </is>
      </c>
      <c r="P735" s="7" t="inlineStr">
        <is>
          <t>IMPORTANT</t>
        </is>
      </c>
      <c r="Q735" s="7" t="inlineStr">
        <is>
          <t>WHAP</t>
        </is>
      </c>
      <c r="R735" s="7" t="inlineStr">
        <is>
          <t>OUI</t>
        </is>
      </c>
      <c r="S735" s="7" t="inlineStr">
        <is>
          <t>31/08/2026 02:59</t>
        </is>
      </c>
    </row>
    <row r="736">
      <c r="A736" s="8" t="inlineStr">
        <is>
          <t>WHAP-0732</t>
        </is>
      </c>
      <c r="B736" s="8" t="inlineStr">
        <is>
          <t>ROU-0732</t>
        </is>
      </c>
      <c r="C736" s="8" t="inlineStr">
        <is>
          <t>roulement de roue — ARG</t>
        </is>
      </c>
      <c r="D736" s="8" t="inlineStr">
        <is>
          <t>Roues et pneus</t>
        </is>
      </c>
      <c r="E736" s="8" t="inlineStr">
        <is>
          <t>Roues et pneus</t>
        </is>
      </c>
      <c r="F736" s="8" t="inlineStr">
        <is>
          <t>PIECE_VEHICULE</t>
        </is>
      </c>
      <c r="G736" s="8" t="inlineStr">
        <is>
          <t>unité</t>
        </is>
      </c>
      <c r="H736" s="8" t="inlineStr">
        <is>
          <t>LARGE</t>
        </is>
      </c>
      <c r="I736" s="8" t="n">
        <v>0</v>
      </c>
      <c r="J736" s="8" t="inlineStr">
        <is>
          <t>B-06-01</t>
        </is>
      </c>
      <c r="K736" s="8" t="inlineStr"/>
      <c r="L736" s="10" t="n">
        <v>0</v>
      </c>
      <c r="M736" s="10" t="n">
        <v>0</v>
      </c>
      <c r="N736" s="10" t="n">
        <v>30</v>
      </c>
      <c r="O736" s="8" t="inlineStr">
        <is>
          <t>SKF</t>
        </is>
      </c>
      <c r="P736" s="8" t="inlineStr">
        <is>
          <t>IMPORTANT</t>
        </is>
      </c>
      <c r="Q736" s="8" t="inlineStr">
        <is>
          <t>WHAP</t>
        </is>
      </c>
      <c r="R736" s="8" t="inlineStr">
        <is>
          <t>OUI</t>
        </is>
      </c>
      <c r="S736" s="8" t="inlineStr">
        <is>
          <t>31/08/2026 02:59</t>
        </is>
      </c>
    </row>
    <row r="737">
      <c r="A737" s="7" t="inlineStr">
        <is>
          <t>WHAP-0733</t>
        </is>
      </c>
      <c r="B737" s="7" t="inlineStr">
        <is>
          <t>ROU-0733</t>
        </is>
      </c>
      <c r="C737" s="7" t="inlineStr">
        <is>
          <t>bague de roulement — ARG</t>
        </is>
      </c>
      <c r="D737" s="7" t="inlineStr">
        <is>
          <t>Roues et pneus</t>
        </is>
      </c>
      <c r="E737" s="7" t="inlineStr">
        <is>
          <t>Roues et pneus</t>
        </is>
      </c>
      <c r="F737" s="7" t="inlineStr">
        <is>
          <t>PIECE_VEHICULE</t>
        </is>
      </c>
      <c r="G737" s="7" t="inlineStr">
        <is>
          <t>unité</t>
        </is>
      </c>
      <c r="H737" s="7" t="inlineStr">
        <is>
          <t>LARGE</t>
        </is>
      </c>
      <c r="I737" s="7" t="n">
        <v>0</v>
      </c>
      <c r="J737" s="7" t="inlineStr">
        <is>
          <t>B-06-01</t>
        </is>
      </c>
      <c r="K737" s="7" t="inlineStr"/>
      <c r="L737" s="9" t="n">
        <v>0</v>
      </c>
      <c r="M737" s="9" t="n">
        <v>0</v>
      </c>
      <c r="N737" s="9" t="n">
        <v>27</v>
      </c>
      <c r="O737" s="7" t="inlineStr">
        <is>
          <t>SKF</t>
        </is>
      </c>
      <c r="P737" s="7" t="inlineStr">
        <is>
          <t>IMPORTANT</t>
        </is>
      </c>
      <c r="Q737" s="7" t="inlineStr">
        <is>
          <t>WHAP</t>
        </is>
      </c>
      <c r="R737" s="7" t="inlineStr">
        <is>
          <t>OUI</t>
        </is>
      </c>
      <c r="S737" s="7" t="inlineStr">
        <is>
          <t>31/08/2026 02:59</t>
        </is>
      </c>
    </row>
    <row r="738">
      <c r="A738" s="8" t="inlineStr">
        <is>
          <t>WHAP-0734</t>
        </is>
      </c>
      <c r="B738" s="8" t="inlineStr">
        <is>
          <t>ROU-0734</t>
        </is>
      </c>
      <c r="C738" s="8" t="inlineStr">
        <is>
          <t>anneau de retenue — ARG</t>
        </is>
      </c>
      <c r="D738" s="8" t="inlineStr">
        <is>
          <t>Roues et pneus</t>
        </is>
      </c>
      <c r="E738" s="8" t="inlineStr">
        <is>
          <t>Roues et pneus</t>
        </is>
      </c>
      <c r="F738" s="8" t="inlineStr">
        <is>
          <t>PIECE_VEHICULE</t>
        </is>
      </c>
      <c r="G738" s="8" t="inlineStr">
        <is>
          <t>unité</t>
        </is>
      </c>
      <c r="H738" s="8" t="inlineStr">
        <is>
          <t>LARGE</t>
        </is>
      </c>
      <c r="I738" s="8" t="n">
        <v>0</v>
      </c>
      <c r="J738" s="8" t="inlineStr">
        <is>
          <t>E-05-04</t>
        </is>
      </c>
      <c r="K738" s="8" t="inlineStr"/>
      <c r="L738" s="10" t="n">
        <v>0</v>
      </c>
      <c r="M738" s="10" t="n">
        <v>0</v>
      </c>
      <c r="N738" s="10" t="n">
        <v>22</v>
      </c>
      <c r="O738" s="8" t="inlineStr">
        <is>
          <t>BOS</t>
        </is>
      </c>
      <c r="P738" s="8" t="inlineStr">
        <is>
          <t>IMPORTANT</t>
        </is>
      </c>
      <c r="Q738" s="8" t="inlineStr">
        <is>
          <t>WHAP</t>
        </is>
      </c>
      <c r="R738" s="8" t="inlineStr">
        <is>
          <t>OUI</t>
        </is>
      </c>
      <c r="S738" s="8" t="inlineStr">
        <is>
          <t>31/08/2026 02:59</t>
        </is>
      </c>
    </row>
    <row r="739">
      <c r="A739" s="7" t="inlineStr">
        <is>
          <t>WHAP-0735</t>
        </is>
      </c>
      <c r="B739" s="7" t="inlineStr">
        <is>
          <t>ROU-0735</t>
        </is>
      </c>
      <c r="C739" s="7" t="inlineStr">
        <is>
          <t>disque de jante — ARG</t>
        </is>
      </c>
      <c r="D739" s="7" t="inlineStr">
        <is>
          <t>Roues et pneus</t>
        </is>
      </c>
      <c r="E739" s="7" t="inlineStr">
        <is>
          <t>Roues et pneus</t>
        </is>
      </c>
      <c r="F739" s="7" t="inlineStr">
        <is>
          <t>PIECE_VEHICULE</t>
        </is>
      </c>
      <c r="G739" s="7" t="inlineStr">
        <is>
          <t>unité</t>
        </is>
      </c>
      <c r="H739" s="7" t="inlineStr">
        <is>
          <t>LARGE</t>
        </is>
      </c>
      <c r="I739" s="7" t="n">
        <v>0</v>
      </c>
      <c r="J739" s="7" t="inlineStr">
        <is>
          <t>A-05-02</t>
        </is>
      </c>
      <c r="K739" s="7" t="inlineStr"/>
      <c r="L739" s="9" t="n">
        <v>0</v>
      </c>
      <c r="M739" s="9" t="n">
        <v>0</v>
      </c>
      <c r="N739" s="9" t="n">
        <v>24</v>
      </c>
      <c r="O739" s="7" t="inlineStr">
        <is>
          <t>DEL</t>
        </is>
      </c>
      <c r="P739" s="7" t="inlineStr">
        <is>
          <t>IMPORTANT</t>
        </is>
      </c>
      <c r="Q739" s="7" t="inlineStr">
        <is>
          <t>WHAP</t>
        </is>
      </c>
      <c r="R739" s="7" t="inlineStr">
        <is>
          <t>OUI</t>
        </is>
      </c>
      <c r="S739" s="7" t="inlineStr">
        <is>
          <t>31/08/2026 02:59</t>
        </is>
      </c>
    </row>
    <row r="740">
      <c r="A740" s="8" t="inlineStr">
        <is>
          <t>WHAP-0736</t>
        </is>
      </c>
      <c r="B740" s="8" t="inlineStr">
        <is>
          <t>ROU-0736</t>
        </is>
      </c>
      <c r="C740" s="8" t="inlineStr">
        <is>
          <t>cerclage de jante — ARG</t>
        </is>
      </c>
      <c r="D740" s="8" t="inlineStr">
        <is>
          <t>Roues et pneus</t>
        </is>
      </c>
      <c r="E740" s="8" t="inlineStr">
        <is>
          <t>Roues et pneus</t>
        </is>
      </c>
      <c r="F740" s="8" t="inlineStr">
        <is>
          <t>PIECE_VEHICULE</t>
        </is>
      </c>
      <c r="G740" s="8" t="inlineStr">
        <is>
          <t>unité</t>
        </is>
      </c>
      <c r="H740" s="8" t="inlineStr">
        <is>
          <t>LARGE</t>
        </is>
      </c>
      <c r="I740" s="8" t="n">
        <v>0</v>
      </c>
      <c r="J740" s="8" t="inlineStr">
        <is>
          <t>B-02-01</t>
        </is>
      </c>
      <c r="K740" s="8" t="inlineStr"/>
      <c r="L740" s="10" t="n">
        <v>0</v>
      </c>
      <c r="M740" s="10" t="n">
        <v>0</v>
      </c>
      <c r="N740" s="10" t="n">
        <v>29</v>
      </c>
      <c r="O740" s="8" t="inlineStr">
        <is>
          <t>VAL</t>
        </is>
      </c>
      <c r="P740" s="8" t="inlineStr">
        <is>
          <t>IMPORTANT</t>
        </is>
      </c>
      <c r="Q740" s="8" t="inlineStr">
        <is>
          <t>WHAP</t>
        </is>
      </c>
      <c r="R740" s="8" t="inlineStr">
        <is>
          <t>OUI</t>
        </is>
      </c>
      <c r="S740" s="8" t="inlineStr">
        <is>
          <t>31/08/2026 02:59</t>
        </is>
      </c>
    </row>
    <row r="741">
      <c r="A741" s="7" t="inlineStr">
        <is>
          <t>WHAP-0737</t>
        </is>
      </c>
      <c r="B741" s="7" t="inlineStr">
        <is>
          <t>ROU-0737</t>
        </is>
      </c>
      <c r="C741" s="7" t="inlineStr">
        <is>
          <t>système CTIS — ARG</t>
        </is>
      </c>
      <c r="D741" s="7" t="inlineStr">
        <is>
          <t>Roues et pneus</t>
        </is>
      </c>
      <c r="E741" s="7" t="inlineStr">
        <is>
          <t>Roues et pneus</t>
        </is>
      </c>
      <c r="F741" s="7" t="inlineStr">
        <is>
          <t>PIECE_VEHICULE</t>
        </is>
      </c>
      <c r="G741" s="7" t="inlineStr">
        <is>
          <t>unité</t>
        </is>
      </c>
      <c r="H741" s="7" t="inlineStr">
        <is>
          <t>LARGE</t>
        </is>
      </c>
      <c r="I741" s="7" t="n">
        <v>0</v>
      </c>
      <c r="J741" s="7" t="inlineStr">
        <is>
          <t>B-05-04</t>
        </is>
      </c>
      <c r="K741" s="7" t="inlineStr"/>
      <c r="L741" s="9" t="n">
        <v>0</v>
      </c>
      <c r="M741" s="9" t="n">
        <v>0</v>
      </c>
      <c r="N741" s="9" t="n">
        <v>29</v>
      </c>
      <c r="O741" s="7" t="inlineStr">
        <is>
          <t>YZK</t>
        </is>
      </c>
      <c r="P741" s="7" t="inlineStr">
        <is>
          <t>IMPORTANT</t>
        </is>
      </c>
      <c r="Q741" s="7" t="inlineStr">
        <is>
          <t>WHAP</t>
        </is>
      </c>
      <c r="R741" s="7" t="inlineStr">
        <is>
          <t>OUI</t>
        </is>
      </c>
      <c r="S741" s="7" t="inlineStr">
        <is>
          <t>31/08/2026 02:59</t>
        </is>
      </c>
    </row>
    <row r="742">
      <c r="A742" s="8" t="inlineStr">
        <is>
          <t>WHAP-0738</t>
        </is>
      </c>
      <c r="B742" s="8" t="inlineStr">
        <is>
          <t>ROU-0738</t>
        </is>
      </c>
      <c r="C742" s="8" t="inlineStr">
        <is>
          <t>rotor CTIS — ARG</t>
        </is>
      </c>
      <c r="D742" s="8" t="inlineStr">
        <is>
          <t>Roues et pneus</t>
        </is>
      </c>
      <c r="E742" s="8" t="inlineStr">
        <is>
          <t>Roues et pneus</t>
        </is>
      </c>
      <c r="F742" s="8" t="inlineStr">
        <is>
          <t>PIECE_VEHICULE</t>
        </is>
      </c>
      <c r="G742" s="8" t="inlineStr">
        <is>
          <t>unité</t>
        </is>
      </c>
      <c r="H742" s="8" t="inlineStr">
        <is>
          <t>LARGE</t>
        </is>
      </c>
      <c r="I742" s="8" t="n">
        <v>0</v>
      </c>
      <c r="J742" s="8" t="inlineStr">
        <is>
          <t>E-06-01</t>
        </is>
      </c>
      <c r="K742" s="8" t="inlineStr"/>
      <c r="L742" s="10" t="n">
        <v>0</v>
      </c>
      <c r="M742" s="10" t="n">
        <v>0</v>
      </c>
      <c r="N742" s="10" t="n">
        <v>28</v>
      </c>
      <c r="O742" s="8" t="inlineStr">
        <is>
          <t>HEL</t>
        </is>
      </c>
      <c r="P742" s="8" t="inlineStr">
        <is>
          <t>IMPORTANT</t>
        </is>
      </c>
      <c r="Q742" s="8" t="inlineStr">
        <is>
          <t>WHAP</t>
        </is>
      </c>
      <c r="R742" s="8" t="inlineStr">
        <is>
          <t>OUI</t>
        </is>
      </c>
      <c r="S742" s="8" t="inlineStr">
        <is>
          <t>31/08/2026 02:59</t>
        </is>
      </c>
    </row>
    <row r="743">
      <c r="A743" s="7" t="inlineStr">
        <is>
          <t>WHAP-0739</t>
        </is>
      </c>
      <c r="B743" s="7" t="inlineStr">
        <is>
          <t>ROU-0739</t>
        </is>
      </c>
      <c r="C743" s="7" t="inlineStr">
        <is>
          <t>joint tournant CTIS — ARG</t>
        </is>
      </c>
      <c r="D743" s="7" t="inlineStr">
        <is>
          <t>Roues et pneus</t>
        </is>
      </c>
      <c r="E743" s="7" t="inlineStr">
        <is>
          <t>Roues et pneus</t>
        </is>
      </c>
      <c r="F743" s="7" t="inlineStr">
        <is>
          <t>PIECE_VEHICULE</t>
        </is>
      </c>
      <c r="G743" s="7" t="inlineStr">
        <is>
          <t>unité</t>
        </is>
      </c>
      <c r="H743" s="7" t="inlineStr">
        <is>
          <t>LARGE</t>
        </is>
      </c>
      <c r="I743" s="7" t="n">
        <v>0</v>
      </c>
      <c r="J743" s="7" t="inlineStr">
        <is>
          <t>C-03-01</t>
        </is>
      </c>
      <c r="K743" s="7" t="inlineStr"/>
      <c r="L743" s="9" t="n">
        <v>0</v>
      </c>
      <c r="M743" s="9" t="n">
        <v>0</v>
      </c>
      <c r="N743" s="9" t="n">
        <v>24</v>
      </c>
      <c r="O743" s="7" t="inlineStr">
        <is>
          <t>SUM</t>
        </is>
      </c>
      <c r="P743" s="7" t="inlineStr">
        <is>
          <t>IMPORTANT</t>
        </is>
      </c>
      <c r="Q743" s="7" t="inlineStr">
        <is>
          <t>WHAP</t>
        </is>
      </c>
      <c r="R743" s="7" t="inlineStr">
        <is>
          <t>OUI</t>
        </is>
      </c>
      <c r="S743" s="7" t="inlineStr">
        <is>
          <t>31/08/2026 02:59</t>
        </is>
      </c>
    </row>
    <row r="744">
      <c r="A744" s="8" t="inlineStr">
        <is>
          <t>WHAP-0740</t>
        </is>
      </c>
      <c r="B744" s="8" t="inlineStr">
        <is>
          <t>ROU-0740</t>
        </is>
      </c>
      <c r="C744" s="8" t="inlineStr">
        <is>
          <t>flexible CTIS — ARG</t>
        </is>
      </c>
      <c r="D744" s="8" t="inlineStr">
        <is>
          <t>Roues et pneus</t>
        </is>
      </c>
      <c r="E744" s="8" t="inlineStr">
        <is>
          <t>Roues et pneus</t>
        </is>
      </c>
      <c r="F744" s="8" t="inlineStr">
        <is>
          <t>PIECE_VEHICULE</t>
        </is>
      </c>
      <c r="G744" s="8" t="inlineStr">
        <is>
          <t>unité</t>
        </is>
      </c>
      <c r="H744" s="8" t="inlineStr">
        <is>
          <t>LARGE</t>
        </is>
      </c>
      <c r="I744" s="8" t="n">
        <v>0</v>
      </c>
      <c r="J744" s="8" t="inlineStr">
        <is>
          <t>F-05-01</t>
        </is>
      </c>
      <c r="K744" s="8" t="inlineStr"/>
      <c r="L744" s="10" t="n">
        <v>0</v>
      </c>
      <c r="M744" s="10" t="n">
        <v>0</v>
      </c>
      <c r="N744" s="10" t="n">
        <v>22</v>
      </c>
      <c r="O744" s="8" t="inlineStr">
        <is>
          <t>VAL</t>
        </is>
      </c>
      <c r="P744" s="8" t="inlineStr">
        <is>
          <t>IMPORTANT</t>
        </is>
      </c>
      <c r="Q744" s="8" t="inlineStr">
        <is>
          <t>WHAP</t>
        </is>
      </c>
      <c r="R744" s="8" t="inlineStr">
        <is>
          <t>OUI</t>
        </is>
      </c>
      <c r="S744" s="8" t="inlineStr">
        <is>
          <t>31/08/2026 02:59</t>
        </is>
      </c>
    </row>
    <row r="745">
      <c r="A745" s="7" t="inlineStr">
        <is>
          <t>WHAP-0741</t>
        </is>
      </c>
      <c r="B745" s="7" t="inlineStr">
        <is>
          <t>ROU-0741</t>
        </is>
      </c>
      <c r="C745" s="7" t="inlineStr">
        <is>
          <t>raccord CTIS — ARG</t>
        </is>
      </c>
      <c r="D745" s="7" t="inlineStr">
        <is>
          <t>Roues et pneus</t>
        </is>
      </c>
      <c r="E745" s="7" t="inlineStr">
        <is>
          <t>Roues et pneus</t>
        </is>
      </c>
      <c r="F745" s="7" t="inlineStr">
        <is>
          <t>PIECE_VEHICULE</t>
        </is>
      </c>
      <c r="G745" s="7" t="inlineStr">
        <is>
          <t>unité</t>
        </is>
      </c>
      <c r="H745" s="7" t="inlineStr">
        <is>
          <t>LARGE</t>
        </is>
      </c>
      <c r="I745" s="7" t="n">
        <v>0</v>
      </c>
      <c r="J745" s="7" t="inlineStr">
        <is>
          <t>C-03-01</t>
        </is>
      </c>
      <c r="K745" s="7" t="inlineStr"/>
      <c r="L745" s="9" t="n">
        <v>0</v>
      </c>
      <c r="M745" s="9" t="n">
        <v>0</v>
      </c>
      <c r="N745" s="9" t="n">
        <v>29</v>
      </c>
      <c r="O745" s="7" t="inlineStr">
        <is>
          <t>MAG</t>
        </is>
      </c>
      <c r="P745" s="7" t="inlineStr">
        <is>
          <t>IMPORTANT</t>
        </is>
      </c>
      <c r="Q745" s="7" t="inlineStr">
        <is>
          <t>WHAP</t>
        </is>
      </c>
      <c r="R745" s="7" t="inlineStr">
        <is>
          <t>OUI</t>
        </is>
      </c>
      <c r="S745" s="7" t="inlineStr">
        <is>
          <t>31/08/2026 02:59</t>
        </is>
      </c>
    </row>
    <row r="746">
      <c r="A746" s="8" t="inlineStr">
        <is>
          <t>WHAP-0742</t>
        </is>
      </c>
      <c r="B746" s="8" t="inlineStr">
        <is>
          <t>ROU-0742</t>
        </is>
      </c>
      <c r="C746" s="8" t="inlineStr">
        <is>
          <t>valve CTIS — ARG</t>
        </is>
      </c>
      <c r="D746" s="8" t="inlineStr">
        <is>
          <t>Roues et pneus</t>
        </is>
      </c>
      <c r="E746" s="8" t="inlineStr">
        <is>
          <t>Roues et pneus</t>
        </is>
      </c>
      <c r="F746" s="8" t="inlineStr">
        <is>
          <t>PIECE_VEHICULE</t>
        </is>
      </c>
      <c r="G746" s="8" t="inlineStr">
        <is>
          <t>unité</t>
        </is>
      </c>
      <c r="H746" s="8" t="inlineStr">
        <is>
          <t>LARGE</t>
        </is>
      </c>
      <c r="I746" s="8" t="n">
        <v>0</v>
      </c>
      <c r="J746" s="8" t="inlineStr">
        <is>
          <t>C-01-04</t>
        </is>
      </c>
      <c r="K746" s="8" t="inlineStr"/>
      <c r="L746" s="10" t="n">
        <v>0</v>
      </c>
      <c r="M746" s="10" t="n">
        <v>0</v>
      </c>
      <c r="N746" s="10" t="n">
        <v>28</v>
      </c>
      <c r="O746" s="8" t="inlineStr">
        <is>
          <t>MAG</t>
        </is>
      </c>
      <c r="P746" s="8" t="inlineStr">
        <is>
          <t>IMPORTANT</t>
        </is>
      </c>
      <c r="Q746" s="8" t="inlineStr">
        <is>
          <t>WHAP</t>
        </is>
      </c>
      <c r="R746" s="8" t="inlineStr">
        <is>
          <t>OUI</t>
        </is>
      </c>
      <c r="S746" s="8" t="inlineStr">
        <is>
          <t>31/08/2026 02:59</t>
        </is>
      </c>
    </row>
    <row r="747">
      <c r="A747" s="7" t="inlineStr">
        <is>
          <t>WHAP-0743</t>
        </is>
      </c>
      <c r="B747" s="7" t="inlineStr">
        <is>
          <t>ROU-0743</t>
        </is>
      </c>
      <c r="C747" s="7" t="inlineStr">
        <is>
          <t>manomètre CTIS — ARG</t>
        </is>
      </c>
      <c r="D747" s="7" t="inlineStr">
        <is>
          <t>Roues et pneus</t>
        </is>
      </c>
      <c r="E747" s="7" t="inlineStr">
        <is>
          <t>Roues et pneus</t>
        </is>
      </c>
      <c r="F747" s="7" t="inlineStr">
        <is>
          <t>PIECE_VEHICULE</t>
        </is>
      </c>
      <c r="G747" s="7" t="inlineStr">
        <is>
          <t>unité</t>
        </is>
      </c>
      <c r="H747" s="7" t="inlineStr">
        <is>
          <t>LARGE</t>
        </is>
      </c>
      <c r="I747" s="7" t="n">
        <v>0</v>
      </c>
      <c r="J747" s="7" t="inlineStr">
        <is>
          <t>E-05-04</t>
        </is>
      </c>
      <c r="K747" s="7" t="inlineStr"/>
      <c r="L747" s="9" t="n">
        <v>0</v>
      </c>
      <c r="M747" s="9" t="n">
        <v>0</v>
      </c>
      <c r="N747" s="9" t="n">
        <v>22</v>
      </c>
      <c r="O747" s="7" t="inlineStr">
        <is>
          <t>BOS</t>
        </is>
      </c>
      <c r="P747" s="7" t="inlineStr">
        <is>
          <t>IMPORTANT</t>
        </is>
      </c>
      <c r="Q747" s="7" t="inlineStr">
        <is>
          <t>WHAP</t>
        </is>
      </c>
      <c r="R747" s="7" t="inlineStr">
        <is>
          <t>OUI</t>
        </is>
      </c>
      <c r="S747" s="7" t="inlineStr">
        <is>
          <t>31/08/2026 02:59</t>
        </is>
      </c>
    </row>
    <row r="748">
      <c r="A748" s="8" t="inlineStr">
        <is>
          <t>WHAP-0744</t>
        </is>
      </c>
      <c r="B748" s="8" t="inlineStr">
        <is>
          <t>ROU-0744</t>
        </is>
      </c>
      <c r="C748" s="8" t="inlineStr">
        <is>
          <t>bloc distributeur CTIS — ARG</t>
        </is>
      </c>
      <c r="D748" s="8" t="inlineStr">
        <is>
          <t>Roues et pneus</t>
        </is>
      </c>
      <c r="E748" s="8" t="inlineStr">
        <is>
          <t>Roues et pneus</t>
        </is>
      </c>
      <c r="F748" s="8" t="inlineStr">
        <is>
          <t>PIECE_VEHICULE</t>
        </is>
      </c>
      <c r="G748" s="8" t="inlineStr">
        <is>
          <t>unité</t>
        </is>
      </c>
      <c r="H748" s="8" t="inlineStr">
        <is>
          <t>LARGE</t>
        </is>
      </c>
      <c r="I748" s="8" t="n">
        <v>0</v>
      </c>
      <c r="J748" s="8" t="inlineStr">
        <is>
          <t>A-02-01</t>
        </is>
      </c>
      <c r="K748" s="8" t="inlineStr"/>
      <c r="L748" s="10" t="n">
        <v>0</v>
      </c>
      <c r="M748" s="10" t="n">
        <v>0</v>
      </c>
      <c r="N748" s="10" t="n">
        <v>26</v>
      </c>
      <c r="O748" s="8" t="inlineStr">
        <is>
          <t>DEL</t>
        </is>
      </c>
      <c r="P748" s="8" t="inlineStr">
        <is>
          <t>IMPORTANT</t>
        </is>
      </c>
      <c r="Q748" s="8" t="inlineStr">
        <is>
          <t>WHAP</t>
        </is>
      </c>
      <c r="R748" s="8" t="inlineStr">
        <is>
          <t>OUI</t>
        </is>
      </c>
      <c r="S748" s="8" t="inlineStr">
        <is>
          <t>31/08/2026 02:59</t>
        </is>
      </c>
    </row>
    <row r="749">
      <c r="A749" s="7" t="inlineStr">
        <is>
          <t>WHAP-0745</t>
        </is>
      </c>
      <c r="B749" s="7" t="inlineStr">
        <is>
          <t>ROU-0745</t>
        </is>
      </c>
      <c r="C749" s="7" t="inlineStr">
        <is>
          <t>jante — ARD</t>
        </is>
      </c>
      <c r="D749" s="7" t="inlineStr">
        <is>
          <t>Roues et pneus</t>
        </is>
      </c>
      <c r="E749" s="7" t="inlineStr">
        <is>
          <t>Roues et pneus</t>
        </is>
      </c>
      <c r="F749" s="7" t="inlineStr">
        <is>
          <t>PIECE_VEHICULE</t>
        </is>
      </c>
      <c r="G749" s="7" t="inlineStr">
        <is>
          <t>unité</t>
        </is>
      </c>
      <c r="H749" s="7" t="inlineStr">
        <is>
          <t>LARGE</t>
        </is>
      </c>
      <c r="I749" s="7" t="n">
        <v>0</v>
      </c>
      <c r="J749" s="7" t="inlineStr">
        <is>
          <t>F-06-02</t>
        </is>
      </c>
      <c r="K749" s="7" t="inlineStr"/>
      <c r="L749" s="9" t="n">
        <v>0</v>
      </c>
      <c r="M749" s="9" t="n">
        <v>0</v>
      </c>
      <c r="N749" s="9" t="n">
        <v>25</v>
      </c>
      <c r="O749" s="7" t="inlineStr">
        <is>
          <t>FAU</t>
        </is>
      </c>
      <c r="P749" s="7" t="inlineStr">
        <is>
          <t>IMPORTANT</t>
        </is>
      </c>
      <c r="Q749" s="7" t="inlineStr">
        <is>
          <t>WHAP</t>
        </is>
      </c>
      <c r="R749" s="7" t="inlineStr">
        <is>
          <t>OUI</t>
        </is>
      </c>
      <c r="S749" s="7" t="inlineStr">
        <is>
          <t>31/08/2026 02:59</t>
        </is>
      </c>
    </row>
    <row r="750">
      <c r="A750" s="8" t="inlineStr">
        <is>
          <t>WHAP-0746</t>
        </is>
      </c>
      <c r="B750" s="8" t="inlineStr">
        <is>
          <t>ROU-0746</t>
        </is>
      </c>
      <c r="C750" s="8" t="inlineStr">
        <is>
          <t>roue complète — ARD</t>
        </is>
      </c>
      <c r="D750" s="8" t="inlineStr">
        <is>
          <t>Roues et pneus</t>
        </is>
      </c>
      <c r="E750" s="8" t="inlineStr">
        <is>
          <t>Roues et pneus</t>
        </is>
      </c>
      <c r="F750" s="8" t="inlineStr">
        <is>
          <t>PIECE_VEHICULE</t>
        </is>
      </c>
      <c r="G750" s="8" t="inlineStr">
        <is>
          <t>unité</t>
        </is>
      </c>
      <c r="H750" s="8" t="inlineStr">
        <is>
          <t>LARGE</t>
        </is>
      </c>
      <c r="I750" s="8" t="n">
        <v>0</v>
      </c>
      <c r="J750" s="8" t="inlineStr">
        <is>
          <t>B-02-01</t>
        </is>
      </c>
      <c r="K750" s="8" t="inlineStr"/>
      <c r="L750" s="10" t="n">
        <v>0</v>
      </c>
      <c r="M750" s="10" t="n">
        <v>0</v>
      </c>
      <c r="N750" s="10" t="n">
        <v>31</v>
      </c>
      <c r="O750" s="8" t="inlineStr">
        <is>
          <t>YZK</t>
        </is>
      </c>
      <c r="P750" s="8" t="inlineStr">
        <is>
          <t>IMPORTANT</t>
        </is>
      </c>
      <c r="Q750" s="8" t="inlineStr">
        <is>
          <t>WHAP</t>
        </is>
      </c>
      <c r="R750" s="8" t="inlineStr">
        <is>
          <t>OUI</t>
        </is>
      </c>
      <c r="S750" s="8" t="inlineStr">
        <is>
          <t>31/08/2026 02:59</t>
        </is>
      </c>
    </row>
    <row r="751">
      <c r="A751" s="7" t="inlineStr">
        <is>
          <t>WHAP-0747</t>
        </is>
      </c>
      <c r="B751" s="7" t="inlineStr">
        <is>
          <t>ROU-0747</t>
        </is>
      </c>
      <c r="C751" s="7" t="inlineStr">
        <is>
          <t>pneu — ARD</t>
        </is>
      </c>
      <c r="D751" s="7" t="inlineStr">
        <is>
          <t>Roues et pneus</t>
        </is>
      </c>
      <c r="E751" s="7" t="inlineStr">
        <is>
          <t>Roues et pneus</t>
        </is>
      </c>
      <c r="F751" s="7" t="inlineStr">
        <is>
          <t>PIECE_VEHICULE</t>
        </is>
      </c>
      <c r="G751" s="7" t="inlineStr">
        <is>
          <t>unité</t>
        </is>
      </c>
      <c r="H751" s="7" t="inlineStr">
        <is>
          <t>LARGE</t>
        </is>
      </c>
      <c r="I751" s="7" t="n">
        <v>0</v>
      </c>
      <c r="J751" s="7" t="inlineStr">
        <is>
          <t>A-01-01</t>
        </is>
      </c>
      <c r="K751" s="7" t="inlineStr"/>
      <c r="L751" s="9" t="n">
        <v>0</v>
      </c>
      <c r="M751" s="9" t="n">
        <v>0</v>
      </c>
      <c r="N751" s="9" t="n">
        <v>26</v>
      </c>
      <c r="O751" s="7" t="inlineStr">
        <is>
          <t>MAG</t>
        </is>
      </c>
      <c r="P751" s="7" t="inlineStr">
        <is>
          <t>IMPORTANT</t>
        </is>
      </c>
      <c r="Q751" s="7" t="inlineStr">
        <is>
          <t>WHAP</t>
        </is>
      </c>
      <c r="R751" s="7" t="inlineStr">
        <is>
          <t>OUI</t>
        </is>
      </c>
      <c r="S751" s="7" t="inlineStr">
        <is>
          <t>31/08/2026 02:59</t>
        </is>
      </c>
    </row>
    <row r="752">
      <c r="A752" s="8" t="inlineStr">
        <is>
          <t>WHAP-0748</t>
        </is>
      </c>
      <c r="B752" s="8" t="inlineStr">
        <is>
          <t>ROU-0748</t>
        </is>
      </c>
      <c r="C752" s="8" t="inlineStr">
        <is>
          <t>insert run-flat — ARD</t>
        </is>
      </c>
      <c r="D752" s="8" t="inlineStr">
        <is>
          <t>Roues et pneus</t>
        </is>
      </c>
      <c r="E752" s="8" t="inlineStr">
        <is>
          <t>Roues et pneus</t>
        </is>
      </c>
      <c r="F752" s="8" t="inlineStr">
        <is>
          <t>PIECE_VEHICULE</t>
        </is>
      </c>
      <c r="G752" s="8" t="inlineStr">
        <is>
          <t>unité</t>
        </is>
      </c>
      <c r="H752" s="8" t="inlineStr">
        <is>
          <t>LARGE</t>
        </is>
      </c>
      <c r="I752" s="8" t="n">
        <v>0</v>
      </c>
      <c r="J752" s="8" t="inlineStr">
        <is>
          <t>D-05-02</t>
        </is>
      </c>
      <c r="K752" s="8" t="inlineStr"/>
      <c r="L752" s="10" t="n">
        <v>0</v>
      </c>
      <c r="M752" s="10" t="n">
        <v>0</v>
      </c>
      <c r="N752" s="10" t="n">
        <v>29</v>
      </c>
      <c r="O752" s="8" t="inlineStr">
        <is>
          <t>YZK</t>
        </is>
      </c>
      <c r="P752" s="8" t="inlineStr">
        <is>
          <t>IMPORTANT</t>
        </is>
      </c>
      <c r="Q752" s="8" t="inlineStr">
        <is>
          <t>WHAP</t>
        </is>
      </c>
      <c r="R752" s="8" t="inlineStr">
        <is>
          <t>OUI</t>
        </is>
      </c>
      <c r="S752" s="8" t="inlineStr">
        <is>
          <t>31/08/2026 02:59</t>
        </is>
      </c>
    </row>
    <row r="753">
      <c r="A753" s="7" t="inlineStr">
        <is>
          <t>WHAP-0749</t>
        </is>
      </c>
      <c r="B753" s="7" t="inlineStr">
        <is>
          <t>ROU-0749</t>
        </is>
      </c>
      <c r="C753" s="7" t="inlineStr">
        <is>
          <t>valve de pneu — ARD</t>
        </is>
      </c>
      <c r="D753" s="7" t="inlineStr">
        <is>
          <t>Roues et pneus</t>
        </is>
      </c>
      <c r="E753" s="7" t="inlineStr">
        <is>
          <t>Roues et pneus</t>
        </is>
      </c>
      <c r="F753" s="7" t="inlineStr">
        <is>
          <t>PIECE_VEHICULE</t>
        </is>
      </c>
      <c r="G753" s="7" t="inlineStr">
        <is>
          <t>unité</t>
        </is>
      </c>
      <c r="H753" s="7" t="inlineStr">
        <is>
          <t>LARGE</t>
        </is>
      </c>
      <c r="I753" s="7" t="n">
        <v>0</v>
      </c>
      <c r="J753" s="7" t="inlineStr">
        <is>
          <t>C-01-04</t>
        </is>
      </c>
      <c r="K753" s="7" t="inlineStr"/>
      <c r="L753" s="9" t="n">
        <v>0</v>
      </c>
      <c r="M753" s="9" t="n">
        <v>0</v>
      </c>
      <c r="N753" s="9" t="n">
        <v>24</v>
      </c>
      <c r="O753" s="7" t="inlineStr">
        <is>
          <t>DEL</t>
        </is>
      </c>
      <c r="P753" s="7" t="inlineStr">
        <is>
          <t>IMPORTANT</t>
        </is>
      </c>
      <c r="Q753" s="7" t="inlineStr">
        <is>
          <t>WHAP</t>
        </is>
      </c>
      <c r="R753" s="7" t="inlineStr">
        <is>
          <t>OUI</t>
        </is>
      </c>
      <c r="S753" s="7" t="inlineStr">
        <is>
          <t>31/08/2026 02:59</t>
        </is>
      </c>
    </row>
    <row r="754">
      <c r="A754" s="8" t="inlineStr">
        <is>
          <t>WHAP-0750</t>
        </is>
      </c>
      <c r="B754" s="8" t="inlineStr">
        <is>
          <t>ROU-0750</t>
        </is>
      </c>
      <c r="C754" s="8" t="inlineStr">
        <is>
          <t>capteur pression pneu — ARD</t>
        </is>
      </c>
      <c r="D754" s="8" t="inlineStr">
        <is>
          <t>Roues et pneus</t>
        </is>
      </c>
      <c r="E754" s="8" t="inlineStr">
        <is>
          <t>Roues et pneus</t>
        </is>
      </c>
      <c r="F754" s="8" t="inlineStr">
        <is>
          <t>PIECE_VEHICULE</t>
        </is>
      </c>
      <c r="G754" s="8" t="inlineStr">
        <is>
          <t>unité</t>
        </is>
      </c>
      <c r="H754" s="8" t="inlineStr">
        <is>
          <t>LARGE</t>
        </is>
      </c>
      <c r="I754" s="8" t="n">
        <v>0</v>
      </c>
      <c r="J754" s="8" t="inlineStr">
        <is>
          <t>A-02-01</t>
        </is>
      </c>
      <c r="K754" s="8" t="inlineStr"/>
      <c r="L754" s="10" t="n">
        <v>0</v>
      </c>
      <c r="M754" s="10" t="n">
        <v>0</v>
      </c>
      <c r="N754" s="10" t="n">
        <v>28</v>
      </c>
      <c r="O754" s="8" t="inlineStr">
        <is>
          <t>HEL</t>
        </is>
      </c>
      <c r="P754" s="8" t="inlineStr">
        <is>
          <t>IMPORTANT</t>
        </is>
      </c>
      <c r="Q754" s="8" t="inlineStr">
        <is>
          <t>WHAP</t>
        </is>
      </c>
      <c r="R754" s="8" t="inlineStr">
        <is>
          <t>OUI</t>
        </is>
      </c>
      <c r="S754" s="8" t="inlineStr">
        <is>
          <t>31/08/2026 02:59</t>
        </is>
      </c>
    </row>
    <row r="755">
      <c r="A755" s="7" t="inlineStr">
        <is>
          <t>WHAP-0751</t>
        </is>
      </c>
      <c r="B755" s="7" t="inlineStr">
        <is>
          <t>ROU-0751</t>
        </is>
      </c>
      <c r="C755" s="7" t="inlineStr">
        <is>
          <t>écrou de roue — ARD</t>
        </is>
      </c>
      <c r="D755" s="7" t="inlineStr">
        <is>
          <t>Roues et pneus</t>
        </is>
      </c>
      <c r="E755" s="7" t="inlineStr">
        <is>
          <t>Roues et pneus</t>
        </is>
      </c>
      <c r="F755" s="7" t="inlineStr">
        <is>
          <t>PIECE_VEHICULE</t>
        </is>
      </c>
      <c r="G755" s="7" t="inlineStr">
        <is>
          <t>unité</t>
        </is>
      </c>
      <c r="H755" s="7" t="inlineStr">
        <is>
          <t>LARGE</t>
        </is>
      </c>
      <c r="I755" s="7" t="n">
        <v>0</v>
      </c>
      <c r="J755" s="7" t="inlineStr">
        <is>
          <t>D-04-01</t>
        </is>
      </c>
      <c r="K755" s="7" t="inlineStr"/>
      <c r="L755" s="9" t="n">
        <v>0</v>
      </c>
      <c r="M755" s="9" t="n">
        <v>0</v>
      </c>
      <c r="N755" s="9" t="n">
        <v>29</v>
      </c>
      <c r="O755" s="7" t="inlineStr">
        <is>
          <t>YZK</t>
        </is>
      </c>
      <c r="P755" s="7" t="inlineStr">
        <is>
          <t>IMPORTANT</t>
        </is>
      </c>
      <c r="Q755" s="7" t="inlineStr">
        <is>
          <t>WHAP</t>
        </is>
      </c>
      <c r="R755" s="7" t="inlineStr">
        <is>
          <t>OUI</t>
        </is>
      </c>
      <c r="S755" s="7" t="inlineStr">
        <is>
          <t>31/08/2026 02:59</t>
        </is>
      </c>
    </row>
    <row r="756">
      <c r="A756" s="8" t="inlineStr">
        <is>
          <t>WHAP-0752</t>
        </is>
      </c>
      <c r="B756" s="8" t="inlineStr">
        <is>
          <t>ROU-0752</t>
        </is>
      </c>
      <c r="C756" s="8" t="inlineStr">
        <is>
          <t>goujon de roue — ARD</t>
        </is>
      </c>
      <c r="D756" s="8" t="inlineStr">
        <is>
          <t>Roues et pneus</t>
        </is>
      </c>
      <c r="E756" s="8" t="inlineStr">
        <is>
          <t>Roues et pneus</t>
        </is>
      </c>
      <c r="F756" s="8" t="inlineStr">
        <is>
          <t>PIECE_VEHICULE</t>
        </is>
      </c>
      <c r="G756" s="8" t="inlineStr">
        <is>
          <t>unité</t>
        </is>
      </c>
      <c r="H756" s="8" t="inlineStr">
        <is>
          <t>LARGE</t>
        </is>
      </c>
      <c r="I756" s="8" t="n">
        <v>0</v>
      </c>
      <c r="J756" s="8" t="inlineStr">
        <is>
          <t>E-04-01</t>
        </is>
      </c>
      <c r="K756" s="8" t="inlineStr"/>
      <c r="L756" s="10" t="n">
        <v>0</v>
      </c>
      <c r="M756" s="10" t="n">
        <v>0</v>
      </c>
      <c r="N756" s="10" t="n">
        <v>22</v>
      </c>
      <c r="O756" s="8" t="inlineStr">
        <is>
          <t>DEL</t>
        </is>
      </c>
      <c r="P756" s="8" t="inlineStr">
        <is>
          <t>IMPORTANT</t>
        </is>
      </c>
      <c r="Q756" s="8" t="inlineStr">
        <is>
          <t>WHAP</t>
        </is>
      </c>
      <c r="R756" s="8" t="inlineStr">
        <is>
          <t>OUI</t>
        </is>
      </c>
      <c r="S756" s="8" t="inlineStr">
        <is>
          <t>31/08/2026 02:59</t>
        </is>
      </c>
    </row>
    <row r="757">
      <c r="A757" s="7" t="inlineStr">
        <is>
          <t>WHAP-0753</t>
        </is>
      </c>
      <c r="B757" s="7" t="inlineStr">
        <is>
          <t>ROU-0753</t>
        </is>
      </c>
      <c r="C757" s="7" t="inlineStr">
        <is>
          <t>entretoise de roue — ARD</t>
        </is>
      </c>
      <c r="D757" s="7" t="inlineStr">
        <is>
          <t>Roues et pneus</t>
        </is>
      </c>
      <c r="E757" s="7" t="inlineStr">
        <is>
          <t>Roues et pneus</t>
        </is>
      </c>
      <c r="F757" s="7" t="inlineStr">
        <is>
          <t>PIECE_VEHICULE</t>
        </is>
      </c>
      <c r="G757" s="7" t="inlineStr">
        <is>
          <t>unité</t>
        </is>
      </c>
      <c r="H757" s="7" t="inlineStr">
        <is>
          <t>LARGE</t>
        </is>
      </c>
      <c r="I757" s="7" t="n">
        <v>0</v>
      </c>
      <c r="J757" s="7" t="inlineStr">
        <is>
          <t>C-05-03</t>
        </is>
      </c>
      <c r="K757" s="7" t="inlineStr"/>
      <c r="L757" s="9" t="n">
        <v>0</v>
      </c>
      <c r="M757" s="9" t="n">
        <v>0</v>
      </c>
      <c r="N757" s="9" t="n">
        <v>29</v>
      </c>
      <c r="O757" s="7" t="inlineStr">
        <is>
          <t>HEL</t>
        </is>
      </c>
      <c r="P757" s="7" t="inlineStr">
        <is>
          <t>IMPORTANT</t>
        </is>
      </c>
      <c r="Q757" s="7" t="inlineStr">
        <is>
          <t>WHAP</t>
        </is>
      </c>
      <c r="R757" s="7" t="inlineStr">
        <is>
          <t>OUI</t>
        </is>
      </c>
      <c r="S757" s="7" t="inlineStr">
        <is>
          <t>31/08/2026 02:59</t>
        </is>
      </c>
    </row>
    <row r="758">
      <c r="A758" s="8" t="inlineStr">
        <is>
          <t>WHAP-0754</t>
        </is>
      </c>
      <c r="B758" s="8" t="inlineStr">
        <is>
          <t>ROU-0754</t>
        </is>
      </c>
      <c r="C758" s="8" t="inlineStr">
        <is>
          <t>moyeu — ARD</t>
        </is>
      </c>
      <c r="D758" s="8" t="inlineStr">
        <is>
          <t>Roues et pneus</t>
        </is>
      </c>
      <c r="E758" s="8" t="inlineStr">
        <is>
          <t>Roues et pneus</t>
        </is>
      </c>
      <c r="F758" s="8" t="inlineStr">
        <is>
          <t>PIECE_VEHICULE</t>
        </is>
      </c>
      <c r="G758" s="8" t="inlineStr">
        <is>
          <t>unité</t>
        </is>
      </c>
      <c r="H758" s="8" t="inlineStr">
        <is>
          <t>LARGE</t>
        </is>
      </c>
      <c r="I758" s="8" t="n">
        <v>0</v>
      </c>
      <c r="J758" s="8" t="inlineStr">
        <is>
          <t>D-06-02</t>
        </is>
      </c>
      <c r="K758" s="8" t="inlineStr"/>
      <c r="L758" s="10" t="n">
        <v>0</v>
      </c>
      <c r="M758" s="10" t="n">
        <v>0</v>
      </c>
      <c r="N758" s="10" t="n">
        <v>29</v>
      </c>
      <c r="O758" s="8" t="inlineStr">
        <is>
          <t>SKF</t>
        </is>
      </c>
      <c r="P758" s="8" t="inlineStr">
        <is>
          <t>IMPORTANT</t>
        </is>
      </c>
      <c r="Q758" s="8" t="inlineStr">
        <is>
          <t>WHAP</t>
        </is>
      </c>
      <c r="R758" s="8" t="inlineStr">
        <is>
          <t>OUI</t>
        </is>
      </c>
      <c r="S758" s="8" t="inlineStr">
        <is>
          <t>31/08/2026 02:59</t>
        </is>
      </c>
    </row>
    <row r="759">
      <c r="A759" s="7" t="inlineStr">
        <is>
          <t>WHAP-0755</t>
        </is>
      </c>
      <c r="B759" s="7" t="inlineStr">
        <is>
          <t>ROU-0755</t>
        </is>
      </c>
      <c r="C759" s="7" t="inlineStr">
        <is>
          <t>cache-moyeu — ARD</t>
        </is>
      </c>
      <c r="D759" s="7" t="inlineStr">
        <is>
          <t>Roues et pneus</t>
        </is>
      </c>
      <c r="E759" s="7" t="inlineStr">
        <is>
          <t>Roues et pneus</t>
        </is>
      </c>
      <c r="F759" s="7" t="inlineStr">
        <is>
          <t>PIECE_VEHICULE</t>
        </is>
      </c>
      <c r="G759" s="7" t="inlineStr">
        <is>
          <t>unité</t>
        </is>
      </c>
      <c r="H759" s="7" t="inlineStr">
        <is>
          <t>LARGE</t>
        </is>
      </c>
      <c r="I759" s="7" t="n">
        <v>0</v>
      </c>
      <c r="J759" s="7" t="inlineStr">
        <is>
          <t>B-04-02</t>
        </is>
      </c>
      <c r="K759" s="7" t="inlineStr"/>
      <c r="L759" s="9" t="n">
        <v>0</v>
      </c>
      <c r="M759" s="9" t="n">
        <v>0</v>
      </c>
      <c r="N759" s="9" t="n">
        <v>26</v>
      </c>
      <c r="O759" s="7" t="inlineStr">
        <is>
          <t>FAU</t>
        </is>
      </c>
      <c r="P759" s="7" t="inlineStr">
        <is>
          <t>IMPORTANT</t>
        </is>
      </c>
      <c r="Q759" s="7" t="inlineStr">
        <is>
          <t>WHAP</t>
        </is>
      </c>
      <c r="R759" s="7" t="inlineStr">
        <is>
          <t>OUI</t>
        </is>
      </c>
      <c r="S759" s="7" t="inlineStr">
        <is>
          <t>31/08/2026 02:59</t>
        </is>
      </c>
    </row>
    <row r="760">
      <c r="A760" s="8" t="inlineStr">
        <is>
          <t>WHAP-0756</t>
        </is>
      </c>
      <c r="B760" s="8" t="inlineStr">
        <is>
          <t>ROU-0756</t>
        </is>
      </c>
      <c r="C760" s="8" t="inlineStr">
        <is>
          <t>joint de moyeu — ARD</t>
        </is>
      </c>
      <c r="D760" s="8" t="inlineStr">
        <is>
          <t>Roues et pneus</t>
        </is>
      </c>
      <c r="E760" s="8" t="inlineStr">
        <is>
          <t>Roues et pneus</t>
        </is>
      </c>
      <c r="F760" s="8" t="inlineStr">
        <is>
          <t>PIECE_VEHICULE</t>
        </is>
      </c>
      <c r="G760" s="8" t="inlineStr">
        <is>
          <t>unité</t>
        </is>
      </c>
      <c r="H760" s="8" t="inlineStr">
        <is>
          <t>LARGE</t>
        </is>
      </c>
      <c r="I760" s="8" t="n">
        <v>0</v>
      </c>
      <c r="J760" s="8" t="inlineStr">
        <is>
          <t>A-04-04</t>
        </is>
      </c>
      <c r="K760" s="8" t="inlineStr"/>
      <c r="L760" s="10" t="n">
        <v>0</v>
      </c>
      <c r="M760" s="10" t="n">
        <v>0</v>
      </c>
      <c r="N760" s="10" t="n">
        <v>26</v>
      </c>
      <c r="O760" s="8" t="inlineStr">
        <is>
          <t>MAG</t>
        </is>
      </c>
      <c r="P760" s="8" t="inlineStr">
        <is>
          <t>IMPORTANT</t>
        </is>
      </c>
      <c r="Q760" s="8" t="inlineStr">
        <is>
          <t>WHAP</t>
        </is>
      </c>
      <c r="R760" s="8" t="inlineStr">
        <is>
          <t>OUI</t>
        </is>
      </c>
      <c r="S760" s="8" t="inlineStr">
        <is>
          <t>31/08/2026 02:59</t>
        </is>
      </c>
    </row>
    <row r="761">
      <c r="A761" s="7" t="inlineStr">
        <is>
          <t>WHAP-0757</t>
        </is>
      </c>
      <c r="B761" s="7" t="inlineStr">
        <is>
          <t>ROU-0757</t>
        </is>
      </c>
      <c r="C761" s="7" t="inlineStr">
        <is>
          <t>roulement de roue — ARD</t>
        </is>
      </c>
      <c r="D761" s="7" t="inlineStr">
        <is>
          <t>Roues et pneus</t>
        </is>
      </c>
      <c r="E761" s="7" t="inlineStr">
        <is>
          <t>Roues et pneus</t>
        </is>
      </c>
      <c r="F761" s="7" t="inlineStr">
        <is>
          <t>PIECE_VEHICULE</t>
        </is>
      </c>
      <c r="G761" s="7" t="inlineStr">
        <is>
          <t>unité</t>
        </is>
      </c>
      <c r="H761" s="7" t="inlineStr">
        <is>
          <t>LARGE</t>
        </is>
      </c>
      <c r="I761" s="7" t="n">
        <v>0</v>
      </c>
      <c r="J761" s="7" t="inlineStr">
        <is>
          <t>A-04-02</t>
        </is>
      </c>
      <c r="K761" s="7" t="inlineStr"/>
      <c r="L761" s="9" t="n">
        <v>0</v>
      </c>
      <c r="M761" s="9" t="n">
        <v>0</v>
      </c>
      <c r="N761" s="9" t="n">
        <v>30</v>
      </c>
      <c r="O761" s="7" t="inlineStr">
        <is>
          <t>DEL</t>
        </is>
      </c>
      <c r="P761" s="7" t="inlineStr">
        <is>
          <t>IMPORTANT</t>
        </is>
      </c>
      <c r="Q761" s="7" t="inlineStr">
        <is>
          <t>WHAP</t>
        </is>
      </c>
      <c r="R761" s="7" t="inlineStr">
        <is>
          <t>OUI</t>
        </is>
      </c>
      <c r="S761" s="7" t="inlineStr">
        <is>
          <t>31/08/2026 02:59</t>
        </is>
      </c>
    </row>
    <row r="762">
      <c r="A762" s="8" t="inlineStr">
        <is>
          <t>WHAP-0758</t>
        </is>
      </c>
      <c r="B762" s="8" t="inlineStr">
        <is>
          <t>ROU-0758</t>
        </is>
      </c>
      <c r="C762" s="8" t="inlineStr">
        <is>
          <t>bague de roulement — ARD</t>
        </is>
      </c>
      <c r="D762" s="8" t="inlineStr">
        <is>
          <t>Roues et pneus</t>
        </is>
      </c>
      <c r="E762" s="8" t="inlineStr">
        <is>
          <t>Roues et pneus</t>
        </is>
      </c>
      <c r="F762" s="8" t="inlineStr">
        <is>
          <t>PIECE_VEHICULE</t>
        </is>
      </c>
      <c r="G762" s="8" t="inlineStr">
        <is>
          <t>unité</t>
        </is>
      </c>
      <c r="H762" s="8" t="inlineStr">
        <is>
          <t>LARGE</t>
        </is>
      </c>
      <c r="I762" s="8" t="n">
        <v>0</v>
      </c>
      <c r="J762" s="8" t="inlineStr">
        <is>
          <t>E-05-02</t>
        </is>
      </c>
      <c r="K762" s="8" t="inlineStr"/>
      <c r="L762" s="10" t="n">
        <v>0</v>
      </c>
      <c r="M762" s="10" t="n">
        <v>0</v>
      </c>
      <c r="N762" s="10" t="n">
        <v>29</v>
      </c>
      <c r="O762" s="8" t="inlineStr">
        <is>
          <t>SUM</t>
        </is>
      </c>
      <c r="P762" s="8" t="inlineStr">
        <is>
          <t>IMPORTANT</t>
        </is>
      </c>
      <c r="Q762" s="8" t="inlineStr">
        <is>
          <t>WHAP</t>
        </is>
      </c>
      <c r="R762" s="8" t="inlineStr">
        <is>
          <t>OUI</t>
        </is>
      </c>
      <c r="S762" s="8" t="inlineStr">
        <is>
          <t>31/08/2026 02:59</t>
        </is>
      </c>
    </row>
    <row r="763">
      <c r="A763" s="7" t="inlineStr">
        <is>
          <t>WHAP-0759</t>
        </is>
      </c>
      <c r="B763" s="7" t="inlineStr">
        <is>
          <t>ROU-0759</t>
        </is>
      </c>
      <c r="C763" s="7" t="inlineStr">
        <is>
          <t>anneau de retenue — ARD</t>
        </is>
      </c>
      <c r="D763" s="7" t="inlineStr">
        <is>
          <t>Roues et pneus</t>
        </is>
      </c>
      <c r="E763" s="7" t="inlineStr">
        <is>
          <t>Roues et pneus</t>
        </is>
      </c>
      <c r="F763" s="7" t="inlineStr">
        <is>
          <t>PIECE_VEHICULE</t>
        </is>
      </c>
      <c r="G763" s="7" t="inlineStr">
        <is>
          <t>unité</t>
        </is>
      </c>
      <c r="H763" s="7" t="inlineStr">
        <is>
          <t>LARGE</t>
        </is>
      </c>
      <c r="I763" s="7" t="n">
        <v>0</v>
      </c>
      <c r="J763" s="7" t="inlineStr">
        <is>
          <t>E-01-04</t>
        </is>
      </c>
      <c r="K763" s="7" t="inlineStr"/>
      <c r="L763" s="9" t="n">
        <v>0</v>
      </c>
      <c r="M763" s="9" t="n">
        <v>0</v>
      </c>
      <c r="N763" s="9" t="n">
        <v>22</v>
      </c>
      <c r="O763" s="7" t="inlineStr">
        <is>
          <t>BOS</t>
        </is>
      </c>
      <c r="P763" s="7" t="inlineStr">
        <is>
          <t>IMPORTANT</t>
        </is>
      </c>
      <c r="Q763" s="7" t="inlineStr">
        <is>
          <t>WHAP</t>
        </is>
      </c>
      <c r="R763" s="7" t="inlineStr">
        <is>
          <t>OUI</t>
        </is>
      </c>
      <c r="S763" s="7" t="inlineStr">
        <is>
          <t>31/08/2026 02:59</t>
        </is>
      </c>
    </row>
    <row r="764">
      <c r="A764" s="8" t="inlineStr">
        <is>
          <t>WHAP-0760</t>
        </is>
      </c>
      <c r="B764" s="8" t="inlineStr">
        <is>
          <t>ROU-0760</t>
        </is>
      </c>
      <c r="C764" s="8" t="inlineStr">
        <is>
          <t>disque de jante — ARD</t>
        </is>
      </c>
      <c r="D764" s="8" t="inlineStr">
        <is>
          <t>Roues et pneus</t>
        </is>
      </c>
      <c r="E764" s="8" t="inlineStr">
        <is>
          <t>Roues et pneus</t>
        </is>
      </c>
      <c r="F764" s="8" t="inlineStr">
        <is>
          <t>PIECE_VEHICULE</t>
        </is>
      </c>
      <c r="G764" s="8" t="inlineStr">
        <is>
          <t>unité</t>
        </is>
      </c>
      <c r="H764" s="8" t="inlineStr">
        <is>
          <t>LARGE</t>
        </is>
      </c>
      <c r="I764" s="8" t="n">
        <v>0</v>
      </c>
      <c r="J764" s="8" t="inlineStr">
        <is>
          <t>D-05-04</t>
        </is>
      </c>
      <c r="K764" s="8" t="inlineStr"/>
      <c r="L764" s="10" t="n">
        <v>0</v>
      </c>
      <c r="M764" s="10" t="n">
        <v>0</v>
      </c>
      <c r="N764" s="10" t="n">
        <v>29</v>
      </c>
      <c r="O764" s="8" t="inlineStr">
        <is>
          <t>YZK</t>
        </is>
      </c>
      <c r="P764" s="8" t="inlineStr">
        <is>
          <t>IMPORTANT</t>
        </is>
      </c>
      <c r="Q764" s="8" t="inlineStr">
        <is>
          <t>WHAP</t>
        </is>
      </c>
      <c r="R764" s="8" t="inlineStr">
        <is>
          <t>OUI</t>
        </is>
      </c>
      <c r="S764" s="8" t="inlineStr">
        <is>
          <t>31/08/2026 02:59</t>
        </is>
      </c>
    </row>
    <row r="765">
      <c r="A765" s="7" t="inlineStr">
        <is>
          <t>WHAP-0761</t>
        </is>
      </c>
      <c r="B765" s="7" t="inlineStr">
        <is>
          <t>ROU-0761</t>
        </is>
      </c>
      <c r="C765" s="7" t="inlineStr">
        <is>
          <t>cerclage de jante — ARD</t>
        </is>
      </c>
      <c r="D765" s="7" t="inlineStr">
        <is>
          <t>Roues et pneus</t>
        </is>
      </c>
      <c r="E765" s="7" t="inlineStr">
        <is>
          <t>Roues et pneus</t>
        </is>
      </c>
      <c r="F765" s="7" t="inlineStr">
        <is>
          <t>PIECE_VEHICULE</t>
        </is>
      </c>
      <c r="G765" s="7" t="inlineStr">
        <is>
          <t>unité</t>
        </is>
      </c>
      <c r="H765" s="7" t="inlineStr">
        <is>
          <t>LARGE</t>
        </is>
      </c>
      <c r="I765" s="7" t="n">
        <v>0</v>
      </c>
      <c r="J765" s="7" t="inlineStr">
        <is>
          <t>F-06-02</t>
        </is>
      </c>
      <c r="K765" s="7" t="inlineStr"/>
      <c r="L765" s="9" t="n">
        <v>0</v>
      </c>
      <c r="M765" s="9" t="n">
        <v>0</v>
      </c>
      <c r="N765" s="9" t="n">
        <v>22</v>
      </c>
      <c r="O765" s="7" t="inlineStr">
        <is>
          <t>SKF</t>
        </is>
      </c>
      <c r="P765" s="7" t="inlineStr">
        <is>
          <t>IMPORTANT</t>
        </is>
      </c>
      <c r="Q765" s="7" t="inlineStr">
        <is>
          <t>WHAP</t>
        </is>
      </c>
      <c r="R765" s="7" t="inlineStr">
        <is>
          <t>OUI</t>
        </is>
      </c>
      <c r="S765" s="7" t="inlineStr">
        <is>
          <t>31/08/2026 02:59</t>
        </is>
      </c>
    </row>
    <row r="766">
      <c r="A766" s="8" t="inlineStr">
        <is>
          <t>WHAP-0762</t>
        </is>
      </c>
      <c r="B766" s="8" t="inlineStr">
        <is>
          <t>ROU-0762</t>
        </is>
      </c>
      <c r="C766" s="8" t="inlineStr">
        <is>
          <t>système CTIS — ARD</t>
        </is>
      </c>
      <c r="D766" s="8" t="inlineStr">
        <is>
          <t>Roues et pneus</t>
        </is>
      </c>
      <c r="E766" s="8" t="inlineStr">
        <is>
          <t>Roues et pneus</t>
        </is>
      </c>
      <c r="F766" s="8" t="inlineStr">
        <is>
          <t>PIECE_VEHICULE</t>
        </is>
      </c>
      <c r="G766" s="8" t="inlineStr">
        <is>
          <t>unité</t>
        </is>
      </c>
      <c r="H766" s="8" t="inlineStr">
        <is>
          <t>LARGE</t>
        </is>
      </c>
      <c r="I766" s="8" t="n">
        <v>0</v>
      </c>
      <c r="J766" s="8" t="inlineStr">
        <is>
          <t>A-04-01</t>
        </is>
      </c>
      <c r="K766" s="8" t="inlineStr"/>
      <c r="L766" s="10" t="n">
        <v>0</v>
      </c>
      <c r="M766" s="10" t="n">
        <v>0</v>
      </c>
      <c r="N766" s="10" t="n">
        <v>26</v>
      </c>
      <c r="O766" s="8" t="inlineStr">
        <is>
          <t>DEL</t>
        </is>
      </c>
      <c r="P766" s="8" t="inlineStr">
        <is>
          <t>IMPORTANT</t>
        </is>
      </c>
      <c r="Q766" s="8" t="inlineStr">
        <is>
          <t>WHAP</t>
        </is>
      </c>
      <c r="R766" s="8" t="inlineStr">
        <is>
          <t>OUI</t>
        </is>
      </c>
      <c r="S766" s="8" t="inlineStr">
        <is>
          <t>31/08/2026 02:59</t>
        </is>
      </c>
    </row>
    <row r="767">
      <c r="A767" s="7" t="inlineStr">
        <is>
          <t>WHAP-0763</t>
        </is>
      </c>
      <c r="B767" s="7" t="inlineStr">
        <is>
          <t>ROU-0763</t>
        </is>
      </c>
      <c r="C767" s="7" t="inlineStr">
        <is>
          <t>rotor CTIS — ARD</t>
        </is>
      </c>
      <c r="D767" s="7" t="inlineStr">
        <is>
          <t>Roues et pneus</t>
        </is>
      </c>
      <c r="E767" s="7" t="inlineStr">
        <is>
          <t>Roues et pneus</t>
        </is>
      </c>
      <c r="F767" s="7" t="inlineStr">
        <is>
          <t>PIECE_VEHICULE</t>
        </is>
      </c>
      <c r="G767" s="7" t="inlineStr">
        <is>
          <t>unité</t>
        </is>
      </c>
      <c r="H767" s="7" t="inlineStr">
        <is>
          <t>LARGE</t>
        </is>
      </c>
      <c r="I767" s="7" t="n">
        <v>0</v>
      </c>
      <c r="J767" s="7" t="inlineStr">
        <is>
          <t>B-03-01</t>
        </is>
      </c>
      <c r="K767" s="7" t="inlineStr"/>
      <c r="L767" s="9" t="n">
        <v>0</v>
      </c>
      <c r="M767" s="9" t="n">
        <v>0</v>
      </c>
      <c r="N767" s="9" t="n">
        <v>27</v>
      </c>
      <c r="O767" s="7" t="inlineStr">
        <is>
          <t>FAU</t>
        </is>
      </c>
      <c r="P767" s="7" t="inlineStr">
        <is>
          <t>IMPORTANT</t>
        </is>
      </c>
      <c r="Q767" s="7" t="inlineStr">
        <is>
          <t>WHAP</t>
        </is>
      </c>
      <c r="R767" s="7" t="inlineStr">
        <is>
          <t>OUI</t>
        </is>
      </c>
      <c r="S767" s="7" t="inlineStr">
        <is>
          <t>31/08/2026 02:59</t>
        </is>
      </c>
    </row>
    <row r="768">
      <c r="A768" s="8" t="inlineStr">
        <is>
          <t>WHAP-0764</t>
        </is>
      </c>
      <c r="B768" s="8" t="inlineStr">
        <is>
          <t>ROU-0764</t>
        </is>
      </c>
      <c r="C768" s="8" t="inlineStr">
        <is>
          <t>joint tournant CTIS — ARD</t>
        </is>
      </c>
      <c r="D768" s="8" t="inlineStr">
        <is>
          <t>Roues et pneus</t>
        </is>
      </c>
      <c r="E768" s="8" t="inlineStr">
        <is>
          <t>Roues et pneus</t>
        </is>
      </c>
      <c r="F768" s="8" t="inlineStr">
        <is>
          <t>PIECE_VEHICULE</t>
        </is>
      </c>
      <c r="G768" s="8" t="inlineStr">
        <is>
          <t>unité</t>
        </is>
      </c>
      <c r="H768" s="8" t="inlineStr">
        <is>
          <t>LARGE</t>
        </is>
      </c>
      <c r="I768" s="8" t="n">
        <v>0</v>
      </c>
      <c r="J768" s="8" t="inlineStr">
        <is>
          <t>C-02-01</t>
        </is>
      </c>
      <c r="K768" s="8" t="inlineStr"/>
      <c r="L768" s="10" t="n">
        <v>0</v>
      </c>
      <c r="M768" s="10" t="n">
        <v>0</v>
      </c>
      <c r="N768" s="10" t="n">
        <v>23</v>
      </c>
      <c r="O768" s="8" t="inlineStr">
        <is>
          <t>HEL</t>
        </is>
      </c>
      <c r="P768" s="8" t="inlineStr">
        <is>
          <t>IMPORTANT</t>
        </is>
      </c>
      <c r="Q768" s="8" t="inlineStr">
        <is>
          <t>WHAP</t>
        </is>
      </c>
      <c r="R768" s="8" t="inlineStr">
        <is>
          <t>OUI</t>
        </is>
      </c>
      <c r="S768" s="8" t="inlineStr">
        <is>
          <t>31/08/2026 02:59</t>
        </is>
      </c>
    </row>
    <row r="769">
      <c r="A769" s="7" t="inlineStr">
        <is>
          <t>WHAP-0765</t>
        </is>
      </c>
      <c r="B769" s="7" t="inlineStr">
        <is>
          <t>ROU-0765</t>
        </is>
      </c>
      <c r="C769" s="7" t="inlineStr">
        <is>
          <t>flexible CTIS — ARD</t>
        </is>
      </c>
      <c r="D769" s="7" t="inlineStr">
        <is>
          <t>Roues et pneus</t>
        </is>
      </c>
      <c r="E769" s="7" t="inlineStr">
        <is>
          <t>Roues et pneus</t>
        </is>
      </c>
      <c r="F769" s="7" t="inlineStr">
        <is>
          <t>PIECE_VEHICULE</t>
        </is>
      </c>
      <c r="G769" s="7" t="inlineStr">
        <is>
          <t>unité</t>
        </is>
      </c>
      <c r="H769" s="7" t="inlineStr">
        <is>
          <t>LARGE</t>
        </is>
      </c>
      <c r="I769" s="7" t="n">
        <v>0</v>
      </c>
      <c r="J769" s="7" t="inlineStr">
        <is>
          <t>E-03-04</t>
        </is>
      </c>
      <c r="K769" s="7" t="inlineStr"/>
      <c r="L769" s="9" t="n">
        <v>0</v>
      </c>
      <c r="M769" s="9" t="n">
        <v>0</v>
      </c>
      <c r="N769" s="9" t="n">
        <v>24</v>
      </c>
      <c r="O769" s="7" t="inlineStr">
        <is>
          <t>HEL</t>
        </is>
      </c>
      <c r="P769" s="7" t="inlineStr">
        <is>
          <t>IMPORTANT</t>
        </is>
      </c>
      <c r="Q769" s="7" t="inlineStr">
        <is>
          <t>WHAP</t>
        </is>
      </c>
      <c r="R769" s="7" t="inlineStr">
        <is>
          <t>OUI</t>
        </is>
      </c>
      <c r="S769" s="7" t="inlineStr">
        <is>
          <t>31/08/2026 02:59</t>
        </is>
      </c>
    </row>
    <row r="770">
      <c r="A770" s="8" t="inlineStr">
        <is>
          <t>WHAP-0766</t>
        </is>
      </c>
      <c r="B770" s="8" t="inlineStr">
        <is>
          <t>ROU-0766</t>
        </is>
      </c>
      <c r="C770" s="8" t="inlineStr">
        <is>
          <t>raccord CTIS — ARD</t>
        </is>
      </c>
      <c r="D770" s="8" t="inlineStr">
        <is>
          <t>Roues et pneus</t>
        </is>
      </c>
      <c r="E770" s="8" t="inlineStr">
        <is>
          <t>Roues et pneus</t>
        </is>
      </c>
      <c r="F770" s="8" t="inlineStr">
        <is>
          <t>PIECE_VEHICULE</t>
        </is>
      </c>
      <c r="G770" s="8" t="inlineStr">
        <is>
          <t>unité</t>
        </is>
      </c>
      <c r="H770" s="8" t="inlineStr">
        <is>
          <t>LARGE</t>
        </is>
      </c>
      <c r="I770" s="8" t="n">
        <v>0</v>
      </c>
      <c r="J770" s="8" t="inlineStr">
        <is>
          <t>A-06-03</t>
        </is>
      </c>
      <c r="K770" s="8" t="inlineStr"/>
      <c r="L770" s="10" t="n">
        <v>0</v>
      </c>
      <c r="M770" s="10" t="n">
        <v>0</v>
      </c>
      <c r="N770" s="10" t="n">
        <v>29</v>
      </c>
      <c r="O770" s="8" t="inlineStr">
        <is>
          <t>HEL</t>
        </is>
      </c>
      <c r="P770" s="8" t="inlineStr">
        <is>
          <t>IMPORTANT</t>
        </is>
      </c>
      <c r="Q770" s="8" t="inlineStr">
        <is>
          <t>WHAP</t>
        </is>
      </c>
      <c r="R770" s="8" t="inlineStr">
        <is>
          <t>OUI</t>
        </is>
      </c>
      <c r="S770" s="8" t="inlineStr">
        <is>
          <t>31/08/2026 02:59</t>
        </is>
      </c>
    </row>
    <row r="771">
      <c r="A771" s="7" t="inlineStr">
        <is>
          <t>WHAP-0767</t>
        </is>
      </c>
      <c r="B771" s="7" t="inlineStr">
        <is>
          <t>ROU-0767</t>
        </is>
      </c>
      <c r="C771" s="7" t="inlineStr">
        <is>
          <t>valve CTIS — ARD</t>
        </is>
      </c>
      <c r="D771" s="7" t="inlineStr">
        <is>
          <t>Roues et pneus</t>
        </is>
      </c>
      <c r="E771" s="7" t="inlineStr">
        <is>
          <t>Roues et pneus</t>
        </is>
      </c>
      <c r="F771" s="7" t="inlineStr">
        <is>
          <t>PIECE_VEHICULE</t>
        </is>
      </c>
      <c r="G771" s="7" t="inlineStr">
        <is>
          <t>unité</t>
        </is>
      </c>
      <c r="H771" s="7" t="inlineStr">
        <is>
          <t>LARGE</t>
        </is>
      </c>
      <c r="I771" s="7" t="n">
        <v>0</v>
      </c>
      <c r="J771" s="7" t="inlineStr">
        <is>
          <t>B-02-04</t>
        </is>
      </c>
      <c r="K771" s="7" t="inlineStr"/>
      <c r="L771" s="9" t="n">
        <v>0</v>
      </c>
      <c r="M771" s="9" t="n">
        <v>0</v>
      </c>
      <c r="N771" s="9" t="n">
        <v>25</v>
      </c>
      <c r="O771" s="7" t="inlineStr">
        <is>
          <t>VAL</t>
        </is>
      </c>
      <c r="P771" s="7" t="inlineStr">
        <is>
          <t>IMPORTANT</t>
        </is>
      </c>
      <c r="Q771" s="7" t="inlineStr">
        <is>
          <t>WHAP</t>
        </is>
      </c>
      <c r="R771" s="7" t="inlineStr">
        <is>
          <t>OUI</t>
        </is>
      </c>
      <c r="S771" s="7" t="inlineStr">
        <is>
          <t>31/08/2026 02:59</t>
        </is>
      </c>
    </row>
    <row r="772">
      <c r="A772" s="8" t="inlineStr">
        <is>
          <t>WHAP-0768</t>
        </is>
      </c>
      <c r="B772" s="8" t="inlineStr">
        <is>
          <t>ROU-0768</t>
        </is>
      </c>
      <c r="C772" s="8" t="inlineStr">
        <is>
          <t>manomètre CTIS — ARD</t>
        </is>
      </c>
      <c r="D772" s="8" t="inlineStr">
        <is>
          <t>Roues et pneus</t>
        </is>
      </c>
      <c r="E772" s="8" t="inlineStr">
        <is>
          <t>Roues et pneus</t>
        </is>
      </c>
      <c r="F772" s="8" t="inlineStr">
        <is>
          <t>PIECE_VEHICULE</t>
        </is>
      </c>
      <c r="G772" s="8" t="inlineStr">
        <is>
          <t>unité</t>
        </is>
      </c>
      <c r="H772" s="8" t="inlineStr">
        <is>
          <t>LARGE</t>
        </is>
      </c>
      <c r="I772" s="8" t="n">
        <v>0</v>
      </c>
      <c r="J772" s="8" t="inlineStr">
        <is>
          <t>C-06-03</t>
        </is>
      </c>
      <c r="K772" s="8" t="inlineStr"/>
      <c r="L772" s="10" t="n">
        <v>0</v>
      </c>
      <c r="M772" s="10" t="n">
        <v>0</v>
      </c>
      <c r="N772" s="10" t="n">
        <v>23</v>
      </c>
      <c r="O772" s="8" t="inlineStr">
        <is>
          <t>MAG</t>
        </is>
      </c>
      <c r="P772" s="8" t="inlineStr">
        <is>
          <t>IMPORTANT</t>
        </is>
      </c>
      <c r="Q772" s="8" t="inlineStr">
        <is>
          <t>WHAP</t>
        </is>
      </c>
      <c r="R772" s="8" t="inlineStr">
        <is>
          <t>OUI</t>
        </is>
      </c>
      <c r="S772" s="8" t="inlineStr">
        <is>
          <t>31/08/2026 02:59</t>
        </is>
      </c>
    </row>
    <row r="773">
      <c r="A773" s="7" t="inlineStr">
        <is>
          <t>WHAP-0769</t>
        </is>
      </c>
      <c r="B773" s="7" t="inlineStr">
        <is>
          <t>ROU-0769</t>
        </is>
      </c>
      <c r="C773" s="7" t="inlineStr">
        <is>
          <t>bloc distributeur CTIS — ARD</t>
        </is>
      </c>
      <c r="D773" s="7" t="inlineStr">
        <is>
          <t>Roues et pneus</t>
        </is>
      </c>
      <c r="E773" s="7" t="inlineStr">
        <is>
          <t>Roues et pneus</t>
        </is>
      </c>
      <c r="F773" s="7" t="inlineStr">
        <is>
          <t>PIECE_VEHICULE</t>
        </is>
      </c>
      <c r="G773" s="7" t="inlineStr">
        <is>
          <t>unité</t>
        </is>
      </c>
      <c r="H773" s="7" t="inlineStr">
        <is>
          <t>LARGE</t>
        </is>
      </c>
      <c r="I773" s="7" t="n">
        <v>0</v>
      </c>
      <c r="J773" s="7" t="inlineStr">
        <is>
          <t>B-02-03</t>
        </is>
      </c>
      <c r="K773" s="7" t="inlineStr"/>
      <c r="L773" s="9" t="n">
        <v>0</v>
      </c>
      <c r="M773" s="9" t="n">
        <v>0</v>
      </c>
      <c r="N773" s="9" t="n">
        <v>23</v>
      </c>
      <c r="O773" s="7" t="inlineStr">
        <is>
          <t>FAU</t>
        </is>
      </c>
      <c r="P773" s="7" t="inlineStr">
        <is>
          <t>IMPORTANT</t>
        </is>
      </c>
      <c r="Q773" s="7" t="inlineStr">
        <is>
          <t>WHAP</t>
        </is>
      </c>
      <c r="R773" s="7" t="inlineStr">
        <is>
          <t>OUI</t>
        </is>
      </c>
      <c r="S773" s="7" t="inlineStr">
        <is>
          <t>31/08/2026 02:59</t>
        </is>
      </c>
    </row>
    <row r="774">
      <c r="A774" s="8" t="inlineStr">
        <is>
          <t>WHAP-0770</t>
        </is>
      </c>
      <c r="B774" s="8" t="inlineStr">
        <is>
          <t>ROU-0770</t>
        </is>
      </c>
      <c r="C774" s="8" t="inlineStr">
        <is>
          <t>jante — AVG2</t>
        </is>
      </c>
      <c r="D774" s="8" t="inlineStr">
        <is>
          <t>Roues et pneus</t>
        </is>
      </c>
      <c r="E774" s="8" t="inlineStr">
        <is>
          <t>Roues et pneus</t>
        </is>
      </c>
      <c r="F774" s="8" t="inlineStr">
        <is>
          <t>PIECE_VEHICULE</t>
        </is>
      </c>
      <c r="G774" s="8" t="inlineStr">
        <is>
          <t>unité</t>
        </is>
      </c>
      <c r="H774" s="8" t="inlineStr">
        <is>
          <t>LARGE</t>
        </is>
      </c>
      <c r="I774" s="8" t="n">
        <v>0</v>
      </c>
      <c r="J774" s="8" t="inlineStr">
        <is>
          <t>D-04-02</t>
        </is>
      </c>
      <c r="K774" s="8" t="inlineStr"/>
      <c r="L774" s="10" t="n">
        <v>0</v>
      </c>
      <c r="M774" s="10" t="n">
        <v>0</v>
      </c>
      <c r="N774" s="10" t="n">
        <v>23</v>
      </c>
      <c r="O774" s="8" t="inlineStr">
        <is>
          <t>CTL</t>
        </is>
      </c>
      <c r="P774" s="8" t="inlineStr">
        <is>
          <t>IMPORTANT</t>
        </is>
      </c>
      <c r="Q774" s="8" t="inlineStr">
        <is>
          <t>WHAP</t>
        </is>
      </c>
      <c r="R774" s="8" t="inlineStr">
        <is>
          <t>OUI</t>
        </is>
      </c>
      <c r="S774" s="8" t="inlineStr">
        <is>
          <t>31/08/2026 02:59</t>
        </is>
      </c>
    </row>
    <row r="775">
      <c r="A775" s="7" t="inlineStr">
        <is>
          <t>WHAP-0771</t>
        </is>
      </c>
      <c r="B775" s="7" t="inlineStr">
        <is>
          <t>ROU-0771</t>
        </is>
      </c>
      <c r="C775" s="7" t="inlineStr">
        <is>
          <t>roue complète — AVG2</t>
        </is>
      </c>
      <c r="D775" s="7" t="inlineStr">
        <is>
          <t>Roues et pneus</t>
        </is>
      </c>
      <c r="E775" s="7" t="inlineStr">
        <is>
          <t>Roues et pneus</t>
        </is>
      </c>
      <c r="F775" s="7" t="inlineStr">
        <is>
          <t>PIECE_VEHICULE</t>
        </is>
      </c>
      <c r="G775" s="7" t="inlineStr">
        <is>
          <t>unité</t>
        </is>
      </c>
      <c r="H775" s="7" t="inlineStr">
        <is>
          <t>LARGE</t>
        </is>
      </c>
      <c r="I775" s="7" t="n">
        <v>0</v>
      </c>
      <c r="J775" s="7" t="inlineStr">
        <is>
          <t>E-05-02</t>
        </is>
      </c>
      <c r="K775" s="7" t="inlineStr"/>
      <c r="L775" s="9" t="n">
        <v>0</v>
      </c>
      <c r="M775" s="9" t="n">
        <v>0</v>
      </c>
      <c r="N775" s="9" t="n">
        <v>26</v>
      </c>
      <c r="O775" s="7" t="inlineStr">
        <is>
          <t>MAG</t>
        </is>
      </c>
      <c r="P775" s="7" t="inlineStr">
        <is>
          <t>IMPORTANT</t>
        </is>
      </c>
      <c r="Q775" s="7" t="inlineStr">
        <is>
          <t>WHAP</t>
        </is>
      </c>
      <c r="R775" s="7" t="inlineStr">
        <is>
          <t>OUI</t>
        </is>
      </c>
      <c r="S775" s="7" t="inlineStr">
        <is>
          <t>31/08/2026 02:59</t>
        </is>
      </c>
    </row>
    <row r="776">
      <c r="A776" s="8" t="inlineStr">
        <is>
          <t>WHAP-0772</t>
        </is>
      </c>
      <c r="B776" s="8" t="inlineStr">
        <is>
          <t>ROU-0772</t>
        </is>
      </c>
      <c r="C776" s="8" t="inlineStr">
        <is>
          <t>pneu — AVG2</t>
        </is>
      </c>
      <c r="D776" s="8" t="inlineStr">
        <is>
          <t>Roues et pneus</t>
        </is>
      </c>
      <c r="E776" s="8" t="inlineStr">
        <is>
          <t>Roues et pneus</t>
        </is>
      </c>
      <c r="F776" s="8" t="inlineStr">
        <is>
          <t>PIECE_VEHICULE</t>
        </is>
      </c>
      <c r="G776" s="8" t="inlineStr">
        <is>
          <t>unité</t>
        </is>
      </c>
      <c r="H776" s="8" t="inlineStr">
        <is>
          <t>LARGE</t>
        </is>
      </c>
      <c r="I776" s="8" t="n">
        <v>0</v>
      </c>
      <c r="J776" s="8" t="inlineStr">
        <is>
          <t>B-04-03</t>
        </is>
      </c>
      <c r="K776" s="8" t="inlineStr"/>
      <c r="L776" s="10" t="n">
        <v>0</v>
      </c>
      <c r="M776" s="10" t="n">
        <v>0</v>
      </c>
      <c r="N776" s="10" t="n">
        <v>32</v>
      </c>
      <c r="O776" s="8" t="inlineStr">
        <is>
          <t>YZK</t>
        </is>
      </c>
      <c r="P776" s="8" t="inlineStr">
        <is>
          <t>IMPORTANT</t>
        </is>
      </c>
      <c r="Q776" s="8" t="inlineStr">
        <is>
          <t>WHAP</t>
        </is>
      </c>
      <c r="R776" s="8" t="inlineStr">
        <is>
          <t>OUI</t>
        </is>
      </c>
      <c r="S776" s="8" t="inlineStr">
        <is>
          <t>31/08/2026 02:59</t>
        </is>
      </c>
    </row>
    <row r="777">
      <c r="A777" s="7" t="inlineStr">
        <is>
          <t>WHAP-0773</t>
        </is>
      </c>
      <c r="B777" s="7" t="inlineStr">
        <is>
          <t>ROU-0773</t>
        </is>
      </c>
      <c r="C777" s="7" t="inlineStr">
        <is>
          <t>insert run-flat — AVG2</t>
        </is>
      </c>
      <c r="D777" s="7" t="inlineStr">
        <is>
          <t>Roues et pneus</t>
        </is>
      </c>
      <c r="E777" s="7" t="inlineStr">
        <is>
          <t>Roues et pneus</t>
        </is>
      </c>
      <c r="F777" s="7" t="inlineStr">
        <is>
          <t>PIECE_VEHICULE</t>
        </is>
      </c>
      <c r="G777" s="7" t="inlineStr">
        <is>
          <t>unité</t>
        </is>
      </c>
      <c r="H777" s="7" t="inlineStr">
        <is>
          <t>LARGE</t>
        </is>
      </c>
      <c r="I777" s="7" t="n">
        <v>0</v>
      </c>
      <c r="J777" s="7" t="inlineStr">
        <is>
          <t>C-01-01</t>
        </is>
      </c>
      <c r="K777" s="7" t="inlineStr"/>
      <c r="L777" s="9" t="n">
        <v>0</v>
      </c>
      <c r="M777" s="9" t="n">
        <v>0</v>
      </c>
      <c r="N777" s="9" t="n">
        <v>28</v>
      </c>
      <c r="O777" s="7" t="inlineStr">
        <is>
          <t>DEL</t>
        </is>
      </c>
      <c r="P777" s="7" t="inlineStr">
        <is>
          <t>IMPORTANT</t>
        </is>
      </c>
      <c r="Q777" s="7" t="inlineStr">
        <is>
          <t>WHAP</t>
        </is>
      </c>
      <c r="R777" s="7" t="inlineStr">
        <is>
          <t>OUI</t>
        </is>
      </c>
      <c r="S777" s="7" t="inlineStr">
        <is>
          <t>31/08/2026 02:59</t>
        </is>
      </c>
    </row>
    <row r="778">
      <c r="A778" s="8" t="inlineStr">
        <is>
          <t>WHAP-0774</t>
        </is>
      </c>
      <c r="B778" s="8" t="inlineStr">
        <is>
          <t>ROU-0774</t>
        </is>
      </c>
      <c r="C778" s="8" t="inlineStr">
        <is>
          <t>valve de pneu — AVG2</t>
        </is>
      </c>
      <c r="D778" s="8" t="inlineStr">
        <is>
          <t>Roues et pneus</t>
        </is>
      </c>
      <c r="E778" s="8" t="inlineStr">
        <is>
          <t>Roues et pneus</t>
        </is>
      </c>
      <c r="F778" s="8" t="inlineStr">
        <is>
          <t>PIECE_VEHICULE</t>
        </is>
      </c>
      <c r="G778" s="8" t="inlineStr">
        <is>
          <t>unité</t>
        </is>
      </c>
      <c r="H778" s="8" t="inlineStr">
        <is>
          <t>LARGE</t>
        </is>
      </c>
      <c r="I778" s="8" t="n">
        <v>0</v>
      </c>
      <c r="J778" s="8" t="inlineStr">
        <is>
          <t>E-05-01</t>
        </is>
      </c>
      <c r="K778" s="8" t="inlineStr"/>
      <c r="L778" s="10" t="n">
        <v>0</v>
      </c>
      <c r="M778" s="10" t="n">
        <v>0</v>
      </c>
      <c r="N778" s="10" t="n">
        <v>29</v>
      </c>
      <c r="O778" s="8" t="inlineStr">
        <is>
          <t>MAG</t>
        </is>
      </c>
      <c r="P778" s="8" t="inlineStr">
        <is>
          <t>IMPORTANT</t>
        </is>
      </c>
      <c r="Q778" s="8" t="inlineStr">
        <is>
          <t>WHAP</t>
        </is>
      </c>
      <c r="R778" s="8" t="inlineStr">
        <is>
          <t>OUI</t>
        </is>
      </c>
      <c r="S778" s="8" t="inlineStr">
        <is>
          <t>31/08/2026 02:59</t>
        </is>
      </c>
    </row>
    <row r="779">
      <c r="A779" s="7" t="inlineStr">
        <is>
          <t>WHAP-0775</t>
        </is>
      </c>
      <c r="B779" s="7" t="inlineStr">
        <is>
          <t>ROU-0775</t>
        </is>
      </c>
      <c r="C779" s="7" t="inlineStr">
        <is>
          <t>capteur pression pneu — AVG2</t>
        </is>
      </c>
      <c r="D779" s="7" t="inlineStr">
        <is>
          <t>Roues et pneus</t>
        </is>
      </c>
      <c r="E779" s="7" t="inlineStr">
        <is>
          <t>Roues et pneus</t>
        </is>
      </c>
      <c r="F779" s="7" t="inlineStr">
        <is>
          <t>PIECE_VEHICULE</t>
        </is>
      </c>
      <c r="G779" s="7" t="inlineStr">
        <is>
          <t>unité</t>
        </is>
      </c>
      <c r="H779" s="7" t="inlineStr">
        <is>
          <t>LARGE</t>
        </is>
      </c>
      <c r="I779" s="7" t="n">
        <v>0</v>
      </c>
      <c r="J779" s="7" t="inlineStr">
        <is>
          <t>E-01-04</t>
        </is>
      </c>
      <c r="K779" s="7" t="inlineStr"/>
      <c r="L779" s="9" t="n">
        <v>0</v>
      </c>
      <c r="M779" s="9" t="n">
        <v>0</v>
      </c>
      <c r="N779" s="9" t="n">
        <v>23</v>
      </c>
      <c r="O779" s="7" t="inlineStr">
        <is>
          <t>DEL</t>
        </is>
      </c>
      <c r="P779" s="7" t="inlineStr">
        <is>
          <t>IMPORTANT</t>
        </is>
      </c>
      <c r="Q779" s="7" t="inlineStr">
        <is>
          <t>WHAP</t>
        </is>
      </c>
      <c r="R779" s="7" t="inlineStr">
        <is>
          <t>OUI</t>
        </is>
      </c>
      <c r="S779" s="7" t="inlineStr">
        <is>
          <t>31/08/2026 02:59</t>
        </is>
      </c>
    </row>
    <row r="780">
      <c r="A780" s="8" t="inlineStr">
        <is>
          <t>WHAP-0776</t>
        </is>
      </c>
      <c r="B780" s="8" t="inlineStr">
        <is>
          <t>ROU-0776</t>
        </is>
      </c>
      <c r="C780" s="8" t="inlineStr">
        <is>
          <t>écrou de roue — AVG2</t>
        </is>
      </c>
      <c r="D780" s="8" t="inlineStr">
        <is>
          <t>Roues et pneus</t>
        </is>
      </c>
      <c r="E780" s="8" t="inlineStr">
        <is>
          <t>Roues et pneus</t>
        </is>
      </c>
      <c r="F780" s="8" t="inlineStr">
        <is>
          <t>PIECE_VEHICULE</t>
        </is>
      </c>
      <c r="G780" s="8" t="inlineStr">
        <is>
          <t>unité</t>
        </is>
      </c>
      <c r="H780" s="8" t="inlineStr">
        <is>
          <t>LARGE</t>
        </is>
      </c>
      <c r="I780" s="8" t="n">
        <v>0</v>
      </c>
      <c r="J780" s="8" t="inlineStr">
        <is>
          <t>B-02-03</t>
        </is>
      </c>
      <c r="K780" s="8" t="inlineStr"/>
      <c r="L780" s="10" t="n">
        <v>0</v>
      </c>
      <c r="M780" s="10" t="n">
        <v>0</v>
      </c>
      <c r="N780" s="10" t="n">
        <v>29</v>
      </c>
      <c r="O780" s="8" t="inlineStr">
        <is>
          <t>FAU</t>
        </is>
      </c>
      <c r="P780" s="8" t="inlineStr">
        <is>
          <t>IMPORTANT</t>
        </is>
      </c>
      <c r="Q780" s="8" t="inlineStr">
        <is>
          <t>WHAP</t>
        </is>
      </c>
      <c r="R780" s="8" t="inlineStr">
        <is>
          <t>OUI</t>
        </is>
      </c>
      <c r="S780" s="8" t="inlineStr">
        <is>
          <t>31/08/2026 02:59</t>
        </is>
      </c>
    </row>
    <row r="781">
      <c r="A781" s="7" t="inlineStr">
        <is>
          <t>WHAP-0777</t>
        </is>
      </c>
      <c r="B781" s="7" t="inlineStr">
        <is>
          <t>ROU-0777</t>
        </is>
      </c>
      <c r="C781" s="7" t="inlineStr">
        <is>
          <t>goujon de roue — AVG2</t>
        </is>
      </c>
      <c r="D781" s="7" t="inlineStr">
        <is>
          <t>Roues et pneus</t>
        </is>
      </c>
      <c r="E781" s="7" t="inlineStr">
        <is>
          <t>Roues et pneus</t>
        </is>
      </c>
      <c r="F781" s="7" t="inlineStr">
        <is>
          <t>PIECE_VEHICULE</t>
        </is>
      </c>
      <c r="G781" s="7" t="inlineStr">
        <is>
          <t>unité</t>
        </is>
      </c>
      <c r="H781" s="7" t="inlineStr">
        <is>
          <t>LARGE</t>
        </is>
      </c>
      <c r="I781" s="7" t="n">
        <v>0</v>
      </c>
      <c r="J781" s="7" t="inlineStr">
        <is>
          <t>A-05-01</t>
        </is>
      </c>
      <c r="K781" s="7" t="inlineStr"/>
      <c r="L781" s="9" t="n">
        <v>0</v>
      </c>
      <c r="M781" s="9" t="n">
        <v>0</v>
      </c>
      <c r="N781" s="9" t="n">
        <v>22</v>
      </c>
      <c r="O781" s="7" t="inlineStr">
        <is>
          <t>BOS</t>
        </is>
      </c>
      <c r="P781" s="7" t="inlineStr">
        <is>
          <t>IMPORTANT</t>
        </is>
      </c>
      <c r="Q781" s="7" t="inlineStr">
        <is>
          <t>WHAP</t>
        </is>
      </c>
      <c r="R781" s="7" t="inlineStr">
        <is>
          <t>OUI</t>
        </is>
      </c>
      <c r="S781" s="7" t="inlineStr">
        <is>
          <t>31/08/2026 02:59</t>
        </is>
      </c>
    </row>
    <row r="782">
      <c r="A782" s="8" t="inlineStr">
        <is>
          <t>WHAP-0778</t>
        </is>
      </c>
      <c r="B782" s="8" t="inlineStr">
        <is>
          <t>ROU-0778</t>
        </is>
      </c>
      <c r="C782" s="8" t="inlineStr">
        <is>
          <t>entretoise de roue — AVG2</t>
        </is>
      </c>
      <c r="D782" s="8" t="inlineStr">
        <is>
          <t>Roues et pneus</t>
        </is>
      </c>
      <c r="E782" s="8" t="inlineStr">
        <is>
          <t>Roues et pneus</t>
        </is>
      </c>
      <c r="F782" s="8" t="inlineStr">
        <is>
          <t>PIECE_VEHICULE</t>
        </is>
      </c>
      <c r="G782" s="8" t="inlineStr">
        <is>
          <t>unité</t>
        </is>
      </c>
      <c r="H782" s="8" t="inlineStr">
        <is>
          <t>LARGE</t>
        </is>
      </c>
      <c r="I782" s="8" t="n">
        <v>0</v>
      </c>
      <c r="J782" s="8" t="inlineStr">
        <is>
          <t>F-02-04</t>
        </is>
      </c>
      <c r="K782" s="8" t="inlineStr"/>
      <c r="L782" s="10" t="n">
        <v>0</v>
      </c>
      <c r="M782" s="10" t="n">
        <v>0</v>
      </c>
      <c r="N782" s="10" t="n">
        <v>23</v>
      </c>
      <c r="O782" s="8" t="inlineStr">
        <is>
          <t>VAL</t>
        </is>
      </c>
      <c r="P782" s="8" t="inlineStr">
        <is>
          <t>IMPORTANT</t>
        </is>
      </c>
      <c r="Q782" s="8" t="inlineStr">
        <is>
          <t>WHAP</t>
        </is>
      </c>
      <c r="R782" s="8" t="inlineStr">
        <is>
          <t>OUI</t>
        </is>
      </c>
      <c r="S782" s="8" t="inlineStr">
        <is>
          <t>31/08/2026 02:59</t>
        </is>
      </c>
    </row>
    <row r="783">
      <c r="A783" s="7" t="inlineStr">
        <is>
          <t>WHAP-0779</t>
        </is>
      </c>
      <c r="B783" s="7" t="inlineStr">
        <is>
          <t>ROU-0779</t>
        </is>
      </c>
      <c r="C783" s="7" t="inlineStr">
        <is>
          <t>moyeu — AVG2</t>
        </is>
      </c>
      <c r="D783" s="7" t="inlineStr">
        <is>
          <t>Roues et pneus</t>
        </is>
      </c>
      <c r="E783" s="7" t="inlineStr">
        <is>
          <t>Roues et pneus</t>
        </is>
      </c>
      <c r="F783" s="7" t="inlineStr">
        <is>
          <t>PIECE_VEHICULE</t>
        </is>
      </c>
      <c r="G783" s="7" t="inlineStr">
        <is>
          <t>unité</t>
        </is>
      </c>
      <c r="H783" s="7" t="inlineStr">
        <is>
          <t>LARGE</t>
        </is>
      </c>
      <c r="I783" s="7" t="n">
        <v>0</v>
      </c>
      <c r="J783" s="7" t="inlineStr">
        <is>
          <t>A-02-04</t>
        </is>
      </c>
      <c r="K783" s="7" t="inlineStr"/>
      <c r="L783" s="9" t="n">
        <v>0</v>
      </c>
      <c r="M783" s="9" t="n">
        <v>0</v>
      </c>
      <c r="N783" s="9" t="n">
        <v>29</v>
      </c>
      <c r="O783" s="7" t="inlineStr">
        <is>
          <t>SUM</t>
        </is>
      </c>
      <c r="P783" s="7" t="inlineStr">
        <is>
          <t>IMPORTANT</t>
        </is>
      </c>
      <c r="Q783" s="7" t="inlineStr">
        <is>
          <t>WHAP</t>
        </is>
      </c>
      <c r="R783" s="7" t="inlineStr">
        <is>
          <t>OUI</t>
        </is>
      </c>
      <c r="S783" s="7" t="inlineStr">
        <is>
          <t>31/08/2026 02:59</t>
        </is>
      </c>
    </row>
    <row r="784">
      <c r="A784" s="8" t="inlineStr">
        <is>
          <t>WHAP-0780</t>
        </is>
      </c>
      <c r="B784" s="8" t="inlineStr">
        <is>
          <t>ROU-0780</t>
        </is>
      </c>
      <c r="C784" s="8" t="inlineStr">
        <is>
          <t>cache-moyeu — AVG2</t>
        </is>
      </c>
      <c r="D784" s="8" t="inlineStr">
        <is>
          <t>Roues et pneus</t>
        </is>
      </c>
      <c r="E784" s="8" t="inlineStr">
        <is>
          <t>Roues et pneus</t>
        </is>
      </c>
      <c r="F784" s="8" t="inlineStr">
        <is>
          <t>PIECE_VEHICULE</t>
        </is>
      </c>
      <c r="G784" s="8" t="inlineStr">
        <is>
          <t>unité</t>
        </is>
      </c>
      <c r="H784" s="8" t="inlineStr">
        <is>
          <t>LARGE</t>
        </is>
      </c>
      <c r="I784" s="8" t="n">
        <v>0</v>
      </c>
      <c r="J784" s="8" t="inlineStr">
        <is>
          <t>B-02-02</t>
        </is>
      </c>
      <c r="K784" s="8" t="inlineStr"/>
      <c r="L784" s="10" t="n">
        <v>0</v>
      </c>
      <c r="M784" s="10" t="n">
        <v>0</v>
      </c>
      <c r="N784" s="10" t="n">
        <v>22</v>
      </c>
      <c r="O784" s="8" t="inlineStr">
        <is>
          <t>VAL</t>
        </is>
      </c>
      <c r="P784" s="8" t="inlineStr">
        <is>
          <t>IMPORTANT</t>
        </is>
      </c>
      <c r="Q784" s="8" t="inlineStr">
        <is>
          <t>WHAP</t>
        </is>
      </c>
      <c r="R784" s="8" t="inlineStr">
        <is>
          <t>OUI</t>
        </is>
      </c>
      <c r="S784" s="8" t="inlineStr">
        <is>
          <t>31/08/2026 02:59</t>
        </is>
      </c>
    </row>
    <row r="785">
      <c r="A785" s="7" t="inlineStr">
        <is>
          <t>WHAP-0781</t>
        </is>
      </c>
      <c r="B785" s="7" t="inlineStr">
        <is>
          <t>ROU-0781</t>
        </is>
      </c>
      <c r="C785" s="7" t="inlineStr">
        <is>
          <t>joint de moyeu — AVG2</t>
        </is>
      </c>
      <c r="D785" s="7" t="inlineStr">
        <is>
          <t>Roues et pneus</t>
        </is>
      </c>
      <c r="E785" s="7" t="inlineStr">
        <is>
          <t>Roues et pneus</t>
        </is>
      </c>
      <c r="F785" s="7" t="inlineStr">
        <is>
          <t>PIECE_VEHICULE</t>
        </is>
      </c>
      <c r="G785" s="7" t="inlineStr">
        <is>
          <t>unité</t>
        </is>
      </c>
      <c r="H785" s="7" t="inlineStr">
        <is>
          <t>LARGE</t>
        </is>
      </c>
      <c r="I785" s="7" t="n">
        <v>0</v>
      </c>
      <c r="J785" s="7" t="inlineStr">
        <is>
          <t>B-05-04</t>
        </is>
      </c>
      <c r="K785" s="7" t="inlineStr"/>
      <c r="L785" s="9" t="n">
        <v>0</v>
      </c>
      <c r="M785" s="9" t="n">
        <v>0</v>
      </c>
      <c r="N785" s="9" t="n">
        <v>28</v>
      </c>
      <c r="O785" s="7" t="inlineStr">
        <is>
          <t>VAL</t>
        </is>
      </c>
      <c r="P785" s="7" t="inlineStr">
        <is>
          <t>IMPORTANT</t>
        </is>
      </c>
      <c r="Q785" s="7" t="inlineStr">
        <is>
          <t>WHAP</t>
        </is>
      </c>
      <c r="R785" s="7" t="inlineStr">
        <is>
          <t>OUI</t>
        </is>
      </c>
      <c r="S785" s="7" t="inlineStr">
        <is>
          <t>31/08/2026 02:59</t>
        </is>
      </c>
    </row>
    <row r="786">
      <c r="A786" s="8" t="inlineStr">
        <is>
          <t>WHAP-0782</t>
        </is>
      </c>
      <c r="B786" s="8" t="inlineStr">
        <is>
          <t>ROU-0782</t>
        </is>
      </c>
      <c r="C786" s="8" t="inlineStr">
        <is>
          <t>roulement de roue — AVG2</t>
        </is>
      </c>
      <c r="D786" s="8" t="inlineStr">
        <is>
          <t>Roues et pneus</t>
        </is>
      </c>
      <c r="E786" s="8" t="inlineStr">
        <is>
          <t>Roues et pneus</t>
        </is>
      </c>
      <c r="F786" s="8" t="inlineStr">
        <is>
          <t>PIECE_VEHICULE</t>
        </is>
      </c>
      <c r="G786" s="8" t="inlineStr">
        <is>
          <t>unité</t>
        </is>
      </c>
      <c r="H786" s="8" t="inlineStr">
        <is>
          <t>LARGE</t>
        </is>
      </c>
      <c r="I786" s="8" t="n">
        <v>0</v>
      </c>
      <c r="J786" s="8" t="inlineStr">
        <is>
          <t>A-02-03</t>
        </is>
      </c>
      <c r="K786" s="8" t="inlineStr"/>
      <c r="L786" s="10" t="n">
        <v>0</v>
      </c>
      <c r="M786" s="10" t="n">
        <v>0</v>
      </c>
      <c r="N786" s="10" t="n">
        <v>29</v>
      </c>
      <c r="O786" s="8" t="inlineStr">
        <is>
          <t>MAG</t>
        </is>
      </c>
      <c r="P786" s="8" t="inlineStr">
        <is>
          <t>IMPORTANT</t>
        </is>
      </c>
      <c r="Q786" s="8" t="inlineStr">
        <is>
          <t>WHAP</t>
        </is>
      </c>
      <c r="R786" s="8" t="inlineStr">
        <is>
          <t>OUI</t>
        </is>
      </c>
      <c r="S786" s="8" t="inlineStr">
        <is>
          <t>31/08/2026 02:59</t>
        </is>
      </c>
    </row>
    <row r="787">
      <c r="A787" s="7" t="inlineStr">
        <is>
          <t>WHAP-0783</t>
        </is>
      </c>
      <c r="B787" s="7" t="inlineStr">
        <is>
          <t>ROU-0783</t>
        </is>
      </c>
      <c r="C787" s="7" t="inlineStr">
        <is>
          <t>bague de roulement — AVG2</t>
        </is>
      </c>
      <c r="D787" s="7" t="inlineStr">
        <is>
          <t>Roues et pneus</t>
        </is>
      </c>
      <c r="E787" s="7" t="inlineStr">
        <is>
          <t>Roues et pneus</t>
        </is>
      </c>
      <c r="F787" s="7" t="inlineStr">
        <is>
          <t>PIECE_VEHICULE</t>
        </is>
      </c>
      <c r="G787" s="7" t="inlineStr">
        <is>
          <t>unité</t>
        </is>
      </c>
      <c r="H787" s="7" t="inlineStr">
        <is>
          <t>LARGE</t>
        </is>
      </c>
      <c r="I787" s="7" t="n">
        <v>0</v>
      </c>
      <c r="J787" s="7" t="inlineStr">
        <is>
          <t>B-03-03</t>
        </is>
      </c>
      <c r="K787" s="7" t="inlineStr"/>
      <c r="L787" s="9" t="n">
        <v>0</v>
      </c>
      <c r="M787" s="9" t="n">
        <v>0</v>
      </c>
      <c r="N787" s="9" t="n">
        <v>23</v>
      </c>
      <c r="O787" s="7" t="inlineStr">
        <is>
          <t>SKF</t>
        </is>
      </c>
      <c r="P787" s="7" t="inlineStr">
        <is>
          <t>IMPORTANT</t>
        </is>
      </c>
      <c r="Q787" s="7" t="inlineStr">
        <is>
          <t>WHAP</t>
        </is>
      </c>
      <c r="R787" s="7" t="inlineStr">
        <is>
          <t>OUI</t>
        </is>
      </c>
      <c r="S787" s="7" t="inlineStr">
        <is>
          <t>31/08/2026 02:59</t>
        </is>
      </c>
    </row>
    <row r="788">
      <c r="A788" s="8" t="inlineStr">
        <is>
          <t>WHAP-0784</t>
        </is>
      </c>
      <c r="B788" s="8" t="inlineStr">
        <is>
          <t>ROU-0784</t>
        </is>
      </c>
      <c r="C788" s="8" t="inlineStr">
        <is>
          <t>anneau de retenue — AVG2</t>
        </is>
      </c>
      <c r="D788" s="8" t="inlineStr">
        <is>
          <t>Roues et pneus</t>
        </is>
      </c>
      <c r="E788" s="8" t="inlineStr">
        <is>
          <t>Roues et pneus</t>
        </is>
      </c>
      <c r="F788" s="8" t="inlineStr">
        <is>
          <t>PIECE_VEHICULE</t>
        </is>
      </c>
      <c r="G788" s="8" t="inlineStr">
        <is>
          <t>unité</t>
        </is>
      </c>
      <c r="H788" s="8" t="inlineStr">
        <is>
          <t>LARGE</t>
        </is>
      </c>
      <c r="I788" s="8" t="n">
        <v>0</v>
      </c>
      <c r="J788" s="8" t="inlineStr">
        <is>
          <t>E-05-04</t>
        </is>
      </c>
      <c r="K788" s="8" t="inlineStr"/>
      <c r="L788" s="10" t="n">
        <v>0</v>
      </c>
      <c r="M788" s="10" t="n">
        <v>0</v>
      </c>
      <c r="N788" s="10" t="n">
        <v>25</v>
      </c>
      <c r="O788" s="8" t="inlineStr">
        <is>
          <t>SUM</t>
        </is>
      </c>
      <c r="P788" s="8" t="inlineStr">
        <is>
          <t>IMPORTANT</t>
        </is>
      </c>
      <c r="Q788" s="8" t="inlineStr">
        <is>
          <t>WHAP</t>
        </is>
      </c>
      <c r="R788" s="8" t="inlineStr">
        <is>
          <t>OUI</t>
        </is>
      </c>
      <c r="S788" s="8" t="inlineStr">
        <is>
          <t>31/08/2026 02:59</t>
        </is>
      </c>
    </row>
    <row r="789">
      <c r="A789" s="7" t="inlineStr">
        <is>
          <t>WHAP-0785</t>
        </is>
      </c>
      <c r="B789" s="7" t="inlineStr">
        <is>
          <t>ROU-0785</t>
        </is>
      </c>
      <c r="C789" s="7" t="inlineStr">
        <is>
          <t>disque de jante — AVG2</t>
        </is>
      </c>
      <c r="D789" s="7" t="inlineStr">
        <is>
          <t>Roues et pneus</t>
        </is>
      </c>
      <c r="E789" s="7" t="inlineStr">
        <is>
          <t>Roues et pneus</t>
        </is>
      </c>
      <c r="F789" s="7" t="inlineStr">
        <is>
          <t>PIECE_VEHICULE</t>
        </is>
      </c>
      <c r="G789" s="7" t="inlineStr">
        <is>
          <t>unité</t>
        </is>
      </c>
      <c r="H789" s="7" t="inlineStr">
        <is>
          <t>LARGE</t>
        </is>
      </c>
      <c r="I789" s="7" t="n">
        <v>0</v>
      </c>
      <c r="J789" s="7" t="inlineStr">
        <is>
          <t>B-01-03</t>
        </is>
      </c>
      <c r="K789" s="7" t="inlineStr"/>
      <c r="L789" s="9" t="n">
        <v>0</v>
      </c>
      <c r="M789" s="9" t="n">
        <v>0</v>
      </c>
      <c r="N789" s="9" t="n">
        <v>29</v>
      </c>
      <c r="O789" s="7" t="inlineStr">
        <is>
          <t>SKF</t>
        </is>
      </c>
      <c r="P789" s="7" t="inlineStr">
        <is>
          <t>IMPORTANT</t>
        </is>
      </c>
      <c r="Q789" s="7" t="inlineStr">
        <is>
          <t>WHAP</t>
        </is>
      </c>
      <c r="R789" s="7" t="inlineStr">
        <is>
          <t>OUI</t>
        </is>
      </c>
      <c r="S789" s="7" t="inlineStr">
        <is>
          <t>31/08/2026 02:59</t>
        </is>
      </c>
    </row>
    <row r="790">
      <c r="A790" s="8" t="inlineStr">
        <is>
          <t>WHAP-0786</t>
        </is>
      </c>
      <c r="B790" s="8" t="inlineStr">
        <is>
          <t>ROU-0786</t>
        </is>
      </c>
      <c r="C790" s="8" t="inlineStr">
        <is>
          <t>cerclage de jante — AVG2</t>
        </is>
      </c>
      <c r="D790" s="8" t="inlineStr">
        <is>
          <t>Roues et pneus</t>
        </is>
      </c>
      <c r="E790" s="8" t="inlineStr">
        <is>
          <t>Roues et pneus</t>
        </is>
      </c>
      <c r="F790" s="8" t="inlineStr">
        <is>
          <t>PIECE_VEHICULE</t>
        </is>
      </c>
      <c r="G790" s="8" t="inlineStr">
        <is>
          <t>unité</t>
        </is>
      </c>
      <c r="H790" s="8" t="inlineStr">
        <is>
          <t>LARGE</t>
        </is>
      </c>
      <c r="I790" s="8" t="n">
        <v>0</v>
      </c>
      <c r="J790" s="8" t="inlineStr">
        <is>
          <t>C-02-01</t>
        </is>
      </c>
      <c r="K790" s="8" t="inlineStr"/>
      <c r="L790" s="10" t="n">
        <v>0</v>
      </c>
      <c r="M790" s="10" t="n">
        <v>0</v>
      </c>
      <c r="N790" s="10" t="n">
        <v>24</v>
      </c>
      <c r="O790" s="8" t="inlineStr">
        <is>
          <t>DEL</t>
        </is>
      </c>
      <c r="P790" s="8" t="inlineStr">
        <is>
          <t>IMPORTANT</t>
        </is>
      </c>
      <c r="Q790" s="8" t="inlineStr">
        <is>
          <t>WHAP</t>
        </is>
      </c>
      <c r="R790" s="8" t="inlineStr">
        <is>
          <t>OUI</t>
        </is>
      </c>
      <c r="S790" s="8" t="inlineStr">
        <is>
          <t>31/08/2026 02:59</t>
        </is>
      </c>
    </row>
    <row r="791">
      <c r="A791" s="7" t="inlineStr">
        <is>
          <t>WHAP-0787</t>
        </is>
      </c>
      <c r="B791" s="7" t="inlineStr">
        <is>
          <t>ROU-0787</t>
        </is>
      </c>
      <c r="C791" s="7" t="inlineStr">
        <is>
          <t>système CTIS — AVG2</t>
        </is>
      </c>
      <c r="D791" s="7" t="inlineStr">
        <is>
          <t>Roues et pneus</t>
        </is>
      </c>
      <c r="E791" s="7" t="inlineStr">
        <is>
          <t>Roues et pneus</t>
        </is>
      </c>
      <c r="F791" s="7" t="inlineStr">
        <is>
          <t>PIECE_VEHICULE</t>
        </is>
      </c>
      <c r="G791" s="7" t="inlineStr">
        <is>
          <t>unité</t>
        </is>
      </c>
      <c r="H791" s="7" t="inlineStr">
        <is>
          <t>LARGE</t>
        </is>
      </c>
      <c r="I791" s="7" t="n">
        <v>0</v>
      </c>
      <c r="J791" s="7" t="inlineStr">
        <is>
          <t>B-03-02</t>
        </is>
      </c>
      <c r="K791" s="7" t="inlineStr"/>
      <c r="L791" s="9" t="n">
        <v>0</v>
      </c>
      <c r="M791" s="9" t="n">
        <v>0</v>
      </c>
      <c r="N791" s="9" t="n">
        <v>26</v>
      </c>
      <c r="O791" s="7" t="inlineStr">
        <is>
          <t>FAU</t>
        </is>
      </c>
      <c r="P791" s="7" t="inlineStr">
        <is>
          <t>IMPORTANT</t>
        </is>
      </c>
      <c r="Q791" s="7" t="inlineStr">
        <is>
          <t>WHAP</t>
        </is>
      </c>
      <c r="R791" s="7" t="inlineStr">
        <is>
          <t>OUI</t>
        </is>
      </c>
      <c r="S791" s="7" t="inlineStr">
        <is>
          <t>31/08/2026 02:59</t>
        </is>
      </c>
    </row>
    <row r="792">
      <c r="A792" s="8" t="inlineStr">
        <is>
          <t>WHAP-0788</t>
        </is>
      </c>
      <c r="B792" s="8" t="inlineStr">
        <is>
          <t>ROU-0788</t>
        </is>
      </c>
      <c r="C792" s="8" t="inlineStr">
        <is>
          <t>rotor CTIS — AVG2</t>
        </is>
      </c>
      <c r="D792" s="8" t="inlineStr">
        <is>
          <t>Roues et pneus</t>
        </is>
      </c>
      <c r="E792" s="8" t="inlineStr">
        <is>
          <t>Roues et pneus</t>
        </is>
      </c>
      <c r="F792" s="8" t="inlineStr">
        <is>
          <t>PIECE_VEHICULE</t>
        </is>
      </c>
      <c r="G792" s="8" t="inlineStr">
        <is>
          <t>unité</t>
        </is>
      </c>
      <c r="H792" s="8" t="inlineStr">
        <is>
          <t>LARGE</t>
        </is>
      </c>
      <c r="I792" s="8" t="n">
        <v>0</v>
      </c>
      <c r="J792" s="8" t="inlineStr">
        <is>
          <t>C-06-04</t>
        </is>
      </c>
      <c r="K792" s="8" t="inlineStr"/>
      <c r="L792" s="10" t="n">
        <v>0</v>
      </c>
      <c r="M792" s="10" t="n">
        <v>0</v>
      </c>
      <c r="N792" s="10" t="n">
        <v>23</v>
      </c>
      <c r="O792" s="8" t="inlineStr">
        <is>
          <t>SUM</t>
        </is>
      </c>
      <c r="P792" s="8" t="inlineStr">
        <is>
          <t>IMPORTANT</t>
        </is>
      </c>
      <c r="Q792" s="8" t="inlineStr">
        <is>
          <t>WHAP</t>
        </is>
      </c>
      <c r="R792" s="8" t="inlineStr">
        <is>
          <t>OUI</t>
        </is>
      </c>
      <c r="S792" s="8" t="inlineStr">
        <is>
          <t>31/08/2026 02:59</t>
        </is>
      </c>
    </row>
    <row r="793">
      <c r="A793" s="7" t="inlineStr">
        <is>
          <t>WHAP-0789</t>
        </is>
      </c>
      <c r="B793" s="7" t="inlineStr">
        <is>
          <t>ROU-0789</t>
        </is>
      </c>
      <c r="C793" s="7" t="inlineStr">
        <is>
          <t>joint tournant CTIS — AVG2</t>
        </is>
      </c>
      <c r="D793" s="7" t="inlineStr">
        <is>
          <t>Roues et pneus</t>
        </is>
      </c>
      <c r="E793" s="7" t="inlineStr">
        <is>
          <t>Roues et pneus</t>
        </is>
      </c>
      <c r="F793" s="7" t="inlineStr">
        <is>
          <t>PIECE_VEHICULE</t>
        </is>
      </c>
      <c r="G793" s="7" t="inlineStr">
        <is>
          <t>unité</t>
        </is>
      </c>
      <c r="H793" s="7" t="inlineStr">
        <is>
          <t>LARGE</t>
        </is>
      </c>
      <c r="I793" s="7" t="n">
        <v>0</v>
      </c>
      <c r="J793" s="7" t="inlineStr">
        <is>
          <t>B-04-04</t>
        </is>
      </c>
      <c r="K793" s="7" t="inlineStr"/>
      <c r="L793" s="9" t="n">
        <v>0</v>
      </c>
      <c r="M793" s="9" t="n">
        <v>0</v>
      </c>
      <c r="N793" s="9" t="n">
        <v>26</v>
      </c>
      <c r="O793" s="7" t="inlineStr">
        <is>
          <t>YZK</t>
        </is>
      </c>
      <c r="P793" s="7" t="inlineStr">
        <is>
          <t>IMPORTANT</t>
        </is>
      </c>
      <c r="Q793" s="7" t="inlineStr">
        <is>
          <t>WHAP</t>
        </is>
      </c>
      <c r="R793" s="7" t="inlineStr">
        <is>
          <t>OUI</t>
        </is>
      </c>
      <c r="S793" s="7" t="inlineStr">
        <is>
          <t>31/08/2026 02:59</t>
        </is>
      </c>
    </row>
    <row r="794">
      <c r="A794" s="8" t="inlineStr">
        <is>
          <t>WHAP-0790</t>
        </is>
      </c>
      <c r="B794" s="8" t="inlineStr">
        <is>
          <t>ROU-0790</t>
        </is>
      </c>
      <c r="C794" s="8" t="inlineStr">
        <is>
          <t>flexible CTIS — AVG2</t>
        </is>
      </c>
      <c r="D794" s="8" t="inlineStr">
        <is>
          <t>Roues et pneus</t>
        </is>
      </c>
      <c r="E794" s="8" t="inlineStr">
        <is>
          <t>Roues et pneus</t>
        </is>
      </c>
      <c r="F794" s="8" t="inlineStr">
        <is>
          <t>PIECE_VEHICULE</t>
        </is>
      </c>
      <c r="G794" s="8" t="inlineStr">
        <is>
          <t>unité</t>
        </is>
      </c>
      <c r="H794" s="8" t="inlineStr">
        <is>
          <t>LARGE</t>
        </is>
      </c>
      <c r="I794" s="8" t="n">
        <v>0</v>
      </c>
      <c r="J794" s="8" t="inlineStr">
        <is>
          <t>C-05-03</t>
        </is>
      </c>
      <c r="K794" s="8" t="inlineStr"/>
      <c r="L794" s="10" t="n">
        <v>0</v>
      </c>
      <c r="M794" s="10" t="n">
        <v>0</v>
      </c>
      <c r="N794" s="10" t="n">
        <v>26</v>
      </c>
      <c r="O794" s="8" t="inlineStr">
        <is>
          <t>SUM</t>
        </is>
      </c>
      <c r="P794" s="8" t="inlineStr">
        <is>
          <t>IMPORTANT</t>
        </is>
      </c>
      <c r="Q794" s="8" t="inlineStr">
        <is>
          <t>WHAP</t>
        </is>
      </c>
      <c r="R794" s="8" t="inlineStr">
        <is>
          <t>OUI</t>
        </is>
      </c>
      <c r="S794" s="8" t="inlineStr">
        <is>
          <t>31/08/2026 02:59</t>
        </is>
      </c>
    </row>
    <row r="795">
      <c r="A795" s="7" t="inlineStr">
        <is>
          <t>WHAP-0791</t>
        </is>
      </c>
      <c r="B795" s="7" t="inlineStr">
        <is>
          <t>ROU-0791</t>
        </is>
      </c>
      <c r="C795" s="7" t="inlineStr">
        <is>
          <t>raccord CTIS — AVG2</t>
        </is>
      </c>
      <c r="D795" s="7" t="inlineStr">
        <is>
          <t>Roues et pneus</t>
        </is>
      </c>
      <c r="E795" s="7" t="inlineStr">
        <is>
          <t>Roues et pneus</t>
        </is>
      </c>
      <c r="F795" s="7" t="inlineStr">
        <is>
          <t>PIECE_VEHICULE</t>
        </is>
      </c>
      <c r="G795" s="7" t="inlineStr">
        <is>
          <t>unité</t>
        </is>
      </c>
      <c r="H795" s="7" t="inlineStr">
        <is>
          <t>LARGE</t>
        </is>
      </c>
      <c r="I795" s="7" t="n">
        <v>0</v>
      </c>
      <c r="J795" s="7" t="inlineStr">
        <is>
          <t>C-04-04</t>
        </is>
      </c>
      <c r="K795" s="7" t="inlineStr"/>
      <c r="L795" s="9" t="n">
        <v>0</v>
      </c>
      <c r="M795" s="9" t="n">
        <v>0</v>
      </c>
      <c r="N795" s="9" t="n">
        <v>25</v>
      </c>
      <c r="O795" s="7" t="inlineStr">
        <is>
          <t>BOS</t>
        </is>
      </c>
      <c r="P795" s="7" t="inlineStr">
        <is>
          <t>IMPORTANT</t>
        </is>
      </c>
      <c r="Q795" s="7" t="inlineStr">
        <is>
          <t>WHAP</t>
        </is>
      </c>
      <c r="R795" s="7" t="inlineStr">
        <is>
          <t>OUI</t>
        </is>
      </c>
      <c r="S795" s="7" t="inlineStr">
        <is>
          <t>31/08/2026 02:59</t>
        </is>
      </c>
    </row>
    <row r="796">
      <c r="A796" s="8" t="inlineStr">
        <is>
          <t>WHAP-0792</t>
        </is>
      </c>
      <c r="B796" s="8" t="inlineStr">
        <is>
          <t>ROU-0792</t>
        </is>
      </c>
      <c r="C796" s="8" t="inlineStr">
        <is>
          <t>valve CTIS — AVG2</t>
        </is>
      </c>
      <c r="D796" s="8" t="inlineStr">
        <is>
          <t>Roues et pneus</t>
        </is>
      </c>
      <c r="E796" s="8" t="inlineStr">
        <is>
          <t>Roues et pneus</t>
        </is>
      </c>
      <c r="F796" s="8" t="inlineStr">
        <is>
          <t>PIECE_VEHICULE</t>
        </is>
      </c>
      <c r="G796" s="8" t="inlineStr">
        <is>
          <t>unité</t>
        </is>
      </c>
      <c r="H796" s="8" t="inlineStr">
        <is>
          <t>LARGE</t>
        </is>
      </c>
      <c r="I796" s="8" t="n">
        <v>0</v>
      </c>
      <c r="J796" s="8" t="inlineStr">
        <is>
          <t>F-06-01</t>
        </is>
      </c>
      <c r="K796" s="8" t="inlineStr"/>
      <c r="L796" s="10" t="n">
        <v>0</v>
      </c>
      <c r="M796" s="10" t="n">
        <v>0</v>
      </c>
      <c r="N796" s="10" t="n">
        <v>29</v>
      </c>
      <c r="O796" s="8" t="inlineStr">
        <is>
          <t>VAL</t>
        </is>
      </c>
      <c r="P796" s="8" t="inlineStr">
        <is>
          <t>IMPORTANT</t>
        </is>
      </c>
      <c r="Q796" s="8" t="inlineStr">
        <is>
          <t>WHAP</t>
        </is>
      </c>
      <c r="R796" s="8" t="inlineStr">
        <is>
          <t>OUI</t>
        </is>
      </c>
      <c r="S796" s="8" t="inlineStr">
        <is>
          <t>31/08/2026 02:59</t>
        </is>
      </c>
    </row>
    <row r="797">
      <c r="A797" s="7" t="inlineStr">
        <is>
          <t>WHAP-0793</t>
        </is>
      </c>
      <c r="B797" s="7" t="inlineStr">
        <is>
          <t>ROU-0793</t>
        </is>
      </c>
      <c r="C797" s="7" t="inlineStr">
        <is>
          <t>manomètre CTIS — AVG2</t>
        </is>
      </c>
      <c r="D797" s="7" t="inlineStr">
        <is>
          <t>Roues et pneus</t>
        </is>
      </c>
      <c r="E797" s="7" t="inlineStr">
        <is>
          <t>Roues et pneus</t>
        </is>
      </c>
      <c r="F797" s="7" t="inlineStr">
        <is>
          <t>PIECE_VEHICULE</t>
        </is>
      </c>
      <c r="G797" s="7" t="inlineStr">
        <is>
          <t>unité</t>
        </is>
      </c>
      <c r="H797" s="7" t="inlineStr">
        <is>
          <t>LARGE</t>
        </is>
      </c>
      <c r="I797" s="7" t="n">
        <v>0</v>
      </c>
      <c r="J797" s="7" t="inlineStr">
        <is>
          <t>C-04-02</t>
        </is>
      </c>
      <c r="K797" s="7" t="inlineStr"/>
      <c r="L797" s="9" t="n">
        <v>0</v>
      </c>
      <c r="M797" s="9" t="n">
        <v>0</v>
      </c>
      <c r="N797" s="9" t="n">
        <v>24</v>
      </c>
      <c r="O797" s="7" t="inlineStr">
        <is>
          <t>MAG</t>
        </is>
      </c>
      <c r="P797" s="7" t="inlineStr">
        <is>
          <t>IMPORTANT</t>
        </is>
      </c>
      <c r="Q797" s="7" t="inlineStr">
        <is>
          <t>WHAP</t>
        </is>
      </c>
      <c r="R797" s="7" t="inlineStr">
        <is>
          <t>OUI</t>
        </is>
      </c>
      <c r="S797" s="7" t="inlineStr">
        <is>
          <t>31/08/2026 02:59</t>
        </is>
      </c>
    </row>
    <row r="798">
      <c r="A798" s="8" t="inlineStr">
        <is>
          <t>WHAP-0794</t>
        </is>
      </c>
      <c r="B798" s="8" t="inlineStr">
        <is>
          <t>ROU-0794</t>
        </is>
      </c>
      <c r="C798" s="8" t="inlineStr">
        <is>
          <t>bloc distributeur CTIS — AVG2</t>
        </is>
      </c>
      <c r="D798" s="8" t="inlineStr">
        <is>
          <t>Roues et pneus</t>
        </is>
      </c>
      <c r="E798" s="8" t="inlineStr">
        <is>
          <t>Roues et pneus</t>
        </is>
      </c>
      <c r="F798" s="8" t="inlineStr">
        <is>
          <t>PIECE_VEHICULE</t>
        </is>
      </c>
      <c r="G798" s="8" t="inlineStr">
        <is>
          <t>unité</t>
        </is>
      </c>
      <c r="H798" s="8" t="inlineStr">
        <is>
          <t>LARGE</t>
        </is>
      </c>
      <c r="I798" s="8" t="n">
        <v>0</v>
      </c>
      <c r="J798" s="8" t="inlineStr">
        <is>
          <t>C-03-02</t>
        </is>
      </c>
      <c r="K798" s="8" t="inlineStr"/>
      <c r="L798" s="10" t="n">
        <v>0</v>
      </c>
      <c r="M798" s="10" t="n">
        <v>0</v>
      </c>
      <c r="N798" s="10" t="n">
        <v>27</v>
      </c>
      <c r="O798" s="8" t="inlineStr">
        <is>
          <t>MAG</t>
        </is>
      </c>
      <c r="P798" s="8" t="inlineStr">
        <is>
          <t>IMPORTANT</t>
        </is>
      </c>
      <c r="Q798" s="8" t="inlineStr">
        <is>
          <t>WHAP</t>
        </is>
      </c>
      <c r="R798" s="8" t="inlineStr">
        <is>
          <t>OUI</t>
        </is>
      </c>
      <c r="S798" s="8" t="inlineStr">
        <is>
          <t>31/08/2026 02:59</t>
        </is>
      </c>
    </row>
    <row r="799">
      <c r="A799" s="7" t="inlineStr">
        <is>
          <t>WHAP-0795</t>
        </is>
      </c>
      <c r="B799" s="7" t="inlineStr">
        <is>
          <t>ROU-0795</t>
        </is>
      </c>
      <c r="C799" s="7" t="inlineStr">
        <is>
          <t>jante — AVD2</t>
        </is>
      </c>
      <c r="D799" s="7" t="inlineStr">
        <is>
          <t>Roues et pneus</t>
        </is>
      </c>
      <c r="E799" s="7" t="inlineStr">
        <is>
          <t>Roues et pneus</t>
        </is>
      </c>
      <c r="F799" s="7" t="inlineStr">
        <is>
          <t>PIECE_VEHICULE</t>
        </is>
      </c>
      <c r="G799" s="7" t="inlineStr">
        <is>
          <t>unité</t>
        </is>
      </c>
      <c r="H799" s="7" t="inlineStr">
        <is>
          <t>LARGE</t>
        </is>
      </c>
      <c r="I799" s="7" t="n">
        <v>0</v>
      </c>
      <c r="J799" s="7" t="inlineStr">
        <is>
          <t>B-02-02</t>
        </is>
      </c>
      <c r="K799" s="7" t="inlineStr"/>
      <c r="L799" s="9" t="n">
        <v>0</v>
      </c>
      <c r="M799" s="9" t="n">
        <v>0</v>
      </c>
      <c r="N799" s="9" t="n">
        <v>28</v>
      </c>
      <c r="O799" s="7" t="inlineStr">
        <is>
          <t>CTL</t>
        </is>
      </c>
      <c r="P799" s="7" t="inlineStr">
        <is>
          <t>IMPORTANT</t>
        </is>
      </c>
      <c r="Q799" s="7" t="inlineStr">
        <is>
          <t>WHAP</t>
        </is>
      </c>
      <c r="R799" s="7" t="inlineStr">
        <is>
          <t>OUI</t>
        </is>
      </c>
      <c r="S799" s="7" t="inlineStr">
        <is>
          <t>31/08/2026 02:59</t>
        </is>
      </c>
    </row>
    <row r="800">
      <c r="A800" s="8" t="inlineStr">
        <is>
          <t>WHAP-0796</t>
        </is>
      </c>
      <c r="B800" s="8" t="inlineStr">
        <is>
          <t>ROU-0796</t>
        </is>
      </c>
      <c r="C800" s="8" t="inlineStr">
        <is>
          <t>roue complète — AVD2</t>
        </is>
      </c>
      <c r="D800" s="8" t="inlineStr">
        <is>
          <t>Roues et pneus</t>
        </is>
      </c>
      <c r="E800" s="8" t="inlineStr">
        <is>
          <t>Roues et pneus</t>
        </is>
      </c>
      <c r="F800" s="8" t="inlineStr">
        <is>
          <t>PIECE_VEHICULE</t>
        </is>
      </c>
      <c r="G800" s="8" t="inlineStr">
        <is>
          <t>unité</t>
        </is>
      </c>
      <c r="H800" s="8" t="inlineStr">
        <is>
          <t>LARGE</t>
        </is>
      </c>
      <c r="I800" s="8" t="n">
        <v>0</v>
      </c>
      <c r="J800" s="8" t="inlineStr">
        <is>
          <t>F-04-03</t>
        </is>
      </c>
      <c r="K800" s="8" t="inlineStr"/>
      <c r="L800" s="10" t="n">
        <v>0</v>
      </c>
      <c r="M800" s="10" t="n">
        <v>0</v>
      </c>
      <c r="N800" s="10" t="n">
        <v>27</v>
      </c>
      <c r="O800" s="8" t="inlineStr">
        <is>
          <t>SKF</t>
        </is>
      </c>
      <c r="P800" s="8" t="inlineStr">
        <is>
          <t>IMPORTANT</t>
        </is>
      </c>
      <c r="Q800" s="8" t="inlineStr">
        <is>
          <t>WHAP</t>
        </is>
      </c>
      <c r="R800" s="8" t="inlineStr">
        <is>
          <t>OUI</t>
        </is>
      </c>
      <c r="S800" s="8" t="inlineStr">
        <is>
          <t>31/08/2026 02:59</t>
        </is>
      </c>
    </row>
    <row r="801">
      <c r="A801" s="7" t="inlineStr">
        <is>
          <t>WHAP-0797</t>
        </is>
      </c>
      <c r="B801" s="7" t="inlineStr">
        <is>
          <t>ROU-0797</t>
        </is>
      </c>
      <c r="C801" s="7" t="inlineStr">
        <is>
          <t>pneu — AVD2</t>
        </is>
      </c>
      <c r="D801" s="7" t="inlineStr">
        <is>
          <t>Roues et pneus</t>
        </is>
      </c>
      <c r="E801" s="7" t="inlineStr">
        <is>
          <t>Roues et pneus</t>
        </is>
      </c>
      <c r="F801" s="7" t="inlineStr">
        <is>
          <t>PIECE_VEHICULE</t>
        </is>
      </c>
      <c r="G801" s="7" t="inlineStr">
        <is>
          <t>unité</t>
        </is>
      </c>
      <c r="H801" s="7" t="inlineStr">
        <is>
          <t>LARGE</t>
        </is>
      </c>
      <c r="I801" s="7" t="n">
        <v>0</v>
      </c>
      <c r="J801" s="7" t="inlineStr">
        <is>
          <t>C-06-02</t>
        </is>
      </c>
      <c r="K801" s="7" t="inlineStr"/>
      <c r="L801" s="9" t="n">
        <v>0</v>
      </c>
      <c r="M801" s="9" t="n">
        <v>0</v>
      </c>
      <c r="N801" s="9" t="n">
        <v>27</v>
      </c>
      <c r="O801" s="7" t="inlineStr">
        <is>
          <t>HEL</t>
        </is>
      </c>
      <c r="P801" s="7" t="inlineStr">
        <is>
          <t>IMPORTANT</t>
        </is>
      </c>
      <c r="Q801" s="7" t="inlineStr">
        <is>
          <t>WHAP</t>
        </is>
      </c>
      <c r="R801" s="7" t="inlineStr">
        <is>
          <t>OUI</t>
        </is>
      </c>
      <c r="S801" s="7" t="inlineStr">
        <is>
          <t>31/08/2026 02:59</t>
        </is>
      </c>
    </row>
    <row r="802">
      <c r="A802" s="8" t="inlineStr">
        <is>
          <t>WHAP-0798</t>
        </is>
      </c>
      <c r="B802" s="8" t="inlineStr">
        <is>
          <t>ROU-0798</t>
        </is>
      </c>
      <c r="C802" s="8" t="inlineStr">
        <is>
          <t>insert run-flat — AVD2</t>
        </is>
      </c>
      <c r="D802" s="8" t="inlineStr">
        <is>
          <t>Roues et pneus</t>
        </is>
      </c>
      <c r="E802" s="8" t="inlineStr">
        <is>
          <t>Roues et pneus</t>
        </is>
      </c>
      <c r="F802" s="8" t="inlineStr">
        <is>
          <t>PIECE_VEHICULE</t>
        </is>
      </c>
      <c r="G802" s="8" t="inlineStr">
        <is>
          <t>unité</t>
        </is>
      </c>
      <c r="H802" s="8" t="inlineStr">
        <is>
          <t>LARGE</t>
        </is>
      </c>
      <c r="I802" s="8" t="n">
        <v>0</v>
      </c>
      <c r="J802" s="8" t="inlineStr">
        <is>
          <t>C-05-02</t>
        </is>
      </c>
      <c r="K802" s="8" t="inlineStr"/>
      <c r="L802" s="10" t="n">
        <v>0</v>
      </c>
      <c r="M802" s="10" t="n">
        <v>0</v>
      </c>
      <c r="N802" s="10" t="n">
        <v>25</v>
      </c>
      <c r="O802" s="8" t="inlineStr">
        <is>
          <t>MAG</t>
        </is>
      </c>
      <c r="P802" s="8" t="inlineStr">
        <is>
          <t>IMPORTANT</t>
        </is>
      </c>
      <c r="Q802" s="8" t="inlineStr">
        <is>
          <t>WHAP</t>
        </is>
      </c>
      <c r="R802" s="8" t="inlineStr">
        <is>
          <t>OUI</t>
        </is>
      </c>
      <c r="S802" s="8" t="inlineStr">
        <is>
          <t>31/08/2026 02:59</t>
        </is>
      </c>
    </row>
    <row r="803">
      <c r="A803" s="7" t="inlineStr">
        <is>
          <t>WHAP-0799</t>
        </is>
      </c>
      <c r="B803" s="7" t="inlineStr">
        <is>
          <t>ROU-0799</t>
        </is>
      </c>
      <c r="C803" s="7" t="inlineStr">
        <is>
          <t>valve de pneu — AVD2</t>
        </is>
      </c>
      <c r="D803" s="7" t="inlineStr">
        <is>
          <t>Roues et pneus</t>
        </is>
      </c>
      <c r="E803" s="7" t="inlineStr">
        <is>
          <t>Roues et pneus</t>
        </is>
      </c>
      <c r="F803" s="7" t="inlineStr">
        <is>
          <t>PIECE_VEHICULE</t>
        </is>
      </c>
      <c r="G803" s="7" t="inlineStr">
        <is>
          <t>unité</t>
        </is>
      </c>
      <c r="H803" s="7" t="inlineStr">
        <is>
          <t>LARGE</t>
        </is>
      </c>
      <c r="I803" s="7" t="n">
        <v>0</v>
      </c>
      <c r="J803" s="7" t="inlineStr">
        <is>
          <t>F-06-02</t>
        </is>
      </c>
      <c r="K803" s="7" t="inlineStr"/>
      <c r="L803" s="9" t="n">
        <v>0</v>
      </c>
      <c r="M803" s="9" t="n">
        <v>0</v>
      </c>
      <c r="N803" s="9" t="n">
        <v>24</v>
      </c>
      <c r="O803" s="7" t="inlineStr">
        <is>
          <t>FAU</t>
        </is>
      </c>
      <c r="P803" s="7" t="inlineStr">
        <is>
          <t>IMPORTANT</t>
        </is>
      </c>
      <c r="Q803" s="7" t="inlineStr">
        <is>
          <t>WHAP</t>
        </is>
      </c>
      <c r="R803" s="7" t="inlineStr">
        <is>
          <t>OUI</t>
        </is>
      </c>
      <c r="S803" s="7" t="inlineStr">
        <is>
          <t>31/08/2026 02:59</t>
        </is>
      </c>
    </row>
    <row r="804">
      <c r="A804" s="8" t="inlineStr">
        <is>
          <t>WHAP-0800</t>
        </is>
      </c>
      <c r="B804" s="8" t="inlineStr">
        <is>
          <t>ROU-0800</t>
        </is>
      </c>
      <c r="C804" s="8" t="inlineStr">
        <is>
          <t>capteur pression pneu — AVD2</t>
        </is>
      </c>
      <c r="D804" s="8" t="inlineStr">
        <is>
          <t>Roues et pneus</t>
        </is>
      </c>
      <c r="E804" s="8" t="inlineStr">
        <is>
          <t>Roues et pneus</t>
        </is>
      </c>
      <c r="F804" s="8" t="inlineStr">
        <is>
          <t>PIECE_VEHICULE</t>
        </is>
      </c>
      <c r="G804" s="8" t="inlineStr">
        <is>
          <t>unité</t>
        </is>
      </c>
      <c r="H804" s="8" t="inlineStr">
        <is>
          <t>LARGE</t>
        </is>
      </c>
      <c r="I804" s="8" t="n">
        <v>0</v>
      </c>
      <c r="J804" s="8" t="inlineStr">
        <is>
          <t>F-06-04</t>
        </is>
      </c>
      <c r="K804" s="8" t="inlineStr"/>
      <c r="L804" s="10" t="n">
        <v>0</v>
      </c>
      <c r="M804" s="10" t="n">
        <v>0</v>
      </c>
      <c r="N804" s="10" t="n">
        <v>22</v>
      </c>
      <c r="O804" s="8" t="inlineStr">
        <is>
          <t>SKF</t>
        </is>
      </c>
      <c r="P804" s="8" t="inlineStr">
        <is>
          <t>IMPORTANT</t>
        </is>
      </c>
      <c r="Q804" s="8" t="inlineStr">
        <is>
          <t>WHAP</t>
        </is>
      </c>
      <c r="R804" s="8" t="inlineStr">
        <is>
          <t>OUI</t>
        </is>
      </c>
      <c r="S804" s="8" t="inlineStr">
        <is>
          <t>31/08/2026 02:59</t>
        </is>
      </c>
    </row>
    <row r="805">
      <c r="A805" s="7" t="inlineStr">
        <is>
          <t>WHAP-0801</t>
        </is>
      </c>
      <c r="B805" s="7" t="inlineStr">
        <is>
          <t>ROU-0801</t>
        </is>
      </c>
      <c r="C805" s="7" t="inlineStr">
        <is>
          <t>écrou de roue — AVD2</t>
        </is>
      </c>
      <c r="D805" s="7" t="inlineStr">
        <is>
          <t>Roues et pneus</t>
        </is>
      </c>
      <c r="E805" s="7" t="inlineStr">
        <is>
          <t>Roues et pneus</t>
        </is>
      </c>
      <c r="F805" s="7" t="inlineStr">
        <is>
          <t>PIECE_VEHICULE</t>
        </is>
      </c>
      <c r="G805" s="7" t="inlineStr">
        <is>
          <t>unité</t>
        </is>
      </c>
      <c r="H805" s="7" t="inlineStr">
        <is>
          <t>LARGE</t>
        </is>
      </c>
      <c r="I805" s="7" t="n">
        <v>0</v>
      </c>
      <c r="J805" s="7" t="inlineStr">
        <is>
          <t>E-06-02</t>
        </is>
      </c>
      <c r="K805" s="7" t="inlineStr"/>
      <c r="L805" s="9" t="n">
        <v>0</v>
      </c>
      <c r="M805" s="9" t="n">
        <v>0</v>
      </c>
      <c r="N805" s="9" t="n">
        <v>23</v>
      </c>
      <c r="O805" s="7" t="inlineStr">
        <is>
          <t>HEL</t>
        </is>
      </c>
      <c r="P805" s="7" t="inlineStr">
        <is>
          <t>IMPORTANT</t>
        </is>
      </c>
      <c r="Q805" s="7" t="inlineStr">
        <is>
          <t>WHAP</t>
        </is>
      </c>
      <c r="R805" s="7" t="inlineStr">
        <is>
          <t>OUI</t>
        </is>
      </c>
      <c r="S805" s="7" t="inlineStr">
        <is>
          <t>31/08/2026 02:59</t>
        </is>
      </c>
    </row>
    <row r="806">
      <c r="A806" s="8" t="inlineStr">
        <is>
          <t>WHAP-0802</t>
        </is>
      </c>
      <c r="B806" s="8" t="inlineStr">
        <is>
          <t>ROU-0802</t>
        </is>
      </c>
      <c r="C806" s="8" t="inlineStr">
        <is>
          <t>goujon de roue — AVD2</t>
        </is>
      </c>
      <c r="D806" s="8" t="inlineStr">
        <is>
          <t>Roues et pneus</t>
        </is>
      </c>
      <c r="E806" s="8" t="inlineStr">
        <is>
          <t>Roues et pneus</t>
        </is>
      </c>
      <c r="F806" s="8" t="inlineStr">
        <is>
          <t>PIECE_VEHICULE</t>
        </is>
      </c>
      <c r="G806" s="8" t="inlineStr">
        <is>
          <t>unité</t>
        </is>
      </c>
      <c r="H806" s="8" t="inlineStr">
        <is>
          <t>LARGE</t>
        </is>
      </c>
      <c r="I806" s="8" t="n">
        <v>0</v>
      </c>
      <c r="J806" s="8" t="inlineStr">
        <is>
          <t>C-03-03</t>
        </is>
      </c>
      <c r="K806" s="8" t="inlineStr"/>
      <c r="L806" s="10" t="n">
        <v>0</v>
      </c>
      <c r="M806" s="10" t="n">
        <v>0</v>
      </c>
      <c r="N806" s="10" t="n">
        <v>31</v>
      </c>
      <c r="O806" s="8" t="inlineStr">
        <is>
          <t>DEL</t>
        </is>
      </c>
      <c r="P806" s="8" t="inlineStr">
        <is>
          <t>IMPORTANT</t>
        </is>
      </c>
      <c r="Q806" s="8" t="inlineStr">
        <is>
          <t>WHAP</t>
        </is>
      </c>
      <c r="R806" s="8" t="inlineStr">
        <is>
          <t>OUI</t>
        </is>
      </c>
      <c r="S806" s="8" t="inlineStr">
        <is>
          <t>31/08/2026 02:59</t>
        </is>
      </c>
    </row>
    <row r="807">
      <c r="A807" s="7" t="inlineStr">
        <is>
          <t>WHAP-0803</t>
        </is>
      </c>
      <c r="B807" s="7" t="inlineStr">
        <is>
          <t>ROU-0803</t>
        </is>
      </c>
      <c r="C807" s="7" t="inlineStr">
        <is>
          <t>entretoise de roue — AVD2</t>
        </is>
      </c>
      <c r="D807" s="7" t="inlineStr">
        <is>
          <t>Roues et pneus</t>
        </is>
      </c>
      <c r="E807" s="7" t="inlineStr">
        <is>
          <t>Roues et pneus</t>
        </is>
      </c>
      <c r="F807" s="7" t="inlineStr">
        <is>
          <t>PIECE_VEHICULE</t>
        </is>
      </c>
      <c r="G807" s="7" t="inlineStr">
        <is>
          <t>unité</t>
        </is>
      </c>
      <c r="H807" s="7" t="inlineStr">
        <is>
          <t>LARGE</t>
        </is>
      </c>
      <c r="I807" s="7" t="n">
        <v>0</v>
      </c>
      <c r="J807" s="7" t="inlineStr">
        <is>
          <t>B-03-01</t>
        </is>
      </c>
      <c r="K807" s="7" t="inlineStr"/>
      <c r="L807" s="9" t="n">
        <v>0</v>
      </c>
      <c r="M807" s="9" t="n">
        <v>0</v>
      </c>
      <c r="N807" s="9" t="n">
        <v>22</v>
      </c>
      <c r="O807" s="7" t="inlineStr">
        <is>
          <t>SKF</t>
        </is>
      </c>
      <c r="P807" s="7" t="inlineStr">
        <is>
          <t>IMPORTANT</t>
        </is>
      </c>
      <c r="Q807" s="7" t="inlineStr">
        <is>
          <t>WHAP</t>
        </is>
      </c>
      <c r="R807" s="7" t="inlineStr">
        <is>
          <t>OUI</t>
        </is>
      </c>
      <c r="S807" s="7" t="inlineStr">
        <is>
          <t>31/08/2026 02:59</t>
        </is>
      </c>
    </row>
    <row r="808">
      <c r="A808" s="8" t="inlineStr">
        <is>
          <t>WHAP-0804</t>
        </is>
      </c>
      <c r="B808" s="8" t="inlineStr">
        <is>
          <t>ROU-0804</t>
        </is>
      </c>
      <c r="C808" s="8" t="inlineStr">
        <is>
          <t>moyeu — AVD2</t>
        </is>
      </c>
      <c r="D808" s="8" t="inlineStr">
        <is>
          <t>Roues et pneus</t>
        </is>
      </c>
      <c r="E808" s="8" t="inlineStr">
        <is>
          <t>Roues et pneus</t>
        </is>
      </c>
      <c r="F808" s="8" t="inlineStr">
        <is>
          <t>PIECE_VEHICULE</t>
        </is>
      </c>
      <c r="G808" s="8" t="inlineStr">
        <is>
          <t>unité</t>
        </is>
      </c>
      <c r="H808" s="8" t="inlineStr">
        <is>
          <t>LARGE</t>
        </is>
      </c>
      <c r="I808" s="8" t="n">
        <v>0</v>
      </c>
      <c r="J808" s="8" t="inlineStr">
        <is>
          <t>A-05-04</t>
        </is>
      </c>
      <c r="K808" s="8" t="inlineStr"/>
      <c r="L808" s="10" t="n">
        <v>0</v>
      </c>
      <c r="M808" s="10" t="n">
        <v>0</v>
      </c>
      <c r="N808" s="10" t="n">
        <v>29</v>
      </c>
      <c r="O808" s="8" t="inlineStr">
        <is>
          <t>SUM</t>
        </is>
      </c>
      <c r="P808" s="8" t="inlineStr">
        <is>
          <t>IMPORTANT</t>
        </is>
      </c>
      <c r="Q808" s="8" t="inlineStr">
        <is>
          <t>WHAP</t>
        </is>
      </c>
      <c r="R808" s="8" t="inlineStr">
        <is>
          <t>OUI</t>
        </is>
      </c>
      <c r="S808" s="8" t="inlineStr">
        <is>
          <t>31/08/2026 02:59</t>
        </is>
      </c>
    </row>
    <row r="809">
      <c r="A809" s="7" t="inlineStr">
        <is>
          <t>WHAP-0805</t>
        </is>
      </c>
      <c r="B809" s="7" t="inlineStr">
        <is>
          <t>ROU-0805</t>
        </is>
      </c>
      <c r="C809" s="7" t="inlineStr">
        <is>
          <t>cache-moyeu — AVD2</t>
        </is>
      </c>
      <c r="D809" s="7" t="inlineStr">
        <is>
          <t>Roues et pneus</t>
        </is>
      </c>
      <c r="E809" s="7" t="inlineStr">
        <is>
          <t>Roues et pneus</t>
        </is>
      </c>
      <c r="F809" s="7" t="inlineStr">
        <is>
          <t>PIECE_VEHICULE</t>
        </is>
      </c>
      <c r="G809" s="7" t="inlineStr">
        <is>
          <t>unité</t>
        </is>
      </c>
      <c r="H809" s="7" t="inlineStr">
        <is>
          <t>LARGE</t>
        </is>
      </c>
      <c r="I809" s="7" t="n">
        <v>0</v>
      </c>
      <c r="J809" s="7" t="inlineStr">
        <is>
          <t>A-01-04</t>
        </is>
      </c>
      <c r="K809" s="7" t="inlineStr"/>
      <c r="L809" s="9" t="n">
        <v>0</v>
      </c>
      <c r="M809" s="9" t="n">
        <v>0</v>
      </c>
      <c r="N809" s="9" t="n">
        <v>29</v>
      </c>
      <c r="O809" s="7" t="inlineStr">
        <is>
          <t>HEL</t>
        </is>
      </c>
      <c r="P809" s="7" t="inlineStr">
        <is>
          <t>IMPORTANT</t>
        </is>
      </c>
      <c r="Q809" s="7" t="inlineStr">
        <is>
          <t>WHAP</t>
        </is>
      </c>
      <c r="R809" s="7" t="inlineStr">
        <is>
          <t>OUI</t>
        </is>
      </c>
      <c r="S809" s="7" t="inlineStr">
        <is>
          <t>31/08/2026 02:59</t>
        </is>
      </c>
    </row>
    <row r="810">
      <c r="A810" s="8" t="inlineStr">
        <is>
          <t>WHAP-0806</t>
        </is>
      </c>
      <c r="B810" s="8" t="inlineStr">
        <is>
          <t>ROU-0806</t>
        </is>
      </c>
      <c r="C810" s="8" t="inlineStr">
        <is>
          <t>joint de moyeu — AVD2</t>
        </is>
      </c>
      <c r="D810" s="8" t="inlineStr">
        <is>
          <t>Roues et pneus</t>
        </is>
      </c>
      <c r="E810" s="8" t="inlineStr">
        <is>
          <t>Roues et pneus</t>
        </is>
      </c>
      <c r="F810" s="8" t="inlineStr">
        <is>
          <t>PIECE_VEHICULE</t>
        </is>
      </c>
      <c r="G810" s="8" t="inlineStr">
        <is>
          <t>unité</t>
        </is>
      </c>
      <c r="H810" s="8" t="inlineStr">
        <is>
          <t>LARGE</t>
        </is>
      </c>
      <c r="I810" s="8" t="n">
        <v>0</v>
      </c>
      <c r="J810" s="8" t="inlineStr">
        <is>
          <t>C-06-01</t>
        </is>
      </c>
      <c r="K810" s="8" t="inlineStr"/>
      <c r="L810" s="10" t="n">
        <v>0</v>
      </c>
      <c r="M810" s="10" t="n">
        <v>0</v>
      </c>
      <c r="N810" s="10" t="n">
        <v>30</v>
      </c>
      <c r="O810" s="8" t="inlineStr">
        <is>
          <t>MAG</t>
        </is>
      </c>
      <c r="P810" s="8" t="inlineStr">
        <is>
          <t>IMPORTANT</t>
        </is>
      </c>
      <c r="Q810" s="8" t="inlineStr">
        <is>
          <t>WHAP</t>
        </is>
      </c>
      <c r="R810" s="8" t="inlineStr">
        <is>
          <t>OUI</t>
        </is>
      </c>
      <c r="S810" s="8" t="inlineStr">
        <is>
          <t>31/08/2026 02:59</t>
        </is>
      </c>
    </row>
    <row r="811">
      <c r="A811" s="7" t="inlineStr">
        <is>
          <t>WHAP-0807</t>
        </is>
      </c>
      <c r="B811" s="7" t="inlineStr">
        <is>
          <t>ROU-0807</t>
        </is>
      </c>
      <c r="C811" s="7" t="inlineStr">
        <is>
          <t>roulement de roue — AVD2</t>
        </is>
      </c>
      <c r="D811" s="7" t="inlineStr">
        <is>
          <t>Roues et pneus</t>
        </is>
      </c>
      <c r="E811" s="7" t="inlineStr">
        <is>
          <t>Roues et pneus</t>
        </is>
      </c>
      <c r="F811" s="7" t="inlineStr">
        <is>
          <t>PIECE_VEHICULE</t>
        </is>
      </c>
      <c r="G811" s="7" t="inlineStr">
        <is>
          <t>unité</t>
        </is>
      </c>
      <c r="H811" s="7" t="inlineStr">
        <is>
          <t>LARGE</t>
        </is>
      </c>
      <c r="I811" s="7" t="n">
        <v>0</v>
      </c>
      <c r="J811" s="7" t="inlineStr">
        <is>
          <t>E-02-02</t>
        </is>
      </c>
      <c r="K811" s="7" t="inlineStr"/>
      <c r="L811" s="9" t="n">
        <v>0</v>
      </c>
      <c r="M811" s="9" t="n">
        <v>0</v>
      </c>
      <c r="N811" s="9" t="n">
        <v>22</v>
      </c>
      <c r="O811" s="7" t="inlineStr">
        <is>
          <t>MAG</t>
        </is>
      </c>
      <c r="P811" s="7" t="inlineStr">
        <is>
          <t>IMPORTANT</t>
        </is>
      </c>
      <c r="Q811" s="7" t="inlineStr">
        <is>
          <t>WHAP</t>
        </is>
      </c>
      <c r="R811" s="7" t="inlineStr">
        <is>
          <t>OUI</t>
        </is>
      </c>
      <c r="S811" s="7" t="inlineStr">
        <is>
          <t>31/08/2026 02:59</t>
        </is>
      </c>
    </row>
    <row r="812">
      <c r="A812" s="8" t="inlineStr">
        <is>
          <t>WHAP-0808</t>
        </is>
      </c>
      <c r="B812" s="8" t="inlineStr">
        <is>
          <t>ROU-0808</t>
        </is>
      </c>
      <c r="C812" s="8" t="inlineStr">
        <is>
          <t>bague de roulement — AVD2</t>
        </is>
      </c>
      <c r="D812" s="8" t="inlineStr">
        <is>
          <t>Roues et pneus</t>
        </is>
      </c>
      <c r="E812" s="8" t="inlineStr">
        <is>
          <t>Roues et pneus</t>
        </is>
      </c>
      <c r="F812" s="8" t="inlineStr">
        <is>
          <t>PIECE_VEHICULE</t>
        </is>
      </c>
      <c r="G812" s="8" t="inlineStr">
        <is>
          <t>unité</t>
        </is>
      </c>
      <c r="H812" s="8" t="inlineStr">
        <is>
          <t>LARGE</t>
        </is>
      </c>
      <c r="I812" s="8" t="n">
        <v>0</v>
      </c>
      <c r="J812" s="8" t="inlineStr">
        <is>
          <t>C-05-01</t>
        </is>
      </c>
      <c r="K812" s="8" t="inlineStr"/>
      <c r="L812" s="10" t="n">
        <v>0</v>
      </c>
      <c r="M812" s="10" t="n">
        <v>0</v>
      </c>
      <c r="N812" s="10" t="n">
        <v>22</v>
      </c>
      <c r="O812" s="8" t="inlineStr">
        <is>
          <t>BOS</t>
        </is>
      </c>
      <c r="P812" s="8" t="inlineStr">
        <is>
          <t>IMPORTANT</t>
        </is>
      </c>
      <c r="Q812" s="8" t="inlineStr">
        <is>
          <t>WHAP</t>
        </is>
      </c>
      <c r="R812" s="8" t="inlineStr">
        <is>
          <t>OUI</t>
        </is>
      </c>
      <c r="S812" s="8" t="inlineStr">
        <is>
          <t>31/08/2026 02:59</t>
        </is>
      </c>
    </row>
    <row r="813">
      <c r="A813" s="7" t="inlineStr">
        <is>
          <t>WHAP-0809</t>
        </is>
      </c>
      <c r="B813" s="7" t="inlineStr">
        <is>
          <t>ROU-0809</t>
        </is>
      </c>
      <c r="C813" s="7" t="inlineStr">
        <is>
          <t>anneau de retenue — AVD2</t>
        </is>
      </c>
      <c r="D813" s="7" t="inlineStr">
        <is>
          <t>Roues et pneus</t>
        </is>
      </c>
      <c r="E813" s="7" t="inlineStr">
        <is>
          <t>Roues et pneus</t>
        </is>
      </c>
      <c r="F813" s="7" t="inlineStr">
        <is>
          <t>PIECE_VEHICULE</t>
        </is>
      </c>
      <c r="G813" s="7" t="inlineStr">
        <is>
          <t>unité</t>
        </is>
      </c>
      <c r="H813" s="7" t="inlineStr">
        <is>
          <t>LARGE</t>
        </is>
      </c>
      <c r="I813" s="7" t="n">
        <v>0</v>
      </c>
      <c r="J813" s="7" t="inlineStr">
        <is>
          <t>E-04-01</t>
        </is>
      </c>
      <c r="K813" s="7" t="inlineStr"/>
      <c r="L813" s="9" t="n">
        <v>0</v>
      </c>
      <c r="M813" s="9" t="n">
        <v>0</v>
      </c>
      <c r="N813" s="9" t="n">
        <v>32</v>
      </c>
      <c r="O813" s="7" t="inlineStr">
        <is>
          <t>SUM</t>
        </is>
      </c>
      <c r="P813" s="7" t="inlineStr">
        <is>
          <t>IMPORTANT</t>
        </is>
      </c>
      <c r="Q813" s="7" t="inlineStr">
        <is>
          <t>WHAP</t>
        </is>
      </c>
      <c r="R813" s="7" t="inlineStr">
        <is>
          <t>OUI</t>
        </is>
      </c>
      <c r="S813" s="7" t="inlineStr">
        <is>
          <t>31/08/2026 02:59</t>
        </is>
      </c>
    </row>
    <row r="814">
      <c r="A814" s="8" t="inlineStr">
        <is>
          <t>WHAP-0810</t>
        </is>
      </c>
      <c r="B814" s="8" t="inlineStr">
        <is>
          <t>ROU-0810</t>
        </is>
      </c>
      <c r="C814" s="8" t="inlineStr">
        <is>
          <t>disque de jante — AVD2</t>
        </is>
      </c>
      <c r="D814" s="8" t="inlineStr">
        <is>
          <t>Roues et pneus</t>
        </is>
      </c>
      <c r="E814" s="8" t="inlineStr">
        <is>
          <t>Roues et pneus</t>
        </is>
      </c>
      <c r="F814" s="8" t="inlineStr">
        <is>
          <t>PIECE_VEHICULE</t>
        </is>
      </c>
      <c r="G814" s="8" t="inlineStr">
        <is>
          <t>unité</t>
        </is>
      </c>
      <c r="H814" s="8" t="inlineStr">
        <is>
          <t>LARGE</t>
        </is>
      </c>
      <c r="I814" s="8" t="n">
        <v>0</v>
      </c>
      <c r="J814" s="8" t="inlineStr">
        <is>
          <t>E-03-03</t>
        </is>
      </c>
      <c r="K814" s="8" t="inlineStr"/>
      <c r="L814" s="10" t="n">
        <v>0</v>
      </c>
      <c r="M814" s="10" t="n">
        <v>0</v>
      </c>
      <c r="N814" s="10" t="n">
        <v>28</v>
      </c>
      <c r="O814" s="8" t="inlineStr">
        <is>
          <t>MAG</t>
        </is>
      </c>
      <c r="P814" s="8" t="inlineStr">
        <is>
          <t>IMPORTANT</t>
        </is>
      </c>
      <c r="Q814" s="8" t="inlineStr">
        <is>
          <t>WHAP</t>
        </is>
      </c>
      <c r="R814" s="8" t="inlineStr">
        <is>
          <t>OUI</t>
        </is>
      </c>
      <c r="S814" s="8" t="inlineStr">
        <is>
          <t>31/08/2026 02:59</t>
        </is>
      </c>
    </row>
    <row r="815">
      <c r="A815" s="7" t="inlineStr">
        <is>
          <t>WHAP-0811</t>
        </is>
      </c>
      <c r="B815" s="7" t="inlineStr">
        <is>
          <t>ROU-0811</t>
        </is>
      </c>
      <c r="C815" s="7" t="inlineStr">
        <is>
          <t>cerclage de jante — AVD2</t>
        </is>
      </c>
      <c r="D815" s="7" t="inlineStr">
        <is>
          <t>Roues et pneus</t>
        </is>
      </c>
      <c r="E815" s="7" t="inlineStr">
        <is>
          <t>Roues et pneus</t>
        </is>
      </c>
      <c r="F815" s="7" t="inlineStr">
        <is>
          <t>PIECE_VEHICULE</t>
        </is>
      </c>
      <c r="G815" s="7" t="inlineStr">
        <is>
          <t>unité</t>
        </is>
      </c>
      <c r="H815" s="7" t="inlineStr">
        <is>
          <t>LARGE</t>
        </is>
      </c>
      <c r="I815" s="7" t="n">
        <v>0</v>
      </c>
      <c r="J815" s="7" t="inlineStr">
        <is>
          <t>C-02-03</t>
        </is>
      </c>
      <c r="K815" s="7" t="inlineStr"/>
      <c r="L815" s="9" t="n">
        <v>0</v>
      </c>
      <c r="M815" s="9" t="n">
        <v>0</v>
      </c>
      <c r="N815" s="9" t="n">
        <v>32</v>
      </c>
      <c r="O815" s="7" t="inlineStr">
        <is>
          <t>HEL</t>
        </is>
      </c>
      <c r="P815" s="7" t="inlineStr">
        <is>
          <t>IMPORTANT</t>
        </is>
      </c>
      <c r="Q815" s="7" t="inlineStr">
        <is>
          <t>WHAP</t>
        </is>
      </c>
      <c r="R815" s="7" t="inlineStr">
        <is>
          <t>OUI</t>
        </is>
      </c>
      <c r="S815" s="7" t="inlineStr">
        <is>
          <t>31/08/2026 02:59</t>
        </is>
      </c>
    </row>
    <row r="816">
      <c r="A816" s="8" t="inlineStr">
        <is>
          <t>WHAP-0812</t>
        </is>
      </c>
      <c r="B816" s="8" t="inlineStr">
        <is>
          <t>ROU-0812</t>
        </is>
      </c>
      <c r="C816" s="8" t="inlineStr">
        <is>
          <t>système CTIS — AVD2</t>
        </is>
      </c>
      <c r="D816" s="8" t="inlineStr">
        <is>
          <t>Roues et pneus</t>
        </is>
      </c>
      <c r="E816" s="8" t="inlineStr">
        <is>
          <t>Roues et pneus</t>
        </is>
      </c>
      <c r="F816" s="8" t="inlineStr">
        <is>
          <t>PIECE_VEHICULE</t>
        </is>
      </c>
      <c r="G816" s="8" t="inlineStr">
        <is>
          <t>unité</t>
        </is>
      </c>
      <c r="H816" s="8" t="inlineStr">
        <is>
          <t>LARGE</t>
        </is>
      </c>
      <c r="I816" s="8" t="n">
        <v>0</v>
      </c>
      <c r="J816" s="8" t="inlineStr">
        <is>
          <t>F-04-02</t>
        </is>
      </c>
      <c r="K816" s="8" t="inlineStr"/>
      <c r="L816" s="10" t="n">
        <v>0</v>
      </c>
      <c r="M816" s="10" t="n">
        <v>0</v>
      </c>
      <c r="N816" s="10" t="n">
        <v>24</v>
      </c>
      <c r="O816" s="8" t="inlineStr">
        <is>
          <t>FAU</t>
        </is>
      </c>
      <c r="P816" s="8" t="inlineStr">
        <is>
          <t>IMPORTANT</t>
        </is>
      </c>
      <c r="Q816" s="8" t="inlineStr">
        <is>
          <t>WHAP</t>
        </is>
      </c>
      <c r="R816" s="8" t="inlineStr">
        <is>
          <t>OUI</t>
        </is>
      </c>
      <c r="S816" s="8" t="inlineStr">
        <is>
          <t>31/08/2026 02:59</t>
        </is>
      </c>
    </row>
    <row r="817">
      <c r="A817" s="7" t="inlineStr">
        <is>
          <t>WHAP-0813</t>
        </is>
      </c>
      <c r="B817" s="7" t="inlineStr">
        <is>
          <t>ROU-0813</t>
        </is>
      </c>
      <c r="C817" s="7" t="inlineStr">
        <is>
          <t>rotor CTIS — AVD2</t>
        </is>
      </c>
      <c r="D817" s="7" t="inlineStr">
        <is>
          <t>Roues et pneus</t>
        </is>
      </c>
      <c r="E817" s="7" t="inlineStr">
        <is>
          <t>Roues et pneus</t>
        </is>
      </c>
      <c r="F817" s="7" t="inlineStr">
        <is>
          <t>PIECE_VEHICULE</t>
        </is>
      </c>
      <c r="G817" s="7" t="inlineStr">
        <is>
          <t>unité</t>
        </is>
      </c>
      <c r="H817" s="7" t="inlineStr">
        <is>
          <t>LARGE</t>
        </is>
      </c>
      <c r="I817" s="7" t="n">
        <v>0</v>
      </c>
      <c r="J817" s="7" t="inlineStr">
        <is>
          <t>F-03-01</t>
        </is>
      </c>
      <c r="K817" s="7" t="inlineStr"/>
      <c r="L817" s="9" t="n">
        <v>0</v>
      </c>
      <c r="M817" s="9" t="n">
        <v>0</v>
      </c>
      <c r="N817" s="9" t="n">
        <v>28</v>
      </c>
      <c r="O817" s="7" t="inlineStr">
        <is>
          <t>VAL</t>
        </is>
      </c>
      <c r="P817" s="7" t="inlineStr">
        <is>
          <t>IMPORTANT</t>
        </is>
      </c>
      <c r="Q817" s="7" t="inlineStr">
        <is>
          <t>WHAP</t>
        </is>
      </c>
      <c r="R817" s="7" t="inlineStr">
        <is>
          <t>OUI</t>
        </is>
      </c>
      <c r="S817" s="7" t="inlineStr">
        <is>
          <t>31/08/2026 02:59</t>
        </is>
      </c>
    </row>
    <row r="818">
      <c r="A818" s="8" t="inlineStr">
        <is>
          <t>WHAP-0814</t>
        </is>
      </c>
      <c r="B818" s="8" t="inlineStr">
        <is>
          <t>ROU-0814</t>
        </is>
      </c>
      <c r="C818" s="8" t="inlineStr">
        <is>
          <t>joint tournant CTIS — AVD2</t>
        </is>
      </c>
      <c r="D818" s="8" t="inlineStr">
        <is>
          <t>Roues et pneus</t>
        </is>
      </c>
      <c r="E818" s="8" t="inlineStr">
        <is>
          <t>Roues et pneus</t>
        </is>
      </c>
      <c r="F818" s="8" t="inlineStr">
        <is>
          <t>PIECE_VEHICULE</t>
        </is>
      </c>
      <c r="G818" s="8" t="inlineStr">
        <is>
          <t>unité</t>
        </is>
      </c>
      <c r="H818" s="8" t="inlineStr">
        <is>
          <t>LARGE</t>
        </is>
      </c>
      <c r="I818" s="8" t="n">
        <v>0</v>
      </c>
      <c r="J818" s="8" t="inlineStr">
        <is>
          <t>B-02-01</t>
        </is>
      </c>
      <c r="K818" s="8" t="inlineStr"/>
      <c r="L818" s="10" t="n">
        <v>0</v>
      </c>
      <c r="M818" s="10" t="n">
        <v>0</v>
      </c>
      <c r="N818" s="10" t="n">
        <v>31</v>
      </c>
      <c r="O818" s="8" t="inlineStr">
        <is>
          <t>FAU</t>
        </is>
      </c>
      <c r="P818" s="8" t="inlineStr">
        <is>
          <t>IMPORTANT</t>
        </is>
      </c>
      <c r="Q818" s="8" t="inlineStr">
        <is>
          <t>WHAP</t>
        </is>
      </c>
      <c r="R818" s="8" t="inlineStr">
        <is>
          <t>OUI</t>
        </is>
      </c>
      <c r="S818" s="8" t="inlineStr">
        <is>
          <t>31/08/2026 02:59</t>
        </is>
      </c>
    </row>
    <row r="819">
      <c r="A819" s="7" t="inlineStr">
        <is>
          <t>WHAP-0815</t>
        </is>
      </c>
      <c r="B819" s="7" t="inlineStr">
        <is>
          <t>ROU-0815</t>
        </is>
      </c>
      <c r="C819" s="7" t="inlineStr">
        <is>
          <t>flexible CTIS — AVD2</t>
        </is>
      </c>
      <c r="D819" s="7" t="inlineStr">
        <is>
          <t>Roues et pneus</t>
        </is>
      </c>
      <c r="E819" s="7" t="inlineStr">
        <is>
          <t>Roues et pneus</t>
        </is>
      </c>
      <c r="F819" s="7" t="inlineStr">
        <is>
          <t>PIECE_VEHICULE</t>
        </is>
      </c>
      <c r="G819" s="7" t="inlineStr">
        <is>
          <t>unité</t>
        </is>
      </c>
      <c r="H819" s="7" t="inlineStr">
        <is>
          <t>LARGE</t>
        </is>
      </c>
      <c r="I819" s="7" t="n">
        <v>0</v>
      </c>
      <c r="J819" s="7" t="inlineStr">
        <is>
          <t>C-01-01</t>
        </is>
      </c>
      <c r="K819" s="7" t="inlineStr"/>
      <c r="L819" s="9" t="n">
        <v>0</v>
      </c>
      <c r="M819" s="9" t="n">
        <v>0</v>
      </c>
      <c r="N819" s="9" t="n">
        <v>29</v>
      </c>
      <c r="O819" s="7" t="inlineStr">
        <is>
          <t>MAG</t>
        </is>
      </c>
      <c r="P819" s="7" t="inlineStr">
        <is>
          <t>IMPORTANT</t>
        </is>
      </c>
      <c r="Q819" s="7" t="inlineStr">
        <is>
          <t>WHAP</t>
        </is>
      </c>
      <c r="R819" s="7" t="inlineStr">
        <is>
          <t>OUI</t>
        </is>
      </c>
      <c r="S819" s="7" t="inlineStr">
        <is>
          <t>31/08/2026 02:59</t>
        </is>
      </c>
    </row>
    <row r="820">
      <c r="A820" s="8" t="inlineStr">
        <is>
          <t>WHAP-0816</t>
        </is>
      </c>
      <c r="B820" s="8" t="inlineStr">
        <is>
          <t>ROU-0816</t>
        </is>
      </c>
      <c r="C820" s="8" t="inlineStr">
        <is>
          <t>raccord CTIS — AVD2</t>
        </is>
      </c>
      <c r="D820" s="8" t="inlineStr">
        <is>
          <t>Roues et pneus</t>
        </is>
      </c>
      <c r="E820" s="8" t="inlineStr">
        <is>
          <t>Roues et pneus</t>
        </is>
      </c>
      <c r="F820" s="8" t="inlineStr">
        <is>
          <t>PIECE_VEHICULE</t>
        </is>
      </c>
      <c r="G820" s="8" t="inlineStr">
        <is>
          <t>unité</t>
        </is>
      </c>
      <c r="H820" s="8" t="inlineStr">
        <is>
          <t>LARGE</t>
        </is>
      </c>
      <c r="I820" s="8" t="n">
        <v>0</v>
      </c>
      <c r="J820" s="8" t="inlineStr">
        <is>
          <t>B-02-03</t>
        </is>
      </c>
      <c r="K820" s="8" t="inlineStr"/>
      <c r="L820" s="10" t="n">
        <v>0</v>
      </c>
      <c r="M820" s="10" t="n">
        <v>0</v>
      </c>
      <c r="N820" s="10" t="n">
        <v>22</v>
      </c>
      <c r="O820" s="8" t="inlineStr">
        <is>
          <t>CTL</t>
        </is>
      </c>
      <c r="P820" s="8" t="inlineStr">
        <is>
          <t>IMPORTANT</t>
        </is>
      </c>
      <c r="Q820" s="8" t="inlineStr">
        <is>
          <t>WHAP</t>
        </is>
      </c>
      <c r="R820" s="8" t="inlineStr">
        <is>
          <t>OUI</t>
        </is>
      </c>
      <c r="S820" s="8" t="inlineStr">
        <is>
          <t>31/08/2026 02:59</t>
        </is>
      </c>
    </row>
    <row r="821">
      <c r="A821" s="7" t="inlineStr">
        <is>
          <t>WHAP-0817</t>
        </is>
      </c>
      <c r="B821" s="7" t="inlineStr">
        <is>
          <t>ROU-0817</t>
        </is>
      </c>
      <c r="C821" s="7" t="inlineStr">
        <is>
          <t>valve CTIS — AVD2</t>
        </is>
      </c>
      <c r="D821" s="7" t="inlineStr">
        <is>
          <t>Roues et pneus</t>
        </is>
      </c>
      <c r="E821" s="7" t="inlineStr">
        <is>
          <t>Roues et pneus</t>
        </is>
      </c>
      <c r="F821" s="7" t="inlineStr">
        <is>
          <t>PIECE_VEHICULE</t>
        </is>
      </c>
      <c r="G821" s="7" t="inlineStr">
        <is>
          <t>unité</t>
        </is>
      </c>
      <c r="H821" s="7" t="inlineStr">
        <is>
          <t>LARGE</t>
        </is>
      </c>
      <c r="I821" s="7" t="n">
        <v>0</v>
      </c>
      <c r="J821" s="7" t="inlineStr">
        <is>
          <t>D-02-02</t>
        </is>
      </c>
      <c r="K821" s="7" t="inlineStr"/>
      <c r="L821" s="9" t="n">
        <v>0</v>
      </c>
      <c r="M821" s="9" t="n">
        <v>0</v>
      </c>
      <c r="N821" s="9" t="n">
        <v>24</v>
      </c>
      <c r="O821" s="7" t="inlineStr">
        <is>
          <t>FAU</t>
        </is>
      </c>
      <c r="P821" s="7" t="inlineStr">
        <is>
          <t>IMPORTANT</t>
        </is>
      </c>
      <c r="Q821" s="7" t="inlineStr">
        <is>
          <t>WHAP</t>
        </is>
      </c>
      <c r="R821" s="7" t="inlineStr">
        <is>
          <t>OUI</t>
        </is>
      </c>
      <c r="S821" s="7" t="inlineStr">
        <is>
          <t>31/08/2026 02:59</t>
        </is>
      </c>
    </row>
    <row r="822">
      <c r="A822" s="8" t="inlineStr">
        <is>
          <t>WHAP-0818</t>
        </is>
      </c>
      <c r="B822" s="8" t="inlineStr">
        <is>
          <t>ROU-0818</t>
        </is>
      </c>
      <c r="C822" s="8" t="inlineStr">
        <is>
          <t>manomètre CTIS — AVD2</t>
        </is>
      </c>
      <c r="D822" s="8" t="inlineStr">
        <is>
          <t>Roues et pneus</t>
        </is>
      </c>
      <c r="E822" s="8" t="inlineStr">
        <is>
          <t>Roues et pneus</t>
        </is>
      </c>
      <c r="F822" s="8" t="inlineStr">
        <is>
          <t>PIECE_VEHICULE</t>
        </is>
      </c>
      <c r="G822" s="8" t="inlineStr">
        <is>
          <t>unité</t>
        </is>
      </c>
      <c r="H822" s="8" t="inlineStr">
        <is>
          <t>LARGE</t>
        </is>
      </c>
      <c r="I822" s="8" t="n">
        <v>0</v>
      </c>
      <c r="J822" s="8" t="inlineStr">
        <is>
          <t>E-05-02</t>
        </is>
      </c>
      <c r="K822" s="8" t="inlineStr"/>
      <c r="L822" s="10" t="n">
        <v>0</v>
      </c>
      <c r="M822" s="10" t="n">
        <v>0</v>
      </c>
      <c r="N822" s="10" t="n">
        <v>22</v>
      </c>
      <c r="O822" s="8" t="inlineStr">
        <is>
          <t>BOS</t>
        </is>
      </c>
      <c r="P822" s="8" t="inlineStr">
        <is>
          <t>IMPORTANT</t>
        </is>
      </c>
      <c r="Q822" s="8" t="inlineStr">
        <is>
          <t>WHAP</t>
        </is>
      </c>
      <c r="R822" s="8" t="inlineStr">
        <is>
          <t>OUI</t>
        </is>
      </c>
      <c r="S822" s="8" t="inlineStr">
        <is>
          <t>31/08/2026 02:59</t>
        </is>
      </c>
    </row>
    <row r="823">
      <c r="A823" s="7" t="inlineStr">
        <is>
          <t>WHAP-0819</t>
        </is>
      </c>
      <c r="B823" s="7" t="inlineStr">
        <is>
          <t>ROU-0819</t>
        </is>
      </c>
      <c r="C823" s="7" t="inlineStr">
        <is>
          <t>bloc distributeur CTIS — AVD2</t>
        </is>
      </c>
      <c r="D823" s="7" t="inlineStr">
        <is>
          <t>Roues et pneus</t>
        </is>
      </c>
      <c r="E823" s="7" t="inlineStr">
        <is>
          <t>Roues et pneus</t>
        </is>
      </c>
      <c r="F823" s="7" t="inlineStr">
        <is>
          <t>PIECE_VEHICULE</t>
        </is>
      </c>
      <c r="G823" s="7" t="inlineStr">
        <is>
          <t>unité</t>
        </is>
      </c>
      <c r="H823" s="7" t="inlineStr">
        <is>
          <t>LARGE</t>
        </is>
      </c>
      <c r="I823" s="7" t="n">
        <v>0</v>
      </c>
      <c r="J823" s="7" t="inlineStr">
        <is>
          <t>D-04-01</t>
        </is>
      </c>
      <c r="K823" s="7" t="inlineStr"/>
      <c r="L823" s="9" t="n">
        <v>0</v>
      </c>
      <c r="M823" s="9" t="n">
        <v>0</v>
      </c>
      <c r="N823" s="9" t="n">
        <v>30</v>
      </c>
      <c r="O823" s="7" t="inlineStr">
        <is>
          <t>CTL</t>
        </is>
      </c>
      <c r="P823" s="7" t="inlineStr">
        <is>
          <t>IMPORTANT</t>
        </is>
      </c>
      <c r="Q823" s="7" t="inlineStr">
        <is>
          <t>WHAP</t>
        </is>
      </c>
      <c r="R823" s="7" t="inlineStr">
        <is>
          <t>OUI</t>
        </is>
      </c>
      <c r="S823" s="7" t="inlineStr">
        <is>
          <t>31/08/2026 02:59</t>
        </is>
      </c>
    </row>
    <row r="824">
      <c r="A824" s="8" t="inlineStr">
        <is>
          <t>WHAP-0820</t>
        </is>
      </c>
      <c r="B824" s="8" t="inlineStr">
        <is>
          <t>ROU-0820</t>
        </is>
      </c>
      <c r="C824" s="8" t="inlineStr">
        <is>
          <t>jante — ARG2</t>
        </is>
      </c>
      <c r="D824" s="8" t="inlineStr">
        <is>
          <t>Roues et pneus</t>
        </is>
      </c>
      <c r="E824" s="8" t="inlineStr">
        <is>
          <t>Roues et pneus</t>
        </is>
      </c>
      <c r="F824" s="8" t="inlineStr">
        <is>
          <t>PIECE_VEHICULE</t>
        </is>
      </c>
      <c r="G824" s="8" t="inlineStr">
        <is>
          <t>unité</t>
        </is>
      </c>
      <c r="H824" s="8" t="inlineStr">
        <is>
          <t>LARGE</t>
        </is>
      </c>
      <c r="I824" s="8" t="n">
        <v>0</v>
      </c>
      <c r="J824" s="8" t="inlineStr">
        <is>
          <t>F-06-03</t>
        </is>
      </c>
      <c r="K824" s="8" t="inlineStr"/>
      <c r="L824" s="10" t="n">
        <v>0</v>
      </c>
      <c r="M824" s="10" t="n">
        <v>0</v>
      </c>
      <c r="N824" s="10" t="n">
        <v>29</v>
      </c>
      <c r="O824" s="8" t="inlineStr">
        <is>
          <t>CTL</t>
        </is>
      </c>
      <c r="P824" s="8" t="inlineStr">
        <is>
          <t>IMPORTANT</t>
        </is>
      </c>
      <c r="Q824" s="8" t="inlineStr">
        <is>
          <t>WHAP</t>
        </is>
      </c>
      <c r="R824" s="8" t="inlineStr">
        <is>
          <t>OUI</t>
        </is>
      </c>
      <c r="S824" s="8" t="inlineStr">
        <is>
          <t>31/08/2026 02:59</t>
        </is>
      </c>
    </row>
    <row r="825">
      <c r="A825" s="7" t="inlineStr">
        <is>
          <t>WHAP-0821</t>
        </is>
      </c>
      <c r="B825" s="7" t="inlineStr">
        <is>
          <t>ROU-0821</t>
        </is>
      </c>
      <c r="C825" s="7" t="inlineStr">
        <is>
          <t>roue complète — ARG2</t>
        </is>
      </c>
      <c r="D825" s="7" t="inlineStr">
        <is>
          <t>Roues et pneus</t>
        </is>
      </c>
      <c r="E825" s="7" t="inlineStr">
        <is>
          <t>Roues et pneus</t>
        </is>
      </c>
      <c r="F825" s="7" t="inlineStr">
        <is>
          <t>PIECE_VEHICULE</t>
        </is>
      </c>
      <c r="G825" s="7" t="inlineStr">
        <is>
          <t>unité</t>
        </is>
      </c>
      <c r="H825" s="7" t="inlineStr">
        <is>
          <t>LARGE</t>
        </is>
      </c>
      <c r="I825" s="7" t="n">
        <v>0</v>
      </c>
      <c r="J825" s="7" t="inlineStr">
        <is>
          <t>D-01-04</t>
        </is>
      </c>
      <c r="K825" s="7" t="inlineStr"/>
      <c r="L825" s="9" t="n">
        <v>0</v>
      </c>
      <c r="M825" s="9" t="n">
        <v>0</v>
      </c>
      <c r="N825" s="9" t="n">
        <v>28</v>
      </c>
      <c r="O825" s="7" t="inlineStr">
        <is>
          <t>VAL</t>
        </is>
      </c>
      <c r="P825" s="7" t="inlineStr">
        <is>
          <t>IMPORTANT</t>
        </is>
      </c>
      <c r="Q825" s="7" t="inlineStr">
        <is>
          <t>WHAP</t>
        </is>
      </c>
      <c r="R825" s="7" t="inlineStr">
        <is>
          <t>OUI</t>
        </is>
      </c>
      <c r="S825" s="7" t="inlineStr">
        <is>
          <t>31/08/2026 02:59</t>
        </is>
      </c>
    </row>
    <row r="826">
      <c r="A826" s="8" t="inlineStr">
        <is>
          <t>WHAP-0822</t>
        </is>
      </c>
      <c r="B826" s="8" t="inlineStr">
        <is>
          <t>ROU-0822</t>
        </is>
      </c>
      <c r="C826" s="8" t="inlineStr">
        <is>
          <t>pneu — ARG2</t>
        </is>
      </c>
      <c r="D826" s="8" t="inlineStr">
        <is>
          <t>Roues et pneus</t>
        </is>
      </c>
      <c r="E826" s="8" t="inlineStr">
        <is>
          <t>Roues et pneus</t>
        </is>
      </c>
      <c r="F826" s="8" t="inlineStr">
        <is>
          <t>PIECE_VEHICULE</t>
        </is>
      </c>
      <c r="G826" s="8" t="inlineStr">
        <is>
          <t>unité</t>
        </is>
      </c>
      <c r="H826" s="8" t="inlineStr">
        <is>
          <t>LARGE</t>
        </is>
      </c>
      <c r="I826" s="8" t="n">
        <v>0</v>
      </c>
      <c r="J826" s="8" t="inlineStr">
        <is>
          <t>B-06-04</t>
        </is>
      </c>
      <c r="K826" s="8" t="inlineStr"/>
      <c r="L826" s="10" t="n">
        <v>0</v>
      </c>
      <c r="M826" s="10" t="n">
        <v>0</v>
      </c>
      <c r="N826" s="10" t="n">
        <v>31</v>
      </c>
      <c r="O826" s="8" t="inlineStr">
        <is>
          <t>FAU</t>
        </is>
      </c>
      <c r="P826" s="8" t="inlineStr">
        <is>
          <t>IMPORTANT</t>
        </is>
      </c>
      <c r="Q826" s="8" t="inlineStr">
        <is>
          <t>WHAP</t>
        </is>
      </c>
      <c r="R826" s="8" t="inlineStr">
        <is>
          <t>OUI</t>
        </is>
      </c>
      <c r="S826" s="8" t="inlineStr">
        <is>
          <t>31/08/2026 02:59</t>
        </is>
      </c>
    </row>
    <row r="827">
      <c r="A827" s="7" t="inlineStr">
        <is>
          <t>WHAP-0823</t>
        </is>
      </c>
      <c r="B827" s="7" t="inlineStr">
        <is>
          <t>ROU-0823</t>
        </is>
      </c>
      <c r="C827" s="7" t="inlineStr">
        <is>
          <t>insert run-flat — ARG2</t>
        </is>
      </c>
      <c r="D827" s="7" t="inlineStr">
        <is>
          <t>Roues et pneus</t>
        </is>
      </c>
      <c r="E827" s="7" t="inlineStr">
        <is>
          <t>Roues et pneus</t>
        </is>
      </c>
      <c r="F827" s="7" t="inlineStr">
        <is>
          <t>PIECE_VEHICULE</t>
        </is>
      </c>
      <c r="G827" s="7" t="inlineStr">
        <is>
          <t>unité</t>
        </is>
      </c>
      <c r="H827" s="7" t="inlineStr">
        <is>
          <t>LARGE</t>
        </is>
      </c>
      <c r="I827" s="7" t="n">
        <v>0</v>
      </c>
      <c r="J827" s="7" t="inlineStr">
        <is>
          <t>E-05-03</t>
        </is>
      </c>
      <c r="K827" s="7" t="inlineStr"/>
      <c r="L827" s="9" t="n">
        <v>0</v>
      </c>
      <c r="M827" s="9" t="n">
        <v>0</v>
      </c>
      <c r="N827" s="9" t="n">
        <v>22</v>
      </c>
      <c r="O827" s="7" t="inlineStr">
        <is>
          <t>SUM</t>
        </is>
      </c>
      <c r="P827" s="7" t="inlineStr">
        <is>
          <t>IMPORTANT</t>
        </is>
      </c>
      <c r="Q827" s="7" t="inlineStr">
        <is>
          <t>WHAP</t>
        </is>
      </c>
      <c r="R827" s="7" t="inlineStr">
        <is>
          <t>OUI</t>
        </is>
      </c>
      <c r="S827" s="7" t="inlineStr">
        <is>
          <t>31/08/2026 02:59</t>
        </is>
      </c>
    </row>
    <row r="828">
      <c r="A828" s="8" t="inlineStr">
        <is>
          <t>WHAP-0824</t>
        </is>
      </c>
      <c r="B828" s="8" t="inlineStr">
        <is>
          <t>ROU-0824</t>
        </is>
      </c>
      <c r="C828" s="8" t="inlineStr">
        <is>
          <t>valve de pneu — ARG2</t>
        </is>
      </c>
      <c r="D828" s="8" t="inlineStr">
        <is>
          <t>Roues et pneus</t>
        </is>
      </c>
      <c r="E828" s="8" t="inlineStr">
        <is>
          <t>Roues et pneus</t>
        </is>
      </c>
      <c r="F828" s="8" t="inlineStr">
        <is>
          <t>PIECE_VEHICULE</t>
        </is>
      </c>
      <c r="G828" s="8" t="inlineStr">
        <is>
          <t>unité</t>
        </is>
      </c>
      <c r="H828" s="8" t="inlineStr">
        <is>
          <t>LARGE</t>
        </is>
      </c>
      <c r="I828" s="8" t="n">
        <v>0</v>
      </c>
      <c r="J828" s="8" t="inlineStr">
        <is>
          <t>D-06-04</t>
        </is>
      </c>
      <c r="K828" s="8" t="inlineStr"/>
      <c r="L828" s="10" t="n">
        <v>0</v>
      </c>
      <c r="M828" s="10" t="n">
        <v>0</v>
      </c>
      <c r="N828" s="10" t="n">
        <v>30</v>
      </c>
      <c r="O828" s="8" t="inlineStr">
        <is>
          <t>VAL</t>
        </is>
      </c>
      <c r="P828" s="8" t="inlineStr">
        <is>
          <t>IMPORTANT</t>
        </is>
      </c>
      <c r="Q828" s="8" t="inlineStr">
        <is>
          <t>WHAP</t>
        </is>
      </c>
      <c r="R828" s="8" t="inlineStr">
        <is>
          <t>OUI</t>
        </is>
      </c>
      <c r="S828" s="8" t="inlineStr">
        <is>
          <t>31/08/2026 02:59</t>
        </is>
      </c>
    </row>
    <row r="829">
      <c r="A829" s="7" t="inlineStr">
        <is>
          <t>WHAP-0825</t>
        </is>
      </c>
      <c r="B829" s="7" t="inlineStr">
        <is>
          <t>ROU-0825</t>
        </is>
      </c>
      <c r="C829" s="7" t="inlineStr">
        <is>
          <t>capteur pression pneu — ARG2</t>
        </is>
      </c>
      <c r="D829" s="7" t="inlineStr">
        <is>
          <t>Roues et pneus</t>
        </is>
      </c>
      <c r="E829" s="7" t="inlineStr">
        <is>
          <t>Roues et pneus</t>
        </is>
      </c>
      <c r="F829" s="7" t="inlineStr">
        <is>
          <t>PIECE_VEHICULE</t>
        </is>
      </c>
      <c r="G829" s="7" t="inlineStr">
        <is>
          <t>unité</t>
        </is>
      </c>
      <c r="H829" s="7" t="inlineStr">
        <is>
          <t>LARGE</t>
        </is>
      </c>
      <c r="I829" s="7" t="n">
        <v>0</v>
      </c>
      <c r="J829" s="7" t="inlineStr">
        <is>
          <t>B-01-03</t>
        </is>
      </c>
      <c r="K829" s="7" t="inlineStr"/>
      <c r="L829" s="9" t="n">
        <v>0</v>
      </c>
      <c r="M829" s="9" t="n">
        <v>0</v>
      </c>
      <c r="N829" s="9" t="n">
        <v>31</v>
      </c>
      <c r="O829" s="7" t="inlineStr">
        <is>
          <t>VAL</t>
        </is>
      </c>
      <c r="P829" s="7" t="inlineStr">
        <is>
          <t>IMPORTANT</t>
        </is>
      </c>
      <c r="Q829" s="7" t="inlineStr">
        <is>
          <t>WHAP</t>
        </is>
      </c>
      <c r="R829" s="7" t="inlineStr">
        <is>
          <t>OUI</t>
        </is>
      </c>
      <c r="S829" s="7" t="inlineStr">
        <is>
          <t>31/08/2026 02:59</t>
        </is>
      </c>
    </row>
    <row r="830">
      <c r="A830" s="8" t="inlineStr">
        <is>
          <t>WHAP-0826</t>
        </is>
      </c>
      <c r="B830" s="8" t="inlineStr">
        <is>
          <t>ROU-0826</t>
        </is>
      </c>
      <c r="C830" s="8" t="inlineStr">
        <is>
          <t>écrou de roue — ARG2</t>
        </is>
      </c>
      <c r="D830" s="8" t="inlineStr">
        <is>
          <t>Roues et pneus</t>
        </is>
      </c>
      <c r="E830" s="8" t="inlineStr">
        <is>
          <t>Roues et pneus</t>
        </is>
      </c>
      <c r="F830" s="8" t="inlineStr">
        <is>
          <t>PIECE_VEHICULE</t>
        </is>
      </c>
      <c r="G830" s="8" t="inlineStr">
        <is>
          <t>unité</t>
        </is>
      </c>
      <c r="H830" s="8" t="inlineStr">
        <is>
          <t>LARGE</t>
        </is>
      </c>
      <c r="I830" s="8" t="n">
        <v>0</v>
      </c>
      <c r="J830" s="8" t="inlineStr">
        <is>
          <t>B-02-01</t>
        </is>
      </c>
      <c r="K830" s="8" t="inlineStr"/>
      <c r="L830" s="10" t="n">
        <v>0</v>
      </c>
      <c r="M830" s="10" t="n">
        <v>0</v>
      </c>
      <c r="N830" s="10" t="n">
        <v>27</v>
      </c>
      <c r="O830" s="8" t="inlineStr">
        <is>
          <t>FAU</t>
        </is>
      </c>
      <c r="P830" s="8" t="inlineStr">
        <is>
          <t>IMPORTANT</t>
        </is>
      </c>
      <c r="Q830" s="8" t="inlineStr">
        <is>
          <t>WHAP</t>
        </is>
      </c>
      <c r="R830" s="8" t="inlineStr">
        <is>
          <t>OUI</t>
        </is>
      </c>
      <c r="S830" s="8" t="inlineStr">
        <is>
          <t>31/08/2026 02:59</t>
        </is>
      </c>
    </row>
    <row r="831">
      <c r="A831" s="7" t="inlineStr">
        <is>
          <t>WHAP-0827</t>
        </is>
      </c>
      <c r="B831" s="7" t="inlineStr">
        <is>
          <t>ROU-0827</t>
        </is>
      </c>
      <c r="C831" s="7" t="inlineStr">
        <is>
          <t>goujon de roue — ARG2</t>
        </is>
      </c>
      <c r="D831" s="7" t="inlineStr">
        <is>
          <t>Roues et pneus</t>
        </is>
      </c>
      <c r="E831" s="7" t="inlineStr">
        <is>
          <t>Roues et pneus</t>
        </is>
      </c>
      <c r="F831" s="7" t="inlineStr">
        <is>
          <t>PIECE_VEHICULE</t>
        </is>
      </c>
      <c r="G831" s="7" t="inlineStr">
        <is>
          <t>unité</t>
        </is>
      </c>
      <c r="H831" s="7" t="inlineStr">
        <is>
          <t>LARGE</t>
        </is>
      </c>
      <c r="I831" s="7" t="n">
        <v>0</v>
      </c>
      <c r="J831" s="7" t="inlineStr">
        <is>
          <t>D-04-04</t>
        </is>
      </c>
      <c r="K831" s="7" t="inlineStr"/>
      <c r="L831" s="9" t="n">
        <v>0</v>
      </c>
      <c r="M831" s="9" t="n">
        <v>0</v>
      </c>
      <c r="N831" s="9" t="n">
        <v>27</v>
      </c>
      <c r="O831" s="7" t="inlineStr">
        <is>
          <t>VAL</t>
        </is>
      </c>
      <c r="P831" s="7" t="inlineStr">
        <is>
          <t>IMPORTANT</t>
        </is>
      </c>
      <c r="Q831" s="7" t="inlineStr">
        <is>
          <t>WHAP</t>
        </is>
      </c>
      <c r="R831" s="7" t="inlineStr">
        <is>
          <t>OUI</t>
        </is>
      </c>
      <c r="S831" s="7" t="inlineStr">
        <is>
          <t>31/08/2026 02:59</t>
        </is>
      </c>
    </row>
    <row r="832">
      <c r="A832" s="8" t="inlineStr">
        <is>
          <t>WHAP-0828</t>
        </is>
      </c>
      <c r="B832" s="8" t="inlineStr">
        <is>
          <t>ROU-0828</t>
        </is>
      </c>
      <c r="C832" s="8" t="inlineStr">
        <is>
          <t>entretoise de roue — ARG2</t>
        </is>
      </c>
      <c r="D832" s="8" t="inlineStr">
        <is>
          <t>Roues et pneus</t>
        </is>
      </c>
      <c r="E832" s="8" t="inlineStr">
        <is>
          <t>Roues et pneus</t>
        </is>
      </c>
      <c r="F832" s="8" t="inlineStr">
        <is>
          <t>PIECE_VEHICULE</t>
        </is>
      </c>
      <c r="G832" s="8" t="inlineStr">
        <is>
          <t>unité</t>
        </is>
      </c>
      <c r="H832" s="8" t="inlineStr">
        <is>
          <t>LARGE</t>
        </is>
      </c>
      <c r="I832" s="8" t="n">
        <v>0</v>
      </c>
      <c r="J832" s="8" t="inlineStr">
        <is>
          <t>C-04-04</t>
        </is>
      </c>
      <c r="K832" s="8" t="inlineStr"/>
      <c r="L832" s="10" t="n">
        <v>0</v>
      </c>
      <c r="M832" s="10" t="n">
        <v>0</v>
      </c>
      <c r="N832" s="10" t="n">
        <v>32</v>
      </c>
      <c r="O832" s="8" t="inlineStr">
        <is>
          <t>MAG</t>
        </is>
      </c>
      <c r="P832" s="8" t="inlineStr">
        <is>
          <t>IMPORTANT</t>
        </is>
      </c>
      <c r="Q832" s="8" t="inlineStr">
        <is>
          <t>WHAP</t>
        </is>
      </c>
      <c r="R832" s="8" t="inlineStr">
        <is>
          <t>OUI</t>
        </is>
      </c>
      <c r="S832" s="8" t="inlineStr">
        <is>
          <t>31/08/2026 02:59</t>
        </is>
      </c>
    </row>
    <row r="833">
      <c r="A833" s="7" t="inlineStr">
        <is>
          <t>WHAP-0829</t>
        </is>
      </c>
      <c r="B833" s="7" t="inlineStr">
        <is>
          <t>ROU-0829</t>
        </is>
      </c>
      <c r="C833" s="7" t="inlineStr">
        <is>
          <t>moyeu — ARG2</t>
        </is>
      </c>
      <c r="D833" s="7" t="inlineStr">
        <is>
          <t>Roues et pneus</t>
        </is>
      </c>
      <c r="E833" s="7" t="inlineStr">
        <is>
          <t>Roues et pneus</t>
        </is>
      </c>
      <c r="F833" s="7" t="inlineStr">
        <is>
          <t>PIECE_VEHICULE</t>
        </is>
      </c>
      <c r="G833" s="7" t="inlineStr">
        <is>
          <t>unité</t>
        </is>
      </c>
      <c r="H833" s="7" t="inlineStr">
        <is>
          <t>LARGE</t>
        </is>
      </c>
      <c r="I833" s="7" t="n">
        <v>0</v>
      </c>
      <c r="J833" s="7" t="inlineStr">
        <is>
          <t>E-02-02</t>
        </is>
      </c>
      <c r="K833" s="7" t="inlineStr"/>
      <c r="L833" s="9" t="n">
        <v>0</v>
      </c>
      <c r="M833" s="9" t="n">
        <v>0</v>
      </c>
      <c r="N833" s="9" t="n">
        <v>22</v>
      </c>
      <c r="O833" s="7" t="inlineStr">
        <is>
          <t>MAG</t>
        </is>
      </c>
      <c r="P833" s="7" t="inlineStr">
        <is>
          <t>IMPORTANT</t>
        </is>
      </c>
      <c r="Q833" s="7" t="inlineStr">
        <is>
          <t>WHAP</t>
        </is>
      </c>
      <c r="R833" s="7" t="inlineStr">
        <is>
          <t>OUI</t>
        </is>
      </c>
      <c r="S833" s="7" t="inlineStr">
        <is>
          <t>31/08/2026 02:59</t>
        </is>
      </c>
    </row>
    <row r="834">
      <c r="A834" s="8" t="inlineStr">
        <is>
          <t>WHAP-0830</t>
        </is>
      </c>
      <c r="B834" s="8" t="inlineStr">
        <is>
          <t>ROU-0830</t>
        </is>
      </c>
      <c r="C834" s="8" t="inlineStr">
        <is>
          <t>cache-moyeu — ARG2</t>
        </is>
      </c>
      <c r="D834" s="8" t="inlineStr">
        <is>
          <t>Roues et pneus</t>
        </is>
      </c>
      <c r="E834" s="8" t="inlineStr">
        <is>
          <t>Roues et pneus</t>
        </is>
      </c>
      <c r="F834" s="8" t="inlineStr">
        <is>
          <t>PIECE_VEHICULE</t>
        </is>
      </c>
      <c r="G834" s="8" t="inlineStr">
        <is>
          <t>unité</t>
        </is>
      </c>
      <c r="H834" s="8" t="inlineStr">
        <is>
          <t>LARGE</t>
        </is>
      </c>
      <c r="I834" s="8" t="n">
        <v>0</v>
      </c>
      <c r="J834" s="8" t="inlineStr">
        <is>
          <t>D-06-03</t>
        </is>
      </c>
      <c r="K834" s="8" t="inlineStr"/>
      <c r="L834" s="10" t="n">
        <v>0</v>
      </c>
      <c r="M834" s="10" t="n">
        <v>0</v>
      </c>
      <c r="N834" s="10" t="n">
        <v>31</v>
      </c>
      <c r="O834" s="8" t="inlineStr">
        <is>
          <t>YZK</t>
        </is>
      </c>
      <c r="P834" s="8" t="inlineStr">
        <is>
          <t>IMPORTANT</t>
        </is>
      </c>
      <c r="Q834" s="8" t="inlineStr">
        <is>
          <t>WHAP</t>
        </is>
      </c>
      <c r="R834" s="8" t="inlineStr">
        <is>
          <t>OUI</t>
        </is>
      </c>
      <c r="S834" s="8" t="inlineStr">
        <is>
          <t>31/08/2026 02:59</t>
        </is>
      </c>
    </row>
    <row r="835">
      <c r="A835" s="7" t="inlineStr">
        <is>
          <t>WHAP-0831</t>
        </is>
      </c>
      <c r="B835" s="7" t="inlineStr">
        <is>
          <t>ROU-0831</t>
        </is>
      </c>
      <c r="C835" s="7" t="inlineStr">
        <is>
          <t>joint de moyeu — ARG2</t>
        </is>
      </c>
      <c r="D835" s="7" t="inlineStr">
        <is>
          <t>Roues et pneus</t>
        </is>
      </c>
      <c r="E835" s="7" t="inlineStr">
        <is>
          <t>Roues et pneus</t>
        </is>
      </c>
      <c r="F835" s="7" t="inlineStr">
        <is>
          <t>PIECE_VEHICULE</t>
        </is>
      </c>
      <c r="G835" s="7" t="inlineStr">
        <is>
          <t>unité</t>
        </is>
      </c>
      <c r="H835" s="7" t="inlineStr">
        <is>
          <t>LARGE</t>
        </is>
      </c>
      <c r="I835" s="7" t="n">
        <v>0</v>
      </c>
      <c r="J835" s="7" t="inlineStr">
        <is>
          <t>F-05-02</t>
        </is>
      </c>
      <c r="K835" s="7" t="inlineStr"/>
      <c r="L835" s="9" t="n">
        <v>0</v>
      </c>
      <c r="M835" s="9" t="n">
        <v>0</v>
      </c>
      <c r="N835" s="9" t="n">
        <v>29</v>
      </c>
      <c r="O835" s="7" t="inlineStr">
        <is>
          <t>CTL</t>
        </is>
      </c>
      <c r="P835" s="7" t="inlineStr">
        <is>
          <t>IMPORTANT</t>
        </is>
      </c>
      <c r="Q835" s="7" t="inlineStr">
        <is>
          <t>WHAP</t>
        </is>
      </c>
      <c r="R835" s="7" t="inlineStr">
        <is>
          <t>OUI</t>
        </is>
      </c>
      <c r="S835" s="7" t="inlineStr">
        <is>
          <t>31/08/2026 02:59</t>
        </is>
      </c>
    </row>
    <row r="836">
      <c r="A836" s="8" t="inlineStr">
        <is>
          <t>WHAP-0832</t>
        </is>
      </c>
      <c r="B836" s="8" t="inlineStr">
        <is>
          <t>ROU-0832</t>
        </is>
      </c>
      <c r="C836" s="8" t="inlineStr">
        <is>
          <t>roulement de roue — ARG2</t>
        </is>
      </c>
      <c r="D836" s="8" t="inlineStr">
        <is>
          <t>Roues et pneus</t>
        </is>
      </c>
      <c r="E836" s="8" t="inlineStr">
        <is>
          <t>Roues et pneus</t>
        </is>
      </c>
      <c r="F836" s="8" t="inlineStr">
        <is>
          <t>PIECE_VEHICULE</t>
        </is>
      </c>
      <c r="G836" s="8" t="inlineStr">
        <is>
          <t>unité</t>
        </is>
      </c>
      <c r="H836" s="8" t="inlineStr">
        <is>
          <t>LARGE</t>
        </is>
      </c>
      <c r="I836" s="8" t="n">
        <v>0</v>
      </c>
      <c r="J836" s="8" t="inlineStr">
        <is>
          <t>D-04-03</t>
        </is>
      </c>
      <c r="K836" s="8" t="inlineStr"/>
      <c r="L836" s="10" t="n">
        <v>0</v>
      </c>
      <c r="M836" s="10" t="n">
        <v>0</v>
      </c>
      <c r="N836" s="10" t="n">
        <v>30</v>
      </c>
      <c r="O836" s="8" t="inlineStr">
        <is>
          <t>CTL</t>
        </is>
      </c>
      <c r="P836" s="8" t="inlineStr">
        <is>
          <t>IMPORTANT</t>
        </is>
      </c>
      <c r="Q836" s="8" t="inlineStr">
        <is>
          <t>WHAP</t>
        </is>
      </c>
      <c r="R836" s="8" t="inlineStr">
        <is>
          <t>OUI</t>
        </is>
      </c>
      <c r="S836" s="8" t="inlineStr">
        <is>
          <t>31/08/2026 02:59</t>
        </is>
      </c>
    </row>
    <row r="837">
      <c r="A837" s="7" t="inlineStr">
        <is>
          <t>WHAP-0833</t>
        </is>
      </c>
      <c r="B837" s="7" t="inlineStr">
        <is>
          <t>ROU-0833</t>
        </is>
      </c>
      <c r="C837" s="7" t="inlineStr">
        <is>
          <t>bague de roulement — ARG2</t>
        </is>
      </c>
      <c r="D837" s="7" t="inlineStr">
        <is>
          <t>Roues et pneus</t>
        </is>
      </c>
      <c r="E837" s="7" t="inlineStr">
        <is>
          <t>Roues et pneus</t>
        </is>
      </c>
      <c r="F837" s="7" t="inlineStr">
        <is>
          <t>PIECE_VEHICULE</t>
        </is>
      </c>
      <c r="G837" s="7" t="inlineStr">
        <is>
          <t>unité</t>
        </is>
      </c>
      <c r="H837" s="7" t="inlineStr">
        <is>
          <t>LARGE</t>
        </is>
      </c>
      <c r="I837" s="7" t="n">
        <v>0</v>
      </c>
      <c r="J837" s="7" t="inlineStr">
        <is>
          <t>D-03-01</t>
        </is>
      </c>
      <c r="K837" s="7" t="inlineStr"/>
      <c r="L837" s="9" t="n">
        <v>0</v>
      </c>
      <c r="M837" s="9" t="n">
        <v>0</v>
      </c>
      <c r="N837" s="9" t="n">
        <v>23</v>
      </c>
      <c r="O837" s="7" t="inlineStr">
        <is>
          <t>YZK</t>
        </is>
      </c>
      <c r="P837" s="7" t="inlineStr">
        <is>
          <t>IMPORTANT</t>
        </is>
      </c>
      <c r="Q837" s="7" t="inlineStr">
        <is>
          <t>WHAP</t>
        </is>
      </c>
      <c r="R837" s="7" t="inlineStr">
        <is>
          <t>OUI</t>
        </is>
      </c>
      <c r="S837" s="7" t="inlineStr">
        <is>
          <t>31/08/2026 02:59</t>
        </is>
      </c>
    </row>
    <row r="838">
      <c r="A838" s="8" t="inlineStr">
        <is>
          <t>WHAP-0834</t>
        </is>
      </c>
      <c r="B838" s="8" t="inlineStr">
        <is>
          <t>ROU-0834</t>
        </is>
      </c>
      <c r="C838" s="8" t="inlineStr">
        <is>
          <t>anneau de retenue — ARG2</t>
        </is>
      </c>
      <c r="D838" s="8" t="inlineStr">
        <is>
          <t>Roues et pneus</t>
        </is>
      </c>
      <c r="E838" s="8" t="inlineStr">
        <is>
          <t>Roues et pneus</t>
        </is>
      </c>
      <c r="F838" s="8" t="inlineStr">
        <is>
          <t>PIECE_VEHICULE</t>
        </is>
      </c>
      <c r="G838" s="8" t="inlineStr">
        <is>
          <t>unité</t>
        </is>
      </c>
      <c r="H838" s="8" t="inlineStr">
        <is>
          <t>LARGE</t>
        </is>
      </c>
      <c r="I838" s="8" t="n">
        <v>0</v>
      </c>
      <c r="J838" s="8" t="inlineStr">
        <is>
          <t>F-05-02</t>
        </is>
      </c>
      <c r="K838" s="8" t="inlineStr"/>
      <c r="L838" s="10" t="n">
        <v>0</v>
      </c>
      <c r="M838" s="10" t="n">
        <v>0</v>
      </c>
      <c r="N838" s="10" t="n">
        <v>30</v>
      </c>
      <c r="O838" s="8" t="inlineStr">
        <is>
          <t>SKF</t>
        </is>
      </c>
      <c r="P838" s="8" t="inlineStr">
        <is>
          <t>IMPORTANT</t>
        </is>
      </c>
      <c r="Q838" s="8" t="inlineStr">
        <is>
          <t>WHAP</t>
        </is>
      </c>
      <c r="R838" s="8" t="inlineStr">
        <is>
          <t>OUI</t>
        </is>
      </c>
      <c r="S838" s="8" t="inlineStr">
        <is>
          <t>31/08/2026 02:59</t>
        </is>
      </c>
    </row>
    <row r="839">
      <c r="A839" s="7" t="inlineStr">
        <is>
          <t>WHAP-0835</t>
        </is>
      </c>
      <c r="B839" s="7" t="inlineStr">
        <is>
          <t>ROU-0835</t>
        </is>
      </c>
      <c r="C839" s="7" t="inlineStr">
        <is>
          <t>disque de jante — ARG2</t>
        </is>
      </c>
      <c r="D839" s="7" t="inlineStr">
        <is>
          <t>Roues et pneus</t>
        </is>
      </c>
      <c r="E839" s="7" t="inlineStr">
        <is>
          <t>Roues et pneus</t>
        </is>
      </c>
      <c r="F839" s="7" t="inlineStr">
        <is>
          <t>PIECE_VEHICULE</t>
        </is>
      </c>
      <c r="G839" s="7" t="inlineStr">
        <is>
          <t>unité</t>
        </is>
      </c>
      <c r="H839" s="7" t="inlineStr">
        <is>
          <t>LARGE</t>
        </is>
      </c>
      <c r="I839" s="7" t="n">
        <v>0</v>
      </c>
      <c r="J839" s="7" t="inlineStr">
        <is>
          <t>F-02-02</t>
        </is>
      </c>
      <c r="K839" s="7" t="inlineStr"/>
      <c r="L839" s="9" t="n">
        <v>0</v>
      </c>
      <c r="M839" s="9" t="n">
        <v>0</v>
      </c>
      <c r="N839" s="9" t="n">
        <v>22</v>
      </c>
      <c r="O839" s="7" t="inlineStr">
        <is>
          <t>VAL</t>
        </is>
      </c>
      <c r="P839" s="7" t="inlineStr">
        <is>
          <t>IMPORTANT</t>
        </is>
      </c>
      <c r="Q839" s="7" t="inlineStr">
        <is>
          <t>WHAP</t>
        </is>
      </c>
      <c r="R839" s="7" t="inlineStr">
        <is>
          <t>OUI</t>
        </is>
      </c>
      <c r="S839" s="7" t="inlineStr">
        <is>
          <t>31/08/2026 02:59</t>
        </is>
      </c>
    </row>
    <row r="840">
      <c r="A840" s="8" t="inlineStr">
        <is>
          <t>WHAP-0836</t>
        </is>
      </c>
      <c r="B840" s="8" t="inlineStr">
        <is>
          <t>ROU-0836</t>
        </is>
      </c>
      <c r="C840" s="8" t="inlineStr">
        <is>
          <t>cerclage de jante — ARG2</t>
        </is>
      </c>
      <c r="D840" s="8" t="inlineStr">
        <is>
          <t>Roues et pneus</t>
        </is>
      </c>
      <c r="E840" s="8" t="inlineStr">
        <is>
          <t>Roues et pneus</t>
        </is>
      </c>
      <c r="F840" s="8" t="inlineStr">
        <is>
          <t>PIECE_VEHICULE</t>
        </is>
      </c>
      <c r="G840" s="8" t="inlineStr">
        <is>
          <t>unité</t>
        </is>
      </c>
      <c r="H840" s="8" t="inlineStr">
        <is>
          <t>LARGE</t>
        </is>
      </c>
      <c r="I840" s="8" t="n">
        <v>0</v>
      </c>
      <c r="J840" s="8" t="inlineStr">
        <is>
          <t>F-02-01</t>
        </is>
      </c>
      <c r="K840" s="8" t="inlineStr"/>
      <c r="L840" s="10" t="n">
        <v>0</v>
      </c>
      <c r="M840" s="10" t="n">
        <v>0</v>
      </c>
      <c r="N840" s="10" t="n">
        <v>30</v>
      </c>
      <c r="O840" s="8" t="inlineStr">
        <is>
          <t>VAL</t>
        </is>
      </c>
      <c r="P840" s="8" t="inlineStr">
        <is>
          <t>IMPORTANT</t>
        </is>
      </c>
      <c r="Q840" s="8" t="inlineStr">
        <is>
          <t>WHAP</t>
        </is>
      </c>
      <c r="R840" s="8" t="inlineStr">
        <is>
          <t>OUI</t>
        </is>
      </c>
      <c r="S840" s="8" t="inlineStr">
        <is>
          <t>31/08/2026 02:59</t>
        </is>
      </c>
    </row>
    <row r="841">
      <c r="A841" s="7" t="inlineStr">
        <is>
          <t>WHAP-0837</t>
        </is>
      </c>
      <c r="B841" s="7" t="inlineStr">
        <is>
          <t>ROU-0837</t>
        </is>
      </c>
      <c r="C841" s="7" t="inlineStr">
        <is>
          <t>système CTIS — ARG2</t>
        </is>
      </c>
      <c r="D841" s="7" t="inlineStr">
        <is>
          <t>Roues et pneus</t>
        </is>
      </c>
      <c r="E841" s="7" t="inlineStr">
        <is>
          <t>Roues et pneus</t>
        </is>
      </c>
      <c r="F841" s="7" t="inlineStr">
        <is>
          <t>PIECE_VEHICULE</t>
        </is>
      </c>
      <c r="G841" s="7" t="inlineStr">
        <is>
          <t>unité</t>
        </is>
      </c>
      <c r="H841" s="7" t="inlineStr">
        <is>
          <t>LARGE</t>
        </is>
      </c>
      <c r="I841" s="7" t="n">
        <v>0</v>
      </c>
      <c r="J841" s="7" t="inlineStr">
        <is>
          <t>D-03-03</t>
        </is>
      </c>
      <c r="K841" s="7" t="inlineStr"/>
      <c r="L841" s="9" t="n">
        <v>0</v>
      </c>
      <c r="M841" s="9" t="n">
        <v>0</v>
      </c>
      <c r="N841" s="9" t="n">
        <v>30</v>
      </c>
      <c r="O841" s="7" t="inlineStr">
        <is>
          <t>FAU</t>
        </is>
      </c>
      <c r="P841" s="7" t="inlineStr">
        <is>
          <t>IMPORTANT</t>
        </is>
      </c>
      <c r="Q841" s="7" t="inlineStr">
        <is>
          <t>WHAP</t>
        </is>
      </c>
      <c r="R841" s="7" t="inlineStr">
        <is>
          <t>OUI</t>
        </is>
      </c>
      <c r="S841" s="7" t="inlineStr">
        <is>
          <t>31/08/2026 02:59</t>
        </is>
      </c>
    </row>
    <row r="842">
      <c r="A842" s="8" t="inlineStr">
        <is>
          <t>WHAP-0838</t>
        </is>
      </c>
      <c r="B842" s="8" t="inlineStr">
        <is>
          <t>ROU-0838</t>
        </is>
      </c>
      <c r="C842" s="8" t="inlineStr">
        <is>
          <t>rotor CTIS — ARG2</t>
        </is>
      </c>
      <c r="D842" s="8" t="inlineStr">
        <is>
          <t>Roues et pneus</t>
        </is>
      </c>
      <c r="E842" s="8" t="inlineStr">
        <is>
          <t>Roues et pneus</t>
        </is>
      </c>
      <c r="F842" s="8" t="inlineStr">
        <is>
          <t>PIECE_VEHICULE</t>
        </is>
      </c>
      <c r="G842" s="8" t="inlineStr">
        <is>
          <t>unité</t>
        </is>
      </c>
      <c r="H842" s="8" t="inlineStr">
        <is>
          <t>LARGE</t>
        </is>
      </c>
      <c r="I842" s="8" t="n">
        <v>0</v>
      </c>
      <c r="J842" s="8" t="inlineStr">
        <is>
          <t>D-03-02</t>
        </is>
      </c>
      <c r="K842" s="8" t="inlineStr"/>
      <c r="L842" s="10" t="n">
        <v>0</v>
      </c>
      <c r="M842" s="10" t="n">
        <v>0</v>
      </c>
      <c r="N842" s="10" t="n">
        <v>28</v>
      </c>
      <c r="O842" s="8" t="inlineStr">
        <is>
          <t>YZK</t>
        </is>
      </c>
      <c r="P842" s="8" t="inlineStr">
        <is>
          <t>IMPORTANT</t>
        </is>
      </c>
      <c r="Q842" s="8" t="inlineStr">
        <is>
          <t>WHAP</t>
        </is>
      </c>
      <c r="R842" s="8" t="inlineStr">
        <is>
          <t>OUI</t>
        </is>
      </c>
      <c r="S842" s="8" t="inlineStr">
        <is>
          <t>31/08/2026 02:59</t>
        </is>
      </c>
    </row>
    <row r="843">
      <c r="A843" s="7" t="inlineStr">
        <is>
          <t>WHAP-0839</t>
        </is>
      </c>
      <c r="B843" s="7" t="inlineStr">
        <is>
          <t>ROU-0839</t>
        </is>
      </c>
      <c r="C843" s="7" t="inlineStr">
        <is>
          <t>joint tournant CTIS — ARG2</t>
        </is>
      </c>
      <c r="D843" s="7" t="inlineStr">
        <is>
          <t>Roues et pneus</t>
        </is>
      </c>
      <c r="E843" s="7" t="inlineStr">
        <is>
          <t>Roues et pneus</t>
        </is>
      </c>
      <c r="F843" s="7" t="inlineStr">
        <is>
          <t>PIECE_VEHICULE</t>
        </is>
      </c>
      <c r="G843" s="7" t="inlineStr">
        <is>
          <t>unité</t>
        </is>
      </c>
      <c r="H843" s="7" t="inlineStr">
        <is>
          <t>LARGE</t>
        </is>
      </c>
      <c r="I843" s="7" t="n">
        <v>0</v>
      </c>
      <c r="J843" s="7" t="inlineStr">
        <is>
          <t>F-06-02</t>
        </is>
      </c>
      <c r="K843" s="7" t="inlineStr"/>
      <c r="L843" s="9" t="n">
        <v>0</v>
      </c>
      <c r="M843" s="9" t="n">
        <v>0</v>
      </c>
      <c r="N843" s="9" t="n">
        <v>22</v>
      </c>
      <c r="O843" s="7" t="inlineStr">
        <is>
          <t>YZK</t>
        </is>
      </c>
      <c r="P843" s="7" t="inlineStr">
        <is>
          <t>IMPORTANT</t>
        </is>
      </c>
      <c r="Q843" s="7" t="inlineStr">
        <is>
          <t>WHAP</t>
        </is>
      </c>
      <c r="R843" s="7" t="inlineStr">
        <is>
          <t>OUI</t>
        </is>
      </c>
      <c r="S843" s="7" t="inlineStr">
        <is>
          <t>31/08/2026 02:59</t>
        </is>
      </c>
    </row>
    <row r="844">
      <c r="A844" s="8" t="inlineStr">
        <is>
          <t>WHAP-0840</t>
        </is>
      </c>
      <c r="B844" s="8" t="inlineStr">
        <is>
          <t>ROU-0840</t>
        </is>
      </c>
      <c r="C844" s="8" t="inlineStr">
        <is>
          <t>flexible CTIS — ARG2</t>
        </is>
      </c>
      <c r="D844" s="8" t="inlineStr">
        <is>
          <t>Roues et pneus</t>
        </is>
      </c>
      <c r="E844" s="8" t="inlineStr">
        <is>
          <t>Roues et pneus</t>
        </is>
      </c>
      <c r="F844" s="8" t="inlineStr">
        <is>
          <t>PIECE_VEHICULE</t>
        </is>
      </c>
      <c r="G844" s="8" t="inlineStr">
        <is>
          <t>unité</t>
        </is>
      </c>
      <c r="H844" s="8" t="inlineStr">
        <is>
          <t>LARGE</t>
        </is>
      </c>
      <c r="I844" s="8" t="n">
        <v>0</v>
      </c>
      <c r="J844" s="8" t="inlineStr">
        <is>
          <t>C-06-04</t>
        </is>
      </c>
      <c r="K844" s="8" t="inlineStr"/>
      <c r="L844" s="10" t="n">
        <v>0</v>
      </c>
      <c r="M844" s="10" t="n">
        <v>0</v>
      </c>
      <c r="N844" s="10" t="n">
        <v>22</v>
      </c>
      <c r="O844" s="8" t="inlineStr">
        <is>
          <t>SUM</t>
        </is>
      </c>
      <c r="P844" s="8" t="inlineStr">
        <is>
          <t>IMPORTANT</t>
        </is>
      </c>
      <c r="Q844" s="8" t="inlineStr">
        <is>
          <t>WHAP</t>
        </is>
      </c>
      <c r="R844" s="8" t="inlineStr">
        <is>
          <t>OUI</t>
        </is>
      </c>
      <c r="S844" s="8" t="inlineStr">
        <is>
          <t>31/08/2026 02:59</t>
        </is>
      </c>
    </row>
    <row r="845">
      <c r="A845" s="7" t="inlineStr">
        <is>
          <t>WHAP-0841</t>
        </is>
      </c>
      <c r="B845" s="7" t="inlineStr">
        <is>
          <t>ROU-0841</t>
        </is>
      </c>
      <c r="C845" s="7" t="inlineStr">
        <is>
          <t>raccord CTIS — ARG2</t>
        </is>
      </c>
      <c r="D845" s="7" t="inlineStr">
        <is>
          <t>Roues et pneus</t>
        </is>
      </c>
      <c r="E845" s="7" t="inlineStr">
        <is>
          <t>Roues et pneus</t>
        </is>
      </c>
      <c r="F845" s="7" t="inlineStr">
        <is>
          <t>PIECE_VEHICULE</t>
        </is>
      </c>
      <c r="G845" s="7" t="inlineStr">
        <is>
          <t>unité</t>
        </is>
      </c>
      <c r="H845" s="7" t="inlineStr">
        <is>
          <t>LARGE</t>
        </is>
      </c>
      <c r="I845" s="7" t="n">
        <v>0</v>
      </c>
      <c r="J845" s="7" t="inlineStr">
        <is>
          <t>F-06-02</t>
        </is>
      </c>
      <c r="K845" s="7" t="inlineStr"/>
      <c r="L845" s="9" t="n">
        <v>0</v>
      </c>
      <c r="M845" s="9" t="n">
        <v>0</v>
      </c>
      <c r="N845" s="9" t="n">
        <v>28</v>
      </c>
      <c r="O845" s="7" t="inlineStr">
        <is>
          <t>FAU</t>
        </is>
      </c>
      <c r="P845" s="7" t="inlineStr">
        <is>
          <t>IMPORTANT</t>
        </is>
      </c>
      <c r="Q845" s="7" t="inlineStr">
        <is>
          <t>WHAP</t>
        </is>
      </c>
      <c r="R845" s="7" t="inlineStr">
        <is>
          <t>OUI</t>
        </is>
      </c>
      <c r="S845" s="7" t="inlineStr">
        <is>
          <t>31/08/2026 02:59</t>
        </is>
      </c>
    </row>
    <row r="846">
      <c r="A846" s="8" t="inlineStr">
        <is>
          <t>WHAP-0842</t>
        </is>
      </c>
      <c r="B846" s="8" t="inlineStr">
        <is>
          <t>ROU-0842</t>
        </is>
      </c>
      <c r="C846" s="8" t="inlineStr">
        <is>
          <t>valve CTIS — ARG2</t>
        </is>
      </c>
      <c r="D846" s="8" t="inlineStr">
        <is>
          <t>Roues et pneus</t>
        </is>
      </c>
      <c r="E846" s="8" t="inlineStr">
        <is>
          <t>Roues et pneus</t>
        </is>
      </c>
      <c r="F846" s="8" t="inlineStr">
        <is>
          <t>PIECE_VEHICULE</t>
        </is>
      </c>
      <c r="G846" s="8" t="inlineStr">
        <is>
          <t>unité</t>
        </is>
      </c>
      <c r="H846" s="8" t="inlineStr">
        <is>
          <t>LARGE</t>
        </is>
      </c>
      <c r="I846" s="8" t="n">
        <v>0</v>
      </c>
      <c r="J846" s="8" t="inlineStr">
        <is>
          <t>D-02-01</t>
        </is>
      </c>
      <c r="K846" s="8" t="inlineStr"/>
      <c r="L846" s="10" t="n">
        <v>0</v>
      </c>
      <c r="M846" s="10" t="n">
        <v>0</v>
      </c>
      <c r="N846" s="10" t="n">
        <v>23</v>
      </c>
      <c r="O846" s="8" t="inlineStr">
        <is>
          <t>SKF</t>
        </is>
      </c>
      <c r="P846" s="8" t="inlineStr">
        <is>
          <t>IMPORTANT</t>
        </is>
      </c>
      <c r="Q846" s="8" t="inlineStr">
        <is>
          <t>WHAP</t>
        </is>
      </c>
      <c r="R846" s="8" t="inlineStr">
        <is>
          <t>OUI</t>
        </is>
      </c>
      <c r="S846" s="8" t="inlineStr">
        <is>
          <t>31/08/2026 02:59</t>
        </is>
      </c>
    </row>
    <row r="847">
      <c r="A847" s="7" t="inlineStr">
        <is>
          <t>WHAP-0843</t>
        </is>
      </c>
      <c r="B847" s="7" t="inlineStr">
        <is>
          <t>ROU-0843</t>
        </is>
      </c>
      <c r="C847" s="7" t="inlineStr">
        <is>
          <t>manomètre CTIS — ARG2</t>
        </is>
      </c>
      <c r="D847" s="7" t="inlineStr">
        <is>
          <t>Roues et pneus</t>
        </is>
      </c>
      <c r="E847" s="7" t="inlineStr">
        <is>
          <t>Roues et pneus</t>
        </is>
      </c>
      <c r="F847" s="7" t="inlineStr">
        <is>
          <t>PIECE_VEHICULE</t>
        </is>
      </c>
      <c r="G847" s="7" t="inlineStr">
        <is>
          <t>unité</t>
        </is>
      </c>
      <c r="H847" s="7" t="inlineStr">
        <is>
          <t>LARGE</t>
        </is>
      </c>
      <c r="I847" s="7" t="n">
        <v>0</v>
      </c>
      <c r="J847" s="7" t="inlineStr">
        <is>
          <t>E-05-01</t>
        </is>
      </c>
      <c r="K847" s="7" t="inlineStr"/>
      <c r="L847" s="9" t="n">
        <v>0</v>
      </c>
      <c r="M847" s="9" t="n">
        <v>0</v>
      </c>
      <c r="N847" s="9" t="n">
        <v>32</v>
      </c>
      <c r="O847" s="7" t="inlineStr">
        <is>
          <t>BOS</t>
        </is>
      </c>
      <c r="P847" s="7" t="inlineStr">
        <is>
          <t>IMPORTANT</t>
        </is>
      </c>
      <c r="Q847" s="7" t="inlineStr">
        <is>
          <t>WHAP</t>
        </is>
      </c>
      <c r="R847" s="7" t="inlineStr">
        <is>
          <t>OUI</t>
        </is>
      </c>
      <c r="S847" s="7" t="inlineStr">
        <is>
          <t>31/08/2026 02:59</t>
        </is>
      </c>
    </row>
    <row r="848">
      <c r="A848" s="8" t="inlineStr">
        <is>
          <t>WHAP-0844</t>
        </is>
      </c>
      <c r="B848" s="8" t="inlineStr">
        <is>
          <t>ROU-0844</t>
        </is>
      </c>
      <c r="C848" s="8" t="inlineStr">
        <is>
          <t>bloc distributeur CTIS — ARG2</t>
        </is>
      </c>
      <c r="D848" s="8" t="inlineStr">
        <is>
          <t>Roues et pneus</t>
        </is>
      </c>
      <c r="E848" s="8" t="inlineStr">
        <is>
          <t>Roues et pneus</t>
        </is>
      </c>
      <c r="F848" s="8" t="inlineStr">
        <is>
          <t>PIECE_VEHICULE</t>
        </is>
      </c>
      <c r="G848" s="8" t="inlineStr">
        <is>
          <t>unité</t>
        </is>
      </c>
      <c r="H848" s="8" t="inlineStr">
        <is>
          <t>LARGE</t>
        </is>
      </c>
      <c r="I848" s="8" t="n">
        <v>0</v>
      </c>
      <c r="J848" s="8" t="inlineStr">
        <is>
          <t>C-05-01</t>
        </is>
      </c>
      <c r="K848" s="8" t="inlineStr"/>
      <c r="L848" s="10" t="n">
        <v>0</v>
      </c>
      <c r="M848" s="10" t="n">
        <v>0</v>
      </c>
      <c r="N848" s="10" t="n">
        <v>26</v>
      </c>
      <c r="O848" s="8" t="inlineStr">
        <is>
          <t>MAG</t>
        </is>
      </c>
      <c r="P848" s="8" t="inlineStr">
        <is>
          <t>IMPORTANT</t>
        </is>
      </c>
      <c r="Q848" s="8" t="inlineStr">
        <is>
          <t>WHAP</t>
        </is>
      </c>
      <c r="R848" s="8" t="inlineStr">
        <is>
          <t>OUI</t>
        </is>
      </c>
      <c r="S848" s="8" t="inlineStr">
        <is>
          <t>31/08/2026 02:59</t>
        </is>
      </c>
    </row>
    <row r="849">
      <c r="A849" s="7" t="inlineStr">
        <is>
          <t>WHAP-0845</t>
        </is>
      </c>
      <c r="B849" s="7" t="inlineStr">
        <is>
          <t>ROU-0845</t>
        </is>
      </c>
      <c r="C849" s="7" t="inlineStr">
        <is>
          <t>jante — ARD2</t>
        </is>
      </c>
      <c r="D849" s="7" t="inlineStr">
        <is>
          <t>Roues et pneus</t>
        </is>
      </c>
      <c r="E849" s="7" t="inlineStr">
        <is>
          <t>Roues et pneus</t>
        </is>
      </c>
      <c r="F849" s="7" t="inlineStr">
        <is>
          <t>PIECE_VEHICULE</t>
        </is>
      </c>
      <c r="G849" s="7" t="inlineStr">
        <is>
          <t>unité</t>
        </is>
      </c>
      <c r="H849" s="7" t="inlineStr">
        <is>
          <t>LARGE</t>
        </is>
      </c>
      <c r="I849" s="7" t="n">
        <v>0</v>
      </c>
      <c r="J849" s="7" t="inlineStr">
        <is>
          <t>C-02-03</t>
        </is>
      </c>
      <c r="K849" s="7" t="inlineStr"/>
      <c r="L849" s="9" t="n">
        <v>0</v>
      </c>
      <c r="M849" s="9" t="n">
        <v>0</v>
      </c>
      <c r="N849" s="9" t="n">
        <v>30</v>
      </c>
      <c r="O849" s="7" t="inlineStr">
        <is>
          <t>SUM</t>
        </is>
      </c>
      <c r="P849" s="7" t="inlineStr">
        <is>
          <t>IMPORTANT</t>
        </is>
      </c>
      <c r="Q849" s="7" t="inlineStr">
        <is>
          <t>WHAP</t>
        </is>
      </c>
      <c r="R849" s="7" t="inlineStr">
        <is>
          <t>OUI</t>
        </is>
      </c>
      <c r="S849" s="7" t="inlineStr">
        <is>
          <t>31/08/2026 02:59</t>
        </is>
      </c>
    </row>
    <row r="850">
      <c r="A850" s="8" t="inlineStr">
        <is>
          <t>WHAP-0846</t>
        </is>
      </c>
      <c r="B850" s="8" t="inlineStr">
        <is>
          <t>ROU-0846</t>
        </is>
      </c>
      <c r="C850" s="8" t="inlineStr">
        <is>
          <t>roue complète — ARD2</t>
        </is>
      </c>
      <c r="D850" s="8" t="inlineStr">
        <is>
          <t>Roues et pneus</t>
        </is>
      </c>
      <c r="E850" s="8" t="inlineStr">
        <is>
          <t>Roues et pneus</t>
        </is>
      </c>
      <c r="F850" s="8" t="inlineStr">
        <is>
          <t>PIECE_VEHICULE</t>
        </is>
      </c>
      <c r="G850" s="8" t="inlineStr">
        <is>
          <t>unité</t>
        </is>
      </c>
      <c r="H850" s="8" t="inlineStr">
        <is>
          <t>LARGE</t>
        </is>
      </c>
      <c r="I850" s="8" t="n">
        <v>0</v>
      </c>
      <c r="J850" s="8" t="inlineStr">
        <is>
          <t>C-03-02</t>
        </is>
      </c>
      <c r="K850" s="8" t="inlineStr"/>
      <c r="L850" s="10" t="n">
        <v>0</v>
      </c>
      <c r="M850" s="10" t="n">
        <v>0</v>
      </c>
      <c r="N850" s="10" t="n">
        <v>25</v>
      </c>
      <c r="O850" s="8" t="inlineStr">
        <is>
          <t>BOS</t>
        </is>
      </c>
      <c r="P850" s="8" t="inlineStr">
        <is>
          <t>IMPORTANT</t>
        </is>
      </c>
      <c r="Q850" s="8" t="inlineStr">
        <is>
          <t>WHAP</t>
        </is>
      </c>
      <c r="R850" s="8" t="inlineStr">
        <is>
          <t>OUI</t>
        </is>
      </c>
      <c r="S850" s="8" t="inlineStr">
        <is>
          <t>31/08/2026 02:59</t>
        </is>
      </c>
    </row>
    <row r="851">
      <c r="A851" s="7" t="inlineStr">
        <is>
          <t>WHAP-0847</t>
        </is>
      </c>
      <c r="B851" s="7" t="inlineStr">
        <is>
          <t>ROU-0847</t>
        </is>
      </c>
      <c r="C851" s="7" t="inlineStr">
        <is>
          <t>pneu — ARD2</t>
        </is>
      </c>
      <c r="D851" s="7" t="inlineStr">
        <is>
          <t>Roues et pneus</t>
        </is>
      </c>
      <c r="E851" s="7" t="inlineStr">
        <is>
          <t>Roues et pneus</t>
        </is>
      </c>
      <c r="F851" s="7" t="inlineStr">
        <is>
          <t>PIECE_VEHICULE</t>
        </is>
      </c>
      <c r="G851" s="7" t="inlineStr">
        <is>
          <t>unité</t>
        </is>
      </c>
      <c r="H851" s="7" t="inlineStr">
        <is>
          <t>LARGE</t>
        </is>
      </c>
      <c r="I851" s="7" t="n">
        <v>0</v>
      </c>
      <c r="J851" s="7" t="inlineStr">
        <is>
          <t>B-05-03</t>
        </is>
      </c>
      <c r="K851" s="7" t="inlineStr"/>
      <c r="L851" s="9" t="n">
        <v>0</v>
      </c>
      <c r="M851" s="9" t="n">
        <v>0</v>
      </c>
      <c r="N851" s="9" t="n">
        <v>26</v>
      </c>
      <c r="O851" s="7" t="inlineStr">
        <is>
          <t>SKF</t>
        </is>
      </c>
      <c r="P851" s="7" t="inlineStr">
        <is>
          <t>IMPORTANT</t>
        </is>
      </c>
      <c r="Q851" s="7" t="inlineStr">
        <is>
          <t>WHAP</t>
        </is>
      </c>
      <c r="R851" s="7" t="inlineStr">
        <is>
          <t>OUI</t>
        </is>
      </c>
      <c r="S851" s="7" t="inlineStr">
        <is>
          <t>31/08/2026 02:59</t>
        </is>
      </c>
    </row>
    <row r="852">
      <c r="A852" s="8" t="inlineStr">
        <is>
          <t>WHAP-0848</t>
        </is>
      </c>
      <c r="B852" s="8" t="inlineStr">
        <is>
          <t>ROU-0848</t>
        </is>
      </c>
      <c r="C852" s="8" t="inlineStr">
        <is>
          <t>insert run-flat — ARD2</t>
        </is>
      </c>
      <c r="D852" s="8" t="inlineStr">
        <is>
          <t>Roues et pneus</t>
        </is>
      </c>
      <c r="E852" s="8" t="inlineStr">
        <is>
          <t>Roues et pneus</t>
        </is>
      </c>
      <c r="F852" s="8" t="inlineStr">
        <is>
          <t>PIECE_VEHICULE</t>
        </is>
      </c>
      <c r="G852" s="8" t="inlineStr">
        <is>
          <t>unité</t>
        </is>
      </c>
      <c r="H852" s="8" t="inlineStr">
        <is>
          <t>LARGE</t>
        </is>
      </c>
      <c r="I852" s="8" t="n">
        <v>0</v>
      </c>
      <c r="J852" s="8" t="inlineStr">
        <is>
          <t>F-04-04</t>
        </is>
      </c>
      <c r="K852" s="8" t="inlineStr"/>
      <c r="L852" s="10" t="n">
        <v>0</v>
      </c>
      <c r="M852" s="10" t="n">
        <v>0</v>
      </c>
      <c r="N852" s="10" t="n">
        <v>27</v>
      </c>
      <c r="O852" s="8" t="inlineStr">
        <is>
          <t>SKF</t>
        </is>
      </c>
      <c r="P852" s="8" t="inlineStr">
        <is>
          <t>IMPORTANT</t>
        </is>
      </c>
      <c r="Q852" s="8" t="inlineStr">
        <is>
          <t>WHAP</t>
        </is>
      </c>
      <c r="R852" s="8" t="inlineStr">
        <is>
          <t>OUI</t>
        </is>
      </c>
      <c r="S852" s="8" t="inlineStr">
        <is>
          <t>31/08/2026 02:59</t>
        </is>
      </c>
    </row>
    <row r="853">
      <c r="A853" s="7" t="inlineStr">
        <is>
          <t>WHAP-0849</t>
        </is>
      </c>
      <c r="B853" s="7" t="inlineStr">
        <is>
          <t>ROU-0849</t>
        </is>
      </c>
      <c r="C853" s="7" t="inlineStr">
        <is>
          <t>valve de pneu — ARD2</t>
        </is>
      </c>
      <c r="D853" s="7" t="inlineStr">
        <is>
          <t>Roues et pneus</t>
        </is>
      </c>
      <c r="E853" s="7" t="inlineStr">
        <is>
          <t>Roues et pneus</t>
        </is>
      </c>
      <c r="F853" s="7" t="inlineStr">
        <is>
          <t>PIECE_VEHICULE</t>
        </is>
      </c>
      <c r="G853" s="7" t="inlineStr">
        <is>
          <t>unité</t>
        </is>
      </c>
      <c r="H853" s="7" t="inlineStr">
        <is>
          <t>LARGE</t>
        </is>
      </c>
      <c r="I853" s="7" t="n">
        <v>0</v>
      </c>
      <c r="J853" s="7" t="inlineStr">
        <is>
          <t>D-04-01</t>
        </is>
      </c>
      <c r="K853" s="7" t="inlineStr"/>
      <c r="L853" s="9" t="n">
        <v>0</v>
      </c>
      <c r="M853" s="9" t="n">
        <v>0</v>
      </c>
      <c r="N853" s="9" t="n">
        <v>24</v>
      </c>
      <c r="O853" s="7" t="inlineStr">
        <is>
          <t>YZK</t>
        </is>
      </c>
      <c r="P853" s="7" t="inlineStr">
        <is>
          <t>IMPORTANT</t>
        </is>
      </c>
      <c r="Q853" s="7" t="inlineStr">
        <is>
          <t>WHAP</t>
        </is>
      </c>
      <c r="R853" s="7" t="inlineStr">
        <is>
          <t>OUI</t>
        </is>
      </c>
      <c r="S853" s="7" t="inlineStr">
        <is>
          <t>31/08/2026 02:59</t>
        </is>
      </c>
    </row>
    <row r="854">
      <c r="A854" s="8" t="inlineStr">
        <is>
          <t>WHAP-0850</t>
        </is>
      </c>
      <c r="B854" s="8" t="inlineStr">
        <is>
          <t>ROU-0850</t>
        </is>
      </c>
      <c r="C854" s="8" t="inlineStr">
        <is>
          <t>capteur pression pneu — ARD2</t>
        </is>
      </c>
      <c r="D854" s="8" t="inlineStr">
        <is>
          <t>Roues et pneus</t>
        </is>
      </c>
      <c r="E854" s="8" t="inlineStr">
        <is>
          <t>Roues et pneus</t>
        </is>
      </c>
      <c r="F854" s="8" t="inlineStr">
        <is>
          <t>PIECE_VEHICULE</t>
        </is>
      </c>
      <c r="G854" s="8" t="inlineStr">
        <is>
          <t>unité</t>
        </is>
      </c>
      <c r="H854" s="8" t="inlineStr">
        <is>
          <t>LARGE</t>
        </is>
      </c>
      <c r="I854" s="8" t="n">
        <v>0</v>
      </c>
      <c r="J854" s="8" t="inlineStr">
        <is>
          <t>A-03-01</t>
        </is>
      </c>
      <c r="K854" s="8" t="inlineStr"/>
      <c r="L854" s="10" t="n">
        <v>0</v>
      </c>
      <c r="M854" s="10" t="n">
        <v>0</v>
      </c>
      <c r="N854" s="10" t="n">
        <v>28</v>
      </c>
      <c r="O854" s="8" t="inlineStr">
        <is>
          <t>DEL</t>
        </is>
      </c>
      <c r="P854" s="8" t="inlineStr">
        <is>
          <t>IMPORTANT</t>
        </is>
      </c>
      <c r="Q854" s="8" t="inlineStr">
        <is>
          <t>WHAP</t>
        </is>
      </c>
      <c r="R854" s="8" t="inlineStr">
        <is>
          <t>OUI</t>
        </is>
      </c>
      <c r="S854" s="8" t="inlineStr">
        <is>
          <t>31/08/2026 02:59</t>
        </is>
      </c>
    </row>
    <row r="855">
      <c r="A855" s="7" t="inlineStr">
        <is>
          <t>WHAP-0851</t>
        </is>
      </c>
      <c r="B855" s="7" t="inlineStr">
        <is>
          <t>ROU-0851</t>
        </is>
      </c>
      <c r="C855" s="7" t="inlineStr">
        <is>
          <t>écrou de roue — ARD2</t>
        </is>
      </c>
      <c r="D855" s="7" t="inlineStr">
        <is>
          <t>Roues et pneus</t>
        </is>
      </c>
      <c r="E855" s="7" t="inlineStr">
        <is>
          <t>Roues et pneus</t>
        </is>
      </c>
      <c r="F855" s="7" t="inlineStr">
        <is>
          <t>PIECE_VEHICULE</t>
        </is>
      </c>
      <c r="G855" s="7" t="inlineStr">
        <is>
          <t>unité</t>
        </is>
      </c>
      <c r="H855" s="7" t="inlineStr">
        <is>
          <t>LARGE</t>
        </is>
      </c>
      <c r="I855" s="7" t="n">
        <v>0</v>
      </c>
      <c r="J855" s="7" t="inlineStr">
        <is>
          <t>D-05-01</t>
        </is>
      </c>
      <c r="K855" s="7" t="inlineStr"/>
      <c r="L855" s="9" t="n">
        <v>0</v>
      </c>
      <c r="M855" s="9" t="n">
        <v>0</v>
      </c>
      <c r="N855" s="9" t="n">
        <v>29</v>
      </c>
      <c r="O855" s="7" t="inlineStr">
        <is>
          <t>CTL</t>
        </is>
      </c>
      <c r="P855" s="7" t="inlineStr">
        <is>
          <t>IMPORTANT</t>
        </is>
      </c>
      <c r="Q855" s="7" t="inlineStr">
        <is>
          <t>WHAP</t>
        </is>
      </c>
      <c r="R855" s="7" t="inlineStr">
        <is>
          <t>OUI</t>
        </is>
      </c>
      <c r="S855" s="7" t="inlineStr">
        <is>
          <t>31/08/2026 02:59</t>
        </is>
      </c>
    </row>
    <row r="856">
      <c r="A856" s="8" t="inlineStr">
        <is>
          <t>WHAP-0852</t>
        </is>
      </c>
      <c r="B856" s="8" t="inlineStr">
        <is>
          <t>ROU-0852</t>
        </is>
      </c>
      <c r="C856" s="8" t="inlineStr">
        <is>
          <t>goujon de roue — ARD2</t>
        </is>
      </c>
      <c r="D856" s="8" t="inlineStr">
        <is>
          <t>Roues et pneus</t>
        </is>
      </c>
      <c r="E856" s="8" t="inlineStr">
        <is>
          <t>Roues et pneus</t>
        </is>
      </c>
      <c r="F856" s="8" t="inlineStr">
        <is>
          <t>PIECE_VEHICULE</t>
        </is>
      </c>
      <c r="G856" s="8" t="inlineStr">
        <is>
          <t>unité</t>
        </is>
      </c>
      <c r="H856" s="8" t="inlineStr">
        <is>
          <t>LARGE</t>
        </is>
      </c>
      <c r="I856" s="8" t="n">
        <v>0</v>
      </c>
      <c r="J856" s="8" t="inlineStr">
        <is>
          <t>E-03-04</t>
        </is>
      </c>
      <c r="K856" s="8" t="inlineStr"/>
      <c r="L856" s="10" t="n">
        <v>0</v>
      </c>
      <c r="M856" s="10" t="n">
        <v>0</v>
      </c>
      <c r="N856" s="10" t="n">
        <v>29</v>
      </c>
      <c r="O856" s="8" t="inlineStr">
        <is>
          <t>HEL</t>
        </is>
      </c>
      <c r="P856" s="8" t="inlineStr">
        <is>
          <t>IMPORTANT</t>
        </is>
      </c>
      <c r="Q856" s="8" t="inlineStr">
        <is>
          <t>WHAP</t>
        </is>
      </c>
      <c r="R856" s="8" t="inlineStr">
        <is>
          <t>OUI</t>
        </is>
      </c>
      <c r="S856" s="8" t="inlineStr">
        <is>
          <t>31/08/2026 02:59</t>
        </is>
      </c>
    </row>
    <row r="857">
      <c r="A857" s="7" t="inlineStr">
        <is>
          <t>WHAP-0853</t>
        </is>
      </c>
      <c r="B857" s="7" t="inlineStr">
        <is>
          <t>ROU-0853</t>
        </is>
      </c>
      <c r="C857" s="7" t="inlineStr">
        <is>
          <t>entretoise de roue — ARD2</t>
        </is>
      </c>
      <c r="D857" s="7" t="inlineStr">
        <is>
          <t>Roues et pneus</t>
        </is>
      </c>
      <c r="E857" s="7" t="inlineStr">
        <is>
          <t>Roues et pneus</t>
        </is>
      </c>
      <c r="F857" s="7" t="inlineStr">
        <is>
          <t>PIECE_VEHICULE</t>
        </is>
      </c>
      <c r="G857" s="7" t="inlineStr">
        <is>
          <t>unité</t>
        </is>
      </c>
      <c r="H857" s="7" t="inlineStr">
        <is>
          <t>LARGE</t>
        </is>
      </c>
      <c r="I857" s="7" t="n">
        <v>0</v>
      </c>
      <c r="J857" s="7" t="inlineStr">
        <is>
          <t>F-02-04</t>
        </is>
      </c>
      <c r="K857" s="7" t="inlineStr"/>
      <c r="L857" s="9" t="n">
        <v>0</v>
      </c>
      <c r="M857" s="9" t="n">
        <v>0</v>
      </c>
      <c r="N857" s="9" t="n">
        <v>32</v>
      </c>
      <c r="O857" s="7" t="inlineStr">
        <is>
          <t>VAL</t>
        </is>
      </c>
      <c r="P857" s="7" t="inlineStr">
        <is>
          <t>IMPORTANT</t>
        </is>
      </c>
      <c r="Q857" s="7" t="inlineStr">
        <is>
          <t>WHAP</t>
        </is>
      </c>
      <c r="R857" s="7" t="inlineStr">
        <is>
          <t>OUI</t>
        </is>
      </c>
      <c r="S857" s="7" t="inlineStr">
        <is>
          <t>31/08/2026 02:59</t>
        </is>
      </c>
    </row>
    <row r="858">
      <c r="A858" s="8" t="inlineStr">
        <is>
          <t>WHAP-0854</t>
        </is>
      </c>
      <c r="B858" s="8" t="inlineStr">
        <is>
          <t>ROU-0854</t>
        </is>
      </c>
      <c r="C858" s="8" t="inlineStr">
        <is>
          <t>moyeu — ARD2</t>
        </is>
      </c>
      <c r="D858" s="8" t="inlineStr">
        <is>
          <t>Roues et pneus</t>
        </is>
      </c>
      <c r="E858" s="8" t="inlineStr">
        <is>
          <t>Roues et pneus</t>
        </is>
      </c>
      <c r="F858" s="8" t="inlineStr">
        <is>
          <t>PIECE_VEHICULE</t>
        </is>
      </c>
      <c r="G858" s="8" t="inlineStr">
        <is>
          <t>unité</t>
        </is>
      </c>
      <c r="H858" s="8" t="inlineStr">
        <is>
          <t>LARGE</t>
        </is>
      </c>
      <c r="I858" s="8" t="n">
        <v>0</v>
      </c>
      <c r="J858" s="8" t="inlineStr">
        <is>
          <t>C-04-02</t>
        </is>
      </c>
      <c r="K858" s="8" t="inlineStr"/>
      <c r="L858" s="10" t="n">
        <v>0</v>
      </c>
      <c r="M858" s="10" t="n">
        <v>0</v>
      </c>
      <c r="N858" s="10" t="n">
        <v>31</v>
      </c>
      <c r="O858" s="8" t="inlineStr">
        <is>
          <t>HEL</t>
        </is>
      </c>
      <c r="P858" s="8" t="inlineStr">
        <is>
          <t>IMPORTANT</t>
        </is>
      </c>
      <c r="Q858" s="8" t="inlineStr">
        <is>
          <t>WHAP</t>
        </is>
      </c>
      <c r="R858" s="8" t="inlineStr">
        <is>
          <t>OUI</t>
        </is>
      </c>
      <c r="S858" s="8" t="inlineStr">
        <is>
          <t>31/08/2026 02:59</t>
        </is>
      </c>
    </row>
    <row r="859">
      <c r="A859" s="7" t="inlineStr">
        <is>
          <t>WHAP-0855</t>
        </is>
      </c>
      <c r="B859" s="7" t="inlineStr">
        <is>
          <t>ROU-0855</t>
        </is>
      </c>
      <c r="C859" s="7" t="inlineStr">
        <is>
          <t>cache-moyeu — ARD2</t>
        </is>
      </c>
      <c r="D859" s="7" t="inlineStr">
        <is>
          <t>Roues et pneus</t>
        </is>
      </c>
      <c r="E859" s="7" t="inlineStr">
        <is>
          <t>Roues et pneus</t>
        </is>
      </c>
      <c r="F859" s="7" t="inlineStr">
        <is>
          <t>PIECE_VEHICULE</t>
        </is>
      </c>
      <c r="G859" s="7" t="inlineStr">
        <is>
          <t>unité</t>
        </is>
      </c>
      <c r="H859" s="7" t="inlineStr">
        <is>
          <t>LARGE</t>
        </is>
      </c>
      <c r="I859" s="7" t="n">
        <v>0</v>
      </c>
      <c r="J859" s="7" t="inlineStr">
        <is>
          <t>C-01-02</t>
        </is>
      </c>
      <c r="K859" s="7" t="inlineStr"/>
      <c r="L859" s="9" t="n">
        <v>0</v>
      </c>
      <c r="M859" s="9" t="n">
        <v>0</v>
      </c>
      <c r="N859" s="9" t="n">
        <v>25</v>
      </c>
      <c r="O859" s="7" t="inlineStr">
        <is>
          <t>SUM</t>
        </is>
      </c>
      <c r="P859" s="7" t="inlineStr">
        <is>
          <t>IMPORTANT</t>
        </is>
      </c>
      <c r="Q859" s="7" t="inlineStr">
        <is>
          <t>WHAP</t>
        </is>
      </c>
      <c r="R859" s="7" t="inlineStr">
        <is>
          <t>OUI</t>
        </is>
      </c>
      <c r="S859" s="7" t="inlineStr">
        <is>
          <t>31/08/2026 02:59</t>
        </is>
      </c>
    </row>
    <row r="860">
      <c r="A860" s="8" t="inlineStr">
        <is>
          <t>WHAP-0856</t>
        </is>
      </c>
      <c r="B860" s="8" t="inlineStr">
        <is>
          <t>ROU-0856</t>
        </is>
      </c>
      <c r="C860" s="8" t="inlineStr">
        <is>
          <t>joint de moyeu — ARD2</t>
        </is>
      </c>
      <c r="D860" s="8" t="inlineStr">
        <is>
          <t>Roues et pneus</t>
        </is>
      </c>
      <c r="E860" s="8" t="inlineStr">
        <is>
          <t>Roues et pneus</t>
        </is>
      </c>
      <c r="F860" s="8" t="inlineStr">
        <is>
          <t>PIECE_VEHICULE</t>
        </is>
      </c>
      <c r="G860" s="8" t="inlineStr">
        <is>
          <t>unité</t>
        </is>
      </c>
      <c r="H860" s="8" t="inlineStr">
        <is>
          <t>LARGE</t>
        </is>
      </c>
      <c r="I860" s="8" t="n">
        <v>0</v>
      </c>
      <c r="J860" s="8" t="inlineStr">
        <is>
          <t>E-01-03</t>
        </is>
      </c>
      <c r="K860" s="8" t="inlineStr"/>
      <c r="L860" s="10" t="n">
        <v>0</v>
      </c>
      <c r="M860" s="10" t="n">
        <v>0</v>
      </c>
      <c r="N860" s="10" t="n">
        <v>26</v>
      </c>
      <c r="O860" s="8" t="inlineStr">
        <is>
          <t>SUM</t>
        </is>
      </c>
      <c r="P860" s="8" t="inlineStr">
        <is>
          <t>IMPORTANT</t>
        </is>
      </c>
      <c r="Q860" s="8" t="inlineStr">
        <is>
          <t>WHAP</t>
        </is>
      </c>
      <c r="R860" s="8" t="inlineStr">
        <is>
          <t>OUI</t>
        </is>
      </c>
      <c r="S860" s="8" t="inlineStr">
        <is>
          <t>31/08/2026 02:59</t>
        </is>
      </c>
    </row>
    <row r="861">
      <c r="A861" s="7" t="inlineStr">
        <is>
          <t>WHAP-0857</t>
        </is>
      </c>
      <c r="B861" s="7" t="inlineStr">
        <is>
          <t>ROU-0857</t>
        </is>
      </c>
      <c r="C861" s="7" t="inlineStr">
        <is>
          <t>roulement de roue — ARD2</t>
        </is>
      </c>
      <c r="D861" s="7" t="inlineStr">
        <is>
          <t>Roues et pneus</t>
        </is>
      </c>
      <c r="E861" s="7" t="inlineStr">
        <is>
          <t>Roues et pneus</t>
        </is>
      </c>
      <c r="F861" s="7" t="inlineStr">
        <is>
          <t>PIECE_VEHICULE</t>
        </is>
      </c>
      <c r="G861" s="7" t="inlineStr">
        <is>
          <t>unité</t>
        </is>
      </c>
      <c r="H861" s="7" t="inlineStr">
        <is>
          <t>LARGE</t>
        </is>
      </c>
      <c r="I861" s="7" t="n">
        <v>0</v>
      </c>
      <c r="J861" s="7" t="inlineStr">
        <is>
          <t>A-03-02</t>
        </is>
      </c>
      <c r="K861" s="7" t="inlineStr"/>
      <c r="L861" s="9" t="n">
        <v>0</v>
      </c>
      <c r="M861" s="9" t="n">
        <v>0</v>
      </c>
      <c r="N861" s="9" t="n">
        <v>29</v>
      </c>
      <c r="O861" s="7" t="inlineStr">
        <is>
          <t>SUM</t>
        </is>
      </c>
      <c r="P861" s="7" t="inlineStr">
        <is>
          <t>IMPORTANT</t>
        </is>
      </c>
      <c r="Q861" s="7" t="inlineStr">
        <is>
          <t>WHAP</t>
        </is>
      </c>
      <c r="R861" s="7" t="inlineStr">
        <is>
          <t>OUI</t>
        </is>
      </c>
      <c r="S861" s="7" t="inlineStr">
        <is>
          <t>31/08/2026 02:59</t>
        </is>
      </c>
    </row>
    <row r="862">
      <c r="A862" s="8" t="inlineStr">
        <is>
          <t>WHAP-0858</t>
        </is>
      </c>
      <c r="B862" s="8" t="inlineStr">
        <is>
          <t>ROU-0858</t>
        </is>
      </c>
      <c r="C862" s="8" t="inlineStr">
        <is>
          <t>bague de roulement — ARD2</t>
        </is>
      </c>
      <c r="D862" s="8" t="inlineStr">
        <is>
          <t>Roues et pneus</t>
        </is>
      </c>
      <c r="E862" s="8" t="inlineStr">
        <is>
          <t>Roues et pneus</t>
        </is>
      </c>
      <c r="F862" s="8" t="inlineStr">
        <is>
          <t>PIECE_VEHICULE</t>
        </is>
      </c>
      <c r="G862" s="8" t="inlineStr">
        <is>
          <t>unité</t>
        </is>
      </c>
      <c r="H862" s="8" t="inlineStr">
        <is>
          <t>LARGE</t>
        </is>
      </c>
      <c r="I862" s="8" t="n">
        <v>0</v>
      </c>
      <c r="J862" s="8" t="inlineStr">
        <is>
          <t>E-03-01</t>
        </is>
      </c>
      <c r="K862" s="8" t="inlineStr"/>
      <c r="L862" s="10" t="n">
        <v>0</v>
      </c>
      <c r="M862" s="10" t="n">
        <v>0</v>
      </c>
      <c r="N862" s="10" t="n">
        <v>25</v>
      </c>
      <c r="O862" s="8" t="inlineStr">
        <is>
          <t>MAG</t>
        </is>
      </c>
      <c r="P862" s="8" t="inlineStr">
        <is>
          <t>IMPORTANT</t>
        </is>
      </c>
      <c r="Q862" s="8" t="inlineStr">
        <is>
          <t>WHAP</t>
        </is>
      </c>
      <c r="R862" s="8" t="inlineStr">
        <is>
          <t>OUI</t>
        </is>
      </c>
      <c r="S862" s="8" t="inlineStr">
        <is>
          <t>31/08/2026 02:59</t>
        </is>
      </c>
    </row>
    <row r="863">
      <c r="A863" s="7" t="inlineStr">
        <is>
          <t>WHAP-0859</t>
        </is>
      </c>
      <c r="B863" s="7" t="inlineStr">
        <is>
          <t>ROU-0859</t>
        </is>
      </c>
      <c r="C863" s="7" t="inlineStr">
        <is>
          <t>anneau de retenue — ARD2</t>
        </is>
      </c>
      <c r="D863" s="7" t="inlineStr">
        <is>
          <t>Roues et pneus</t>
        </is>
      </c>
      <c r="E863" s="7" t="inlineStr">
        <is>
          <t>Roues et pneus</t>
        </is>
      </c>
      <c r="F863" s="7" t="inlineStr">
        <is>
          <t>PIECE_VEHICULE</t>
        </is>
      </c>
      <c r="G863" s="7" t="inlineStr">
        <is>
          <t>unité</t>
        </is>
      </c>
      <c r="H863" s="7" t="inlineStr">
        <is>
          <t>LARGE</t>
        </is>
      </c>
      <c r="I863" s="7" t="n">
        <v>0</v>
      </c>
      <c r="J863" s="7" t="inlineStr">
        <is>
          <t>F-06-03</t>
        </is>
      </c>
      <c r="K863" s="7" t="inlineStr"/>
      <c r="L863" s="9" t="n">
        <v>0</v>
      </c>
      <c r="M863" s="9" t="n">
        <v>0</v>
      </c>
      <c r="N863" s="9" t="n">
        <v>26</v>
      </c>
      <c r="O863" s="7" t="inlineStr">
        <is>
          <t>FAU</t>
        </is>
      </c>
      <c r="P863" s="7" t="inlineStr">
        <is>
          <t>IMPORTANT</t>
        </is>
      </c>
      <c r="Q863" s="7" t="inlineStr">
        <is>
          <t>WHAP</t>
        </is>
      </c>
      <c r="R863" s="7" t="inlineStr">
        <is>
          <t>OUI</t>
        </is>
      </c>
      <c r="S863" s="7" t="inlineStr">
        <is>
          <t>31/08/2026 02:59</t>
        </is>
      </c>
    </row>
    <row r="864">
      <c r="A864" s="8" t="inlineStr">
        <is>
          <t>WHAP-0860</t>
        </is>
      </c>
      <c r="B864" s="8" t="inlineStr">
        <is>
          <t>ROU-0860</t>
        </is>
      </c>
      <c r="C864" s="8" t="inlineStr">
        <is>
          <t>disque de jante — ARD2</t>
        </is>
      </c>
      <c r="D864" s="8" t="inlineStr">
        <is>
          <t>Roues et pneus</t>
        </is>
      </c>
      <c r="E864" s="8" t="inlineStr">
        <is>
          <t>Roues et pneus</t>
        </is>
      </c>
      <c r="F864" s="8" t="inlineStr">
        <is>
          <t>PIECE_VEHICULE</t>
        </is>
      </c>
      <c r="G864" s="8" t="inlineStr">
        <is>
          <t>unité</t>
        </is>
      </c>
      <c r="H864" s="8" t="inlineStr">
        <is>
          <t>LARGE</t>
        </is>
      </c>
      <c r="I864" s="8" t="n">
        <v>0</v>
      </c>
      <c r="J864" s="8" t="inlineStr">
        <is>
          <t>B-02-01</t>
        </is>
      </c>
      <c r="K864" s="8" t="inlineStr"/>
      <c r="L864" s="10" t="n">
        <v>0</v>
      </c>
      <c r="M864" s="10" t="n">
        <v>0</v>
      </c>
      <c r="N864" s="10" t="n">
        <v>24</v>
      </c>
      <c r="O864" s="8" t="inlineStr">
        <is>
          <t>YZK</t>
        </is>
      </c>
      <c r="P864" s="8" t="inlineStr">
        <is>
          <t>IMPORTANT</t>
        </is>
      </c>
      <c r="Q864" s="8" t="inlineStr">
        <is>
          <t>WHAP</t>
        </is>
      </c>
      <c r="R864" s="8" t="inlineStr">
        <is>
          <t>OUI</t>
        </is>
      </c>
      <c r="S864" s="8" t="inlineStr">
        <is>
          <t>31/08/2026 02:59</t>
        </is>
      </c>
    </row>
    <row r="865">
      <c r="A865" s="7" t="inlineStr">
        <is>
          <t>WHAP-0861</t>
        </is>
      </c>
      <c r="B865" s="7" t="inlineStr">
        <is>
          <t>ROU-0861</t>
        </is>
      </c>
      <c r="C865" s="7" t="inlineStr">
        <is>
          <t>cerclage de jante — ARD2</t>
        </is>
      </c>
      <c r="D865" s="7" t="inlineStr">
        <is>
          <t>Roues et pneus</t>
        </is>
      </c>
      <c r="E865" s="7" t="inlineStr">
        <is>
          <t>Roues et pneus</t>
        </is>
      </c>
      <c r="F865" s="7" t="inlineStr">
        <is>
          <t>PIECE_VEHICULE</t>
        </is>
      </c>
      <c r="G865" s="7" t="inlineStr">
        <is>
          <t>unité</t>
        </is>
      </c>
      <c r="H865" s="7" t="inlineStr">
        <is>
          <t>LARGE</t>
        </is>
      </c>
      <c r="I865" s="7" t="n">
        <v>0</v>
      </c>
      <c r="J865" s="7" t="inlineStr">
        <is>
          <t>C-03-04</t>
        </is>
      </c>
      <c r="K865" s="7" t="inlineStr"/>
      <c r="L865" s="9" t="n">
        <v>0</v>
      </c>
      <c r="M865" s="9" t="n">
        <v>0</v>
      </c>
      <c r="N865" s="9" t="n">
        <v>26</v>
      </c>
      <c r="O865" s="7" t="inlineStr">
        <is>
          <t>HEL</t>
        </is>
      </c>
      <c r="P865" s="7" t="inlineStr">
        <is>
          <t>IMPORTANT</t>
        </is>
      </c>
      <c r="Q865" s="7" t="inlineStr">
        <is>
          <t>WHAP</t>
        </is>
      </c>
      <c r="R865" s="7" t="inlineStr">
        <is>
          <t>OUI</t>
        </is>
      </c>
      <c r="S865" s="7" t="inlineStr">
        <is>
          <t>31/08/2026 02:59</t>
        </is>
      </c>
    </row>
    <row r="866">
      <c r="A866" s="8" t="inlineStr">
        <is>
          <t>WHAP-0862</t>
        </is>
      </c>
      <c r="B866" s="8" t="inlineStr">
        <is>
          <t>ROU-0862</t>
        </is>
      </c>
      <c r="C866" s="8" t="inlineStr">
        <is>
          <t>système CTIS — ARD2</t>
        </is>
      </c>
      <c r="D866" s="8" t="inlineStr">
        <is>
          <t>Roues et pneus</t>
        </is>
      </c>
      <c r="E866" s="8" t="inlineStr">
        <is>
          <t>Roues et pneus</t>
        </is>
      </c>
      <c r="F866" s="8" t="inlineStr">
        <is>
          <t>PIECE_VEHICULE</t>
        </is>
      </c>
      <c r="G866" s="8" t="inlineStr">
        <is>
          <t>unité</t>
        </is>
      </c>
      <c r="H866" s="8" t="inlineStr">
        <is>
          <t>LARGE</t>
        </is>
      </c>
      <c r="I866" s="8" t="n">
        <v>0</v>
      </c>
      <c r="J866" s="8" t="inlineStr">
        <is>
          <t>B-05-01</t>
        </is>
      </c>
      <c r="K866" s="8" t="inlineStr"/>
      <c r="L866" s="10" t="n">
        <v>0</v>
      </c>
      <c r="M866" s="10" t="n">
        <v>0</v>
      </c>
      <c r="N866" s="10" t="n">
        <v>28</v>
      </c>
      <c r="O866" s="8" t="inlineStr">
        <is>
          <t>CTL</t>
        </is>
      </c>
      <c r="P866" s="8" t="inlineStr">
        <is>
          <t>IMPORTANT</t>
        </is>
      </c>
      <c r="Q866" s="8" t="inlineStr">
        <is>
          <t>WHAP</t>
        </is>
      </c>
      <c r="R866" s="8" t="inlineStr">
        <is>
          <t>OUI</t>
        </is>
      </c>
      <c r="S866" s="8" t="inlineStr">
        <is>
          <t>31/08/2026 02:59</t>
        </is>
      </c>
    </row>
    <row r="867">
      <c r="A867" s="7" t="inlineStr">
        <is>
          <t>WHAP-0863</t>
        </is>
      </c>
      <c r="B867" s="7" t="inlineStr">
        <is>
          <t>ROU-0863</t>
        </is>
      </c>
      <c r="C867" s="7" t="inlineStr">
        <is>
          <t>rotor CTIS — ARD2</t>
        </is>
      </c>
      <c r="D867" s="7" t="inlineStr">
        <is>
          <t>Roues et pneus</t>
        </is>
      </c>
      <c r="E867" s="7" t="inlineStr">
        <is>
          <t>Roues et pneus</t>
        </is>
      </c>
      <c r="F867" s="7" t="inlineStr">
        <is>
          <t>PIECE_VEHICULE</t>
        </is>
      </c>
      <c r="G867" s="7" t="inlineStr">
        <is>
          <t>unité</t>
        </is>
      </c>
      <c r="H867" s="7" t="inlineStr">
        <is>
          <t>LARGE</t>
        </is>
      </c>
      <c r="I867" s="7" t="n">
        <v>0</v>
      </c>
      <c r="J867" s="7" t="inlineStr">
        <is>
          <t>A-02-01</t>
        </is>
      </c>
      <c r="K867" s="7" t="inlineStr"/>
      <c r="L867" s="9" t="n">
        <v>0</v>
      </c>
      <c r="M867" s="9" t="n">
        <v>0</v>
      </c>
      <c r="N867" s="9" t="n">
        <v>25</v>
      </c>
      <c r="O867" s="7" t="inlineStr">
        <is>
          <t>SUM</t>
        </is>
      </c>
      <c r="P867" s="7" t="inlineStr">
        <is>
          <t>IMPORTANT</t>
        </is>
      </c>
      <c r="Q867" s="7" t="inlineStr">
        <is>
          <t>WHAP</t>
        </is>
      </c>
      <c r="R867" s="7" t="inlineStr">
        <is>
          <t>OUI</t>
        </is>
      </c>
      <c r="S867" s="7" t="inlineStr">
        <is>
          <t>31/08/2026 02:59</t>
        </is>
      </c>
    </row>
    <row r="868">
      <c r="A868" s="8" t="inlineStr">
        <is>
          <t>WHAP-0864</t>
        </is>
      </c>
      <c r="B868" s="8" t="inlineStr">
        <is>
          <t>ROU-0864</t>
        </is>
      </c>
      <c r="C868" s="8" t="inlineStr">
        <is>
          <t>joint tournant CTIS — ARD2</t>
        </is>
      </c>
      <c r="D868" s="8" t="inlineStr">
        <is>
          <t>Roues et pneus</t>
        </is>
      </c>
      <c r="E868" s="8" t="inlineStr">
        <is>
          <t>Roues et pneus</t>
        </is>
      </c>
      <c r="F868" s="8" t="inlineStr">
        <is>
          <t>PIECE_VEHICULE</t>
        </is>
      </c>
      <c r="G868" s="8" t="inlineStr">
        <is>
          <t>unité</t>
        </is>
      </c>
      <c r="H868" s="8" t="inlineStr">
        <is>
          <t>LARGE</t>
        </is>
      </c>
      <c r="I868" s="8" t="n">
        <v>0</v>
      </c>
      <c r="J868" s="8" t="inlineStr">
        <is>
          <t>B-06-03</t>
        </is>
      </c>
      <c r="K868" s="8" t="inlineStr"/>
      <c r="L868" s="10" t="n">
        <v>0</v>
      </c>
      <c r="M868" s="10" t="n">
        <v>0</v>
      </c>
      <c r="N868" s="10" t="n">
        <v>22</v>
      </c>
      <c r="O868" s="8" t="inlineStr">
        <is>
          <t>YZK</t>
        </is>
      </c>
      <c r="P868" s="8" t="inlineStr">
        <is>
          <t>IMPORTANT</t>
        </is>
      </c>
      <c r="Q868" s="8" t="inlineStr">
        <is>
          <t>WHAP</t>
        </is>
      </c>
      <c r="R868" s="8" t="inlineStr">
        <is>
          <t>OUI</t>
        </is>
      </c>
      <c r="S868" s="8" t="inlineStr">
        <is>
          <t>31/08/2026 02:59</t>
        </is>
      </c>
    </row>
    <row r="869">
      <c r="A869" s="7" t="inlineStr">
        <is>
          <t>WHAP-0865</t>
        </is>
      </c>
      <c r="B869" s="7" t="inlineStr">
        <is>
          <t>ROU-0865</t>
        </is>
      </c>
      <c r="C869" s="7" t="inlineStr">
        <is>
          <t>flexible CTIS — ARD2</t>
        </is>
      </c>
      <c r="D869" s="7" t="inlineStr">
        <is>
          <t>Roues et pneus</t>
        </is>
      </c>
      <c r="E869" s="7" t="inlineStr">
        <is>
          <t>Roues et pneus</t>
        </is>
      </c>
      <c r="F869" s="7" t="inlineStr">
        <is>
          <t>PIECE_VEHICULE</t>
        </is>
      </c>
      <c r="G869" s="7" t="inlineStr">
        <is>
          <t>unité</t>
        </is>
      </c>
      <c r="H869" s="7" t="inlineStr">
        <is>
          <t>LARGE</t>
        </is>
      </c>
      <c r="I869" s="7" t="n">
        <v>0</v>
      </c>
      <c r="J869" s="7" t="inlineStr">
        <is>
          <t>F-06-04</t>
        </is>
      </c>
      <c r="K869" s="7" t="inlineStr"/>
      <c r="L869" s="9" t="n">
        <v>0</v>
      </c>
      <c r="M869" s="9" t="n">
        <v>0</v>
      </c>
      <c r="N869" s="9" t="n">
        <v>29</v>
      </c>
      <c r="O869" s="7" t="inlineStr">
        <is>
          <t>YZK</t>
        </is>
      </c>
      <c r="P869" s="7" t="inlineStr">
        <is>
          <t>IMPORTANT</t>
        </is>
      </c>
      <c r="Q869" s="7" t="inlineStr">
        <is>
          <t>WHAP</t>
        </is>
      </c>
      <c r="R869" s="7" t="inlineStr">
        <is>
          <t>OUI</t>
        </is>
      </c>
      <c r="S869" s="7" t="inlineStr">
        <is>
          <t>31/08/2026 02:59</t>
        </is>
      </c>
    </row>
    <row r="870">
      <c r="A870" s="8" t="inlineStr">
        <is>
          <t>WHAP-0866</t>
        </is>
      </c>
      <c r="B870" s="8" t="inlineStr">
        <is>
          <t>ROU-0866</t>
        </is>
      </c>
      <c r="C870" s="8" t="inlineStr">
        <is>
          <t>raccord CTIS — ARD2</t>
        </is>
      </c>
      <c r="D870" s="8" t="inlineStr">
        <is>
          <t>Roues et pneus</t>
        </is>
      </c>
      <c r="E870" s="8" t="inlineStr">
        <is>
          <t>Roues et pneus</t>
        </is>
      </c>
      <c r="F870" s="8" t="inlineStr">
        <is>
          <t>PIECE_VEHICULE</t>
        </is>
      </c>
      <c r="G870" s="8" t="inlineStr">
        <is>
          <t>unité</t>
        </is>
      </c>
      <c r="H870" s="8" t="inlineStr">
        <is>
          <t>LARGE</t>
        </is>
      </c>
      <c r="I870" s="8" t="n">
        <v>0</v>
      </c>
      <c r="J870" s="8" t="inlineStr">
        <is>
          <t>F-02-01</t>
        </is>
      </c>
      <c r="K870" s="8" t="inlineStr"/>
      <c r="L870" s="10" t="n">
        <v>0</v>
      </c>
      <c r="M870" s="10" t="n">
        <v>0</v>
      </c>
      <c r="N870" s="10" t="n">
        <v>27</v>
      </c>
      <c r="O870" s="8" t="inlineStr">
        <is>
          <t>VAL</t>
        </is>
      </c>
      <c r="P870" s="8" t="inlineStr">
        <is>
          <t>IMPORTANT</t>
        </is>
      </c>
      <c r="Q870" s="8" t="inlineStr">
        <is>
          <t>WHAP</t>
        </is>
      </c>
      <c r="R870" s="8" t="inlineStr">
        <is>
          <t>OUI</t>
        </is>
      </c>
      <c r="S870" s="8" t="inlineStr">
        <is>
          <t>31/08/2026 02:59</t>
        </is>
      </c>
    </row>
    <row r="871">
      <c r="A871" s="7" t="inlineStr">
        <is>
          <t>WHAP-0867</t>
        </is>
      </c>
      <c r="B871" s="7" t="inlineStr">
        <is>
          <t>ROU-0867</t>
        </is>
      </c>
      <c r="C871" s="7" t="inlineStr">
        <is>
          <t>valve CTIS — ARD2</t>
        </is>
      </c>
      <c r="D871" s="7" t="inlineStr">
        <is>
          <t>Roues et pneus</t>
        </is>
      </c>
      <c r="E871" s="7" t="inlineStr">
        <is>
          <t>Roues et pneus</t>
        </is>
      </c>
      <c r="F871" s="7" t="inlineStr">
        <is>
          <t>PIECE_VEHICULE</t>
        </is>
      </c>
      <c r="G871" s="7" t="inlineStr">
        <is>
          <t>unité</t>
        </is>
      </c>
      <c r="H871" s="7" t="inlineStr">
        <is>
          <t>LARGE</t>
        </is>
      </c>
      <c r="I871" s="7" t="n">
        <v>0</v>
      </c>
      <c r="J871" s="7" t="inlineStr">
        <is>
          <t>C-05-02</t>
        </is>
      </c>
      <c r="K871" s="7" t="inlineStr"/>
      <c r="L871" s="9" t="n">
        <v>0</v>
      </c>
      <c r="M871" s="9" t="n">
        <v>0</v>
      </c>
      <c r="N871" s="9" t="n">
        <v>27</v>
      </c>
      <c r="O871" s="7" t="inlineStr">
        <is>
          <t>SUM</t>
        </is>
      </c>
      <c r="P871" s="7" t="inlineStr">
        <is>
          <t>IMPORTANT</t>
        </is>
      </c>
      <c r="Q871" s="7" t="inlineStr">
        <is>
          <t>WHAP</t>
        </is>
      </c>
      <c r="R871" s="7" t="inlineStr">
        <is>
          <t>OUI</t>
        </is>
      </c>
      <c r="S871" s="7" t="inlineStr">
        <is>
          <t>31/08/2026 02:59</t>
        </is>
      </c>
    </row>
    <row r="872">
      <c r="A872" s="8" t="inlineStr">
        <is>
          <t>WHAP-0868</t>
        </is>
      </c>
      <c r="B872" s="8" t="inlineStr">
        <is>
          <t>ROU-0868</t>
        </is>
      </c>
      <c r="C872" s="8" t="inlineStr">
        <is>
          <t>manomètre CTIS — ARD2</t>
        </is>
      </c>
      <c r="D872" s="8" t="inlineStr">
        <is>
          <t>Roues et pneus</t>
        </is>
      </c>
      <c r="E872" s="8" t="inlineStr">
        <is>
          <t>Roues et pneus</t>
        </is>
      </c>
      <c r="F872" s="8" t="inlineStr">
        <is>
          <t>PIECE_VEHICULE</t>
        </is>
      </c>
      <c r="G872" s="8" t="inlineStr">
        <is>
          <t>unité</t>
        </is>
      </c>
      <c r="H872" s="8" t="inlineStr">
        <is>
          <t>LARGE</t>
        </is>
      </c>
      <c r="I872" s="8" t="n">
        <v>0</v>
      </c>
      <c r="J872" s="8" t="inlineStr">
        <is>
          <t>C-06-04</t>
        </is>
      </c>
      <c r="K872" s="8" t="inlineStr"/>
      <c r="L872" s="10" t="n">
        <v>0</v>
      </c>
      <c r="M872" s="10" t="n">
        <v>0</v>
      </c>
      <c r="N872" s="10" t="n">
        <v>25</v>
      </c>
      <c r="O872" s="8" t="inlineStr">
        <is>
          <t>DEL</t>
        </is>
      </c>
      <c r="P872" s="8" t="inlineStr">
        <is>
          <t>IMPORTANT</t>
        </is>
      </c>
      <c r="Q872" s="8" t="inlineStr">
        <is>
          <t>WHAP</t>
        </is>
      </c>
      <c r="R872" s="8" t="inlineStr">
        <is>
          <t>OUI</t>
        </is>
      </c>
      <c r="S872" s="8" t="inlineStr">
        <is>
          <t>31/08/2026 02:59</t>
        </is>
      </c>
    </row>
    <row r="873">
      <c r="A873" s="7" t="inlineStr">
        <is>
          <t>WHAP-0869</t>
        </is>
      </c>
      <c r="B873" s="7" t="inlineStr">
        <is>
          <t>ROU-0869</t>
        </is>
      </c>
      <c r="C873" s="7" t="inlineStr">
        <is>
          <t>bloc distributeur CTIS — ARD2</t>
        </is>
      </c>
      <c r="D873" s="7" t="inlineStr">
        <is>
          <t>Roues et pneus</t>
        </is>
      </c>
      <c r="E873" s="7" t="inlineStr">
        <is>
          <t>Roues et pneus</t>
        </is>
      </c>
      <c r="F873" s="7" t="inlineStr">
        <is>
          <t>PIECE_VEHICULE</t>
        </is>
      </c>
      <c r="G873" s="7" t="inlineStr">
        <is>
          <t>unité</t>
        </is>
      </c>
      <c r="H873" s="7" t="inlineStr">
        <is>
          <t>LARGE</t>
        </is>
      </c>
      <c r="I873" s="7" t="n">
        <v>0</v>
      </c>
      <c r="J873" s="7" t="inlineStr">
        <is>
          <t>C-03-04</t>
        </is>
      </c>
      <c r="K873" s="7" t="inlineStr"/>
      <c r="L873" s="9" t="n">
        <v>0</v>
      </c>
      <c r="M873" s="9" t="n">
        <v>0</v>
      </c>
      <c r="N873" s="9" t="n">
        <v>28</v>
      </c>
      <c r="O873" s="7" t="inlineStr">
        <is>
          <t>HEL</t>
        </is>
      </c>
      <c r="P873" s="7" t="inlineStr">
        <is>
          <t>IMPORTANT</t>
        </is>
      </c>
      <c r="Q873" s="7" t="inlineStr">
        <is>
          <t>WHAP</t>
        </is>
      </c>
      <c r="R873" s="7" t="inlineStr">
        <is>
          <t>OUI</t>
        </is>
      </c>
      <c r="S873" s="7" t="inlineStr">
        <is>
          <t>31/08/2026 02:59</t>
        </is>
      </c>
    </row>
    <row r="874">
      <c r="A874" s="8" t="inlineStr">
        <is>
          <t>WHAP-0870</t>
        </is>
      </c>
      <c r="B874" s="8" t="inlineStr">
        <is>
          <t>FRE-0870</t>
        </is>
      </c>
      <c r="C874" s="8" t="inlineStr">
        <is>
          <t>disque de frein — essieu 1</t>
        </is>
      </c>
      <c r="D874" s="8" t="inlineStr">
        <is>
          <t>Freinage</t>
        </is>
      </c>
      <c r="E874" s="8" t="inlineStr">
        <is>
          <t>Freinage</t>
        </is>
      </c>
      <c r="F874" s="8" t="inlineStr">
        <is>
          <t>PIECE_VEHICULE</t>
        </is>
      </c>
      <c r="G874" s="8" t="inlineStr">
        <is>
          <t>unité</t>
        </is>
      </c>
      <c r="H874" s="8" t="inlineStr">
        <is>
          <t>SMALL</t>
        </is>
      </c>
      <c r="I874" s="8" t="n">
        <v>5</v>
      </c>
      <c r="J874" s="8" t="inlineStr">
        <is>
          <t>F-06-03</t>
        </is>
      </c>
      <c r="K874" s="8" t="inlineStr"/>
      <c r="L874" s="10" t="n">
        <v>0</v>
      </c>
      <c r="M874" s="10" t="n">
        <v>0</v>
      </c>
      <c r="N874" s="10" t="n">
        <v>14</v>
      </c>
      <c r="O874" s="8" t="inlineStr">
        <is>
          <t>SKF</t>
        </is>
      </c>
      <c r="P874" s="8" t="inlineStr">
        <is>
          <t>CRITIQUE</t>
        </is>
      </c>
      <c r="Q874" s="8" t="inlineStr">
        <is>
          <t>WHAP</t>
        </is>
      </c>
      <c r="R874" s="8" t="inlineStr">
        <is>
          <t>OUI</t>
        </is>
      </c>
      <c r="S874" s="8" t="inlineStr">
        <is>
          <t>31/08/2026 02:59</t>
        </is>
      </c>
    </row>
    <row r="875">
      <c r="A875" s="7" t="inlineStr">
        <is>
          <t>WHAP-0871</t>
        </is>
      </c>
      <c r="B875" s="7" t="inlineStr">
        <is>
          <t>FRE-0871</t>
        </is>
      </c>
      <c r="C875" s="7" t="inlineStr">
        <is>
          <t>étrier de frein — essieu 1</t>
        </is>
      </c>
      <c r="D875" s="7" t="inlineStr">
        <is>
          <t>Freinage</t>
        </is>
      </c>
      <c r="E875" s="7" t="inlineStr">
        <is>
          <t>Freinage</t>
        </is>
      </c>
      <c r="F875" s="7" t="inlineStr">
        <is>
          <t>PIECE_VEHICULE</t>
        </is>
      </c>
      <c r="G875" s="7" t="inlineStr">
        <is>
          <t>unité</t>
        </is>
      </c>
      <c r="H875" s="7" t="inlineStr">
        <is>
          <t>SMALL</t>
        </is>
      </c>
      <c r="I875" s="7" t="n">
        <v>5</v>
      </c>
      <c r="J875" s="7" t="inlineStr">
        <is>
          <t>D-05-04</t>
        </is>
      </c>
      <c r="K875" s="7" t="inlineStr"/>
      <c r="L875" s="9" t="n">
        <v>0</v>
      </c>
      <c r="M875" s="9" t="n">
        <v>0</v>
      </c>
      <c r="N875" s="9" t="n">
        <v>19</v>
      </c>
      <c r="O875" s="7" t="inlineStr">
        <is>
          <t>FAU</t>
        </is>
      </c>
      <c r="P875" s="7" t="inlineStr">
        <is>
          <t>CRITIQUE</t>
        </is>
      </c>
      <c r="Q875" s="7" t="inlineStr">
        <is>
          <t>WHAP</t>
        </is>
      </c>
      <c r="R875" s="7" t="inlineStr">
        <is>
          <t>OUI</t>
        </is>
      </c>
      <c r="S875" s="7" t="inlineStr">
        <is>
          <t>31/08/2026 02:59</t>
        </is>
      </c>
    </row>
    <row r="876">
      <c r="A876" s="8" t="inlineStr">
        <is>
          <t>WHAP-0872</t>
        </is>
      </c>
      <c r="B876" s="8" t="inlineStr">
        <is>
          <t>FRE-0872</t>
        </is>
      </c>
      <c r="C876" s="8" t="inlineStr">
        <is>
          <t>plaquette de frein — essieu 1</t>
        </is>
      </c>
      <c r="D876" s="8" t="inlineStr">
        <is>
          <t>Freinage</t>
        </is>
      </c>
      <c r="E876" s="8" t="inlineStr">
        <is>
          <t>Freinage</t>
        </is>
      </c>
      <c r="F876" s="8" t="inlineStr">
        <is>
          <t>PIECE_VEHICULE</t>
        </is>
      </c>
      <c r="G876" s="8" t="inlineStr">
        <is>
          <t>unité</t>
        </is>
      </c>
      <c r="H876" s="8" t="inlineStr">
        <is>
          <t>SMALL</t>
        </is>
      </c>
      <c r="I876" s="8" t="n">
        <v>5</v>
      </c>
      <c r="J876" s="8" t="inlineStr">
        <is>
          <t>C-03-02</t>
        </is>
      </c>
      <c r="K876" s="8" t="inlineStr"/>
      <c r="L876" s="10" t="n">
        <v>0</v>
      </c>
      <c r="M876" s="10" t="n">
        <v>0</v>
      </c>
      <c r="N876" s="10" t="n">
        <v>10</v>
      </c>
      <c r="O876" s="8" t="inlineStr">
        <is>
          <t>MAG</t>
        </is>
      </c>
      <c r="P876" s="8" t="inlineStr">
        <is>
          <t>CRITIQUE</t>
        </is>
      </c>
      <c r="Q876" s="8" t="inlineStr">
        <is>
          <t>WHAP</t>
        </is>
      </c>
      <c r="R876" s="8" t="inlineStr">
        <is>
          <t>OUI</t>
        </is>
      </c>
      <c r="S876" s="8" t="inlineStr">
        <is>
          <t>31/08/2026 02:59</t>
        </is>
      </c>
    </row>
    <row r="877">
      <c r="A877" s="7" t="inlineStr">
        <is>
          <t>WHAP-0873</t>
        </is>
      </c>
      <c r="B877" s="7" t="inlineStr">
        <is>
          <t>FRE-0873</t>
        </is>
      </c>
      <c r="C877" s="7" t="inlineStr">
        <is>
          <t>porte-plaquette — essieu 1</t>
        </is>
      </c>
      <c r="D877" s="7" t="inlineStr">
        <is>
          <t>Freinage</t>
        </is>
      </c>
      <c r="E877" s="7" t="inlineStr">
        <is>
          <t>Freinage</t>
        </is>
      </c>
      <c r="F877" s="7" t="inlineStr">
        <is>
          <t>PIECE_VEHICULE</t>
        </is>
      </c>
      <c r="G877" s="7" t="inlineStr">
        <is>
          <t>unité</t>
        </is>
      </c>
      <c r="H877" s="7" t="inlineStr">
        <is>
          <t>SMALL</t>
        </is>
      </c>
      <c r="I877" s="7" t="n">
        <v>5</v>
      </c>
      <c r="J877" s="7" t="inlineStr">
        <is>
          <t>D-02-01</t>
        </is>
      </c>
      <c r="K877" s="7" t="inlineStr"/>
      <c r="L877" s="9" t="n">
        <v>0</v>
      </c>
      <c r="M877" s="9" t="n">
        <v>0</v>
      </c>
      <c r="N877" s="9" t="n">
        <v>15</v>
      </c>
      <c r="O877" s="7" t="inlineStr">
        <is>
          <t>YZK</t>
        </is>
      </c>
      <c r="P877" s="7" t="inlineStr">
        <is>
          <t>CRITIQUE</t>
        </is>
      </c>
      <c r="Q877" s="7" t="inlineStr">
        <is>
          <t>WHAP</t>
        </is>
      </c>
      <c r="R877" s="7" t="inlineStr">
        <is>
          <t>OUI</t>
        </is>
      </c>
      <c r="S877" s="7" t="inlineStr">
        <is>
          <t>31/08/2026 02:59</t>
        </is>
      </c>
    </row>
    <row r="878">
      <c r="A878" s="8" t="inlineStr">
        <is>
          <t>WHAP-0874</t>
        </is>
      </c>
      <c r="B878" s="8" t="inlineStr">
        <is>
          <t>FRE-0874</t>
        </is>
      </c>
      <c r="C878" s="8" t="inlineStr">
        <is>
          <t>piston d'étrier — essieu 1</t>
        </is>
      </c>
      <c r="D878" s="8" t="inlineStr">
        <is>
          <t>Freinage</t>
        </is>
      </c>
      <c r="E878" s="8" t="inlineStr">
        <is>
          <t>Freinage</t>
        </is>
      </c>
      <c r="F878" s="8" t="inlineStr">
        <is>
          <t>PIECE_VEHICULE</t>
        </is>
      </c>
      <c r="G878" s="8" t="inlineStr">
        <is>
          <t>unité</t>
        </is>
      </c>
      <c r="H878" s="8" t="inlineStr">
        <is>
          <t>SMALL</t>
        </is>
      </c>
      <c r="I878" s="8" t="n">
        <v>5</v>
      </c>
      <c r="J878" s="8" t="inlineStr">
        <is>
          <t>F-01-03</t>
        </is>
      </c>
      <c r="K878" s="8" t="inlineStr"/>
      <c r="L878" s="10" t="n">
        <v>0</v>
      </c>
      <c r="M878" s="10" t="n">
        <v>0</v>
      </c>
      <c r="N878" s="10" t="n">
        <v>14</v>
      </c>
      <c r="O878" s="8" t="inlineStr">
        <is>
          <t>VAL</t>
        </is>
      </c>
      <c r="P878" s="8" t="inlineStr">
        <is>
          <t>CRITIQUE</t>
        </is>
      </c>
      <c r="Q878" s="8" t="inlineStr">
        <is>
          <t>WHAP</t>
        </is>
      </c>
      <c r="R878" s="8" t="inlineStr">
        <is>
          <t>OUI</t>
        </is>
      </c>
      <c r="S878" s="8" t="inlineStr">
        <is>
          <t>31/08/2026 02:59</t>
        </is>
      </c>
    </row>
    <row r="879">
      <c r="A879" s="7" t="inlineStr">
        <is>
          <t>WHAP-0875</t>
        </is>
      </c>
      <c r="B879" s="7" t="inlineStr">
        <is>
          <t>FRE-0875</t>
        </is>
      </c>
      <c r="C879" s="7" t="inlineStr">
        <is>
          <t>joint de piston — essieu 1</t>
        </is>
      </c>
      <c r="D879" s="7" t="inlineStr">
        <is>
          <t>Freinage</t>
        </is>
      </c>
      <c r="E879" s="7" t="inlineStr">
        <is>
          <t>Freinage</t>
        </is>
      </c>
      <c r="F879" s="7" t="inlineStr">
        <is>
          <t>PIECE_VEHICULE</t>
        </is>
      </c>
      <c r="G879" s="7" t="inlineStr">
        <is>
          <t>unité</t>
        </is>
      </c>
      <c r="H879" s="7" t="inlineStr">
        <is>
          <t>SMALL</t>
        </is>
      </c>
      <c r="I879" s="7" t="n">
        <v>5</v>
      </c>
      <c r="J879" s="7" t="inlineStr">
        <is>
          <t>C-02-01</t>
        </is>
      </c>
      <c r="K879" s="7" t="inlineStr"/>
      <c r="L879" s="9" t="n">
        <v>0</v>
      </c>
      <c r="M879" s="9" t="n">
        <v>0</v>
      </c>
      <c r="N879" s="9" t="n">
        <v>17</v>
      </c>
      <c r="O879" s="7" t="inlineStr">
        <is>
          <t>SUM</t>
        </is>
      </c>
      <c r="P879" s="7" t="inlineStr">
        <is>
          <t>CRITIQUE</t>
        </is>
      </c>
      <c r="Q879" s="7" t="inlineStr">
        <is>
          <t>WHAP</t>
        </is>
      </c>
      <c r="R879" s="7" t="inlineStr">
        <is>
          <t>OUI</t>
        </is>
      </c>
      <c r="S879" s="7" t="inlineStr">
        <is>
          <t>31/08/2026 02:59</t>
        </is>
      </c>
    </row>
    <row r="880">
      <c r="A880" s="8" t="inlineStr">
        <is>
          <t>WHAP-0876</t>
        </is>
      </c>
      <c r="B880" s="8" t="inlineStr">
        <is>
          <t>FRE-0876</t>
        </is>
      </c>
      <c r="C880" s="8" t="inlineStr">
        <is>
          <t>flexible de frein — essieu 1</t>
        </is>
      </c>
      <c r="D880" s="8" t="inlineStr">
        <is>
          <t>Freinage</t>
        </is>
      </c>
      <c r="E880" s="8" t="inlineStr">
        <is>
          <t>Freinage</t>
        </is>
      </c>
      <c r="F880" s="8" t="inlineStr">
        <is>
          <t>PIECE_VEHICULE</t>
        </is>
      </c>
      <c r="G880" s="8" t="inlineStr">
        <is>
          <t>unité</t>
        </is>
      </c>
      <c r="H880" s="8" t="inlineStr">
        <is>
          <t>SMALL</t>
        </is>
      </c>
      <c r="I880" s="8" t="n">
        <v>5</v>
      </c>
      <c r="J880" s="8" t="inlineStr">
        <is>
          <t>F-06-02</t>
        </is>
      </c>
      <c r="K880" s="8" t="inlineStr"/>
      <c r="L880" s="10" t="n">
        <v>0</v>
      </c>
      <c r="M880" s="10" t="n">
        <v>0</v>
      </c>
      <c r="N880" s="10" t="n">
        <v>17</v>
      </c>
      <c r="O880" s="8" t="inlineStr">
        <is>
          <t>SKF</t>
        </is>
      </c>
      <c r="P880" s="8" t="inlineStr">
        <is>
          <t>CRITIQUE</t>
        </is>
      </c>
      <c r="Q880" s="8" t="inlineStr">
        <is>
          <t>WHAP</t>
        </is>
      </c>
      <c r="R880" s="8" t="inlineStr">
        <is>
          <t>OUI</t>
        </is>
      </c>
      <c r="S880" s="8" t="inlineStr">
        <is>
          <t>31/08/2026 02:59</t>
        </is>
      </c>
    </row>
    <row r="881">
      <c r="A881" s="7" t="inlineStr">
        <is>
          <t>WHAP-0877</t>
        </is>
      </c>
      <c r="B881" s="7" t="inlineStr">
        <is>
          <t>FRE-0877</t>
        </is>
      </c>
      <c r="C881" s="7" t="inlineStr">
        <is>
          <t>conduite de frein — essieu 1</t>
        </is>
      </c>
      <c r="D881" s="7" t="inlineStr">
        <is>
          <t>Freinage</t>
        </is>
      </c>
      <c r="E881" s="7" t="inlineStr">
        <is>
          <t>Freinage</t>
        </is>
      </c>
      <c r="F881" s="7" t="inlineStr">
        <is>
          <t>PIECE_VEHICULE</t>
        </is>
      </c>
      <c r="G881" s="7" t="inlineStr">
        <is>
          <t>unité</t>
        </is>
      </c>
      <c r="H881" s="7" t="inlineStr">
        <is>
          <t>SMALL</t>
        </is>
      </c>
      <c r="I881" s="7" t="n">
        <v>5</v>
      </c>
      <c r="J881" s="7" t="inlineStr">
        <is>
          <t>D-01-01</t>
        </is>
      </c>
      <c r="K881" s="7" t="inlineStr"/>
      <c r="L881" s="9" t="n">
        <v>0</v>
      </c>
      <c r="M881" s="9" t="n">
        <v>0</v>
      </c>
      <c r="N881" s="9" t="n">
        <v>11</v>
      </c>
      <c r="O881" s="7" t="inlineStr">
        <is>
          <t>SKF</t>
        </is>
      </c>
      <c r="P881" s="7" t="inlineStr">
        <is>
          <t>CRITIQUE</t>
        </is>
      </c>
      <c r="Q881" s="7" t="inlineStr">
        <is>
          <t>WHAP</t>
        </is>
      </c>
      <c r="R881" s="7" t="inlineStr">
        <is>
          <t>OUI</t>
        </is>
      </c>
      <c r="S881" s="7" t="inlineStr">
        <is>
          <t>31/08/2026 02:59</t>
        </is>
      </c>
    </row>
    <row r="882">
      <c r="A882" s="8" t="inlineStr">
        <is>
          <t>WHAP-0878</t>
        </is>
      </c>
      <c r="B882" s="8" t="inlineStr">
        <is>
          <t>FRE-0878</t>
        </is>
      </c>
      <c r="C882" s="8" t="inlineStr">
        <is>
          <t>maître-cylindre — essieu 1</t>
        </is>
      </c>
      <c r="D882" s="8" t="inlineStr">
        <is>
          <t>Freinage</t>
        </is>
      </c>
      <c r="E882" s="8" t="inlineStr">
        <is>
          <t>Freinage</t>
        </is>
      </c>
      <c r="F882" s="8" t="inlineStr">
        <is>
          <t>PIECE_VEHICULE</t>
        </is>
      </c>
      <c r="G882" s="8" t="inlineStr">
        <is>
          <t>unité</t>
        </is>
      </c>
      <c r="H882" s="8" t="inlineStr">
        <is>
          <t>SMALL</t>
        </is>
      </c>
      <c r="I882" s="8" t="n">
        <v>5</v>
      </c>
      <c r="J882" s="8" t="inlineStr">
        <is>
          <t>C-04-02</t>
        </is>
      </c>
      <c r="K882" s="8" t="inlineStr"/>
      <c r="L882" s="10" t="n">
        <v>0</v>
      </c>
      <c r="M882" s="10" t="n">
        <v>0</v>
      </c>
      <c r="N882" s="10" t="n">
        <v>19</v>
      </c>
      <c r="O882" s="8" t="inlineStr">
        <is>
          <t>SUM</t>
        </is>
      </c>
      <c r="P882" s="8" t="inlineStr">
        <is>
          <t>CRITIQUE</t>
        </is>
      </c>
      <c r="Q882" s="8" t="inlineStr">
        <is>
          <t>WHAP</t>
        </is>
      </c>
      <c r="R882" s="8" t="inlineStr">
        <is>
          <t>OUI</t>
        </is>
      </c>
      <c r="S882" s="8" t="inlineStr">
        <is>
          <t>31/08/2026 02:59</t>
        </is>
      </c>
    </row>
    <row r="883">
      <c r="A883" s="7" t="inlineStr">
        <is>
          <t>WHAP-0879</t>
        </is>
      </c>
      <c r="B883" s="7" t="inlineStr">
        <is>
          <t>FRE-0879</t>
        </is>
      </c>
      <c r="C883" s="7" t="inlineStr">
        <is>
          <t>servofrein — essieu 1</t>
        </is>
      </c>
      <c r="D883" s="7" t="inlineStr">
        <is>
          <t>Freinage</t>
        </is>
      </c>
      <c r="E883" s="7" t="inlineStr">
        <is>
          <t>Freinage</t>
        </is>
      </c>
      <c r="F883" s="7" t="inlineStr">
        <is>
          <t>PIECE_VEHICULE</t>
        </is>
      </c>
      <c r="G883" s="7" t="inlineStr">
        <is>
          <t>unité</t>
        </is>
      </c>
      <c r="H883" s="7" t="inlineStr">
        <is>
          <t>SMALL</t>
        </is>
      </c>
      <c r="I883" s="7" t="n">
        <v>5</v>
      </c>
      <c r="J883" s="7" t="inlineStr">
        <is>
          <t>A-04-01</t>
        </is>
      </c>
      <c r="K883" s="7" t="inlineStr"/>
      <c r="L883" s="9" t="n">
        <v>0</v>
      </c>
      <c r="M883" s="9" t="n">
        <v>0</v>
      </c>
      <c r="N883" s="9" t="n">
        <v>13</v>
      </c>
      <c r="O883" s="7" t="inlineStr">
        <is>
          <t>HEL</t>
        </is>
      </c>
      <c r="P883" s="7" t="inlineStr">
        <is>
          <t>CRITIQUE</t>
        </is>
      </c>
      <c r="Q883" s="7" t="inlineStr">
        <is>
          <t>WHAP</t>
        </is>
      </c>
      <c r="R883" s="7" t="inlineStr">
        <is>
          <t>OUI</t>
        </is>
      </c>
      <c r="S883" s="7" t="inlineStr">
        <is>
          <t>31/08/2026 02:59</t>
        </is>
      </c>
    </row>
    <row r="884">
      <c r="A884" s="8" t="inlineStr">
        <is>
          <t>WHAP-0880</t>
        </is>
      </c>
      <c r="B884" s="8" t="inlineStr">
        <is>
          <t>FRE-0880</t>
        </is>
      </c>
      <c r="C884" s="8" t="inlineStr">
        <is>
          <t>compresseur d'air — essieu 1</t>
        </is>
      </c>
      <c r="D884" s="8" t="inlineStr">
        <is>
          <t>Freinage</t>
        </is>
      </c>
      <c r="E884" s="8" t="inlineStr">
        <is>
          <t>Freinage</t>
        </is>
      </c>
      <c r="F884" s="8" t="inlineStr">
        <is>
          <t>PIECE_VEHICULE</t>
        </is>
      </c>
      <c r="G884" s="8" t="inlineStr">
        <is>
          <t>unité</t>
        </is>
      </c>
      <c r="H884" s="8" t="inlineStr">
        <is>
          <t>SMALL</t>
        </is>
      </c>
      <c r="I884" s="8" t="n">
        <v>5</v>
      </c>
      <c r="J884" s="8" t="inlineStr">
        <is>
          <t>F-06-03</t>
        </is>
      </c>
      <c r="K884" s="8" t="inlineStr"/>
      <c r="L884" s="10" t="n">
        <v>0</v>
      </c>
      <c r="M884" s="10" t="n">
        <v>0</v>
      </c>
      <c r="N884" s="10" t="n">
        <v>16</v>
      </c>
      <c r="O884" s="8" t="inlineStr">
        <is>
          <t>CTL</t>
        </is>
      </c>
      <c r="P884" s="8" t="inlineStr">
        <is>
          <t>CRITIQUE</t>
        </is>
      </c>
      <c r="Q884" s="8" t="inlineStr">
        <is>
          <t>WHAP</t>
        </is>
      </c>
      <c r="R884" s="8" t="inlineStr">
        <is>
          <t>OUI</t>
        </is>
      </c>
      <c r="S884" s="8" t="inlineStr">
        <is>
          <t>31/08/2026 02:59</t>
        </is>
      </c>
    </row>
    <row r="885">
      <c r="A885" s="7" t="inlineStr">
        <is>
          <t>WHAP-0881</t>
        </is>
      </c>
      <c r="B885" s="7" t="inlineStr">
        <is>
          <t>FRE-0881</t>
        </is>
      </c>
      <c r="C885" s="7" t="inlineStr">
        <is>
          <t>réservoir d'air — essieu 1</t>
        </is>
      </c>
      <c r="D885" s="7" t="inlineStr">
        <is>
          <t>Freinage</t>
        </is>
      </c>
      <c r="E885" s="7" t="inlineStr">
        <is>
          <t>Freinage</t>
        </is>
      </c>
      <c r="F885" s="7" t="inlineStr">
        <is>
          <t>PIECE_VEHICULE</t>
        </is>
      </c>
      <c r="G885" s="7" t="inlineStr">
        <is>
          <t>unité</t>
        </is>
      </c>
      <c r="H885" s="7" t="inlineStr">
        <is>
          <t>SMALL</t>
        </is>
      </c>
      <c r="I885" s="7" t="n">
        <v>5</v>
      </c>
      <c r="J885" s="7" t="inlineStr">
        <is>
          <t>C-04-04</t>
        </is>
      </c>
      <c r="K885" s="7" t="inlineStr"/>
      <c r="L885" s="9" t="n">
        <v>0</v>
      </c>
      <c r="M885" s="9" t="n">
        <v>0</v>
      </c>
      <c r="N885" s="9" t="n">
        <v>11</v>
      </c>
      <c r="O885" s="7" t="inlineStr">
        <is>
          <t>MAG</t>
        </is>
      </c>
      <c r="P885" s="7" t="inlineStr">
        <is>
          <t>CRITIQUE</t>
        </is>
      </c>
      <c r="Q885" s="7" t="inlineStr">
        <is>
          <t>WHAP</t>
        </is>
      </c>
      <c r="R885" s="7" t="inlineStr">
        <is>
          <t>OUI</t>
        </is>
      </c>
      <c r="S885" s="7" t="inlineStr">
        <is>
          <t>31/08/2026 02:59</t>
        </is>
      </c>
    </row>
    <row r="886">
      <c r="A886" s="8" t="inlineStr">
        <is>
          <t>WHAP-0882</t>
        </is>
      </c>
      <c r="B886" s="8" t="inlineStr">
        <is>
          <t>FRE-0882</t>
        </is>
      </c>
      <c r="C886" s="8" t="inlineStr">
        <is>
          <t>valve de frein — essieu 1</t>
        </is>
      </c>
      <c r="D886" s="8" t="inlineStr">
        <is>
          <t>Freinage</t>
        </is>
      </c>
      <c r="E886" s="8" t="inlineStr">
        <is>
          <t>Freinage</t>
        </is>
      </c>
      <c r="F886" s="8" t="inlineStr">
        <is>
          <t>PIECE_VEHICULE</t>
        </is>
      </c>
      <c r="G886" s="8" t="inlineStr">
        <is>
          <t>unité</t>
        </is>
      </c>
      <c r="H886" s="8" t="inlineStr">
        <is>
          <t>SMALL</t>
        </is>
      </c>
      <c r="I886" s="8" t="n">
        <v>5</v>
      </c>
      <c r="J886" s="8" t="inlineStr">
        <is>
          <t>D-02-04</t>
        </is>
      </c>
      <c r="K886" s="8" t="inlineStr"/>
      <c r="L886" s="10" t="n">
        <v>0</v>
      </c>
      <c r="M886" s="10" t="n">
        <v>0</v>
      </c>
      <c r="N886" s="10" t="n">
        <v>10</v>
      </c>
      <c r="O886" s="8" t="inlineStr">
        <is>
          <t>YZK</t>
        </is>
      </c>
      <c r="P886" s="8" t="inlineStr">
        <is>
          <t>CRITIQUE</t>
        </is>
      </c>
      <c r="Q886" s="8" t="inlineStr">
        <is>
          <t>WHAP</t>
        </is>
      </c>
      <c r="R886" s="8" t="inlineStr">
        <is>
          <t>OUI</t>
        </is>
      </c>
      <c r="S886" s="8" t="inlineStr">
        <is>
          <t>31/08/2026 02:59</t>
        </is>
      </c>
    </row>
    <row r="887">
      <c r="A887" s="7" t="inlineStr">
        <is>
          <t>WHAP-0883</t>
        </is>
      </c>
      <c r="B887" s="7" t="inlineStr">
        <is>
          <t>FRE-0883</t>
        </is>
      </c>
      <c r="C887" s="7" t="inlineStr">
        <is>
          <t>valve relais — essieu 1</t>
        </is>
      </c>
      <c r="D887" s="7" t="inlineStr">
        <is>
          <t>Freinage</t>
        </is>
      </c>
      <c r="E887" s="7" t="inlineStr">
        <is>
          <t>Freinage</t>
        </is>
      </c>
      <c r="F887" s="7" t="inlineStr">
        <is>
          <t>PIECE_VEHICULE</t>
        </is>
      </c>
      <c r="G887" s="7" t="inlineStr">
        <is>
          <t>unité</t>
        </is>
      </c>
      <c r="H887" s="7" t="inlineStr">
        <is>
          <t>SMALL</t>
        </is>
      </c>
      <c r="I887" s="7" t="n">
        <v>5</v>
      </c>
      <c r="J887" s="7" t="inlineStr">
        <is>
          <t>F-06-01</t>
        </is>
      </c>
      <c r="K887" s="7" t="inlineStr"/>
      <c r="L887" s="9" t="n">
        <v>0</v>
      </c>
      <c r="M887" s="9" t="n">
        <v>0</v>
      </c>
      <c r="N887" s="9" t="n">
        <v>16</v>
      </c>
      <c r="O887" s="7" t="inlineStr">
        <is>
          <t>SKF</t>
        </is>
      </c>
      <c r="P887" s="7" t="inlineStr">
        <is>
          <t>CRITIQUE</t>
        </is>
      </c>
      <c r="Q887" s="7" t="inlineStr">
        <is>
          <t>WHAP</t>
        </is>
      </c>
      <c r="R887" s="7" t="inlineStr">
        <is>
          <t>OUI</t>
        </is>
      </c>
      <c r="S887" s="7" t="inlineStr">
        <is>
          <t>31/08/2026 02:59</t>
        </is>
      </c>
    </row>
    <row r="888">
      <c r="A888" s="8" t="inlineStr">
        <is>
          <t>WHAP-0884</t>
        </is>
      </c>
      <c r="B888" s="8" t="inlineStr">
        <is>
          <t>FRE-0884</t>
        </is>
      </c>
      <c r="C888" s="8" t="inlineStr">
        <is>
          <t>valve de protection — essieu 1</t>
        </is>
      </c>
      <c r="D888" s="8" t="inlineStr">
        <is>
          <t>Freinage</t>
        </is>
      </c>
      <c r="E888" s="8" t="inlineStr">
        <is>
          <t>Freinage</t>
        </is>
      </c>
      <c r="F888" s="8" t="inlineStr">
        <is>
          <t>PIECE_VEHICULE</t>
        </is>
      </c>
      <c r="G888" s="8" t="inlineStr">
        <is>
          <t>unité</t>
        </is>
      </c>
      <c r="H888" s="8" t="inlineStr">
        <is>
          <t>SMALL</t>
        </is>
      </c>
      <c r="I888" s="8" t="n">
        <v>5</v>
      </c>
      <c r="J888" s="8" t="inlineStr">
        <is>
          <t>C-05-04</t>
        </is>
      </c>
      <c r="K888" s="8" t="inlineStr"/>
      <c r="L888" s="10" t="n">
        <v>0</v>
      </c>
      <c r="M888" s="10" t="n">
        <v>0</v>
      </c>
      <c r="N888" s="10" t="n">
        <v>19</v>
      </c>
      <c r="O888" s="8" t="inlineStr">
        <is>
          <t>BOS</t>
        </is>
      </c>
      <c r="P888" s="8" t="inlineStr">
        <is>
          <t>CRITIQUE</t>
        </is>
      </c>
      <c r="Q888" s="8" t="inlineStr">
        <is>
          <t>WHAP</t>
        </is>
      </c>
      <c r="R888" s="8" t="inlineStr">
        <is>
          <t>OUI</t>
        </is>
      </c>
      <c r="S888" s="8" t="inlineStr">
        <is>
          <t>31/08/2026 02:59</t>
        </is>
      </c>
    </row>
    <row r="889">
      <c r="A889" s="7" t="inlineStr">
        <is>
          <t>WHAP-0885</t>
        </is>
      </c>
      <c r="B889" s="7" t="inlineStr">
        <is>
          <t>FRE-0885</t>
        </is>
      </c>
      <c r="C889" s="7" t="inlineStr">
        <is>
          <t>modulateur ABS — essieu 1</t>
        </is>
      </c>
      <c r="D889" s="7" t="inlineStr">
        <is>
          <t>Freinage</t>
        </is>
      </c>
      <c r="E889" s="7" t="inlineStr">
        <is>
          <t>Freinage</t>
        </is>
      </c>
      <c r="F889" s="7" t="inlineStr">
        <is>
          <t>PIECE_VEHICULE</t>
        </is>
      </c>
      <c r="G889" s="7" t="inlineStr">
        <is>
          <t>unité</t>
        </is>
      </c>
      <c r="H889" s="7" t="inlineStr">
        <is>
          <t>SMALL</t>
        </is>
      </c>
      <c r="I889" s="7" t="n">
        <v>5</v>
      </c>
      <c r="J889" s="7" t="inlineStr">
        <is>
          <t>D-05-01</t>
        </is>
      </c>
      <c r="K889" s="7" t="inlineStr"/>
      <c r="L889" s="9" t="n">
        <v>0</v>
      </c>
      <c r="M889" s="9" t="n">
        <v>0</v>
      </c>
      <c r="N889" s="9" t="n">
        <v>17</v>
      </c>
      <c r="O889" s="7" t="inlineStr">
        <is>
          <t>VAL</t>
        </is>
      </c>
      <c r="P889" s="7" t="inlineStr">
        <is>
          <t>CRITIQUE</t>
        </is>
      </c>
      <c r="Q889" s="7" t="inlineStr">
        <is>
          <t>WHAP</t>
        </is>
      </c>
      <c r="R889" s="7" t="inlineStr">
        <is>
          <t>OUI</t>
        </is>
      </c>
      <c r="S889" s="7" t="inlineStr">
        <is>
          <t>31/08/2026 02:59</t>
        </is>
      </c>
    </row>
    <row r="890">
      <c r="A890" s="8" t="inlineStr">
        <is>
          <t>WHAP-0886</t>
        </is>
      </c>
      <c r="B890" s="8" t="inlineStr">
        <is>
          <t>FRE-0886</t>
        </is>
      </c>
      <c r="C890" s="8" t="inlineStr">
        <is>
          <t>capteur ABS — essieu 1</t>
        </is>
      </c>
      <c r="D890" s="8" t="inlineStr">
        <is>
          <t>Freinage</t>
        </is>
      </c>
      <c r="E890" s="8" t="inlineStr">
        <is>
          <t>Freinage</t>
        </is>
      </c>
      <c r="F890" s="8" t="inlineStr">
        <is>
          <t>PIECE_VEHICULE</t>
        </is>
      </c>
      <c r="G890" s="8" t="inlineStr">
        <is>
          <t>unité</t>
        </is>
      </c>
      <c r="H890" s="8" t="inlineStr">
        <is>
          <t>SMALL</t>
        </is>
      </c>
      <c r="I890" s="8" t="n">
        <v>5</v>
      </c>
      <c r="J890" s="8" t="inlineStr">
        <is>
          <t>D-05-01</t>
        </is>
      </c>
      <c r="K890" s="8" t="inlineStr"/>
      <c r="L890" s="10" t="n">
        <v>0</v>
      </c>
      <c r="M890" s="10" t="n">
        <v>0</v>
      </c>
      <c r="N890" s="10" t="n">
        <v>20</v>
      </c>
      <c r="O890" s="8" t="inlineStr">
        <is>
          <t>FAU</t>
        </is>
      </c>
      <c r="P890" s="8" t="inlineStr">
        <is>
          <t>CRITIQUE</t>
        </is>
      </c>
      <c r="Q890" s="8" t="inlineStr">
        <is>
          <t>WHAP</t>
        </is>
      </c>
      <c r="R890" s="8" t="inlineStr">
        <is>
          <t>OUI</t>
        </is>
      </c>
      <c r="S890" s="8" t="inlineStr">
        <is>
          <t>31/08/2026 02:59</t>
        </is>
      </c>
    </row>
    <row r="891">
      <c r="A891" s="7" t="inlineStr">
        <is>
          <t>WHAP-0887</t>
        </is>
      </c>
      <c r="B891" s="7" t="inlineStr">
        <is>
          <t>FRE-0887</t>
        </is>
      </c>
      <c r="C891" s="7" t="inlineStr">
        <is>
          <t>couronne ABS — essieu 1</t>
        </is>
      </c>
      <c r="D891" s="7" t="inlineStr">
        <is>
          <t>Freinage</t>
        </is>
      </c>
      <c r="E891" s="7" t="inlineStr">
        <is>
          <t>Freinage</t>
        </is>
      </c>
      <c r="F891" s="7" t="inlineStr">
        <is>
          <t>PIECE_VEHICULE</t>
        </is>
      </c>
      <c r="G891" s="7" t="inlineStr">
        <is>
          <t>unité</t>
        </is>
      </c>
      <c r="H891" s="7" t="inlineStr">
        <is>
          <t>SMALL</t>
        </is>
      </c>
      <c r="I891" s="7" t="n">
        <v>5</v>
      </c>
      <c r="J891" s="7" t="inlineStr">
        <is>
          <t>C-01-01</t>
        </is>
      </c>
      <c r="K891" s="7" t="inlineStr"/>
      <c r="L891" s="9" t="n">
        <v>0</v>
      </c>
      <c r="M891" s="9" t="n">
        <v>0</v>
      </c>
      <c r="N891" s="9" t="n">
        <v>13</v>
      </c>
      <c r="O891" s="7" t="inlineStr">
        <is>
          <t>SUM</t>
        </is>
      </c>
      <c r="P891" s="7" t="inlineStr">
        <is>
          <t>CRITIQUE</t>
        </is>
      </c>
      <c r="Q891" s="7" t="inlineStr">
        <is>
          <t>WHAP</t>
        </is>
      </c>
      <c r="R891" s="7" t="inlineStr">
        <is>
          <t>OUI</t>
        </is>
      </c>
      <c r="S891" s="7" t="inlineStr">
        <is>
          <t>31/08/2026 02:59</t>
        </is>
      </c>
    </row>
    <row r="892">
      <c r="A892" s="8" t="inlineStr">
        <is>
          <t>WHAP-0888</t>
        </is>
      </c>
      <c r="B892" s="8" t="inlineStr">
        <is>
          <t>FRE-0888</t>
        </is>
      </c>
      <c r="C892" s="8" t="inlineStr">
        <is>
          <t>actionneur frein de parc — essieu 1</t>
        </is>
      </c>
      <c r="D892" s="8" t="inlineStr">
        <is>
          <t>Freinage</t>
        </is>
      </c>
      <c r="E892" s="8" t="inlineStr">
        <is>
          <t>Freinage</t>
        </is>
      </c>
      <c r="F892" s="8" t="inlineStr">
        <is>
          <t>PIECE_VEHICULE</t>
        </is>
      </c>
      <c r="G892" s="8" t="inlineStr">
        <is>
          <t>unité</t>
        </is>
      </c>
      <c r="H892" s="8" t="inlineStr">
        <is>
          <t>SMALL</t>
        </is>
      </c>
      <c r="I892" s="8" t="n">
        <v>5</v>
      </c>
      <c r="J892" s="8" t="inlineStr">
        <is>
          <t>A-01-01</t>
        </is>
      </c>
      <c r="K892" s="8" t="inlineStr"/>
      <c r="L892" s="10" t="n">
        <v>0</v>
      </c>
      <c r="M892" s="10" t="n">
        <v>0</v>
      </c>
      <c r="N892" s="10" t="n">
        <v>19</v>
      </c>
      <c r="O892" s="8" t="inlineStr">
        <is>
          <t>SUM</t>
        </is>
      </c>
      <c r="P892" s="8" t="inlineStr">
        <is>
          <t>CRITIQUE</t>
        </is>
      </c>
      <c r="Q892" s="8" t="inlineStr">
        <is>
          <t>WHAP</t>
        </is>
      </c>
      <c r="R892" s="8" t="inlineStr">
        <is>
          <t>OUI</t>
        </is>
      </c>
      <c r="S892" s="8" t="inlineStr">
        <is>
          <t>31/08/2026 02:59</t>
        </is>
      </c>
    </row>
    <row r="893">
      <c r="A893" s="7" t="inlineStr">
        <is>
          <t>WHAP-0889</t>
        </is>
      </c>
      <c r="B893" s="7" t="inlineStr">
        <is>
          <t>FRE-0889</t>
        </is>
      </c>
      <c r="C893" s="7" t="inlineStr">
        <is>
          <t>câble de frein — essieu 1</t>
        </is>
      </c>
      <c r="D893" s="7" t="inlineStr">
        <is>
          <t>Freinage</t>
        </is>
      </c>
      <c r="E893" s="7" t="inlineStr">
        <is>
          <t>Freinage</t>
        </is>
      </c>
      <c r="F893" s="7" t="inlineStr">
        <is>
          <t>PIECE_VEHICULE</t>
        </is>
      </c>
      <c r="G893" s="7" t="inlineStr">
        <is>
          <t>unité</t>
        </is>
      </c>
      <c r="H893" s="7" t="inlineStr">
        <is>
          <t>SMALL</t>
        </is>
      </c>
      <c r="I893" s="7" t="n">
        <v>5</v>
      </c>
      <c r="J893" s="7" t="inlineStr">
        <is>
          <t>C-02-04</t>
        </is>
      </c>
      <c r="K893" s="7" t="inlineStr"/>
      <c r="L893" s="9" t="n">
        <v>0</v>
      </c>
      <c r="M893" s="9" t="n">
        <v>0</v>
      </c>
      <c r="N893" s="9" t="n">
        <v>18</v>
      </c>
      <c r="O893" s="7" t="inlineStr">
        <is>
          <t>BOS</t>
        </is>
      </c>
      <c r="P893" s="7" t="inlineStr">
        <is>
          <t>CRITIQUE</t>
        </is>
      </c>
      <c r="Q893" s="7" t="inlineStr">
        <is>
          <t>WHAP</t>
        </is>
      </c>
      <c r="R893" s="7" t="inlineStr">
        <is>
          <t>OUI</t>
        </is>
      </c>
      <c r="S893" s="7" t="inlineStr">
        <is>
          <t>31/08/2026 02:59</t>
        </is>
      </c>
    </row>
    <row r="894">
      <c r="A894" s="8" t="inlineStr">
        <is>
          <t>WHAP-0890</t>
        </is>
      </c>
      <c r="B894" s="8" t="inlineStr">
        <is>
          <t>FRE-0890</t>
        </is>
      </c>
      <c r="C894" s="8" t="inlineStr">
        <is>
          <t>ressort de frein — essieu 1</t>
        </is>
      </c>
      <c r="D894" s="8" t="inlineStr">
        <is>
          <t>Freinage</t>
        </is>
      </c>
      <c r="E894" s="8" t="inlineStr">
        <is>
          <t>Freinage</t>
        </is>
      </c>
      <c r="F894" s="8" t="inlineStr">
        <is>
          <t>PIECE_VEHICULE</t>
        </is>
      </c>
      <c r="G894" s="8" t="inlineStr">
        <is>
          <t>unité</t>
        </is>
      </c>
      <c r="H894" s="8" t="inlineStr">
        <is>
          <t>SMALL</t>
        </is>
      </c>
      <c r="I894" s="8" t="n">
        <v>5</v>
      </c>
      <c r="J894" s="8" t="inlineStr">
        <is>
          <t>F-01-02</t>
        </is>
      </c>
      <c r="K894" s="8" t="inlineStr"/>
      <c r="L894" s="10" t="n">
        <v>0</v>
      </c>
      <c r="M894" s="10" t="n">
        <v>0</v>
      </c>
      <c r="N894" s="10" t="n">
        <v>12</v>
      </c>
      <c r="O894" s="8" t="inlineStr">
        <is>
          <t>YZK</t>
        </is>
      </c>
      <c r="P894" s="8" t="inlineStr">
        <is>
          <t>CRITIQUE</t>
        </is>
      </c>
      <c r="Q894" s="8" t="inlineStr">
        <is>
          <t>WHAP</t>
        </is>
      </c>
      <c r="R894" s="8" t="inlineStr">
        <is>
          <t>OUI</t>
        </is>
      </c>
      <c r="S894" s="8" t="inlineStr">
        <is>
          <t>31/08/2026 02:59</t>
        </is>
      </c>
    </row>
    <row r="895">
      <c r="A895" s="7" t="inlineStr">
        <is>
          <t>WHAP-0891</t>
        </is>
      </c>
      <c r="B895" s="7" t="inlineStr">
        <is>
          <t>FRE-0891</t>
        </is>
      </c>
      <c r="C895" s="7" t="inlineStr">
        <is>
          <t>tambour de frein — essieu 1</t>
        </is>
      </c>
      <c r="D895" s="7" t="inlineStr">
        <is>
          <t>Freinage</t>
        </is>
      </c>
      <c r="E895" s="7" t="inlineStr">
        <is>
          <t>Freinage</t>
        </is>
      </c>
      <c r="F895" s="7" t="inlineStr">
        <is>
          <t>PIECE_VEHICULE</t>
        </is>
      </c>
      <c r="G895" s="7" t="inlineStr">
        <is>
          <t>unité</t>
        </is>
      </c>
      <c r="H895" s="7" t="inlineStr">
        <is>
          <t>SMALL</t>
        </is>
      </c>
      <c r="I895" s="7" t="n">
        <v>5</v>
      </c>
      <c r="J895" s="7" t="inlineStr">
        <is>
          <t>F-06-01</t>
        </is>
      </c>
      <c r="K895" s="7" t="inlineStr"/>
      <c r="L895" s="9" t="n">
        <v>0</v>
      </c>
      <c r="M895" s="9" t="n">
        <v>0</v>
      </c>
      <c r="N895" s="9" t="n">
        <v>16</v>
      </c>
      <c r="O895" s="7" t="inlineStr">
        <is>
          <t>YZK</t>
        </is>
      </c>
      <c r="P895" s="7" t="inlineStr">
        <is>
          <t>CRITIQUE</t>
        </is>
      </c>
      <c r="Q895" s="7" t="inlineStr">
        <is>
          <t>WHAP</t>
        </is>
      </c>
      <c r="R895" s="7" t="inlineStr">
        <is>
          <t>OUI</t>
        </is>
      </c>
      <c r="S895" s="7" t="inlineStr">
        <is>
          <t>31/08/2026 02:59</t>
        </is>
      </c>
    </row>
    <row r="896">
      <c r="A896" s="8" t="inlineStr">
        <is>
          <t>WHAP-0892</t>
        </is>
      </c>
      <c r="B896" s="8" t="inlineStr">
        <is>
          <t>FRE-0892</t>
        </is>
      </c>
      <c r="C896" s="8" t="inlineStr">
        <is>
          <t>garniture de frein — essieu 1</t>
        </is>
      </c>
      <c r="D896" s="8" t="inlineStr">
        <is>
          <t>Freinage</t>
        </is>
      </c>
      <c r="E896" s="8" t="inlineStr">
        <is>
          <t>Freinage</t>
        </is>
      </c>
      <c r="F896" s="8" t="inlineStr">
        <is>
          <t>PIECE_VEHICULE</t>
        </is>
      </c>
      <c r="G896" s="8" t="inlineStr">
        <is>
          <t>unité</t>
        </is>
      </c>
      <c r="H896" s="8" t="inlineStr">
        <is>
          <t>SMALL</t>
        </is>
      </c>
      <c r="I896" s="8" t="n">
        <v>5</v>
      </c>
      <c r="J896" s="8" t="inlineStr">
        <is>
          <t>A-04-04</t>
        </is>
      </c>
      <c r="K896" s="8" t="inlineStr"/>
      <c r="L896" s="10" t="n">
        <v>0</v>
      </c>
      <c r="M896" s="10" t="n">
        <v>0</v>
      </c>
      <c r="N896" s="10" t="n">
        <v>18</v>
      </c>
      <c r="O896" s="8" t="inlineStr">
        <is>
          <t>HEL</t>
        </is>
      </c>
      <c r="P896" s="8" t="inlineStr">
        <is>
          <t>CRITIQUE</t>
        </is>
      </c>
      <c r="Q896" s="8" t="inlineStr">
        <is>
          <t>WHAP</t>
        </is>
      </c>
      <c r="R896" s="8" t="inlineStr">
        <is>
          <t>OUI</t>
        </is>
      </c>
      <c r="S896" s="8" t="inlineStr">
        <is>
          <t>31/08/2026 02:59</t>
        </is>
      </c>
    </row>
    <row r="897">
      <c r="A897" s="7" t="inlineStr">
        <is>
          <t>WHAP-0893</t>
        </is>
      </c>
      <c r="B897" s="7" t="inlineStr">
        <is>
          <t>FRE-0893</t>
        </is>
      </c>
      <c r="C897" s="7" t="inlineStr">
        <is>
          <t>purgeur — essieu 1</t>
        </is>
      </c>
      <c r="D897" s="7" t="inlineStr">
        <is>
          <t>Freinage</t>
        </is>
      </c>
      <c r="E897" s="7" t="inlineStr">
        <is>
          <t>Freinage</t>
        </is>
      </c>
      <c r="F897" s="7" t="inlineStr">
        <is>
          <t>PIECE_VEHICULE</t>
        </is>
      </c>
      <c r="G897" s="7" t="inlineStr">
        <is>
          <t>unité</t>
        </is>
      </c>
      <c r="H897" s="7" t="inlineStr">
        <is>
          <t>SMALL</t>
        </is>
      </c>
      <c r="I897" s="7" t="n">
        <v>5</v>
      </c>
      <c r="J897" s="7" t="inlineStr">
        <is>
          <t>A-01-04</t>
        </is>
      </c>
      <c r="K897" s="7" t="inlineStr"/>
      <c r="L897" s="9" t="n">
        <v>0</v>
      </c>
      <c r="M897" s="9" t="n">
        <v>0</v>
      </c>
      <c r="N897" s="9" t="n">
        <v>15</v>
      </c>
      <c r="O897" s="7" t="inlineStr">
        <is>
          <t>DEL</t>
        </is>
      </c>
      <c r="P897" s="7" t="inlineStr">
        <is>
          <t>CRITIQUE</t>
        </is>
      </c>
      <c r="Q897" s="7" t="inlineStr">
        <is>
          <t>WHAP</t>
        </is>
      </c>
      <c r="R897" s="7" t="inlineStr">
        <is>
          <t>OUI</t>
        </is>
      </c>
      <c r="S897" s="7" t="inlineStr">
        <is>
          <t>31/08/2026 02:59</t>
        </is>
      </c>
    </row>
    <row r="898">
      <c r="A898" s="8" t="inlineStr">
        <is>
          <t>WHAP-0894</t>
        </is>
      </c>
      <c r="B898" s="8" t="inlineStr">
        <is>
          <t>FRE-0894</t>
        </is>
      </c>
      <c r="C898" s="8" t="inlineStr">
        <is>
          <t>raccord pneumatique — essieu 1</t>
        </is>
      </c>
      <c r="D898" s="8" t="inlineStr">
        <is>
          <t>Freinage</t>
        </is>
      </c>
      <c r="E898" s="8" t="inlineStr">
        <is>
          <t>Freinage</t>
        </is>
      </c>
      <c r="F898" s="8" t="inlineStr">
        <is>
          <t>PIECE_VEHICULE</t>
        </is>
      </c>
      <c r="G898" s="8" t="inlineStr">
        <is>
          <t>unité</t>
        </is>
      </c>
      <c r="H898" s="8" t="inlineStr">
        <is>
          <t>SMALL</t>
        </is>
      </c>
      <c r="I898" s="8" t="n">
        <v>5</v>
      </c>
      <c r="J898" s="8" t="inlineStr">
        <is>
          <t>B-01-02</t>
        </is>
      </c>
      <c r="K898" s="8" t="inlineStr"/>
      <c r="L898" s="10" t="n">
        <v>0</v>
      </c>
      <c r="M898" s="10" t="n">
        <v>0</v>
      </c>
      <c r="N898" s="10" t="n">
        <v>11</v>
      </c>
      <c r="O898" s="8" t="inlineStr">
        <is>
          <t>VAL</t>
        </is>
      </c>
      <c r="P898" s="8" t="inlineStr">
        <is>
          <t>CRITIQUE</t>
        </is>
      </c>
      <c r="Q898" s="8" t="inlineStr">
        <is>
          <t>WHAP</t>
        </is>
      </c>
      <c r="R898" s="8" t="inlineStr">
        <is>
          <t>OUI</t>
        </is>
      </c>
      <c r="S898" s="8" t="inlineStr">
        <is>
          <t>31/08/2026 02:59</t>
        </is>
      </c>
    </row>
    <row r="899">
      <c r="A899" s="7" t="inlineStr">
        <is>
          <t>WHAP-0895</t>
        </is>
      </c>
      <c r="B899" s="7" t="inlineStr">
        <is>
          <t>FRE-0895</t>
        </is>
      </c>
      <c r="C899" s="7" t="inlineStr">
        <is>
          <t>disque de frein — essieu 2</t>
        </is>
      </c>
      <c r="D899" s="7" t="inlineStr">
        <is>
          <t>Freinage</t>
        </is>
      </c>
      <c r="E899" s="7" t="inlineStr">
        <is>
          <t>Freinage</t>
        </is>
      </c>
      <c r="F899" s="7" t="inlineStr">
        <is>
          <t>PIECE_VEHICULE</t>
        </is>
      </c>
      <c r="G899" s="7" t="inlineStr">
        <is>
          <t>unité</t>
        </is>
      </c>
      <c r="H899" s="7" t="inlineStr">
        <is>
          <t>SMALL</t>
        </is>
      </c>
      <c r="I899" s="7" t="n">
        <v>5</v>
      </c>
      <c r="J899" s="7" t="inlineStr">
        <is>
          <t>C-03-03</t>
        </is>
      </c>
      <c r="K899" s="7" t="inlineStr"/>
      <c r="L899" s="9" t="n">
        <v>0</v>
      </c>
      <c r="M899" s="9" t="n">
        <v>0</v>
      </c>
      <c r="N899" s="9" t="n">
        <v>19</v>
      </c>
      <c r="O899" s="7" t="inlineStr">
        <is>
          <t>HEL</t>
        </is>
      </c>
      <c r="P899" s="7" t="inlineStr">
        <is>
          <t>CRITIQUE</t>
        </is>
      </c>
      <c r="Q899" s="7" t="inlineStr">
        <is>
          <t>WHAP</t>
        </is>
      </c>
      <c r="R899" s="7" t="inlineStr">
        <is>
          <t>OUI</t>
        </is>
      </c>
      <c r="S899" s="7" t="inlineStr">
        <is>
          <t>31/08/2026 02:59</t>
        </is>
      </c>
    </row>
    <row r="900">
      <c r="A900" s="8" t="inlineStr">
        <is>
          <t>WHAP-0896</t>
        </is>
      </c>
      <c r="B900" s="8" t="inlineStr">
        <is>
          <t>FRE-0896</t>
        </is>
      </c>
      <c r="C900" s="8" t="inlineStr">
        <is>
          <t>étrier de frein — essieu 2</t>
        </is>
      </c>
      <c r="D900" s="8" t="inlineStr">
        <is>
          <t>Freinage</t>
        </is>
      </c>
      <c r="E900" s="8" t="inlineStr">
        <is>
          <t>Freinage</t>
        </is>
      </c>
      <c r="F900" s="8" t="inlineStr">
        <is>
          <t>PIECE_VEHICULE</t>
        </is>
      </c>
      <c r="G900" s="8" t="inlineStr">
        <is>
          <t>unité</t>
        </is>
      </c>
      <c r="H900" s="8" t="inlineStr">
        <is>
          <t>SMALL</t>
        </is>
      </c>
      <c r="I900" s="8" t="n">
        <v>5</v>
      </c>
      <c r="J900" s="8" t="inlineStr">
        <is>
          <t>B-02-02</t>
        </is>
      </c>
      <c r="K900" s="8" t="inlineStr"/>
      <c r="L900" s="10" t="n">
        <v>0</v>
      </c>
      <c r="M900" s="10" t="n">
        <v>0</v>
      </c>
      <c r="N900" s="10" t="n">
        <v>12</v>
      </c>
      <c r="O900" s="8" t="inlineStr">
        <is>
          <t>SKF</t>
        </is>
      </c>
      <c r="P900" s="8" t="inlineStr">
        <is>
          <t>CRITIQUE</t>
        </is>
      </c>
      <c r="Q900" s="8" t="inlineStr">
        <is>
          <t>WHAP</t>
        </is>
      </c>
      <c r="R900" s="8" t="inlineStr">
        <is>
          <t>OUI</t>
        </is>
      </c>
      <c r="S900" s="8" t="inlineStr">
        <is>
          <t>31/08/2026 02:59</t>
        </is>
      </c>
    </row>
    <row r="901">
      <c r="A901" s="7" t="inlineStr">
        <is>
          <t>WHAP-0897</t>
        </is>
      </c>
      <c r="B901" s="7" t="inlineStr">
        <is>
          <t>FRE-0897</t>
        </is>
      </c>
      <c r="C901" s="7" t="inlineStr">
        <is>
          <t>plaquette de frein — essieu 2</t>
        </is>
      </c>
      <c r="D901" s="7" t="inlineStr">
        <is>
          <t>Freinage</t>
        </is>
      </c>
      <c r="E901" s="7" t="inlineStr">
        <is>
          <t>Freinage</t>
        </is>
      </c>
      <c r="F901" s="7" t="inlineStr">
        <is>
          <t>PIECE_VEHICULE</t>
        </is>
      </c>
      <c r="G901" s="7" t="inlineStr">
        <is>
          <t>unité</t>
        </is>
      </c>
      <c r="H901" s="7" t="inlineStr">
        <is>
          <t>SMALL</t>
        </is>
      </c>
      <c r="I901" s="7" t="n">
        <v>5</v>
      </c>
      <c r="J901" s="7" t="inlineStr">
        <is>
          <t>E-02-02</t>
        </is>
      </c>
      <c r="K901" s="7" t="inlineStr"/>
      <c r="L901" s="9" t="n">
        <v>0</v>
      </c>
      <c r="M901" s="9" t="n">
        <v>0</v>
      </c>
      <c r="N901" s="9" t="n">
        <v>20</v>
      </c>
      <c r="O901" s="7" t="inlineStr">
        <is>
          <t>HEL</t>
        </is>
      </c>
      <c r="P901" s="7" t="inlineStr">
        <is>
          <t>CRITIQUE</t>
        </is>
      </c>
      <c r="Q901" s="7" t="inlineStr">
        <is>
          <t>WHAP</t>
        </is>
      </c>
      <c r="R901" s="7" t="inlineStr">
        <is>
          <t>OUI</t>
        </is>
      </c>
      <c r="S901" s="7" t="inlineStr">
        <is>
          <t>31/08/2026 02:59</t>
        </is>
      </c>
    </row>
    <row r="902">
      <c r="A902" s="8" t="inlineStr">
        <is>
          <t>WHAP-0898</t>
        </is>
      </c>
      <c r="B902" s="8" t="inlineStr">
        <is>
          <t>FRE-0898</t>
        </is>
      </c>
      <c r="C902" s="8" t="inlineStr">
        <is>
          <t>porte-plaquette — essieu 2</t>
        </is>
      </c>
      <c r="D902" s="8" t="inlineStr">
        <is>
          <t>Freinage</t>
        </is>
      </c>
      <c r="E902" s="8" t="inlineStr">
        <is>
          <t>Freinage</t>
        </is>
      </c>
      <c r="F902" s="8" t="inlineStr">
        <is>
          <t>PIECE_VEHICULE</t>
        </is>
      </c>
      <c r="G902" s="8" t="inlineStr">
        <is>
          <t>unité</t>
        </is>
      </c>
      <c r="H902" s="8" t="inlineStr">
        <is>
          <t>SMALL</t>
        </is>
      </c>
      <c r="I902" s="8" t="n">
        <v>5</v>
      </c>
      <c r="J902" s="8" t="inlineStr">
        <is>
          <t>D-06-01</t>
        </is>
      </c>
      <c r="K902" s="8" t="inlineStr"/>
      <c r="L902" s="10" t="n">
        <v>0</v>
      </c>
      <c r="M902" s="10" t="n">
        <v>0</v>
      </c>
      <c r="N902" s="10" t="n">
        <v>20</v>
      </c>
      <c r="O902" s="8" t="inlineStr">
        <is>
          <t>SKF</t>
        </is>
      </c>
      <c r="P902" s="8" t="inlineStr">
        <is>
          <t>CRITIQUE</t>
        </is>
      </c>
      <c r="Q902" s="8" t="inlineStr">
        <is>
          <t>WHAP</t>
        </is>
      </c>
      <c r="R902" s="8" t="inlineStr">
        <is>
          <t>OUI</t>
        </is>
      </c>
      <c r="S902" s="8" t="inlineStr">
        <is>
          <t>31/08/2026 02:59</t>
        </is>
      </c>
    </row>
    <row r="903">
      <c r="A903" s="7" t="inlineStr">
        <is>
          <t>WHAP-0899</t>
        </is>
      </c>
      <c r="B903" s="7" t="inlineStr">
        <is>
          <t>FRE-0899</t>
        </is>
      </c>
      <c r="C903" s="7" t="inlineStr">
        <is>
          <t>piston d'étrier — essieu 2</t>
        </is>
      </c>
      <c r="D903" s="7" t="inlineStr">
        <is>
          <t>Freinage</t>
        </is>
      </c>
      <c r="E903" s="7" t="inlineStr">
        <is>
          <t>Freinage</t>
        </is>
      </c>
      <c r="F903" s="7" t="inlineStr">
        <is>
          <t>PIECE_VEHICULE</t>
        </is>
      </c>
      <c r="G903" s="7" t="inlineStr">
        <is>
          <t>unité</t>
        </is>
      </c>
      <c r="H903" s="7" t="inlineStr">
        <is>
          <t>SMALL</t>
        </is>
      </c>
      <c r="I903" s="7" t="n">
        <v>5</v>
      </c>
      <c r="J903" s="7" t="inlineStr">
        <is>
          <t>C-04-02</t>
        </is>
      </c>
      <c r="K903" s="7" t="inlineStr"/>
      <c r="L903" s="9" t="n">
        <v>0</v>
      </c>
      <c r="M903" s="9" t="n">
        <v>0</v>
      </c>
      <c r="N903" s="9" t="n">
        <v>14</v>
      </c>
      <c r="O903" s="7" t="inlineStr">
        <is>
          <t>SUM</t>
        </is>
      </c>
      <c r="P903" s="7" t="inlineStr">
        <is>
          <t>CRITIQUE</t>
        </is>
      </c>
      <c r="Q903" s="7" t="inlineStr">
        <is>
          <t>WHAP</t>
        </is>
      </c>
      <c r="R903" s="7" t="inlineStr">
        <is>
          <t>OUI</t>
        </is>
      </c>
      <c r="S903" s="7" t="inlineStr">
        <is>
          <t>31/08/2026 02:59</t>
        </is>
      </c>
    </row>
    <row r="904">
      <c r="A904" s="8" t="inlineStr">
        <is>
          <t>WHAP-0900</t>
        </is>
      </c>
      <c r="B904" s="8" t="inlineStr">
        <is>
          <t>FRE-0900</t>
        </is>
      </c>
      <c r="C904" s="8" t="inlineStr">
        <is>
          <t>joint de piston — essieu 2</t>
        </is>
      </c>
      <c r="D904" s="8" t="inlineStr">
        <is>
          <t>Freinage</t>
        </is>
      </c>
      <c r="E904" s="8" t="inlineStr">
        <is>
          <t>Freinage</t>
        </is>
      </c>
      <c r="F904" s="8" t="inlineStr">
        <is>
          <t>PIECE_VEHICULE</t>
        </is>
      </c>
      <c r="G904" s="8" t="inlineStr">
        <is>
          <t>unité</t>
        </is>
      </c>
      <c r="H904" s="8" t="inlineStr">
        <is>
          <t>SMALL</t>
        </is>
      </c>
      <c r="I904" s="8" t="n">
        <v>5</v>
      </c>
      <c r="J904" s="8" t="inlineStr">
        <is>
          <t>C-02-03</t>
        </is>
      </c>
      <c r="K904" s="8" t="inlineStr"/>
      <c r="L904" s="10" t="n">
        <v>0</v>
      </c>
      <c r="M904" s="10" t="n">
        <v>0</v>
      </c>
      <c r="N904" s="10" t="n">
        <v>13</v>
      </c>
      <c r="O904" s="8" t="inlineStr">
        <is>
          <t>HEL</t>
        </is>
      </c>
      <c r="P904" s="8" t="inlineStr">
        <is>
          <t>CRITIQUE</t>
        </is>
      </c>
      <c r="Q904" s="8" t="inlineStr">
        <is>
          <t>WHAP</t>
        </is>
      </c>
      <c r="R904" s="8" t="inlineStr">
        <is>
          <t>OUI</t>
        </is>
      </c>
      <c r="S904" s="8" t="inlineStr">
        <is>
          <t>31/08/2026 02:59</t>
        </is>
      </c>
    </row>
    <row r="905">
      <c r="A905" s="7" t="inlineStr">
        <is>
          <t>WHAP-0901</t>
        </is>
      </c>
      <c r="B905" s="7" t="inlineStr">
        <is>
          <t>FRE-0901</t>
        </is>
      </c>
      <c r="C905" s="7" t="inlineStr">
        <is>
          <t>flexible de frein — essieu 2</t>
        </is>
      </c>
      <c r="D905" s="7" t="inlineStr">
        <is>
          <t>Freinage</t>
        </is>
      </c>
      <c r="E905" s="7" t="inlineStr">
        <is>
          <t>Freinage</t>
        </is>
      </c>
      <c r="F905" s="7" t="inlineStr">
        <is>
          <t>PIECE_VEHICULE</t>
        </is>
      </c>
      <c r="G905" s="7" t="inlineStr">
        <is>
          <t>unité</t>
        </is>
      </c>
      <c r="H905" s="7" t="inlineStr">
        <is>
          <t>SMALL</t>
        </is>
      </c>
      <c r="I905" s="7" t="n">
        <v>5</v>
      </c>
      <c r="J905" s="7" t="inlineStr">
        <is>
          <t>D-06-03</t>
        </is>
      </c>
      <c r="K905" s="7" t="inlineStr"/>
      <c r="L905" s="9" t="n">
        <v>0</v>
      </c>
      <c r="M905" s="9" t="n">
        <v>0</v>
      </c>
      <c r="N905" s="9" t="n">
        <v>11</v>
      </c>
      <c r="O905" s="7" t="inlineStr">
        <is>
          <t>SKF</t>
        </is>
      </c>
      <c r="P905" s="7" t="inlineStr">
        <is>
          <t>CRITIQUE</t>
        </is>
      </c>
      <c r="Q905" s="7" t="inlineStr">
        <is>
          <t>WHAP</t>
        </is>
      </c>
      <c r="R905" s="7" t="inlineStr">
        <is>
          <t>OUI</t>
        </is>
      </c>
      <c r="S905" s="7" t="inlineStr">
        <is>
          <t>31/08/2026 02:59</t>
        </is>
      </c>
    </row>
    <row r="906">
      <c r="A906" s="8" t="inlineStr">
        <is>
          <t>WHAP-0902</t>
        </is>
      </c>
      <c r="B906" s="8" t="inlineStr">
        <is>
          <t>FRE-0902</t>
        </is>
      </c>
      <c r="C906" s="8" t="inlineStr">
        <is>
          <t>conduite de frein — essieu 2</t>
        </is>
      </c>
      <c r="D906" s="8" t="inlineStr">
        <is>
          <t>Freinage</t>
        </is>
      </c>
      <c r="E906" s="8" t="inlineStr">
        <is>
          <t>Freinage</t>
        </is>
      </c>
      <c r="F906" s="8" t="inlineStr">
        <is>
          <t>PIECE_VEHICULE</t>
        </is>
      </c>
      <c r="G906" s="8" t="inlineStr">
        <is>
          <t>unité</t>
        </is>
      </c>
      <c r="H906" s="8" t="inlineStr">
        <is>
          <t>SMALL</t>
        </is>
      </c>
      <c r="I906" s="8" t="n">
        <v>5</v>
      </c>
      <c r="J906" s="8" t="inlineStr">
        <is>
          <t>B-02-03</t>
        </is>
      </c>
      <c r="K906" s="8" t="inlineStr"/>
      <c r="L906" s="10" t="n">
        <v>0</v>
      </c>
      <c r="M906" s="10" t="n">
        <v>0</v>
      </c>
      <c r="N906" s="10" t="n">
        <v>14</v>
      </c>
      <c r="O906" s="8" t="inlineStr">
        <is>
          <t>FAU</t>
        </is>
      </c>
      <c r="P906" s="8" t="inlineStr">
        <is>
          <t>CRITIQUE</t>
        </is>
      </c>
      <c r="Q906" s="8" t="inlineStr">
        <is>
          <t>WHAP</t>
        </is>
      </c>
      <c r="R906" s="8" t="inlineStr">
        <is>
          <t>OUI</t>
        </is>
      </c>
      <c r="S906" s="8" t="inlineStr">
        <is>
          <t>31/08/2026 02:59</t>
        </is>
      </c>
    </row>
    <row r="907">
      <c r="A907" s="7" t="inlineStr">
        <is>
          <t>WHAP-0903</t>
        </is>
      </c>
      <c r="B907" s="7" t="inlineStr">
        <is>
          <t>FRE-0903</t>
        </is>
      </c>
      <c r="C907" s="7" t="inlineStr">
        <is>
          <t>maître-cylindre — essieu 2</t>
        </is>
      </c>
      <c r="D907" s="7" t="inlineStr">
        <is>
          <t>Freinage</t>
        </is>
      </c>
      <c r="E907" s="7" t="inlineStr">
        <is>
          <t>Freinage</t>
        </is>
      </c>
      <c r="F907" s="7" t="inlineStr">
        <is>
          <t>PIECE_VEHICULE</t>
        </is>
      </c>
      <c r="G907" s="7" t="inlineStr">
        <is>
          <t>unité</t>
        </is>
      </c>
      <c r="H907" s="7" t="inlineStr">
        <is>
          <t>SMALL</t>
        </is>
      </c>
      <c r="I907" s="7" t="n">
        <v>5</v>
      </c>
      <c r="J907" s="7" t="inlineStr">
        <is>
          <t>A-05-04</t>
        </is>
      </c>
      <c r="K907" s="7" t="inlineStr"/>
      <c r="L907" s="9" t="n">
        <v>0</v>
      </c>
      <c r="M907" s="9" t="n">
        <v>0</v>
      </c>
      <c r="N907" s="9" t="n">
        <v>10</v>
      </c>
      <c r="O907" s="7" t="inlineStr">
        <is>
          <t>HEL</t>
        </is>
      </c>
      <c r="P907" s="7" t="inlineStr">
        <is>
          <t>CRITIQUE</t>
        </is>
      </c>
      <c r="Q907" s="7" t="inlineStr">
        <is>
          <t>WHAP</t>
        </is>
      </c>
      <c r="R907" s="7" t="inlineStr">
        <is>
          <t>OUI</t>
        </is>
      </c>
      <c r="S907" s="7" t="inlineStr">
        <is>
          <t>31/08/2026 02:59</t>
        </is>
      </c>
    </row>
    <row r="908">
      <c r="A908" s="8" t="inlineStr">
        <is>
          <t>WHAP-0904</t>
        </is>
      </c>
      <c r="B908" s="8" t="inlineStr">
        <is>
          <t>FRE-0904</t>
        </is>
      </c>
      <c r="C908" s="8" t="inlineStr">
        <is>
          <t>servofrein — essieu 2</t>
        </is>
      </c>
      <c r="D908" s="8" t="inlineStr">
        <is>
          <t>Freinage</t>
        </is>
      </c>
      <c r="E908" s="8" t="inlineStr">
        <is>
          <t>Freinage</t>
        </is>
      </c>
      <c r="F908" s="8" t="inlineStr">
        <is>
          <t>PIECE_VEHICULE</t>
        </is>
      </c>
      <c r="G908" s="8" t="inlineStr">
        <is>
          <t>unité</t>
        </is>
      </c>
      <c r="H908" s="8" t="inlineStr">
        <is>
          <t>SMALL</t>
        </is>
      </c>
      <c r="I908" s="8" t="n">
        <v>5</v>
      </c>
      <c r="J908" s="8" t="inlineStr">
        <is>
          <t>B-02-02</t>
        </is>
      </c>
      <c r="K908" s="8" t="inlineStr"/>
      <c r="L908" s="10" t="n">
        <v>0</v>
      </c>
      <c r="M908" s="10" t="n">
        <v>0</v>
      </c>
      <c r="N908" s="10" t="n">
        <v>18</v>
      </c>
      <c r="O908" s="8" t="inlineStr">
        <is>
          <t>FAU</t>
        </is>
      </c>
      <c r="P908" s="8" t="inlineStr">
        <is>
          <t>CRITIQUE</t>
        </is>
      </c>
      <c r="Q908" s="8" t="inlineStr">
        <is>
          <t>WHAP</t>
        </is>
      </c>
      <c r="R908" s="8" t="inlineStr">
        <is>
          <t>OUI</t>
        </is>
      </c>
      <c r="S908" s="8" t="inlineStr">
        <is>
          <t>31/08/2026 02:59</t>
        </is>
      </c>
    </row>
    <row r="909">
      <c r="A909" s="7" t="inlineStr">
        <is>
          <t>WHAP-0905</t>
        </is>
      </c>
      <c r="B909" s="7" t="inlineStr">
        <is>
          <t>FRE-0905</t>
        </is>
      </c>
      <c r="C909" s="7" t="inlineStr">
        <is>
          <t>compresseur d'air — essieu 2</t>
        </is>
      </c>
      <c r="D909" s="7" t="inlineStr">
        <is>
          <t>Freinage</t>
        </is>
      </c>
      <c r="E909" s="7" t="inlineStr">
        <is>
          <t>Freinage</t>
        </is>
      </c>
      <c r="F909" s="7" t="inlineStr">
        <is>
          <t>PIECE_VEHICULE</t>
        </is>
      </c>
      <c r="G909" s="7" t="inlineStr">
        <is>
          <t>unité</t>
        </is>
      </c>
      <c r="H909" s="7" t="inlineStr">
        <is>
          <t>SMALL</t>
        </is>
      </c>
      <c r="I909" s="7" t="n">
        <v>5</v>
      </c>
      <c r="J909" s="7" t="inlineStr">
        <is>
          <t>C-03-03</t>
        </is>
      </c>
      <c r="K909" s="7" t="inlineStr"/>
      <c r="L909" s="9" t="n">
        <v>0</v>
      </c>
      <c r="M909" s="9" t="n">
        <v>0</v>
      </c>
      <c r="N909" s="9" t="n">
        <v>10</v>
      </c>
      <c r="O909" s="7" t="inlineStr">
        <is>
          <t>MAG</t>
        </is>
      </c>
      <c r="P909" s="7" t="inlineStr">
        <is>
          <t>CRITIQUE</t>
        </is>
      </c>
      <c r="Q909" s="7" t="inlineStr">
        <is>
          <t>WHAP</t>
        </is>
      </c>
      <c r="R909" s="7" t="inlineStr">
        <is>
          <t>OUI</t>
        </is>
      </c>
      <c r="S909" s="7" t="inlineStr">
        <is>
          <t>31/08/2026 02:59</t>
        </is>
      </c>
    </row>
    <row r="910">
      <c r="A910" s="8" t="inlineStr">
        <is>
          <t>WHAP-0906</t>
        </is>
      </c>
      <c r="B910" s="8" t="inlineStr">
        <is>
          <t>FRE-0906</t>
        </is>
      </c>
      <c r="C910" s="8" t="inlineStr">
        <is>
          <t>réservoir d'air — essieu 2</t>
        </is>
      </c>
      <c r="D910" s="8" t="inlineStr">
        <is>
          <t>Freinage</t>
        </is>
      </c>
      <c r="E910" s="8" t="inlineStr">
        <is>
          <t>Freinage</t>
        </is>
      </c>
      <c r="F910" s="8" t="inlineStr">
        <is>
          <t>PIECE_VEHICULE</t>
        </is>
      </c>
      <c r="G910" s="8" t="inlineStr">
        <is>
          <t>unité</t>
        </is>
      </c>
      <c r="H910" s="8" t="inlineStr">
        <is>
          <t>SMALL</t>
        </is>
      </c>
      <c r="I910" s="8" t="n">
        <v>5</v>
      </c>
      <c r="J910" s="8" t="inlineStr">
        <is>
          <t>D-02-01</t>
        </is>
      </c>
      <c r="K910" s="8" t="inlineStr"/>
      <c r="L910" s="10" t="n">
        <v>0</v>
      </c>
      <c r="M910" s="10" t="n">
        <v>0</v>
      </c>
      <c r="N910" s="10" t="n">
        <v>19</v>
      </c>
      <c r="O910" s="8" t="inlineStr">
        <is>
          <t>SKF</t>
        </is>
      </c>
      <c r="P910" s="8" t="inlineStr">
        <is>
          <t>CRITIQUE</t>
        </is>
      </c>
      <c r="Q910" s="8" t="inlineStr">
        <is>
          <t>WHAP</t>
        </is>
      </c>
      <c r="R910" s="8" t="inlineStr">
        <is>
          <t>OUI</t>
        </is>
      </c>
      <c r="S910" s="8" t="inlineStr">
        <is>
          <t>31/08/2026 02:59</t>
        </is>
      </c>
    </row>
    <row r="911">
      <c r="A911" s="7" t="inlineStr">
        <is>
          <t>WHAP-0907</t>
        </is>
      </c>
      <c r="B911" s="7" t="inlineStr">
        <is>
          <t>FRE-0907</t>
        </is>
      </c>
      <c r="C911" s="7" t="inlineStr">
        <is>
          <t>valve de frein — essieu 2</t>
        </is>
      </c>
      <c r="D911" s="7" t="inlineStr">
        <is>
          <t>Freinage</t>
        </is>
      </c>
      <c r="E911" s="7" t="inlineStr">
        <is>
          <t>Freinage</t>
        </is>
      </c>
      <c r="F911" s="7" t="inlineStr">
        <is>
          <t>PIECE_VEHICULE</t>
        </is>
      </c>
      <c r="G911" s="7" t="inlineStr">
        <is>
          <t>unité</t>
        </is>
      </c>
      <c r="H911" s="7" t="inlineStr">
        <is>
          <t>SMALL</t>
        </is>
      </c>
      <c r="I911" s="7" t="n">
        <v>5</v>
      </c>
      <c r="J911" s="7" t="inlineStr">
        <is>
          <t>D-03-01</t>
        </is>
      </c>
      <c r="K911" s="7" t="inlineStr"/>
      <c r="L911" s="9" t="n">
        <v>0</v>
      </c>
      <c r="M911" s="9" t="n">
        <v>0</v>
      </c>
      <c r="N911" s="9" t="n">
        <v>14</v>
      </c>
      <c r="O911" s="7" t="inlineStr">
        <is>
          <t>FAU</t>
        </is>
      </c>
      <c r="P911" s="7" t="inlineStr">
        <is>
          <t>CRITIQUE</t>
        </is>
      </c>
      <c r="Q911" s="7" t="inlineStr">
        <is>
          <t>WHAP</t>
        </is>
      </c>
      <c r="R911" s="7" t="inlineStr">
        <is>
          <t>OUI</t>
        </is>
      </c>
      <c r="S911" s="7" t="inlineStr">
        <is>
          <t>31/08/2026 02:59</t>
        </is>
      </c>
    </row>
    <row r="912">
      <c r="A912" s="8" t="inlineStr">
        <is>
          <t>WHAP-0908</t>
        </is>
      </c>
      <c r="B912" s="8" t="inlineStr">
        <is>
          <t>FRE-0908</t>
        </is>
      </c>
      <c r="C912" s="8" t="inlineStr">
        <is>
          <t>valve relais — essieu 2</t>
        </is>
      </c>
      <c r="D912" s="8" t="inlineStr">
        <is>
          <t>Freinage</t>
        </is>
      </c>
      <c r="E912" s="8" t="inlineStr">
        <is>
          <t>Freinage</t>
        </is>
      </c>
      <c r="F912" s="8" t="inlineStr">
        <is>
          <t>PIECE_VEHICULE</t>
        </is>
      </c>
      <c r="G912" s="8" t="inlineStr">
        <is>
          <t>unité</t>
        </is>
      </c>
      <c r="H912" s="8" t="inlineStr">
        <is>
          <t>SMALL</t>
        </is>
      </c>
      <c r="I912" s="8" t="n">
        <v>5</v>
      </c>
      <c r="J912" s="8" t="inlineStr">
        <is>
          <t>B-05-03</t>
        </is>
      </c>
      <c r="K912" s="8" t="inlineStr"/>
      <c r="L912" s="10" t="n">
        <v>0</v>
      </c>
      <c r="M912" s="10" t="n">
        <v>0</v>
      </c>
      <c r="N912" s="10" t="n">
        <v>12</v>
      </c>
      <c r="O912" s="8" t="inlineStr">
        <is>
          <t>YZK</t>
        </is>
      </c>
      <c r="P912" s="8" t="inlineStr">
        <is>
          <t>CRITIQUE</t>
        </is>
      </c>
      <c r="Q912" s="8" t="inlineStr">
        <is>
          <t>WHAP</t>
        </is>
      </c>
      <c r="R912" s="8" t="inlineStr">
        <is>
          <t>OUI</t>
        </is>
      </c>
      <c r="S912" s="8" t="inlineStr">
        <is>
          <t>31/08/2026 02:59</t>
        </is>
      </c>
    </row>
    <row r="913">
      <c r="A913" s="7" t="inlineStr">
        <is>
          <t>WHAP-0909</t>
        </is>
      </c>
      <c r="B913" s="7" t="inlineStr">
        <is>
          <t>FRE-0909</t>
        </is>
      </c>
      <c r="C913" s="7" t="inlineStr">
        <is>
          <t>valve de protection — essieu 2</t>
        </is>
      </c>
      <c r="D913" s="7" t="inlineStr">
        <is>
          <t>Freinage</t>
        </is>
      </c>
      <c r="E913" s="7" t="inlineStr">
        <is>
          <t>Freinage</t>
        </is>
      </c>
      <c r="F913" s="7" t="inlineStr">
        <is>
          <t>PIECE_VEHICULE</t>
        </is>
      </c>
      <c r="G913" s="7" t="inlineStr">
        <is>
          <t>unité</t>
        </is>
      </c>
      <c r="H913" s="7" t="inlineStr">
        <is>
          <t>SMALL</t>
        </is>
      </c>
      <c r="I913" s="7" t="n">
        <v>5</v>
      </c>
      <c r="J913" s="7" t="inlineStr">
        <is>
          <t>C-01-01</t>
        </is>
      </c>
      <c r="K913" s="7" t="inlineStr"/>
      <c r="L913" s="9" t="n">
        <v>0</v>
      </c>
      <c r="M913" s="9" t="n">
        <v>0</v>
      </c>
      <c r="N913" s="9" t="n">
        <v>10</v>
      </c>
      <c r="O913" s="7" t="inlineStr">
        <is>
          <t>BOS</t>
        </is>
      </c>
      <c r="P913" s="7" t="inlineStr">
        <is>
          <t>CRITIQUE</t>
        </is>
      </c>
      <c r="Q913" s="7" t="inlineStr">
        <is>
          <t>WHAP</t>
        </is>
      </c>
      <c r="R913" s="7" t="inlineStr">
        <is>
          <t>OUI</t>
        </is>
      </c>
      <c r="S913" s="7" t="inlineStr">
        <is>
          <t>31/08/2026 02:59</t>
        </is>
      </c>
    </row>
    <row r="914">
      <c r="A914" s="8" t="inlineStr">
        <is>
          <t>WHAP-0910</t>
        </is>
      </c>
      <c r="B914" s="8" t="inlineStr">
        <is>
          <t>FRE-0910</t>
        </is>
      </c>
      <c r="C914" s="8" t="inlineStr">
        <is>
          <t>modulateur ABS — essieu 2</t>
        </is>
      </c>
      <c r="D914" s="8" t="inlineStr">
        <is>
          <t>Freinage</t>
        </is>
      </c>
      <c r="E914" s="8" t="inlineStr">
        <is>
          <t>Freinage</t>
        </is>
      </c>
      <c r="F914" s="8" t="inlineStr">
        <is>
          <t>PIECE_VEHICULE</t>
        </is>
      </c>
      <c r="G914" s="8" t="inlineStr">
        <is>
          <t>unité</t>
        </is>
      </c>
      <c r="H914" s="8" t="inlineStr">
        <is>
          <t>SMALL</t>
        </is>
      </c>
      <c r="I914" s="8" t="n">
        <v>5</v>
      </c>
      <c r="J914" s="8" t="inlineStr">
        <is>
          <t>F-02-03</t>
        </is>
      </c>
      <c r="K914" s="8" t="inlineStr"/>
      <c r="L914" s="10" t="n">
        <v>0</v>
      </c>
      <c r="M914" s="10" t="n">
        <v>0</v>
      </c>
      <c r="N914" s="10" t="n">
        <v>14</v>
      </c>
      <c r="O914" s="8" t="inlineStr">
        <is>
          <t>VAL</t>
        </is>
      </c>
      <c r="P914" s="8" t="inlineStr">
        <is>
          <t>CRITIQUE</t>
        </is>
      </c>
      <c r="Q914" s="8" t="inlineStr">
        <is>
          <t>WHAP</t>
        </is>
      </c>
      <c r="R914" s="8" t="inlineStr">
        <is>
          <t>OUI</t>
        </is>
      </c>
      <c r="S914" s="8" t="inlineStr">
        <is>
          <t>31/08/2026 02:59</t>
        </is>
      </c>
    </row>
    <row r="915">
      <c r="A915" s="7" t="inlineStr">
        <is>
          <t>WHAP-0911</t>
        </is>
      </c>
      <c r="B915" s="7" t="inlineStr">
        <is>
          <t>FRE-0911</t>
        </is>
      </c>
      <c r="C915" s="7" t="inlineStr">
        <is>
          <t>capteur ABS — essieu 2</t>
        </is>
      </c>
      <c r="D915" s="7" t="inlineStr">
        <is>
          <t>Freinage</t>
        </is>
      </c>
      <c r="E915" s="7" t="inlineStr">
        <is>
          <t>Freinage</t>
        </is>
      </c>
      <c r="F915" s="7" t="inlineStr">
        <is>
          <t>PIECE_VEHICULE</t>
        </is>
      </c>
      <c r="G915" s="7" t="inlineStr">
        <is>
          <t>unité</t>
        </is>
      </c>
      <c r="H915" s="7" t="inlineStr">
        <is>
          <t>SMALL</t>
        </is>
      </c>
      <c r="I915" s="7" t="n">
        <v>5</v>
      </c>
      <c r="J915" s="7" t="inlineStr">
        <is>
          <t>C-05-03</t>
        </is>
      </c>
      <c r="K915" s="7" t="inlineStr"/>
      <c r="L915" s="9" t="n">
        <v>0</v>
      </c>
      <c r="M915" s="9" t="n">
        <v>0</v>
      </c>
      <c r="N915" s="9" t="n">
        <v>15</v>
      </c>
      <c r="O915" s="7" t="inlineStr">
        <is>
          <t>SUM</t>
        </is>
      </c>
      <c r="P915" s="7" t="inlineStr">
        <is>
          <t>CRITIQUE</t>
        </is>
      </c>
      <c r="Q915" s="7" t="inlineStr">
        <is>
          <t>WHAP</t>
        </is>
      </c>
      <c r="R915" s="7" t="inlineStr">
        <is>
          <t>OUI</t>
        </is>
      </c>
      <c r="S915" s="7" t="inlineStr">
        <is>
          <t>31/08/2026 02:59</t>
        </is>
      </c>
    </row>
    <row r="916">
      <c r="A916" s="8" t="inlineStr">
        <is>
          <t>WHAP-0912</t>
        </is>
      </c>
      <c r="B916" s="8" t="inlineStr">
        <is>
          <t>FRE-0912</t>
        </is>
      </c>
      <c r="C916" s="8" t="inlineStr">
        <is>
          <t>couronne ABS — essieu 2</t>
        </is>
      </c>
      <c r="D916" s="8" t="inlineStr">
        <is>
          <t>Freinage</t>
        </is>
      </c>
      <c r="E916" s="8" t="inlineStr">
        <is>
          <t>Freinage</t>
        </is>
      </c>
      <c r="F916" s="8" t="inlineStr">
        <is>
          <t>PIECE_VEHICULE</t>
        </is>
      </c>
      <c r="G916" s="8" t="inlineStr">
        <is>
          <t>unité</t>
        </is>
      </c>
      <c r="H916" s="8" t="inlineStr">
        <is>
          <t>SMALL</t>
        </is>
      </c>
      <c r="I916" s="8" t="n">
        <v>5</v>
      </c>
      <c r="J916" s="8" t="inlineStr">
        <is>
          <t>B-03-03</t>
        </is>
      </c>
      <c r="K916" s="8" t="inlineStr"/>
      <c r="L916" s="10" t="n">
        <v>0</v>
      </c>
      <c r="M916" s="10" t="n">
        <v>0</v>
      </c>
      <c r="N916" s="10" t="n">
        <v>11</v>
      </c>
      <c r="O916" s="8" t="inlineStr">
        <is>
          <t>SKF</t>
        </is>
      </c>
      <c r="P916" s="8" t="inlineStr">
        <is>
          <t>CRITIQUE</t>
        </is>
      </c>
      <c r="Q916" s="8" t="inlineStr">
        <is>
          <t>WHAP</t>
        </is>
      </c>
      <c r="R916" s="8" t="inlineStr">
        <is>
          <t>OUI</t>
        </is>
      </c>
      <c r="S916" s="8" t="inlineStr">
        <is>
          <t>31/08/2026 02:59</t>
        </is>
      </c>
    </row>
    <row r="917">
      <c r="A917" s="7" t="inlineStr">
        <is>
          <t>WHAP-0913</t>
        </is>
      </c>
      <c r="B917" s="7" t="inlineStr">
        <is>
          <t>FRE-0913</t>
        </is>
      </c>
      <c r="C917" s="7" t="inlineStr">
        <is>
          <t>actionneur frein de parc — essieu 2</t>
        </is>
      </c>
      <c r="D917" s="7" t="inlineStr">
        <is>
          <t>Freinage</t>
        </is>
      </c>
      <c r="E917" s="7" t="inlineStr">
        <is>
          <t>Freinage</t>
        </is>
      </c>
      <c r="F917" s="7" t="inlineStr">
        <is>
          <t>PIECE_VEHICULE</t>
        </is>
      </c>
      <c r="G917" s="7" t="inlineStr">
        <is>
          <t>unité</t>
        </is>
      </c>
      <c r="H917" s="7" t="inlineStr">
        <is>
          <t>SMALL</t>
        </is>
      </c>
      <c r="I917" s="7" t="n">
        <v>5</v>
      </c>
      <c r="J917" s="7" t="inlineStr">
        <is>
          <t>E-01-01</t>
        </is>
      </c>
      <c r="K917" s="7" t="inlineStr"/>
      <c r="L917" s="9" t="n">
        <v>0</v>
      </c>
      <c r="M917" s="9" t="n">
        <v>0</v>
      </c>
      <c r="N917" s="9" t="n">
        <v>20</v>
      </c>
      <c r="O917" s="7" t="inlineStr">
        <is>
          <t>MAG</t>
        </is>
      </c>
      <c r="P917" s="7" t="inlineStr">
        <is>
          <t>CRITIQUE</t>
        </is>
      </c>
      <c r="Q917" s="7" t="inlineStr">
        <is>
          <t>WHAP</t>
        </is>
      </c>
      <c r="R917" s="7" t="inlineStr">
        <is>
          <t>OUI</t>
        </is>
      </c>
      <c r="S917" s="7" t="inlineStr">
        <is>
          <t>31/08/2026 02:59</t>
        </is>
      </c>
    </row>
    <row r="918">
      <c r="A918" s="8" t="inlineStr">
        <is>
          <t>WHAP-0914</t>
        </is>
      </c>
      <c r="B918" s="8" t="inlineStr">
        <is>
          <t>FRE-0914</t>
        </is>
      </c>
      <c r="C918" s="8" t="inlineStr">
        <is>
          <t>câble de frein — essieu 2</t>
        </is>
      </c>
      <c r="D918" s="8" t="inlineStr">
        <is>
          <t>Freinage</t>
        </is>
      </c>
      <c r="E918" s="8" t="inlineStr">
        <is>
          <t>Freinage</t>
        </is>
      </c>
      <c r="F918" s="8" t="inlineStr">
        <is>
          <t>PIECE_VEHICULE</t>
        </is>
      </c>
      <c r="G918" s="8" t="inlineStr">
        <is>
          <t>unité</t>
        </is>
      </c>
      <c r="H918" s="8" t="inlineStr">
        <is>
          <t>SMALL</t>
        </is>
      </c>
      <c r="I918" s="8" t="n">
        <v>5</v>
      </c>
      <c r="J918" s="8" t="inlineStr">
        <is>
          <t>E-05-02</t>
        </is>
      </c>
      <c r="K918" s="8" t="inlineStr"/>
      <c r="L918" s="10" t="n">
        <v>0</v>
      </c>
      <c r="M918" s="10" t="n">
        <v>0</v>
      </c>
      <c r="N918" s="10" t="n">
        <v>18</v>
      </c>
      <c r="O918" s="8" t="inlineStr">
        <is>
          <t>HEL</t>
        </is>
      </c>
      <c r="P918" s="8" t="inlineStr">
        <is>
          <t>CRITIQUE</t>
        </is>
      </c>
      <c r="Q918" s="8" t="inlineStr">
        <is>
          <t>WHAP</t>
        </is>
      </c>
      <c r="R918" s="8" t="inlineStr">
        <is>
          <t>OUI</t>
        </is>
      </c>
      <c r="S918" s="8" t="inlineStr">
        <is>
          <t>31/08/2026 02:59</t>
        </is>
      </c>
    </row>
    <row r="919">
      <c r="A919" s="7" t="inlineStr">
        <is>
          <t>WHAP-0915</t>
        </is>
      </c>
      <c r="B919" s="7" t="inlineStr">
        <is>
          <t>FRE-0915</t>
        </is>
      </c>
      <c r="C919" s="7" t="inlineStr">
        <is>
          <t>ressort de frein — essieu 2</t>
        </is>
      </c>
      <c r="D919" s="7" t="inlineStr">
        <is>
          <t>Freinage</t>
        </is>
      </c>
      <c r="E919" s="7" t="inlineStr">
        <is>
          <t>Freinage</t>
        </is>
      </c>
      <c r="F919" s="7" t="inlineStr">
        <is>
          <t>PIECE_VEHICULE</t>
        </is>
      </c>
      <c r="G919" s="7" t="inlineStr">
        <is>
          <t>unité</t>
        </is>
      </c>
      <c r="H919" s="7" t="inlineStr">
        <is>
          <t>SMALL</t>
        </is>
      </c>
      <c r="I919" s="7" t="n">
        <v>5</v>
      </c>
      <c r="J919" s="7" t="inlineStr">
        <is>
          <t>E-06-02</t>
        </is>
      </c>
      <c r="K919" s="7" t="inlineStr"/>
      <c r="L919" s="9" t="n">
        <v>0</v>
      </c>
      <c r="M919" s="9" t="n">
        <v>0</v>
      </c>
      <c r="N919" s="9" t="n">
        <v>17</v>
      </c>
      <c r="O919" s="7" t="inlineStr">
        <is>
          <t>DEL</t>
        </is>
      </c>
      <c r="P919" s="7" t="inlineStr">
        <is>
          <t>CRITIQUE</t>
        </is>
      </c>
      <c r="Q919" s="7" t="inlineStr">
        <is>
          <t>WHAP</t>
        </is>
      </c>
      <c r="R919" s="7" t="inlineStr">
        <is>
          <t>OUI</t>
        </is>
      </c>
      <c r="S919" s="7" t="inlineStr">
        <is>
          <t>31/08/2026 02:59</t>
        </is>
      </c>
    </row>
    <row r="920">
      <c r="A920" s="8" t="inlineStr">
        <is>
          <t>WHAP-0916</t>
        </is>
      </c>
      <c r="B920" s="8" t="inlineStr">
        <is>
          <t>FRE-0916</t>
        </is>
      </c>
      <c r="C920" s="8" t="inlineStr">
        <is>
          <t>tambour de frein — essieu 2</t>
        </is>
      </c>
      <c r="D920" s="8" t="inlineStr">
        <is>
          <t>Freinage</t>
        </is>
      </c>
      <c r="E920" s="8" t="inlineStr">
        <is>
          <t>Freinage</t>
        </is>
      </c>
      <c r="F920" s="8" t="inlineStr">
        <is>
          <t>PIECE_VEHICULE</t>
        </is>
      </c>
      <c r="G920" s="8" t="inlineStr">
        <is>
          <t>unité</t>
        </is>
      </c>
      <c r="H920" s="8" t="inlineStr">
        <is>
          <t>SMALL</t>
        </is>
      </c>
      <c r="I920" s="8" t="n">
        <v>5</v>
      </c>
      <c r="J920" s="8" t="inlineStr">
        <is>
          <t>C-02-04</t>
        </is>
      </c>
      <c r="K920" s="8" t="inlineStr"/>
      <c r="L920" s="10" t="n">
        <v>0</v>
      </c>
      <c r="M920" s="10" t="n">
        <v>0</v>
      </c>
      <c r="N920" s="10" t="n">
        <v>14</v>
      </c>
      <c r="O920" s="8" t="inlineStr">
        <is>
          <t>HEL</t>
        </is>
      </c>
      <c r="P920" s="8" t="inlineStr">
        <is>
          <t>CRITIQUE</t>
        </is>
      </c>
      <c r="Q920" s="8" t="inlineStr">
        <is>
          <t>WHAP</t>
        </is>
      </c>
      <c r="R920" s="8" t="inlineStr">
        <is>
          <t>OUI</t>
        </is>
      </c>
      <c r="S920" s="8" t="inlineStr">
        <is>
          <t>31/08/2026 02:59</t>
        </is>
      </c>
    </row>
    <row r="921">
      <c r="A921" s="7" t="inlineStr">
        <is>
          <t>WHAP-0917</t>
        </is>
      </c>
      <c r="B921" s="7" t="inlineStr">
        <is>
          <t>FRE-0917</t>
        </is>
      </c>
      <c r="C921" s="7" t="inlineStr">
        <is>
          <t>garniture de frein — essieu 2</t>
        </is>
      </c>
      <c r="D921" s="7" t="inlineStr">
        <is>
          <t>Freinage</t>
        </is>
      </c>
      <c r="E921" s="7" t="inlineStr">
        <is>
          <t>Freinage</t>
        </is>
      </c>
      <c r="F921" s="7" t="inlineStr">
        <is>
          <t>PIECE_VEHICULE</t>
        </is>
      </c>
      <c r="G921" s="7" t="inlineStr">
        <is>
          <t>unité</t>
        </is>
      </c>
      <c r="H921" s="7" t="inlineStr">
        <is>
          <t>SMALL</t>
        </is>
      </c>
      <c r="I921" s="7" t="n">
        <v>5</v>
      </c>
      <c r="J921" s="7" t="inlineStr">
        <is>
          <t>D-05-03</t>
        </is>
      </c>
      <c r="K921" s="7" t="inlineStr"/>
      <c r="L921" s="9" t="n">
        <v>0</v>
      </c>
      <c r="M921" s="9" t="n">
        <v>0</v>
      </c>
      <c r="N921" s="9" t="n">
        <v>18</v>
      </c>
      <c r="O921" s="7" t="inlineStr">
        <is>
          <t>SKF</t>
        </is>
      </c>
      <c r="P921" s="7" t="inlineStr">
        <is>
          <t>CRITIQUE</t>
        </is>
      </c>
      <c r="Q921" s="7" t="inlineStr">
        <is>
          <t>WHAP</t>
        </is>
      </c>
      <c r="R921" s="7" t="inlineStr">
        <is>
          <t>OUI</t>
        </is>
      </c>
      <c r="S921" s="7" t="inlineStr">
        <is>
          <t>31/08/2026 02:59</t>
        </is>
      </c>
    </row>
    <row r="922">
      <c r="A922" s="8" t="inlineStr">
        <is>
          <t>WHAP-0918</t>
        </is>
      </c>
      <c r="B922" s="8" t="inlineStr">
        <is>
          <t>FRE-0918</t>
        </is>
      </c>
      <c r="C922" s="8" t="inlineStr">
        <is>
          <t>purgeur — essieu 2</t>
        </is>
      </c>
      <c r="D922" s="8" t="inlineStr">
        <is>
          <t>Freinage</t>
        </is>
      </c>
      <c r="E922" s="8" t="inlineStr">
        <is>
          <t>Freinage</t>
        </is>
      </c>
      <c r="F922" s="8" t="inlineStr">
        <is>
          <t>PIECE_VEHICULE</t>
        </is>
      </c>
      <c r="G922" s="8" t="inlineStr">
        <is>
          <t>unité</t>
        </is>
      </c>
      <c r="H922" s="8" t="inlineStr">
        <is>
          <t>SMALL</t>
        </is>
      </c>
      <c r="I922" s="8" t="n">
        <v>5</v>
      </c>
      <c r="J922" s="8" t="inlineStr">
        <is>
          <t>B-04-02</t>
        </is>
      </c>
      <c r="K922" s="8" t="inlineStr"/>
      <c r="L922" s="10" t="n">
        <v>0</v>
      </c>
      <c r="M922" s="10" t="n">
        <v>0</v>
      </c>
      <c r="N922" s="10" t="n">
        <v>10</v>
      </c>
      <c r="O922" s="8" t="inlineStr">
        <is>
          <t>CTL</t>
        </is>
      </c>
      <c r="P922" s="8" t="inlineStr">
        <is>
          <t>CRITIQUE</t>
        </is>
      </c>
      <c r="Q922" s="8" t="inlineStr">
        <is>
          <t>WHAP</t>
        </is>
      </c>
      <c r="R922" s="8" t="inlineStr">
        <is>
          <t>OUI</t>
        </is>
      </c>
      <c r="S922" s="8" t="inlineStr">
        <is>
          <t>31/08/2026 02:59</t>
        </is>
      </c>
    </row>
    <row r="923">
      <c r="A923" s="7" t="inlineStr">
        <is>
          <t>WHAP-0919</t>
        </is>
      </c>
      <c r="B923" s="7" t="inlineStr">
        <is>
          <t>FRE-0919</t>
        </is>
      </c>
      <c r="C923" s="7" t="inlineStr">
        <is>
          <t>raccord pneumatique — essieu 2</t>
        </is>
      </c>
      <c r="D923" s="7" t="inlineStr">
        <is>
          <t>Freinage</t>
        </is>
      </c>
      <c r="E923" s="7" t="inlineStr">
        <is>
          <t>Freinage</t>
        </is>
      </c>
      <c r="F923" s="7" t="inlineStr">
        <is>
          <t>PIECE_VEHICULE</t>
        </is>
      </c>
      <c r="G923" s="7" t="inlineStr">
        <is>
          <t>unité</t>
        </is>
      </c>
      <c r="H923" s="7" t="inlineStr">
        <is>
          <t>SMALL</t>
        </is>
      </c>
      <c r="I923" s="7" t="n">
        <v>5</v>
      </c>
      <c r="J923" s="7" t="inlineStr">
        <is>
          <t>E-01-01</t>
        </is>
      </c>
      <c r="K923" s="7" t="inlineStr"/>
      <c r="L923" s="9" t="n">
        <v>0</v>
      </c>
      <c r="M923" s="9" t="n">
        <v>0</v>
      </c>
      <c r="N923" s="9" t="n">
        <v>19</v>
      </c>
      <c r="O923" s="7" t="inlineStr">
        <is>
          <t>HEL</t>
        </is>
      </c>
      <c r="P923" s="7" t="inlineStr">
        <is>
          <t>CRITIQUE</t>
        </is>
      </c>
      <c r="Q923" s="7" t="inlineStr">
        <is>
          <t>WHAP</t>
        </is>
      </c>
      <c r="R923" s="7" t="inlineStr">
        <is>
          <t>OUI</t>
        </is>
      </c>
      <c r="S923" s="7" t="inlineStr">
        <is>
          <t>31/08/2026 02:59</t>
        </is>
      </c>
    </row>
    <row r="924">
      <c r="A924" s="8" t="inlineStr">
        <is>
          <t>WHAP-0920</t>
        </is>
      </c>
      <c r="B924" s="8" t="inlineStr">
        <is>
          <t>FRE-0920</t>
        </is>
      </c>
      <c r="C924" s="8" t="inlineStr">
        <is>
          <t>disque de frein — essieu 3</t>
        </is>
      </c>
      <c r="D924" s="8" t="inlineStr">
        <is>
          <t>Freinage</t>
        </is>
      </c>
      <c r="E924" s="8" t="inlineStr">
        <is>
          <t>Freinage</t>
        </is>
      </c>
      <c r="F924" s="8" t="inlineStr">
        <is>
          <t>PIECE_VEHICULE</t>
        </is>
      </c>
      <c r="G924" s="8" t="inlineStr">
        <is>
          <t>unité</t>
        </is>
      </c>
      <c r="H924" s="8" t="inlineStr">
        <is>
          <t>SMALL</t>
        </is>
      </c>
      <c r="I924" s="8" t="n">
        <v>5</v>
      </c>
      <c r="J924" s="8" t="inlineStr">
        <is>
          <t>C-03-01</t>
        </is>
      </c>
      <c r="K924" s="8" t="inlineStr"/>
      <c r="L924" s="10" t="n">
        <v>0</v>
      </c>
      <c r="M924" s="10" t="n">
        <v>0</v>
      </c>
      <c r="N924" s="10" t="n">
        <v>15</v>
      </c>
      <c r="O924" s="8" t="inlineStr">
        <is>
          <t>SUM</t>
        </is>
      </c>
      <c r="P924" s="8" t="inlineStr">
        <is>
          <t>CRITIQUE</t>
        </is>
      </c>
      <c r="Q924" s="8" t="inlineStr">
        <is>
          <t>WHAP</t>
        </is>
      </c>
      <c r="R924" s="8" t="inlineStr">
        <is>
          <t>OUI</t>
        </is>
      </c>
      <c r="S924" s="8" t="inlineStr">
        <is>
          <t>31/08/2026 02:59</t>
        </is>
      </c>
    </row>
    <row r="925">
      <c r="A925" s="7" t="inlineStr">
        <is>
          <t>WHAP-0921</t>
        </is>
      </c>
      <c r="B925" s="7" t="inlineStr">
        <is>
          <t>FRE-0921</t>
        </is>
      </c>
      <c r="C925" s="7" t="inlineStr">
        <is>
          <t>étrier de frein — essieu 3</t>
        </is>
      </c>
      <c r="D925" s="7" t="inlineStr">
        <is>
          <t>Freinage</t>
        </is>
      </c>
      <c r="E925" s="7" t="inlineStr">
        <is>
          <t>Freinage</t>
        </is>
      </c>
      <c r="F925" s="7" t="inlineStr">
        <is>
          <t>PIECE_VEHICULE</t>
        </is>
      </c>
      <c r="G925" s="7" t="inlineStr">
        <is>
          <t>unité</t>
        </is>
      </c>
      <c r="H925" s="7" t="inlineStr">
        <is>
          <t>SMALL</t>
        </is>
      </c>
      <c r="I925" s="7" t="n">
        <v>5</v>
      </c>
      <c r="J925" s="7" t="inlineStr">
        <is>
          <t>C-03-04</t>
        </is>
      </c>
      <c r="K925" s="7" t="inlineStr"/>
      <c r="L925" s="9" t="n">
        <v>0</v>
      </c>
      <c r="M925" s="9" t="n">
        <v>0</v>
      </c>
      <c r="N925" s="9" t="n">
        <v>15</v>
      </c>
      <c r="O925" s="7" t="inlineStr">
        <is>
          <t>HEL</t>
        </is>
      </c>
      <c r="P925" s="7" t="inlineStr">
        <is>
          <t>CRITIQUE</t>
        </is>
      </c>
      <c r="Q925" s="7" t="inlineStr">
        <is>
          <t>WHAP</t>
        </is>
      </c>
      <c r="R925" s="7" t="inlineStr">
        <is>
          <t>OUI</t>
        </is>
      </c>
      <c r="S925" s="7" t="inlineStr">
        <is>
          <t>31/08/2026 02:59</t>
        </is>
      </c>
    </row>
    <row r="926">
      <c r="A926" s="8" t="inlineStr">
        <is>
          <t>WHAP-0922</t>
        </is>
      </c>
      <c r="B926" s="8" t="inlineStr">
        <is>
          <t>FRE-0922</t>
        </is>
      </c>
      <c r="C926" s="8" t="inlineStr">
        <is>
          <t>plaquette de frein — essieu 3</t>
        </is>
      </c>
      <c r="D926" s="8" t="inlineStr">
        <is>
          <t>Freinage</t>
        </is>
      </c>
      <c r="E926" s="8" t="inlineStr">
        <is>
          <t>Freinage</t>
        </is>
      </c>
      <c r="F926" s="8" t="inlineStr">
        <is>
          <t>PIECE_VEHICULE</t>
        </is>
      </c>
      <c r="G926" s="8" t="inlineStr">
        <is>
          <t>unité</t>
        </is>
      </c>
      <c r="H926" s="8" t="inlineStr">
        <is>
          <t>SMALL</t>
        </is>
      </c>
      <c r="I926" s="8" t="n">
        <v>5</v>
      </c>
      <c r="J926" s="8" t="inlineStr">
        <is>
          <t>C-05-02</t>
        </is>
      </c>
      <c r="K926" s="8" t="inlineStr"/>
      <c r="L926" s="10" t="n">
        <v>0</v>
      </c>
      <c r="M926" s="10" t="n">
        <v>0</v>
      </c>
      <c r="N926" s="10" t="n">
        <v>17</v>
      </c>
      <c r="O926" s="8" t="inlineStr">
        <is>
          <t>HEL</t>
        </is>
      </c>
      <c r="P926" s="8" t="inlineStr">
        <is>
          <t>CRITIQUE</t>
        </is>
      </c>
      <c r="Q926" s="8" t="inlineStr">
        <is>
          <t>WHAP</t>
        </is>
      </c>
      <c r="R926" s="8" t="inlineStr">
        <is>
          <t>OUI</t>
        </is>
      </c>
      <c r="S926" s="8" t="inlineStr">
        <is>
          <t>31/08/2026 02:59</t>
        </is>
      </c>
    </row>
    <row r="927">
      <c r="A927" s="7" t="inlineStr">
        <is>
          <t>WHAP-0923</t>
        </is>
      </c>
      <c r="B927" s="7" t="inlineStr">
        <is>
          <t>FRE-0923</t>
        </is>
      </c>
      <c r="C927" s="7" t="inlineStr">
        <is>
          <t>porte-plaquette — essieu 3</t>
        </is>
      </c>
      <c r="D927" s="7" t="inlineStr">
        <is>
          <t>Freinage</t>
        </is>
      </c>
      <c r="E927" s="7" t="inlineStr">
        <is>
          <t>Freinage</t>
        </is>
      </c>
      <c r="F927" s="7" t="inlineStr">
        <is>
          <t>PIECE_VEHICULE</t>
        </is>
      </c>
      <c r="G927" s="7" t="inlineStr">
        <is>
          <t>unité</t>
        </is>
      </c>
      <c r="H927" s="7" t="inlineStr">
        <is>
          <t>SMALL</t>
        </is>
      </c>
      <c r="I927" s="7" t="n">
        <v>5</v>
      </c>
      <c r="J927" s="7" t="inlineStr">
        <is>
          <t>A-03-03</t>
        </is>
      </c>
      <c r="K927" s="7" t="inlineStr"/>
      <c r="L927" s="9" t="n">
        <v>0</v>
      </c>
      <c r="M927" s="9" t="n">
        <v>0</v>
      </c>
      <c r="N927" s="9" t="n">
        <v>14</v>
      </c>
      <c r="O927" s="7" t="inlineStr">
        <is>
          <t>MAG</t>
        </is>
      </c>
      <c r="P927" s="7" t="inlineStr">
        <is>
          <t>CRITIQUE</t>
        </is>
      </c>
      <c r="Q927" s="7" t="inlineStr">
        <is>
          <t>WHAP</t>
        </is>
      </c>
      <c r="R927" s="7" t="inlineStr">
        <is>
          <t>OUI</t>
        </is>
      </c>
      <c r="S927" s="7" t="inlineStr">
        <is>
          <t>31/08/2026 02:59</t>
        </is>
      </c>
    </row>
    <row r="928">
      <c r="A928" s="8" t="inlineStr">
        <is>
          <t>WHAP-0924</t>
        </is>
      </c>
      <c r="B928" s="8" t="inlineStr">
        <is>
          <t>FRE-0924</t>
        </is>
      </c>
      <c r="C928" s="8" t="inlineStr">
        <is>
          <t>piston d'étrier — essieu 3</t>
        </is>
      </c>
      <c r="D928" s="8" t="inlineStr">
        <is>
          <t>Freinage</t>
        </is>
      </c>
      <c r="E928" s="8" t="inlineStr">
        <is>
          <t>Freinage</t>
        </is>
      </c>
      <c r="F928" s="8" t="inlineStr">
        <is>
          <t>PIECE_VEHICULE</t>
        </is>
      </c>
      <c r="G928" s="8" t="inlineStr">
        <is>
          <t>unité</t>
        </is>
      </c>
      <c r="H928" s="8" t="inlineStr">
        <is>
          <t>SMALL</t>
        </is>
      </c>
      <c r="I928" s="8" t="n">
        <v>5</v>
      </c>
      <c r="J928" s="8" t="inlineStr">
        <is>
          <t>C-06-03</t>
        </is>
      </c>
      <c r="K928" s="8" t="inlineStr"/>
      <c r="L928" s="10" t="n">
        <v>0</v>
      </c>
      <c r="M928" s="10" t="n">
        <v>0</v>
      </c>
      <c r="N928" s="10" t="n">
        <v>17</v>
      </c>
      <c r="O928" s="8" t="inlineStr">
        <is>
          <t>BOS</t>
        </is>
      </c>
      <c r="P928" s="8" t="inlineStr">
        <is>
          <t>CRITIQUE</t>
        </is>
      </c>
      <c r="Q928" s="8" t="inlineStr">
        <is>
          <t>WHAP</t>
        </is>
      </c>
      <c r="R928" s="8" t="inlineStr">
        <is>
          <t>OUI</t>
        </is>
      </c>
      <c r="S928" s="8" t="inlineStr">
        <is>
          <t>31/08/2026 02:59</t>
        </is>
      </c>
    </row>
    <row r="929">
      <c r="A929" s="7" t="inlineStr">
        <is>
          <t>WHAP-0925</t>
        </is>
      </c>
      <c r="B929" s="7" t="inlineStr">
        <is>
          <t>FRE-0925</t>
        </is>
      </c>
      <c r="C929" s="7" t="inlineStr">
        <is>
          <t>joint de piston — essieu 3</t>
        </is>
      </c>
      <c r="D929" s="7" t="inlineStr">
        <is>
          <t>Freinage</t>
        </is>
      </c>
      <c r="E929" s="7" t="inlineStr">
        <is>
          <t>Freinage</t>
        </is>
      </c>
      <c r="F929" s="7" t="inlineStr">
        <is>
          <t>PIECE_VEHICULE</t>
        </is>
      </c>
      <c r="G929" s="7" t="inlineStr">
        <is>
          <t>unité</t>
        </is>
      </c>
      <c r="H929" s="7" t="inlineStr">
        <is>
          <t>SMALL</t>
        </is>
      </c>
      <c r="I929" s="7" t="n">
        <v>5</v>
      </c>
      <c r="J929" s="7" t="inlineStr">
        <is>
          <t>A-02-04</t>
        </is>
      </c>
      <c r="K929" s="7" t="inlineStr"/>
      <c r="L929" s="9" t="n">
        <v>0</v>
      </c>
      <c r="M929" s="9" t="n">
        <v>0</v>
      </c>
      <c r="N929" s="9" t="n">
        <v>17</v>
      </c>
      <c r="O929" s="7" t="inlineStr">
        <is>
          <t>SUM</t>
        </is>
      </c>
      <c r="P929" s="7" t="inlineStr">
        <is>
          <t>CRITIQUE</t>
        </is>
      </c>
      <c r="Q929" s="7" t="inlineStr">
        <is>
          <t>WHAP</t>
        </is>
      </c>
      <c r="R929" s="7" t="inlineStr">
        <is>
          <t>OUI</t>
        </is>
      </c>
      <c r="S929" s="7" t="inlineStr">
        <is>
          <t>31/08/2026 02:59</t>
        </is>
      </c>
    </row>
    <row r="930">
      <c r="A930" s="8" t="inlineStr">
        <is>
          <t>WHAP-0926</t>
        </is>
      </c>
      <c r="B930" s="8" t="inlineStr">
        <is>
          <t>FRE-0926</t>
        </is>
      </c>
      <c r="C930" s="8" t="inlineStr">
        <is>
          <t>flexible de frein — essieu 3</t>
        </is>
      </c>
      <c r="D930" s="8" t="inlineStr">
        <is>
          <t>Freinage</t>
        </is>
      </c>
      <c r="E930" s="8" t="inlineStr">
        <is>
          <t>Freinage</t>
        </is>
      </c>
      <c r="F930" s="8" t="inlineStr">
        <is>
          <t>PIECE_VEHICULE</t>
        </is>
      </c>
      <c r="G930" s="8" t="inlineStr">
        <is>
          <t>unité</t>
        </is>
      </c>
      <c r="H930" s="8" t="inlineStr">
        <is>
          <t>SMALL</t>
        </is>
      </c>
      <c r="I930" s="8" t="n">
        <v>5</v>
      </c>
      <c r="J930" s="8" t="inlineStr">
        <is>
          <t>D-04-01</t>
        </is>
      </c>
      <c r="K930" s="8" t="inlineStr"/>
      <c r="L930" s="10" t="n">
        <v>0</v>
      </c>
      <c r="M930" s="10" t="n">
        <v>0</v>
      </c>
      <c r="N930" s="10" t="n">
        <v>12</v>
      </c>
      <c r="O930" s="8" t="inlineStr">
        <is>
          <t>YZK</t>
        </is>
      </c>
      <c r="P930" s="8" t="inlineStr">
        <is>
          <t>CRITIQUE</t>
        </is>
      </c>
      <c r="Q930" s="8" t="inlineStr">
        <is>
          <t>WHAP</t>
        </is>
      </c>
      <c r="R930" s="8" t="inlineStr">
        <is>
          <t>OUI</t>
        </is>
      </c>
      <c r="S930" s="8" t="inlineStr">
        <is>
          <t>31/08/2026 02:59</t>
        </is>
      </c>
    </row>
    <row r="931">
      <c r="A931" s="7" t="inlineStr">
        <is>
          <t>WHAP-0927</t>
        </is>
      </c>
      <c r="B931" s="7" t="inlineStr">
        <is>
          <t>FRE-0927</t>
        </is>
      </c>
      <c r="C931" s="7" t="inlineStr">
        <is>
          <t>conduite de frein — essieu 3</t>
        </is>
      </c>
      <c r="D931" s="7" t="inlineStr">
        <is>
          <t>Freinage</t>
        </is>
      </c>
      <c r="E931" s="7" t="inlineStr">
        <is>
          <t>Freinage</t>
        </is>
      </c>
      <c r="F931" s="7" t="inlineStr">
        <is>
          <t>PIECE_VEHICULE</t>
        </is>
      </c>
      <c r="G931" s="7" t="inlineStr">
        <is>
          <t>unité</t>
        </is>
      </c>
      <c r="H931" s="7" t="inlineStr">
        <is>
          <t>SMALL</t>
        </is>
      </c>
      <c r="I931" s="7" t="n">
        <v>5</v>
      </c>
      <c r="J931" s="7" t="inlineStr">
        <is>
          <t>B-05-03</t>
        </is>
      </c>
      <c r="K931" s="7" t="inlineStr"/>
      <c r="L931" s="9" t="n">
        <v>0</v>
      </c>
      <c r="M931" s="9" t="n">
        <v>0</v>
      </c>
      <c r="N931" s="9" t="n">
        <v>18</v>
      </c>
      <c r="O931" s="7" t="inlineStr">
        <is>
          <t>FAU</t>
        </is>
      </c>
      <c r="P931" s="7" t="inlineStr">
        <is>
          <t>CRITIQUE</t>
        </is>
      </c>
      <c r="Q931" s="7" t="inlineStr">
        <is>
          <t>WHAP</t>
        </is>
      </c>
      <c r="R931" s="7" t="inlineStr">
        <is>
          <t>OUI</t>
        </is>
      </c>
      <c r="S931" s="7" t="inlineStr">
        <is>
          <t>31/08/2026 02:59</t>
        </is>
      </c>
    </row>
    <row r="932">
      <c r="A932" s="8" t="inlineStr">
        <is>
          <t>WHAP-0928</t>
        </is>
      </c>
      <c r="B932" s="8" t="inlineStr">
        <is>
          <t>FRE-0928</t>
        </is>
      </c>
      <c r="C932" s="8" t="inlineStr">
        <is>
          <t>maître-cylindre — essieu 3</t>
        </is>
      </c>
      <c r="D932" s="8" t="inlineStr">
        <is>
          <t>Freinage</t>
        </is>
      </c>
      <c r="E932" s="8" t="inlineStr">
        <is>
          <t>Freinage</t>
        </is>
      </c>
      <c r="F932" s="8" t="inlineStr">
        <is>
          <t>PIECE_VEHICULE</t>
        </is>
      </c>
      <c r="G932" s="8" t="inlineStr">
        <is>
          <t>unité</t>
        </is>
      </c>
      <c r="H932" s="8" t="inlineStr">
        <is>
          <t>SMALL</t>
        </is>
      </c>
      <c r="I932" s="8" t="n">
        <v>5</v>
      </c>
      <c r="J932" s="8" t="inlineStr">
        <is>
          <t>C-03-02</t>
        </is>
      </c>
      <c r="K932" s="8" t="inlineStr"/>
      <c r="L932" s="10" t="n">
        <v>0</v>
      </c>
      <c r="M932" s="10" t="n">
        <v>0</v>
      </c>
      <c r="N932" s="10" t="n">
        <v>20</v>
      </c>
      <c r="O932" s="8" t="inlineStr">
        <is>
          <t>MAG</t>
        </is>
      </c>
      <c r="P932" s="8" t="inlineStr">
        <is>
          <t>CRITIQUE</t>
        </is>
      </c>
      <c r="Q932" s="8" t="inlineStr">
        <is>
          <t>WHAP</t>
        </is>
      </c>
      <c r="R932" s="8" t="inlineStr">
        <is>
          <t>OUI</t>
        </is>
      </c>
      <c r="S932" s="8" t="inlineStr">
        <is>
          <t>31/08/2026 02:59</t>
        </is>
      </c>
    </row>
    <row r="933">
      <c r="A933" s="7" t="inlineStr">
        <is>
          <t>WHAP-0929</t>
        </is>
      </c>
      <c r="B933" s="7" t="inlineStr">
        <is>
          <t>FRE-0929</t>
        </is>
      </c>
      <c r="C933" s="7" t="inlineStr">
        <is>
          <t>servofrein — essieu 3</t>
        </is>
      </c>
      <c r="D933" s="7" t="inlineStr">
        <is>
          <t>Freinage</t>
        </is>
      </c>
      <c r="E933" s="7" t="inlineStr">
        <is>
          <t>Freinage</t>
        </is>
      </c>
      <c r="F933" s="7" t="inlineStr">
        <is>
          <t>PIECE_VEHICULE</t>
        </is>
      </c>
      <c r="G933" s="7" t="inlineStr">
        <is>
          <t>unité</t>
        </is>
      </c>
      <c r="H933" s="7" t="inlineStr">
        <is>
          <t>SMALL</t>
        </is>
      </c>
      <c r="I933" s="7" t="n">
        <v>5</v>
      </c>
      <c r="J933" s="7" t="inlineStr">
        <is>
          <t>F-04-02</t>
        </is>
      </c>
      <c r="K933" s="7" t="inlineStr"/>
      <c r="L933" s="9" t="n">
        <v>0</v>
      </c>
      <c r="M933" s="9" t="n">
        <v>0</v>
      </c>
      <c r="N933" s="9" t="n">
        <v>16</v>
      </c>
      <c r="O933" s="7" t="inlineStr">
        <is>
          <t>YZK</t>
        </is>
      </c>
      <c r="P933" s="7" t="inlineStr">
        <is>
          <t>CRITIQUE</t>
        </is>
      </c>
      <c r="Q933" s="7" t="inlineStr">
        <is>
          <t>WHAP</t>
        </is>
      </c>
      <c r="R933" s="7" t="inlineStr">
        <is>
          <t>OUI</t>
        </is>
      </c>
      <c r="S933" s="7" t="inlineStr">
        <is>
          <t>31/08/2026 02:59</t>
        </is>
      </c>
    </row>
    <row r="934">
      <c r="A934" s="8" t="inlineStr">
        <is>
          <t>WHAP-0930</t>
        </is>
      </c>
      <c r="B934" s="8" t="inlineStr">
        <is>
          <t>FRE-0930</t>
        </is>
      </c>
      <c r="C934" s="8" t="inlineStr">
        <is>
          <t>compresseur d'air — essieu 3</t>
        </is>
      </c>
      <c r="D934" s="8" t="inlineStr">
        <is>
          <t>Freinage</t>
        </is>
      </c>
      <c r="E934" s="8" t="inlineStr">
        <is>
          <t>Freinage</t>
        </is>
      </c>
      <c r="F934" s="8" t="inlineStr">
        <is>
          <t>PIECE_VEHICULE</t>
        </is>
      </c>
      <c r="G934" s="8" t="inlineStr">
        <is>
          <t>unité</t>
        </is>
      </c>
      <c r="H934" s="8" t="inlineStr">
        <is>
          <t>SMALL</t>
        </is>
      </c>
      <c r="I934" s="8" t="n">
        <v>5</v>
      </c>
      <c r="J934" s="8" t="inlineStr">
        <is>
          <t>A-02-04</t>
        </is>
      </c>
      <c r="K934" s="8" t="inlineStr"/>
      <c r="L934" s="10" t="n">
        <v>0</v>
      </c>
      <c r="M934" s="10" t="n">
        <v>0</v>
      </c>
      <c r="N934" s="10" t="n">
        <v>18</v>
      </c>
      <c r="O934" s="8" t="inlineStr">
        <is>
          <t>DEL</t>
        </is>
      </c>
      <c r="P934" s="8" t="inlineStr">
        <is>
          <t>CRITIQUE</t>
        </is>
      </c>
      <c r="Q934" s="8" t="inlineStr">
        <is>
          <t>WHAP</t>
        </is>
      </c>
      <c r="R934" s="8" t="inlineStr">
        <is>
          <t>OUI</t>
        </is>
      </c>
      <c r="S934" s="8" t="inlineStr">
        <is>
          <t>31/08/2026 02:59</t>
        </is>
      </c>
    </row>
    <row r="935">
      <c r="A935" s="7" t="inlineStr">
        <is>
          <t>WHAP-0931</t>
        </is>
      </c>
      <c r="B935" s="7" t="inlineStr">
        <is>
          <t>FRE-0931</t>
        </is>
      </c>
      <c r="C935" s="7" t="inlineStr">
        <is>
          <t>réservoir d'air — essieu 3</t>
        </is>
      </c>
      <c r="D935" s="7" t="inlineStr">
        <is>
          <t>Freinage</t>
        </is>
      </c>
      <c r="E935" s="7" t="inlineStr">
        <is>
          <t>Freinage</t>
        </is>
      </c>
      <c r="F935" s="7" t="inlineStr">
        <is>
          <t>PIECE_VEHICULE</t>
        </is>
      </c>
      <c r="G935" s="7" t="inlineStr">
        <is>
          <t>unité</t>
        </is>
      </c>
      <c r="H935" s="7" t="inlineStr">
        <is>
          <t>SMALL</t>
        </is>
      </c>
      <c r="I935" s="7" t="n">
        <v>5</v>
      </c>
      <c r="J935" s="7" t="inlineStr">
        <is>
          <t>C-03-01</t>
        </is>
      </c>
      <c r="K935" s="7" t="inlineStr"/>
      <c r="L935" s="9" t="n">
        <v>0</v>
      </c>
      <c r="M935" s="9" t="n">
        <v>0</v>
      </c>
      <c r="N935" s="9" t="n">
        <v>20</v>
      </c>
      <c r="O935" s="7" t="inlineStr">
        <is>
          <t>BOS</t>
        </is>
      </c>
      <c r="P935" s="7" t="inlineStr">
        <is>
          <t>CRITIQUE</t>
        </is>
      </c>
      <c r="Q935" s="7" t="inlineStr">
        <is>
          <t>WHAP</t>
        </is>
      </c>
      <c r="R935" s="7" t="inlineStr">
        <is>
          <t>OUI</t>
        </is>
      </c>
      <c r="S935" s="7" t="inlineStr">
        <is>
          <t>31/08/2026 02:59</t>
        </is>
      </c>
    </row>
    <row r="936">
      <c r="A936" s="8" t="inlineStr">
        <is>
          <t>WHAP-0932</t>
        </is>
      </c>
      <c r="B936" s="8" t="inlineStr">
        <is>
          <t>FRE-0932</t>
        </is>
      </c>
      <c r="C936" s="8" t="inlineStr">
        <is>
          <t>valve de frein — essieu 3</t>
        </is>
      </c>
      <c r="D936" s="8" t="inlineStr">
        <is>
          <t>Freinage</t>
        </is>
      </c>
      <c r="E936" s="8" t="inlineStr">
        <is>
          <t>Freinage</t>
        </is>
      </c>
      <c r="F936" s="8" t="inlineStr">
        <is>
          <t>PIECE_VEHICULE</t>
        </is>
      </c>
      <c r="G936" s="8" t="inlineStr">
        <is>
          <t>unité</t>
        </is>
      </c>
      <c r="H936" s="8" t="inlineStr">
        <is>
          <t>SMALL</t>
        </is>
      </c>
      <c r="I936" s="8" t="n">
        <v>5</v>
      </c>
      <c r="J936" s="8" t="inlineStr">
        <is>
          <t>C-01-02</t>
        </is>
      </c>
      <c r="K936" s="8" t="inlineStr"/>
      <c r="L936" s="10" t="n">
        <v>0</v>
      </c>
      <c r="M936" s="10" t="n">
        <v>0</v>
      </c>
      <c r="N936" s="10" t="n">
        <v>15</v>
      </c>
      <c r="O936" s="8" t="inlineStr">
        <is>
          <t>BOS</t>
        </is>
      </c>
      <c r="P936" s="8" t="inlineStr">
        <is>
          <t>CRITIQUE</t>
        </is>
      </c>
      <c r="Q936" s="8" t="inlineStr">
        <is>
          <t>WHAP</t>
        </is>
      </c>
      <c r="R936" s="8" t="inlineStr">
        <is>
          <t>OUI</t>
        </is>
      </c>
      <c r="S936" s="8" t="inlineStr">
        <is>
          <t>31/08/2026 02:59</t>
        </is>
      </c>
    </row>
    <row r="937">
      <c r="A937" s="7" t="inlineStr">
        <is>
          <t>WHAP-0933</t>
        </is>
      </c>
      <c r="B937" s="7" t="inlineStr">
        <is>
          <t>FRE-0933</t>
        </is>
      </c>
      <c r="C937" s="7" t="inlineStr">
        <is>
          <t>valve relais — essieu 3</t>
        </is>
      </c>
      <c r="D937" s="7" t="inlineStr">
        <is>
          <t>Freinage</t>
        </is>
      </c>
      <c r="E937" s="7" t="inlineStr">
        <is>
          <t>Freinage</t>
        </is>
      </c>
      <c r="F937" s="7" t="inlineStr">
        <is>
          <t>PIECE_VEHICULE</t>
        </is>
      </c>
      <c r="G937" s="7" t="inlineStr">
        <is>
          <t>unité</t>
        </is>
      </c>
      <c r="H937" s="7" t="inlineStr">
        <is>
          <t>SMALL</t>
        </is>
      </c>
      <c r="I937" s="7" t="n">
        <v>5</v>
      </c>
      <c r="J937" s="7" t="inlineStr">
        <is>
          <t>D-05-04</t>
        </is>
      </c>
      <c r="K937" s="7" t="inlineStr"/>
      <c r="L937" s="9" t="n">
        <v>0</v>
      </c>
      <c r="M937" s="9" t="n">
        <v>0</v>
      </c>
      <c r="N937" s="9" t="n">
        <v>19</v>
      </c>
      <c r="O937" s="7" t="inlineStr">
        <is>
          <t>VAL</t>
        </is>
      </c>
      <c r="P937" s="7" t="inlineStr">
        <is>
          <t>CRITIQUE</t>
        </is>
      </c>
      <c r="Q937" s="7" t="inlineStr">
        <is>
          <t>WHAP</t>
        </is>
      </c>
      <c r="R937" s="7" t="inlineStr">
        <is>
          <t>OUI</t>
        </is>
      </c>
      <c r="S937" s="7" t="inlineStr">
        <is>
          <t>31/08/2026 02:59</t>
        </is>
      </c>
    </row>
    <row r="938">
      <c r="A938" s="8" t="inlineStr">
        <is>
          <t>WHAP-0934</t>
        </is>
      </c>
      <c r="B938" s="8" t="inlineStr">
        <is>
          <t>FRE-0934</t>
        </is>
      </c>
      <c r="C938" s="8" t="inlineStr">
        <is>
          <t>valve de protection — essieu 3</t>
        </is>
      </c>
      <c r="D938" s="8" t="inlineStr">
        <is>
          <t>Freinage</t>
        </is>
      </c>
      <c r="E938" s="8" t="inlineStr">
        <is>
          <t>Freinage</t>
        </is>
      </c>
      <c r="F938" s="8" t="inlineStr">
        <is>
          <t>PIECE_VEHICULE</t>
        </is>
      </c>
      <c r="G938" s="8" t="inlineStr">
        <is>
          <t>unité</t>
        </is>
      </c>
      <c r="H938" s="8" t="inlineStr">
        <is>
          <t>SMALL</t>
        </is>
      </c>
      <c r="I938" s="8" t="n">
        <v>5</v>
      </c>
      <c r="J938" s="8" t="inlineStr">
        <is>
          <t>F-05-01</t>
        </is>
      </c>
      <c r="K938" s="8" t="inlineStr"/>
      <c r="L938" s="10" t="n">
        <v>0</v>
      </c>
      <c r="M938" s="10" t="n">
        <v>0</v>
      </c>
      <c r="N938" s="10" t="n">
        <v>13</v>
      </c>
      <c r="O938" s="8" t="inlineStr">
        <is>
          <t>CTL</t>
        </is>
      </c>
      <c r="P938" s="8" t="inlineStr">
        <is>
          <t>CRITIQUE</t>
        </is>
      </c>
      <c r="Q938" s="8" t="inlineStr">
        <is>
          <t>WHAP</t>
        </is>
      </c>
      <c r="R938" s="8" t="inlineStr">
        <is>
          <t>OUI</t>
        </is>
      </c>
      <c r="S938" s="8" t="inlineStr">
        <is>
          <t>31/08/2026 02:59</t>
        </is>
      </c>
    </row>
    <row r="939">
      <c r="A939" s="7" t="inlineStr">
        <is>
          <t>WHAP-0935</t>
        </is>
      </c>
      <c r="B939" s="7" t="inlineStr">
        <is>
          <t>FRE-0935</t>
        </is>
      </c>
      <c r="C939" s="7" t="inlineStr">
        <is>
          <t>modulateur ABS — essieu 3</t>
        </is>
      </c>
      <c r="D939" s="7" t="inlineStr">
        <is>
          <t>Freinage</t>
        </is>
      </c>
      <c r="E939" s="7" t="inlineStr">
        <is>
          <t>Freinage</t>
        </is>
      </c>
      <c r="F939" s="7" t="inlineStr">
        <is>
          <t>PIECE_VEHICULE</t>
        </is>
      </c>
      <c r="G939" s="7" t="inlineStr">
        <is>
          <t>unité</t>
        </is>
      </c>
      <c r="H939" s="7" t="inlineStr">
        <is>
          <t>SMALL</t>
        </is>
      </c>
      <c r="I939" s="7" t="n">
        <v>5</v>
      </c>
      <c r="J939" s="7" t="inlineStr">
        <is>
          <t>E-04-01</t>
        </is>
      </c>
      <c r="K939" s="7" t="inlineStr"/>
      <c r="L939" s="9" t="n">
        <v>0</v>
      </c>
      <c r="M939" s="9" t="n">
        <v>0</v>
      </c>
      <c r="N939" s="9" t="n">
        <v>12</v>
      </c>
      <c r="O939" s="7" t="inlineStr">
        <is>
          <t>MAG</t>
        </is>
      </c>
      <c r="P939" s="7" t="inlineStr">
        <is>
          <t>CRITIQUE</t>
        </is>
      </c>
      <c r="Q939" s="7" t="inlineStr">
        <is>
          <t>WHAP</t>
        </is>
      </c>
      <c r="R939" s="7" t="inlineStr">
        <is>
          <t>OUI</t>
        </is>
      </c>
      <c r="S939" s="7" t="inlineStr">
        <is>
          <t>31/08/2026 02:59</t>
        </is>
      </c>
    </row>
    <row r="940">
      <c r="A940" s="8" t="inlineStr">
        <is>
          <t>WHAP-0936</t>
        </is>
      </c>
      <c r="B940" s="8" t="inlineStr">
        <is>
          <t>FRE-0936</t>
        </is>
      </c>
      <c r="C940" s="8" t="inlineStr">
        <is>
          <t>capteur ABS — essieu 3</t>
        </is>
      </c>
      <c r="D940" s="8" t="inlineStr">
        <is>
          <t>Freinage</t>
        </is>
      </c>
      <c r="E940" s="8" t="inlineStr">
        <is>
          <t>Freinage</t>
        </is>
      </c>
      <c r="F940" s="8" t="inlineStr">
        <is>
          <t>PIECE_VEHICULE</t>
        </is>
      </c>
      <c r="G940" s="8" t="inlineStr">
        <is>
          <t>unité</t>
        </is>
      </c>
      <c r="H940" s="8" t="inlineStr">
        <is>
          <t>SMALL</t>
        </is>
      </c>
      <c r="I940" s="8" t="n">
        <v>5</v>
      </c>
      <c r="J940" s="8" t="inlineStr">
        <is>
          <t>D-05-04</t>
        </is>
      </c>
      <c r="K940" s="8" t="inlineStr"/>
      <c r="L940" s="10" t="n">
        <v>0</v>
      </c>
      <c r="M940" s="10" t="n">
        <v>0</v>
      </c>
      <c r="N940" s="10" t="n">
        <v>18</v>
      </c>
      <c r="O940" s="8" t="inlineStr">
        <is>
          <t>CTL</t>
        </is>
      </c>
      <c r="P940" s="8" t="inlineStr">
        <is>
          <t>CRITIQUE</t>
        </is>
      </c>
      <c r="Q940" s="8" t="inlineStr">
        <is>
          <t>WHAP</t>
        </is>
      </c>
      <c r="R940" s="8" t="inlineStr">
        <is>
          <t>OUI</t>
        </is>
      </c>
      <c r="S940" s="8" t="inlineStr">
        <is>
          <t>31/08/2026 02:59</t>
        </is>
      </c>
    </row>
    <row r="941">
      <c r="A941" s="7" t="inlineStr">
        <is>
          <t>WHAP-0937</t>
        </is>
      </c>
      <c r="B941" s="7" t="inlineStr">
        <is>
          <t>FRE-0937</t>
        </is>
      </c>
      <c r="C941" s="7" t="inlineStr">
        <is>
          <t>couronne ABS — essieu 3</t>
        </is>
      </c>
      <c r="D941" s="7" t="inlineStr">
        <is>
          <t>Freinage</t>
        </is>
      </c>
      <c r="E941" s="7" t="inlineStr">
        <is>
          <t>Freinage</t>
        </is>
      </c>
      <c r="F941" s="7" t="inlineStr">
        <is>
          <t>PIECE_VEHICULE</t>
        </is>
      </c>
      <c r="G941" s="7" t="inlineStr">
        <is>
          <t>unité</t>
        </is>
      </c>
      <c r="H941" s="7" t="inlineStr">
        <is>
          <t>SMALL</t>
        </is>
      </c>
      <c r="I941" s="7" t="n">
        <v>5</v>
      </c>
      <c r="J941" s="7" t="inlineStr">
        <is>
          <t>B-04-01</t>
        </is>
      </c>
      <c r="K941" s="7" t="inlineStr"/>
      <c r="L941" s="9" t="n">
        <v>0</v>
      </c>
      <c r="M941" s="9" t="n">
        <v>0</v>
      </c>
      <c r="N941" s="9" t="n">
        <v>14</v>
      </c>
      <c r="O941" s="7" t="inlineStr">
        <is>
          <t>YZK</t>
        </is>
      </c>
      <c r="P941" s="7" t="inlineStr">
        <is>
          <t>CRITIQUE</t>
        </is>
      </c>
      <c r="Q941" s="7" t="inlineStr">
        <is>
          <t>WHAP</t>
        </is>
      </c>
      <c r="R941" s="7" t="inlineStr">
        <is>
          <t>OUI</t>
        </is>
      </c>
      <c r="S941" s="7" t="inlineStr">
        <is>
          <t>31/08/2026 02:59</t>
        </is>
      </c>
    </row>
    <row r="942">
      <c r="A942" s="8" t="inlineStr">
        <is>
          <t>WHAP-0938</t>
        </is>
      </c>
      <c r="B942" s="8" t="inlineStr">
        <is>
          <t>FRE-0938</t>
        </is>
      </c>
      <c r="C942" s="8" t="inlineStr">
        <is>
          <t>actionneur frein de parc — essieu 3</t>
        </is>
      </c>
      <c r="D942" s="8" t="inlineStr">
        <is>
          <t>Freinage</t>
        </is>
      </c>
      <c r="E942" s="8" t="inlineStr">
        <is>
          <t>Freinage</t>
        </is>
      </c>
      <c r="F942" s="8" t="inlineStr">
        <is>
          <t>PIECE_VEHICULE</t>
        </is>
      </c>
      <c r="G942" s="8" t="inlineStr">
        <is>
          <t>unité</t>
        </is>
      </c>
      <c r="H942" s="8" t="inlineStr">
        <is>
          <t>SMALL</t>
        </is>
      </c>
      <c r="I942" s="8" t="n">
        <v>5</v>
      </c>
      <c r="J942" s="8" t="inlineStr">
        <is>
          <t>E-05-01</t>
        </is>
      </c>
      <c r="K942" s="8" t="inlineStr"/>
      <c r="L942" s="10" t="n">
        <v>0</v>
      </c>
      <c r="M942" s="10" t="n">
        <v>0</v>
      </c>
      <c r="N942" s="10" t="n">
        <v>13</v>
      </c>
      <c r="O942" s="8" t="inlineStr">
        <is>
          <t>SUM</t>
        </is>
      </c>
      <c r="P942" s="8" t="inlineStr">
        <is>
          <t>CRITIQUE</t>
        </is>
      </c>
      <c r="Q942" s="8" t="inlineStr">
        <is>
          <t>WHAP</t>
        </is>
      </c>
      <c r="R942" s="8" t="inlineStr">
        <is>
          <t>OUI</t>
        </is>
      </c>
      <c r="S942" s="8" t="inlineStr">
        <is>
          <t>31/08/2026 02:59</t>
        </is>
      </c>
    </row>
    <row r="943">
      <c r="A943" s="7" t="inlineStr">
        <is>
          <t>WHAP-0939</t>
        </is>
      </c>
      <c r="B943" s="7" t="inlineStr">
        <is>
          <t>FRE-0939</t>
        </is>
      </c>
      <c r="C943" s="7" t="inlineStr">
        <is>
          <t>câble de frein — essieu 3</t>
        </is>
      </c>
      <c r="D943" s="7" t="inlineStr">
        <is>
          <t>Freinage</t>
        </is>
      </c>
      <c r="E943" s="7" t="inlineStr">
        <is>
          <t>Freinage</t>
        </is>
      </c>
      <c r="F943" s="7" t="inlineStr">
        <is>
          <t>PIECE_VEHICULE</t>
        </is>
      </c>
      <c r="G943" s="7" t="inlineStr">
        <is>
          <t>unité</t>
        </is>
      </c>
      <c r="H943" s="7" t="inlineStr">
        <is>
          <t>SMALL</t>
        </is>
      </c>
      <c r="I943" s="7" t="n">
        <v>5</v>
      </c>
      <c r="J943" s="7" t="inlineStr">
        <is>
          <t>A-01-04</t>
        </is>
      </c>
      <c r="K943" s="7" t="inlineStr"/>
      <c r="L943" s="9" t="n">
        <v>0</v>
      </c>
      <c r="M943" s="9" t="n">
        <v>0</v>
      </c>
      <c r="N943" s="9" t="n">
        <v>20</v>
      </c>
      <c r="O943" s="7" t="inlineStr">
        <is>
          <t>HEL</t>
        </is>
      </c>
      <c r="P943" s="7" t="inlineStr">
        <is>
          <t>CRITIQUE</t>
        </is>
      </c>
      <c r="Q943" s="7" t="inlineStr">
        <is>
          <t>WHAP</t>
        </is>
      </c>
      <c r="R943" s="7" t="inlineStr">
        <is>
          <t>OUI</t>
        </is>
      </c>
      <c r="S943" s="7" t="inlineStr">
        <is>
          <t>31/08/2026 02:59</t>
        </is>
      </c>
    </row>
    <row r="944">
      <c r="A944" s="8" t="inlineStr">
        <is>
          <t>WHAP-0940</t>
        </is>
      </c>
      <c r="B944" s="8" t="inlineStr">
        <is>
          <t>FRE-0940</t>
        </is>
      </c>
      <c r="C944" s="8" t="inlineStr">
        <is>
          <t>ressort de frein — essieu 3</t>
        </is>
      </c>
      <c r="D944" s="8" t="inlineStr">
        <is>
          <t>Freinage</t>
        </is>
      </c>
      <c r="E944" s="8" t="inlineStr">
        <is>
          <t>Freinage</t>
        </is>
      </c>
      <c r="F944" s="8" t="inlineStr">
        <is>
          <t>PIECE_VEHICULE</t>
        </is>
      </c>
      <c r="G944" s="8" t="inlineStr">
        <is>
          <t>unité</t>
        </is>
      </c>
      <c r="H944" s="8" t="inlineStr">
        <is>
          <t>SMALL</t>
        </is>
      </c>
      <c r="I944" s="8" t="n">
        <v>5</v>
      </c>
      <c r="J944" s="8" t="inlineStr">
        <is>
          <t>A-01-03</t>
        </is>
      </c>
      <c r="K944" s="8" t="inlineStr"/>
      <c r="L944" s="10" t="n">
        <v>0</v>
      </c>
      <c r="M944" s="10" t="n">
        <v>0</v>
      </c>
      <c r="N944" s="10" t="n">
        <v>12</v>
      </c>
      <c r="O944" s="8" t="inlineStr">
        <is>
          <t>BOS</t>
        </is>
      </c>
      <c r="P944" s="8" t="inlineStr">
        <is>
          <t>CRITIQUE</t>
        </is>
      </c>
      <c r="Q944" s="8" t="inlineStr">
        <is>
          <t>WHAP</t>
        </is>
      </c>
      <c r="R944" s="8" t="inlineStr">
        <is>
          <t>OUI</t>
        </is>
      </c>
      <c r="S944" s="8" t="inlineStr">
        <is>
          <t>31/08/2026 02:59</t>
        </is>
      </c>
    </row>
    <row r="945">
      <c r="A945" s="7" t="inlineStr">
        <is>
          <t>WHAP-0941</t>
        </is>
      </c>
      <c r="B945" s="7" t="inlineStr">
        <is>
          <t>FRE-0941</t>
        </is>
      </c>
      <c r="C945" s="7" t="inlineStr">
        <is>
          <t>tambour de frein — essieu 3</t>
        </is>
      </c>
      <c r="D945" s="7" t="inlineStr">
        <is>
          <t>Freinage</t>
        </is>
      </c>
      <c r="E945" s="7" t="inlineStr">
        <is>
          <t>Freinage</t>
        </is>
      </c>
      <c r="F945" s="7" t="inlineStr">
        <is>
          <t>PIECE_VEHICULE</t>
        </is>
      </c>
      <c r="G945" s="7" t="inlineStr">
        <is>
          <t>unité</t>
        </is>
      </c>
      <c r="H945" s="7" t="inlineStr">
        <is>
          <t>SMALL</t>
        </is>
      </c>
      <c r="I945" s="7" t="n">
        <v>5</v>
      </c>
      <c r="J945" s="7" t="inlineStr">
        <is>
          <t>E-05-02</t>
        </is>
      </c>
      <c r="K945" s="7" t="inlineStr"/>
      <c r="L945" s="9" t="n">
        <v>0</v>
      </c>
      <c r="M945" s="9" t="n">
        <v>0</v>
      </c>
      <c r="N945" s="9" t="n">
        <v>20</v>
      </c>
      <c r="O945" s="7" t="inlineStr">
        <is>
          <t>HEL</t>
        </is>
      </c>
      <c r="P945" s="7" t="inlineStr">
        <is>
          <t>CRITIQUE</t>
        </is>
      </c>
      <c r="Q945" s="7" t="inlineStr">
        <is>
          <t>WHAP</t>
        </is>
      </c>
      <c r="R945" s="7" t="inlineStr">
        <is>
          <t>OUI</t>
        </is>
      </c>
      <c r="S945" s="7" t="inlineStr">
        <is>
          <t>31/08/2026 02:59</t>
        </is>
      </c>
    </row>
    <row r="946">
      <c r="A946" s="8" t="inlineStr">
        <is>
          <t>WHAP-0942</t>
        </is>
      </c>
      <c r="B946" s="8" t="inlineStr">
        <is>
          <t>FRE-0942</t>
        </is>
      </c>
      <c r="C946" s="8" t="inlineStr">
        <is>
          <t>garniture de frein — essieu 3</t>
        </is>
      </c>
      <c r="D946" s="8" t="inlineStr">
        <is>
          <t>Freinage</t>
        </is>
      </c>
      <c r="E946" s="8" t="inlineStr">
        <is>
          <t>Freinage</t>
        </is>
      </c>
      <c r="F946" s="8" t="inlineStr">
        <is>
          <t>PIECE_VEHICULE</t>
        </is>
      </c>
      <c r="G946" s="8" t="inlineStr">
        <is>
          <t>unité</t>
        </is>
      </c>
      <c r="H946" s="8" t="inlineStr">
        <is>
          <t>SMALL</t>
        </is>
      </c>
      <c r="I946" s="8" t="n">
        <v>5</v>
      </c>
      <c r="J946" s="8" t="inlineStr">
        <is>
          <t>E-02-03</t>
        </is>
      </c>
      <c r="K946" s="8" t="inlineStr"/>
      <c r="L946" s="10" t="n">
        <v>0</v>
      </c>
      <c r="M946" s="10" t="n">
        <v>0</v>
      </c>
      <c r="N946" s="10" t="n">
        <v>15</v>
      </c>
      <c r="O946" s="8" t="inlineStr">
        <is>
          <t>MAG</t>
        </is>
      </c>
      <c r="P946" s="8" t="inlineStr">
        <is>
          <t>CRITIQUE</t>
        </is>
      </c>
      <c r="Q946" s="8" t="inlineStr">
        <is>
          <t>WHAP</t>
        </is>
      </c>
      <c r="R946" s="8" t="inlineStr">
        <is>
          <t>OUI</t>
        </is>
      </c>
      <c r="S946" s="8" t="inlineStr">
        <is>
          <t>31/08/2026 02:59</t>
        </is>
      </c>
    </row>
    <row r="947">
      <c r="A947" s="7" t="inlineStr">
        <is>
          <t>WHAP-0943</t>
        </is>
      </c>
      <c r="B947" s="7" t="inlineStr">
        <is>
          <t>FRE-0943</t>
        </is>
      </c>
      <c r="C947" s="7" t="inlineStr">
        <is>
          <t>purgeur — essieu 3</t>
        </is>
      </c>
      <c r="D947" s="7" t="inlineStr">
        <is>
          <t>Freinage</t>
        </is>
      </c>
      <c r="E947" s="7" t="inlineStr">
        <is>
          <t>Freinage</t>
        </is>
      </c>
      <c r="F947" s="7" t="inlineStr">
        <is>
          <t>PIECE_VEHICULE</t>
        </is>
      </c>
      <c r="G947" s="7" t="inlineStr">
        <is>
          <t>unité</t>
        </is>
      </c>
      <c r="H947" s="7" t="inlineStr">
        <is>
          <t>SMALL</t>
        </is>
      </c>
      <c r="I947" s="7" t="n">
        <v>5</v>
      </c>
      <c r="J947" s="7" t="inlineStr">
        <is>
          <t>C-05-03</t>
        </is>
      </c>
      <c r="K947" s="7" t="inlineStr"/>
      <c r="L947" s="9" t="n">
        <v>0</v>
      </c>
      <c r="M947" s="9" t="n">
        <v>0</v>
      </c>
      <c r="N947" s="9" t="n">
        <v>13</v>
      </c>
      <c r="O947" s="7" t="inlineStr">
        <is>
          <t>BOS</t>
        </is>
      </c>
      <c r="P947" s="7" t="inlineStr">
        <is>
          <t>CRITIQUE</t>
        </is>
      </c>
      <c r="Q947" s="7" t="inlineStr">
        <is>
          <t>WHAP</t>
        </is>
      </c>
      <c r="R947" s="7" t="inlineStr">
        <is>
          <t>OUI</t>
        </is>
      </c>
      <c r="S947" s="7" t="inlineStr">
        <is>
          <t>31/08/2026 02:59</t>
        </is>
      </c>
    </row>
    <row r="948">
      <c r="A948" s="8" t="inlineStr">
        <is>
          <t>WHAP-0944</t>
        </is>
      </c>
      <c r="B948" s="8" t="inlineStr">
        <is>
          <t>FRE-0944</t>
        </is>
      </c>
      <c r="C948" s="8" t="inlineStr">
        <is>
          <t>raccord pneumatique — essieu 3</t>
        </is>
      </c>
      <c r="D948" s="8" t="inlineStr">
        <is>
          <t>Freinage</t>
        </is>
      </c>
      <c r="E948" s="8" t="inlineStr">
        <is>
          <t>Freinage</t>
        </is>
      </c>
      <c r="F948" s="8" t="inlineStr">
        <is>
          <t>PIECE_VEHICULE</t>
        </is>
      </c>
      <c r="G948" s="8" t="inlineStr">
        <is>
          <t>unité</t>
        </is>
      </c>
      <c r="H948" s="8" t="inlineStr">
        <is>
          <t>SMALL</t>
        </is>
      </c>
      <c r="I948" s="8" t="n">
        <v>5</v>
      </c>
      <c r="J948" s="8" t="inlineStr">
        <is>
          <t>A-01-04</t>
        </is>
      </c>
      <c r="K948" s="8" t="inlineStr"/>
      <c r="L948" s="10" t="n">
        <v>0</v>
      </c>
      <c r="M948" s="10" t="n">
        <v>0</v>
      </c>
      <c r="N948" s="10" t="n">
        <v>10</v>
      </c>
      <c r="O948" s="8" t="inlineStr">
        <is>
          <t>DEL</t>
        </is>
      </c>
      <c r="P948" s="8" t="inlineStr">
        <is>
          <t>CRITIQUE</t>
        </is>
      </c>
      <c r="Q948" s="8" t="inlineStr">
        <is>
          <t>WHAP</t>
        </is>
      </c>
      <c r="R948" s="8" t="inlineStr">
        <is>
          <t>OUI</t>
        </is>
      </c>
      <c r="S948" s="8" t="inlineStr">
        <is>
          <t>31/08/2026 02:59</t>
        </is>
      </c>
    </row>
    <row r="949">
      <c r="A949" s="7" t="inlineStr">
        <is>
          <t>WHAP-0945</t>
        </is>
      </c>
      <c r="B949" s="7" t="inlineStr">
        <is>
          <t>FRE-0945</t>
        </is>
      </c>
      <c r="C949" s="7" t="inlineStr">
        <is>
          <t>disque de frein — essieu 4</t>
        </is>
      </c>
      <c r="D949" s="7" t="inlineStr">
        <is>
          <t>Freinage</t>
        </is>
      </c>
      <c r="E949" s="7" t="inlineStr">
        <is>
          <t>Freinage</t>
        </is>
      </c>
      <c r="F949" s="7" t="inlineStr">
        <is>
          <t>PIECE_VEHICULE</t>
        </is>
      </c>
      <c r="G949" s="7" t="inlineStr">
        <is>
          <t>unité</t>
        </is>
      </c>
      <c r="H949" s="7" t="inlineStr">
        <is>
          <t>SMALL</t>
        </is>
      </c>
      <c r="I949" s="7" t="n">
        <v>5</v>
      </c>
      <c r="J949" s="7" t="inlineStr">
        <is>
          <t>C-04-01</t>
        </is>
      </c>
      <c r="K949" s="7" t="inlineStr"/>
      <c r="L949" s="9" t="n">
        <v>0</v>
      </c>
      <c r="M949" s="9" t="n">
        <v>0</v>
      </c>
      <c r="N949" s="9" t="n">
        <v>20</v>
      </c>
      <c r="O949" s="7" t="inlineStr">
        <is>
          <t>MAG</t>
        </is>
      </c>
      <c r="P949" s="7" t="inlineStr">
        <is>
          <t>CRITIQUE</t>
        </is>
      </c>
      <c r="Q949" s="7" t="inlineStr">
        <is>
          <t>WHAP</t>
        </is>
      </c>
      <c r="R949" s="7" t="inlineStr">
        <is>
          <t>OUI</t>
        </is>
      </c>
      <c r="S949" s="7" t="inlineStr">
        <is>
          <t>31/08/2026 02:59</t>
        </is>
      </c>
    </row>
    <row r="950">
      <c r="A950" s="8" t="inlineStr">
        <is>
          <t>WHAP-0946</t>
        </is>
      </c>
      <c r="B950" s="8" t="inlineStr">
        <is>
          <t>FRE-0946</t>
        </is>
      </c>
      <c r="C950" s="8" t="inlineStr">
        <is>
          <t>étrier de frein — essieu 4</t>
        </is>
      </c>
      <c r="D950" s="8" t="inlineStr">
        <is>
          <t>Freinage</t>
        </is>
      </c>
      <c r="E950" s="8" t="inlineStr">
        <is>
          <t>Freinage</t>
        </is>
      </c>
      <c r="F950" s="8" t="inlineStr">
        <is>
          <t>PIECE_VEHICULE</t>
        </is>
      </c>
      <c r="G950" s="8" t="inlineStr">
        <is>
          <t>unité</t>
        </is>
      </c>
      <c r="H950" s="8" t="inlineStr">
        <is>
          <t>SMALL</t>
        </is>
      </c>
      <c r="I950" s="8" t="n">
        <v>5</v>
      </c>
      <c r="J950" s="8" t="inlineStr">
        <is>
          <t>B-04-03</t>
        </is>
      </c>
      <c r="K950" s="8" t="inlineStr"/>
      <c r="L950" s="10" t="n">
        <v>0</v>
      </c>
      <c r="M950" s="10" t="n">
        <v>0</v>
      </c>
      <c r="N950" s="10" t="n">
        <v>18</v>
      </c>
      <c r="O950" s="8" t="inlineStr">
        <is>
          <t>YZK</t>
        </is>
      </c>
      <c r="P950" s="8" t="inlineStr">
        <is>
          <t>CRITIQUE</t>
        </is>
      </c>
      <c r="Q950" s="8" t="inlineStr">
        <is>
          <t>WHAP</t>
        </is>
      </c>
      <c r="R950" s="8" t="inlineStr">
        <is>
          <t>OUI</t>
        </is>
      </c>
      <c r="S950" s="8" t="inlineStr">
        <is>
          <t>31/08/2026 02:59</t>
        </is>
      </c>
    </row>
    <row r="951">
      <c r="A951" s="7" t="inlineStr">
        <is>
          <t>WHAP-0947</t>
        </is>
      </c>
      <c r="B951" s="7" t="inlineStr">
        <is>
          <t>FRE-0947</t>
        </is>
      </c>
      <c r="C951" s="7" t="inlineStr">
        <is>
          <t>plaquette de frein — essieu 4</t>
        </is>
      </c>
      <c r="D951" s="7" t="inlineStr">
        <is>
          <t>Freinage</t>
        </is>
      </c>
      <c r="E951" s="7" t="inlineStr">
        <is>
          <t>Freinage</t>
        </is>
      </c>
      <c r="F951" s="7" t="inlineStr">
        <is>
          <t>PIECE_VEHICULE</t>
        </is>
      </c>
      <c r="G951" s="7" t="inlineStr">
        <is>
          <t>unité</t>
        </is>
      </c>
      <c r="H951" s="7" t="inlineStr">
        <is>
          <t>SMALL</t>
        </is>
      </c>
      <c r="I951" s="7" t="n">
        <v>5</v>
      </c>
      <c r="J951" s="7" t="inlineStr">
        <is>
          <t>D-03-04</t>
        </is>
      </c>
      <c r="K951" s="7" t="inlineStr"/>
      <c r="L951" s="9" t="n">
        <v>0</v>
      </c>
      <c r="M951" s="9" t="n">
        <v>0</v>
      </c>
      <c r="N951" s="9" t="n">
        <v>11</v>
      </c>
      <c r="O951" s="7" t="inlineStr">
        <is>
          <t>CTL</t>
        </is>
      </c>
      <c r="P951" s="7" t="inlineStr">
        <is>
          <t>CRITIQUE</t>
        </is>
      </c>
      <c r="Q951" s="7" t="inlineStr">
        <is>
          <t>WHAP</t>
        </is>
      </c>
      <c r="R951" s="7" t="inlineStr">
        <is>
          <t>OUI</t>
        </is>
      </c>
      <c r="S951" s="7" t="inlineStr">
        <is>
          <t>31/08/2026 02:59</t>
        </is>
      </c>
    </row>
    <row r="952">
      <c r="A952" s="8" t="inlineStr">
        <is>
          <t>WHAP-0948</t>
        </is>
      </c>
      <c r="B952" s="8" t="inlineStr">
        <is>
          <t>FRE-0948</t>
        </is>
      </c>
      <c r="C952" s="8" t="inlineStr">
        <is>
          <t>porte-plaquette — essieu 4</t>
        </is>
      </c>
      <c r="D952" s="8" t="inlineStr">
        <is>
          <t>Freinage</t>
        </is>
      </c>
      <c r="E952" s="8" t="inlineStr">
        <is>
          <t>Freinage</t>
        </is>
      </c>
      <c r="F952" s="8" t="inlineStr">
        <is>
          <t>PIECE_VEHICULE</t>
        </is>
      </c>
      <c r="G952" s="8" t="inlineStr">
        <is>
          <t>unité</t>
        </is>
      </c>
      <c r="H952" s="8" t="inlineStr">
        <is>
          <t>SMALL</t>
        </is>
      </c>
      <c r="I952" s="8" t="n">
        <v>5</v>
      </c>
      <c r="J952" s="8" t="inlineStr">
        <is>
          <t>B-06-02</t>
        </is>
      </c>
      <c r="K952" s="8" t="inlineStr"/>
      <c r="L952" s="10" t="n">
        <v>0</v>
      </c>
      <c r="M952" s="10" t="n">
        <v>0</v>
      </c>
      <c r="N952" s="10" t="n">
        <v>19</v>
      </c>
      <c r="O952" s="8" t="inlineStr">
        <is>
          <t>SKF</t>
        </is>
      </c>
      <c r="P952" s="8" t="inlineStr">
        <is>
          <t>CRITIQUE</t>
        </is>
      </c>
      <c r="Q952" s="8" t="inlineStr">
        <is>
          <t>WHAP</t>
        </is>
      </c>
      <c r="R952" s="8" t="inlineStr">
        <is>
          <t>OUI</t>
        </is>
      </c>
      <c r="S952" s="8" t="inlineStr">
        <is>
          <t>31/08/2026 02:59</t>
        </is>
      </c>
    </row>
    <row r="953">
      <c r="A953" s="7" t="inlineStr">
        <is>
          <t>WHAP-0949</t>
        </is>
      </c>
      <c r="B953" s="7" t="inlineStr">
        <is>
          <t>FRE-0949</t>
        </is>
      </c>
      <c r="C953" s="7" t="inlineStr">
        <is>
          <t>piston d'étrier — essieu 4</t>
        </is>
      </c>
      <c r="D953" s="7" t="inlineStr">
        <is>
          <t>Freinage</t>
        </is>
      </c>
      <c r="E953" s="7" t="inlineStr">
        <is>
          <t>Freinage</t>
        </is>
      </c>
      <c r="F953" s="7" t="inlineStr">
        <is>
          <t>PIECE_VEHICULE</t>
        </is>
      </c>
      <c r="G953" s="7" t="inlineStr">
        <is>
          <t>unité</t>
        </is>
      </c>
      <c r="H953" s="7" t="inlineStr">
        <is>
          <t>SMALL</t>
        </is>
      </c>
      <c r="I953" s="7" t="n">
        <v>5</v>
      </c>
      <c r="J953" s="7" t="inlineStr">
        <is>
          <t>F-04-03</t>
        </is>
      </c>
      <c r="K953" s="7" t="inlineStr"/>
      <c r="L953" s="9" t="n">
        <v>0</v>
      </c>
      <c r="M953" s="9" t="n">
        <v>0</v>
      </c>
      <c r="N953" s="9" t="n">
        <v>18</v>
      </c>
      <c r="O953" s="7" t="inlineStr">
        <is>
          <t>SKF</t>
        </is>
      </c>
      <c r="P953" s="7" t="inlineStr">
        <is>
          <t>CRITIQUE</t>
        </is>
      </c>
      <c r="Q953" s="7" t="inlineStr">
        <is>
          <t>WHAP</t>
        </is>
      </c>
      <c r="R953" s="7" t="inlineStr">
        <is>
          <t>OUI</t>
        </is>
      </c>
      <c r="S953" s="7" t="inlineStr">
        <is>
          <t>31/08/2026 02:59</t>
        </is>
      </c>
    </row>
    <row r="954">
      <c r="A954" s="8" t="inlineStr">
        <is>
          <t>WHAP-0950</t>
        </is>
      </c>
      <c r="B954" s="8" t="inlineStr">
        <is>
          <t>FRE-0950</t>
        </is>
      </c>
      <c r="C954" s="8" t="inlineStr">
        <is>
          <t>joint de piston — essieu 4</t>
        </is>
      </c>
      <c r="D954" s="8" t="inlineStr">
        <is>
          <t>Freinage</t>
        </is>
      </c>
      <c r="E954" s="8" t="inlineStr">
        <is>
          <t>Freinage</t>
        </is>
      </c>
      <c r="F954" s="8" t="inlineStr">
        <is>
          <t>PIECE_VEHICULE</t>
        </is>
      </c>
      <c r="G954" s="8" t="inlineStr">
        <is>
          <t>unité</t>
        </is>
      </c>
      <c r="H954" s="8" t="inlineStr">
        <is>
          <t>SMALL</t>
        </is>
      </c>
      <c r="I954" s="8" t="n">
        <v>5</v>
      </c>
      <c r="J954" s="8" t="inlineStr">
        <is>
          <t>F-05-01</t>
        </is>
      </c>
      <c r="K954" s="8" t="inlineStr"/>
      <c r="L954" s="10" t="n">
        <v>0</v>
      </c>
      <c r="M954" s="10" t="n">
        <v>0</v>
      </c>
      <c r="N954" s="10" t="n">
        <v>18</v>
      </c>
      <c r="O954" s="8" t="inlineStr">
        <is>
          <t>YZK</t>
        </is>
      </c>
      <c r="P954" s="8" t="inlineStr">
        <is>
          <t>CRITIQUE</t>
        </is>
      </c>
      <c r="Q954" s="8" t="inlineStr">
        <is>
          <t>WHAP</t>
        </is>
      </c>
      <c r="R954" s="8" t="inlineStr">
        <is>
          <t>OUI</t>
        </is>
      </c>
      <c r="S954" s="8" t="inlineStr">
        <is>
          <t>31/08/2026 02:59</t>
        </is>
      </c>
    </row>
    <row r="955">
      <c r="A955" s="7" t="inlineStr">
        <is>
          <t>WHAP-0951</t>
        </is>
      </c>
      <c r="B955" s="7" t="inlineStr">
        <is>
          <t>FRE-0951</t>
        </is>
      </c>
      <c r="C955" s="7" t="inlineStr">
        <is>
          <t>flexible de frein — essieu 4</t>
        </is>
      </c>
      <c r="D955" s="7" t="inlineStr">
        <is>
          <t>Freinage</t>
        </is>
      </c>
      <c r="E955" s="7" t="inlineStr">
        <is>
          <t>Freinage</t>
        </is>
      </c>
      <c r="F955" s="7" t="inlineStr">
        <is>
          <t>PIECE_VEHICULE</t>
        </is>
      </c>
      <c r="G955" s="7" t="inlineStr">
        <is>
          <t>unité</t>
        </is>
      </c>
      <c r="H955" s="7" t="inlineStr">
        <is>
          <t>SMALL</t>
        </is>
      </c>
      <c r="I955" s="7" t="n">
        <v>5</v>
      </c>
      <c r="J955" s="7" t="inlineStr">
        <is>
          <t>A-03-04</t>
        </is>
      </c>
      <c r="K955" s="7" t="inlineStr"/>
      <c r="L955" s="9" t="n">
        <v>0</v>
      </c>
      <c r="M955" s="9" t="n">
        <v>0</v>
      </c>
      <c r="N955" s="9" t="n">
        <v>11</v>
      </c>
      <c r="O955" s="7" t="inlineStr">
        <is>
          <t>DEL</t>
        </is>
      </c>
      <c r="P955" s="7" t="inlineStr">
        <is>
          <t>CRITIQUE</t>
        </is>
      </c>
      <c r="Q955" s="7" t="inlineStr">
        <is>
          <t>WHAP</t>
        </is>
      </c>
      <c r="R955" s="7" t="inlineStr">
        <is>
          <t>OUI</t>
        </is>
      </c>
      <c r="S955" s="7" t="inlineStr">
        <is>
          <t>31/08/2026 02:59</t>
        </is>
      </c>
    </row>
    <row r="956">
      <c r="A956" s="8" t="inlineStr">
        <is>
          <t>WHAP-0952</t>
        </is>
      </c>
      <c r="B956" s="8" t="inlineStr">
        <is>
          <t>FRE-0952</t>
        </is>
      </c>
      <c r="C956" s="8" t="inlineStr">
        <is>
          <t>conduite de frein — essieu 4</t>
        </is>
      </c>
      <c r="D956" s="8" t="inlineStr">
        <is>
          <t>Freinage</t>
        </is>
      </c>
      <c r="E956" s="8" t="inlineStr">
        <is>
          <t>Freinage</t>
        </is>
      </c>
      <c r="F956" s="8" t="inlineStr">
        <is>
          <t>PIECE_VEHICULE</t>
        </is>
      </c>
      <c r="G956" s="8" t="inlineStr">
        <is>
          <t>unité</t>
        </is>
      </c>
      <c r="H956" s="8" t="inlineStr">
        <is>
          <t>SMALL</t>
        </is>
      </c>
      <c r="I956" s="8" t="n">
        <v>5</v>
      </c>
      <c r="J956" s="8" t="inlineStr">
        <is>
          <t>C-03-01</t>
        </is>
      </c>
      <c r="K956" s="8" t="inlineStr"/>
      <c r="L956" s="10" t="n">
        <v>0</v>
      </c>
      <c r="M956" s="10" t="n">
        <v>0</v>
      </c>
      <c r="N956" s="10" t="n">
        <v>18</v>
      </c>
      <c r="O956" s="8" t="inlineStr">
        <is>
          <t>BOS</t>
        </is>
      </c>
      <c r="P956" s="8" t="inlineStr">
        <is>
          <t>CRITIQUE</t>
        </is>
      </c>
      <c r="Q956" s="8" t="inlineStr">
        <is>
          <t>WHAP</t>
        </is>
      </c>
      <c r="R956" s="8" t="inlineStr">
        <is>
          <t>OUI</t>
        </is>
      </c>
      <c r="S956" s="8" t="inlineStr">
        <is>
          <t>31/08/2026 02:59</t>
        </is>
      </c>
    </row>
    <row r="957">
      <c r="A957" s="7" t="inlineStr">
        <is>
          <t>WHAP-0953</t>
        </is>
      </c>
      <c r="B957" s="7" t="inlineStr">
        <is>
          <t>FRE-0953</t>
        </is>
      </c>
      <c r="C957" s="7" t="inlineStr">
        <is>
          <t>maître-cylindre — essieu 4</t>
        </is>
      </c>
      <c r="D957" s="7" t="inlineStr">
        <is>
          <t>Freinage</t>
        </is>
      </c>
      <c r="E957" s="7" t="inlineStr">
        <is>
          <t>Freinage</t>
        </is>
      </c>
      <c r="F957" s="7" t="inlineStr">
        <is>
          <t>PIECE_VEHICULE</t>
        </is>
      </c>
      <c r="G957" s="7" t="inlineStr">
        <is>
          <t>unité</t>
        </is>
      </c>
      <c r="H957" s="7" t="inlineStr">
        <is>
          <t>SMALL</t>
        </is>
      </c>
      <c r="I957" s="7" t="n">
        <v>5</v>
      </c>
      <c r="J957" s="7" t="inlineStr">
        <is>
          <t>E-02-04</t>
        </is>
      </c>
      <c r="K957" s="7" t="inlineStr"/>
      <c r="L957" s="9" t="n">
        <v>0</v>
      </c>
      <c r="M957" s="9" t="n">
        <v>0</v>
      </c>
      <c r="N957" s="9" t="n">
        <v>10</v>
      </c>
      <c r="O957" s="7" t="inlineStr">
        <is>
          <t>SUM</t>
        </is>
      </c>
      <c r="P957" s="7" t="inlineStr">
        <is>
          <t>CRITIQUE</t>
        </is>
      </c>
      <c r="Q957" s="7" t="inlineStr">
        <is>
          <t>WHAP</t>
        </is>
      </c>
      <c r="R957" s="7" t="inlineStr">
        <is>
          <t>OUI</t>
        </is>
      </c>
      <c r="S957" s="7" t="inlineStr">
        <is>
          <t>31/08/2026 02:59</t>
        </is>
      </c>
    </row>
    <row r="958">
      <c r="A958" s="8" t="inlineStr">
        <is>
          <t>WHAP-0954</t>
        </is>
      </c>
      <c r="B958" s="8" t="inlineStr">
        <is>
          <t>FRE-0954</t>
        </is>
      </c>
      <c r="C958" s="8" t="inlineStr">
        <is>
          <t>servofrein — essieu 4</t>
        </is>
      </c>
      <c r="D958" s="8" t="inlineStr">
        <is>
          <t>Freinage</t>
        </is>
      </c>
      <c r="E958" s="8" t="inlineStr">
        <is>
          <t>Freinage</t>
        </is>
      </c>
      <c r="F958" s="8" t="inlineStr">
        <is>
          <t>PIECE_VEHICULE</t>
        </is>
      </c>
      <c r="G958" s="8" t="inlineStr">
        <is>
          <t>unité</t>
        </is>
      </c>
      <c r="H958" s="8" t="inlineStr">
        <is>
          <t>SMALL</t>
        </is>
      </c>
      <c r="I958" s="8" t="n">
        <v>5</v>
      </c>
      <c r="J958" s="8" t="inlineStr">
        <is>
          <t>B-01-02</t>
        </is>
      </c>
      <c r="K958" s="8" t="inlineStr"/>
      <c r="L958" s="10" t="n">
        <v>0</v>
      </c>
      <c r="M958" s="10" t="n">
        <v>0</v>
      </c>
      <c r="N958" s="10" t="n">
        <v>10</v>
      </c>
      <c r="O958" s="8" t="inlineStr">
        <is>
          <t>FAU</t>
        </is>
      </c>
      <c r="P958" s="8" t="inlineStr">
        <is>
          <t>CRITIQUE</t>
        </is>
      </c>
      <c r="Q958" s="8" t="inlineStr">
        <is>
          <t>WHAP</t>
        </is>
      </c>
      <c r="R958" s="8" t="inlineStr">
        <is>
          <t>OUI</t>
        </is>
      </c>
      <c r="S958" s="8" t="inlineStr">
        <is>
          <t>31/08/2026 02:59</t>
        </is>
      </c>
    </row>
    <row r="959">
      <c r="A959" s="7" t="inlineStr">
        <is>
          <t>WHAP-0955</t>
        </is>
      </c>
      <c r="B959" s="7" t="inlineStr">
        <is>
          <t>FRE-0955</t>
        </is>
      </c>
      <c r="C959" s="7" t="inlineStr">
        <is>
          <t>compresseur d'air — essieu 4</t>
        </is>
      </c>
      <c r="D959" s="7" t="inlineStr">
        <is>
          <t>Freinage</t>
        </is>
      </c>
      <c r="E959" s="7" t="inlineStr">
        <is>
          <t>Freinage</t>
        </is>
      </c>
      <c r="F959" s="7" t="inlineStr">
        <is>
          <t>PIECE_VEHICULE</t>
        </is>
      </c>
      <c r="G959" s="7" t="inlineStr">
        <is>
          <t>unité</t>
        </is>
      </c>
      <c r="H959" s="7" t="inlineStr">
        <is>
          <t>SMALL</t>
        </is>
      </c>
      <c r="I959" s="7" t="n">
        <v>5</v>
      </c>
      <c r="J959" s="7" t="inlineStr">
        <is>
          <t>D-02-01</t>
        </is>
      </c>
      <c r="K959" s="7" t="inlineStr"/>
      <c r="L959" s="9" t="n">
        <v>0</v>
      </c>
      <c r="M959" s="9" t="n">
        <v>0</v>
      </c>
      <c r="N959" s="9" t="n">
        <v>15</v>
      </c>
      <c r="O959" s="7" t="inlineStr">
        <is>
          <t>SKF</t>
        </is>
      </c>
      <c r="P959" s="7" t="inlineStr">
        <is>
          <t>CRITIQUE</t>
        </is>
      </c>
      <c r="Q959" s="7" t="inlineStr">
        <is>
          <t>WHAP</t>
        </is>
      </c>
      <c r="R959" s="7" t="inlineStr">
        <is>
          <t>OUI</t>
        </is>
      </c>
      <c r="S959" s="7" t="inlineStr">
        <is>
          <t>31/08/2026 02:59</t>
        </is>
      </c>
    </row>
    <row r="960">
      <c r="A960" s="8" t="inlineStr">
        <is>
          <t>WHAP-0956</t>
        </is>
      </c>
      <c r="B960" s="8" t="inlineStr">
        <is>
          <t>FRE-0956</t>
        </is>
      </c>
      <c r="C960" s="8" t="inlineStr">
        <is>
          <t>réservoir d'air — essieu 4</t>
        </is>
      </c>
      <c r="D960" s="8" t="inlineStr">
        <is>
          <t>Freinage</t>
        </is>
      </c>
      <c r="E960" s="8" t="inlineStr">
        <is>
          <t>Freinage</t>
        </is>
      </c>
      <c r="F960" s="8" t="inlineStr">
        <is>
          <t>PIECE_VEHICULE</t>
        </is>
      </c>
      <c r="G960" s="8" t="inlineStr">
        <is>
          <t>unité</t>
        </is>
      </c>
      <c r="H960" s="8" t="inlineStr">
        <is>
          <t>SMALL</t>
        </is>
      </c>
      <c r="I960" s="8" t="n">
        <v>5</v>
      </c>
      <c r="J960" s="8" t="inlineStr">
        <is>
          <t>A-06-03</t>
        </is>
      </c>
      <c r="K960" s="8" t="inlineStr"/>
      <c r="L960" s="10" t="n">
        <v>0</v>
      </c>
      <c r="M960" s="10" t="n">
        <v>0</v>
      </c>
      <c r="N960" s="10" t="n">
        <v>15</v>
      </c>
      <c r="O960" s="8" t="inlineStr">
        <is>
          <t>MAG</t>
        </is>
      </c>
      <c r="P960" s="8" t="inlineStr">
        <is>
          <t>CRITIQUE</t>
        </is>
      </c>
      <c r="Q960" s="8" t="inlineStr">
        <is>
          <t>WHAP</t>
        </is>
      </c>
      <c r="R960" s="8" t="inlineStr">
        <is>
          <t>OUI</t>
        </is>
      </c>
      <c r="S960" s="8" t="inlineStr">
        <is>
          <t>31/08/2026 02:59</t>
        </is>
      </c>
    </row>
    <row r="961">
      <c r="A961" s="7" t="inlineStr">
        <is>
          <t>WHAP-0957</t>
        </is>
      </c>
      <c r="B961" s="7" t="inlineStr">
        <is>
          <t>FRE-0957</t>
        </is>
      </c>
      <c r="C961" s="7" t="inlineStr">
        <is>
          <t>valve de frein — essieu 4</t>
        </is>
      </c>
      <c r="D961" s="7" t="inlineStr">
        <is>
          <t>Freinage</t>
        </is>
      </c>
      <c r="E961" s="7" t="inlineStr">
        <is>
          <t>Freinage</t>
        </is>
      </c>
      <c r="F961" s="7" t="inlineStr">
        <is>
          <t>PIECE_VEHICULE</t>
        </is>
      </c>
      <c r="G961" s="7" t="inlineStr">
        <is>
          <t>unité</t>
        </is>
      </c>
      <c r="H961" s="7" t="inlineStr">
        <is>
          <t>SMALL</t>
        </is>
      </c>
      <c r="I961" s="7" t="n">
        <v>5</v>
      </c>
      <c r="J961" s="7" t="inlineStr">
        <is>
          <t>C-03-04</t>
        </is>
      </c>
      <c r="K961" s="7" t="inlineStr"/>
      <c r="L961" s="9" t="n">
        <v>0</v>
      </c>
      <c r="M961" s="9" t="n">
        <v>0</v>
      </c>
      <c r="N961" s="9" t="n">
        <v>13</v>
      </c>
      <c r="O961" s="7" t="inlineStr">
        <is>
          <t>BOS</t>
        </is>
      </c>
      <c r="P961" s="7" t="inlineStr">
        <is>
          <t>CRITIQUE</t>
        </is>
      </c>
      <c r="Q961" s="7" t="inlineStr">
        <is>
          <t>WHAP</t>
        </is>
      </c>
      <c r="R961" s="7" t="inlineStr">
        <is>
          <t>OUI</t>
        </is>
      </c>
      <c r="S961" s="7" t="inlineStr">
        <is>
          <t>31/08/2026 02:59</t>
        </is>
      </c>
    </row>
    <row r="962">
      <c r="A962" s="8" t="inlineStr">
        <is>
          <t>WHAP-0958</t>
        </is>
      </c>
      <c r="B962" s="8" t="inlineStr">
        <is>
          <t>FRE-0958</t>
        </is>
      </c>
      <c r="C962" s="8" t="inlineStr">
        <is>
          <t>valve relais — essieu 4</t>
        </is>
      </c>
      <c r="D962" s="8" t="inlineStr">
        <is>
          <t>Freinage</t>
        </is>
      </c>
      <c r="E962" s="8" t="inlineStr">
        <is>
          <t>Freinage</t>
        </is>
      </c>
      <c r="F962" s="8" t="inlineStr">
        <is>
          <t>PIECE_VEHICULE</t>
        </is>
      </c>
      <c r="G962" s="8" t="inlineStr">
        <is>
          <t>unité</t>
        </is>
      </c>
      <c r="H962" s="8" t="inlineStr">
        <is>
          <t>SMALL</t>
        </is>
      </c>
      <c r="I962" s="8" t="n">
        <v>5</v>
      </c>
      <c r="J962" s="8" t="inlineStr">
        <is>
          <t>A-03-03</t>
        </is>
      </c>
      <c r="K962" s="8" t="inlineStr"/>
      <c r="L962" s="10" t="n">
        <v>0</v>
      </c>
      <c r="M962" s="10" t="n">
        <v>0</v>
      </c>
      <c r="N962" s="10" t="n">
        <v>20</v>
      </c>
      <c r="O962" s="8" t="inlineStr">
        <is>
          <t>MAG</t>
        </is>
      </c>
      <c r="P962" s="8" t="inlineStr">
        <is>
          <t>CRITIQUE</t>
        </is>
      </c>
      <c r="Q962" s="8" t="inlineStr">
        <is>
          <t>WHAP</t>
        </is>
      </c>
      <c r="R962" s="8" t="inlineStr">
        <is>
          <t>OUI</t>
        </is>
      </c>
      <c r="S962" s="8" t="inlineStr">
        <is>
          <t>31/08/2026 02:59</t>
        </is>
      </c>
    </row>
    <row r="963">
      <c r="A963" s="7" t="inlineStr">
        <is>
          <t>WHAP-0959</t>
        </is>
      </c>
      <c r="B963" s="7" t="inlineStr">
        <is>
          <t>FRE-0959</t>
        </is>
      </c>
      <c r="C963" s="7" t="inlineStr">
        <is>
          <t>valve de protection — essieu 4</t>
        </is>
      </c>
      <c r="D963" s="7" t="inlineStr">
        <is>
          <t>Freinage</t>
        </is>
      </c>
      <c r="E963" s="7" t="inlineStr">
        <is>
          <t>Freinage</t>
        </is>
      </c>
      <c r="F963" s="7" t="inlineStr">
        <is>
          <t>PIECE_VEHICULE</t>
        </is>
      </c>
      <c r="G963" s="7" t="inlineStr">
        <is>
          <t>unité</t>
        </is>
      </c>
      <c r="H963" s="7" t="inlineStr">
        <is>
          <t>SMALL</t>
        </is>
      </c>
      <c r="I963" s="7" t="n">
        <v>5</v>
      </c>
      <c r="J963" s="7" t="inlineStr">
        <is>
          <t>B-01-03</t>
        </is>
      </c>
      <c r="K963" s="7" t="inlineStr"/>
      <c r="L963" s="9" t="n">
        <v>0</v>
      </c>
      <c r="M963" s="9" t="n">
        <v>0</v>
      </c>
      <c r="N963" s="9" t="n">
        <v>18</v>
      </c>
      <c r="O963" s="7" t="inlineStr">
        <is>
          <t>VAL</t>
        </is>
      </c>
      <c r="P963" s="7" t="inlineStr">
        <is>
          <t>CRITIQUE</t>
        </is>
      </c>
      <c r="Q963" s="7" t="inlineStr">
        <is>
          <t>WHAP</t>
        </is>
      </c>
      <c r="R963" s="7" t="inlineStr">
        <is>
          <t>OUI</t>
        </is>
      </c>
      <c r="S963" s="7" t="inlineStr">
        <is>
          <t>31/08/2026 02:59</t>
        </is>
      </c>
    </row>
    <row r="964">
      <c r="A964" s="8" t="inlineStr">
        <is>
          <t>WHAP-0960</t>
        </is>
      </c>
      <c r="B964" s="8" t="inlineStr">
        <is>
          <t>FRE-0960</t>
        </is>
      </c>
      <c r="C964" s="8" t="inlineStr">
        <is>
          <t>modulateur ABS — essieu 4</t>
        </is>
      </c>
      <c r="D964" s="8" t="inlineStr">
        <is>
          <t>Freinage</t>
        </is>
      </c>
      <c r="E964" s="8" t="inlineStr">
        <is>
          <t>Freinage</t>
        </is>
      </c>
      <c r="F964" s="8" t="inlineStr">
        <is>
          <t>PIECE_VEHICULE</t>
        </is>
      </c>
      <c r="G964" s="8" t="inlineStr">
        <is>
          <t>unité</t>
        </is>
      </c>
      <c r="H964" s="8" t="inlineStr">
        <is>
          <t>SMALL</t>
        </is>
      </c>
      <c r="I964" s="8" t="n">
        <v>5</v>
      </c>
      <c r="J964" s="8" t="inlineStr">
        <is>
          <t>F-06-02</t>
        </is>
      </c>
      <c r="K964" s="8" t="inlineStr"/>
      <c r="L964" s="10" t="n">
        <v>0</v>
      </c>
      <c r="M964" s="10" t="n">
        <v>0</v>
      </c>
      <c r="N964" s="10" t="n">
        <v>10</v>
      </c>
      <c r="O964" s="8" t="inlineStr">
        <is>
          <t>VAL</t>
        </is>
      </c>
      <c r="P964" s="8" t="inlineStr">
        <is>
          <t>CRITIQUE</t>
        </is>
      </c>
      <c r="Q964" s="8" t="inlineStr">
        <is>
          <t>WHAP</t>
        </is>
      </c>
      <c r="R964" s="8" t="inlineStr">
        <is>
          <t>OUI</t>
        </is>
      </c>
      <c r="S964" s="8" t="inlineStr">
        <is>
          <t>31/08/2026 02:59</t>
        </is>
      </c>
    </row>
    <row r="965">
      <c r="A965" s="7" t="inlineStr">
        <is>
          <t>WHAP-0961</t>
        </is>
      </c>
      <c r="B965" s="7" t="inlineStr">
        <is>
          <t>FRE-0961</t>
        </is>
      </c>
      <c r="C965" s="7" t="inlineStr">
        <is>
          <t>capteur ABS — essieu 4</t>
        </is>
      </c>
      <c r="D965" s="7" t="inlineStr">
        <is>
          <t>Freinage</t>
        </is>
      </c>
      <c r="E965" s="7" t="inlineStr">
        <is>
          <t>Freinage</t>
        </is>
      </c>
      <c r="F965" s="7" t="inlineStr">
        <is>
          <t>PIECE_VEHICULE</t>
        </is>
      </c>
      <c r="G965" s="7" t="inlineStr">
        <is>
          <t>unité</t>
        </is>
      </c>
      <c r="H965" s="7" t="inlineStr">
        <is>
          <t>SMALL</t>
        </is>
      </c>
      <c r="I965" s="7" t="n">
        <v>5</v>
      </c>
      <c r="J965" s="7" t="inlineStr">
        <is>
          <t>C-04-04</t>
        </is>
      </c>
      <c r="K965" s="7" t="inlineStr"/>
      <c r="L965" s="9" t="n">
        <v>0</v>
      </c>
      <c r="M965" s="9" t="n">
        <v>0</v>
      </c>
      <c r="N965" s="9" t="n">
        <v>14</v>
      </c>
      <c r="O965" s="7" t="inlineStr">
        <is>
          <t>HEL</t>
        </is>
      </c>
      <c r="P965" s="7" t="inlineStr">
        <is>
          <t>CRITIQUE</t>
        </is>
      </c>
      <c r="Q965" s="7" t="inlineStr">
        <is>
          <t>WHAP</t>
        </is>
      </c>
      <c r="R965" s="7" t="inlineStr">
        <is>
          <t>OUI</t>
        </is>
      </c>
      <c r="S965" s="7" t="inlineStr">
        <is>
          <t>31/08/2026 02:59</t>
        </is>
      </c>
    </row>
    <row r="966">
      <c r="A966" s="8" t="inlineStr">
        <is>
          <t>WHAP-0962</t>
        </is>
      </c>
      <c r="B966" s="8" t="inlineStr">
        <is>
          <t>FRE-0962</t>
        </is>
      </c>
      <c r="C966" s="8" t="inlineStr">
        <is>
          <t>couronne ABS — essieu 4</t>
        </is>
      </c>
      <c r="D966" s="8" t="inlineStr">
        <is>
          <t>Freinage</t>
        </is>
      </c>
      <c r="E966" s="8" t="inlineStr">
        <is>
          <t>Freinage</t>
        </is>
      </c>
      <c r="F966" s="8" t="inlineStr">
        <is>
          <t>PIECE_VEHICULE</t>
        </is>
      </c>
      <c r="G966" s="8" t="inlineStr">
        <is>
          <t>unité</t>
        </is>
      </c>
      <c r="H966" s="8" t="inlineStr">
        <is>
          <t>SMALL</t>
        </is>
      </c>
      <c r="I966" s="8" t="n">
        <v>5</v>
      </c>
      <c r="J966" s="8" t="inlineStr">
        <is>
          <t>E-04-01</t>
        </is>
      </c>
      <c r="K966" s="8" t="inlineStr"/>
      <c r="L966" s="10" t="n">
        <v>0</v>
      </c>
      <c r="M966" s="10" t="n">
        <v>0</v>
      </c>
      <c r="N966" s="10" t="n">
        <v>17</v>
      </c>
      <c r="O966" s="8" t="inlineStr">
        <is>
          <t>MAG</t>
        </is>
      </c>
      <c r="P966" s="8" t="inlineStr">
        <is>
          <t>CRITIQUE</t>
        </is>
      </c>
      <c r="Q966" s="8" t="inlineStr">
        <is>
          <t>WHAP</t>
        </is>
      </c>
      <c r="R966" s="8" t="inlineStr">
        <is>
          <t>OUI</t>
        </is>
      </c>
      <c r="S966" s="8" t="inlineStr">
        <is>
          <t>31/08/2026 02:59</t>
        </is>
      </c>
    </row>
    <row r="967">
      <c r="A967" s="7" t="inlineStr">
        <is>
          <t>WHAP-0963</t>
        </is>
      </c>
      <c r="B967" s="7" t="inlineStr">
        <is>
          <t>FRE-0963</t>
        </is>
      </c>
      <c r="C967" s="7" t="inlineStr">
        <is>
          <t>actionneur frein de parc — essieu 4</t>
        </is>
      </c>
      <c r="D967" s="7" t="inlineStr">
        <is>
          <t>Freinage</t>
        </is>
      </c>
      <c r="E967" s="7" t="inlineStr">
        <is>
          <t>Freinage</t>
        </is>
      </c>
      <c r="F967" s="7" t="inlineStr">
        <is>
          <t>PIECE_VEHICULE</t>
        </is>
      </c>
      <c r="G967" s="7" t="inlineStr">
        <is>
          <t>unité</t>
        </is>
      </c>
      <c r="H967" s="7" t="inlineStr">
        <is>
          <t>SMALL</t>
        </is>
      </c>
      <c r="I967" s="7" t="n">
        <v>5</v>
      </c>
      <c r="J967" s="7" t="inlineStr">
        <is>
          <t>D-05-02</t>
        </is>
      </c>
      <c r="K967" s="7" t="inlineStr"/>
      <c r="L967" s="9" t="n">
        <v>0</v>
      </c>
      <c r="M967" s="9" t="n">
        <v>0</v>
      </c>
      <c r="N967" s="9" t="n">
        <v>12</v>
      </c>
      <c r="O967" s="7" t="inlineStr">
        <is>
          <t>SKF</t>
        </is>
      </c>
      <c r="P967" s="7" t="inlineStr">
        <is>
          <t>CRITIQUE</t>
        </is>
      </c>
      <c r="Q967" s="7" t="inlineStr">
        <is>
          <t>WHAP</t>
        </is>
      </c>
      <c r="R967" s="7" t="inlineStr">
        <is>
          <t>OUI</t>
        </is>
      </c>
      <c r="S967" s="7" t="inlineStr">
        <is>
          <t>31/08/2026 02:59</t>
        </is>
      </c>
    </row>
    <row r="968">
      <c r="A968" s="8" t="inlineStr">
        <is>
          <t>WHAP-0964</t>
        </is>
      </c>
      <c r="B968" s="8" t="inlineStr">
        <is>
          <t>FRE-0964</t>
        </is>
      </c>
      <c r="C968" s="8" t="inlineStr">
        <is>
          <t>câble de frein — essieu 4</t>
        </is>
      </c>
      <c r="D968" s="8" t="inlineStr">
        <is>
          <t>Freinage</t>
        </is>
      </c>
      <c r="E968" s="8" t="inlineStr">
        <is>
          <t>Freinage</t>
        </is>
      </c>
      <c r="F968" s="8" t="inlineStr">
        <is>
          <t>PIECE_VEHICULE</t>
        </is>
      </c>
      <c r="G968" s="8" t="inlineStr">
        <is>
          <t>unité</t>
        </is>
      </c>
      <c r="H968" s="8" t="inlineStr">
        <is>
          <t>SMALL</t>
        </is>
      </c>
      <c r="I968" s="8" t="n">
        <v>5</v>
      </c>
      <c r="J968" s="8" t="inlineStr">
        <is>
          <t>A-06-01</t>
        </is>
      </c>
      <c r="K968" s="8" t="inlineStr"/>
      <c r="L968" s="10" t="n">
        <v>0</v>
      </c>
      <c r="M968" s="10" t="n">
        <v>0</v>
      </c>
      <c r="N968" s="10" t="n">
        <v>13</v>
      </c>
      <c r="O968" s="8" t="inlineStr">
        <is>
          <t>SUM</t>
        </is>
      </c>
      <c r="P968" s="8" t="inlineStr">
        <is>
          <t>CRITIQUE</t>
        </is>
      </c>
      <c r="Q968" s="8" t="inlineStr">
        <is>
          <t>WHAP</t>
        </is>
      </c>
      <c r="R968" s="8" t="inlineStr">
        <is>
          <t>OUI</t>
        </is>
      </c>
      <c r="S968" s="8" t="inlineStr">
        <is>
          <t>31/08/2026 02:59</t>
        </is>
      </c>
    </row>
    <row r="969">
      <c r="A969" s="7" t="inlineStr">
        <is>
          <t>WHAP-0965</t>
        </is>
      </c>
      <c r="B969" s="7" t="inlineStr">
        <is>
          <t>FRE-0965</t>
        </is>
      </c>
      <c r="C969" s="7" t="inlineStr">
        <is>
          <t>ressort de frein — essieu 4</t>
        </is>
      </c>
      <c r="D969" s="7" t="inlineStr">
        <is>
          <t>Freinage</t>
        </is>
      </c>
      <c r="E969" s="7" t="inlineStr">
        <is>
          <t>Freinage</t>
        </is>
      </c>
      <c r="F969" s="7" t="inlineStr">
        <is>
          <t>PIECE_VEHICULE</t>
        </is>
      </c>
      <c r="G969" s="7" t="inlineStr">
        <is>
          <t>unité</t>
        </is>
      </c>
      <c r="H969" s="7" t="inlineStr">
        <is>
          <t>SMALL</t>
        </is>
      </c>
      <c r="I969" s="7" t="n">
        <v>5</v>
      </c>
      <c r="J969" s="7" t="inlineStr">
        <is>
          <t>D-02-03</t>
        </is>
      </c>
      <c r="K969" s="7" t="inlineStr"/>
      <c r="L969" s="9" t="n">
        <v>0</v>
      </c>
      <c r="M969" s="9" t="n">
        <v>0</v>
      </c>
      <c r="N969" s="9" t="n">
        <v>11</v>
      </c>
      <c r="O969" s="7" t="inlineStr">
        <is>
          <t>CTL</t>
        </is>
      </c>
      <c r="P969" s="7" t="inlineStr">
        <is>
          <t>CRITIQUE</t>
        </is>
      </c>
      <c r="Q969" s="7" t="inlineStr">
        <is>
          <t>WHAP</t>
        </is>
      </c>
      <c r="R969" s="7" t="inlineStr">
        <is>
          <t>OUI</t>
        </is>
      </c>
      <c r="S969" s="7" t="inlineStr">
        <is>
          <t>31/08/2026 02:59</t>
        </is>
      </c>
    </row>
    <row r="970">
      <c r="A970" s="8" t="inlineStr">
        <is>
          <t>WHAP-0966</t>
        </is>
      </c>
      <c r="B970" s="8" t="inlineStr">
        <is>
          <t>FRE-0966</t>
        </is>
      </c>
      <c r="C970" s="8" t="inlineStr">
        <is>
          <t>tambour de frein — essieu 4</t>
        </is>
      </c>
      <c r="D970" s="8" t="inlineStr">
        <is>
          <t>Freinage</t>
        </is>
      </c>
      <c r="E970" s="8" t="inlineStr">
        <is>
          <t>Freinage</t>
        </is>
      </c>
      <c r="F970" s="8" t="inlineStr">
        <is>
          <t>PIECE_VEHICULE</t>
        </is>
      </c>
      <c r="G970" s="8" t="inlineStr">
        <is>
          <t>unité</t>
        </is>
      </c>
      <c r="H970" s="8" t="inlineStr">
        <is>
          <t>SMALL</t>
        </is>
      </c>
      <c r="I970" s="8" t="n">
        <v>5</v>
      </c>
      <c r="J970" s="8" t="inlineStr">
        <is>
          <t>F-02-03</t>
        </is>
      </c>
      <c r="K970" s="8" t="inlineStr"/>
      <c r="L970" s="10" t="n">
        <v>0</v>
      </c>
      <c r="M970" s="10" t="n">
        <v>0</v>
      </c>
      <c r="N970" s="10" t="n">
        <v>12</v>
      </c>
      <c r="O970" s="8" t="inlineStr">
        <is>
          <t>CTL</t>
        </is>
      </c>
      <c r="P970" s="8" t="inlineStr">
        <is>
          <t>CRITIQUE</t>
        </is>
      </c>
      <c r="Q970" s="8" t="inlineStr">
        <is>
          <t>WHAP</t>
        </is>
      </c>
      <c r="R970" s="8" t="inlineStr">
        <is>
          <t>OUI</t>
        </is>
      </c>
      <c r="S970" s="8" t="inlineStr">
        <is>
          <t>31/08/2026 02:59</t>
        </is>
      </c>
    </row>
    <row r="971">
      <c r="A971" s="7" t="inlineStr">
        <is>
          <t>WHAP-0967</t>
        </is>
      </c>
      <c r="B971" s="7" t="inlineStr">
        <is>
          <t>FRE-0967</t>
        </is>
      </c>
      <c r="C971" s="7" t="inlineStr">
        <is>
          <t>garniture de frein — essieu 4</t>
        </is>
      </c>
      <c r="D971" s="7" t="inlineStr">
        <is>
          <t>Freinage</t>
        </is>
      </c>
      <c r="E971" s="7" t="inlineStr">
        <is>
          <t>Freinage</t>
        </is>
      </c>
      <c r="F971" s="7" t="inlineStr">
        <is>
          <t>PIECE_VEHICULE</t>
        </is>
      </c>
      <c r="G971" s="7" t="inlineStr">
        <is>
          <t>unité</t>
        </is>
      </c>
      <c r="H971" s="7" t="inlineStr">
        <is>
          <t>SMALL</t>
        </is>
      </c>
      <c r="I971" s="7" t="n">
        <v>5</v>
      </c>
      <c r="J971" s="7" t="inlineStr">
        <is>
          <t>A-03-03</t>
        </is>
      </c>
      <c r="K971" s="7" t="inlineStr"/>
      <c r="L971" s="9" t="n">
        <v>0</v>
      </c>
      <c r="M971" s="9" t="n">
        <v>0</v>
      </c>
      <c r="N971" s="9" t="n">
        <v>15</v>
      </c>
      <c r="O971" s="7" t="inlineStr">
        <is>
          <t>SUM</t>
        </is>
      </c>
      <c r="P971" s="7" t="inlineStr">
        <is>
          <t>CRITIQUE</t>
        </is>
      </c>
      <c r="Q971" s="7" t="inlineStr">
        <is>
          <t>WHAP</t>
        </is>
      </c>
      <c r="R971" s="7" t="inlineStr">
        <is>
          <t>OUI</t>
        </is>
      </c>
      <c r="S971" s="7" t="inlineStr">
        <is>
          <t>31/08/2026 02:59</t>
        </is>
      </c>
    </row>
    <row r="972">
      <c r="A972" s="8" t="inlineStr">
        <is>
          <t>WHAP-0968</t>
        </is>
      </c>
      <c r="B972" s="8" t="inlineStr">
        <is>
          <t>FRE-0968</t>
        </is>
      </c>
      <c r="C972" s="8" t="inlineStr">
        <is>
          <t>purgeur — essieu 4</t>
        </is>
      </c>
      <c r="D972" s="8" t="inlineStr">
        <is>
          <t>Freinage</t>
        </is>
      </c>
      <c r="E972" s="8" t="inlineStr">
        <is>
          <t>Freinage</t>
        </is>
      </c>
      <c r="F972" s="8" t="inlineStr">
        <is>
          <t>PIECE_VEHICULE</t>
        </is>
      </c>
      <c r="G972" s="8" t="inlineStr">
        <is>
          <t>unité</t>
        </is>
      </c>
      <c r="H972" s="8" t="inlineStr">
        <is>
          <t>SMALL</t>
        </is>
      </c>
      <c r="I972" s="8" t="n">
        <v>5</v>
      </c>
      <c r="J972" s="8" t="inlineStr">
        <is>
          <t>F-05-01</t>
        </is>
      </c>
      <c r="K972" s="8" t="inlineStr"/>
      <c r="L972" s="10" t="n">
        <v>0</v>
      </c>
      <c r="M972" s="10" t="n">
        <v>0</v>
      </c>
      <c r="N972" s="10" t="n">
        <v>13</v>
      </c>
      <c r="O972" s="8" t="inlineStr">
        <is>
          <t>VAL</t>
        </is>
      </c>
      <c r="P972" s="8" t="inlineStr">
        <is>
          <t>CRITIQUE</t>
        </is>
      </c>
      <c r="Q972" s="8" t="inlineStr">
        <is>
          <t>WHAP</t>
        </is>
      </c>
      <c r="R972" s="8" t="inlineStr">
        <is>
          <t>OUI</t>
        </is>
      </c>
      <c r="S972" s="8" t="inlineStr">
        <is>
          <t>31/08/2026 02:59</t>
        </is>
      </c>
    </row>
    <row r="973">
      <c r="A973" s="7" t="inlineStr">
        <is>
          <t>WHAP-0969</t>
        </is>
      </c>
      <c r="B973" s="7" t="inlineStr">
        <is>
          <t>FRE-0969</t>
        </is>
      </c>
      <c r="C973" s="7" t="inlineStr">
        <is>
          <t>raccord pneumatique — essieu 4</t>
        </is>
      </c>
      <c r="D973" s="7" t="inlineStr">
        <is>
          <t>Freinage</t>
        </is>
      </c>
      <c r="E973" s="7" t="inlineStr">
        <is>
          <t>Freinage</t>
        </is>
      </c>
      <c r="F973" s="7" t="inlineStr">
        <is>
          <t>PIECE_VEHICULE</t>
        </is>
      </c>
      <c r="G973" s="7" t="inlineStr">
        <is>
          <t>unité</t>
        </is>
      </c>
      <c r="H973" s="7" t="inlineStr">
        <is>
          <t>SMALL</t>
        </is>
      </c>
      <c r="I973" s="7" t="n">
        <v>5</v>
      </c>
      <c r="J973" s="7" t="inlineStr">
        <is>
          <t>D-03-02</t>
        </is>
      </c>
      <c r="K973" s="7" t="inlineStr"/>
      <c r="L973" s="9" t="n">
        <v>0</v>
      </c>
      <c r="M973" s="9" t="n">
        <v>0</v>
      </c>
      <c r="N973" s="9" t="n">
        <v>11</v>
      </c>
      <c r="O973" s="7" t="inlineStr">
        <is>
          <t>CTL</t>
        </is>
      </c>
      <c r="P973" s="7" t="inlineStr">
        <is>
          <t>CRITIQUE</t>
        </is>
      </c>
      <c r="Q973" s="7" t="inlineStr">
        <is>
          <t>WHAP</t>
        </is>
      </c>
      <c r="R973" s="7" t="inlineStr">
        <is>
          <t>OUI</t>
        </is>
      </c>
      <c r="S973" s="7" t="inlineStr">
        <is>
          <t>31/08/2026 02:59</t>
        </is>
      </c>
    </row>
    <row r="974">
      <c r="A974" s="8" t="inlineStr">
        <is>
          <t>WHAP-0970</t>
        </is>
      </c>
      <c r="B974" s="8" t="inlineStr">
        <is>
          <t>SUS-0970</t>
        </is>
      </c>
      <c r="C974" s="8" t="inlineStr">
        <is>
          <t>bras supérieur — avant gauche</t>
        </is>
      </c>
      <c r="D974" s="8" t="inlineStr">
        <is>
          <t>Suspension</t>
        </is>
      </c>
      <c r="E974" s="8" t="inlineStr">
        <is>
          <t>Suspension</t>
        </is>
      </c>
      <c r="F974" s="8" t="inlineStr">
        <is>
          <t>PIECE_VEHICULE</t>
        </is>
      </c>
      <c r="G974" s="8" t="inlineStr">
        <is>
          <t>unité</t>
        </is>
      </c>
      <c r="H974" s="8" t="inlineStr">
        <is>
          <t>LARGE</t>
        </is>
      </c>
      <c r="I974" s="8" t="n">
        <v>0</v>
      </c>
      <c r="J974" s="8" t="inlineStr">
        <is>
          <t>B-03-03</t>
        </is>
      </c>
      <c r="K974" s="8" t="inlineStr"/>
      <c r="L974" s="10" t="n">
        <v>0</v>
      </c>
      <c r="M974" s="10" t="n">
        <v>0</v>
      </c>
      <c r="N974" s="10" t="n">
        <v>29</v>
      </c>
      <c r="O974" s="8" t="inlineStr">
        <is>
          <t>VAL</t>
        </is>
      </c>
      <c r="P974" s="8" t="inlineStr">
        <is>
          <t>IMPORTANT</t>
        </is>
      </c>
      <c r="Q974" s="8" t="inlineStr">
        <is>
          <t>WHAP</t>
        </is>
      </c>
      <c r="R974" s="8" t="inlineStr">
        <is>
          <t>OUI</t>
        </is>
      </c>
      <c r="S974" s="8" t="inlineStr">
        <is>
          <t>31/08/2026 02:59</t>
        </is>
      </c>
    </row>
    <row r="975">
      <c r="A975" s="7" t="inlineStr">
        <is>
          <t>WHAP-0971</t>
        </is>
      </c>
      <c r="B975" s="7" t="inlineStr">
        <is>
          <t>SUS-0971</t>
        </is>
      </c>
      <c r="C975" s="7" t="inlineStr">
        <is>
          <t>bras inférieur — avant gauche</t>
        </is>
      </c>
      <c r="D975" s="7" t="inlineStr">
        <is>
          <t>Suspension</t>
        </is>
      </c>
      <c r="E975" s="7" t="inlineStr">
        <is>
          <t>Suspension</t>
        </is>
      </c>
      <c r="F975" s="7" t="inlineStr">
        <is>
          <t>PIECE_VEHICULE</t>
        </is>
      </c>
      <c r="G975" s="7" t="inlineStr">
        <is>
          <t>unité</t>
        </is>
      </c>
      <c r="H975" s="7" t="inlineStr">
        <is>
          <t>LARGE</t>
        </is>
      </c>
      <c r="I975" s="7" t="n">
        <v>0</v>
      </c>
      <c r="J975" s="7" t="inlineStr">
        <is>
          <t>B-01-01</t>
        </is>
      </c>
      <c r="K975" s="7" t="inlineStr"/>
      <c r="L975" s="9" t="n">
        <v>0</v>
      </c>
      <c r="M975" s="9" t="n">
        <v>0</v>
      </c>
      <c r="N975" s="9" t="n">
        <v>27</v>
      </c>
      <c r="O975" s="7" t="inlineStr">
        <is>
          <t>YZK</t>
        </is>
      </c>
      <c r="P975" s="7" t="inlineStr">
        <is>
          <t>IMPORTANT</t>
        </is>
      </c>
      <c r="Q975" s="7" t="inlineStr">
        <is>
          <t>WHAP</t>
        </is>
      </c>
      <c r="R975" s="7" t="inlineStr">
        <is>
          <t>OUI</t>
        </is>
      </c>
      <c r="S975" s="7" t="inlineStr">
        <is>
          <t>31/08/2026 02:59</t>
        </is>
      </c>
    </row>
    <row r="976">
      <c r="A976" s="8" t="inlineStr">
        <is>
          <t>WHAP-0972</t>
        </is>
      </c>
      <c r="B976" s="8" t="inlineStr">
        <is>
          <t>SUS-0972</t>
        </is>
      </c>
      <c r="C976" s="8" t="inlineStr">
        <is>
          <t>triangle de suspension — avant gauche</t>
        </is>
      </c>
      <c r="D976" s="8" t="inlineStr">
        <is>
          <t>Suspension</t>
        </is>
      </c>
      <c r="E976" s="8" t="inlineStr">
        <is>
          <t>Suspension</t>
        </is>
      </c>
      <c r="F976" s="8" t="inlineStr">
        <is>
          <t>PIECE_VEHICULE</t>
        </is>
      </c>
      <c r="G976" s="8" t="inlineStr">
        <is>
          <t>unité</t>
        </is>
      </c>
      <c r="H976" s="8" t="inlineStr">
        <is>
          <t>LARGE</t>
        </is>
      </c>
      <c r="I976" s="8" t="n">
        <v>0</v>
      </c>
      <c r="J976" s="8" t="inlineStr">
        <is>
          <t>D-05-02</t>
        </is>
      </c>
      <c r="K976" s="8" t="inlineStr"/>
      <c r="L976" s="10" t="n">
        <v>0</v>
      </c>
      <c r="M976" s="10" t="n">
        <v>0</v>
      </c>
      <c r="N976" s="10" t="n">
        <v>24</v>
      </c>
      <c r="O976" s="8" t="inlineStr">
        <is>
          <t>VAL</t>
        </is>
      </c>
      <c r="P976" s="8" t="inlineStr">
        <is>
          <t>IMPORTANT</t>
        </is>
      </c>
      <c r="Q976" s="8" t="inlineStr">
        <is>
          <t>WHAP</t>
        </is>
      </c>
      <c r="R976" s="8" t="inlineStr">
        <is>
          <t>OUI</t>
        </is>
      </c>
      <c r="S976" s="8" t="inlineStr">
        <is>
          <t>31/08/2026 02:59</t>
        </is>
      </c>
    </row>
    <row r="977">
      <c r="A977" s="7" t="inlineStr">
        <is>
          <t>WHAP-0973</t>
        </is>
      </c>
      <c r="B977" s="7" t="inlineStr">
        <is>
          <t>SUS-0973</t>
        </is>
      </c>
      <c r="C977" s="7" t="inlineStr">
        <is>
          <t>porte-moyeu — avant gauche</t>
        </is>
      </c>
      <c r="D977" s="7" t="inlineStr">
        <is>
          <t>Suspension</t>
        </is>
      </c>
      <c r="E977" s="7" t="inlineStr">
        <is>
          <t>Suspension</t>
        </is>
      </c>
      <c r="F977" s="7" t="inlineStr">
        <is>
          <t>PIECE_VEHICULE</t>
        </is>
      </c>
      <c r="G977" s="7" t="inlineStr">
        <is>
          <t>unité</t>
        </is>
      </c>
      <c r="H977" s="7" t="inlineStr">
        <is>
          <t>LARGE</t>
        </is>
      </c>
      <c r="I977" s="7" t="n">
        <v>0</v>
      </c>
      <c r="J977" s="7" t="inlineStr">
        <is>
          <t>F-06-01</t>
        </is>
      </c>
      <c r="K977" s="7" t="inlineStr"/>
      <c r="L977" s="9" t="n">
        <v>0</v>
      </c>
      <c r="M977" s="9" t="n">
        <v>0</v>
      </c>
      <c r="N977" s="9" t="n">
        <v>24</v>
      </c>
      <c r="O977" s="7" t="inlineStr">
        <is>
          <t>CTL</t>
        </is>
      </c>
      <c r="P977" s="7" t="inlineStr">
        <is>
          <t>IMPORTANT</t>
        </is>
      </c>
      <c r="Q977" s="7" t="inlineStr">
        <is>
          <t>WHAP</t>
        </is>
      </c>
      <c r="R977" s="7" t="inlineStr">
        <is>
          <t>OUI</t>
        </is>
      </c>
      <c r="S977" s="7" t="inlineStr">
        <is>
          <t>31/08/2026 02:59</t>
        </is>
      </c>
    </row>
    <row r="978">
      <c r="A978" s="8" t="inlineStr">
        <is>
          <t>WHAP-0974</t>
        </is>
      </c>
      <c r="B978" s="8" t="inlineStr">
        <is>
          <t>SUS-0974</t>
        </is>
      </c>
      <c r="C978" s="8" t="inlineStr">
        <is>
          <t>rotule supérieure — avant gauche</t>
        </is>
      </c>
      <c r="D978" s="8" t="inlineStr">
        <is>
          <t>Suspension</t>
        </is>
      </c>
      <c r="E978" s="8" t="inlineStr">
        <is>
          <t>Suspension</t>
        </is>
      </c>
      <c r="F978" s="8" t="inlineStr">
        <is>
          <t>PIECE_VEHICULE</t>
        </is>
      </c>
      <c r="G978" s="8" t="inlineStr">
        <is>
          <t>unité</t>
        </is>
      </c>
      <c r="H978" s="8" t="inlineStr">
        <is>
          <t>LARGE</t>
        </is>
      </c>
      <c r="I978" s="8" t="n">
        <v>0</v>
      </c>
      <c r="J978" s="8" t="inlineStr">
        <is>
          <t>F-06-01</t>
        </is>
      </c>
      <c r="K978" s="8" t="inlineStr"/>
      <c r="L978" s="10" t="n">
        <v>0</v>
      </c>
      <c r="M978" s="10" t="n">
        <v>0</v>
      </c>
      <c r="N978" s="10" t="n">
        <v>24</v>
      </c>
      <c r="O978" s="8" t="inlineStr">
        <is>
          <t>SKF</t>
        </is>
      </c>
      <c r="P978" s="8" t="inlineStr">
        <is>
          <t>IMPORTANT</t>
        </is>
      </c>
      <c r="Q978" s="8" t="inlineStr">
        <is>
          <t>WHAP</t>
        </is>
      </c>
      <c r="R978" s="8" t="inlineStr">
        <is>
          <t>OUI</t>
        </is>
      </c>
      <c r="S978" s="8" t="inlineStr">
        <is>
          <t>31/08/2026 02:59</t>
        </is>
      </c>
    </row>
    <row r="979">
      <c r="A979" s="7" t="inlineStr">
        <is>
          <t>WHAP-0975</t>
        </is>
      </c>
      <c r="B979" s="7" t="inlineStr">
        <is>
          <t>SUS-0975</t>
        </is>
      </c>
      <c r="C979" s="7" t="inlineStr">
        <is>
          <t>rotule inférieure — avant gauche</t>
        </is>
      </c>
      <c r="D979" s="7" t="inlineStr">
        <is>
          <t>Suspension</t>
        </is>
      </c>
      <c r="E979" s="7" t="inlineStr">
        <is>
          <t>Suspension</t>
        </is>
      </c>
      <c r="F979" s="7" t="inlineStr">
        <is>
          <t>PIECE_VEHICULE</t>
        </is>
      </c>
      <c r="G979" s="7" t="inlineStr">
        <is>
          <t>unité</t>
        </is>
      </c>
      <c r="H979" s="7" t="inlineStr">
        <is>
          <t>LARGE</t>
        </is>
      </c>
      <c r="I979" s="7" t="n">
        <v>0</v>
      </c>
      <c r="J979" s="7" t="inlineStr">
        <is>
          <t>C-03-04</t>
        </is>
      </c>
      <c r="K979" s="7" t="inlineStr"/>
      <c r="L979" s="9" t="n">
        <v>0</v>
      </c>
      <c r="M979" s="9" t="n">
        <v>0</v>
      </c>
      <c r="N979" s="9" t="n">
        <v>25</v>
      </c>
      <c r="O979" s="7" t="inlineStr">
        <is>
          <t>DEL</t>
        </is>
      </c>
      <c r="P979" s="7" t="inlineStr">
        <is>
          <t>IMPORTANT</t>
        </is>
      </c>
      <c r="Q979" s="7" t="inlineStr">
        <is>
          <t>WHAP</t>
        </is>
      </c>
      <c r="R979" s="7" t="inlineStr">
        <is>
          <t>OUI</t>
        </is>
      </c>
      <c r="S979" s="7" t="inlineStr">
        <is>
          <t>31/08/2026 02:59</t>
        </is>
      </c>
    </row>
    <row r="980">
      <c r="A980" s="8" t="inlineStr">
        <is>
          <t>WHAP-0976</t>
        </is>
      </c>
      <c r="B980" s="8" t="inlineStr">
        <is>
          <t>SUS-0976</t>
        </is>
      </c>
      <c r="C980" s="8" t="inlineStr">
        <is>
          <t>amortisseur — avant gauche</t>
        </is>
      </c>
      <c r="D980" s="8" t="inlineStr">
        <is>
          <t>Suspension</t>
        </is>
      </c>
      <c r="E980" s="8" t="inlineStr">
        <is>
          <t>Suspension</t>
        </is>
      </c>
      <c r="F980" s="8" t="inlineStr">
        <is>
          <t>PIECE_VEHICULE</t>
        </is>
      </c>
      <c r="G980" s="8" t="inlineStr">
        <is>
          <t>unité</t>
        </is>
      </c>
      <c r="H980" s="8" t="inlineStr">
        <is>
          <t>LARGE</t>
        </is>
      </c>
      <c r="I980" s="8" t="n">
        <v>0</v>
      </c>
      <c r="J980" s="8" t="inlineStr">
        <is>
          <t>B-05-04</t>
        </is>
      </c>
      <c r="K980" s="8" t="inlineStr"/>
      <c r="L980" s="10" t="n">
        <v>0</v>
      </c>
      <c r="M980" s="10" t="n">
        <v>0</v>
      </c>
      <c r="N980" s="10" t="n">
        <v>30</v>
      </c>
      <c r="O980" s="8" t="inlineStr">
        <is>
          <t>YZK</t>
        </is>
      </c>
      <c r="P980" s="8" t="inlineStr">
        <is>
          <t>IMPORTANT</t>
        </is>
      </c>
      <c r="Q980" s="8" t="inlineStr">
        <is>
          <t>WHAP</t>
        </is>
      </c>
      <c r="R980" s="8" t="inlineStr">
        <is>
          <t>OUI</t>
        </is>
      </c>
      <c r="S980" s="8" t="inlineStr">
        <is>
          <t>31/08/2026 02:59</t>
        </is>
      </c>
    </row>
    <row r="981">
      <c r="A981" s="7" t="inlineStr">
        <is>
          <t>WHAP-0977</t>
        </is>
      </c>
      <c r="B981" s="7" t="inlineStr">
        <is>
          <t>SUS-0977</t>
        </is>
      </c>
      <c r="C981" s="7" t="inlineStr">
        <is>
          <t>jambe hydropneumatique — avant gauche</t>
        </is>
      </c>
      <c r="D981" s="7" t="inlineStr">
        <is>
          <t>Suspension</t>
        </is>
      </c>
      <c r="E981" s="7" t="inlineStr">
        <is>
          <t>Suspension</t>
        </is>
      </c>
      <c r="F981" s="7" t="inlineStr">
        <is>
          <t>PIECE_VEHICULE</t>
        </is>
      </c>
      <c r="G981" s="7" t="inlineStr">
        <is>
          <t>unité</t>
        </is>
      </c>
      <c r="H981" s="7" t="inlineStr">
        <is>
          <t>LARGE</t>
        </is>
      </c>
      <c r="I981" s="7" t="n">
        <v>0</v>
      </c>
      <c r="J981" s="7" t="inlineStr">
        <is>
          <t>A-06-02</t>
        </is>
      </c>
      <c r="K981" s="7" t="inlineStr"/>
      <c r="L981" s="9" t="n">
        <v>0</v>
      </c>
      <c r="M981" s="9" t="n">
        <v>0</v>
      </c>
      <c r="N981" s="9" t="n">
        <v>24</v>
      </c>
      <c r="O981" s="7" t="inlineStr">
        <is>
          <t>DEL</t>
        </is>
      </c>
      <c r="P981" s="7" t="inlineStr">
        <is>
          <t>IMPORTANT</t>
        </is>
      </c>
      <c r="Q981" s="7" t="inlineStr">
        <is>
          <t>WHAP</t>
        </is>
      </c>
      <c r="R981" s="7" t="inlineStr">
        <is>
          <t>OUI</t>
        </is>
      </c>
      <c r="S981" s="7" t="inlineStr">
        <is>
          <t>31/08/2026 02:59</t>
        </is>
      </c>
    </row>
    <row r="982">
      <c r="A982" s="8" t="inlineStr">
        <is>
          <t>WHAP-0978</t>
        </is>
      </c>
      <c r="B982" s="8" t="inlineStr">
        <is>
          <t>SUS-0978</t>
        </is>
      </c>
      <c r="C982" s="8" t="inlineStr">
        <is>
          <t>accumulateur hydropneumatique — avant gauche</t>
        </is>
      </c>
      <c r="D982" s="8" t="inlineStr">
        <is>
          <t>Suspension</t>
        </is>
      </c>
      <c r="E982" s="8" t="inlineStr">
        <is>
          <t>Suspension</t>
        </is>
      </c>
      <c r="F982" s="8" t="inlineStr">
        <is>
          <t>PIECE_VEHICULE</t>
        </is>
      </c>
      <c r="G982" s="8" t="inlineStr">
        <is>
          <t>unité</t>
        </is>
      </c>
      <c r="H982" s="8" t="inlineStr">
        <is>
          <t>LARGE</t>
        </is>
      </c>
      <c r="I982" s="8" t="n">
        <v>0</v>
      </c>
      <c r="J982" s="8" t="inlineStr">
        <is>
          <t>B-03-04</t>
        </is>
      </c>
      <c r="K982" s="8" t="inlineStr"/>
      <c r="L982" s="10" t="n">
        <v>0</v>
      </c>
      <c r="M982" s="10" t="n">
        <v>0</v>
      </c>
      <c r="N982" s="10" t="n">
        <v>23</v>
      </c>
      <c r="O982" s="8" t="inlineStr">
        <is>
          <t>CTL</t>
        </is>
      </c>
      <c r="P982" s="8" t="inlineStr">
        <is>
          <t>IMPORTANT</t>
        </is>
      </c>
      <c r="Q982" s="8" t="inlineStr">
        <is>
          <t>WHAP</t>
        </is>
      </c>
      <c r="R982" s="8" t="inlineStr">
        <is>
          <t>OUI</t>
        </is>
      </c>
      <c r="S982" s="8" t="inlineStr">
        <is>
          <t>31/08/2026 02:59</t>
        </is>
      </c>
    </row>
    <row r="983">
      <c r="A983" s="7" t="inlineStr">
        <is>
          <t>WHAP-0979</t>
        </is>
      </c>
      <c r="B983" s="7" t="inlineStr">
        <is>
          <t>SUS-0979</t>
        </is>
      </c>
      <c r="C983" s="7" t="inlineStr">
        <is>
          <t>cylindre de suspension — avant gauche</t>
        </is>
      </c>
      <c r="D983" s="7" t="inlineStr">
        <is>
          <t>Suspension</t>
        </is>
      </c>
      <c r="E983" s="7" t="inlineStr">
        <is>
          <t>Suspension</t>
        </is>
      </c>
      <c r="F983" s="7" t="inlineStr">
        <is>
          <t>PIECE_VEHICULE</t>
        </is>
      </c>
      <c r="G983" s="7" t="inlineStr">
        <is>
          <t>unité</t>
        </is>
      </c>
      <c r="H983" s="7" t="inlineStr">
        <is>
          <t>LARGE</t>
        </is>
      </c>
      <c r="I983" s="7" t="n">
        <v>0</v>
      </c>
      <c r="J983" s="7" t="inlineStr">
        <is>
          <t>D-06-01</t>
        </is>
      </c>
      <c r="K983" s="7" t="inlineStr"/>
      <c r="L983" s="9" t="n">
        <v>0</v>
      </c>
      <c r="M983" s="9" t="n">
        <v>0</v>
      </c>
      <c r="N983" s="9" t="n">
        <v>29</v>
      </c>
      <c r="O983" s="7" t="inlineStr">
        <is>
          <t>SKF</t>
        </is>
      </c>
      <c r="P983" s="7" t="inlineStr">
        <is>
          <t>IMPORTANT</t>
        </is>
      </c>
      <c r="Q983" s="7" t="inlineStr">
        <is>
          <t>WHAP</t>
        </is>
      </c>
      <c r="R983" s="7" t="inlineStr">
        <is>
          <t>OUI</t>
        </is>
      </c>
      <c r="S983" s="7" t="inlineStr">
        <is>
          <t>31/08/2026 02:59</t>
        </is>
      </c>
    </row>
    <row r="984">
      <c r="A984" s="8" t="inlineStr">
        <is>
          <t>WHAP-0980</t>
        </is>
      </c>
      <c r="B984" s="8" t="inlineStr">
        <is>
          <t>SUS-0980</t>
        </is>
      </c>
      <c r="C984" s="8" t="inlineStr">
        <is>
          <t>piston de suspension — avant gauche</t>
        </is>
      </c>
      <c r="D984" s="8" t="inlineStr">
        <is>
          <t>Suspension</t>
        </is>
      </c>
      <c r="E984" s="8" t="inlineStr">
        <is>
          <t>Suspension</t>
        </is>
      </c>
      <c r="F984" s="8" t="inlineStr">
        <is>
          <t>PIECE_VEHICULE</t>
        </is>
      </c>
      <c r="G984" s="8" t="inlineStr">
        <is>
          <t>unité</t>
        </is>
      </c>
      <c r="H984" s="8" t="inlineStr">
        <is>
          <t>LARGE</t>
        </is>
      </c>
      <c r="I984" s="8" t="n">
        <v>0</v>
      </c>
      <c r="J984" s="8" t="inlineStr">
        <is>
          <t>A-05-04</t>
        </is>
      </c>
      <c r="K984" s="8" t="inlineStr"/>
      <c r="L984" s="10" t="n">
        <v>0</v>
      </c>
      <c r="M984" s="10" t="n">
        <v>0</v>
      </c>
      <c r="N984" s="10" t="n">
        <v>22</v>
      </c>
      <c r="O984" s="8" t="inlineStr">
        <is>
          <t>DEL</t>
        </is>
      </c>
      <c r="P984" s="8" t="inlineStr">
        <is>
          <t>IMPORTANT</t>
        </is>
      </c>
      <c r="Q984" s="8" t="inlineStr">
        <is>
          <t>WHAP</t>
        </is>
      </c>
      <c r="R984" s="8" t="inlineStr">
        <is>
          <t>OUI</t>
        </is>
      </c>
      <c r="S984" s="8" t="inlineStr">
        <is>
          <t>31/08/2026 02:59</t>
        </is>
      </c>
    </row>
    <row r="985">
      <c r="A985" s="7" t="inlineStr">
        <is>
          <t>WHAP-0981</t>
        </is>
      </c>
      <c r="B985" s="7" t="inlineStr">
        <is>
          <t>SUS-0981</t>
        </is>
      </c>
      <c r="C985" s="7" t="inlineStr">
        <is>
          <t>tige de suspension — avant gauche</t>
        </is>
      </c>
      <c r="D985" s="7" t="inlineStr">
        <is>
          <t>Suspension</t>
        </is>
      </c>
      <c r="E985" s="7" t="inlineStr">
        <is>
          <t>Suspension</t>
        </is>
      </c>
      <c r="F985" s="7" t="inlineStr">
        <is>
          <t>PIECE_VEHICULE</t>
        </is>
      </c>
      <c r="G985" s="7" t="inlineStr">
        <is>
          <t>unité</t>
        </is>
      </c>
      <c r="H985" s="7" t="inlineStr">
        <is>
          <t>LARGE</t>
        </is>
      </c>
      <c r="I985" s="7" t="n">
        <v>0</v>
      </c>
      <c r="J985" s="7" t="inlineStr">
        <is>
          <t>F-01-02</t>
        </is>
      </c>
      <c r="K985" s="7" t="inlineStr"/>
      <c r="L985" s="9" t="n">
        <v>0</v>
      </c>
      <c r="M985" s="9" t="n">
        <v>0</v>
      </c>
      <c r="N985" s="9" t="n">
        <v>28</v>
      </c>
      <c r="O985" s="7" t="inlineStr">
        <is>
          <t>SKF</t>
        </is>
      </c>
      <c r="P985" s="7" t="inlineStr">
        <is>
          <t>IMPORTANT</t>
        </is>
      </c>
      <c r="Q985" s="7" t="inlineStr">
        <is>
          <t>WHAP</t>
        </is>
      </c>
      <c r="R985" s="7" t="inlineStr">
        <is>
          <t>OUI</t>
        </is>
      </c>
      <c r="S985" s="7" t="inlineStr">
        <is>
          <t>31/08/2026 02:59</t>
        </is>
      </c>
    </row>
    <row r="986">
      <c r="A986" s="8" t="inlineStr">
        <is>
          <t>WHAP-0982</t>
        </is>
      </c>
      <c r="B986" s="8" t="inlineStr">
        <is>
          <t>SUS-0982</t>
        </is>
      </c>
      <c r="C986" s="8" t="inlineStr">
        <is>
          <t>joint de tige — avant gauche</t>
        </is>
      </c>
      <c r="D986" s="8" t="inlineStr">
        <is>
          <t>Suspension</t>
        </is>
      </c>
      <c r="E986" s="8" t="inlineStr">
        <is>
          <t>Suspension</t>
        </is>
      </c>
      <c r="F986" s="8" t="inlineStr">
        <is>
          <t>PIECE_VEHICULE</t>
        </is>
      </c>
      <c r="G986" s="8" t="inlineStr">
        <is>
          <t>unité</t>
        </is>
      </c>
      <c r="H986" s="8" t="inlineStr">
        <is>
          <t>LARGE</t>
        </is>
      </c>
      <c r="I986" s="8" t="n">
        <v>0</v>
      </c>
      <c r="J986" s="8" t="inlineStr">
        <is>
          <t>E-01-02</t>
        </is>
      </c>
      <c r="K986" s="8" t="inlineStr"/>
      <c r="L986" s="10" t="n">
        <v>0</v>
      </c>
      <c r="M986" s="10" t="n">
        <v>0</v>
      </c>
      <c r="N986" s="10" t="n">
        <v>29</v>
      </c>
      <c r="O986" s="8" t="inlineStr">
        <is>
          <t>SUM</t>
        </is>
      </c>
      <c r="P986" s="8" t="inlineStr">
        <is>
          <t>IMPORTANT</t>
        </is>
      </c>
      <c r="Q986" s="8" t="inlineStr">
        <is>
          <t>WHAP</t>
        </is>
      </c>
      <c r="R986" s="8" t="inlineStr">
        <is>
          <t>OUI</t>
        </is>
      </c>
      <c r="S986" s="8" t="inlineStr">
        <is>
          <t>31/08/2026 02:59</t>
        </is>
      </c>
    </row>
    <row r="987">
      <c r="A987" s="7" t="inlineStr">
        <is>
          <t>WHAP-0983</t>
        </is>
      </c>
      <c r="B987" s="7" t="inlineStr">
        <is>
          <t>SUS-0983</t>
        </is>
      </c>
      <c r="C987" s="7" t="inlineStr">
        <is>
          <t>bague de guidage — avant gauche</t>
        </is>
      </c>
      <c r="D987" s="7" t="inlineStr">
        <is>
          <t>Suspension</t>
        </is>
      </c>
      <c r="E987" s="7" t="inlineStr">
        <is>
          <t>Suspension</t>
        </is>
      </c>
      <c r="F987" s="7" t="inlineStr">
        <is>
          <t>PIECE_VEHICULE</t>
        </is>
      </c>
      <c r="G987" s="7" t="inlineStr">
        <is>
          <t>unité</t>
        </is>
      </c>
      <c r="H987" s="7" t="inlineStr">
        <is>
          <t>LARGE</t>
        </is>
      </c>
      <c r="I987" s="7" t="n">
        <v>0</v>
      </c>
      <c r="J987" s="7" t="inlineStr">
        <is>
          <t>C-05-03</t>
        </is>
      </c>
      <c r="K987" s="7" t="inlineStr"/>
      <c r="L987" s="9" t="n">
        <v>0</v>
      </c>
      <c r="M987" s="9" t="n">
        <v>0</v>
      </c>
      <c r="N987" s="9" t="n">
        <v>28</v>
      </c>
      <c r="O987" s="7" t="inlineStr">
        <is>
          <t>BOS</t>
        </is>
      </c>
      <c r="P987" s="7" t="inlineStr">
        <is>
          <t>IMPORTANT</t>
        </is>
      </c>
      <c r="Q987" s="7" t="inlineStr">
        <is>
          <t>WHAP</t>
        </is>
      </c>
      <c r="R987" s="7" t="inlineStr">
        <is>
          <t>OUI</t>
        </is>
      </c>
      <c r="S987" s="7" t="inlineStr">
        <is>
          <t>31/08/2026 02:59</t>
        </is>
      </c>
    </row>
    <row r="988">
      <c r="A988" s="8" t="inlineStr">
        <is>
          <t>WHAP-0984</t>
        </is>
      </c>
      <c r="B988" s="8" t="inlineStr">
        <is>
          <t>SUS-0984</t>
        </is>
      </c>
      <c r="C988" s="8" t="inlineStr">
        <is>
          <t>ressort auxiliaire — avant gauche</t>
        </is>
      </c>
      <c r="D988" s="8" t="inlineStr">
        <is>
          <t>Suspension</t>
        </is>
      </c>
      <c r="E988" s="8" t="inlineStr">
        <is>
          <t>Suspension</t>
        </is>
      </c>
      <c r="F988" s="8" t="inlineStr">
        <is>
          <t>PIECE_VEHICULE</t>
        </is>
      </c>
      <c r="G988" s="8" t="inlineStr">
        <is>
          <t>unité</t>
        </is>
      </c>
      <c r="H988" s="8" t="inlineStr">
        <is>
          <t>LARGE</t>
        </is>
      </c>
      <c r="I988" s="8" t="n">
        <v>0</v>
      </c>
      <c r="J988" s="8" t="inlineStr">
        <is>
          <t>E-04-04</t>
        </is>
      </c>
      <c r="K988" s="8" t="inlineStr"/>
      <c r="L988" s="10" t="n">
        <v>0</v>
      </c>
      <c r="M988" s="10" t="n">
        <v>0</v>
      </c>
      <c r="N988" s="10" t="n">
        <v>27</v>
      </c>
      <c r="O988" s="8" t="inlineStr">
        <is>
          <t>DEL</t>
        </is>
      </c>
      <c r="P988" s="8" t="inlineStr">
        <is>
          <t>IMPORTANT</t>
        </is>
      </c>
      <c r="Q988" s="8" t="inlineStr">
        <is>
          <t>WHAP</t>
        </is>
      </c>
      <c r="R988" s="8" t="inlineStr">
        <is>
          <t>OUI</t>
        </is>
      </c>
      <c r="S988" s="8" t="inlineStr">
        <is>
          <t>31/08/2026 02:59</t>
        </is>
      </c>
    </row>
    <row r="989">
      <c r="A989" s="7" t="inlineStr">
        <is>
          <t>WHAP-0985</t>
        </is>
      </c>
      <c r="B989" s="7" t="inlineStr">
        <is>
          <t>SUS-0985</t>
        </is>
      </c>
      <c r="C989" s="7" t="inlineStr">
        <is>
          <t>butée de suspension — avant gauche</t>
        </is>
      </c>
      <c r="D989" s="7" t="inlineStr">
        <is>
          <t>Suspension</t>
        </is>
      </c>
      <c r="E989" s="7" t="inlineStr">
        <is>
          <t>Suspension</t>
        </is>
      </c>
      <c r="F989" s="7" t="inlineStr">
        <is>
          <t>PIECE_VEHICULE</t>
        </is>
      </c>
      <c r="G989" s="7" t="inlineStr">
        <is>
          <t>unité</t>
        </is>
      </c>
      <c r="H989" s="7" t="inlineStr">
        <is>
          <t>LARGE</t>
        </is>
      </c>
      <c r="I989" s="7" t="n">
        <v>0</v>
      </c>
      <c r="J989" s="7" t="inlineStr">
        <is>
          <t>B-02-02</t>
        </is>
      </c>
      <c r="K989" s="7" t="inlineStr"/>
      <c r="L989" s="9" t="n">
        <v>0</v>
      </c>
      <c r="M989" s="9" t="n">
        <v>0</v>
      </c>
      <c r="N989" s="9" t="n">
        <v>28</v>
      </c>
      <c r="O989" s="7" t="inlineStr">
        <is>
          <t>SKF</t>
        </is>
      </c>
      <c r="P989" s="7" t="inlineStr">
        <is>
          <t>IMPORTANT</t>
        </is>
      </c>
      <c r="Q989" s="7" t="inlineStr">
        <is>
          <t>WHAP</t>
        </is>
      </c>
      <c r="R989" s="7" t="inlineStr">
        <is>
          <t>OUI</t>
        </is>
      </c>
      <c r="S989" s="7" t="inlineStr">
        <is>
          <t>31/08/2026 02:59</t>
        </is>
      </c>
    </row>
    <row r="990">
      <c r="A990" s="8" t="inlineStr">
        <is>
          <t>WHAP-0986</t>
        </is>
      </c>
      <c r="B990" s="8" t="inlineStr">
        <is>
          <t>SUS-0986</t>
        </is>
      </c>
      <c r="C990" s="8" t="inlineStr">
        <is>
          <t>silentbloc de bras — avant gauche</t>
        </is>
      </c>
      <c r="D990" s="8" t="inlineStr">
        <is>
          <t>Suspension</t>
        </is>
      </c>
      <c r="E990" s="8" t="inlineStr">
        <is>
          <t>Suspension</t>
        </is>
      </c>
      <c r="F990" s="8" t="inlineStr">
        <is>
          <t>PIECE_VEHICULE</t>
        </is>
      </c>
      <c r="G990" s="8" t="inlineStr">
        <is>
          <t>unité</t>
        </is>
      </c>
      <c r="H990" s="8" t="inlineStr">
        <is>
          <t>LARGE</t>
        </is>
      </c>
      <c r="I990" s="8" t="n">
        <v>0</v>
      </c>
      <c r="J990" s="8" t="inlineStr">
        <is>
          <t>F-02-02</t>
        </is>
      </c>
      <c r="K990" s="8" t="inlineStr"/>
      <c r="L990" s="10" t="n">
        <v>0</v>
      </c>
      <c r="M990" s="10" t="n">
        <v>0</v>
      </c>
      <c r="N990" s="10" t="n">
        <v>31</v>
      </c>
      <c r="O990" s="8" t="inlineStr">
        <is>
          <t>CTL</t>
        </is>
      </c>
      <c r="P990" s="8" t="inlineStr">
        <is>
          <t>IMPORTANT</t>
        </is>
      </c>
      <c r="Q990" s="8" t="inlineStr">
        <is>
          <t>WHAP</t>
        </is>
      </c>
      <c r="R990" s="8" t="inlineStr">
        <is>
          <t>OUI</t>
        </is>
      </c>
      <c r="S990" s="8" t="inlineStr">
        <is>
          <t>31/08/2026 02:59</t>
        </is>
      </c>
    </row>
    <row r="991">
      <c r="A991" s="7" t="inlineStr">
        <is>
          <t>WHAP-0987</t>
        </is>
      </c>
      <c r="B991" s="7" t="inlineStr">
        <is>
          <t>SUS-0987</t>
        </is>
      </c>
      <c r="C991" s="7" t="inlineStr">
        <is>
          <t>support de suspension — avant gauche</t>
        </is>
      </c>
      <c r="D991" s="7" t="inlineStr">
        <is>
          <t>Suspension</t>
        </is>
      </c>
      <c r="E991" s="7" t="inlineStr">
        <is>
          <t>Suspension</t>
        </is>
      </c>
      <c r="F991" s="7" t="inlineStr">
        <is>
          <t>PIECE_VEHICULE</t>
        </is>
      </c>
      <c r="G991" s="7" t="inlineStr">
        <is>
          <t>unité</t>
        </is>
      </c>
      <c r="H991" s="7" t="inlineStr">
        <is>
          <t>LARGE</t>
        </is>
      </c>
      <c r="I991" s="7" t="n">
        <v>0</v>
      </c>
      <c r="J991" s="7" t="inlineStr">
        <is>
          <t>F-04-03</t>
        </is>
      </c>
      <c r="K991" s="7" t="inlineStr"/>
      <c r="L991" s="9" t="n">
        <v>0</v>
      </c>
      <c r="M991" s="9" t="n">
        <v>0</v>
      </c>
      <c r="N991" s="9" t="n">
        <v>31</v>
      </c>
      <c r="O991" s="7" t="inlineStr">
        <is>
          <t>VAL</t>
        </is>
      </c>
      <c r="P991" s="7" t="inlineStr">
        <is>
          <t>IMPORTANT</t>
        </is>
      </c>
      <c r="Q991" s="7" t="inlineStr">
        <is>
          <t>WHAP</t>
        </is>
      </c>
      <c r="R991" s="7" t="inlineStr">
        <is>
          <t>OUI</t>
        </is>
      </c>
      <c r="S991" s="7" t="inlineStr">
        <is>
          <t>31/08/2026 02:59</t>
        </is>
      </c>
    </row>
    <row r="992">
      <c r="A992" s="8" t="inlineStr">
        <is>
          <t>WHAP-0988</t>
        </is>
      </c>
      <c r="B992" s="8" t="inlineStr">
        <is>
          <t>SUS-0988</t>
        </is>
      </c>
      <c r="C992" s="8" t="inlineStr">
        <is>
          <t>capteur de hauteur — avant gauche</t>
        </is>
      </c>
      <c r="D992" s="8" t="inlineStr">
        <is>
          <t>Suspension</t>
        </is>
      </c>
      <c r="E992" s="8" t="inlineStr">
        <is>
          <t>Suspension</t>
        </is>
      </c>
      <c r="F992" s="8" t="inlineStr">
        <is>
          <t>PIECE_VEHICULE</t>
        </is>
      </c>
      <c r="G992" s="8" t="inlineStr">
        <is>
          <t>unité</t>
        </is>
      </c>
      <c r="H992" s="8" t="inlineStr">
        <is>
          <t>LARGE</t>
        </is>
      </c>
      <c r="I992" s="8" t="n">
        <v>0</v>
      </c>
      <c r="J992" s="8" t="inlineStr">
        <is>
          <t>F-02-01</t>
        </is>
      </c>
      <c r="K992" s="8" t="inlineStr"/>
      <c r="L992" s="10" t="n">
        <v>0</v>
      </c>
      <c r="M992" s="10" t="n">
        <v>0</v>
      </c>
      <c r="N992" s="10" t="n">
        <v>22</v>
      </c>
      <c r="O992" s="8" t="inlineStr">
        <is>
          <t>YZK</t>
        </is>
      </c>
      <c r="P992" s="8" t="inlineStr">
        <is>
          <t>IMPORTANT</t>
        </is>
      </c>
      <c r="Q992" s="8" t="inlineStr">
        <is>
          <t>WHAP</t>
        </is>
      </c>
      <c r="R992" s="8" t="inlineStr">
        <is>
          <t>OUI</t>
        </is>
      </c>
      <c r="S992" s="8" t="inlineStr">
        <is>
          <t>31/08/2026 02:59</t>
        </is>
      </c>
    </row>
    <row r="993">
      <c r="A993" s="7" t="inlineStr">
        <is>
          <t>WHAP-0989</t>
        </is>
      </c>
      <c r="B993" s="7" t="inlineStr">
        <is>
          <t>SUS-0989</t>
        </is>
      </c>
      <c r="C993" s="7" t="inlineStr">
        <is>
          <t>valve de suspension — avant gauche</t>
        </is>
      </c>
      <c r="D993" s="7" t="inlineStr">
        <is>
          <t>Suspension</t>
        </is>
      </c>
      <c r="E993" s="7" t="inlineStr">
        <is>
          <t>Suspension</t>
        </is>
      </c>
      <c r="F993" s="7" t="inlineStr">
        <is>
          <t>PIECE_VEHICULE</t>
        </is>
      </c>
      <c r="G993" s="7" t="inlineStr">
        <is>
          <t>unité</t>
        </is>
      </c>
      <c r="H993" s="7" t="inlineStr">
        <is>
          <t>LARGE</t>
        </is>
      </c>
      <c r="I993" s="7" t="n">
        <v>0</v>
      </c>
      <c r="J993" s="7" t="inlineStr">
        <is>
          <t>E-04-04</t>
        </is>
      </c>
      <c r="K993" s="7" t="inlineStr"/>
      <c r="L993" s="9" t="n">
        <v>0</v>
      </c>
      <c r="M993" s="9" t="n">
        <v>0</v>
      </c>
      <c r="N993" s="9" t="n">
        <v>26</v>
      </c>
      <c r="O993" s="7" t="inlineStr">
        <is>
          <t>DEL</t>
        </is>
      </c>
      <c r="P993" s="7" t="inlineStr">
        <is>
          <t>IMPORTANT</t>
        </is>
      </c>
      <c r="Q993" s="7" t="inlineStr">
        <is>
          <t>WHAP</t>
        </is>
      </c>
      <c r="R993" s="7" t="inlineStr">
        <is>
          <t>OUI</t>
        </is>
      </c>
      <c r="S993" s="7" t="inlineStr">
        <is>
          <t>31/08/2026 02:59</t>
        </is>
      </c>
    </row>
    <row r="994">
      <c r="A994" s="8" t="inlineStr">
        <is>
          <t>WHAP-0990</t>
        </is>
      </c>
      <c r="B994" s="8" t="inlineStr">
        <is>
          <t>SUS-0990</t>
        </is>
      </c>
      <c r="C994" s="8" t="inlineStr">
        <is>
          <t>conduite hydraulique — avant gauche</t>
        </is>
      </c>
      <c r="D994" s="8" t="inlineStr">
        <is>
          <t>Suspension</t>
        </is>
      </c>
      <c r="E994" s="8" t="inlineStr">
        <is>
          <t>Suspension</t>
        </is>
      </c>
      <c r="F994" s="8" t="inlineStr">
        <is>
          <t>PIECE_VEHICULE</t>
        </is>
      </c>
      <c r="G994" s="8" t="inlineStr">
        <is>
          <t>unité</t>
        </is>
      </c>
      <c r="H994" s="8" t="inlineStr">
        <is>
          <t>LARGE</t>
        </is>
      </c>
      <c r="I994" s="8" t="n">
        <v>0</v>
      </c>
      <c r="J994" s="8" t="inlineStr">
        <is>
          <t>B-01-03</t>
        </is>
      </c>
      <c r="K994" s="8" t="inlineStr"/>
      <c r="L994" s="10" t="n">
        <v>0</v>
      </c>
      <c r="M994" s="10" t="n">
        <v>0</v>
      </c>
      <c r="N994" s="10" t="n">
        <v>24</v>
      </c>
      <c r="O994" s="8" t="inlineStr">
        <is>
          <t>FAU</t>
        </is>
      </c>
      <c r="P994" s="8" t="inlineStr">
        <is>
          <t>IMPORTANT</t>
        </is>
      </c>
      <c r="Q994" s="8" t="inlineStr">
        <is>
          <t>WHAP</t>
        </is>
      </c>
      <c r="R994" s="8" t="inlineStr">
        <is>
          <t>OUI</t>
        </is>
      </c>
      <c r="S994" s="8" t="inlineStr">
        <is>
          <t>31/08/2026 02:59</t>
        </is>
      </c>
    </row>
    <row r="995">
      <c r="A995" s="7" t="inlineStr">
        <is>
          <t>WHAP-0991</t>
        </is>
      </c>
      <c r="B995" s="7" t="inlineStr">
        <is>
          <t>SUS-0991</t>
        </is>
      </c>
      <c r="C995" s="7" t="inlineStr">
        <is>
          <t>raccord hydraulique — avant gauche</t>
        </is>
      </c>
      <c r="D995" s="7" t="inlineStr">
        <is>
          <t>Suspension</t>
        </is>
      </c>
      <c r="E995" s="7" t="inlineStr">
        <is>
          <t>Suspension</t>
        </is>
      </c>
      <c r="F995" s="7" t="inlineStr">
        <is>
          <t>PIECE_VEHICULE</t>
        </is>
      </c>
      <c r="G995" s="7" t="inlineStr">
        <is>
          <t>unité</t>
        </is>
      </c>
      <c r="H995" s="7" t="inlineStr">
        <is>
          <t>LARGE</t>
        </is>
      </c>
      <c r="I995" s="7" t="n">
        <v>0</v>
      </c>
      <c r="J995" s="7" t="inlineStr">
        <is>
          <t>D-04-02</t>
        </is>
      </c>
      <c r="K995" s="7" t="inlineStr"/>
      <c r="L995" s="9" t="n">
        <v>0</v>
      </c>
      <c r="M995" s="9" t="n">
        <v>0</v>
      </c>
      <c r="N995" s="9" t="n">
        <v>26</v>
      </c>
      <c r="O995" s="7" t="inlineStr">
        <is>
          <t>YZK</t>
        </is>
      </c>
      <c r="P995" s="7" t="inlineStr">
        <is>
          <t>IMPORTANT</t>
        </is>
      </c>
      <c r="Q995" s="7" t="inlineStr">
        <is>
          <t>WHAP</t>
        </is>
      </c>
      <c r="R995" s="7" t="inlineStr">
        <is>
          <t>OUI</t>
        </is>
      </c>
      <c r="S995" s="7" t="inlineStr">
        <is>
          <t>31/08/2026 02:59</t>
        </is>
      </c>
    </row>
    <row r="996">
      <c r="A996" s="8" t="inlineStr">
        <is>
          <t>WHAP-0992</t>
        </is>
      </c>
      <c r="B996" s="8" t="inlineStr">
        <is>
          <t>SUS-0992</t>
        </is>
      </c>
      <c r="C996" s="8" t="inlineStr">
        <is>
          <t>pompe hydraulique — avant gauche</t>
        </is>
      </c>
      <c r="D996" s="8" t="inlineStr">
        <is>
          <t>Suspension</t>
        </is>
      </c>
      <c r="E996" s="8" t="inlineStr">
        <is>
          <t>Suspension</t>
        </is>
      </c>
      <c r="F996" s="8" t="inlineStr">
        <is>
          <t>PIECE_VEHICULE</t>
        </is>
      </c>
      <c r="G996" s="8" t="inlineStr">
        <is>
          <t>unité</t>
        </is>
      </c>
      <c r="H996" s="8" t="inlineStr">
        <is>
          <t>LARGE</t>
        </is>
      </c>
      <c r="I996" s="8" t="n">
        <v>0</v>
      </c>
      <c r="J996" s="8" t="inlineStr">
        <is>
          <t>B-04-02</t>
        </is>
      </c>
      <c r="K996" s="8" t="inlineStr"/>
      <c r="L996" s="10" t="n">
        <v>0</v>
      </c>
      <c r="M996" s="10" t="n">
        <v>0</v>
      </c>
      <c r="N996" s="10" t="n">
        <v>31</v>
      </c>
      <c r="O996" s="8" t="inlineStr">
        <is>
          <t>SKF</t>
        </is>
      </c>
      <c r="P996" s="8" t="inlineStr">
        <is>
          <t>IMPORTANT</t>
        </is>
      </c>
      <c r="Q996" s="8" t="inlineStr">
        <is>
          <t>WHAP</t>
        </is>
      </c>
      <c r="R996" s="8" t="inlineStr">
        <is>
          <t>OUI</t>
        </is>
      </c>
      <c r="S996" s="8" t="inlineStr">
        <is>
          <t>31/08/2026 02:59</t>
        </is>
      </c>
    </row>
    <row r="997">
      <c r="A997" s="7" t="inlineStr">
        <is>
          <t>WHAP-0993</t>
        </is>
      </c>
      <c r="B997" s="7" t="inlineStr">
        <is>
          <t>SUS-0993</t>
        </is>
      </c>
      <c r="C997" s="7" t="inlineStr">
        <is>
          <t>réservoir hydraulique — avant gauche</t>
        </is>
      </c>
      <c r="D997" s="7" t="inlineStr">
        <is>
          <t>Suspension</t>
        </is>
      </c>
      <c r="E997" s="7" t="inlineStr">
        <is>
          <t>Suspension</t>
        </is>
      </c>
      <c r="F997" s="7" t="inlineStr">
        <is>
          <t>PIECE_VEHICULE</t>
        </is>
      </c>
      <c r="G997" s="7" t="inlineStr">
        <is>
          <t>unité</t>
        </is>
      </c>
      <c r="H997" s="7" t="inlineStr">
        <is>
          <t>LARGE</t>
        </is>
      </c>
      <c r="I997" s="7" t="n">
        <v>0</v>
      </c>
      <c r="J997" s="7" t="inlineStr">
        <is>
          <t>A-04-04</t>
        </is>
      </c>
      <c r="K997" s="7" t="inlineStr"/>
      <c r="L997" s="9" t="n">
        <v>0</v>
      </c>
      <c r="M997" s="9" t="n">
        <v>0</v>
      </c>
      <c r="N997" s="9" t="n">
        <v>23</v>
      </c>
      <c r="O997" s="7" t="inlineStr">
        <is>
          <t>DEL</t>
        </is>
      </c>
      <c r="P997" s="7" t="inlineStr">
        <is>
          <t>IMPORTANT</t>
        </is>
      </c>
      <c r="Q997" s="7" t="inlineStr">
        <is>
          <t>WHAP</t>
        </is>
      </c>
      <c r="R997" s="7" t="inlineStr">
        <is>
          <t>OUI</t>
        </is>
      </c>
      <c r="S997" s="7" t="inlineStr">
        <is>
          <t>31/08/2026 02:59</t>
        </is>
      </c>
    </row>
    <row r="998">
      <c r="A998" s="8" t="inlineStr">
        <is>
          <t>WHAP-0994</t>
        </is>
      </c>
      <c r="B998" s="8" t="inlineStr">
        <is>
          <t>SUS-0994</t>
        </is>
      </c>
      <c r="C998" s="8" t="inlineStr">
        <is>
          <t>filtre hydraulique — avant gauche</t>
        </is>
      </c>
      <c r="D998" s="8" t="inlineStr">
        <is>
          <t>Suspension</t>
        </is>
      </c>
      <c r="E998" s="8" t="inlineStr">
        <is>
          <t>Suspension</t>
        </is>
      </c>
      <c r="F998" s="8" t="inlineStr">
        <is>
          <t>PIECE_VEHICULE</t>
        </is>
      </c>
      <c r="G998" s="8" t="inlineStr">
        <is>
          <t>unité</t>
        </is>
      </c>
      <c r="H998" s="8" t="inlineStr">
        <is>
          <t>LARGE</t>
        </is>
      </c>
      <c r="I998" s="8" t="n">
        <v>0</v>
      </c>
      <c r="J998" s="8" t="inlineStr">
        <is>
          <t>D-04-03</t>
        </is>
      </c>
      <c r="K998" s="8" t="inlineStr"/>
      <c r="L998" s="10" t="n">
        <v>0</v>
      </c>
      <c r="M998" s="10" t="n">
        <v>0</v>
      </c>
      <c r="N998" s="10" t="n">
        <v>27</v>
      </c>
      <c r="O998" s="8" t="inlineStr">
        <is>
          <t>FAU</t>
        </is>
      </c>
      <c r="P998" s="8" t="inlineStr">
        <is>
          <t>IMPORTANT</t>
        </is>
      </c>
      <c r="Q998" s="8" t="inlineStr">
        <is>
          <t>WHAP</t>
        </is>
      </c>
      <c r="R998" s="8" t="inlineStr">
        <is>
          <t>OUI</t>
        </is>
      </c>
      <c r="S998" s="8" t="inlineStr">
        <is>
          <t>31/08/2026 02:59</t>
        </is>
      </c>
    </row>
    <row r="999">
      <c r="A999" s="7" t="inlineStr">
        <is>
          <t>WHAP-0995</t>
        </is>
      </c>
      <c r="B999" s="7" t="inlineStr">
        <is>
          <t>SUS-0995</t>
        </is>
      </c>
      <c r="C999" s="7" t="inlineStr">
        <is>
          <t>bras supérieur — avant droit</t>
        </is>
      </c>
      <c r="D999" s="7" t="inlineStr">
        <is>
          <t>Suspension</t>
        </is>
      </c>
      <c r="E999" s="7" t="inlineStr">
        <is>
          <t>Suspension</t>
        </is>
      </c>
      <c r="F999" s="7" t="inlineStr">
        <is>
          <t>PIECE_VEHICULE</t>
        </is>
      </c>
      <c r="G999" s="7" t="inlineStr">
        <is>
          <t>unité</t>
        </is>
      </c>
      <c r="H999" s="7" t="inlineStr">
        <is>
          <t>LARGE</t>
        </is>
      </c>
      <c r="I999" s="7" t="n">
        <v>0</v>
      </c>
      <c r="J999" s="7" t="inlineStr">
        <is>
          <t>B-02-01</t>
        </is>
      </c>
      <c r="K999" s="7" t="inlineStr"/>
      <c r="L999" s="9" t="n">
        <v>0</v>
      </c>
      <c r="M999" s="9" t="n">
        <v>0</v>
      </c>
      <c r="N999" s="9" t="n">
        <v>30</v>
      </c>
      <c r="O999" s="7" t="inlineStr">
        <is>
          <t>SKF</t>
        </is>
      </c>
      <c r="P999" s="7" t="inlineStr">
        <is>
          <t>IMPORTANT</t>
        </is>
      </c>
      <c r="Q999" s="7" t="inlineStr">
        <is>
          <t>WHAP</t>
        </is>
      </c>
      <c r="R999" s="7" t="inlineStr">
        <is>
          <t>OUI</t>
        </is>
      </c>
      <c r="S999" s="7" t="inlineStr">
        <is>
          <t>31/08/2026 02:59</t>
        </is>
      </c>
    </row>
    <row r="1000">
      <c r="A1000" s="8" t="inlineStr">
        <is>
          <t>WHAP-0996</t>
        </is>
      </c>
      <c r="B1000" s="8" t="inlineStr">
        <is>
          <t>SUS-0996</t>
        </is>
      </c>
      <c r="C1000" s="8" t="inlineStr">
        <is>
          <t>bras inférieur — avant droit</t>
        </is>
      </c>
      <c r="D1000" s="8" t="inlineStr">
        <is>
          <t>Suspension</t>
        </is>
      </c>
      <c r="E1000" s="8" t="inlineStr">
        <is>
          <t>Suspension</t>
        </is>
      </c>
      <c r="F1000" s="8" t="inlineStr">
        <is>
          <t>PIECE_VEHICULE</t>
        </is>
      </c>
      <c r="G1000" s="8" t="inlineStr">
        <is>
          <t>unité</t>
        </is>
      </c>
      <c r="H1000" s="8" t="inlineStr">
        <is>
          <t>LARGE</t>
        </is>
      </c>
      <c r="I1000" s="8" t="n">
        <v>0</v>
      </c>
      <c r="J1000" s="8" t="inlineStr">
        <is>
          <t>A-04-03</t>
        </is>
      </c>
      <c r="K1000" s="8" t="inlineStr"/>
      <c r="L1000" s="10" t="n">
        <v>0</v>
      </c>
      <c r="M1000" s="10" t="n">
        <v>0</v>
      </c>
      <c r="N1000" s="10" t="n">
        <v>30</v>
      </c>
      <c r="O1000" s="8" t="inlineStr">
        <is>
          <t>SUM</t>
        </is>
      </c>
      <c r="P1000" s="8" t="inlineStr">
        <is>
          <t>IMPORTANT</t>
        </is>
      </c>
      <c r="Q1000" s="8" t="inlineStr">
        <is>
          <t>WHAP</t>
        </is>
      </c>
      <c r="R1000" s="8" t="inlineStr">
        <is>
          <t>OUI</t>
        </is>
      </c>
      <c r="S1000" s="8" t="inlineStr">
        <is>
          <t>31/08/2026 02:59</t>
        </is>
      </c>
    </row>
    <row r="1001">
      <c r="A1001" s="7" t="inlineStr">
        <is>
          <t>WHAP-0997</t>
        </is>
      </c>
      <c r="B1001" s="7" t="inlineStr">
        <is>
          <t>SUS-0997</t>
        </is>
      </c>
      <c r="C1001" s="7" t="inlineStr">
        <is>
          <t>triangle de suspension — avant droit</t>
        </is>
      </c>
      <c r="D1001" s="7" t="inlineStr">
        <is>
          <t>Suspension</t>
        </is>
      </c>
      <c r="E1001" s="7" t="inlineStr">
        <is>
          <t>Suspension</t>
        </is>
      </c>
      <c r="F1001" s="7" t="inlineStr">
        <is>
          <t>PIECE_VEHICULE</t>
        </is>
      </c>
      <c r="G1001" s="7" t="inlineStr">
        <is>
          <t>unité</t>
        </is>
      </c>
      <c r="H1001" s="7" t="inlineStr">
        <is>
          <t>LARGE</t>
        </is>
      </c>
      <c r="I1001" s="7" t="n">
        <v>0</v>
      </c>
      <c r="J1001" s="7" t="inlineStr">
        <is>
          <t>D-04-04</t>
        </is>
      </c>
      <c r="K1001" s="7" t="inlineStr"/>
      <c r="L1001" s="9" t="n">
        <v>0</v>
      </c>
      <c r="M1001" s="9" t="n">
        <v>0</v>
      </c>
      <c r="N1001" s="9" t="n">
        <v>26</v>
      </c>
      <c r="O1001" s="7" t="inlineStr">
        <is>
          <t>SKF</t>
        </is>
      </c>
      <c r="P1001" s="7" t="inlineStr">
        <is>
          <t>IMPORTANT</t>
        </is>
      </c>
      <c r="Q1001" s="7" t="inlineStr">
        <is>
          <t>WHAP</t>
        </is>
      </c>
      <c r="R1001" s="7" t="inlineStr">
        <is>
          <t>OUI</t>
        </is>
      </c>
      <c r="S1001" s="7" t="inlineStr">
        <is>
          <t>31/08/2026 02:59</t>
        </is>
      </c>
    </row>
    <row r="1002">
      <c r="A1002" s="8" t="inlineStr">
        <is>
          <t>WHAP-0998</t>
        </is>
      </c>
      <c r="B1002" s="8" t="inlineStr">
        <is>
          <t>SUS-0998</t>
        </is>
      </c>
      <c r="C1002" s="8" t="inlineStr">
        <is>
          <t>porte-moyeu — avant droit</t>
        </is>
      </c>
      <c r="D1002" s="8" t="inlineStr">
        <is>
          <t>Suspension</t>
        </is>
      </c>
      <c r="E1002" s="8" t="inlineStr">
        <is>
          <t>Suspension</t>
        </is>
      </c>
      <c r="F1002" s="8" t="inlineStr">
        <is>
          <t>PIECE_VEHICULE</t>
        </is>
      </c>
      <c r="G1002" s="8" t="inlineStr">
        <is>
          <t>unité</t>
        </is>
      </c>
      <c r="H1002" s="8" t="inlineStr">
        <is>
          <t>LARGE</t>
        </is>
      </c>
      <c r="I1002" s="8" t="n">
        <v>0</v>
      </c>
      <c r="J1002" s="8" t="inlineStr">
        <is>
          <t>F-02-02</t>
        </is>
      </c>
      <c r="K1002" s="8" t="inlineStr"/>
      <c r="L1002" s="10" t="n">
        <v>0</v>
      </c>
      <c r="M1002" s="10" t="n">
        <v>0</v>
      </c>
      <c r="N1002" s="10" t="n">
        <v>32</v>
      </c>
      <c r="O1002" s="8" t="inlineStr">
        <is>
          <t>CTL</t>
        </is>
      </c>
      <c r="P1002" s="8" t="inlineStr">
        <is>
          <t>IMPORTANT</t>
        </is>
      </c>
      <c r="Q1002" s="8" t="inlineStr">
        <is>
          <t>WHAP</t>
        </is>
      </c>
      <c r="R1002" s="8" t="inlineStr">
        <is>
          <t>OUI</t>
        </is>
      </c>
      <c r="S1002" s="8" t="inlineStr">
        <is>
          <t>31/08/2026 02:59</t>
        </is>
      </c>
    </row>
    <row r="1003">
      <c r="A1003" s="7" t="inlineStr">
        <is>
          <t>WHAP-0999</t>
        </is>
      </c>
      <c r="B1003" s="7" t="inlineStr">
        <is>
          <t>SUS-0999</t>
        </is>
      </c>
      <c r="C1003" s="7" t="inlineStr">
        <is>
          <t>rotule supérieure — avant droit</t>
        </is>
      </c>
      <c r="D1003" s="7" t="inlineStr">
        <is>
          <t>Suspension</t>
        </is>
      </c>
      <c r="E1003" s="7" t="inlineStr">
        <is>
          <t>Suspension</t>
        </is>
      </c>
      <c r="F1003" s="7" t="inlineStr">
        <is>
          <t>PIECE_VEHICULE</t>
        </is>
      </c>
      <c r="G1003" s="7" t="inlineStr">
        <is>
          <t>unité</t>
        </is>
      </c>
      <c r="H1003" s="7" t="inlineStr">
        <is>
          <t>LARGE</t>
        </is>
      </c>
      <c r="I1003" s="7" t="n">
        <v>0</v>
      </c>
      <c r="J1003" s="7" t="inlineStr">
        <is>
          <t>D-03-03</t>
        </is>
      </c>
      <c r="K1003" s="7" t="inlineStr"/>
      <c r="L1003" s="9" t="n">
        <v>0</v>
      </c>
      <c r="M1003" s="9" t="n">
        <v>0</v>
      </c>
      <c r="N1003" s="9" t="n">
        <v>23</v>
      </c>
      <c r="O1003" s="7" t="inlineStr">
        <is>
          <t>CTL</t>
        </is>
      </c>
      <c r="P1003" s="7" t="inlineStr">
        <is>
          <t>IMPORTANT</t>
        </is>
      </c>
      <c r="Q1003" s="7" t="inlineStr">
        <is>
          <t>WHAP</t>
        </is>
      </c>
      <c r="R1003" s="7" t="inlineStr">
        <is>
          <t>OUI</t>
        </is>
      </c>
      <c r="S1003" s="7" t="inlineStr">
        <is>
          <t>31/08/2026 02:59</t>
        </is>
      </c>
    </row>
    <row r="1004">
      <c r="A1004" s="8" t="inlineStr">
        <is>
          <t>WHAP-1000</t>
        </is>
      </c>
      <c r="B1004" s="8" t="inlineStr">
        <is>
          <t>SUS-1000</t>
        </is>
      </c>
      <c r="C1004" s="8" t="inlineStr">
        <is>
          <t>rotule inférieure — avant droit</t>
        </is>
      </c>
      <c r="D1004" s="8" t="inlineStr">
        <is>
          <t>Suspension</t>
        </is>
      </c>
      <c r="E1004" s="8" t="inlineStr">
        <is>
          <t>Suspension</t>
        </is>
      </c>
      <c r="F1004" s="8" t="inlineStr">
        <is>
          <t>PIECE_VEHICULE</t>
        </is>
      </c>
      <c r="G1004" s="8" t="inlineStr">
        <is>
          <t>unité</t>
        </is>
      </c>
      <c r="H1004" s="8" t="inlineStr">
        <is>
          <t>LARGE</t>
        </is>
      </c>
      <c r="I1004" s="8" t="n">
        <v>0</v>
      </c>
      <c r="J1004" s="8" t="inlineStr">
        <is>
          <t>B-02-03</t>
        </is>
      </c>
      <c r="K1004" s="8" t="inlineStr"/>
      <c r="L1004" s="10" t="n">
        <v>0</v>
      </c>
      <c r="M1004" s="10" t="n">
        <v>0</v>
      </c>
      <c r="N1004" s="10" t="n">
        <v>24</v>
      </c>
      <c r="O1004" s="8" t="inlineStr">
        <is>
          <t>FAU</t>
        </is>
      </c>
      <c r="P1004" s="8" t="inlineStr">
        <is>
          <t>IMPORTANT</t>
        </is>
      </c>
      <c r="Q1004" s="8" t="inlineStr">
        <is>
          <t>WHAP</t>
        </is>
      </c>
      <c r="R1004" s="8" t="inlineStr">
        <is>
          <t>OUI</t>
        </is>
      </c>
      <c r="S1004" s="8" t="inlineStr">
        <is>
          <t>31/08/2026 02:59</t>
        </is>
      </c>
    </row>
    <row r="1005">
      <c r="A1005" s="7" t="inlineStr">
        <is>
          <t>WHAP-1001</t>
        </is>
      </c>
      <c r="B1005" s="7" t="inlineStr">
        <is>
          <t>SUS-1001</t>
        </is>
      </c>
      <c r="C1005" s="7" t="inlineStr">
        <is>
          <t>amortisseur — avant droit</t>
        </is>
      </c>
      <c r="D1005" s="7" t="inlineStr">
        <is>
          <t>Suspension</t>
        </is>
      </c>
      <c r="E1005" s="7" t="inlineStr">
        <is>
          <t>Suspension</t>
        </is>
      </c>
      <c r="F1005" s="7" t="inlineStr">
        <is>
          <t>PIECE_VEHICULE</t>
        </is>
      </c>
      <c r="G1005" s="7" t="inlineStr">
        <is>
          <t>unité</t>
        </is>
      </c>
      <c r="H1005" s="7" t="inlineStr">
        <is>
          <t>LARGE</t>
        </is>
      </c>
      <c r="I1005" s="7" t="n">
        <v>0</v>
      </c>
      <c r="J1005" s="7" t="inlineStr">
        <is>
          <t>F-03-01</t>
        </is>
      </c>
      <c r="K1005" s="7" t="inlineStr"/>
      <c r="L1005" s="9" t="n">
        <v>0</v>
      </c>
      <c r="M1005" s="9" t="n">
        <v>0</v>
      </c>
      <c r="N1005" s="9" t="n">
        <v>24</v>
      </c>
      <c r="O1005" s="7" t="inlineStr">
        <is>
          <t>CTL</t>
        </is>
      </c>
      <c r="P1005" s="7" t="inlineStr">
        <is>
          <t>IMPORTANT</t>
        </is>
      </c>
      <c r="Q1005" s="7" t="inlineStr">
        <is>
          <t>WHAP</t>
        </is>
      </c>
      <c r="R1005" s="7" t="inlineStr">
        <is>
          <t>OUI</t>
        </is>
      </c>
      <c r="S1005" s="7" t="inlineStr">
        <is>
          <t>31/08/2026 02:59</t>
        </is>
      </c>
    </row>
    <row r="1006">
      <c r="A1006" s="8" t="inlineStr">
        <is>
          <t>WHAP-1002</t>
        </is>
      </c>
      <c r="B1006" s="8" t="inlineStr">
        <is>
          <t>SUS-1002</t>
        </is>
      </c>
      <c r="C1006" s="8" t="inlineStr">
        <is>
          <t>jambe hydropneumatique — avant droit</t>
        </is>
      </c>
      <c r="D1006" s="8" t="inlineStr">
        <is>
          <t>Suspension</t>
        </is>
      </c>
      <c r="E1006" s="8" t="inlineStr">
        <is>
          <t>Suspension</t>
        </is>
      </c>
      <c r="F1006" s="8" t="inlineStr">
        <is>
          <t>PIECE_VEHICULE</t>
        </is>
      </c>
      <c r="G1006" s="8" t="inlineStr">
        <is>
          <t>unité</t>
        </is>
      </c>
      <c r="H1006" s="8" t="inlineStr">
        <is>
          <t>LARGE</t>
        </is>
      </c>
      <c r="I1006" s="8" t="n">
        <v>0</v>
      </c>
      <c r="J1006" s="8" t="inlineStr">
        <is>
          <t>E-02-02</t>
        </is>
      </c>
      <c r="K1006" s="8" t="inlineStr"/>
      <c r="L1006" s="10" t="n">
        <v>0</v>
      </c>
      <c r="M1006" s="10" t="n">
        <v>0</v>
      </c>
      <c r="N1006" s="10" t="n">
        <v>29</v>
      </c>
      <c r="O1006" s="8" t="inlineStr">
        <is>
          <t>DEL</t>
        </is>
      </c>
      <c r="P1006" s="8" t="inlineStr">
        <is>
          <t>IMPORTANT</t>
        </is>
      </c>
      <c r="Q1006" s="8" t="inlineStr">
        <is>
          <t>WHAP</t>
        </is>
      </c>
      <c r="R1006" s="8" t="inlineStr">
        <is>
          <t>OUI</t>
        </is>
      </c>
      <c r="S1006" s="8" t="inlineStr">
        <is>
          <t>31/08/2026 02:59</t>
        </is>
      </c>
    </row>
    <row r="1007">
      <c r="A1007" s="7" t="inlineStr">
        <is>
          <t>WHAP-1003</t>
        </is>
      </c>
      <c r="B1007" s="7" t="inlineStr">
        <is>
          <t>SUS-1003</t>
        </is>
      </c>
      <c r="C1007" s="7" t="inlineStr">
        <is>
          <t>accumulateur hydropneumatique — avant droit</t>
        </is>
      </c>
      <c r="D1007" s="7" t="inlineStr">
        <is>
          <t>Suspension</t>
        </is>
      </c>
      <c r="E1007" s="7" t="inlineStr">
        <is>
          <t>Suspension</t>
        </is>
      </c>
      <c r="F1007" s="7" t="inlineStr">
        <is>
          <t>PIECE_VEHICULE</t>
        </is>
      </c>
      <c r="G1007" s="7" t="inlineStr">
        <is>
          <t>unité</t>
        </is>
      </c>
      <c r="H1007" s="7" t="inlineStr">
        <is>
          <t>LARGE</t>
        </is>
      </c>
      <c r="I1007" s="7" t="n">
        <v>0</v>
      </c>
      <c r="J1007" s="7" t="inlineStr">
        <is>
          <t>D-03-04</t>
        </is>
      </c>
      <c r="K1007" s="7" t="inlineStr"/>
      <c r="L1007" s="9" t="n">
        <v>0</v>
      </c>
      <c r="M1007" s="9" t="n">
        <v>0</v>
      </c>
      <c r="N1007" s="9" t="n">
        <v>22</v>
      </c>
      <c r="O1007" s="7" t="inlineStr">
        <is>
          <t>YZK</t>
        </is>
      </c>
      <c r="P1007" s="7" t="inlineStr">
        <is>
          <t>IMPORTANT</t>
        </is>
      </c>
      <c r="Q1007" s="7" t="inlineStr">
        <is>
          <t>WHAP</t>
        </is>
      </c>
      <c r="R1007" s="7" t="inlineStr">
        <is>
          <t>OUI</t>
        </is>
      </c>
      <c r="S1007" s="7" t="inlineStr">
        <is>
          <t>31/08/2026 02:59</t>
        </is>
      </c>
    </row>
    <row r="1008">
      <c r="A1008" s="8" t="inlineStr">
        <is>
          <t>WHAP-1004</t>
        </is>
      </c>
      <c r="B1008" s="8" t="inlineStr">
        <is>
          <t>SUS-1004</t>
        </is>
      </c>
      <c r="C1008" s="8" t="inlineStr">
        <is>
          <t>cylindre de suspension — avant droit</t>
        </is>
      </c>
      <c r="D1008" s="8" t="inlineStr">
        <is>
          <t>Suspension</t>
        </is>
      </c>
      <c r="E1008" s="8" t="inlineStr">
        <is>
          <t>Suspension</t>
        </is>
      </c>
      <c r="F1008" s="8" t="inlineStr">
        <is>
          <t>PIECE_VEHICULE</t>
        </is>
      </c>
      <c r="G1008" s="8" t="inlineStr">
        <is>
          <t>unité</t>
        </is>
      </c>
      <c r="H1008" s="8" t="inlineStr">
        <is>
          <t>LARGE</t>
        </is>
      </c>
      <c r="I1008" s="8" t="n">
        <v>0</v>
      </c>
      <c r="J1008" s="8" t="inlineStr">
        <is>
          <t>F-01-04</t>
        </is>
      </c>
      <c r="K1008" s="8" t="inlineStr"/>
      <c r="L1008" s="10" t="n">
        <v>0</v>
      </c>
      <c r="M1008" s="10" t="n">
        <v>0</v>
      </c>
      <c r="N1008" s="10" t="n">
        <v>28</v>
      </c>
      <c r="O1008" s="8" t="inlineStr">
        <is>
          <t>SKF</t>
        </is>
      </c>
      <c r="P1008" s="8" t="inlineStr">
        <is>
          <t>IMPORTANT</t>
        </is>
      </c>
      <c r="Q1008" s="8" t="inlineStr">
        <is>
          <t>WHAP</t>
        </is>
      </c>
      <c r="R1008" s="8" t="inlineStr">
        <is>
          <t>OUI</t>
        </is>
      </c>
      <c r="S1008" s="8" t="inlineStr">
        <is>
          <t>31/08/2026 02:59</t>
        </is>
      </c>
    </row>
    <row r="1009">
      <c r="A1009" s="7" t="inlineStr">
        <is>
          <t>WHAP-1005</t>
        </is>
      </c>
      <c r="B1009" s="7" t="inlineStr">
        <is>
          <t>SUS-1005</t>
        </is>
      </c>
      <c r="C1009" s="7" t="inlineStr">
        <is>
          <t>piston de suspension — avant droit</t>
        </is>
      </c>
      <c r="D1009" s="7" t="inlineStr">
        <is>
          <t>Suspension</t>
        </is>
      </c>
      <c r="E1009" s="7" t="inlineStr">
        <is>
          <t>Suspension</t>
        </is>
      </c>
      <c r="F1009" s="7" t="inlineStr">
        <is>
          <t>PIECE_VEHICULE</t>
        </is>
      </c>
      <c r="G1009" s="7" t="inlineStr">
        <is>
          <t>unité</t>
        </is>
      </c>
      <c r="H1009" s="7" t="inlineStr">
        <is>
          <t>LARGE</t>
        </is>
      </c>
      <c r="I1009" s="7" t="n">
        <v>0</v>
      </c>
      <c r="J1009" s="7" t="inlineStr">
        <is>
          <t>D-03-01</t>
        </is>
      </c>
      <c r="K1009" s="7" t="inlineStr"/>
      <c r="L1009" s="9" t="n">
        <v>0</v>
      </c>
      <c r="M1009" s="9" t="n">
        <v>0</v>
      </c>
      <c r="N1009" s="9" t="n">
        <v>32</v>
      </c>
      <c r="O1009" s="7" t="inlineStr">
        <is>
          <t>SKF</t>
        </is>
      </c>
      <c r="P1009" s="7" t="inlineStr">
        <is>
          <t>IMPORTANT</t>
        </is>
      </c>
      <c r="Q1009" s="7" t="inlineStr">
        <is>
          <t>WHAP</t>
        </is>
      </c>
      <c r="R1009" s="7" t="inlineStr">
        <is>
          <t>OUI</t>
        </is>
      </c>
      <c r="S1009" s="7" t="inlineStr">
        <is>
          <t>31/08/2026 02:59</t>
        </is>
      </c>
    </row>
    <row r="1010">
      <c r="A1010" s="8" t="inlineStr">
        <is>
          <t>WHAP-1006</t>
        </is>
      </c>
      <c r="B1010" s="8" t="inlineStr">
        <is>
          <t>SUS-1006</t>
        </is>
      </c>
      <c r="C1010" s="8" t="inlineStr">
        <is>
          <t>tige de suspension — avant droit</t>
        </is>
      </c>
      <c r="D1010" s="8" t="inlineStr">
        <is>
          <t>Suspension</t>
        </is>
      </c>
      <c r="E1010" s="8" t="inlineStr">
        <is>
          <t>Suspension</t>
        </is>
      </c>
      <c r="F1010" s="8" t="inlineStr">
        <is>
          <t>PIECE_VEHICULE</t>
        </is>
      </c>
      <c r="G1010" s="8" t="inlineStr">
        <is>
          <t>unité</t>
        </is>
      </c>
      <c r="H1010" s="8" t="inlineStr">
        <is>
          <t>LARGE</t>
        </is>
      </c>
      <c r="I1010" s="8" t="n">
        <v>0</v>
      </c>
      <c r="J1010" s="8" t="inlineStr">
        <is>
          <t>F-06-03</t>
        </is>
      </c>
      <c r="K1010" s="8" t="inlineStr"/>
      <c r="L1010" s="10" t="n">
        <v>0</v>
      </c>
      <c r="M1010" s="10" t="n">
        <v>0</v>
      </c>
      <c r="N1010" s="10" t="n">
        <v>30</v>
      </c>
      <c r="O1010" s="8" t="inlineStr">
        <is>
          <t>FAU</t>
        </is>
      </c>
      <c r="P1010" s="8" t="inlineStr">
        <is>
          <t>IMPORTANT</t>
        </is>
      </c>
      <c r="Q1010" s="8" t="inlineStr">
        <is>
          <t>WHAP</t>
        </is>
      </c>
      <c r="R1010" s="8" t="inlineStr">
        <is>
          <t>OUI</t>
        </is>
      </c>
      <c r="S1010" s="8" t="inlineStr">
        <is>
          <t>31/08/2026 02:59</t>
        </is>
      </c>
    </row>
    <row r="1011">
      <c r="A1011" s="7" t="inlineStr">
        <is>
          <t>WHAP-1007</t>
        </is>
      </c>
      <c r="B1011" s="7" t="inlineStr">
        <is>
          <t>SUS-1007</t>
        </is>
      </c>
      <c r="C1011" s="7" t="inlineStr">
        <is>
          <t>joint de tige — avant droit</t>
        </is>
      </c>
      <c r="D1011" s="7" t="inlineStr">
        <is>
          <t>Suspension</t>
        </is>
      </c>
      <c r="E1011" s="7" t="inlineStr">
        <is>
          <t>Suspension</t>
        </is>
      </c>
      <c r="F1011" s="7" t="inlineStr">
        <is>
          <t>PIECE_VEHICULE</t>
        </is>
      </c>
      <c r="G1011" s="7" t="inlineStr">
        <is>
          <t>unité</t>
        </is>
      </c>
      <c r="H1011" s="7" t="inlineStr">
        <is>
          <t>LARGE</t>
        </is>
      </c>
      <c r="I1011" s="7" t="n">
        <v>0</v>
      </c>
      <c r="J1011" s="7" t="inlineStr">
        <is>
          <t>F-01-03</t>
        </is>
      </c>
      <c r="K1011" s="7" t="inlineStr"/>
      <c r="L1011" s="9" t="n">
        <v>0</v>
      </c>
      <c r="M1011" s="9" t="n">
        <v>0</v>
      </c>
      <c r="N1011" s="9" t="n">
        <v>25</v>
      </c>
      <c r="O1011" s="7" t="inlineStr">
        <is>
          <t>CTL</t>
        </is>
      </c>
      <c r="P1011" s="7" t="inlineStr">
        <is>
          <t>IMPORTANT</t>
        </is>
      </c>
      <c r="Q1011" s="7" t="inlineStr">
        <is>
          <t>WHAP</t>
        </is>
      </c>
      <c r="R1011" s="7" t="inlineStr">
        <is>
          <t>OUI</t>
        </is>
      </c>
      <c r="S1011" s="7" t="inlineStr">
        <is>
          <t>31/08/2026 02:59</t>
        </is>
      </c>
    </row>
    <row r="1012">
      <c r="A1012" s="8" t="inlineStr">
        <is>
          <t>WHAP-1008</t>
        </is>
      </c>
      <c r="B1012" s="8" t="inlineStr">
        <is>
          <t>SUS-1008</t>
        </is>
      </c>
      <c r="C1012" s="8" t="inlineStr">
        <is>
          <t>bague de guidage — avant droit</t>
        </is>
      </c>
      <c r="D1012" s="8" t="inlineStr">
        <is>
          <t>Suspension</t>
        </is>
      </c>
      <c r="E1012" s="8" t="inlineStr">
        <is>
          <t>Suspension</t>
        </is>
      </c>
      <c r="F1012" s="8" t="inlineStr">
        <is>
          <t>PIECE_VEHICULE</t>
        </is>
      </c>
      <c r="G1012" s="8" t="inlineStr">
        <is>
          <t>unité</t>
        </is>
      </c>
      <c r="H1012" s="8" t="inlineStr">
        <is>
          <t>LARGE</t>
        </is>
      </c>
      <c r="I1012" s="8" t="n">
        <v>0</v>
      </c>
      <c r="J1012" s="8" t="inlineStr">
        <is>
          <t>E-05-01</t>
        </is>
      </c>
      <c r="K1012" s="8" t="inlineStr"/>
      <c r="L1012" s="10" t="n">
        <v>0</v>
      </c>
      <c r="M1012" s="10" t="n">
        <v>0</v>
      </c>
      <c r="N1012" s="10" t="n">
        <v>25</v>
      </c>
      <c r="O1012" s="8" t="inlineStr">
        <is>
          <t>SUM</t>
        </is>
      </c>
      <c r="P1012" s="8" t="inlineStr">
        <is>
          <t>IMPORTANT</t>
        </is>
      </c>
      <c r="Q1012" s="8" t="inlineStr">
        <is>
          <t>WHAP</t>
        </is>
      </c>
      <c r="R1012" s="8" t="inlineStr">
        <is>
          <t>OUI</t>
        </is>
      </c>
      <c r="S1012" s="8" t="inlineStr">
        <is>
          <t>31/08/2026 02:59</t>
        </is>
      </c>
    </row>
    <row r="1013">
      <c r="A1013" s="7" t="inlineStr">
        <is>
          <t>WHAP-1009</t>
        </is>
      </c>
      <c r="B1013" s="7" t="inlineStr">
        <is>
          <t>SUS-1009</t>
        </is>
      </c>
      <c r="C1013" s="7" t="inlineStr">
        <is>
          <t>ressort auxiliaire — avant droit</t>
        </is>
      </c>
      <c r="D1013" s="7" t="inlineStr">
        <is>
          <t>Suspension</t>
        </is>
      </c>
      <c r="E1013" s="7" t="inlineStr">
        <is>
          <t>Suspension</t>
        </is>
      </c>
      <c r="F1013" s="7" t="inlineStr">
        <is>
          <t>PIECE_VEHICULE</t>
        </is>
      </c>
      <c r="G1013" s="7" t="inlineStr">
        <is>
          <t>unité</t>
        </is>
      </c>
      <c r="H1013" s="7" t="inlineStr">
        <is>
          <t>LARGE</t>
        </is>
      </c>
      <c r="I1013" s="7" t="n">
        <v>0</v>
      </c>
      <c r="J1013" s="7" t="inlineStr">
        <is>
          <t>B-03-01</t>
        </is>
      </c>
      <c r="K1013" s="7" t="inlineStr"/>
      <c r="L1013" s="9" t="n">
        <v>0</v>
      </c>
      <c r="M1013" s="9" t="n">
        <v>0</v>
      </c>
      <c r="N1013" s="9" t="n">
        <v>32</v>
      </c>
      <c r="O1013" s="7" t="inlineStr">
        <is>
          <t>VAL</t>
        </is>
      </c>
      <c r="P1013" s="7" t="inlineStr">
        <is>
          <t>IMPORTANT</t>
        </is>
      </c>
      <c r="Q1013" s="7" t="inlineStr">
        <is>
          <t>WHAP</t>
        </is>
      </c>
      <c r="R1013" s="7" t="inlineStr">
        <is>
          <t>OUI</t>
        </is>
      </c>
      <c r="S1013" s="7" t="inlineStr">
        <is>
          <t>31/08/2026 02:59</t>
        </is>
      </c>
    </row>
    <row r="1014">
      <c r="A1014" s="8" t="inlineStr">
        <is>
          <t>WHAP-1010</t>
        </is>
      </c>
      <c r="B1014" s="8" t="inlineStr">
        <is>
          <t>SUS-1010</t>
        </is>
      </c>
      <c r="C1014" s="8" t="inlineStr">
        <is>
          <t>butée de suspension — avant droit</t>
        </is>
      </c>
      <c r="D1014" s="8" t="inlineStr">
        <is>
          <t>Suspension</t>
        </is>
      </c>
      <c r="E1014" s="8" t="inlineStr">
        <is>
          <t>Suspension</t>
        </is>
      </c>
      <c r="F1014" s="8" t="inlineStr">
        <is>
          <t>PIECE_VEHICULE</t>
        </is>
      </c>
      <c r="G1014" s="8" t="inlineStr">
        <is>
          <t>unité</t>
        </is>
      </c>
      <c r="H1014" s="8" t="inlineStr">
        <is>
          <t>LARGE</t>
        </is>
      </c>
      <c r="I1014" s="8" t="n">
        <v>0</v>
      </c>
      <c r="J1014" s="8" t="inlineStr">
        <is>
          <t>B-05-03</t>
        </is>
      </c>
      <c r="K1014" s="8" t="inlineStr"/>
      <c r="L1014" s="10" t="n">
        <v>0</v>
      </c>
      <c r="M1014" s="10" t="n">
        <v>0</v>
      </c>
      <c r="N1014" s="10" t="n">
        <v>22</v>
      </c>
      <c r="O1014" s="8" t="inlineStr">
        <is>
          <t>VAL</t>
        </is>
      </c>
      <c r="P1014" s="8" t="inlineStr">
        <is>
          <t>IMPORTANT</t>
        </is>
      </c>
      <c r="Q1014" s="8" t="inlineStr">
        <is>
          <t>WHAP</t>
        </is>
      </c>
      <c r="R1014" s="8" t="inlineStr">
        <is>
          <t>OUI</t>
        </is>
      </c>
      <c r="S1014" s="8" t="inlineStr">
        <is>
          <t>31/08/2026 02:59</t>
        </is>
      </c>
    </row>
    <row r="1015">
      <c r="A1015" s="7" t="inlineStr">
        <is>
          <t>WHAP-1011</t>
        </is>
      </c>
      <c r="B1015" s="7" t="inlineStr">
        <is>
          <t>SUS-1011</t>
        </is>
      </c>
      <c r="C1015" s="7" t="inlineStr">
        <is>
          <t>silentbloc de bras — avant droit</t>
        </is>
      </c>
      <c r="D1015" s="7" t="inlineStr">
        <is>
          <t>Suspension</t>
        </is>
      </c>
      <c r="E1015" s="7" t="inlineStr">
        <is>
          <t>Suspension</t>
        </is>
      </c>
      <c r="F1015" s="7" t="inlineStr">
        <is>
          <t>PIECE_VEHICULE</t>
        </is>
      </c>
      <c r="G1015" s="7" t="inlineStr">
        <is>
          <t>unité</t>
        </is>
      </c>
      <c r="H1015" s="7" t="inlineStr">
        <is>
          <t>LARGE</t>
        </is>
      </c>
      <c r="I1015" s="7" t="n">
        <v>0</v>
      </c>
      <c r="J1015" s="7" t="inlineStr">
        <is>
          <t>B-01-03</t>
        </is>
      </c>
      <c r="K1015" s="7" t="inlineStr"/>
      <c r="L1015" s="9" t="n">
        <v>0</v>
      </c>
      <c r="M1015" s="9" t="n">
        <v>0</v>
      </c>
      <c r="N1015" s="9" t="n">
        <v>28</v>
      </c>
      <c r="O1015" s="7" t="inlineStr">
        <is>
          <t>CTL</t>
        </is>
      </c>
      <c r="P1015" s="7" t="inlineStr">
        <is>
          <t>IMPORTANT</t>
        </is>
      </c>
      <c r="Q1015" s="7" t="inlineStr">
        <is>
          <t>WHAP</t>
        </is>
      </c>
      <c r="R1015" s="7" t="inlineStr">
        <is>
          <t>OUI</t>
        </is>
      </c>
      <c r="S1015" s="7" t="inlineStr">
        <is>
          <t>31/08/2026 02:59</t>
        </is>
      </c>
    </row>
    <row r="1016">
      <c r="A1016" s="8" t="inlineStr">
        <is>
          <t>WHAP-1012</t>
        </is>
      </c>
      <c r="B1016" s="8" t="inlineStr">
        <is>
          <t>SUS-1012</t>
        </is>
      </c>
      <c r="C1016" s="8" t="inlineStr">
        <is>
          <t>support de suspension — avant droit</t>
        </is>
      </c>
      <c r="D1016" s="8" t="inlineStr">
        <is>
          <t>Suspension</t>
        </is>
      </c>
      <c r="E1016" s="8" t="inlineStr">
        <is>
          <t>Suspension</t>
        </is>
      </c>
      <c r="F1016" s="8" t="inlineStr">
        <is>
          <t>PIECE_VEHICULE</t>
        </is>
      </c>
      <c r="G1016" s="8" t="inlineStr">
        <is>
          <t>unité</t>
        </is>
      </c>
      <c r="H1016" s="8" t="inlineStr">
        <is>
          <t>LARGE</t>
        </is>
      </c>
      <c r="I1016" s="8" t="n">
        <v>0</v>
      </c>
      <c r="J1016" s="8" t="inlineStr">
        <is>
          <t>F-02-03</t>
        </is>
      </c>
      <c r="K1016" s="8" t="inlineStr"/>
      <c r="L1016" s="10" t="n">
        <v>0</v>
      </c>
      <c r="M1016" s="10" t="n">
        <v>0</v>
      </c>
      <c r="N1016" s="10" t="n">
        <v>26</v>
      </c>
      <c r="O1016" s="8" t="inlineStr">
        <is>
          <t>FAU</t>
        </is>
      </c>
      <c r="P1016" s="8" t="inlineStr">
        <is>
          <t>IMPORTANT</t>
        </is>
      </c>
      <c r="Q1016" s="8" t="inlineStr">
        <is>
          <t>WHAP</t>
        </is>
      </c>
      <c r="R1016" s="8" t="inlineStr">
        <is>
          <t>OUI</t>
        </is>
      </c>
      <c r="S1016" s="8" t="inlineStr">
        <is>
          <t>31/08/2026 02:59</t>
        </is>
      </c>
    </row>
    <row r="1017">
      <c r="A1017" s="7" t="inlineStr">
        <is>
          <t>WHAP-1013</t>
        </is>
      </c>
      <c r="B1017" s="7" t="inlineStr">
        <is>
          <t>SUS-1013</t>
        </is>
      </c>
      <c r="C1017" s="7" t="inlineStr">
        <is>
          <t>capteur de hauteur — avant droit</t>
        </is>
      </c>
      <c r="D1017" s="7" t="inlineStr">
        <is>
          <t>Suspension</t>
        </is>
      </c>
      <c r="E1017" s="7" t="inlineStr">
        <is>
          <t>Suspension</t>
        </is>
      </c>
      <c r="F1017" s="7" t="inlineStr">
        <is>
          <t>PIECE_VEHICULE</t>
        </is>
      </c>
      <c r="G1017" s="7" t="inlineStr">
        <is>
          <t>unité</t>
        </is>
      </c>
      <c r="H1017" s="7" t="inlineStr">
        <is>
          <t>LARGE</t>
        </is>
      </c>
      <c r="I1017" s="7" t="n">
        <v>0</v>
      </c>
      <c r="J1017" s="7" t="inlineStr">
        <is>
          <t>C-05-02</t>
        </is>
      </c>
      <c r="K1017" s="7" t="inlineStr"/>
      <c r="L1017" s="9" t="n">
        <v>0</v>
      </c>
      <c r="M1017" s="9" t="n">
        <v>0</v>
      </c>
      <c r="N1017" s="9" t="n">
        <v>30</v>
      </c>
      <c r="O1017" s="7" t="inlineStr">
        <is>
          <t>SUM</t>
        </is>
      </c>
      <c r="P1017" s="7" t="inlineStr">
        <is>
          <t>IMPORTANT</t>
        </is>
      </c>
      <c r="Q1017" s="7" t="inlineStr">
        <is>
          <t>WHAP</t>
        </is>
      </c>
      <c r="R1017" s="7" t="inlineStr">
        <is>
          <t>OUI</t>
        </is>
      </c>
      <c r="S1017" s="7" t="inlineStr">
        <is>
          <t>31/08/2026 02:59</t>
        </is>
      </c>
    </row>
    <row r="1018">
      <c r="A1018" s="8" t="inlineStr">
        <is>
          <t>WHAP-1014</t>
        </is>
      </c>
      <c r="B1018" s="8" t="inlineStr">
        <is>
          <t>SUS-1014</t>
        </is>
      </c>
      <c r="C1018" s="8" t="inlineStr">
        <is>
          <t>valve de suspension — avant droit</t>
        </is>
      </c>
      <c r="D1018" s="8" t="inlineStr">
        <is>
          <t>Suspension</t>
        </is>
      </c>
      <c r="E1018" s="8" t="inlineStr">
        <is>
          <t>Suspension</t>
        </is>
      </c>
      <c r="F1018" s="8" t="inlineStr">
        <is>
          <t>PIECE_VEHICULE</t>
        </is>
      </c>
      <c r="G1018" s="8" t="inlineStr">
        <is>
          <t>unité</t>
        </is>
      </c>
      <c r="H1018" s="8" t="inlineStr">
        <is>
          <t>LARGE</t>
        </is>
      </c>
      <c r="I1018" s="8" t="n">
        <v>0</v>
      </c>
      <c r="J1018" s="8" t="inlineStr">
        <is>
          <t>B-03-04</t>
        </is>
      </c>
      <c r="K1018" s="8" t="inlineStr"/>
      <c r="L1018" s="10" t="n">
        <v>0</v>
      </c>
      <c r="M1018" s="10" t="n">
        <v>0</v>
      </c>
      <c r="N1018" s="10" t="n">
        <v>24</v>
      </c>
      <c r="O1018" s="8" t="inlineStr">
        <is>
          <t>CTL</t>
        </is>
      </c>
      <c r="P1018" s="8" t="inlineStr">
        <is>
          <t>IMPORTANT</t>
        </is>
      </c>
      <c r="Q1018" s="8" t="inlineStr">
        <is>
          <t>WHAP</t>
        </is>
      </c>
      <c r="R1018" s="8" t="inlineStr">
        <is>
          <t>OUI</t>
        </is>
      </c>
      <c r="S1018" s="8" t="inlineStr">
        <is>
          <t>31/08/2026 02:59</t>
        </is>
      </c>
    </row>
    <row r="1019">
      <c r="A1019" s="7" t="inlineStr">
        <is>
          <t>WHAP-1015</t>
        </is>
      </c>
      <c r="B1019" s="7" t="inlineStr">
        <is>
          <t>SUS-1015</t>
        </is>
      </c>
      <c r="C1019" s="7" t="inlineStr">
        <is>
          <t>conduite hydraulique — avant droit</t>
        </is>
      </c>
      <c r="D1019" s="7" t="inlineStr">
        <is>
          <t>Suspension</t>
        </is>
      </c>
      <c r="E1019" s="7" t="inlineStr">
        <is>
          <t>Suspension</t>
        </is>
      </c>
      <c r="F1019" s="7" t="inlineStr">
        <is>
          <t>PIECE_VEHICULE</t>
        </is>
      </c>
      <c r="G1019" s="7" t="inlineStr">
        <is>
          <t>unité</t>
        </is>
      </c>
      <c r="H1019" s="7" t="inlineStr">
        <is>
          <t>LARGE</t>
        </is>
      </c>
      <c r="I1019" s="7" t="n">
        <v>0</v>
      </c>
      <c r="J1019" s="7" t="inlineStr">
        <is>
          <t>A-01-02</t>
        </is>
      </c>
      <c r="K1019" s="7" t="inlineStr"/>
      <c r="L1019" s="9" t="n">
        <v>0</v>
      </c>
      <c r="M1019" s="9" t="n">
        <v>0</v>
      </c>
      <c r="N1019" s="9" t="n">
        <v>25</v>
      </c>
      <c r="O1019" s="7" t="inlineStr">
        <is>
          <t>SUM</t>
        </is>
      </c>
      <c r="P1019" s="7" t="inlineStr">
        <is>
          <t>IMPORTANT</t>
        </is>
      </c>
      <c r="Q1019" s="7" t="inlineStr">
        <is>
          <t>WHAP</t>
        </is>
      </c>
      <c r="R1019" s="7" t="inlineStr">
        <is>
          <t>OUI</t>
        </is>
      </c>
      <c r="S1019" s="7" t="inlineStr">
        <is>
          <t>31/08/2026 02:59</t>
        </is>
      </c>
    </row>
    <row r="1020">
      <c r="A1020" s="8" t="inlineStr">
        <is>
          <t>WHAP-1016</t>
        </is>
      </c>
      <c r="B1020" s="8" t="inlineStr">
        <is>
          <t>SUS-1016</t>
        </is>
      </c>
      <c r="C1020" s="8" t="inlineStr">
        <is>
          <t>raccord hydraulique — avant droit</t>
        </is>
      </c>
      <c r="D1020" s="8" t="inlineStr">
        <is>
          <t>Suspension</t>
        </is>
      </c>
      <c r="E1020" s="8" t="inlineStr">
        <is>
          <t>Suspension</t>
        </is>
      </c>
      <c r="F1020" s="8" t="inlineStr">
        <is>
          <t>PIECE_VEHICULE</t>
        </is>
      </c>
      <c r="G1020" s="8" t="inlineStr">
        <is>
          <t>unité</t>
        </is>
      </c>
      <c r="H1020" s="8" t="inlineStr">
        <is>
          <t>LARGE</t>
        </is>
      </c>
      <c r="I1020" s="8" t="n">
        <v>0</v>
      </c>
      <c r="J1020" s="8" t="inlineStr">
        <is>
          <t>E-05-03</t>
        </is>
      </c>
      <c r="K1020" s="8" t="inlineStr"/>
      <c r="L1020" s="10" t="n">
        <v>0</v>
      </c>
      <c r="M1020" s="10" t="n">
        <v>0</v>
      </c>
      <c r="N1020" s="10" t="n">
        <v>27</v>
      </c>
      <c r="O1020" s="8" t="inlineStr">
        <is>
          <t>MAG</t>
        </is>
      </c>
      <c r="P1020" s="8" t="inlineStr">
        <is>
          <t>IMPORTANT</t>
        </is>
      </c>
      <c r="Q1020" s="8" t="inlineStr">
        <is>
          <t>WHAP</t>
        </is>
      </c>
      <c r="R1020" s="8" t="inlineStr">
        <is>
          <t>OUI</t>
        </is>
      </c>
      <c r="S1020" s="8" t="inlineStr">
        <is>
          <t>31/08/2026 02:59</t>
        </is>
      </c>
    </row>
    <row r="1021">
      <c r="A1021" s="7" t="inlineStr">
        <is>
          <t>WHAP-1017</t>
        </is>
      </c>
      <c r="B1021" s="7" t="inlineStr">
        <is>
          <t>SUS-1017</t>
        </is>
      </c>
      <c r="C1021" s="7" t="inlineStr">
        <is>
          <t>pompe hydraulique — avant droit</t>
        </is>
      </c>
      <c r="D1021" s="7" t="inlineStr">
        <is>
          <t>Suspension</t>
        </is>
      </c>
      <c r="E1021" s="7" t="inlineStr">
        <is>
          <t>Suspension</t>
        </is>
      </c>
      <c r="F1021" s="7" t="inlineStr">
        <is>
          <t>PIECE_VEHICULE</t>
        </is>
      </c>
      <c r="G1021" s="7" t="inlineStr">
        <is>
          <t>unité</t>
        </is>
      </c>
      <c r="H1021" s="7" t="inlineStr">
        <is>
          <t>LARGE</t>
        </is>
      </c>
      <c r="I1021" s="7" t="n">
        <v>0</v>
      </c>
      <c r="J1021" s="7" t="inlineStr">
        <is>
          <t>F-06-03</t>
        </is>
      </c>
      <c r="K1021" s="7" t="inlineStr"/>
      <c r="L1021" s="9" t="n">
        <v>0</v>
      </c>
      <c r="M1021" s="9" t="n">
        <v>0</v>
      </c>
      <c r="N1021" s="9" t="n">
        <v>27</v>
      </c>
      <c r="O1021" s="7" t="inlineStr">
        <is>
          <t>YZK</t>
        </is>
      </c>
      <c r="P1021" s="7" t="inlineStr">
        <is>
          <t>IMPORTANT</t>
        </is>
      </c>
      <c r="Q1021" s="7" t="inlineStr">
        <is>
          <t>WHAP</t>
        </is>
      </c>
      <c r="R1021" s="7" t="inlineStr">
        <is>
          <t>OUI</t>
        </is>
      </c>
      <c r="S1021" s="7" t="inlineStr">
        <is>
          <t>31/08/2026 02:59</t>
        </is>
      </c>
    </row>
    <row r="1022">
      <c r="A1022" s="8" t="inlineStr">
        <is>
          <t>WHAP-1018</t>
        </is>
      </c>
      <c r="B1022" s="8" t="inlineStr">
        <is>
          <t>SUS-1018</t>
        </is>
      </c>
      <c r="C1022" s="8" t="inlineStr">
        <is>
          <t>réservoir hydraulique — avant droit</t>
        </is>
      </c>
      <c r="D1022" s="8" t="inlineStr">
        <is>
          <t>Suspension</t>
        </is>
      </c>
      <c r="E1022" s="8" t="inlineStr">
        <is>
          <t>Suspension</t>
        </is>
      </c>
      <c r="F1022" s="8" t="inlineStr">
        <is>
          <t>PIECE_VEHICULE</t>
        </is>
      </c>
      <c r="G1022" s="8" t="inlineStr">
        <is>
          <t>unité</t>
        </is>
      </c>
      <c r="H1022" s="8" t="inlineStr">
        <is>
          <t>LARGE</t>
        </is>
      </c>
      <c r="I1022" s="8" t="n">
        <v>0</v>
      </c>
      <c r="J1022" s="8" t="inlineStr">
        <is>
          <t>B-01-03</t>
        </is>
      </c>
      <c r="K1022" s="8" t="inlineStr"/>
      <c r="L1022" s="10" t="n">
        <v>0</v>
      </c>
      <c r="M1022" s="10" t="n">
        <v>0</v>
      </c>
      <c r="N1022" s="10" t="n">
        <v>29</v>
      </c>
      <c r="O1022" s="8" t="inlineStr">
        <is>
          <t>VAL</t>
        </is>
      </c>
      <c r="P1022" s="8" t="inlineStr">
        <is>
          <t>IMPORTANT</t>
        </is>
      </c>
      <c r="Q1022" s="8" t="inlineStr">
        <is>
          <t>WHAP</t>
        </is>
      </c>
      <c r="R1022" s="8" t="inlineStr">
        <is>
          <t>OUI</t>
        </is>
      </c>
      <c r="S1022" s="8" t="inlineStr">
        <is>
          <t>31/08/2026 02:59</t>
        </is>
      </c>
    </row>
    <row r="1023">
      <c r="A1023" s="7" t="inlineStr">
        <is>
          <t>WHAP-1019</t>
        </is>
      </c>
      <c r="B1023" s="7" t="inlineStr">
        <is>
          <t>SUS-1019</t>
        </is>
      </c>
      <c r="C1023" s="7" t="inlineStr">
        <is>
          <t>filtre hydraulique — avant droit</t>
        </is>
      </c>
      <c r="D1023" s="7" t="inlineStr">
        <is>
          <t>Suspension</t>
        </is>
      </c>
      <c r="E1023" s="7" t="inlineStr">
        <is>
          <t>Suspension</t>
        </is>
      </c>
      <c r="F1023" s="7" t="inlineStr">
        <is>
          <t>PIECE_VEHICULE</t>
        </is>
      </c>
      <c r="G1023" s="7" t="inlineStr">
        <is>
          <t>unité</t>
        </is>
      </c>
      <c r="H1023" s="7" t="inlineStr">
        <is>
          <t>LARGE</t>
        </is>
      </c>
      <c r="I1023" s="7" t="n">
        <v>0</v>
      </c>
      <c r="J1023" s="7" t="inlineStr">
        <is>
          <t>D-06-02</t>
        </is>
      </c>
      <c r="K1023" s="7" t="inlineStr"/>
      <c r="L1023" s="9" t="n">
        <v>0</v>
      </c>
      <c r="M1023" s="9" t="n">
        <v>0</v>
      </c>
      <c r="N1023" s="9" t="n">
        <v>31</v>
      </c>
      <c r="O1023" s="7" t="inlineStr">
        <is>
          <t>FAU</t>
        </is>
      </c>
      <c r="P1023" s="7" t="inlineStr">
        <is>
          <t>IMPORTANT</t>
        </is>
      </c>
      <c r="Q1023" s="7" t="inlineStr">
        <is>
          <t>WHAP</t>
        </is>
      </c>
      <c r="R1023" s="7" t="inlineStr">
        <is>
          <t>OUI</t>
        </is>
      </c>
      <c r="S1023" s="7" t="inlineStr">
        <is>
          <t>31/08/2026 02:59</t>
        </is>
      </c>
    </row>
    <row r="1024">
      <c r="A1024" s="8" t="inlineStr">
        <is>
          <t>WHAP-1020</t>
        </is>
      </c>
      <c r="B1024" s="8" t="inlineStr">
        <is>
          <t>SUS-1020</t>
        </is>
      </c>
      <c r="C1024" s="8" t="inlineStr">
        <is>
          <t>bras supérieur — arrière gauche</t>
        </is>
      </c>
      <c r="D1024" s="8" t="inlineStr">
        <is>
          <t>Suspension</t>
        </is>
      </c>
      <c r="E1024" s="8" t="inlineStr">
        <is>
          <t>Suspension</t>
        </is>
      </c>
      <c r="F1024" s="8" t="inlineStr">
        <is>
          <t>PIECE_VEHICULE</t>
        </is>
      </c>
      <c r="G1024" s="8" t="inlineStr">
        <is>
          <t>unité</t>
        </is>
      </c>
      <c r="H1024" s="8" t="inlineStr">
        <is>
          <t>LARGE</t>
        </is>
      </c>
      <c r="I1024" s="8" t="n">
        <v>0</v>
      </c>
      <c r="J1024" s="8" t="inlineStr">
        <is>
          <t>C-03-04</t>
        </is>
      </c>
      <c r="K1024" s="8" t="inlineStr"/>
      <c r="L1024" s="10" t="n">
        <v>0</v>
      </c>
      <c r="M1024" s="10" t="n">
        <v>0</v>
      </c>
      <c r="N1024" s="10" t="n">
        <v>25</v>
      </c>
      <c r="O1024" s="8" t="inlineStr">
        <is>
          <t>BOS</t>
        </is>
      </c>
      <c r="P1024" s="8" t="inlineStr">
        <is>
          <t>IMPORTANT</t>
        </is>
      </c>
      <c r="Q1024" s="8" t="inlineStr">
        <is>
          <t>WHAP</t>
        </is>
      </c>
      <c r="R1024" s="8" t="inlineStr">
        <is>
          <t>OUI</t>
        </is>
      </c>
      <c r="S1024" s="8" t="inlineStr">
        <is>
          <t>31/08/2026 02:59</t>
        </is>
      </c>
    </row>
    <row r="1025">
      <c r="A1025" s="7" t="inlineStr">
        <is>
          <t>WHAP-1021</t>
        </is>
      </c>
      <c r="B1025" s="7" t="inlineStr">
        <is>
          <t>SUS-1021</t>
        </is>
      </c>
      <c r="C1025" s="7" t="inlineStr">
        <is>
          <t>bras inférieur — arrière gauche</t>
        </is>
      </c>
      <c r="D1025" s="7" t="inlineStr">
        <is>
          <t>Suspension</t>
        </is>
      </c>
      <c r="E1025" s="7" t="inlineStr">
        <is>
          <t>Suspension</t>
        </is>
      </c>
      <c r="F1025" s="7" t="inlineStr">
        <is>
          <t>PIECE_VEHICULE</t>
        </is>
      </c>
      <c r="G1025" s="7" t="inlineStr">
        <is>
          <t>unité</t>
        </is>
      </c>
      <c r="H1025" s="7" t="inlineStr">
        <is>
          <t>LARGE</t>
        </is>
      </c>
      <c r="I1025" s="7" t="n">
        <v>0</v>
      </c>
      <c r="J1025" s="7" t="inlineStr">
        <is>
          <t>D-06-04</t>
        </is>
      </c>
      <c r="K1025" s="7" t="inlineStr"/>
      <c r="L1025" s="9" t="n">
        <v>0</v>
      </c>
      <c r="M1025" s="9" t="n">
        <v>0</v>
      </c>
      <c r="N1025" s="9" t="n">
        <v>26</v>
      </c>
      <c r="O1025" s="7" t="inlineStr">
        <is>
          <t>YZK</t>
        </is>
      </c>
      <c r="P1025" s="7" t="inlineStr">
        <is>
          <t>IMPORTANT</t>
        </is>
      </c>
      <c r="Q1025" s="7" t="inlineStr">
        <is>
          <t>WHAP</t>
        </is>
      </c>
      <c r="R1025" s="7" t="inlineStr">
        <is>
          <t>OUI</t>
        </is>
      </c>
      <c r="S1025" s="7" t="inlineStr">
        <is>
          <t>31/08/2026 02:59</t>
        </is>
      </c>
    </row>
    <row r="1026">
      <c r="A1026" s="8" t="inlineStr">
        <is>
          <t>WHAP-1022</t>
        </is>
      </c>
      <c r="B1026" s="8" t="inlineStr">
        <is>
          <t>SUS-1022</t>
        </is>
      </c>
      <c r="C1026" s="8" t="inlineStr">
        <is>
          <t>triangle de suspension — arrière gauche</t>
        </is>
      </c>
      <c r="D1026" s="8" t="inlineStr">
        <is>
          <t>Suspension</t>
        </is>
      </c>
      <c r="E1026" s="8" t="inlineStr">
        <is>
          <t>Suspension</t>
        </is>
      </c>
      <c r="F1026" s="8" t="inlineStr">
        <is>
          <t>PIECE_VEHICULE</t>
        </is>
      </c>
      <c r="G1026" s="8" t="inlineStr">
        <is>
          <t>unité</t>
        </is>
      </c>
      <c r="H1026" s="8" t="inlineStr">
        <is>
          <t>LARGE</t>
        </is>
      </c>
      <c r="I1026" s="8" t="n">
        <v>0</v>
      </c>
      <c r="J1026" s="8" t="inlineStr">
        <is>
          <t>C-02-04</t>
        </is>
      </c>
      <c r="K1026" s="8" t="inlineStr"/>
      <c r="L1026" s="10" t="n">
        <v>0</v>
      </c>
      <c r="M1026" s="10" t="n">
        <v>0</v>
      </c>
      <c r="N1026" s="10" t="n">
        <v>30</v>
      </c>
      <c r="O1026" s="8" t="inlineStr">
        <is>
          <t>BOS</t>
        </is>
      </c>
      <c r="P1026" s="8" t="inlineStr">
        <is>
          <t>IMPORTANT</t>
        </is>
      </c>
      <c r="Q1026" s="8" t="inlineStr">
        <is>
          <t>WHAP</t>
        </is>
      </c>
      <c r="R1026" s="8" t="inlineStr">
        <is>
          <t>OUI</t>
        </is>
      </c>
      <c r="S1026" s="8" t="inlineStr">
        <is>
          <t>31/08/2026 02:59</t>
        </is>
      </c>
    </row>
    <row r="1027">
      <c r="A1027" s="7" t="inlineStr">
        <is>
          <t>WHAP-1023</t>
        </is>
      </c>
      <c r="B1027" s="7" t="inlineStr">
        <is>
          <t>SUS-1023</t>
        </is>
      </c>
      <c r="C1027" s="7" t="inlineStr">
        <is>
          <t>porte-moyeu — arrière gauche</t>
        </is>
      </c>
      <c r="D1027" s="7" t="inlineStr">
        <is>
          <t>Suspension</t>
        </is>
      </c>
      <c r="E1027" s="7" t="inlineStr">
        <is>
          <t>Suspension</t>
        </is>
      </c>
      <c r="F1027" s="7" t="inlineStr">
        <is>
          <t>PIECE_VEHICULE</t>
        </is>
      </c>
      <c r="G1027" s="7" t="inlineStr">
        <is>
          <t>unité</t>
        </is>
      </c>
      <c r="H1027" s="7" t="inlineStr">
        <is>
          <t>LARGE</t>
        </is>
      </c>
      <c r="I1027" s="7" t="n">
        <v>0</v>
      </c>
      <c r="J1027" s="7" t="inlineStr">
        <is>
          <t>B-05-03</t>
        </is>
      </c>
      <c r="K1027" s="7" t="inlineStr"/>
      <c r="L1027" s="9" t="n">
        <v>0</v>
      </c>
      <c r="M1027" s="9" t="n">
        <v>0</v>
      </c>
      <c r="N1027" s="9" t="n">
        <v>24</v>
      </c>
      <c r="O1027" s="7" t="inlineStr">
        <is>
          <t>YZK</t>
        </is>
      </c>
      <c r="P1027" s="7" t="inlineStr">
        <is>
          <t>IMPORTANT</t>
        </is>
      </c>
      <c r="Q1027" s="7" t="inlineStr">
        <is>
          <t>WHAP</t>
        </is>
      </c>
      <c r="R1027" s="7" t="inlineStr">
        <is>
          <t>OUI</t>
        </is>
      </c>
      <c r="S1027" s="7" t="inlineStr">
        <is>
          <t>31/08/2026 02:59</t>
        </is>
      </c>
    </row>
    <row r="1028">
      <c r="A1028" s="8" t="inlineStr">
        <is>
          <t>WHAP-1024</t>
        </is>
      </c>
      <c r="B1028" s="8" t="inlineStr">
        <is>
          <t>SUS-1024</t>
        </is>
      </c>
      <c r="C1028" s="8" t="inlineStr">
        <is>
          <t>rotule supérieure — arrière gauche</t>
        </is>
      </c>
      <c r="D1028" s="8" t="inlineStr">
        <is>
          <t>Suspension</t>
        </is>
      </c>
      <c r="E1028" s="8" t="inlineStr">
        <is>
          <t>Suspension</t>
        </is>
      </c>
      <c r="F1028" s="8" t="inlineStr">
        <is>
          <t>PIECE_VEHICULE</t>
        </is>
      </c>
      <c r="G1028" s="8" t="inlineStr">
        <is>
          <t>unité</t>
        </is>
      </c>
      <c r="H1028" s="8" t="inlineStr">
        <is>
          <t>LARGE</t>
        </is>
      </c>
      <c r="I1028" s="8" t="n">
        <v>0</v>
      </c>
      <c r="J1028" s="8" t="inlineStr">
        <is>
          <t>B-01-02</t>
        </is>
      </c>
      <c r="K1028" s="8" t="inlineStr"/>
      <c r="L1028" s="10" t="n">
        <v>0</v>
      </c>
      <c r="M1028" s="10" t="n">
        <v>0</v>
      </c>
      <c r="N1028" s="10" t="n">
        <v>23</v>
      </c>
      <c r="O1028" s="8" t="inlineStr">
        <is>
          <t>YZK</t>
        </is>
      </c>
      <c r="P1028" s="8" t="inlineStr">
        <is>
          <t>IMPORTANT</t>
        </is>
      </c>
      <c r="Q1028" s="8" t="inlineStr">
        <is>
          <t>WHAP</t>
        </is>
      </c>
      <c r="R1028" s="8" t="inlineStr">
        <is>
          <t>OUI</t>
        </is>
      </c>
      <c r="S1028" s="8" t="inlineStr">
        <is>
          <t>31/08/2026 02:59</t>
        </is>
      </c>
    </row>
    <row r="1029">
      <c r="A1029" s="7" t="inlineStr">
        <is>
          <t>WHAP-1025</t>
        </is>
      </c>
      <c r="B1029" s="7" t="inlineStr">
        <is>
          <t>SUS-1025</t>
        </is>
      </c>
      <c r="C1029" s="7" t="inlineStr">
        <is>
          <t>rotule inférieure — arrière gauche</t>
        </is>
      </c>
      <c r="D1029" s="7" t="inlineStr">
        <is>
          <t>Suspension</t>
        </is>
      </c>
      <c r="E1029" s="7" t="inlineStr">
        <is>
          <t>Suspension</t>
        </is>
      </c>
      <c r="F1029" s="7" t="inlineStr">
        <is>
          <t>PIECE_VEHICULE</t>
        </is>
      </c>
      <c r="G1029" s="7" t="inlineStr">
        <is>
          <t>unité</t>
        </is>
      </c>
      <c r="H1029" s="7" t="inlineStr">
        <is>
          <t>LARGE</t>
        </is>
      </c>
      <c r="I1029" s="7" t="n">
        <v>0</v>
      </c>
      <c r="J1029" s="7" t="inlineStr">
        <is>
          <t>C-02-03</t>
        </is>
      </c>
      <c r="K1029" s="7" t="inlineStr"/>
      <c r="L1029" s="9" t="n">
        <v>0</v>
      </c>
      <c r="M1029" s="9" t="n">
        <v>0</v>
      </c>
      <c r="N1029" s="9" t="n">
        <v>31</v>
      </c>
      <c r="O1029" s="7" t="inlineStr">
        <is>
          <t>DEL</t>
        </is>
      </c>
      <c r="P1029" s="7" t="inlineStr">
        <is>
          <t>IMPORTANT</t>
        </is>
      </c>
      <c r="Q1029" s="7" t="inlineStr">
        <is>
          <t>WHAP</t>
        </is>
      </c>
      <c r="R1029" s="7" t="inlineStr">
        <is>
          <t>OUI</t>
        </is>
      </c>
      <c r="S1029" s="7" t="inlineStr">
        <is>
          <t>31/08/2026 02:59</t>
        </is>
      </c>
    </row>
    <row r="1030">
      <c r="A1030" s="8" t="inlineStr">
        <is>
          <t>WHAP-1026</t>
        </is>
      </c>
      <c r="B1030" s="8" t="inlineStr">
        <is>
          <t>SUS-1026</t>
        </is>
      </c>
      <c r="C1030" s="8" t="inlineStr">
        <is>
          <t>amortisseur — arrière gauche</t>
        </is>
      </c>
      <c r="D1030" s="8" t="inlineStr">
        <is>
          <t>Suspension</t>
        </is>
      </c>
      <c r="E1030" s="8" t="inlineStr">
        <is>
          <t>Suspension</t>
        </is>
      </c>
      <c r="F1030" s="8" t="inlineStr">
        <is>
          <t>PIECE_VEHICULE</t>
        </is>
      </c>
      <c r="G1030" s="8" t="inlineStr">
        <is>
          <t>unité</t>
        </is>
      </c>
      <c r="H1030" s="8" t="inlineStr">
        <is>
          <t>LARGE</t>
        </is>
      </c>
      <c r="I1030" s="8" t="n">
        <v>0</v>
      </c>
      <c r="J1030" s="8" t="inlineStr">
        <is>
          <t>D-05-04</t>
        </is>
      </c>
      <c r="K1030" s="8" t="inlineStr"/>
      <c r="L1030" s="10" t="n">
        <v>0</v>
      </c>
      <c r="M1030" s="10" t="n">
        <v>0</v>
      </c>
      <c r="N1030" s="10" t="n">
        <v>29</v>
      </c>
      <c r="O1030" s="8" t="inlineStr">
        <is>
          <t>VAL</t>
        </is>
      </c>
      <c r="P1030" s="8" t="inlineStr">
        <is>
          <t>IMPORTANT</t>
        </is>
      </c>
      <c r="Q1030" s="8" t="inlineStr">
        <is>
          <t>WHAP</t>
        </is>
      </c>
      <c r="R1030" s="8" t="inlineStr">
        <is>
          <t>OUI</t>
        </is>
      </c>
      <c r="S1030" s="8" t="inlineStr">
        <is>
          <t>31/08/2026 02:59</t>
        </is>
      </c>
    </row>
    <row r="1031">
      <c r="A1031" s="7" t="inlineStr">
        <is>
          <t>WHAP-1027</t>
        </is>
      </c>
      <c r="B1031" s="7" t="inlineStr">
        <is>
          <t>SUS-1027</t>
        </is>
      </c>
      <c r="C1031" s="7" t="inlineStr">
        <is>
          <t>jambe hydropneumatique — arrière gauche</t>
        </is>
      </c>
      <c r="D1031" s="7" t="inlineStr">
        <is>
          <t>Suspension</t>
        </is>
      </c>
      <c r="E1031" s="7" t="inlineStr">
        <is>
          <t>Suspension</t>
        </is>
      </c>
      <c r="F1031" s="7" t="inlineStr">
        <is>
          <t>PIECE_VEHICULE</t>
        </is>
      </c>
      <c r="G1031" s="7" t="inlineStr">
        <is>
          <t>unité</t>
        </is>
      </c>
      <c r="H1031" s="7" t="inlineStr">
        <is>
          <t>LARGE</t>
        </is>
      </c>
      <c r="I1031" s="7" t="n">
        <v>0</v>
      </c>
      <c r="J1031" s="7" t="inlineStr">
        <is>
          <t>B-03-01</t>
        </is>
      </c>
      <c r="K1031" s="7" t="inlineStr"/>
      <c r="L1031" s="9" t="n">
        <v>0</v>
      </c>
      <c r="M1031" s="9" t="n">
        <v>0</v>
      </c>
      <c r="N1031" s="9" t="n">
        <v>32</v>
      </c>
      <c r="O1031" s="7" t="inlineStr">
        <is>
          <t>VAL</t>
        </is>
      </c>
      <c r="P1031" s="7" t="inlineStr">
        <is>
          <t>IMPORTANT</t>
        </is>
      </c>
      <c r="Q1031" s="7" t="inlineStr">
        <is>
          <t>WHAP</t>
        </is>
      </c>
      <c r="R1031" s="7" t="inlineStr">
        <is>
          <t>OUI</t>
        </is>
      </c>
      <c r="S1031" s="7" t="inlineStr">
        <is>
          <t>31/08/2026 02:59</t>
        </is>
      </c>
    </row>
    <row r="1032">
      <c r="A1032" s="8" t="inlineStr">
        <is>
          <t>WHAP-1028</t>
        </is>
      </c>
      <c r="B1032" s="8" t="inlineStr">
        <is>
          <t>SUS-1028</t>
        </is>
      </c>
      <c r="C1032" s="8" t="inlineStr">
        <is>
          <t>accumulateur hydropneumatique — arrière gauche</t>
        </is>
      </c>
      <c r="D1032" s="8" t="inlineStr">
        <is>
          <t>Suspension</t>
        </is>
      </c>
      <c r="E1032" s="8" t="inlineStr">
        <is>
          <t>Suspension</t>
        </is>
      </c>
      <c r="F1032" s="8" t="inlineStr">
        <is>
          <t>PIECE_VEHICULE</t>
        </is>
      </c>
      <c r="G1032" s="8" t="inlineStr">
        <is>
          <t>unité</t>
        </is>
      </c>
      <c r="H1032" s="8" t="inlineStr">
        <is>
          <t>LARGE</t>
        </is>
      </c>
      <c r="I1032" s="8" t="n">
        <v>0</v>
      </c>
      <c r="J1032" s="8" t="inlineStr">
        <is>
          <t>A-04-01</t>
        </is>
      </c>
      <c r="K1032" s="8" t="inlineStr"/>
      <c r="L1032" s="10" t="n">
        <v>0</v>
      </c>
      <c r="M1032" s="10" t="n">
        <v>0</v>
      </c>
      <c r="N1032" s="10" t="n">
        <v>29</v>
      </c>
      <c r="O1032" s="8" t="inlineStr">
        <is>
          <t>DEL</t>
        </is>
      </c>
      <c r="P1032" s="8" t="inlineStr">
        <is>
          <t>IMPORTANT</t>
        </is>
      </c>
      <c r="Q1032" s="8" t="inlineStr">
        <is>
          <t>WHAP</t>
        </is>
      </c>
      <c r="R1032" s="8" t="inlineStr">
        <is>
          <t>OUI</t>
        </is>
      </c>
      <c r="S1032" s="8" t="inlineStr">
        <is>
          <t>31/08/2026 02:59</t>
        </is>
      </c>
    </row>
    <row r="1033">
      <c r="A1033" s="7" t="inlineStr">
        <is>
          <t>WHAP-1029</t>
        </is>
      </c>
      <c r="B1033" s="7" t="inlineStr">
        <is>
          <t>SUS-1029</t>
        </is>
      </c>
      <c r="C1033" s="7" t="inlineStr">
        <is>
          <t>cylindre de suspension — arrière gauche</t>
        </is>
      </c>
      <c r="D1033" s="7" t="inlineStr">
        <is>
          <t>Suspension</t>
        </is>
      </c>
      <c r="E1033" s="7" t="inlineStr">
        <is>
          <t>Suspension</t>
        </is>
      </c>
      <c r="F1033" s="7" t="inlineStr">
        <is>
          <t>PIECE_VEHICULE</t>
        </is>
      </c>
      <c r="G1033" s="7" t="inlineStr">
        <is>
          <t>unité</t>
        </is>
      </c>
      <c r="H1033" s="7" t="inlineStr">
        <is>
          <t>LARGE</t>
        </is>
      </c>
      <c r="I1033" s="7" t="n">
        <v>0</v>
      </c>
      <c r="J1033" s="7" t="inlineStr">
        <is>
          <t>F-06-03</t>
        </is>
      </c>
      <c r="K1033" s="7" t="inlineStr"/>
      <c r="L1033" s="9" t="n">
        <v>0</v>
      </c>
      <c r="M1033" s="9" t="n">
        <v>0</v>
      </c>
      <c r="N1033" s="9" t="n">
        <v>31</v>
      </c>
      <c r="O1033" s="7" t="inlineStr">
        <is>
          <t>FAU</t>
        </is>
      </c>
      <c r="P1033" s="7" t="inlineStr">
        <is>
          <t>IMPORTANT</t>
        </is>
      </c>
      <c r="Q1033" s="7" t="inlineStr">
        <is>
          <t>WHAP</t>
        </is>
      </c>
      <c r="R1033" s="7" t="inlineStr">
        <is>
          <t>OUI</t>
        </is>
      </c>
      <c r="S1033" s="7" t="inlineStr">
        <is>
          <t>31/08/2026 02:59</t>
        </is>
      </c>
    </row>
    <row r="1034">
      <c r="A1034" s="8" t="inlineStr">
        <is>
          <t>WHAP-1030</t>
        </is>
      </c>
      <c r="B1034" s="8" t="inlineStr">
        <is>
          <t>SUS-1030</t>
        </is>
      </c>
      <c r="C1034" s="8" t="inlineStr">
        <is>
          <t>piston de suspension — arrière gauche</t>
        </is>
      </c>
      <c r="D1034" s="8" t="inlineStr">
        <is>
          <t>Suspension</t>
        </is>
      </c>
      <c r="E1034" s="8" t="inlineStr">
        <is>
          <t>Suspension</t>
        </is>
      </c>
      <c r="F1034" s="8" t="inlineStr">
        <is>
          <t>PIECE_VEHICULE</t>
        </is>
      </c>
      <c r="G1034" s="8" t="inlineStr">
        <is>
          <t>unité</t>
        </is>
      </c>
      <c r="H1034" s="8" t="inlineStr">
        <is>
          <t>LARGE</t>
        </is>
      </c>
      <c r="I1034" s="8" t="n">
        <v>0</v>
      </c>
      <c r="J1034" s="8" t="inlineStr">
        <is>
          <t>E-03-02</t>
        </is>
      </c>
      <c r="K1034" s="8" t="inlineStr"/>
      <c r="L1034" s="10" t="n">
        <v>0</v>
      </c>
      <c r="M1034" s="10" t="n">
        <v>0</v>
      </c>
      <c r="N1034" s="10" t="n">
        <v>25</v>
      </c>
      <c r="O1034" s="8" t="inlineStr">
        <is>
          <t>MAG</t>
        </is>
      </c>
      <c r="P1034" s="8" t="inlineStr">
        <is>
          <t>IMPORTANT</t>
        </is>
      </c>
      <c r="Q1034" s="8" t="inlineStr">
        <is>
          <t>WHAP</t>
        </is>
      </c>
      <c r="R1034" s="8" t="inlineStr">
        <is>
          <t>OUI</t>
        </is>
      </c>
      <c r="S1034" s="8" t="inlineStr">
        <is>
          <t>31/08/2026 02:59</t>
        </is>
      </c>
    </row>
    <row r="1035">
      <c r="A1035" s="7" t="inlineStr">
        <is>
          <t>WHAP-1031</t>
        </is>
      </c>
      <c r="B1035" s="7" t="inlineStr">
        <is>
          <t>SUS-1031</t>
        </is>
      </c>
      <c r="C1035" s="7" t="inlineStr">
        <is>
          <t>tige de suspension — arrière gauche</t>
        </is>
      </c>
      <c r="D1035" s="7" t="inlineStr">
        <is>
          <t>Suspension</t>
        </is>
      </c>
      <c r="E1035" s="7" t="inlineStr">
        <is>
          <t>Suspension</t>
        </is>
      </c>
      <c r="F1035" s="7" t="inlineStr">
        <is>
          <t>PIECE_VEHICULE</t>
        </is>
      </c>
      <c r="G1035" s="7" t="inlineStr">
        <is>
          <t>unité</t>
        </is>
      </c>
      <c r="H1035" s="7" t="inlineStr">
        <is>
          <t>LARGE</t>
        </is>
      </c>
      <c r="I1035" s="7" t="n">
        <v>0</v>
      </c>
      <c r="J1035" s="7" t="inlineStr">
        <is>
          <t>F-05-03</t>
        </is>
      </c>
      <c r="K1035" s="7" t="inlineStr"/>
      <c r="L1035" s="9" t="n">
        <v>0</v>
      </c>
      <c r="M1035" s="9" t="n">
        <v>0</v>
      </c>
      <c r="N1035" s="9" t="n">
        <v>31</v>
      </c>
      <c r="O1035" s="7" t="inlineStr">
        <is>
          <t>YZK</t>
        </is>
      </c>
      <c r="P1035" s="7" t="inlineStr">
        <is>
          <t>IMPORTANT</t>
        </is>
      </c>
      <c r="Q1035" s="7" t="inlineStr">
        <is>
          <t>WHAP</t>
        </is>
      </c>
      <c r="R1035" s="7" t="inlineStr">
        <is>
          <t>OUI</t>
        </is>
      </c>
      <c r="S1035" s="7" t="inlineStr">
        <is>
          <t>31/08/2026 02:59</t>
        </is>
      </c>
    </row>
    <row r="1036">
      <c r="A1036" s="8" t="inlineStr">
        <is>
          <t>WHAP-1032</t>
        </is>
      </c>
      <c r="B1036" s="8" t="inlineStr">
        <is>
          <t>SUS-1032</t>
        </is>
      </c>
      <c r="C1036" s="8" t="inlineStr">
        <is>
          <t>joint de tige — arrière gauche</t>
        </is>
      </c>
      <c r="D1036" s="8" t="inlineStr">
        <is>
          <t>Suspension</t>
        </is>
      </c>
      <c r="E1036" s="8" t="inlineStr">
        <is>
          <t>Suspension</t>
        </is>
      </c>
      <c r="F1036" s="8" t="inlineStr">
        <is>
          <t>PIECE_VEHICULE</t>
        </is>
      </c>
      <c r="G1036" s="8" t="inlineStr">
        <is>
          <t>unité</t>
        </is>
      </c>
      <c r="H1036" s="8" t="inlineStr">
        <is>
          <t>LARGE</t>
        </is>
      </c>
      <c r="I1036" s="8" t="n">
        <v>0</v>
      </c>
      <c r="J1036" s="8" t="inlineStr">
        <is>
          <t>A-05-02</t>
        </is>
      </c>
      <c r="K1036" s="8" t="inlineStr"/>
      <c r="L1036" s="10" t="n">
        <v>0</v>
      </c>
      <c r="M1036" s="10" t="n">
        <v>0</v>
      </c>
      <c r="N1036" s="10" t="n">
        <v>28</v>
      </c>
      <c r="O1036" s="8" t="inlineStr">
        <is>
          <t>SUM</t>
        </is>
      </c>
      <c r="P1036" s="8" t="inlineStr">
        <is>
          <t>IMPORTANT</t>
        </is>
      </c>
      <c r="Q1036" s="8" t="inlineStr">
        <is>
          <t>WHAP</t>
        </is>
      </c>
      <c r="R1036" s="8" t="inlineStr">
        <is>
          <t>OUI</t>
        </is>
      </c>
      <c r="S1036" s="8" t="inlineStr">
        <is>
          <t>31/08/2026 02:59</t>
        </is>
      </c>
    </row>
    <row r="1037">
      <c r="A1037" s="7" t="inlineStr">
        <is>
          <t>WHAP-1033</t>
        </is>
      </c>
      <c r="B1037" s="7" t="inlineStr">
        <is>
          <t>SUS-1033</t>
        </is>
      </c>
      <c r="C1037" s="7" t="inlineStr">
        <is>
          <t>bague de guidage — arrière gauche</t>
        </is>
      </c>
      <c r="D1037" s="7" t="inlineStr">
        <is>
          <t>Suspension</t>
        </is>
      </c>
      <c r="E1037" s="7" t="inlineStr">
        <is>
          <t>Suspension</t>
        </is>
      </c>
      <c r="F1037" s="7" t="inlineStr">
        <is>
          <t>PIECE_VEHICULE</t>
        </is>
      </c>
      <c r="G1037" s="7" t="inlineStr">
        <is>
          <t>unité</t>
        </is>
      </c>
      <c r="H1037" s="7" t="inlineStr">
        <is>
          <t>LARGE</t>
        </is>
      </c>
      <c r="I1037" s="7" t="n">
        <v>0</v>
      </c>
      <c r="J1037" s="7" t="inlineStr">
        <is>
          <t>E-06-02</t>
        </is>
      </c>
      <c r="K1037" s="7" t="inlineStr"/>
      <c r="L1037" s="9" t="n">
        <v>0</v>
      </c>
      <c r="M1037" s="9" t="n">
        <v>0</v>
      </c>
      <c r="N1037" s="9" t="n">
        <v>26</v>
      </c>
      <c r="O1037" s="7" t="inlineStr">
        <is>
          <t>HEL</t>
        </is>
      </c>
      <c r="P1037" s="7" t="inlineStr">
        <is>
          <t>IMPORTANT</t>
        </is>
      </c>
      <c r="Q1037" s="7" t="inlineStr">
        <is>
          <t>WHAP</t>
        </is>
      </c>
      <c r="R1037" s="7" t="inlineStr">
        <is>
          <t>OUI</t>
        </is>
      </c>
      <c r="S1037" s="7" t="inlineStr">
        <is>
          <t>31/08/2026 02:59</t>
        </is>
      </c>
    </row>
    <row r="1038">
      <c r="A1038" s="8" t="inlineStr">
        <is>
          <t>WHAP-1034</t>
        </is>
      </c>
      <c r="B1038" s="8" t="inlineStr">
        <is>
          <t>SUS-1034</t>
        </is>
      </c>
      <c r="C1038" s="8" t="inlineStr">
        <is>
          <t>ressort auxiliaire — arrière gauche</t>
        </is>
      </c>
      <c r="D1038" s="8" t="inlineStr">
        <is>
          <t>Suspension</t>
        </is>
      </c>
      <c r="E1038" s="8" t="inlineStr">
        <is>
          <t>Suspension</t>
        </is>
      </c>
      <c r="F1038" s="8" t="inlineStr">
        <is>
          <t>PIECE_VEHICULE</t>
        </is>
      </c>
      <c r="G1038" s="8" t="inlineStr">
        <is>
          <t>unité</t>
        </is>
      </c>
      <c r="H1038" s="8" t="inlineStr">
        <is>
          <t>LARGE</t>
        </is>
      </c>
      <c r="I1038" s="8" t="n">
        <v>0</v>
      </c>
      <c r="J1038" s="8" t="inlineStr">
        <is>
          <t>A-01-04</t>
        </is>
      </c>
      <c r="K1038" s="8" t="inlineStr"/>
      <c r="L1038" s="10" t="n">
        <v>0</v>
      </c>
      <c r="M1038" s="10" t="n">
        <v>0</v>
      </c>
      <c r="N1038" s="10" t="n">
        <v>32</v>
      </c>
      <c r="O1038" s="8" t="inlineStr">
        <is>
          <t>BOS</t>
        </is>
      </c>
      <c r="P1038" s="8" t="inlineStr">
        <is>
          <t>IMPORTANT</t>
        </is>
      </c>
      <c r="Q1038" s="8" t="inlineStr">
        <is>
          <t>WHAP</t>
        </is>
      </c>
      <c r="R1038" s="8" t="inlineStr">
        <is>
          <t>OUI</t>
        </is>
      </c>
      <c r="S1038" s="8" t="inlineStr">
        <is>
          <t>31/08/2026 02:59</t>
        </is>
      </c>
    </row>
    <row r="1039">
      <c r="A1039" s="7" t="inlineStr">
        <is>
          <t>WHAP-1035</t>
        </is>
      </c>
      <c r="B1039" s="7" t="inlineStr">
        <is>
          <t>SUS-1035</t>
        </is>
      </c>
      <c r="C1039" s="7" t="inlineStr">
        <is>
          <t>butée de suspension — arrière gauche</t>
        </is>
      </c>
      <c r="D1039" s="7" t="inlineStr">
        <is>
          <t>Suspension</t>
        </is>
      </c>
      <c r="E1039" s="7" t="inlineStr">
        <is>
          <t>Suspension</t>
        </is>
      </c>
      <c r="F1039" s="7" t="inlineStr">
        <is>
          <t>PIECE_VEHICULE</t>
        </is>
      </c>
      <c r="G1039" s="7" t="inlineStr">
        <is>
          <t>unité</t>
        </is>
      </c>
      <c r="H1039" s="7" t="inlineStr">
        <is>
          <t>LARGE</t>
        </is>
      </c>
      <c r="I1039" s="7" t="n">
        <v>0</v>
      </c>
      <c r="J1039" s="7" t="inlineStr">
        <is>
          <t>F-02-04</t>
        </is>
      </c>
      <c r="K1039" s="7" t="inlineStr"/>
      <c r="L1039" s="9" t="n">
        <v>0</v>
      </c>
      <c r="M1039" s="9" t="n">
        <v>0</v>
      </c>
      <c r="N1039" s="9" t="n">
        <v>23</v>
      </c>
      <c r="O1039" s="7" t="inlineStr">
        <is>
          <t>SKF</t>
        </is>
      </c>
      <c r="P1039" s="7" t="inlineStr">
        <is>
          <t>IMPORTANT</t>
        </is>
      </c>
      <c r="Q1039" s="7" t="inlineStr">
        <is>
          <t>WHAP</t>
        </is>
      </c>
      <c r="R1039" s="7" t="inlineStr">
        <is>
          <t>OUI</t>
        </is>
      </c>
      <c r="S1039" s="7" t="inlineStr">
        <is>
          <t>31/08/2026 02:59</t>
        </is>
      </c>
    </row>
    <row r="1040">
      <c r="A1040" s="8" t="inlineStr">
        <is>
          <t>WHAP-1036</t>
        </is>
      </c>
      <c r="B1040" s="8" t="inlineStr">
        <is>
          <t>SUS-1036</t>
        </is>
      </c>
      <c r="C1040" s="8" t="inlineStr">
        <is>
          <t>silentbloc de bras — arrière gauche</t>
        </is>
      </c>
      <c r="D1040" s="8" t="inlineStr">
        <is>
          <t>Suspension</t>
        </is>
      </c>
      <c r="E1040" s="8" t="inlineStr">
        <is>
          <t>Suspension</t>
        </is>
      </c>
      <c r="F1040" s="8" t="inlineStr">
        <is>
          <t>PIECE_VEHICULE</t>
        </is>
      </c>
      <c r="G1040" s="8" t="inlineStr">
        <is>
          <t>unité</t>
        </is>
      </c>
      <c r="H1040" s="8" t="inlineStr">
        <is>
          <t>LARGE</t>
        </is>
      </c>
      <c r="I1040" s="8" t="n">
        <v>0</v>
      </c>
      <c r="J1040" s="8" t="inlineStr">
        <is>
          <t>C-06-01</t>
        </is>
      </c>
      <c r="K1040" s="8" t="inlineStr"/>
      <c r="L1040" s="10" t="n">
        <v>0</v>
      </c>
      <c r="M1040" s="10" t="n">
        <v>0</v>
      </c>
      <c r="N1040" s="10" t="n">
        <v>24</v>
      </c>
      <c r="O1040" s="8" t="inlineStr">
        <is>
          <t>HEL</t>
        </is>
      </c>
      <c r="P1040" s="8" t="inlineStr">
        <is>
          <t>IMPORTANT</t>
        </is>
      </c>
      <c r="Q1040" s="8" t="inlineStr">
        <is>
          <t>WHAP</t>
        </is>
      </c>
      <c r="R1040" s="8" t="inlineStr">
        <is>
          <t>OUI</t>
        </is>
      </c>
      <c r="S1040" s="8" t="inlineStr">
        <is>
          <t>31/08/2026 02:59</t>
        </is>
      </c>
    </row>
    <row r="1041">
      <c r="A1041" s="7" t="inlineStr">
        <is>
          <t>WHAP-1037</t>
        </is>
      </c>
      <c r="B1041" s="7" t="inlineStr">
        <is>
          <t>SUS-1037</t>
        </is>
      </c>
      <c r="C1041" s="7" t="inlineStr">
        <is>
          <t>support de suspension — arrière gauche</t>
        </is>
      </c>
      <c r="D1041" s="7" t="inlineStr">
        <is>
          <t>Suspension</t>
        </is>
      </c>
      <c r="E1041" s="7" t="inlineStr">
        <is>
          <t>Suspension</t>
        </is>
      </c>
      <c r="F1041" s="7" t="inlineStr">
        <is>
          <t>PIECE_VEHICULE</t>
        </is>
      </c>
      <c r="G1041" s="7" t="inlineStr">
        <is>
          <t>unité</t>
        </is>
      </c>
      <c r="H1041" s="7" t="inlineStr">
        <is>
          <t>LARGE</t>
        </is>
      </c>
      <c r="I1041" s="7" t="n">
        <v>0</v>
      </c>
      <c r="J1041" s="7" t="inlineStr">
        <is>
          <t>F-02-02</t>
        </is>
      </c>
      <c r="K1041" s="7" t="inlineStr"/>
      <c r="L1041" s="9" t="n">
        <v>0</v>
      </c>
      <c r="M1041" s="9" t="n">
        <v>0</v>
      </c>
      <c r="N1041" s="9" t="n">
        <v>24</v>
      </c>
      <c r="O1041" s="7" t="inlineStr">
        <is>
          <t>CTL</t>
        </is>
      </c>
      <c r="P1041" s="7" t="inlineStr">
        <is>
          <t>IMPORTANT</t>
        </is>
      </c>
      <c r="Q1041" s="7" t="inlineStr">
        <is>
          <t>WHAP</t>
        </is>
      </c>
      <c r="R1041" s="7" t="inlineStr">
        <is>
          <t>OUI</t>
        </is>
      </c>
      <c r="S1041" s="7" t="inlineStr">
        <is>
          <t>31/08/2026 02:59</t>
        </is>
      </c>
    </row>
    <row r="1042">
      <c r="A1042" s="8" t="inlineStr">
        <is>
          <t>WHAP-1038</t>
        </is>
      </c>
      <c r="B1042" s="8" t="inlineStr">
        <is>
          <t>SUS-1038</t>
        </is>
      </c>
      <c r="C1042" s="8" t="inlineStr">
        <is>
          <t>capteur de hauteur — arrière gauche</t>
        </is>
      </c>
      <c r="D1042" s="8" t="inlineStr">
        <is>
          <t>Suspension</t>
        </is>
      </c>
      <c r="E1042" s="8" t="inlineStr">
        <is>
          <t>Suspension</t>
        </is>
      </c>
      <c r="F1042" s="8" t="inlineStr">
        <is>
          <t>PIECE_VEHICULE</t>
        </is>
      </c>
      <c r="G1042" s="8" t="inlineStr">
        <is>
          <t>unité</t>
        </is>
      </c>
      <c r="H1042" s="8" t="inlineStr">
        <is>
          <t>LARGE</t>
        </is>
      </c>
      <c r="I1042" s="8" t="n">
        <v>0</v>
      </c>
      <c r="J1042" s="8" t="inlineStr">
        <is>
          <t>B-01-02</t>
        </is>
      </c>
      <c r="K1042" s="8" t="inlineStr"/>
      <c r="L1042" s="10" t="n">
        <v>0</v>
      </c>
      <c r="M1042" s="10" t="n">
        <v>0</v>
      </c>
      <c r="N1042" s="10" t="n">
        <v>27</v>
      </c>
      <c r="O1042" s="8" t="inlineStr">
        <is>
          <t>SKF</t>
        </is>
      </c>
      <c r="P1042" s="8" t="inlineStr">
        <is>
          <t>IMPORTANT</t>
        </is>
      </c>
      <c r="Q1042" s="8" t="inlineStr">
        <is>
          <t>WHAP</t>
        </is>
      </c>
      <c r="R1042" s="8" t="inlineStr">
        <is>
          <t>OUI</t>
        </is>
      </c>
      <c r="S1042" s="8" t="inlineStr">
        <is>
          <t>31/08/2026 02:59</t>
        </is>
      </c>
    </row>
    <row r="1043">
      <c r="A1043" s="7" t="inlineStr">
        <is>
          <t>WHAP-1039</t>
        </is>
      </c>
      <c r="B1043" s="7" t="inlineStr">
        <is>
          <t>SUS-1039</t>
        </is>
      </c>
      <c r="C1043" s="7" t="inlineStr">
        <is>
          <t>valve de suspension — arrière gauche</t>
        </is>
      </c>
      <c r="D1043" s="7" t="inlineStr">
        <is>
          <t>Suspension</t>
        </is>
      </c>
      <c r="E1043" s="7" t="inlineStr">
        <is>
          <t>Suspension</t>
        </is>
      </c>
      <c r="F1043" s="7" t="inlineStr">
        <is>
          <t>PIECE_VEHICULE</t>
        </is>
      </c>
      <c r="G1043" s="7" t="inlineStr">
        <is>
          <t>unité</t>
        </is>
      </c>
      <c r="H1043" s="7" t="inlineStr">
        <is>
          <t>LARGE</t>
        </is>
      </c>
      <c r="I1043" s="7" t="n">
        <v>0</v>
      </c>
      <c r="J1043" s="7" t="inlineStr">
        <is>
          <t>C-03-01</t>
        </is>
      </c>
      <c r="K1043" s="7" t="inlineStr"/>
      <c r="L1043" s="9" t="n">
        <v>0</v>
      </c>
      <c r="M1043" s="9" t="n">
        <v>0</v>
      </c>
      <c r="N1043" s="9" t="n">
        <v>32</v>
      </c>
      <c r="O1043" s="7" t="inlineStr">
        <is>
          <t>SUM</t>
        </is>
      </c>
      <c r="P1043" s="7" t="inlineStr">
        <is>
          <t>IMPORTANT</t>
        </is>
      </c>
      <c r="Q1043" s="7" t="inlineStr">
        <is>
          <t>WHAP</t>
        </is>
      </c>
      <c r="R1043" s="7" t="inlineStr">
        <is>
          <t>OUI</t>
        </is>
      </c>
      <c r="S1043" s="7" t="inlineStr">
        <is>
          <t>31/08/2026 02:59</t>
        </is>
      </c>
    </row>
    <row r="1044">
      <c r="A1044" s="8" t="inlineStr">
        <is>
          <t>WHAP-1040</t>
        </is>
      </c>
      <c r="B1044" s="8" t="inlineStr">
        <is>
          <t>SUS-1040</t>
        </is>
      </c>
      <c r="C1044" s="8" t="inlineStr">
        <is>
          <t>conduite hydraulique — arrière gauche</t>
        </is>
      </c>
      <c r="D1044" s="8" t="inlineStr">
        <is>
          <t>Suspension</t>
        </is>
      </c>
      <c r="E1044" s="8" t="inlineStr">
        <is>
          <t>Suspension</t>
        </is>
      </c>
      <c r="F1044" s="8" t="inlineStr">
        <is>
          <t>PIECE_VEHICULE</t>
        </is>
      </c>
      <c r="G1044" s="8" t="inlineStr">
        <is>
          <t>unité</t>
        </is>
      </c>
      <c r="H1044" s="8" t="inlineStr">
        <is>
          <t>LARGE</t>
        </is>
      </c>
      <c r="I1044" s="8" t="n">
        <v>0</v>
      </c>
      <c r="J1044" s="8" t="inlineStr">
        <is>
          <t>F-01-02</t>
        </is>
      </c>
      <c r="K1044" s="8" t="inlineStr"/>
      <c r="L1044" s="10" t="n">
        <v>0</v>
      </c>
      <c r="M1044" s="10" t="n">
        <v>0</v>
      </c>
      <c r="N1044" s="10" t="n">
        <v>26</v>
      </c>
      <c r="O1044" s="8" t="inlineStr">
        <is>
          <t>CTL</t>
        </is>
      </c>
      <c r="P1044" s="8" t="inlineStr">
        <is>
          <t>IMPORTANT</t>
        </is>
      </c>
      <c r="Q1044" s="8" t="inlineStr">
        <is>
          <t>WHAP</t>
        </is>
      </c>
      <c r="R1044" s="8" t="inlineStr">
        <is>
          <t>OUI</t>
        </is>
      </c>
      <c r="S1044" s="8" t="inlineStr">
        <is>
          <t>31/08/2026 02:59</t>
        </is>
      </c>
    </row>
    <row r="1045">
      <c r="A1045" s="7" t="inlineStr">
        <is>
          <t>WHAP-1041</t>
        </is>
      </c>
      <c r="B1045" s="7" t="inlineStr">
        <is>
          <t>SUS-1041</t>
        </is>
      </c>
      <c r="C1045" s="7" t="inlineStr">
        <is>
          <t>raccord hydraulique — arrière gauche</t>
        </is>
      </c>
      <c r="D1045" s="7" t="inlineStr">
        <is>
          <t>Suspension</t>
        </is>
      </c>
      <c r="E1045" s="7" t="inlineStr">
        <is>
          <t>Suspension</t>
        </is>
      </c>
      <c r="F1045" s="7" t="inlineStr">
        <is>
          <t>PIECE_VEHICULE</t>
        </is>
      </c>
      <c r="G1045" s="7" t="inlineStr">
        <is>
          <t>unité</t>
        </is>
      </c>
      <c r="H1045" s="7" t="inlineStr">
        <is>
          <t>LARGE</t>
        </is>
      </c>
      <c r="I1045" s="7" t="n">
        <v>0</v>
      </c>
      <c r="J1045" s="7" t="inlineStr">
        <is>
          <t>E-05-03</t>
        </is>
      </c>
      <c r="K1045" s="7" t="inlineStr"/>
      <c r="L1045" s="9" t="n">
        <v>0</v>
      </c>
      <c r="M1045" s="9" t="n">
        <v>0</v>
      </c>
      <c r="N1045" s="9" t="n">
        <v>23</v>
      </c>
      <c r="O1045" s="7" t="inlineStr">
        <is>
          <t>MAG</t>
        </is>
      </c>
      <c r="P1045" s="7" t="inlineStr">
        <is>
          <t>IMPORTANT</t>
        </is>
      </c>
      <c r="Q1045" s="7" t="inlineStr">
        <is>
          <t>WHAP</t>
        </is>
      </c>
      <c r="R1045" s="7" t="inlineStr">
        <is>
          <t>OUI</t>
        </is>
      </c>
      <c r="S1045" s="7" t="inlineStr">
        <is>
          <t>31/08/2026 02:59</t>
        </is>
      </c>
    </row>
    <row r="1046">
      <c r="A1046" s="8" t="inlineStr">
        <is>
          <t>WHAP-1042</t>
        </is>
      </c>
      <c r="B1046" s="8" t="inlineStr">
        <is>
          <t>SUS-1042</t>
        </is>
      </c>
      <c r="C1046" s="8" t="inlineStr">
        <is>
          <t>pompe hydraulique — arrière gauche</t>
        </is>
      </c>
      <c r="D1046" s="8" t="inlineStr">
        <is>
          <t>Suspension</t>
        </is>
      </c>
      <c r="E1046" s="8" t="inlineStr">
        <is>
          <t>Suspension</t>
        </is>
      </c>
      <c r="F1046" s="8" t="inlineStr">
        <is>
          <t>PIECE_VEHICULE</t>
        </is>
      </c>
      <c r="G1046" s="8" t="inlineStr">
        <is>
          <t>unité</t>
        </is>
      </c>
      <c r="H1046" s="8" t="inlineStr">
        <is>
          <t>LARGE</t>
        </is>
      </c>
      <c r="I1046" s="8" t="n">
        <v>0</v>
      </c>
      <c r="J1046" s="8" t="inlineStr">
        <is>
          <t>F-06-01</t>
        </is>
      </c>
      <c r="K1046" s="8" t="inlineStr"/>
      <c r="L1046" s="10" t="n">
        <v>0</v>
      </c>
      <c r="M1046" s="10" t="n">
        <v>0</v>
      </c>
      <c r="N1046" s="10" t="n">
        <v>30</v>
      </c>
      <c r="O1046" s="8" t="inlineStr">
        <is>
          <t>SKF</t>
        </is>
      </c>
      <c r="P1046" s="8" t="inlineStr">
        <is>
          <t>IMPORTANT</t>
        </is>
      </c>
      <c r="Q1046" s="8" t="inlineStr">
        <is>
          <t>WHAP</t>
        </is>
      </c>
      <c r="R1046" s="8" t="inlineStr">
        <is>
          <t>OUI</t>
        </is>
      </c>
      <c r="S1046" s="8" t="inlineStr">
        <is>
          <t>31/08/2026 02:59</t>
        </is>
      </c>
    </row>
    <row r="1047">
      <c r="A1047" s="7" t="inlineStr">
        <is>
          <t>WHAP-1043</t>
        </is>
      </c>
      <c r="B1047" s="7" t="inlineStr">
        <is>
          <t>SUS-1043</t>
        </is>
      </c>
      <c r="C1047" s="7" t="inlineStr">
        <is>
          <t>réservoir hydraulique — arrière gauche</t>
        </is>
      </c>
      <c r="D1047" s="7" t="inlineStr">
        <is>
          <t>Suspension</t>
        </is>
      </c>
      <c r="E1047" s="7" t="inlineStr">
        <is>
          <t>Suspension</t>
        </is>
      </c>
      <c r="F1047" s="7" t="inlineStr">
        <is>
          <t>PIECE_VEHICULE</t>
        </is>
      </c>
      <c r="G1047" s="7" t="inlineStr">
        <is>
          <t>unité</t>
        </is>
      </c>
      <c r="H1047" s="7" t="inlineStr">
        <is>
          <t>LARGE</t>
        </is>
      </c>
      <c r="I1047" s="7" t="n">
        <v>0</v>
      </c>
      <c r="J1047" s="7" t="inlineStr">
        <is>
          <t>B-02-01</t>
        </is>
      </c>
      <c r="K1047" s="7" t="inlineStr"/>
      <c r="L1047" s="9" t="n">
        <v>0</v>
      </c>
      <c r="M1047" s="9" t="n">
        <v>0</v>
      </c>
      <c r="N1047" s="9" t="n">
        <v>25</v>
      </c>
      <c r="O1047" s="7" t="inlineStr">
        <is>
          <t>FAU</t>
        </is>
      </c>
      <c r="P1047" s="7" t="inlineStr">
        <is>
          <t>IMPORTANT</t>
        </is>
      </c>
      <c r="Q1047" s="7" t="inlineStr">
        <is>
          <t>WHAP</t>
        </is>
      </c>
      <c r="R1047" s="7" t="inlineStr">
        <is>
          <t>OUI</t>
        </is>
      </c>
      <c r="S1047" s="7" t="inlineStr">
        <is>
          <t>31/08/2026 02:59</t>
        </is>
      </c>
    </row>
    <row r="1048">
      <c r="A1048" s="8" t="inlineStr">
        <is>
          <t>WHAP-1044</t>
        </is>
      </c>
      <c r="B1048" s="8" t="inlineStr">
        <is>
          <t>SUS-1044</t>
        </is>
      </c>
      <c r="C1048" s="8" t="inlineStr">
        <is>
          <t>filtre hydraulique — arrière gauche</t>
        </is>
      </c>
      <c r="D1048" s="8" t="inlineStr">
        <is>
          <t>Suspension</t>
        </is>
      </c>
      <c r="E1048" s="8" t="inlineStr">
        <is>
          <t>Suspension</t>
        </is>
      </c>
      <c r="F1048" s="8" t="inlineStr">
        <is>
          <t>PIECE_VEHICULE</t>
        </is>
      </c>
      <c r="G1048" s="8" t="inlineStr">
        <is>
          <t>unité</t>
        </is>
      </c>
      <c r="H1048" s="8" t="inlineStr">
        <is>
          <t>LARGE</t>
        </is>
      </c>
      <c r="I1048" s="8" t="n">
        <v>0</v>
      </c>
      <c r="J1048" s="8" t="inlineStr">
        <is>
          <t>E-02-01</t>
        </is>
      </c>
      <c r="K1048" s="8" t="inlineStr"/>
      <c r="L1048" s="10" t="n">
        <v>0</v>
      </c>
      <c r="M1048" s="10" t="n">
        <v>0</v>
      </c>
      <c r="N1048" s="10" t="n">
        <v>31</v>
      </c>
      <c r="O1048" s="8" t="inlineStr">
        <is>
          <t>BOS</t>
        </is>
      </c>
      <c r="P1048" s="8" t="inlineStr">
        <is>
          <t>IMPORTANT</t>
        </is>
      </c>
      <c r="Q1048" s="8" t="inlineStr">
        <is>
          <t>WHAP</t>
        </is>
      </c>
      <c r="R1048" s="8" t="inlineStr">
        <is>
          <t>OUI</t>
        </is>
      </c>
      <c r="S1048" s="8" t="inlineStr">
        <is>
          <t>31/08/2026 02:59</t>
        </is>
      </c>
    </row>
    <row r="1049">
      <c r="A1049" s="7" t="inlineStr">
        <is>
          <t>WHAP-1045</t>
        </is>
      </c>
      <c r="B1049" s="7" t="inlineStr">
        <is>
          <t>SUS-1045</t>
        </is>
      </c>
      <c r="C1049" s="7" t="inlineStr">
        <is>
          <t>bras supérieur — arrière droit</t>
        </is>
      </c>
      <c r="D1049" s="7" t="inlineStr">
        <is>
          <t>Suspension</t>
        </is>
      </c>
      <c r="E1049" s="7" t="inlineStr">
        <is>
          <t>Suspension</t>
        </is>
      </c>
      <c r="F1049" s="7" t="inlineStr">
        <is>
          <t>PIECE_VEHICULE</t>
        </is>
      </c>
      <c r="G1049" s="7" t="inlineStr">
        <is>
          <t>unité</t>
        </is>
      </c>
      <c r="H1049" s="7" t="inlineStr">
        <is>
          <t>LARGE</t>
        </is>
      </c>
      <c r="I1049" s="7" t="n">
        <v>0</v>
      </c>
      <c r="J1049" s="7" t="inlineStr">
        <is>
          <t>C-01-02</t>
        </is>
      </c>
      <c r="K1049" s="7" t="inlineStr"/>
      <c r="L1049" s="9" t="n">
        <v>0</v>
      </c>
      <c r="M1049" s="9" t="n">
        <v>0</v>
      </c>
      <c r="N1049" s="9" t="n">
        <v>23</v>
      </c>
      <c r="O1049" s="7" t="inlineStr">
        <is>
          <t>DEL</t>
        </is>
      </c>
      <c r="P1049" s="7" t="inlineStr">
        <is>
          <t>IMPORTANT</t>
        </is>
      </c>
      <c r="Q1049" s="7" t="inlineStr">
        <is>
          <t>WHAP</t>
        </is>
      </c>
      <c r="R1049" s="7" t="inlineStr">
        <is>
          <t>OUI</t>
        </is>
      </c>
      <c r="S1049" s="7" t="inlineStr">
        <is>
          <t>31/08/2026 02:59</t>
        </is>
      </c>
    </row>
    <row r="1050">
      <c r="A1050" s="8" t="inlineStr">
        <is>
          <t>WHAP-1046</t>
        </is>
      </c>
      <c r="B1050" s="8" t="inlineStr">
        <is>
          <t>SUS-1046</t>
        </is>
      </c>
      <c r="C1050" s="8" t="inlineStr">
        <is>
          <t>bras inférieur — arrière droit</t>
        </is>
      </c>
      <c r="D1050" s="8" t="inlineStr">
        <is>
          <t>Suspension</t>
        </is>
      </c>
      <c r="E1050" s="8" t="inlineStr">
        <is>
          <t>Suspension</t>
        </is>
      </c>
      <c r="F1050" s="8" t="inlineStr">
        <is>
          <t>PIECE_VEHICULE</t>
        </is>
      </c>
      <c r="G1050" s="8" t="inlineStr">
        <is>
          <t>unité</t>
        </is>
      </c>
      <c r="H1050" s="8" t="inlineStr">
        <is>
          <t>LARGE</t>
        </is>
      </c>
      <c r="I1050" s="8" t="n">
        <v>0</v>
      </c>
      <c r="J1050" s="8" t="inlineStr">
        <is>
          <t>C-05-02</t>
        </is>
      </c>
      <c r="K1050" s="8" t="inlineStr"/>
      <c r="L1050" s="10" t="n">
        <v>0</v>
      </c>
      <c r="M1050" s="10" t="n">
        <v>0</v>
      </c>
      <c r="N1050" s="10" t="n">
        <v>29</v>
      </c>
      <c r="O1050" s="8" t="inlineStr">
        <is>
          <t>SUM</t>
        </is>
      </c>
      <c r="P1050" s="8" t="inlineStr">
        <is>
          <t>IMPORTANT</t>
        </is>
      </c>
      <c r="Q1050" s="8" t="inlineStr">
        <is>
          <t>WHAP</t>
        </is>
      </c>
      <c r="R1050" s="8" t="inlineStr">
        <is>
          <t>OUI</t>
        </is>
      </c>
      <c r="S1050" s="8" t="inlineStr">
        <is>
          <t>31/08/2026 02:59</t>
        </is>
      </c>
    </row>
    <row r="1051">
      <c r="A1051" s="7" t="inlineStr">
        <is>
          <t>WHAP-1047</t>
        </is>
      </c>
      <c r="B1051" s="7" t="inlineStr">
        <is>
          <t>SUS-1047</t>
        </is>
      </c>
      <c r="C1051" s="7" t="inlineStr">
        <is>
          <t>triangle de suspension — arrière droit</t>
        </is>
      </c>
      <c r="D1051" s="7" t="inlineStr">
        <is>
          <t>Suspension</t>
        </is>
      </c>
      <c r="E1051" s="7" t="inlineStr">
        <is>
          <t>Suspension</t>
        </is>
      </c>
      <c r="F1051" s="7" t="inlineStr">
        <is>
          <t>PIECE_VEHICULE</t>
        </is>
      </c>
      <c r="G1051" s="7" t="inlineStr">
        <is>
          <t>unité</t>
        </is>
      </c>
      <c r="H1051" s="7" t="inlineStr">
        <is>
          <t>LARGE</t>
        </is>
      </c>
      <c r="I1051" s="7" t="n">
        <v>0</v>
      </c>
      <c r="J1051" s="7" t="inlineStr">
        <is>
          <t>B-02-04</t>
        </is>
      </c>
      <c r="K1051" s="7" t="inlineStr"/>
      <c r="L1051" s="9" t="n">
        <v>0</v>
      </c>
      <c r="M1051" s="9" t="n">
        <v>0</v>
      </c>
      <c r="N1051" s="9" t="n">
        <v>22</v>
      </c>
      <c r="O1051" s="7" t="inlineStr">
        <is>
          <t>VAL</t>
        </is>
      </c>
      <c r="P1051" s="7" t="inlineStr">
        <is>
          <t>IMPORTANT</t>
        </is>
      </c>
      <c r="Q1051" s="7" t="inlineStr">
        <is>
          <t>WHAP</t>
        </is>
      </c>
      <c r="R1051" s="7" t="inlineStr">
        <is>
          <t>OUI</t>
        </is>
      </c>
      <c r="S1051" s="7" t="inlineStr">
        <is>
          <t>31/08/2026 02:59</t>
        </is>
      </c>
    </row>
    <row r="1052">
      <c r="A1052" s="8" t="inlineStr">
        <is>
          <t>WHAP-1048</t>
        </is>
      </c>
      <c r="B1052" s="8" t="inlineStr">
        <is>
          <t>SUS-1048</t>
        </is>
      </c>
      <c r="C1052" s="8" t="inlineStr">
        <is>
          <t>porte-moyeu — arrière droit</t>
        </is>
      </c>
      <c r="D1052" s="8" t="inlineStr">
        <is>
          <t>Suspension</t>
        </is>
      </c>
      <c r="E1052" s="8" t="inlineStr">
        <is>
          <t>Suspension</t>
        </is>
      </c>
      <c r="F1052" s="8" t="inlineStr">
        <is>
          <t>PIECE_VEHICULE</t>
        </is>
      </c>
      <c r="G1052" s="8" t="inlineStr">
        <is>
          <t>unité</t>
        </is>
      </c>
      <c r="H1052" s="8" t="inlineStr">
        <is>
          <t>LARGE</t>
        </is>
      </c>
      <c r="I1052" s="8" t="n">
        <v>0</v>
      </c>
      <c r="J1052" s="8" t="inlineStr">
        <is>
          <t>C-06-04</t>
        </is>
      </c>
      <c r="K1052" s="8" t="inlineStr"/>
      <c r="L1052" s="10" t="n">
        <v>0</v>
      </c>
      <c r="M1052" s="10" t="n">
        <v>0</v>
      </c>
      <c r="N1052" s="10" t="n">
        <v>26</v>
      </c>
      <c r="O1052" s="8" t="inlineStr">
        <is>
          <t>MAG</t>
        </is>
      </c>
      <c r="P1052" s="8" t="inlineStr">
        <is>
          <t>IMPORTANT</t>
        </is>
      </c>
      <c r="Q1052" s="8" t="inlineStr">
        <is>
          <t>WHAP</t>
        </is>
      </c>
      <c r="R1052" s="8" t="inlineStr">
        <is>
          <t>OUI</t>
        </is>
      </c>
      <c r="S1052" s="8" t="inlineStr">
        <is>
          <t>31/08/2026 02:59</t>
        </is>
      </c>
    </row>
    <row r="1053">
      <c r="A1053" s="7" t="inlineStr">
        <is>
          <t>WHAP-1049</t>
        </is>
      </c>
      <c r="B1053" s="7" t="inlineStr">
        <is>
          <t>SUS-1049</t>
        </is>
      </c>
      <c r="C1053" s="7" t="inlineStr">
        <is>
          <t>rotule supérieure — arrière droit</t>
        </is>
      </c>
      <c r="D1053" s="7" t="inlineStr">
        <is>
          <t>Suspension</t>
        </is>
      </c>
      <c r="E1053" s="7" t="inlineStr">
        <is>
          <t>Suspension</t>
        </is>
      </c>
      <c r="F1053" s="7" t="inlineStr">
        <is>
          <t>PIECE_VEHICULE</t>
        </is>
      </c>
      <c r="G1053" s="7" t="inlineStr">
        <is>
          <t>unité</t>
        </is>
      </c>
      <c r="H1053" s="7" t="inlineStr">
        <is>
          <t>LARGE</t>
        </is>
      </c>
      <c r="I1053" s="7" t="n">
        <v>0</v>
      </c>
      <c r="J1053" s="7" t="inlineStr">
        <is>
          <t>F-04-02</t>
        </is>
      </c>
      <c r="K1053" s="7" t="inlineStr"/>
      <c r="L1053" s="9" t="n">
        <v>0</v>
      </c>
      <c r="M1053" s="9" t="n">
        <v>0</v>
      </c>
      <c r="N1053" s="9" t="n">
        <v>26</v>
      </c>
      <c r="O1053" s="7" t="inlineStr">
        <is>
          <t>VAL</t>
        </is>
      </c>
      <c r="P1053" s="7" t="inlineStr">
        <is>
          <t>IMPORTANT</t>
        </is>
      </c>
      <c r="Q1053" s="7" t="inlineStr">
        <is>
          <t>WHAP</t>
        </is>
      </c>
      <c r="R1053" s="7" t="inlineStr">
        <is>
          <t>OUI</t>
        </is>
      </c>
      <c r="S1053" s="7" t="inlineStr">
        <is>
          <t>31/08/2026 02:59</t>
        </is>
      </c>
    </row>
    <row r="1054">
      <c r="A1054" s="8" t="inlineStr">
        <is>
          <t>WHAP-1050</t>
        </is>
      </c>
      <c r="B1054" s="8" t="inlineStr">
        <is>
          <t>SUS-1050</t>
        </is>
      </c>
      <c r="C1054" s="8" t="inlineStr">
        <is>
          <t>rotule inférieure — arrière droit</t>
        </is>
      </c>
      <c r="D1054" s="8" t="inlineStr">
        <is>
          <t>Suspension</t>
        </is>
      </c>
      <c r="E1054" s="8" t="inlineStr">
        <is>
          <t>Suspension</t>
        </is>
      </c>
      <c r="F1054" s="8" t="inlineStr">
        <is>
          <t>PIECE_VEHICULE</t>
        </is>
      </c>
      <c r="G1054" s="8" t="inlineStr">
        <is>
          <t>unité</t>
        </is>
      </c>
      <c r="H1054" s="8" t="inlineStr">
        <is>
          <t>LARGE</t>
        </is>
      </c>
      <c r="I1054" s="8" t="n">
        <v>0</v>
      </c>
      <c r="J1054" s="8" t="inlineStr">
        <is>
          <t>E-03-04</t>
        </is>
      </c>
      <c r="K1054" s="8" t="inlineStr"/>
      <c r="L1054" s="10" t="n">
        <v>0</v>
      </c>
      <c r="M1054" s="10" t="n">
        <v>0</v>
      </c>
      <c r="N1054" s="10" t="n">
        <v>27</v>
      </c>
      <c r="O1054" s="8" t="inlineStr">
        <is>
          <t>SUM</t>
        </is>
      </c>
      <c r="P1054" s="8" t="inlineStr">
        <is>
          <t>IMPORTANT</t>
        </is>
      </c>
      <c r="Q1054" s="8" t="inlineStr">
        <is>
          <t>WHAP</t>
        </is>
      </c>
      <c r="R1054" s="8" t="inlineStr">
        <is>
          <t>OUI</t>
        </is>
      </c>
      <c r="S1054" s="8" t="inlineStr">
        <is>
          <t>31/08/2026 02:59</t>
        </is>
      </c>
    </row>
    <row r="1055">
      <c r="A1055" s="7" t="inlineStr">
        <is>
          <t>WHAP-1051</t>
        </is>
      </c>
      <c r="B1055" s="7" t="inlineStr">
        <is>
          <t>SUS-1051</t>
        </is>
      </c>
      <c r="C1055" s="7" t="inlineStr">
        <is>
          <t>amortisseur — arrière droit</t>
        </is>
      </c>
      <c r="D1055" s="7" t="inlineStr">
        <is>
          <t>Suspension</t>
        </is>
      </c>
      <c r="E1055" s="7" t="inlineStr">
        <is>
          <t>Suspension</t>
        </is>
      </c>
      <c r="F1055" s="7" t="inlineStr">
        <is>
          <t>PIECE_VEHICULE</t>
        </is>
      </c>
      <c r="G1055" s="7" t="inlineStr">
        <is>
          <t>unité</t>
        </is>
      </c>
      <c r="H1055" s="7" t="inlineStr">
        <is>
          <t>LARGE</t>
        </is>
      </c>
      <c r="I1055" s="7" t="n">
        <v>0</v>
      </c>
      <c r="J1055" s="7" t="inlineStr">
        <is>
          <t>B-05-03</t>
        </is>
      </c>
      <c r="K1055" s="7" t="inlineStr"/>
      <c r="L1055" s="9" t="n">
        <v>0</v>
      </c>
      <c r="M1055" s="9" t="n">
        <v>0</v>
      </c>
      <c r="N1055" s="9" t="n">
        <v>23</v>
      </c>
      <c r="O1055" s="7" t="inlineStr">
        <is>
          <t>FAU</t>
        </is>
      </c>
      <c r="P1055" s="7" t="inlineStr">
        <is>
          <t>IMPORTANT</t>
        </is>
      </c>
      <c r="Q1055" s="7" t="inlineStr">
        <is>
          <t>WHAP</t>
        </is>
      </c>
      <c r="R1055" s="7" t="inlineStr">
        <is>
          <t>OUI</t>
        </is>
      </c>
      <c r="S1055" s="7" t="inlineStr">
        <is>
          <t>31/08/2026 02:59</t>
        </is>
      </c>
    </row>
    <row r="1056">
      <c r="A1056" s="8" t="inlineStr">
        <is>
          <t>WHAP-1052</t>
        </is>
      </c>
      <c r="B1056" s="8" t="inlineStr">
        <is>
          <t>SUS-1052</t>
        </is>
      </c>
      <c r="C1056" s="8" t="inlineStr">
        <is>
          <t>jambe hydropneumatique — arrière droit</t>
        </is>
      </c>
      <c r="D1056" s="8" t="inlineStr">
        <is>
          <t>Suspension</t>
        </is>
      </c>
      <c r="E1056" s="8" t="inlineStr">
        <is>
          <t>Suspension</t>
        </is>
      </c>
      <c r="F1056" s="8" t="inlineStr">
        <is>
          <t>PIECE_VEHICULE</t>
        </is>
      </c>
      <c r="G1056" s="8" t="inlineStr">
        <is>
          <t>unité</t>
        </is>
      </c>
      <c r="H1056" s="8" t="inlineStr">
        <is>
          <t>LARGE</t>
        </is>
      </c>
      <c r="I1056" s="8" t="n">
        <v>0</v>
      </c>
      <c r="J1056" s="8" t="inlineStr">
        <is>
          <t>D-02-02</t>
        </is>
      </c>
      <c r="K1056" s="8" t="inlineStr"/>
      <c r="L1056" s="10" t="n">
        <v>0</v>
      </c>
      <c r="M1056" s="10" t="n">
        <v>0</v>
      </c>
      <c r="N1056" s="10" t="n">
        <v>27</v>
      </c>
      <c r="O1056" s="8" t="inlineStr">
        <is>
          <t>SKF</t>
        </is>
      </c>
      <c r="P1056" s="8" t="inlineStr">
        <is>
          <t>IMPORTANT</t>
        </is>
      </c>
      <c r="Q1056" s="8" t="inlineStr">
        <is>
          <t>WHAP</t>
        </is>
      </c>
      <c r="R1056" s="8" t="inlineStr">
        <is>
          <t>OUI</t>
        </is>
      </c>
      <c r="S1056" s="8" t="inlineStr">
        <is>
          <t>31/08/2026 02:59</t>
        </is>
      </c>
    </row>
    <row r="1057">
      <c r="A1057" s="7" t="inlineStr">
        <is>
          <t>WHAP-1053</t>
        </is>
      </c>
      <c r="B1057" s="7" t="inlineStr">
        <is>
          <t>SUS-1053</t>
        </is>
      </c>
      <c r="C1057" s="7" t="inlineStr">
        <is>
          <t>accumulateur hydropneumatique — arrière droit</t>
        </is>
      </c>
      <c r="D1057" s="7" t="inlineStr">
        <is>
          <t>Suspension</t>
        </is>
      </c>
      <c r="E1057" s="7" t="inlineStr">
        <is>
          <t>Suspension</t>
        </is>
      </c>
      <c r="F1057" s="7" t="inlineStr">
        <is>
          <t>PIECE_VEHICULE</t>
        </is>
      </c>
      <c r="G1057" s="7" t="inlineStr">
        <is>
          <t>unité</t>
        </is>
      </c>
      <c r="H1057" s="7" t="inlineStr">
        <is>
          <t>LARGE</t>
        </is>
      </c>
      <c r="I1057" s="7" t="n">
        <v>0</v>
      </c>
      <c r="J1057" s="7" t="inlineStr">
        <is>
          <t>B-01-04</t>
        </is>
      </c>
      <c r="K1057" s="7" t="inlineStr"/>
      <c r="L1057" s="9" t="n">
        <v>0</v>
      </c>
      <c r="M1057" s="9" t="n">
        <v>0</v>
      </c>
      <c r="N1057" s="9" t="n">
        <v>30</v>
      </c>
      <c r="O1057" s="7" t="inlineStr">
        <is>
          <t>FAU</t>
        </is>
      </c>
      <c r="P1057" s="7" t="inlineStr">
        <is>
          <t>IMPORTANT</t>
        </is>
      </c>
      <c r="Q1057" s="7" t="inlineStr">
        <is>
          <t>WHAP</t>
        </is>
      </c>
      <c r="R1057" s="7" t="inlineStr">
        <is>
          <t>OUI</t>
        </is>
      </c>
      <c r="S1057" s="7" t="inlineStr">
        <is>
          <t>31/08/2026 02:59</t>
        </is>
      </c>
    </row>
    <row r="1058">
      <c r="A1058" s="8" t="inlineStr">
        <is>
          <t>WHAP-1054</t>
        </is>
      </c>
      <c r="B1058" s="8" t="inlineStr">
        <is>
          <t>SUS-1054</t>
        </is>
      </c>
      <c r="C1058" s="8" t="inlineStr">
        <is>
          <t>cylindre de suspension — arrière droit</t>
        </is>
      </c>
      <c r="D1058" s="8" t="inlineStr">
        <is>
          <t>Suspension</t>
        </is>
      </c>
      <c r="E1058" s="8" t="inlineStr">
        <is>
          <t>Suspension</t>
        </is>
      </c>
      <c r="F1058" s="8" t="inlineStr">
        <is>
          <t>PIECE_VEHICULE</t>
        </is>
      </c>
      <c r="G1058" s="8" t="inlineStr">
        <is>
          <t>unité</t>
        </is>
      </c>
      <c r="H1058" s="8" t="inlineStr">
        <is>
          <t>LARGE</t>
        </is>
      </c>
      <c r="I1058" s="8" t="n">
        <v>0</v>
      </c>
      <c r="J1058" s="8" t="inlineStr">
        <is>
          <t>C-06-03</t>
        </is>
      </c>
      <c r="K1058" s="8" t="inlineStr"/>
      <c r="L1058" s="10" t="n">
        <v>0</v>
      </c>
      <c r="M1058" s="10" t="n">
        <v>0</v>
      </c>
      <c r="N1058" s="10" t="n">
        <v>27</v>
      </c>
      <c r="O1058" s="8" t="inlineStr">
        <is>
          <t>BOS</t>
        </is>
      </c>
      <c r="P1058" s="8" t="inlineStr">
        <is>
          <t>IMPORTANT</t>
        </is>
      </c>
      <c r="Q1058" s="8" t="inlineStr">
        <is>
          <t>WHAP</t>
        </is>
      </c>
      <c r="R1058" s="8" t="inlineStr">
        <is>
          <t>OUI</t>
        </is>
      </c>
      <c r="S1058" s="8" t="inlineStr">
        <is>
          <t>31/08/2026 02:59</t>
        </is>
      </c>
    </row>
    <row r="1059">
      <c r="A1059" s="7" t="inlineStr">
        <is>
          <t>WHAP-1055</t>
        </is>
      </c>
      <c r="B1059" s="7" t="inlineStr">
        <is>
          <t>SUS-1055</t>
        </is>
      </c>
      <c r="C1059" s="7" t="inlineStr">
        <is>
          <t>piston de suspension — arrière droit</t>
        </is>
      </c>
      <c r="D1059" s="7" t="inlineStr">
        <is>
          <t>Suspension</t>
        </is>
      </c>
      <c r="E1059" s="7" t="inlineStr">
        <is>
          <t>Suspension</t>
        </is>
      </c>
      <c r="F1059" s="7" t="inlineStr">
        <is>
          <t>PIECE_VEHICULE</t>
        </is>
      </c>
      <c r="G1059" s="7" t="inlineStr">
        <is>
          <t>unité</t>
        </is>
      </c>
      <c r="H1059" s="7" t="inlineStr">
        <is>
          <t>LARGE</t>
        </is>
      </c>
      <c r="I1059" s="7" t="n">
        <v>0</v>
      </c>
      <c r="J1059" s="7" t="inlineStr">
        <is>
          <t>B-04-03</t>
        </is>
      </c>
      <c r="K1059" s="7" t="inlineStr"/>
      <c r="L1059" s="9" t="n">
        <v>0</v>
      </c>
      <c r="M1059" s="9" t="n">
        <v>0</v>
      </c>
      <c r="N1059" s="9" t="n">
        <v>31</v>
      </c>
      <c r="O1059" s="7" t="inlineStr">
        <is>
          <t>SKF</t>
        </is>
      </c>
      <c r="P1059" s="7" t="inlineStr">
        <is>
          <t>IMPORTANT</t>
        </is>
      </c>
      <c r="Q1059" s="7" t="inlineStr">
        <is>
          <t>WHAP</t>
        </is>
      </c>
      <c r="R1059" s="7" t="inlineStr">
        <is>
          <t>OUI</t>
        </is>
      </c>
      <c r="S1059" s="7" t="inlineStr">
        <is>
          <t>31/08/2026 02:59</t>
        </is>
      </c>
    </row>
    <row r="1060">
      <c r="A1060" s="8" t="inlineStr">
        <is>
          <t>WHAP-1056</t>
        </is>
      </c>
      <c r="B1060" s="8" t="inlineStr">
        <is>
          <t>SUS-1056</t>
        </is>
      </c>
      <c r="C1060" s="8" t="inlineStr">
        <is>
          <t>tige de suspension — arrière droit</t>
        </is>
      </c>
      <c r="D1060" s="8" t="inlineStr">
        <is>
          <t>Suspension</t>
        </is>
      </c>
      <c r="E1060" s="8" t="inlineStr">
        <is>
          <t>Suspension</t>
        </is>
      </c>
      <c r="F1060" s="8" t="inlineStr">
        <is>
          <t>PIECE_VEHICULE</t>
        </is>
      </c>
      <c r="G1060" s="8" t="inlineStr">
        <is>
          <t>unité</t>
        </is>
      </c>
      <c r="H1060" s="8" t="inlineStr">
        <is>
          <t>LARGE</t>
        </is>
      </c>
      <c r="I1060" s="8" t="n">
        <v>0</v>
      </c>
      <c r="J1060" s="8" t="inlineStr">
        <is>
          <t>A-05-03</t>
        </is>
      </c>
      <c r="K1060" s="8" t="inlineStr"/>
      <c r="L1060" s="10" t="n">
        <v>0</v>
      </c>
      <c r="M1060" s="10" t="n">
        <v>0</v>
      </c>
      <c r="N1060" s="10" t="n">
        <v>25</v>
      </c>
      <c r="O1060" s="8" t="inlineStr">
        <is>
          <t>SUM</t>
        </is>
      </c>
      <c r="P1060" s="8" t="inlineStr">
        <is>
          <t>IMPORTANT</t>
        </is>
      </c>
      <c r="Q1060" s="8" t="inlineStr">
        <is>
          <t>WHAP</t>
        </is>
      </c>
      <c r="R1060" s="8" t="inlineStr">
        <is>
          <t>OUI</t>
        </is>
      </c>
      <c r="S1060" s="8" t="inlineStr">
        <is>
          <t>31/08/2026 02:59</t>
        </is>
      </c>
    </row>
    <row r="1061">
      <c r="A1061" s="7" t="inlineStr">
        <is>
          <t>WHAP-1057</t>
        </is>
      </c>
      <c r="B1061" s="7" t="inlineStr">
        <is>
          <t>SUS-1057</t>
        </is>
      </c>
      <c r="C1061" s="7" t="inlineStr">
        <is>
          <t>joint de tige — arrière droit</t>
        </is>
      </c>
      <c r="D1061" s="7" t="inlineStr">
        <is>
          <t>Suspension</t>
        </is>
      </c>
      <c r="E1061" s="7" t="inlineStr">
        <is>
          <t>Suspension</t>
        </is>
      </c>
      <c r="F1061" s="7" t="inlineStr">
        <is>
          <t>PIECE_VEHICULE</t>
        </is>
      </c>
      <c r="G1061" s="7" t="inlineStr">
        <is>
          <t>unité</t>
        </is>
      </c>
      <c r="H1061" s="7" t="inlineStr">
        <is>
          <t>LARGE</t>
        </is>
      </c>
      <c r="I1061" s="7" t="n">
        <v>0</v>
      </c>
      <c r="J1061" s="7" t="inlineStr">
        <is>
          <t>C-03-01</t>
        </is>
      </c>
      <c r="K1061" s="7" t="inlineStr"/>
      <c r="L1061" s="9" t="n">
        <v>0</v>
      </c>
      <c r="M1061" s="9" t="n">
        <v>0</v>
      </c>
      <c r="N1061" s="9" t="n">
        <v>23</v>
      </c>
      <c r="O1061" s="7" t="inlineStr">
        <is>
          <t>BOS</t>
        </is>
      </c>
      <c r="P1061" s="7" t="inlineStr">
        <is>
          <t>IMPORTANT</t>
        </is>
      </c>
      <c r="Q1061" s="7" t="inlineStr">
        <is>
          <t>WHAP</t>
        </is>
      </c>
      <c r="R1061" s="7" t="inlineStr">
        <is>
          <t>OUI</t>
        </is>
      </c>
      <c r="S1061" s="7" t="inlineStr">
        <is>
          <t>31/08/2026 02:59</t>
        </is>
      </c>
    </row>
    <row r="1062">
      <c r="A1062" s="8" t="inlineStr">
        <is>
          <t>WHAP-1058</t>
        </is>
      </c>
      <c r="B1062" s="8" t="inlineStr">
        <is>
          <t>SUS-1058</t>
        </is>
      </c>
      <c r="C1062" s="8" t="inlineStr">
        <is>
          <t>bague de guidage — arrière droit</t>
        </is>
      </c>
      <c r="D1062" s="8" t="inlineStr">
        <is>
          <t>Suspension</t>
        </is>
      </c>
      <c r="E1062" s="8" t="inlineStr">
        <is>
          <t>Suspension</t>
        </is>
      </c>
      <c r="F1062" s="8" t="inlineStr">
        <is>
          <t>PIECE_VEHICULE</t>
        </is>
      </c>
      <c r="G1062" s="8" t="inlineStr">
        <is>
          <t>unité</t>
        </is>
      </c>
      <c r="H1062" s="8" t="inlineStr">
        <is>
          <t>LARGE</t>
        </is>
      </c>
      <c r="I1062" s="8" t="n">
        <v>0</v>
      </c>
      <c r="J1062" s="8" t="inlineStr">
        <is>
          <t>C-01-04</t>
        </is>
      </c>
      <c r="K1062" s="8" t="inlineStr"/>
      <c r="L1062" s="10" t="n">
        <v>0</v>
      </c>
      <c r="M1062" s="10" t="n">
        <v>0</v>
      </c>
      <c r="N1062" s="10" t="n">
        <v>27</v>
      </c>
      <c r="O1062" s="8" t="inlineStr">
        <is>
          <t>MAG</t>
        </is>
      </c>
      <c r="P1062" s="8" t="inlineStr">
        <is>
          <t>IMPORTANT</t>
        </is>
      </c>
      <c r="Q1062" s="8" t="inlineStr">
        <is>
          <t>WHAP</t>
        </is>
      </c>
      <c r="R1062" s="8" t="inlineStr">
        <is>
          <t>OUI</t>
        </is>
      </c>
      <c r="S1062" s="8" t="inlineStr">
        <is>
          <t>31/08/2026 02:59</t>
        </is>
      </c>
    </row>
    <row r="1063">
      <c r="A1063" s="7" t="inlineStr">
        <is>
          <t>WHAP-1059</t>
        </is>
      </c>
      <c r="B1063" s="7" t="inlineStr">
        <is>
          <t>SUS-1059</t>
        </is>
      </c>
      <c r="C1063" s="7" t="inlineStr">
        <is>
          <t>ressort auxiliaire — arrière droit</t>
        </is>
      </c>
      <c r="D1063" s="7" t="inlineStr">
        <is>
          <t>Suspension</t>
        </is>
      </c>
      <c r="E1063" s="7" t="inlineStr">
        <is>
          <t>Suspension</t>
        </is>
      </c>
      <c r="F1063" s="7" t="inlineStr">
        <is>
          <t>PIECE_VEHICULE</t>
        </is>
      </c>
      <c r="G1063" s="7" t="inlineStr">
        <is>
          <t>unité</t>
        </is>
      </c>
      <c r="H1063" s="7" t="inlineStr">
        <is>
          <t>LARGE</t>
        </is>
      </c>
      <c r="I1063" s="7" t="n">
        <v>0</v>
      </c>
      <c r="J1063" s="7" t="inlineStr">
        <is>
          <t>C-02-01</t>
        </is>
      </c>
      <c r="K1063" s="7" t="inlineStr"/>
      <c r="L1063" s="9" t="n">
        <v>0</v>
      </c>
      <c r="M1063" s="9" t="n">
        <v>0</v>
      </c>
      <c r="N1063" s="9" t="n">
        <v>24</v>
      </c>
      <c r="O1063" s="7" t="inlineStr">
        <is>
          <t>DEL</t>
        </is>
      </c>
      <c r="P1063" s="7" t="inlineStr">
        <is>
          <t>IMPORTANT</t>
        </is>
      </c>
      <c r="Q1063" s="7" t="inlineStr">
        <is>
          <t>WHAP</t>
        </is>
      </c>
      <c r="R1063" s="7" t="inlineStr">
        <is>
          <t>OUI</t>
        </is>
      </c>
      <c r="S1063" s="7" t="inlineStr">
        <is>
          <t>31/08/2026 02:59</t>
        </is>
      </c>
    </row>
    <row r="1064">
      <c r="A1064" s="8" t="inlineStr">
        <is>
          <t>WHAP-1060</t>
        </is>
      </c>
      <c r="B1064" s="8" t="inlineStr">
        <is>
          <t>SUS-1060</t>
        </is>
      </c>
      <c r="C1064" s="8" t="inlineStr">
        <is>
          <t>butée de suspension — arrière droit</t>
        </is>
      </c>
      <c r="D1064" s="8" t="inlineStr">
        <is>
          <t>Suspension</t>
        </is>
      </c>
      <c r="E1064" s="8" t="inlineStr">
        <is>
          <t>Suspension</t>
        </is>
      </c>
      <c r="F1064" s="8" t="inlineStr">
        <is>
          <t>PIECE_VEHICULE</t>
        </is>
      </c>
      <c r="G1064" s="8" t="inlineStr">
        <is>
          <t>unité</t>
        </is>
      </c>
      <c r="H1064" s="8" t="inlineStr">
        <is>
          <t>LARGE</t>
        </is>
      </c>
      <c r="I1064" s="8" t="n">
        <v>0</v>
      </c>
      <c r="J1064" s="8" t="inlineStr">
        <is>
          <t>E-02-02</t>
        </is>
      </c>
      <c r="K1064" s="8" t="inlineStr"/>
      <c r="L1064" s="10" t="n">
        <v>0</v>
      </c>
      <c r="M1064" s="10" t="n">
        <v>0</v>
      </c>
      <c r="N1064" s="10" t="n">
        <v>24</v>
      </c>
      <c r="O1064" s="8" t="inlineStr">
        <is>
          <t>HEL</t>
        </is>
      </c>
      <c r="P1064" s="8" t="inlineStr">
        <is>
          <t>IMPORTANT</t>
        </is>
      </c>
      <c r="Q1064" s="8" t="inlineStr">
        <is>
          <t>WHAP</t>
        </is>
      </c>
      <c r="R1064" s="8" t="inlineStr">
        <is>
          <t>OUI</t>
        </is>
      </c>
      <c r="S1064" s="8" t="inlineStr">
        <is>
          <t>31/08/2026 02:59</t>
        </is>
      </c>
    </row>
    <row r="1065">
      <c r="A1065" s="7" t="inlineStr">
        <is>
          <t>WHAP-1061</t>
        </is>
      </c>
      <c r="B1065" s="7" t="inlineStr">
        <is>
          <t>SUS-1061</t>
        </is>
      </c>
      <c r="C1065" s="7" t="inlineStr">
        <is>
          <t>silentbloc de bras — arrière droit</t>
        </is>
      </c>
      <c r="D1065" s="7" t="inlineStr">
        <is>
          <t>Suspension</t>
        </is>
      </c>
      <c r="E1065" s="7" t="inlineStr">
        <is>
          <t>Suspension</t>
        </is>
      </c>
      <c r="F1065" s="7" t="inlineStr">
        <is>
          <t>PIECE_VEHICULE</t>
        </is>
      </c>
      <c r="G1065" s="7" t="inlineStr">
        <is>
          <t>unité</t>
        </is>
      </c>
      <c r="H1065" s="7" t="inlineStr">
        <is>
          <t>LARGE</t>
        </is>
      </c>
      <c r="I1065" s="7" t="n">
        <v>0</v>
      </c>
      <c r="J1065" s="7" t="inlineStr">
        <is>
          <t>C-03-02</t>
        </is>
      </c>
      <c r="K1065" s="7" t="inlineStr"/>
      <c r="L1065" s="9" t="n">
        <v>0</v>
      </c>
      <c r="M1065" s="9" t="n">
        <v>0</v>
      </c>
      <c r="N1065" s="9" t="n">
        <v>30</v>
      </c>
      <c r="O1065" s="7" t="inlineStr">
        <is>
          <t>DEL</t>
        </is>
      </c>
      <c r="P1065" s="7" t="inlineStr">
        <is>
          <t>IMPORTANT</t>
        </is>
      </c>
      <c r="Q1065" s="7" t="inlineStr">
        <is>
          <t>WHAP</t>
        </is>
      </c>
      <c r="R1065" s="7" t="inlineStr">
        <is>
          <t>OUI</t>
        </is>
      </c>
      <c r="S1065" s="7" t="inlineStr">
        <is>
          <t>31/08/2026 02:59</t>
        </is>
      </c>
    </row>
    <row r="1066">
      <c r="A1066" s="8" t="inlineStr">
        <is>
          <t>WHAP-1062</t>
        </is>
      </c>
      <c r="B1066" s="8" t="inlineStr">
        <is>
          <t>SUS-1062</t>
        </is>
      </c>
      <c r="C1066" s="8" t="inlineStr">
        <is>
          <t>support de suspension — arrière droit</t>
        </is>
      </c>
      <c r="D1066" s="8" t="inlineStr">
        <is>
          <t>Suspension</t>
        </is>
      </c>
      <c r="E1066" s="8" t="inlineStr">
        <is>
          <t>Suspension</t>
        </is>
      </c>
      <c r="F1066" s="8" t="inlineStr">
        <is>
          <t>PIECE_VEHICULE</t>
        </is>
      </c>
      <c r="G1066" s="8" t="inlineStr">
        <is>
          <t>unité</t>
        </is>
      </c>
      <c r="H1066" s="8" t="inlineStr">
        <is>
          <t>LARGE</t>
        </is>
      </c>
      <c r="I1066" s="8" t="n">
        <v>0</v>
      </c>
      <c r="J1066" s="8" t="inlineStr">
        <is>
          <t>E-04-02</t>
        </is>
      </c>
      <c r="K1066" s="8" t="inlineStr"/>
      <c r="L1066" s="10" t="n">
        <v>0</v>
      </c>
      <c r="M1066" s="10" t="n">
        <v>0</v>
      </c>
      <c r="N1066" s="10" t="n">
        <v>25</v>
      </c>
      <c r="O1066" s="8" t="inlineStr">
        <is>
          <t>MAG</t>
        </is>
      </c>
      <c r="P1066" s="8" t="inlineStr">
        <is>
          <t>IMPORTANT</t>
        </is>
      </c>
      <c r="Q1066" s="8" t="inlineStr">
        <is>
          <t>WHAP</t>
        </is>
      </c>
      <c r="R1066" s="8" t="inlineStr">
        <is>
          <t>OUI</t>
        </is>
      </c>
      <c r="S1066" s="8" t="inlineStr">
        <is>
          <t>31/08/2026 02:59</t>
        </is>
      </c>
    </row>
    <row r="1067">
      <c r="A1067" s="7" t="inlineStr">
        <is>
          <t>WHAP-1063</t>
        </is>
      </c>
      <c r="B1067" s="7" t="inlineStr">
        <is>
          <t>SUS-1063</t>
        </is>
      </c>
      <c r="C1067" s="7" t="inlineStr">
        <is>
          <t>capteur de hauteur — arrière droit</t>
        </is>
      </c>
      <c r="D1067" s="7" t="inlineStr">
        <is>
          <t>Suspension</t>
        </is>
      </c>
      <c r="E1067" s="7" t="inlineStr">
        <is>
          <t>Suspension</t>
        </is>
      </c>
      <c r="F1067" s="7" t="inlineStr">
        <is>
          <t>PIECE_VEHICULE</t>
        </is>
      </c>
      <c r="G1067" s="7" t="inlineStr">
        <is>
          <t>unité</t>
        </is>
      </c>
      <c r="H1067" s="7" t="inlineStr">
        <is>
          <t>LARGE</t>
        </is>
      </c>
      <c r="I1067" s="7" t="n">
        <v>0</v>
      </c>
      <c r="J1067" s="7" t="inlineStr">
        <is>
          <t>B-02-02</t>
        </is>
      </c>
      <c r="K1067" s="7" t="inlineStr"/>
      <c r="L1067" s="9" t="n">
        <v>0</v>
      </c>
      <c r="M1067" s="9" t="n">
        <v>0</v>
      </c>
      <c r="N1067" s="9" t="n">
        <v>32</v>
      </c>
      <c r="O1067" s="7" t="inlineStr">
        <is>
          <t>CTL</t>
        </is>
      </c>
      <c r="P1067" s="7" t="inlineStr">
        <is>
          <t>IMPORTANT</t>
        </is>
      </c>
      <c r="Q1067" s="7" t="inlineStr">
        <is>
          <t>WHAP</t>
        </is>
      </c>
      <c r="R1067" s="7" t="inlineStr">
        <is>
          <t>OUI</t>
        </is>
      </c>
      <c r="S1067" s="7" t="inlineStr">
        <is>
          <t>31/08/2026 02:59</t>
        </is>
      </c>
    </row>
    <row r="1068">
      <c r="A1068" s="8" t="inlineStr">
        <is>
          <t>WHAP-1064</t>
        </is>
      </c>
      <c r="B1068" s="8" t="inlineStr">
        <is>
          <t>SUS-1064</t>
        </is>
      </c>
      <c r="C1068" s="8" t="inlineStr">
        <is>
          <t>valve de suspension — arrière droit</t>
        </is>
      </c>
      <c r="D1068" s="8" t="inlineStr">
        <is>
          <t>Suspension</t>
        </is>
      </c>
      <c r="E1068" s="8" t="inlineStr">
        <is>
          <t>Suspension</t>
        </is>
      </c>
      <c r="F1068" s="8" t="inlineStr">
        <is>
          <t>PIECE_VEHICULE</t>
        </is>
      </c>
      <c r="G1068" s="8" t="inlineStr">
        <is>
          <t>unité</t>
        </is>
      </c>
      <c r="H1068" s="8" t="inlineStr">
        <is>
          <t>LARGE</t>
        </is>
      </c>
      <c r="I1068" s="8" t="n">
        <v>0</v>
      </c>
      <c r="J1068" s="8" t="inlineStr">
        <is>
          <t>E-02-01</t>
        </is>
      </c>
      <c r="K1068" s="8" t="inlineStr"/>
      <c r="L1068" s="10" t="n">
        <v>0</v>
      </c>
      <c r="M1068" s="10" t="n">
        <v>0</v>
      </c>
      <c r="N1068" s="10" t="n">
        <v>30</v>
      </c>
      <c r="O1068" s="8" t="inlineStr">
        <is>
          <t>SUM</t>
        </is>
      </c>
      <c r="P1068" s="8" t="inlineStr">
        <is>
          <t>IMPORTANT</t>
        </is>
      </c>
      <c r="Q1068" s="8" t="inlineStr">
        <is>
          <t>WHAP</t>
        </is>
      </c>
      <c r="R1068" s="8" t="inlineStr">
        <is>
          <t>OUI</t>
        </is>
      </c>
      <c r="S1068" s="8" t="inlineStr">
        <is>
          <t>31/08/2026 02:59</t>
        </is>
      </c>
    </row>
    <row r="1069">
      <c r="A1069" s="7" t="inlineStr">
        <is>
          <t>WHAP-1065</t>
        </is>
      </c>
      <c r="B1069" s="7" t="inlineStr">
        <is>
          <t>SUS-1065</t>
        </is>
      </c>
      <c r="C1069" s="7" t="inlineStr">
        <is>
          <t>conduite hydraulique — arrière droit</t>
        </is>
      </c>
      <c r="D1069" s="7" t="inlineStr">
        <is>
          <t>Suspension</t>
        </is>
      </c>
      <c r="E1069" s="7" t="inlineStr">
        <is>
          <t>Suspension</t>
        </is>
      </c>
      <c r="F1069" s="7" t="inlineStr">
        <is>
          <t>PIECE_VEHICULE</t>
        </is>
      </c>
      <c r="G1069" s="7" t="inlineStr">
        <is>
          <t>unité</t>
        </is>
      </c>
      <c r="H1069" s="7" t="inlineStr">
        <is>
          <t>LARGE</t>
        </is>
      </c>
      <c r="I1069" s="7" t="n">
        <v>0</v>
      </c>
      <c r="J1069" s="7" t="inlineStr">
        <is>
          <t>E-01-03</t>
        </is>
      </c>
      <c r="K1069" s="7" t="inlineStr"/>
      <c r="L1069" s="9" t="n">
        <v>0</v>
      </c>
      <c r="M1069" s="9" t="n">
        <v>0</v>
      </c>
      <c r="N1069" s="9" t="n">
        <v>31</v>
      </c>
      <c r="O1069" s="7" t="inlineStr">
        <is>
          <t>MAG</t>
        </is>
      </c>
      <c r="P1069" s="7" t="inlineStr">
        <is>
          <t>IMPORTANT</t>
        </is>
      </c>
      <c r="Q1069" s="7" t="inlineStr">
        <is>
          <t>WHAP</t>
        </is>
      </c>
      <c r="R1069" s="7" t="inlineStr">
        <is>
          <t>OUI</t>
        </is>
      </c>
      <c r="S1069" s="7" t="inlineStr">
        <is>
          <t>31/08/2026 02:59</t>
        </is>
      </c>
    </row>
    <row r="1070">
      <c r="A1070" s="8" t="inlineStr">
        <is>
          <t>WHAP-1066</t>
        </is>
      </c>
      <c r="B1070" s="8" t="inlineStr">
        <is>
          <t>SUS-1066</t>
        </is>
      </c>
      <c r="C1070" s="8" t="inlineStr">
        <is>
          <t>raccord hydraulique — arrière droit</t>
        </is>
      </c>
      <c r="D1070" s="8" t="inlineStr">
        <is>
          <t>Suspension</t>
        </is>
      </c>
      <c r="E1070" s="8" t="inlineStr">
        <is>
          <t>Suspension</t>
        </is>
      </c>
      <c r="F1070" s="8" t="inlineStr">
        <is>
          <t>PIECE_VEHICULE</t>
        </is>
      </c>
      <c r="G1070" s="8" t="inlineStr">
        <is>
          <t>unité</t>
        </is>
      </c>
      <c r="H1070" s="8" t="inlineStr">
        <is>
          <t>LARGE</t>
        </is>
      </c>
      <c r="I1070" s="8" t="n">
        <v>0</v>
      </c>
      <c r="J1070" s="8" t="inlineStr">
        <is>
          <t>F-02-01</t>
        </is>
      </c>
      <c r="K1070" s="8" t="inlineStr"/>
      <c r="L1070" s="10" t="n">
        <v>0</v>
      </c>
      <c r="M1070" s="10" t="n">
        <v>0</v>
      </c>
      <c r="N1070" s="10" t="n">
        <v>26</v>
      </c>
      <c r="O1070" s="8" t="inlineStr">
        <is>
          <t>YZK</t>
        </is>
      </c>
      <c r="P1070" s="8" t="inlineStr">
        <is>
          <t>IMPORTANT</t>
        </is>
      </c>
      <c r="Q1070" s="8" t="inlineStr">
        <is>
          <t>WHAP</t>
        </is>
      </c>
      <c r="R1070" s="8" t="inlineStr">
        <is>
          <t>OUI</t>
        </is>
      </c>
      <c r="S1070" s="8" t="inlineStr">
        <is>
          <t>31/08/2026 02:59</t>
        </is>
      </c>
    </row>
    <row r="1071">
      <c r="A1071" s="7" t="inlineStr">
        <is>
          <t>WHAP-1067</t>
        </is>
      </c>
      <c r="B1071" s="7" t="inlineStr">
        <is>
          <t>SUS-1067</t>
        </is>
      </c>
      <c r="C1071" s="7" t="inlineStr">
        <is>
          <t>pompe hydraulique — arrière droit</t>
        </is>
      </c>
      <c r="D1071" s="7" t="inlineStr">
        <is>
          <t>Suspension</t>
        </is>
      </c>
      <c r="E1071" s="7" t="inlineStr">
        <is>
          <t>Suspension</t>
        </is>
      </c>
      <c r="F1071" s="7" t="inlineStr">
        <is>
          <t>PIECE_VEHICULE</t>
        </is>
      </c>
      <c r="G1071" s="7" t="inlineStr">
        <is>
          <t>unité</t>
        </is>
      </c>
      <c r="H1071" s="7" t="inlineStr">
        <is>
          <t>LARGE</t>
        </is>
      </c>
      <c r="I1071" s="7" t="n">
        <v>0</v>
      </c>
      <c r="J1071" s="7" t="inlineStr">
        <is>
          <t>E-05-04</t>
        </is>
      </c>
      <c r="K1071" s="7" t="inlineStr"/>
      <c r="L1071" s="9" t="n">
        <v>0</v>
      </c>
      <c r="M1071" s="9" t="n">
        <v>0</v>
      </c>
      <c r="N1071" s="9" t="n">
        <v>24</v>
      </c>
      <c r="O1071" s="7" t="inlineStr">
        <is>
          <t>BOS</t>
        </is>
      </c>
      <c r="P1071" s="7" t="inlineStr">
        <is>
          <t>IMPORTANT</t>
        </is>
      </c>
      <c r="Q1071" s="7" t="inlineStr">
        <is>
          <t>WHAP</t>
        </is>
      </c>
      <c r="R1071" s="7" t="inlineStr">
        <is>
          <t>OUI</t>
        </is>
      </c>
      <c r="S1071" s="7" t="inlineStr">
        <is>
          <t>31/08/2026 02:59</t>
        </is>
      </c>
    </row>
    <row r="1072">
      <c r="A1072" s="8" t="inlineStr">
        <is>
          <t>WHAP-1068</t>
        </is>
      </c>
      <c r="B1072" s="8" t="inlineStr">
        <is>
          <t>SUS-1068</t>
        </is>
      </c>
      <c r="C1072" s="8" t="inlineStr">
        <is>
          <t>réservoir hydraulique — arrière droit</t>
        </is>
      </c>
      <c r="D1072" s="8" t="inlineStr">
        <is>
          <t>Suspension</t>
        </is>
      </c>
      <c r="E1072" s="8" t="inlineStr">
        <is>
          <t>Suspension</t>
        </is>
      </c>
      <c r="F1072" s="8" t="inlineStr">
        <is>
          <t>PIECE_VEHICULE</t>
        </is>
      </c>
      <c r="G1072" s="8" t="inlineStr">
        <is>
          <t>unité</t>
        </is>
      </c>
      <c r="H1072" s="8" t="inlineStr">
        <is>
          <t>LARGE</t>
        </is>
      </c>
      <c r="I1072" s="8" t="n">
        <v>0</v>
      </c>
      <c r="J1072" s="8" t="inlineStr">
        <is>
          <t>C-05-03</t>
        </is>
      </c>
      <c r="K1072" s="8" t="inlineStr"/>
      <c r="L1072" s="10" t="n">
        <v>0</v>
      </c>
      <c r="M1072" s="10" t="n">
        <v>0</v>
      </c>
      <c r="N1072" s="10" t="n">
        <v>29</v>
      </c>
      <c r="O1072" s="8" t="inlineStr">
        <is>
          <t>HEL</t>
        </is>
      </c>
      <c r="P1072" s="8" t="inlineStr">
        <is>
          <t>IMPORTANT</t>
        </is>
      </c>
      <c r="Q1072" s="8" t="inlineStr">
        <is>
          <t>WHAP</t>
        </is>
      </c>
      <c r="R1072" s="8" t="inlineStr">
        <is>
          <t>OUI</t>
        </is>
      </c>
      <c r="S1072" s="8" t="inlineStr">
        <is>
          <t>31/08/2026 02:59</t>
        </is>
      </c>
    </row>
    <row r="1073">
      <c r="A1073" s="7" t="inlineStr">
        <is>
          <t>WHAP-1069</t>
        </is>
      </c>
      <c r="B1073" s="7" t="inlineStr">
        <is>
          <t>SUS-1069</t>
        </is>
      </c>
      <c r="C1073" s="7" t="inlineStr">
        <is>
          <t>filtre hydraulique — arrière droit</t>
        </is>
      </c>
      <c r="D1073" s="7" t="inlineStr">
        <is>
          <t>Suspension</t>
        </is>
      </c>
      <c r="E1073" s="7" t="inlineStr">
        <is>
          <t>Suspension</t>
        </is>
      </c>
      <c r="F1073" s="7" t="inlineStr">
        <is>
          <t>PIECE_VEHICULE</t>
        </is>
      </c>
      <c r="G1073" s="7" t="inlineStr">
        <is>
          <t>unité</t>
        </is>
      </c>
      <c r="H1073" s="7" t="inlineStr">
        <is>
          <t>LARGE</t>
        </is>
      </c>
      <c r="I1073" s="7" t="n">
        <v>0</v>
      </c>
      <c r="J1073" s="7" t="inlineStr">
        <is>
          <t>D-06-02</t>
        </is>
      </c>
      <c r="K1073" s="7" t="inlineStr"/>
      <c r="L1073" s="9" t="n">
        <v>0</v>
      </c>
      <c r="M1073" s="9" t="n">
        <v>0</v>
      </c>
      <c r="N1073" s="9" t="n">
        <v>29</v>
      </c>
      <c r="O1073" s="7" t="inlineStr">
        <is>
          <t>VAL</t>
        </is>
      </c>
      <c r="P1073" s="7" t="inlineStr">
        <is>
          <t>IMPORTANT</t>
        </is>
      </c>
      <c r="Q1073" s="7" t="inlineStr">
        <is>
          <t>WHAP</t>
        </is>
      </c>
      <c r="R1073" s="7" t="inlineStr">
        <is>
          <t>OUI</t>
        </is>
      </c>
      <c r="S1073" s="7" t="inlineStr">
        <is>
          <t>31/08/2026 02:59</t>
        </is>
      </c>
    </row>
    <row r="1074">
      <c r="A1074" s="8" t="inlineStr">
        <is>
          <t>WHAP-1070</t>
        </is>
      </c>
      <c r="B1074" s="8" t="inlineStr">
        <is>
          <t>ECL-1070</t>
        </is>
      </c>
      <c r="C1074" s="8" t="inlineStr">
        <is>
          <t>phare avant — avant gauche</t>
        </is>
      </c>
      <c r="D1074" s="8" t="inlineStr">
        <is>
          <t>Éclairage</t>
        </is>
      </c>
      <c r="E1074" s="8" t="inlineStr">
        <is>
          <t>Éclairage</t>
        </is>
      </c>
      <c r="F1074" s="8" t="inlineStr">
        <is>
          <t>PIECE_VEHICULE</t>
        </is>
      </c>
      <c r="G1074" s="8" t="inlineStr">
        <is>
          <t>unité</t>
        </is>
      </c>
      <c r="H1074" s="8" t="inlineStr">
        <is>
          <t>SMALL</t>
        </is>
      </c>
      <c r="I1074" s="8" t="n">
        <v>5</v>
      </c>
      <c r="J1074" s="8" t="inlineStr">
        <is>
          <t>B-06-02</t>
        </is>
      </c>
      <c r="K1074" s="8" t="inlineStr"/>
      <c r="L1074" s="10" t="n">
        <v>0</v>
      </c>
      <c r="M1074" s="10" t="n">
        <v>0</v>
      </c>
      <c r="N1074" s="10" t="n">
        <v>40</v>
      </c>
      <c r="O1074" s="8" t="inlineStr">
        <is>
          <t>CTL</t>
        </is>
      </c>
      <c r="P1074" s="8" t="inlineStr">
        <is>
          <t>STANDARD</t>
        </is>
      </c>
      <c r="Q1074" s="8" t="inlineStr">
        <is>
          <t>WHAP</t>
        </is>
      </c>
      <c r="R1074" s="8" t="inlineStr">
        <is>
          <t>OUI</t>
        </is>
      </c>
      <c r="S1074" s="8" t="inlineStr">
        <is>
          <t>31/08/2026 02:59</t>
        </is>
      </c>
    </row>
    <row r="1075">
      <c r="A1075" s="7" t="inlineStr">
        <is>
          <t>WHAP-1071</t>
        </is>
      </c>
      <c r="B1075" s="7" t="inlineStr">
        <is>
          <t>ECL-1071</t>
        </is>
      </c>
      <c r="C1075" s="7" t="inlineStr">
        <is>
          <t>projecteur LED — avant gauche</t>
        </is>
      </c>
      <c r="D1075" s="7" t="inlineStr">
        <is>
          <t>Éclairage</t>
        </is>
      </c>
      <c r="E1075" s="7" t="inlineStr">
        <is>
          <t>Éclairage</t>
        </is>
      </c>
      <c r="F1075" s="7" t="inlineStr">
        <is>
          <t>PIECE_VEHICULE</t>
        </is>
      </c>
      <c r="G1075" s="7" t="inlineStr">
        <is>
          <t>unité</t>
        </is>
      </c>
      <c r="H1075" s="7" t="inlineStr">
        <is>
          <t>SMALL</t>
        </is>
      </c>
      <c r="I1075" s="7" t="n">
        <v>5</v>
      </c>
      <c r="J1075" s="7" t="inlineStr">
        <is>
          <t>D-01-01</t>
        </is>
      </c>
      <c r="K1075" s="7" t="inlineStr"/>
      <c r="L1075" s="9" t="n">
        <v>0</v>
      </c>
      <c r="M1075" s="9" t="n">
        <v>0</v>
      </c>
      <c r="N1075" s="9" t="n">
        <v>50</v>
      </c>
      <c r="O1075" s="7" t="inlineStr">
        <is>
          <t>FAU</t>
        </is>
      </c>
      <c r="P1075" s="7" t="inlineStr">
        <is>
          <t>STANDARD</t>
        </is>
      </c>
      <c r="Q1075" s="7" t="inlineStr">
        <is>
          <t>WHAP</t>
        </is>
      </c>
      <c r="R1075" s="7" t="inlineStr">
        <is>
          <t>OUI</t>
        </is>
      </c>
      <c r="S1075" s="7" t="inlineStr">
        <is>
          <t>31/08/2026 02:59</t>
        </is>
      </c>
    </row>
    <row r="1076">
      <c r="A1076" s="8" t="inlineStr">
        <is>
          <t>WHAP-1072</t>
        </is>
      </c>
      <c r="B1076" s="8" t="inlineStr">
        <is>
          <t>ECL-1072</t>
        </is>
      </c>
      <c r="C1076" s="8" t="inlineStr">
        <is>
          <t>feu de position — avant gauche</t>
        </is>
      </c>
      <c r="D1076" s="8" t="inlineStr">
        <is>
          <t>Éclairage</t>
        </is>
      </c>
      <c r="E1076" s="8" t="inlineStr">
        <is>
          <t>Éclairage</t>
        </is>
      </c>
      <c r="F1076" s="8" t="inlineStr">
        <is>
          <t>PIECE_VEHICULE</t>
        </is>
      </c>
      <c r="G1076" s="8" t="inlineStr">
        <is>
          <t>unité</t>
        </is>
      </c>
      <c r="H1076" s="8" t="inlineStr">
        <is>
          <t>SMALL</t>
        </is>
      </c>
      <c r="I1076" s="8" t="n">
        <v>5</v>
      </c>
      <c r="J1076" s="8" t="inlineStr">
        <is>
          <t>D-06-04</t>
        </is>
      </c>
      <c r="K1076" s="8" t="inlineStr"/>
      <c r="L1076" s="10" t="n">
        <v>0</v>
      </c>
      <c r="M1076" s="10" t="n">
        <v>0</v>
      </c>
      <c r="N1076" s="10" t="n">
        <v>50</v>
      </c>
      <c r="O1076" s="8" t="inlineStr">
        <is>
          <t>VAL</t>
        </is>
      </c>
      <c r="P1076" s="8" t="inlineStr">
        <is>
          <t>STANDARD</t>
        </is>
      </c>
      <c r="Q1076" s="8" t="inlineStr">
        <is>
          <t>WHAP</t>
        </is>
      </c>
      <c r="R1076" s="8" t="inlineStr">
        <is>
          <t>OUI</t>
        </is>
      </c>
      <c r="S1076" s="8" t="inlineStr">
        <is>
          <t>31/08/2026 02:59</t>
        </is>
      </c>
    </row>
    <row r="1077">
      <c r="A1077" s="7" t="inlineStr">
        <is>
          <t>WHAP-1073</t>
        </is>
      </c>
      <c r="B1077" s="7" t="inlineStr">
        <is>
          <t>ECL-1073</t>
        </is>
      </c>
      <c r="C1077" s="7" t="inlineStr">
        <is>
          <t>feu arrière — avant gauche</t>
        </is>
      </c>
      <c r="D1077" s="7" t="inlineStr">
        <is>
          <t>Éclairage</t>
        </is>
      </c>
      <c r="E1077" s="7" t="inlineStr">
        <is>
          <t>Éclairage</t>
        </is>
      </c>
      <c r="F1077" s="7" t="inlineStr">
        <is>
          <t>PIECE_VEHICULE</t>
        </is>
      </c>
      <c r="G1077" s="7" t="inlineStr">
        <is>
          <t>unité</t>
        </is>
      </c>
      <c r="H1077" s="7" t="inlineStr">
        <is>
          <t>SMALL</t>
        </is>
      </c>
      <c r="I1077" s="7" t="n">
        <v>5</v>
      </c>
      <c r="J1077" s="7" t="inlineStr">
        <is>
          <t>A-06-01</t>
        </is>
      </c>
      <c r="K1077" s="7" t="inlineStr"/>
      <c r="L1077" s="9" t="n">
        <v>0</v>
      </c>
      <c r="M1077" s="9" t="n">
        <v>0</v>
      </c>
      <c r="N1077" s="9" t="n">
        <v>44</v>
      </c>
      <c r="O1077" s="7" t="inlineStr">
        <is>
          <t>MAG</t>
        </is>
      </c>
      <c r="P1077" s="7" t="inlineStr">
        <is>
          <t>STANDARD</t>
        </is>
      </c>
      <c r="Q1077" s="7" t="inlineStr">
        <is>
          <t>WHAP</t>
        </is>
      </c>
      <c r="R1077" s="7" t="inlineStr">
        <is>
          <t>OUI</t>
        </is>
      </c>
      <c r="S1077" s="7" t="inlineStr">
        <is>
          <t>31/08/2026 02:59</t>
        </is>
      </c>
    </row>
    <row r="1078">
      <c r="A1078" s="8" t="inlineStr">
        <is>
          <t>WHAP-1074</t>
        </is>
      </c>
      <c r="B1078" s="8" t="inlineStr">
        <is>
          <t>ECL-1074</t>
        </is>
      </c>
      <c r="C1078" s="8" t="inlineStr">
        <is>
          <t>feu stop — avant gauche</t>
        </is>
      </c>
      <c r="D1078" s="8" t="inlineStr">
        <is>
          <t>Éclairage</t>
        </is>
      </c>
      <c r="E1078" s="8" t="inlineStr">
        <is>
          <t>Éclairage</t>
        </is>
      </c>
      <c r="F1078" s="8" t="inlineStr">
        <is>
          <t>PIECE_VEHICULE</t>
        </is>
      </c>
      <c r="G1078" s="8" t="inlineStr">
        <is>
          <t>unité</t>
        </is>
      </c>
      <c r="H1078" s="8" t="inlineStr">
        <is>
          <t>SMALL</t>
        </is>
      </c>
      <c r="I1078" s="8" t="n">
        <v>5</v>
      </c>
      <c r="J1078" s="8" t="inlineStr">
        <is>
          <t>A-04-03</t>
        </is>
      </c>
      <c r="K1078" s="8" t="inlineStr"/>
      <c r="L1078" s="10" t="n">
        <v>0</v>
      </c>
      <c r="M1078" s="10" t="n">
        <v>0</v>
      </c>
      <c r="N1078" s="10" t="n">
        <v>41</v>
      </c>
      <c r="O1078" s="8" t="inlineStr">
        <is>
          <t>SUM</t>
        </is>
      </c>
      <c r="P1078" s="8" t="inlineStr">
        <is>
          <t>STANDARD</t>
        </is>
      </c>
      <c r="Q1078" s="8" t="inlineStr">
        <is>
          <t>WHAP</t>
        </is>
      </c>
      <c r="R1078" s="8" t="inlineStr">
        <is>
          <t>OUI</t>
        </is>
      </c>
      <c r="S1078" s="8" t="inlineStr">
        <is>
          <t>31/08/2026 02:59</t>
        </is>
      </c>
    </row>
    <row r="1079">
      <c r="A1079" s="7" t="inlineStr">
        <is>
          <t>WHAP-1075</t>
        </is>
      </c>
      <c r="B1079" s="7" t="inlineStr">
        <is>
          <t>ECL-1075</t>
        </is>
      </c>
      <c r="C1079" s="7" t="inlineStr">
        <is>
          <t>clignotant — avant gauche</t>
        </is>
      </c>
      <c r="D1079" s="7" t="inlineStr">
        <is>
          <t>Éclairage</t>
        </is>
      </c>
      <c r="E1079" s="7" t="inlineStr">
        <is>
          <t>Éclairage</t>
        </is>
      </c>
      <c r="F1079" s="7" t="inlineStr">
        <is>
          <t>PIECE_VEHICULE</t>
        </is>
      </c>
      <c r="G1079" s="7" t="inlineStr">
        <is>
          <t>unité</t>
        </is>
      </c>
      <c r="H1079" s="7" t="inlineStr">
        <is>
          <t>SMALL</t>
        </is>
      </c>
      <c r="I1079" s="7" t="n">
        <v>5</v>
      </c>
      <c r="J1079" s="7" t="inlineStr">
        <is>
          <t>C-05-01</t>
        </is>
      </c>
      <c r="K1079" s="7" t="inlineStr"/>
      <c r="L1079" s="9" t="n">
        <v>0</v>
      </c>
      <c r="M1079" s="9" t="n">
        <v>0</v>
      </c>
      <c r="N1079" s="9" t="n">
        <v>49</v>
      </c>
      <c r="O1079" s="7" t="inlineStr">
        <is>
          <t>SUM</t>
        </is>
      </c>
      <c r="P1079" s="7" t="inlineStr">
        <is>
          <t>STANDARD</t>
        </is>
      </c>
      <c r="Q1079" s="7" t="inlineStr">
        <is>
          <t>WHAP</t>
        </is>
      </c>
      <c r="R1079" s="7" t="inlineStr">
        <is>
          <t>OUI</t>
        </is>
      </c>
      <c r="S1079" s="7" t="inlineStr">
        <is>
          <t>31/08/2026 02:59</t>
        </is>
      </c>
    </row>
    <row r="1080">
      <c r="A1080" s="8" t="inlineStr">
        <is>
          <t>WHAP-1076</t>
        </is>
      </c>
      <c r="B1080" s="8" t="inlineStr">
        <is>
          <t>ECL-1076</t>
        </is>
      </c>
      <c r="C1080" s="8" t="inlineStr">
        <is>
          <t>feu de recul — avant gauche</t>
        </is>
      </c>
      <c r="D1080" s="8" t="inlineStr">
        <is>
          <t>Éclairage</t>
        </is>
      </c>
      <c r="E1080" s="8" t="inlineStr">
        <is>
          <t>Éclairage</t>
        </is>
      </c>
      <c r="F1080" s="8" t="inlineStr">
        <is>
          <t>PIECE_VEHICULE</t>
        </is>
      </c>
      <c r="G1080" s="8" t="inlineStr">
        <is>
          <t>unité</t>
        </is>
      </c>
      <c r="H1080" s="8" t="inlineStr">
        <is>
          <t>SMALL</t>
        </is>
      </c>
      <c r="I1080" s="8" t="n">
        <v>5</v>
      </c>
      <c r="J1080" s="8" t="inlineStr">
        <is>
          <t>E-06-04</t>
        </is>
      </c>
      <c r="K1080" s="8" t="inlineStr"/>
      <c r="L1080" s="10" t="n">
        <v>0</v>
      </c>
      <c r="M1080" s="10" t="n">
        <v>0</v>
      </c>
      <c r="N1080" s="10" t="n">
        <v>48</v>
      </c>
      <c r="O1080" s="8" t="inlineStr">
        <is>
          <t>BOS</t>
        </is>
      </c>
      <c r="P1080" s="8" t="inlineStr">
        <is>
          <t>STANDARD</t>
        </is>
      </c>
      <c r="Q1080" s="8" t="inlineStr">
        <is>
          <t>WHAP</t>
        </is>
      </c>
      <c r="R1080" s="8" t="inlineStr">
        <is>
          <t>OUI</t>
        </is>
      </c>
      <c r="S1080" s="8" t="inlineStr">
        <is>
          <t>31/08/2026 02:59</t>
        </is>
      </c>
    </row>
    <row r="1081">
      <c r="A1081" s="7" t="inlineStr">
        <is>
          <t>WHAP-1077</t>
        </is>
      </c>
      <c r="B1081" s="7" t="inlineStr">
        <is>
          <t>ECL-1077</t>
        </is>
      </c>
      <c r="C1081" s="7" t="inlineStr">
        <is>
          <t>feu antibrouillard — avant gauche</t>
        </is>
      </c>
      <c r="D1081" s="7" t="inlineStr">
        <is>
          <t>Éclairage</t>
        </is>
      </c>
      <c r="E1081" s="7" t="inlineStr">
        <is>
          <t>Éclairage</t>
        </is>
      </c>
      <c r="F1081" s="7" t="inlineStr">
        <is>
          <t>PIECE_VEHICULE</t>
        </is>
      </c>
      <c r="G1081" s="7" t="inlineStr">
        <is>
          <t>unité</t>
        </is>
      </c>
      <c r="H1081" s="7" t="inlineStr">
        <is>
          <t>SMALL</t>
        </is>
      </c>
      <c r="I1081" s="7" t="n">
        <v>5</v>
      </c>
      <c r="J1081" s="7" t="inlineStr">
        <is>
          <t>B-05-02</t>
        </is>
      </c>
      <c r="K1081" s="7" t="inlineStr"/>
      <c r="L1081" s="9" t="n">
        <v>0</v>
      </c>
      <c r="M1081" s="9" t="n">
        <v>0</v>
      </c>
      <c r="N1081" s="9" t="n">
        <v>46</v>
      </c>
      <c r="O1081" s="7" t="inlineStr">
        <is>
          <t>FAU</t>
        </is>
      </c>
      <c r="P1081" s="7" t="inlineStr">
        <is>
          <t>STANDARD</t>
        </is>
      </c>
      <c r="Q1081" s="7" t="inlineStr">
        <is>
          <t>WHAP</t>
        </is>
      </c>
      <c r="R1081" s="7" t="inlineStr">
        <is>
          <t>OUI</t>
        </is>
      </c>
      <c r="S1081" s="7" t="inlineStr">
        <is>
          <t>31/08/2026 02:59</t>
        </is>
      </c>
    </row>
    <row r="1082">
      <c r="A1082" s="8" t="inlineStr">
        <is>
          <t>WHAP-1078</t>
        </is>
      </c>
      <c r="B1082" s="8" t="inlineStr">
        <is>
          <t>ECL-1078</t>
        </is>
      </c>
      <c r="C1082" s="8" t="inlineStr">
        <is>
          <t>éclairage intérieur — avant gauche</t>
        </is>
      </c>
      <c r="D1082" s="8" t="inlineStr">
        <is>
          <t>Éclairage</t>
        </is>
      </c>
      <c r="E1082" s="8" t="inlineStr">
        <is>
          <t>Éclairage</t>
        </is>
      </c>
      <c r="F1082" s="8" t="inlineStr">
        <is>
          <t>PIECE_VEHICULE</t>
        </is>
      </c>
      <c r="G1082" s="8" t="inlineStr">
        <is>
          <t>unité</t>
        </is>
      </c>
      <c r="H1082" s="8" t="inlineStr">
        <is>
          <t>SMALL</t>
        </is>
      </c>
      <c r="I1082" s="8" t="n">
        <v>5</v>
      </c>
      <c r="J1082" s="8" t="inlineStr">
        <is>
          <t>B-04-03</t>
        </is>
      </c>
      <c r="K1082" s="8" t="inlineStr"/>
      <c r="L1082" s="10" t="n">
        <v>0</v>
      </c>
      <c r="M1082" s="10" t="n">
        <v>0</v>
      </c>
      <c r="N1082" s="10" t="n">
        <v>49</v>
      </c>
      <c r="O1082" s="8" t="inlineStr">
        <is>
          <t>VAL</t>
        </is>
      </c>
      <c r="P1082" s="8" t="inlineStr">
        <is>
          <t>STANDARD</t>
        </is>
      </c>
      <c r="Q1082" s="8" t="inlineStr">
        <is>
          <t>WHAP</t>
        </is>
      </c>
      <c r="R1082" s="8" t="inlineStr">
        <is>
          <t>OUI</t>
        </is>
      </c>
      <c r="S1082" s="8" t="inlineStr">
        <is>
          <t>31/08/2026 02:59</t>
        </is>
      </c>
    </row>
    <row r="1083">
      <c r="A1083" s="7" t="inlineStr">
        <is>
          <t>WHAP-1079</t>
        </is>
      </c>
      <c r="B1083" s="7" t="inlineStr">
        <is>
          <t>ECL-1079</t>
        </is>
      </c>
      <c r="C1083" s="7" t="inlineStr">
        <is>
          <t>éclairage compartiment moteur — avant gauche</t>
        </is>
      </c>
      <c r="D1083" s="7" t="inlineStr">
        <is>
          <t>Éclairage</t>
        </is>
      </c>
      <c r="E1083" s="7" t="inlineStr">
        <is>
          <t>Éclairage</t>
        </is>
      </c>
      <c r="F1083" s="7" t="inlineStr">
        <is>
          <t>PIECE_VEHICULE</t>
        </is>
      </c>
      <c r="G1083" s="7" t="inlineStr">
        <is>
          <t>unité</t>
        </is>
      </c>
      <c r="H1083" s="7" t="inlineStr">
        <is>
          <t>SMALL</t>
        </is>
      </c>
      <c r="I1083" s="7" t="n">
        <v>5</v>
      </c>
      <c r="J1083" s="7" t="inlineStr">
        <is>
          <t>F-04-01</t>
        </is>
      </c>
      <c r="K1083" s="7" t="inlineStr"/>
      <c r="L1083" s="9" t="n">
        <v>0</v>
      </c>
      <c r="M1083" s="9" t="n">
        <v>0</v>
      </c>
      <c r="N1083" s="9" t="n">
        <v>47</v>
      </c>
      <c r="O1083" s="7" t="inlineStr">
        <is>
          <t>YZK</t>
        </is>
      </c>
      <c r="P1083" s="7" t="inlineStr">
        <is>
          <t>STANDARD</t>
        </is>
      </c>
      <c r="Q1083" s="7" t="inlineStr">
        <is>
          <t>WHAP</t>
        </is>
      </c>
      <c r="R1083" s="7" t="inlineStr">
        <is>
          <t>OUI</t>
        </is>
      </c>
      <c r="S1083" s="7" t="inlineStr">
        <is>
          <t>31/08/2026 02:59</t>
        </is>
      </c>
    </row>
    <row r="1084">
      <c r="A1084" s="8" t="inlineStr">
        <is>
          <t>WHAP-1080</t>
        </is>
      </c>
      <c r="B1084" s="8" t="inlineStr">
        <is>
          <t>ECL-1080</t>
        </is>
      </c>
      <c r="C1084" s="8" t="inlineStr">
        <is>
          <t>éclairage poste de conduite — avant gauche</t>
        </is>
      </c>
      <c r="D1084" s="8" t="inlineStr">
        <is>
          <t>Éclairage</t>
        </is>
      </c>
      <c r="E1084" s="8" t="inlineStr">
        <is>
          <t>Éclairage</t>
        </is>
      </c>
      <c r="F1084" s="8" t="inlineStr">
        <is>
          <t>PIECE_VEHICULE</t>
        </is>
      </c>
      <c r="G1084" s="8" t="inlineStr">
        <is>
          <t>unité</t>
        </is>
      </c>
      <c r="H1084" s="8" t="inlineStr">
        <is>
          <t>SMALL</t>
        </is>
      </c>
      <c r="I1084" s="8" t="n">
        <v>5</v>
      </c>
      <c r="J1084" s="8" t="inlineStr">
        <is>
          <t>D-01-04</t>
        </is>
      </c>
      <c r="K1084" s="8" t="inlineStr"/>
      <c r="L1084" s="10" t="n">
        <v>0</v>
      </c>
      <c r="M1084" s="10" t="n">
        <v>0</v>
      </c>
      <c r="N1084" s="10" t="n">
        <v>47</v>
      </c>
      <c r="O1084" s="8" t="inlineStr">
        <is>
          <t>VAL</t>
        </is>
      </c>
      <c r="P1084" s="8" t="inlineStr">
        <is>
          <t>STANDARD</t>
        </is>
      </c>
      <c r="Q1084" s="8" t="inlineStr">
        <is>
          <t>WHAP</t>
        </is>
      </c>
      <c r="R1084" s="8" t="inlineStr">
        <is>
          <t>OUI</t>
        </is>
      </c>
      <c r="S1084" s="8" t="inlineStr">
        <is>
          <t>31/08/2026 02:59</t>
        </is>
      </c>
    </row>
    <row r="1085">
      <c r="A1085" s="7" t="inlineStr">
        <is>
          <t>WHAP-1081</t>
        </is>
      </c>
      <c r="B1085" s="7" t="inlineStr">
        <is>
          <t>ECL-1081</t>
        </is>
      </c>
      <c r="C1085" s="7" t="inlineStr">
        <is>
          <t>gyrophare — avant gauche</t>
        </is>
      </c>
      <c r="D1085" s="7" t="inlineStr">
        <is>
          <t>Éclairage</t>
        </is>
      </c>
      <c r="E1085" s="7" t="inlineStr">
        <is>
          <t>Éclairage</t>
        </is>
      </c>
      <c r="F1085" s="7" t="inlineStr">
        <is>
          <t>PIECE_VEHICULE</t>
        </is>
      </c>
      <c r="G1085" s="7" t="inlineStr">
        <is>
          <t>unité</t>
        </is>
      </c>
      <c r="H1085" s="7" t="inlineStr">
        <is>
          <t>SMALL</t>
        </is>
      </c>
      <c r="I1085" s="7" t="n">
        <v>5</v>
      </c>
      <c r="J1085" s="7" t="inlineStr">
        <is>
          <t>F-03-04</t>
        </is>
      </c>
      <c r="K1085" s="7" t="inlineStr"/>
      <c r="L1085" s="9" t="n">
        <v>0</v>
      </c>
      <c r="M1085" s="9" t="n">
        <v>0</v>
      </c>
      <c r="N1085" s="9" t="n">
        <v>49</v>
      </c>
      <c r="O1085" s="7" t="inlineStr">
        <is>
          <t>SKF</t>
        </is>
      </c>
      <c r="P1085" s="7" t="inlineStr">
        <is>
          <t>STANDARD</t>
        </is>
      </c>
      <c r="Q1085" s="7" t="inlineStr">
        <is>
          <t>WHAP</t>
        </is>
      </c>
      <c r="R1085" s="7" t="inlineStr">
        <is>
          <t>OUI</t>
        </is>
      </c>
      <c r="S1085" s="7" t="inlineStr">
        <is>
          <t>31/08/2026 02:59</t>
        </is>
      </c>
    </row>
    <row r="1086">
      <c r="A1086" s="8" t="inlineStr">
        <is>
          <t>WHAP-1082</t>
        </is>
      </c>
      <c r="B1086" s="8" t="inlineStr">
        <is>
          <t>ECL-1082</t>
        </is>
      </c>
      <c r="C1086" s="8" t="inlineStr">
        <is>
          <t>lampe de lecture — avant gauche</t>
        </is>
      </c>
      <c r="D1086" s="8" t="inlineStr">
        <is>
          <t>Éclairage</t>
        </is>
      </c>
      <c r="E1086" s="8" t="inlineStr">
        <is>
          <t>Éclairage</t>
        </is>
      </c>
      <c r="F1086" s="8" t="inlineStr">
        <is>
          <t>PIECE_VEHICULE</t>
        </is>
      </c>
      <c r="G1086" s="8" t="inlineStr">
        <is>
          <t>unité</t>
        </is>
      </c>
      <c r="H1086" s="8" t="inlineStr">
        <is>
          <t>SMALL</t>
        </is>
      </c>
      <c r="I1086" s="8" t="n">
        <v>5</v>
      </c>
      <c r="J1086" s="8" t="inlineStr">
        <is>
          <t>C-03-01</t>
        </is>
      </c>
      <c r="K1086" s="8" t="inlineStr"/>
      <c r="L1086" s="10" t="n">
        <v>0</v>
      </c>
      <c r="M1086" s="10" t="n">
        <v>0</v>
      </c>
      <c r="N1086" s="10" t="n">
        <v>44</v>
      </c>
      <c r="O1086" s="8" t="inlineStr">
        <is>
          <t>DEL</t>
        </is>
      </c>
      <c r="P1086" s="8" t="inlineStr">
        <is>
          <t>STANDARD</t>
        </is>
      </c>
      <c r="Q1086" s="8" t="inlineStr">
        <is>
          <t>WHAP</t>
        </is>
      </c>
      <c r="R1086" s="8" t="inlineStr">
        <is>
          <t>OUI</t>
        </is>
      </c>
      <c r="S1086" s="8" t="inlineStr">
        <is>
          <t>31/08/2026 02:59</t>
        </is>
      </c>
    </row>
    <row r="1087">
      <c r="A1087" s="7" t="inlineStr">
        <is>
          <t>WHAP-1083</t>
        </is>
      </c>
      <c r="B1087" s="7" t="inlineStr">
        <is>
          <t>ECL-1083</t>
        </is>
      </c>
      <c r="C1087" s="7" t="inlineStr">
        <is>
          <t>projecteur de recherche — avant gauche</t>
        </is>
      </c>
      <c r="D1087" s="7" t="inlineStr">
        <is>
          <t>Éclairage</t>
        </is>
      </c>
      <c r="E1087" s="7" t="inlineStr">
        <is>
          <t>Éclairage</t>
        </is>
      </c>
      <c r="F1087" s="7" t="inlineStr">
        <is>
          <t>PIECE_VEHICULE</t>
        </is>
      </c>
      <c r="G1087" s="7" t="inlineStr">
        <is>
          <t>unité</t>
        </is>
      </c>
      <c r="H1087" s="7" t="inlineStr">
        <is>
          <t>SMALL</t>
        </is>
      </c>
      <c r="I1087" s="7" t="n">
        <v>5</v>
      </c>
      <c r="J1087" s="7" t="inlineStr">
        <is>
          <t>F-04-02</t>
        </is>
      </c>
      <c r="K1087" s="7" t="inlineStr"/>
      <c r="L1087" s="9" t="n">
        <v>0</v>
      </c>
      <c r="M1087" s="9" t="n">
        <v>0</v>
      </c>
      <c r="N1087" s="9" t="n">
        <v>48</v>
      </c>
      <c r="O1087" s="7" t="inlineStr">
        <is>
          <t>CTL</t>
        </is>
      </c>
      <c r="P1087" s="7" t="inlineStr">
        <is>
          <t>STANDARD</t>
        </is>
      </c>
      <c r="Q1087" s="7" t="inlineStr">
        <is>
          <t>WHAP</t>
        </is>
      </c>
      <c r="R1087" s="7" t="inlineStr">
        <is>
          <t>OUI</t>
        </is>
      </c>
      <c r="S1087" s="7" t="inlineStr">
        <is>
          <t>31/08/2026 02:59</t>
        </is>
      </c>
    </row>
    <row r="1088">
      <c r="A1088" s="8" t="inlineStr">
        <is>
          <t>WHAP-1084</t>
        </is>
      </c>
      <c r="B1088" s="8" t="inlineStr">
        <is>
          <t>ECL-1084</t>
        </is>
      </c>
      <c r="C1088" s="8" t="inlineStr">
        <is>
          <t>module LED — avant gauche</t>
        </is>
      </c>
      <c r="D1088" s="8" t="inlineStr">
        <is>
          <t>Éclairage</t>
        </is>
      </c>
      <c r="E1088" s="8" t="inlineStr">
        <is>
          <t>Éclairage</t>
        </is>
      </c>
      <c r="F1088" s="8" t="inlineStr">
        <is>
          <t>PIECE_VEHICULE</t>
        </is>
      </c>
      <c r="G1088" s="8" t="inlineStr">
        <is>
          <t>unité</t>
        </is>
      </c>
      <c r="H1088" s="8" t="inlineStr">
        <is>
          <t>SMALL</t>
        </is>
      </c>
      <c r="I1088" s="8" t="n">
        <v>5</v>
      </c>
      <c r="J1088" s="8" t="inlineStr">
        <is>
          <t>C-03-01</t>
        </is>
      </c>
      <c r="K1088" s="8" t="inlineStr"/>
      <c r="L1088" s="10" t="n">
        <v>0</v>
      </c>
      <c r="M1088" s="10" t="n">
        <v>0</v>
      </c>
      <c r="N1088" s="10" t="n">
        <v>44</v>
      </c>
      <c r="O1088" s="8" t="inlineStr">
        <is>
          <t>MAG</t>
        </is>
      </c>
      <c r="P1088" s="8" t="inlineStr">
        <is>
          <t>STANDARD</t>
        </is>
      </c>
      <c r="Q1088" s="8" t="inlineStr">
        <is>
          <t>WHAP</t>
        </is>
      </c>
      <c r="R1088" s="8" t="inlineStr">
        <is>
          <t>OUI</t>
        </is>
      </c>
      <c r="S1088" s="8" t="inlineStr">
        <is>
          <t>31/08/2026 02:59</t>
        </is>
      </c>
    </row>
    <row r="1089">
      <c r="A1089" s="7" t="inlineStr">
        <is>
          <t>WHAP-1085</t>
        </is>
      </c>
      <c r="B1089" s="7" t="inlineStr">
        <is>
          <t>ECL-1085</t>
        </is>
      </c>
      <c r="C1089" s="7" t="inlineStr">
        <is>
          <t>lentille — avant gauche</t>
        </is>
      </c>
      <c r="D1089" s="7" t="inlineStr">
        <is>
          <t>Éclairage</t>
        </is>
      </c>
      <c r="E1089" s="7" t="inlineStr">
        <is>
          <t>Éclairage</t>
        </is>
      </c>
      <c r="F1089" s="7" t="inlineStr">
        <is>
          <t>PIECE_VEHICULE</t>
        </is>
      </c>
      <c r="G1089" s="7" t="inlineStr">
        <is>
          <t>unité</t>
        </is>
      </c>
      <c r="H1089" s="7" t="inlineStr">
        <is>
          <t>SMALL</t>
        </is>
      </c>
      <c r="I1089" s="7" t="n">
        <v>5</v>
      </c>
      <c r="J1089" s="7" t="inlineStr">
        <is>
          <t>A-01-01</t>
        </is>
      </c>
      <c r="K1089" s="7" t="inlineStr"/>
      <c r="L1089" s="9" t="n">
        <v>0</v>
      </c>
      <c r="M1089" s="9" t="n">
        <v>0</v>
      </c>
      <c r="N1089" s="9" t="n">
        <v>45</v>
      </c>
      <c r="O1089" s="7" t="inlineStr">
        <is>
          <t>BOS</t>
        </is>
      </c>
      <c r="P1089" s="7" t="inlineStr">
        <is>
          <t>STANDARD</t>
        </is>
      </c>
      <c r="Q1089" s="7" t="inlineStr">
        <is>
          <t>WHAP</t>
        </is>
      </c>
      <c r="R1089" s="7" t="inlineStr">
        <is>
          <t>OUI</t>
        </is>
      </c>
      <c r="S1089" s="7" t="inlineStr">
        <is>
          <t>31/08/2026 02:59</t>
        </is>
      </c>
    </row>
    <row r="1090">
      <c r="A1090" s="8" t="inlineStr">
        <is>
          <t>WHAP-1086</t>
        </is>
      </c>
      <c r="B1090" s="8" t="inlineStr">
        <is>
          <t>ECL-1086</t>
        </is>
      </c>
      <c r="C1090" s="8" t="inlineStr">
        <is>
          <t>réflecteur — avant gauche</t>
        </is>
      </c>
      <c r="D1090" s="8" t="inlineStr">
        <is>
          <t>Éclairage</t>
        </is>
      </c>
      <c r="E1090" s="8" t="inlineStr">
        <is>
          <t>Éclairage</t>
        </is>
      </c>
      <c r="F1090" s="8" t="inlineStr">
        <is>
          <t>PIECE_VEHICULE</t>
        </is>
      </c>
      <c r="G1090" s="8" t="inlineStr">
        <is>
          <t>unité</t>
        </is>
      </c>
      <c r="H1090" s="8" t="inlineStr">
        <is>
          <t>SMALL</t>
        </is>
      </c>
      <c r="I1090" s="8" t="n">
        <v>5</v>
      </c>
      <c r="J1090" s="8" t="inlineStr">
        <is>
          <t>F-06-04</t>
        </is>
      </c>
      <c r="K1090" s="8" t="inlineStr"/>
      <c r="L1090" s="10" t="n">
        <v>0</v>
      </c>
      <c r="M1090" s="10" t="n">
        <v>0</v>
      </c>
      <c r="N1090" s="10" t="n">
        <v>49</v>
      </c>
      <c r="O1090" s="8" t="inlineStr">
        <is>
          <t>CTL</t>
        </is>
      </c>
      <c r="P1090" s="8" t="inlineStr">
        <is>
          <t>STANDARD</t>
        </is>
      </c>
      <c r="Q1090" s="8" t="inlineStr">
        <is>
          <t>WHAP</t>
        </is>
      </c>
      <c r="R1090" s="8" t="inlineStr">
        <is>
          <t>OUI</t>
        </is>
      </c>
      <c r="S1090" s="8" t="inlineStr">
        <is>
          <t>31/08/2026 02:59</t>
        </is>
      </c>
    </row>
    <row r="1091">
      <c r="A1091" s="7" t="inlineStr">
        <is>
          <t>WHAP-1087</t>
        </is>
      </c>
      <c r="B1091" s="7" t="inlineStr">
        <is>
          <t>ECL-1087</t>
        </is>
      </c>
      <c r="C1091" s="7" t="inlineStr">
        <is>
          <t>support de phare — avant gauche</t>
        </is>
      </c>
      <c r="D1091" s="7" t="inlineStr">
        <is>
          <t>Éclairage</t>
        </is>
      </c>
      <c r="E1091" s="7" t="inlineStr">
        <is>
          <t>Éclairage</t>
        </is>
      </c>
      <c r="F1091" s="7" t="inlineStr">
        <is>
          <t>PIECE_VEHICULE</t>
        </is>
      </c>
      <c r="G1091" s="7" t="inlineStr">
        <is>
          <t>unité</t>
        </is>
      </c>
      <c r="H1091" s="7" t="inlineStr">
        <is>
          <t>SMALL</t>
        </is>
      </c>
      <c r="I1091" s="7" t="n">
        <v>5</v>
      </c>
      <c r="J1091" s="7" t="inlineStr">
        <is>
          <t>F-06-01</t>
        </is>
      </c>
      <c r="K1091" s="7" t="inlineStr"/>
      <c r="L1091" s="9" t="n">
        <v>0</v>
      </c>
      <c r="M1091" s="9" t="n">
        <v>0</v>
      </c>
      <c r="N1091" s="9" t="n">
        <v>48</v>
      </c>
      <c r="O1091" s="7" t="inlineStr">
        <is>
          <t>YZK</t>
        </is>
      </c>
      <c r="P1091" s="7" t="inlineStr">
        <is>
          <t>STANDARD</t>
        </is>
      </c>
      <c r="Q1091" s="7" t="inlineStr">
        <is>
          <t>WHAP</t>
        </is>
      </c>
      <c r="R1091" s="7" t="inlineStr">
        <is>
          <t>OUI</t>
        </is>
      </c>
      <c r="S1091" s="7" t="inlineStr">
        <is>
          <t>31/08/2026 02:59</t>
        </is>
      </c>
    </row>
    <row r="1092">
      <c r="A1092" s="8" t="inlineStr">
        <is>
          <t>WHAP-1088</t>
        </is>
      </c>
      <c r="B1092" s="8" t="inlineStr">
        <is>
          <t>ECL-1088</t>
        </is>
      </c>
      <c r="C1092" s="8" t="inlineStr">
        <is>
          <t>interrupteur éclairage — avant gauche</t>
        </is>
      </c>
      <c r="D1092" s="8" t="inlineStr">
        <is>
          <t>Éclairage</t>
        </is>
      </c>
      <c r="E1092" s="8" t="inlineStr">
        <is>
          <t>Éclairage</t>
        </is>
      </c>
      <c r="F1092" s="8" t="inlineStr">
        <is>
          <t>PIECE_VEHICULE</t>
        </is>
      </c>
      <c r="G1092" s="8" t="inlineStr">
        <is>
          <t>unité</t>
        </is>
      </c>
      <c r="H1092" s="8" t="inlineStr">
        <is>
          <t>SMALL</t>
        </is>
      </c>
      <c r="I1092" s="8" t="n">
        <v>5</v>
      </c>
      <c r="J1092" s="8" t="inlineStr">
        <is>
          <t>F-05-02</t>
        </is>
      </c>
      <c r="K1092" s="8" t="inlineStr"/>
      <c r="L1092" s="10" t="n">
        <v>0</v>
      </c>
      <c r="M1092" s="10" t="n">
        <v>0</v>
      </c>
      <c r="N1092" s="10" t="n">
        <v>49</v>
      </c>
      <c r="O1092" s="8" t="inlineStr">
        <is>
          <t>SKF</t>
        </is>
      </c>
      <c r="P1092" s="8" t="inlineStr">
        <is>
          <t>STANDARD</t>
        </is>
      </c>
      <c r="Q1092" s="8" t="inlineStr">
        <is>
          <t>WHAP</t>
        </is>
      </c>
      <c r="R1092" s="8" t="inlineStr">
        <is>
          <t>OUI</t>
        </is>
      </c>
      <c r="S1092" s="8" t="inlineStr">
        <is>
          <t>31/08/2026 02:59</t>
        </is>
      </c>
    </row>
    <row r="1093">
      <c r="A1093" s="7" t="inlineStr">
        <is>
          <t>WHAP-1089</t>
        </is>
      </c>
      <c r="B1093" s="7" t="inlineStr">
        <is>
          <t>ECL-1089</t>
        </is>
      </c>
      <c r="C1093" s="7" t="inlineStr">
        <is>
          <t>faisceau éclairage — avant gauche</t>
        </is>
      </c>
      <c r="D1093" s="7" t="inlineStr">
        <is>
          <t>Éclairage</t>
        </is>
      </c>
      <c r="E1093" s="7" t="inlineStr">
        <is>
          <t>Éclairage</t>
        </is>
      </c>
      <c r="F1093" s="7" t="inlineStr">
        <is>
          <t>PIECE_VEHICULE</t>
        </is>
      </c>
      <c r="G1093" s="7" t="inlineStr">
        <is>
          <t>unité</t>
        </is>
      </c>
      <c r="H1093" s="7" t="inlineStr">
        <is>
          <t>SMALL</t>
        </is>
      </c>
      <c r="I1093" s="7" t="n">
        <v>5</v>
      </c>
      <c r="J1093" s="7" t="inlineStr">
        <is>
          <t>E-03-04</t>
        </is>
      </c>
      <c r="K1093" s="7" t="inlineStr"/>
      <c r="L1093" s="9" t="n">
        <v>0</v>
      </c>
      <c r="M1093" s="9" t="n">
        <v>0</v>
      </c>
      <c r="N1093" s="9" t="n">
        <v>46</v>
      </c>
      <c r="O1093" s="7" t="inlineStr">
        <is>
          <t>SUM</t>
        </is>
      </c>
      <c r="P1093" s="7" t="inlineStr">
        <is>
          <t>STANDARD</t>
        </is>
      </c>
      <c r="Q1093" s="7" t="inlineStr">
        <is>
          <t>WHAP</t>
        </is>
      </c>
      <c r="R1093" s="7" t="inlineStr">
        <is>
          <t>OUI</t>
        </is>
      </c>
      <c r="S1093" s="7" t="inlineStr">
        <is>
          <t>31/08/2026 02:59</t>
        </is>
      </c>
    </row>
    <row r="1094">
      <c r="A1094" s="8" t="inlineStr">
        <is>
          <t>WHAP-1090</t>
        </is>
      </c>
      <c r="B1094" s="8" t="inlineStr">
        <is>
          <t>ECL-1090</t>
        </is>
      </c>
      <c r="C1094" s="8" t="inlineStr">
        <is>
          <t>connecteur de phare — avant gauche</t>
        </is>
      </c>
      <c r="D1094" s="8" t="inlineStr">
        <is>
          <t>Éclairage</t>
        </is>
      </c>
      <c r="E1094" s="8" t="inlineStr">
        <is>
          <t>Éclairage</t>
        </is>
      </c>
      <c r="F1094" s="8" t="inlineStr">
        <is>
          <t>PIECE_VEHICULE</t>
        </is>
      </c>
      <c r="G1094" s="8" t="inlineStr">
        <is>
          <t>unité</t>
        </is>
      </c>
      <c r="H1094" s="8" t="inlineStr">
        <is>
          <t>SMALL</t>
        </is>
      </c>
      <c r="I1094" s="8" t="n">
        <v>5</v>
      </c>
      <c r="J1094" s="8" t="inlineStr">
        <is>
          <t>D-05-02</t>
        </is>
      </c>
      <c r="K1094" s="8" t="inlineStr"/>
      <c r="L1094" s="10" t="n">
        <v>0</v>
      </c>
      <c r="M1094" s="10" t="n">
        <v>0</v>
      </c>
      <c r="N1094" s="10" t="n">
        <v>46</v>
      </c>
      <c r="O1094" s="8" t="inlineStr">
        <is>
          <t>YZK</t>
        </is>
      </c>
      <c r="P1094" s="8" t="inlineStr">
        <is>
          <t>STANDARD</t>
        </is>
      </c>
      <c r="Q1094" s="8" t="inlineStr">
        <is>
          <t>WHAP</t>
        </is>
      </c>
      <c r="R1094" s="8" t="inlineStr">
        <is>
          <t>OUI</t>
        </is>
      </c>
      <c r="S1094" s="8" t="inlineStr">
        <is>
          <t>31/08/2026 02:59</t>
        </is>
      </c>
    </row>
    <row r="1095">
      <c r="A1095" s="7" t="inlineStr">
        <is>
          <t>WHAP-1091</t>
        </is>
      </c>
      <c r="B1095" s="7" t="inlineStr">
        <is>
          <t>ECL-1091</t>
        </is>
      </c>
      <c r="C1095" s="7" t="inlineStr">
        <is>
          <t>fusible éclairage — avant gauche</t>
        </is>
      </c>
      <c r="D1095" s="7" t="inlineStr">
        <is>
          <t>Éclairage</t>
        </is>
      </c>
      <c r="E1095" s="7" t="inlineStr">
        <is>
          <t>Éclairage</t>
        </is>
      </c>
      <c r="F1095" s="7" t="inlineStr">
        <is>
          <t>PIECE_VEHICULE</t>
        </is>
      </c>
      <c r="G1095" s="7" t="inlineStr">
        <is>
          <t>unité</t>
        </is>
      </c>
      <c r="H1095" s="7" t="inlineStr">
        <is>
          <t>SMALL</t>
        </is>
      </c>
      <c r="I1095" s="7" t="n">
        <v>5</v>
      </c>
      <c r="J1095" s="7" t="inlineStr">
        <is>
          <t>B-06-01</t>
        </is>
      </c>
      <c r="K1095" s="7" t="inlineStr"/>
      <c r="L1095" s="9" t="n">
        <v>0</v>
      </c>
      <c r="M1095" s="9" t="n">
        <v>0</v>
      </c>
      <c r="N1095" s="9" t="n">
        <v>50</v>
      </c>
      <c r="O1095" s="7" t="inlineStr">
        <is>
          <t>FAU</t>
        </is>
      </c>
      <c r="P1095" s="7" t="inlineStr">
        <is>
          <t>STANDARD</t>
        </is>
      </c>
      <c r="Q1095" s="7" t="inlineStr">
        <is>
          <t>WHAP</t>
        </is>
      </c>
      <c r="R1095" s="7" t="inlineStr">
        <is>
          <t>OUI</t>
        </is>
      </c>
      <c r="S1095" s="7" t="inlineStr">
        <is>
          <t>31/08/2026 02:59</t>
        </is>
      </c>
    </row>
    <row r="1096">
      <c r="A1096" s="8" t="inlineStr">
        <is>
          <t>WHAP-1092</t>
        </is>
      </c>
      <c r="B1096" s="8" t="inlineStr">
        <is>
          <t>ECL-1092</t>
        </is>
      </c>
      <c r="C1096" s="8" t="inlineStr">
        <is>
          <t>phare avant — avant droit</t>
        </is>
      </c>
      <c r="D1096" s="8" t="inlineStr">
        <is>
          <t>Éclairage</t>
        </is>
      </c>
      <c r="E1096" s="8" t="inlineStr">
        <is>
          <t>Éclairage</t>
        </is>
      </c>
      <c r="F1096" s="8" t="inlineStr">
        <is>
          <t>PIECE_VEHICULE</t>
        </is>
      </c>
      <c r="G1096" s="8" t="inlineStr">
        <is>
          <t>unité</t>
        </is>
      </c>
      <c r="H1096" s="8" t="inlineStr">
        <is>
          <t>SMALL</t>
        </is>
      </c>
      <c r="I1096" s="8" t="n">
        <v>5</v>
      </c>
      <c r="J1096" s="8" t="inlineStr">
        <is>
          <t>F-03-02</t>
        </is>
      </c>
      <c r="K1096" s="8" t="inlineStr"/>
      <c r="L1096" s="10" t="n">
        <v>0</v>
      </c>
      <c r="M1096" s="10" t="n">
        <v>0</v>
      </c>
      <c r="N1096" s="10" t="n">
        <v>44</v>
      </c>
      <c r="O1096" s="8" t="inlineStr">
        <is>
          <t>YZK</t>
        </is>
      </c>
      <c r="P1096" s="8" t="inlineStr">
        <is>
          <t>STANDARD</t>
        </is>
      </c>
      <c r="Q1096" s="8" t="inlineStr">
        <is>
          <t>WHAP</t>
        </is>
      </c>
      <c r="R1096" s="8" t="inlineStr">
        <is>
          <t>OUI</t>
        </is>
      </c>
      <c r="S1096" s="8" t="inlineStr">
        <is>
          <t>31/08/2026 02:59</t>
        </is>
      </c>
    </row>
    <row r="1097">
      <c r="A1097" s="7" t="inlineStr">
        <is>
          <t>WHAP-1093</t>
        </is>
      </c>
      <c r="B1097" s="7" t="inlineStr">
        <is>
          <t>ECL-1093</t>
        </is>
      </c>
      <c r="C1097" s="7" t="inlineStr">
        <is>
          <t>projecteur LED — avant droit</t>
        </is>
      </c>
      <c r="D1097" s="7" t="inlineStr">
        <is>
          <t>Éclairage</t>
        </is>
      </c>
      <c r="E1097" s="7" t="inlineStr">
        <is>
          <t>Éclairage</t>
        </is>
      </c>
      <c r="F1097" s="7" t="inlineStr">
        <is>
          <t>PIECE_VEHICULE</t>
        </is>
      </c>
      <c r="G1097" s="7" t="inlineStr">
        <is>
          <t>unité</t>
        </is>
      </c>
      <c r="H1097" s="7" t="inlineStr">
        <is>
          <t>SMALL</t>
        </is>
      </c>
      <c r="I1097" s="7" t="n">
        <v>5</v>
      </c>
      <c r="J1097" s="7" t="inlineStr">
        <is>
          <t>E-02-03</t>
        </is>
      </c>
      <c r="K1097" s="7" t="inlineStr"/>
      <c r="L1097" s="9" t="n">
        <v>0</v>
      </c>
      <c r="M1097" s="9" t="n">
        <v>0</v>
      </c>
      <c r="N1097" s="9" t="n">
        <v>47</v>
      </c>
      <c r="O1097" s="7" t="inlineStr">
        <is>
          <t>BOS</t>
        </is>
      </c>
      <c r="P1097" s="7" t="inlineStr">
        <is>
          <t>STANDARD</t>
        </is>
      </c>
      <c r="Q1097" s="7" t="inlineStr">
        <is>
          <t>WHAP</t>
        </is>
      </c>
      <c r="R1097" s="7" t="inlineStr">
        <is>
          <t>OUI</t>
        </is>
      </c>
      <c r="S1097" s="7" t="inlineStr">
        <is>
          <t>31/08/2026 02:59</t>
        </is>
      </c>
    </row>
    <row r="1098">
      <c r="A1098" s="8" t="inlineStr">
        <is>
          <t>WHAP-1094</t>
        </is>
      </c>
      <c r="B1098" s="8" t="inlineStr">
        <is>
          <t>ECL-1094</t>
        </is>
      </c>
      <c r="C1098" s="8" t="inlineStr">
        <is>
          <t>feu de position — avant droit</t>
        </is>
      </c>
      <c r="D1098" s="8" t="inlineStr">
        <is>
          <t>Éclairage</t>
        </is>
      </c>
      <c r="E1098" s="8" t="inlineStr">
        <is>
          <t>Éclairage</t>
        </is>
      </c>
      <c r="F1098" s="8" t="inlineStr">
        <is>
          <t>PIECE_VEHICULE</t>
        </is>
      </c>
      <c r="G1098" s="8" t="inlineStr">
        <is>
          <t>unité</t>
        </is>
      </c>
      <c r="H1098" s="8" t="inlineStr">
        <is>
          <t>SMALL</t>
        </is>
      </c>
      <c r="I1098" s="8" t="n">
        <v>5</v>
      </c>
      <c r="J1098" s="8" t="inlineStr">
        <is>
          <t>F-02-04</t>
        </is>
      </c>
      <c r="K1098" s="8" t="inlineStr"/>
      <c r="L1098" s="10" t="n">
        <v>0</v>
      </c>
      <c r="M1098" s="10" t="n">
        <v>0</v>
      </c>
      <c r="N1098" s="10" t="n">
        <v>40</v>
      </c>
      <c r="O1098" s="8" t="inlineStr">
        <is>
          <t>SKF</t>
        </is>
      </c>
      <c r="P1098" s="8" t="inlineStr">
        <is>
          <t>STANDARD</t>
        </is>
      </c>
      <c r="Q1098" s="8" t="inlineStr">
        <is>
          <t>WHAP</t>
        </is>
      </c>
      <c r="R1098" s="8" t="inlineStr">
        <is>
          <t>OUI</t>
        </is>
      </c>
      <c r="S1098" s="8" t="inlineStr">
        <is>
          <t>31/08/2026 02:59</t>
        </is>
      </c>
    </row>
    <row r="1099">
      <c r="A1099" s="7" t="inlineStr">
        <is>
          <t>WHAP-1095</t>
        </is>
      </c>
      <c r="B1099" s="7" t="inlineStr">
        <is>
          <t>ECL-1095</t>
        </is>
      </c>
      <c r="C1099" s="7" t="inlineStr">
        <is>
          <t>feu arrière — avant droit</t>
        </is>
      </c>
      <c r="D1099" s="7" t="inlineStr">
        <is>
          <t>Éclairage</t>
        </is>
      </c>
      <c r="E1099" s="7" t="inlineStr">
        <is>
          <t>Éclairage</t>
        </is>
      </c>
      <c r="F1099" s="7" t="inlineStr">
        <is>
          <t>PIECE_VEHICULE</t>
        </is>
      </c>
      <c r="G1099" s="7" t="inlineStr">
        <is>
          <t>unité</t>
        </is>
      </c>
      <c r="H1099" s="7" t="inlineStr">
        <is>
          <t>SMALL</t>
        </is>
      </c>
      <c r="I1099" s="7" t="n">
        <v>5</v>
      </c>
      <c r="J1099" s="7" t="inlineStr">
        <is>
          <t>B-03-03</t>
        </is>
      </c>
      <c r="K1099" s="7" t="inlineStr"/>
      <c r="L1099" s="9" t="n">
        <v>0</v>
      </c>
      <c r="M1099" s="9" t="n">
        <v>0</v>
      </c>
      <c r="N1099" s="9" t="n">
        <v>45</v>
      </c>
      <c r="O1099" s="7" t="inlineStr">
        <is>
          <t>YZK</t>
        </is>
      </c>
      <c r="P1099" s="7" t="inlineStr">
        <is>
          <t>STANDARD</t>
        </is>
      </c>
      <c r="Q1099" s="7" t="inlineStr">
        <is>
          <t>WHAP</t>
        </is>
      </c>
      <c r="R1099" s="7" t="inlineStr">
        <is>
          <t>OUI</t>
        </is>
      </c>
      <c r="S1099" s="7" t="inlineStr">
        <is>
          <t>31/08/2026 02:59</t>
        </is>
      </c>
    </row>
    <row r="1100">
      <c r="A1100" s="8" t="inlineStr">
        <is>
          <t>WHAP-1096</t>
        </is>
      </c>
      <c r="B1100" s="8" t="inlineStr">
        <is>
          <t>ECL-1096</t>
        </is>
      </c>
      <c r="C1100" s="8" t="inlineStr">
        <is>
          <t>feu stop — avant droit</t>
        </is>
      </c>
      <c r="D1100" s="8" t="inlineStr">
        <is>
          <t>Éclairage</t>
        </is>
      </c>
      <c r="E1100" s="8" t="inlineStr">
        <is>
          <t>Éclairage</t>
        </is>
      </c>
      <c r="F1100" s="8" t="inlineStr">
        <is>
          <t>PIECE_VEHICULE</t>
        </is>
      </c>
      <c r="G1100" s="8" t="inlineStr">
        <is>
          <t>unité</t>
        </is>
      </c>
      <c r="H1100" s="8" t="inlineStr">
        <is>
          <t>SMALL</t>
        </is>
      </c>
      <c r="I1100" s="8" t="n">
        <v>5</v>
      </c>
      <c r="J1100" s="8" t="inlineStr">
        <is>
          <t>B-06-04</t>
        </is>
      </c>
      <c r="K1100" s="8" t="inlineStr"/>
      <c r="L1100" s="10" t="n">
        <v>0</v>
      </c>
      <c r="M1100" s="10" t="n">
        <v>0</v>
      </c>
      <c r="N1100" s="10" t="n">
        <v>41</v>
      </c>
      <c r="O1100" s="8" t="inlineStr">
        <is>
          <t>VAL</t>
        </is>
      </c>
      <c r="P1100" s="8" t="inlineStr">
        <is>
          <t>STANDARD</t>
        </is>
      </c>
      <c r="Q1100" s="8" t="inlineStr">
        <is>
          <t>WHAP</t>
        </is>
      </c>
      <c r="R1100" s="8" t="inlineStr">
        <is>
          <t>OUI</t>
        </is>
      </c>
      <c r="S1100" s="8" t="inlineStr">
        <is>
          <t>31/08/2026 02:59</t>
        </is>
      </c>
    </row>
    <row r="1101">
      <c r="A1101" s="7" t="inlineStr">
        <is>
          <t>WHAP-1097</t>
        </is>
      </c>
      <c r="B1101" s="7" t="inlineStr">
        <is>
          <t>ECL-1097</t>
        </is>
      </c>
      <c r="C1101" s="7" t="inlineStr">
        <is>
          <t>clignotant — avant droit</t>
        </is>
      </c>
      <c r="D1101" s="7" t="inlineStr">
        <is>
          <t>Éclairage</t>
        </is>
      </c>
      <c r="E1101" s="7" t="inlineStr">
        <is>
          <t>Éclairage</t>
        </is>
      </c>
      <c r="F1101" s="7" t="inlineStr">
        <is>
          <t>PIECE_VEHICULE</t>
        </is>
      </c>
      <c r="G1101" s="7" t="inlineStr">
        <is>
          <t>unité</t>
        </is>
      </c>
      <c r="H1101" s="7" t="inlineStr">
        <is>
          <t>SMALL</t>
        </is>
      </c>
      <c r="I1101" s="7" t="n">
        <v>5</v>
      </c>
      <c r="J1101" s="7" t="inlineStr">
        <is>
          <t>D-06-01</t>
        </is>
      </c>
      <c r="K1101" s="7" t="inlineStr"/>
      <c r="L1101" s="9" t="n">
        <v>0</v>
      </c>
      <c r="M1101" s="9" t="n">
        <v>0</v>
      </c>
      <c r="N1101" s="9" t="n">
        <v>50</v>
      </c>
      <c r="O1101" s="7" t="inlineStr">
        <is>
          <t>FAU</t>
        </is>
      </c>
      <c r="P1101" s="7" t="inlineStr">
        <is>
          <t>STANDARD</t>
        </is>
      </c>
      <c r="Q1101" s="7" t="inlineStr">
        <is>
          <t>WHAP</t>
        </is>
      </c>
      <c r="R1101" s="7" t="inlineStr">
        <is>
          <t>OUI</t>
        </is>
      </c>
      <c r="S1101" s="7" t="inlineStr">
        <is>
          <t>31/08/2026 02:59</t>
        </is>
      </c>
    </row>
    <row r="1102">
      <c r="A1102" s="8" t="inlineStr">
        <is>
          <t>WHAP-1098</t>
        </is>
      </c>
      <c r="B1102" s="8" t="inlineStr">
        <is>
          <t>ECL-1098</t>
        </is>
      </c>
      <c r="C1102" s="8" t="inlineStr">
        <is>
          <t>feu de recul — avant droit</t>
        </is>
      </c>
      <c r="D1102" s="8" t="inlineStr">
        <is>
          <t>Éclairage</t>
        </is>
      </c>
      <c r="E1102" s="8" t="inlineStr">
        <is>
          <t>Éclairage</t>
        </is>
      </c>
      <c r="F1102" s="8" t="inlineStr">
        <is>
          <t>PIECE_VEHICULE</t>
        </is>
      </c>
      <c r="G1102" s="8" t="inlineStr">
        <is>
          <t>unité</t>
        </is>
      </c>
      <c r="H1102" s="8" t="inlineStr">
        <is>
          <t>SMALL</t>
        </is>
      </c>
      <c r="I1102" s="8" t="n">
        <v>5</v>
      </c>
      <c r="J1102" s="8" t="inlineStr">
        <is>
          <t>A-05-01</t>
        </is>
      </c>
      <c r="K1102" s="8" t="inlineStr"/>
      <c r="L1102" s="10" t="n">
        <v>0</v>
      </c>
      <c r="M1102" s="10" t="n">
        <v>0</v>
      </c>
      <c r="N1102" s="10" t="n">
        <v>50</v>
      </c>
      <c r="O1102" s="8" t="inlineStr">
        <is>
          <t>HEL</t>
        </is>
      </c>
      <c r="P1102" s="8" t="inlineStr">
        <is>
          <t>STANDARD</t>
        </is>
      </c>
      <c r="Q1102" s="8" t="inlineStr">
        <is>
          <t>WHAP</t>
        </is>
      </c>
      <c r="R1102" s="8" t="inlineStr">
        <is>
          <t>OUI</t>
        </is>
      </c>
      <c r="S1102" s="8" t="inlineStr">
        <is>
          <t>31/08/2026 02:59</t>
        </is>
      </c>
    </row>
    <row r="1103">
      <c r="A1103" s="7" t="inlineStr">
        <is>
          <t>WHAP-1099</t>
        </is>
      </c>
      <c r="B1103" s="7" t="inlineStr">
        <is>
          <t>ECL-1099</t>
        </is>
      </c>
      <c r="C1103" s="7" t="inlineStr">
        <is>
          <t>feu antibrouillard — avant droit</t>
        </is>
      </c>
      <c r="D1103" s="7" t="inlineStr">
        <is>
          <t>Éclairage</t>
        </is>
      </c>
      <c r="E1103" s="7" t="inlineStr">
        <is>
          <t>Éclairage</t>
        </is>
      </c>
      <c r="F1103" s="7" t="inlineStr">
        <is>
          <t>PIECE_VEHICULE</t>
        </is>
      </c>
      <c r="G1103" s="7" t="inlineStr">
        <is>
          <t>unité</t>
        </is>
      </c>
      <c r="H1103" s="7" t="inlineStr">
        <is>
          <t>SMALL</t>
        </is>
      </c>
      <c r="I1103" s="7" t="n">
        <v>5</v>
      </c>
      <c r="J1103" s="7" t="inlineStr">
        <is>
          <t>D-03-02</t>
        </is>
      </c>
      <c r="K1103" s="7" t="inlineStr"/>
      <c r="L1103" s="9" t="n">
        <v>0</v>
      </c>
      <c r="M1103" s="9" t="n">
        <v>0</v>
      </c>
      <c r="N1103" s="9" t="n">
        <v>46</v>
      </c>
      <c r="O1103" s="7" t="inlineStr">
        <is>
          <t>CTL</t>
        </is>
      </c>
      <c r="P1103" s="7" t="inlineStr">
        <is>
          <t>STANDARD</t>
        </is>
      </c>
      <c r="Q1103" s="7" t="inlineStr">
        <is>
          <t>WHAP</t>
        </is>
      </c>
      <c r="R1103" s="7" t="inlineStr">
        <is>
          <t>OUI</t>
        </is>
      </c>
      <c r="S1103" s="7" t="inlineStr">
        <is>
          <t>31/08/2026 02:59</t>
        </is>
      </c>
    </row>
    <row r="1104">
      <c r="A1104" s="8" t="inlineStr">
        <is>
          <t>WHAP-1100</t>
        </is>
      </c>
      <c r="B1104" s="8" t="inlineStr">
        <is>
          <t>ECL-1100</t>
        </is>
      </c>
      <c r="C1104" s="8" t="inlineStr">
        <is>
          <t>éclairage intérieur — avant droit</t>
        </is>
      </c>
      <c r="D1104" s="8" t="inlineStr">
        <is>
          <t>Éclairage</t>
        </is>
      </c>
      <c r="E1104" s="8" t="inlineStr">
        <is>
          <t>Éclairage</t>
        </is>
      </c>
      <c r="F1104" s="8" t="inlineStr">
        <is>
          <t>PIECE_VEHICULE</t>
        </is>
      </c>
      <c r="G1104" s="8" t="inlineStr">
        <is>
          <t>unité</t>
        </is>
      </c>
      <c r="H1104" s="8" t="inlineStr">
        <is>
          <t>SMALL</t>
        </is>
      </c>
      <c r="I1104" s="8" t="n">
        <v>5</v>
      </c>
      <c r="J1104" s="8" t="inlineStr">
        <is>
          <t>E-05-01</t>
        </is>
      </c>
      <c r="K1104" s="8" t="inlineStr"/>
      <c r="L1104" s="10" t="n">
        <v>0</v>
      </c>
      <c r="M1104" s="10" t="n">
        <v>0</v>
      </c>
      <c r="N1104" s="10" t="n">
        <v>42</v>
      </c>
      <c r="O1104" s="8" t="inlineStr">
        <is>
          <t>BOS</t>
        </is>
      </c>
      <c r="P1104" s="8" t="inlineStr">
        <is>
          <t>STANDARD</t>
        </is>
      </c>
      <c r="Q1104" s="8" t="inlineStr">
        <is>
          <t>WHAP</t>
        </is>
      </c>
      <c r="R1104" s="8" t="inlineStr">
        <is>
          <t>OUI</t>
        </is>
      </c>
      <c r="S1104" s="8" t="inlineStr">
        <is>
          <t>31/08/2026 02:59</t>
        </is>
      </c>
    </row>
    <row r="1105">
      <c r="A1105" s="7" t="inlineStr">
        <is>
          <t>WHAP-1101</t>
        </is>
      </c>
      <c r="B1105" s="7" t="inlineStr">
        <is>
          <t>ECL-1101</t>
        </is>
      </c>
      <c r="C1105" s="7" t="inlineStr">
        <is>
          <t>éclairage compartiment moteur — avant droit</t>
        </is>
      </c>
      <c r="D1105" s="7" t="inlineStr">
        <is>
          <t>Éclairage</t>
        </is>
      </c>
      <c r="E1105" s="7" t="inlineStr">
        <is>
          <t>Éclairage</t>
        </is>
      </c>
      <c r="F1105" s="7" t="inlineStr">
        <is>
          <t>PIECE_VEHICULE</t>
        </is>
      </c>
      <c r="G1105" s="7" t="inlineStr">
        <is>
          <t>unité</t>
        </is>
      </c>
      <c r="H1105" s="7" t="inlineStr">
        <is>
          <t>SMALL</t>
        </is>
      </c>
      <c r="I1105" s="7" t="n">
        <v>5</v>
      </c>
      <c r="J1105" s="7" t="inlineStr">
        <is>
          <t>D-03-04</t>
        </is>
      </c>
      <c r="K1105" s="7" t="inlineStr"/>
      <c r="L1105" s="9" t="n">
        <v>0</v>
      </c>
      <c r="M1105" s="9" t="n">
        <v>0</v>
      </c>
      <c r="N1105" s="9" t="n">
        <v>50</v>
      </c>
      <c r="O1105" s="7" t="inlineStr">
        <is>
          <t>FAU</t>
        </is>
      </c>
      <c r="P1105" s="7" t="inlineStr">
        <is>
          <t>STANDARD</t>
        </is>
      </c>
      <c r="Q1105" s="7" t="inlineStr">
        <is>
          <t>WHAP</t>
        </is>
      </c>
      <c r="R1105" s="7" t="inlineStr">
        <is>
          <t>OUI</t>
        </is>
      </c>
      <c r="S1105" s="7" t="inlineStr">
        <is>
          <t>31/08/2026 02:59</t>
        </is>
      </c>
    </row>
    <row r="1106">
      <c r="A1106" s="8" t="inlineStr">
        <is>
          <t>WHAP-1102</t>
        </is>
      </c>
      <c r="B1106" s="8" t="inlineStr">
        <is>
          <t>ECL-1102</t>
        </is>
      </c>
      <c r="C1106" s="8" t="inlineStr">
        <is>
          <t>éclairage poste de conduite — avant droit</t>
        </is>
      </c>
      <c r="D1106" s="8" t="inlineStr">
        <is>
          <t>Éclairage</t>
        </is>
      </c>
      <c r="E1106" s="8" t="inlineStr">
        <is>
          <t>Éclairage</t>
        </is>
      </c>
      <c r="F1106" s="8" t="inlineStr">
        <is>
          <t>PIECE_VEHICULE</t>
        </is>
      </c>
      <c r="G1106" s="8" t="inlineStr">
        <is>
          <t>unité</t>
        </is>
      </c>
      <c r="H1106" s="8" t="inlineStr">
        <is>
          <t>SMALL</t>
        </is>
      </c>
      <c r="I1106" s="8" t="n">
        <v>5</v>
      </c>
      <c r="J1106" s="8" t="inlineStr">
        <is>
          <t>C-03-01</t>
        </is>
      </c>
      <c r="K1106" s="8" t="inlineStr"/>
      <c r="L1106" s="10" t="n">
        <v>0</v>
      </c>
      <c r="M1106" s="10" t="n">
        <v>0</v>
      </c>
      <c r="N1106" s="10" t="n">
        <v>41</v>
      </c>
      <c r="O1106" s="8" t="inlineStr">
        <is>
          <t>HEL</t>
        </is>
      </c>
      <c r="P1106" s="8" t="inlineStr">
        <is>
          <t>STANDARD</t>
        </is>
      </c>
      <c r="Q1106" s="8" t="inlineStr">
        <is>
          <t>WHAP</t>
        </is>
      </c>
      <c r="R1106" s="8" t="inlineStr">
        <is>
          <t>OUI</t>
        </is>
      </c>
      <c r="S1106" s="8" t="inlineStr">
        <is>
          <t>31/08/2026 02:59</t>
        </is>
      </c>
    </row>
    <row r="1107">
      <c r="A1107" s="7" t="inlineStr">
        <is>
          <t>WHAP-1103</t>
        </is>
      </c>
      <c r="B1107" s="7" t="inlineStr">
        <is>
          <t>ECL-1103</t>
        </is>
      </c>
      <c r="C1107" s="7" t="inlineStr">
        <is>
          <t>gyrophare — avant droit</t>
        </is>
      </c>
      <c r="D1107" s="7" t="inlineStr">
        <is>
          <t>Éclairage</t>
        </is>
      </c>
      <c r="E1107" s="7" t="inlineStr">
        <is>
          <t>Éclairage</t>
        </is>
      </c>
      <c r="F1107" s="7" t="inlineStr">
        <is>
          <t>PIECE_VEHICULE</t>
        </is>
      </c>
      <c r="G1107" s="7" t="inlineStr">
        <is>
          <t>unité</t>
        </is>
      </c>
      <c r="H1107" s="7" t="inlineStr">
        <is>
          <t>SMALL</t>
        </is>
      </c>
      <c r="I1107" s="7" t="n">
        <v>5</v>
      </c>
      <c r="J1107" s="7" t="inlineStr">
        <is>
          <t>A-03-01</t>
        </is>
      </c>
      <c r="K1107" s="7" t="inlineStr"/>
      <c r="L1107" s="9" t="n">
        <v>0</v>
      </c>
      <c r="M1107" s="9" t="n">
        <v>0</v>
      </c>
      <c r="N1107" s="9" t="n">
        <v>49</v>
      </c>
      <c r="O1107" s="7" t="inlineStr">
        <is>
          <t>MAG</t>
        </is>
      </c>
      <c r="P1107" s="7" t="inlineStr">
        <is>
          <t>STANDARD</t>
        </is>
      </c>
      <c r="Q1107" s="7" t="inlineStr">
        <is>
          <t>WHAP</t>
        </is>
      </c>
      <c r="R1107" s="7" t="inlineStr">
        <is>
          <t>OUI</t>
        </is>
      </c>
      <c r="S1107" s="7" t="inlineStr">
        <is>
          <t>31/08/2026 02:59</t>
        </is>
      </c>
    </row>
    <row r="1108">
      <c r="A1108" s="8" t="inlineStr">
        <is>
          <t>WHAP-1104</t>
        </is>
      </c>
      <c r="B1108" s="8" t="inlineStr">
        <is>
          <t>ECL-1104</t>
        </is>
      </c>
      <c r="C1108" s="8" t="inlineStr">
        <is>
          <t>lampe de lecture — avant droit</t>
        </is>
      </c>
      <c r="D1108" s="8" t="inlineStr">
        <is>
          <t>Éclairage</t>
        </is>
      </c>
      <c r="E1108" s="8" t="inlineStr">
        <is>
          <t>Éclairage</t>
        </is>
      </c>
      <c r="F1108" s="8" t="inlineStr">
        <is>
          <t>PIECE_VEHICULE</t>
        </is>
      </c>
      <c r="G1108" s="8" t="inlineStr">
        <is>
          <t>unité</t>
        </is>
      </c>
      <c r="H1108" s="8" t="inlineStr">
        <is>
          <t>SMALL</t>
        </is>
      </c>
      <c r="I1108" s="8" t="n">
        <v>5</v>
      </c>
      <c r="J1108" s="8" t="inlineStr">
        <is>
          <t>B-03-03</t>
        </is>
      </c>
      <c r="K1108" s="8" t="inlineStr"/>
      <c r="L1108" s="10" t="n">
        <v>0</v>
      </c>
      <c r="M1108" s="10" t="n">
        <v>0</v>
      </c>
      <c r="N1108" s="10" t="n">
        <v>45</v>
      </c>
      <c r="O1108" s="8" t="inlineStr">
        <is>
          <t>YZK</t>
        </is>
      </c>
      <c r="P1108" s="8" t="inlineStr">
        <is>
          <t>STANDARD</t>
        </is>
      </c>
      <c r="Q1108" s="8" t="inlineStr">
        <is>
          <t>WHAP</t>
        </is>
      </c>
      <c r="R1108" s="8" t="inlineStr">
        <is>
          <t>OUI</t>
        </is>
      </c>
      <c r="S1108" s="8" t="inlineStr">
        <is>
          <t>31/08/2026 02:59</t>
        </is>
      </c>
    </row>
    <row r="1109">
      <c r="A1109" s="7" t="inlineStr">
        <is>
          <t>WHAP-1105</t>
        </is>
      </c>
      <c r="B1109" s="7" t="inlineStr">
        <is>
          <t>ECL-1105</t>
        </is>
      </c>
      <c r="C1109" s="7" t="inlineStr">
        <is>
          <t>projecteur de recherche — avant droit</t>
        </is>
      </c>
      <c r="D1109" s="7" t="inlineStr">
        <is>
          <t>Éclairage</t>
        </is>
      </c>
      <c r="E1109" s="7" t="inlineStr">
        <is>
          <t>Éclairage</t>
        </is>
      </c>
      <c r="F1109" s="7" t="inlineStr">
        <is>
          <t>PIECE_VEHICULE</t>
        </is>
      </c>
      <c r="G1109" s="7" t="inlineStr">
        <is>
          <t>unité</t>
        </is>
      </c>
      <c r="H1109" s="7" t="inlineStr">
        <is>
          <t>SMALL</t>
        </is>
      </c>
      <c r="I1109" s="7" t="n">
        <v>5</v>
      </c>
      <c r="J1109" s="7" t="inlineStr">
        <is>
          <t>F-01-01</t>
        </is>
      </c>
      <c r="K1109" s="7" t="inlineStr"/>
      <c r="L1109" s="9" t="n">
        <v>0</v>
      </c>
      <c r="M1109" s="9" t="n">
        <v>0</v>
      </c>
      <c r="N1109" s="9" t="n">
        <v>50</v>
      </c>
      <c r="O1109" s="7" t="inlineStr">
        <is>
          <t>YZK</t>
        </is>
      </c>
      <c r="P1109" s="7" t="inlineStr">
        <is>
          <t>STANDARD</t>
        </is>
      </c>
      <c r="Q1109" s="7" t="inlineStr">
        <is>
          <t>WHAP</t>
        </is>
      </c>
      <c r="R1109" s="7" t="inlineStr">
        <is>
          <t>OUI</t>
        </is>
      </c>
      <c r="S1109" s="7" t="inlineStr">
        <is>
          <t>31/08/2026 02:59</t>
        </is>
      </c>
    </row>
    <row r="1110">
      <c r="A1110" s="8" t="inlineStr">
        <is>
          <t>WHAP-1106</t>
        </is>
      </c>
      <c r="B1110" s="8" t="inlineStr">
        <is>
          <t>ECL-1106</t>
        </is>
      </c>
      <c r="C1110" s="8" t="inlineStr">
        <is>
          <t>module LED — avant droit</t>
        </is>
      </c>
      <c r="D1110" s="8" t="inlineStr">
        <is>
          <t>Éclairage</t>
        </is>
      </c>
      <c r="E1110" s="8" t="inlineStr">
        <is>
          <t>Éclairage</t>
        </is>
      </c>
      <c r="F1110" s="8" t="inlineStr">
        <is>
          <t>PIECE_VEHICULE</t>
        </is>
      </c>
      <c r="G1110" s="8" t="inlineStr">
        <is>
          <t>unité</t>
        </is>
      </c>
      <c r="H1110" s="8" t="inlineStr">
        <is>
          <t>SMALL</t>
        </is>
      </c>
      <c r="I1110" s="8" t="n">
        <v>5</v>
      </c>
      <c r="J1110" s="8" t="inlineStr">
        <is>
          <t>C-04-03</t>
        </is>
      </c>
      <c r="K1110" s="8" t="inlineStr"/>
      <c r="L1110" s="10" t="n">
        <v>0</v>
      </c>
      <c r="M1110" s="10" t="n">
        <v>0</v>
      </c>
      <c r="N1110" s="10" t="n">
        <v>43</v>
      </c>
      <c r="O1110" s="8" t="inlineStr">
        <is>
          <t>HEL</t>
        </is>
      </c>
      <c r="P1110" s="8" t="inlineStr">
        <is>
          <t>STANDARD</t>
        </is>
      </c>
      <c r="Q1110" s="8" t="inlineStr">
        <is>
          <t>WHAP</t>
        </is>
      </c>
      <c r="R1110" s="8" t="inlineStr">
        <is>
          <t>OUI</t>
        </is>
      </c>
      <c r="S1110" s="8" t="inlineStr">
        <is>
          <t>31/08/2026 02:59</t>
        </is>
      </c>
    </row>
    <row r="1111">
      <c r="A1111" s="7" t="inlineStr">
        <is>
          <t>WHAP-1107</t>
        </is>
      </c>
      <c r="B1111" s="7" t="inlineStr">
        <is>
          <t>ECL-1107</t>
        </is>
      </c>
      <c r="C1111" s="7" t="inlineStr">
        <is>
          <t>lentille — avant droit</t>
        </is>
      </c>
      <c r="D1111" s="7" t="inlineStr">
        <is>
          <t>Éclairage</t>
        </is>
      </c>
      <c r="E1111" s="7" t="inlineStr">
        <is>
          <t>Éclairage</t>
        </is>
      </c>
      <c r="F1111" s="7" t="inlineStr">
        <is>
          <t>PIECE_VEHICULE</t>
        </is>
      </c>
      <c r="G1111" s="7" t="inlineStr">
        <is>
          <t>unité</t>
        </is>
      </c>
      <c r="H1111" s="7" t="inlineStr">
        <is>
          <t>SMALL</t>
        </is>
      </c>
      <c r="I1111" s="7" t="n">
        <v>5</v>
      </c>
      <c r="J1111" s="7" t="inlineStr">
        <is>
          <t>F-01-03</t>
        </is>
      </c>
      <c r="K1111" s="7" t="inlineStr"/>
      <c r="L1111" s="9" t="n">
        <v>0</v>
      </c>
      <c r="M1111" s="9" t="n">
        <v>0</v>
      </c>
      <c r="N1111" s="9" t="n">
        <v>47</v>
      </c>
      <c r="O1111" s="7" t="inlineStr">
        <is>
          <t>YZK</t>
        </is>
      </c>
      <c r="P1111" s="7" t="inlineStr">
        <is>
          <t>STANDARD</t>
        </is>
      </c>
      <c r="Q1111" s="7" t="inlineStr">
        <is>
          <t>WHAP</t>
        </is>
      </c>
      <c r="R1111" s="7" t="inlineStr">
        <is>
          <t>OUI</t>
        </is>
      </c>
      <c r="S1111" s="7" t="inlineStr">
        <is>
          <t>31/08/2026 02:59</t>
        </is>
      </c>
    </row>
    <row r="1112">
      <c r="A1112" s="8" t="inlineStr">
        <is>
          <t>WHAP-1108</t>
        </is>
      </c>
      <c r="B1112" s="8" t="inlineStr">
        <is>
          <t>ECL-1108</t>
        </is>
      </c>
      <c r="C1112" s="8" t="inlineStr">
        <is>
          <t>réflecteur — avant droit</t>
        </is>
      </c>
      <c r="D1112" s="8" t="inlineStr">
        <is>
          <t>Éclairage</t>
        </is>
      </c>
      <c r="E1112" s="8" t="inlineStr">
        <is>
          <t>Éclairage</t>
        </is>
      </c>
      <c r="F1112" s="8" t="inlineStr">
        <is>
          <t>PIECE_VEHICULE</t>
        </is>
      </c>
      <c r="G1112" s="8" t="inlineStr">
        <is>
          <t>unité</t>
        </is>
      </c>
      <c r="H1112" s="8" t="inlineStr">
        <is>
          <t>SMALL</t>
        </is>
      </c>
      <c r="I1112" s="8" t="n">
        <v>5</v>
      </c>
      <c r="J1112" s="8" t="inlineStr">
        <is>
          <t>C-03-04</t>
        </is>
      </c>
      <c r="K1112" s="8" t="inlineStr"/>
      <c r="L1112" s="10" t="n">
        <v>0</v>
      </c>
      <c r="M1112" s="10" t="n">
        <v>0</v>
      </c>
      <c r="N1112" s="10" t="n">
        <v>40</v>
      </c>
      <c r="O1112" s="8" t="inlineStr">
        <is>
          <t>MAG</t>
        </is>
      </c>
      <c r="P1112" s="8" t="inlineStr">
        <is>
          <t>STANDARD</t>
        </is>
      </c>
      <c r="Q1112" s="8" t="inlineStr">
        <is>
          <t>WHAP</t>
        </is>
      </c>
      <c r="R1112" s="8" t="inlineStr">
        <is>
          <t>OUI</t>
        </is>
      </c>
      <c r="S1112" s="8" t="inlineStr">
        <is>
          <t>31/08/2026 02:59</t>
        </is>
      </c>
    </row>
    <row r="1113">
      <c r="A1113" s="7" t="inlineStr">
        <is>
          <t>WHAP-1109</t>
        </is>
      </c>
      <c r="B1113" s="7" t="inlineStr">
        <is>
          <t>ECL-1109</t>
        </is>
      </c>
      <c r="C1113" s="7" t="inlineStr">
        <is>
          <t>support de phare — avant droit</t>
        </is>
      </c>
      <c r="D1113" s="7" t="inlineStr">
        <is>
          <t>Éclairage</t>
        </is>
      </c>
      <c r="E1113" s="7" t="inlineStr">
        <is>
          <t>Éclairage</t>
        </is>
      </c>
      <c r="F1113" s="7" t="inlineStr">
        <is>
          <t>PIECE_VEHICULE</t>
        </is>
      </c>
      <c r="G1113" s="7" t="inlineStr">
        <is>
          <t>unité</t>
        </is>
      </c>
      <c r="H1113" s="7" t="inlineStr">
        <is>
          <t>SMALL</t>
        </is>
      </c>
      <c r="I1113" s="7" t="n">
        <v>5</v>
      </c>
      <c r="J1113" s="7" t="inlineStr">
        <is>
          <t>D-02-02</t>
        </is>
      </c>
      <c r="K1113" s="7" t="inlineStr"/>
      <c r="L1113" s="9" t="n">
        <v>0</v>
      </c>
      <c r="M1113" s="9" t="n">
        <v>0</v>
      </c>
      <c r="N1113" s="9" t="n">
        <v>44</v>
      </c>
      <c r="O1113" s="7" t="inlineStr">
        <is>
          <t>SKF</t>
        </is>
      </c>
      <c r="P1113" s="7" t="inlineStr">
        <is>
          <t>STANDARD</t>
        </is>
      </c>
      <c r="Q1113" s="7" t="inlineStr">
        <is>
          <t>WHAP</t>
        </is>
      </c>
      <c r="R1113" s="7" t="inlineStr">
        <is>
          <t>OUI</t>
        </is>
      </c>
      <c r="S1113" s="7" t="inlineStr">
        <is>
          <t>31/08/2026 02:59</t>
        </is>
      </c>
    </row>
    <row r="1114">
      <c r="A1114" s="8" t="inlineStr">
        <is>
          <t>WHAP-1110</t>
        </is>
      </c>
      <c r="B1114" s="8" t="inlineStr">
        <is>
          <t>ECL-1110</t>
        </is>
      </c>
      <c r="C1114" s="8" t="inlineStr">
        <is>
          <t>interrupteur éclairage — avant droit</t>
        </is>
      </c>
      <c r="D1114" s="8" t="inlineStr">
        <is>
          <t>Éclairage</t>
        </is>
      </c>
      <c r="E1114" s="8" t="inlineStr">
        <is>
          <t>Éclairage</t>
        </is>
      </c>
      <c r="F1114" s="8" t="inlineStr">
        <is>
          <t>PIECE_VEHICULE</t>
        </is>
      </c>
      <c r="G1114" s="8" t="inlineStr">
        <is>
          <t>unité</t>
        </is>
      </c>
      <c r="H1114" s="8" t="inlineStr">
        <is>
          <t>SMALL</t>
        </is>
      </c>
      <c r="I1114" s="8" t="n">
        <v>5</v>
      </c>
      <c r="J1114" s="8" t="inlineStr">
        <is>
          <t>B-06-02</t>
        </is>
      </c>
      <c r="K1114" s="8" t="inlineStr"/>
      <c r="L1114" s="10" t="n">
        <v>0</v>
      </c>
      <c r="M1114" s="10" t="n">
        <v>0</v>
      </c>
      <c r="N1114" s="10" t="n">
        <v>50</v>
      </c>
      <c r="O1114" s="8" t="inlineStr">
        <is>
          <t>FAU</t>
        </is>
      </c>
      <c r="P1114" s="8" t="inlineStr">
        <is>
          <t>STANDARD</t>
        </is>
      </c>
      <c r="Q1114" s="8" t="inlineStr">
        <is>
          <t>WHAP</t>
        </is>
      </c>
      <c r="R1114" s="8" t="inlineStr">
        <is>
          <t>OUI</t>
        </is>
      </c>
      <c r="S1114" s="8" t="inlineStr">
        <is>
          <t>31/08/2026 02:59</t>
        </is>
      </c>
    </row>
    <row r="1115">
      <c r="A1115" s="7" t="inlineStr">
        <is>
          <t>WHAP-1111</t>
        </is>
      </c>
      <c r="B1115" s="7" t="inlineStr">
        <is>
          <t>ECL-1111</t>
        </is>
      </c>
      <c r="C1115" s="7" t="inlineStr">
        <is>
          <t>faisceau éclairage — avant droit</t>
        </is>
      </c>
      <c r="D1115" s="7" t="inlineStr">
        <is>
          <t>Éclairage</t>
        </is>
      </c>
      <c r="E1115" s="7" t="inlineStr">
        <is>
          <t>Éclairage</t>
        </is>
      </c>
      <c r="F1115" s="7" t="inlineStr">
        <is>
          <t>PIECE_VEHICULE</t>
        </is>
      </c>
      <c r="G1115" s="7" t="inlineStr">
        <is>
          <t>unité</t>
        </is>
      </c>
      <c r="H1115" s="7" t="inlineStr">
        <is>
          <t>SMALL</t>
        </is>
      </c>
      <c r="I1115" s="7" t="n">
        <v>5</v>
      </c>
      <c r="J1115" s="7" t="inlineStr">
        <is>
          <t>B-02-03</t>
        </is>
      </c>
      <c r="K1115" s="7" t="inlineStr"/>
      <c r="L1115" s="9" t="n">
        <v>0</v>
      </c>
      <c r="M1115" s="9" t="n">
        <v>0</v>
      </c>
      <c r="N1115" s="9" t="n">
        <v>47</v>
      </c>
      <c r="O1115" s="7" t="inlineStr">
        <is>
          <t>FAU</t>
        </is>
      </c>
      <c r="P1115" s="7" t="inlineStr">
        <is>
          <t>STANDARD</t>
        </is>
      </c>
      <c r="Q1115" s="7" t="inlineStr">
        <is>
          <t>WHAP</t>
        </is>
      </c>
      <c r="R1115" s="7" t="inlineStr">
        <is>
          <t>OUI</t>
        </is>
      </c>
      <c r="S1115" s="7" t="inlineStr">
        <is>
          <t>31/08/2026 02:59</t>
        </is>
      </c>
    </row>
    <row r="1116">
      <c r="A1116" s="8" t="inlineStr">
        <is>
          <t>WHAP-1112</t>
        </is>
      </c>
      <c r="B1116" s="8" t="inlineStr">
        <is>
          <t>ECL-1112</t>
        </is>
      </c>
      <c r="C1116" s="8" t="inlineStr">
        <is>
          <t>connecteur de phare — avant droit</t>
        </is>
      </c>
      <c r="D1116" s="8" t="inlineStr">
        <is>
          <t>Éclairage</t>
        </is>
      </c>
      <c r="E1116" s="8" t="inlineStr">
        <is>
          <t>Éclairage</t>
        </is>
      </c>
      <c r="F1116" s="8" t="inlineStr">
        <is>
          <t>PIECE_VEHICULE</t>
        </is>
      </c>
      <c r="G1116" s="8" t="inlineStr">
        <is>
          <t>unité</t>
        </is>
      </c>
      <c r="H1116" s="8" t="inlineStr">
        <is>
          <t>SMALL</t>
        </is>
      </c>
      <c r="I1116" s="8" t="n">
        <v>5</v>
      </c>
      <c r="J1116" s="8" t="inlineStr">
        <is>
          <t>F-02-02</t>
        </is>
      </c>
      <c r="K1116" s="8" t="inlineStr"/>
      <c r="L1116" s="10" t="n">
        <v>0</v>
      </c>
      <c r="M1116" s="10" t="n">
        <v>0</v>
      </c>
      <c r="N1116" s="10" t="n">
        <v>40</v>
      </c>
      <c r="O1116" s="8" t="inlineStr">
        <is>
          <t>CTL</t>
        </is>
      </c>
      <c r="P1116" s="8" t="inlineStr">
        <is>
          <t>STANDARD</t>
        </is>
      </c>
      <c r="Q1116" s="8" t="inlineStr">
        <is>
          <t>WHAP</t>
        </is>
      </c>
      <c r="R1116" s="8" t="inlineStr">
        <is>
          <t>OUI</t>
        </is>
      </c>
      <c r="S1116" s="8" t="inlineStr">
        <is>
          <t>31/08/2026 02:59</t>
        </is>
      </c>
    </row>
    <row r="1117">
      <c r="A1117" s="7" t="inlineStr">
        <is>
          <t>WHAP-1113</t>
        </is>
      </c>
      <c r="B1117" s="7" t="inlineStr">
        <is>
          <t>ECL-1113</t>
        </is>
      </c>
      <c r="C1117" s="7" t="inlineStr">
        <is>
          <t>fusible éclairage — avant droit</t>
        </is>
      </c>
      <c r="D1117" s="7" t="inlineStr">
        <is>
          <t>Éclairage</t>
        </is>
      </c>
      <c r="E1117" s="7" t="inlineStr">
        <is>
          <t>Éclairage</t>
        </is>
      </c>
      <c r="F1117" s="7" t="inlineStr">
        <is>
          <t>PIECE_VEHICULE</t>
        </is>
      </c>
      <c r="G1117" s="7" t="inlineStr">
        <is>
          <t>unité</t>
        </is>
      </c>
      <c r="H1117" s="7" t="inlineStr">
        <is>
          <t>SMALL</t>
        </is>
      </c>
      <c r="I1117" s="7" t="n">
        <v>5</v>
      </c>
      <c r="J1117" s="7" t="inlineStr">
        <is>
          <t>A-04-02</t>
        </is>
      </c>
      <c r="K1117" s="7" t="inlineStr"/>
      <c r="L1117" s="9" t="n">
        <v>0</v>
      </c>
      <c r="M1117" s="9" t="n">
        <v>0</v>
      </c>
      <c r="N1117" s="9" t="n">
        <v>49</v>
      </c>
      <c r="O1117" s="7" t="inlineStr">
        <is>
          <t>MAG</t>
        </is>
      </c>
      <c r="P1117" s="7" t="inlineStr">
        <is>
          <t>STANDARD</t>
        </is>
      </c>
      <c r="Q1117" s="7" t="inlineStr">
        <is>
          <t>WHAP</t>
        </is>
      </c>
      <c r="R1117" s="7" t="inlineStr">
        <is>
          <t>OUI</t>
        </is>
      </c>
      <c r="S1117" s="7" t="inlineStr">
        <is>
          <t>31/08/2026 02:59</t>
        </is>
      </c>
    </row>
    <row r="1118">
      <c r="A1118" s="8" t="inlineStr">
        <is>
          <t>WHAP-1114</t>
        </is>
      </c>
      <c r="B1118" s="8" t="inlineStr">
        <is>
          <t>ECL-1114</t>
        </is>
      </c>
      <c r="C1118" s="8" t="inlineStr">
        <is>
          <t>phare avant — arrière gauche</t>
        </is>
      </c>
      <c r="D1118" s="8" t="inlineStr">
        <is>
          <t>Éclairage</t>
        </is>
      </c>
      <c r="E1118" s="8" t="inlineStr">
        <is>
          <t>Éclairage</t>
        </is>
      </c>
      <c r="F1118" s="8" t="inlineStr">
        <is>
          <t>PIECE_VEHICULE</t>
        </is>
      </c>
      <c r="G1118" s="8" t="inlineStr">
        <is>
          <t>unité</t>
        </is>
      </c>
      <c r="H1118" s="8" t="inlineStr">
        <is>
          <t>SMALL</t>
        </is>
      </c>
      <c r="I1118" s="8" t="n">
        <v>5</v>
      </c>
      <c r="J1118" s="8" t="inlineStr">
        <is>
          <t>F-04-01</t>
        </is>
      </c>
      <c r="K1118" s="8" t="inlineStr"/>
      <c r="L1118" s="10" t="n">
        <v>0</v>
      </c>
      <c r="M1118" s="10" t="n">
        <v>0</v>
      </c>
      <c r="N1118" s="10" t="n">
        <v>48</v>
      </c>
      <c r="O1118" s="8" t="inlineStr">
        <is>
          <t>YZK</t>
        </is>
      </c>
      <c r="P1118" s="8" t="inlineStr">
        <is>
          <t>STANDARD</t>
        </is>
      </c>
      <c r="Q1118" s="8" t="inlineStr">
        <is>
          <t>WHAP</t>
        </is>
      </c>
      <c r="R1118" s="8" t="inlineStr">
        <is>
          <t>OUI</t>
        </is>
      </c>
      <c r="S1118" s="8" t="inlineStr">
        <is>
          <t>31/08/2026 02:59</t>
        </is>
      </c>
    </row>
    <row r="1119">
      <c r="A1119" s="7" t="inlineStr">
        <is>
          <t>WHAP-1115</t>
        </is>
      </c>
      <c r="B1119" s="7" t="inlineStr">
        <is>
          <t>ECL-1115</t>
        </is>
      </c>
      <c r="C1119" s="7" t="inlineStr">
        <is>
          <t>projecteur LED — arrière gauche</t>
        </is>
      </c>
      <c r="D1119" s="7" t="inlineStr">
        <is>
          <t>Éclairage</t>
        </is>
      </c>
      <c r="E1119" s="7" t="inlineStr">
        <is>
          <t>Éclairage</t>
        </is>
      </c>
      <c r="F1119" s="7" t="inlineStr">
        <is>
          <t>PIECE_VEHICULE</t>
        </is>
      </c>
      <c r="G1119" s="7" t="inlineStr">
        <is>
          <t>unité</t>
        </is>
      </c>
      <c r="H1119" s="7" t="inlineStr">
        <is>
          <t>SMALL</t>
        </is>
      </c>
      <c r="I1119" s="7" t="n">
        <v>5</v>
      </c>
      <c r="J1119" s="7" t="inlineStr">
        <is>
          <t>E-05-03</t>
        </is>
      </c>
      <c r="K1119" s="7" t="inlineStr"/>
      <c r="L1119" s="9" t="n">
        <v>0</v>
      </c>
      <c r="M1119" s="9" t="n">
        <v>0</v>
      </c>
      <c r="N1119" s="9" t="n">
        <v>44</v>
      </c>
      <c r="O1119" s="7" t="inlineStr">
        <is>
          <t>SUM</t>
        </is>
      </c>
      <c r="P1119" s="7" t="inlineStr">
        <is>
          <t>STANDARD</t>
        </is>
      </c>
      <c r="Q1119" s="7" t="inlineStr">
        <is>
          <t>WHAP</t>
        </is>
      </c>
      <c r="R1119" s="7" t="inlineStr">
        <is>
          <t>OUI</t>
        </is>
      </c>
      <c r="S1119" s="7" t="inlineStr">
        <is>
          <t>31/08/2026 02:59</t>
        </is>
      </c>
    </row>
    <row r="1120">
      <c r="A1120" s="8" t="inlineStr">
        <is>
          <t>WHAP-1116</t>
        </is>
      </c>
      <c r="B1120" s="8" t="inlineStr">
        <is>
          <t>ECL-1116</t>
        </is>
      </c>
      <c r="C1120" s="8" t="inlineStr">
        <is>
          <t>feu de position — arrière gauche</t>
        </is>
      </c>
      <c r="D1120" s="8" t="inlineStr">
        <is>
          <t>Éclairage</t>
        </is>
      </c>
      <c r="E1120" s="8" t="inlineStr">
        <is>
          <t>Éclairage</t>
        </is>
      </c>
      <c r="F1120" s="8" t="inlineStr">
        <is>
          <t>PIECE_VEHICULE</t>
        </is>
      </c>
      <c r="G1120" s="8" t="inlineStr">
        <is>
          <t>unité</t>
        </is>
      </c>
      <c r="H1120" s="8" t="inlineStr">
        <is>
          <t>SMALL</t>
        </is>
      </c>
      <c r="I1120" s="8" t="n">
        <v>5</v>
      </c>
      <c r="J1120" s="8" t="inlineStr">
        <is>
          <t>E-02-02</t>
        </is>
      </c>
      <c r="K1120" s="8" t="inlineStr"/>
      <c r="L1120" s="10" t="n">
        <v>0</v>
      </c>
      <c r="M1120" s="10" t="n">
        <v>0</v>
      </c>
      <c r="N1120" s="10" t="n">
        <v>47</v>
      </c>
      <c r="O1120" s="8" t="inlineStr">
        <is>
          <t>BOS</t>
        </is>
      </c>
      <c r="P1120" s="8" t="inlineStr">
        <is>
          <t>STANDARD</t>
        </is>
      </c>
      <c r="Q1120" s="8" t="inlineStr">
        <is>
          <t>WHAP</t>
        </is>
      </c>
      <c r="R1120" s="8" t="inlineStr">
        <is>
          <t>OUI</t>
        </is>
      </c>
      <c r="S1120" s="8" t="inlineStr">
        <is>
          <t>31/08/2026 02:59</t>
        </is>
      </c>
    </row>
    <row r="1121">
      <c r="A1121" s="7" t="inlineStr">
        <is>
          <t>WHAP-1117</t>
        </is>
      </c>
      <c r="B1121" s="7" t="inlineStr">
        <is>
          <t>ECL-1117</t>
        </is>
      </c>
      <c r="C1121" s="7" t="inlineStr">
        <is>
          <t>feu arrière — arrière gauche</t>
        </is>
      </c>
      <c r="D1121" s="7" t="inlineStr">
        <is>
          <t>Éclairage</t>
        </is>
      </c>
      <c r="E1121" s="7" t="inlineStr">
        <is>
          <t>Éclairage</t>
        </is>
      </c>
      <c r="F1121" s="7" t="inlineStr">
        <is>
          <t>PIECE_VEHICULE</t>
        </is>
      </c>
      <c r="G1121" s="7" t="inlineStr">
        <is>
          <t>unité</t>
        </is>
      </c>
      <c r="H1121" s="7" t="inlineStr">
        <is>
          <t>SMALL</t>
        </is>
      </c>
      <c r="I1121" s="7" t="n">
        <v>5</v>
      </c>
      <c r="J1121" s="7" t="inlineStr">
        <is>
          <t>E-01-03</t>
        </is>
      </c>
      <c r="K1121" s="7" t="inlineStr"/>
      <c r="L1121" s="9" t="n">
        <v>0</v>
      </c>
      <c r="M1121" s="9" t="n">
        <v>0</v>
      </c>
      <c r="N1121" s="9" t="n">
        <v>43</v>
      </c>
      <c r="O1121" s="7" t="inlineStr">
        <is>
          <t>BOS</t>
        </is>
      </c>
      <c r="P1121" s="7" t="inlineStr">
        <is>
          <t>STANDARD</t>
        </is>
      </c>
      <c r="Q1121" s="7" t="inlineStr">
        <is>
          <t>WHAP</t>
        </is>
      </c>
      <c r="R1121" s="7" t="inlineStr">
        <is>
          <t>OUI</t>
        </is>
      </c>
      <c r="S1121" s="7" t="inlineStr">
        <is>
          <t>31/08/2026 02:59</t>
        </is>
      </c>
    </row>
    <row r="1122">
      <c r="A1122" s="8" t="inlineStr">
        <is>
          <t>WHAP-1118</t>
        </is>
      </c>
      <c r="B1122" s="8" t="inlineStr">
        <is>
          <t>ECL-1118</t>
        </is>
      </c>
      <c r="C1122" s="8" t="inlineStr">
        <is>
          <t>feu stop — arrière gauche</t>
        </is>
      </c>
      <c r="D1122" s="8" t="inlineStr">
        <is>
          <t>Éclairage</t>
        </is>
      </c>
      <c r="E1122" s="8" t="inlineStr">
        <is>
          <t>Éclairage</t>
        </is>
      </c>
      <c r="F1122" s="8" t="inlineStr">
        <is>
          <t>PIECE_VEHICULE</t>
        </is>
      </c>
      <c r="G1122" s="8" t="inlineStr">
        <is>
          <t>unité</t>
        </is>
      </c>
      <c r="H1122" s="8" t="inlineStr">
        <is>
          <t>SMALL</t>
        </is>
      </c>
      <c r="I1122" s="8" t="n">
        <v>5</v>
      </c>
      <c r="J1122" s="8" t="inlineStr">
        <is>
          <t>E-02-03</t>
        </is>
      </c>
      <c r="K1122" s="8" t="inlineStr"/>
      <c r="L1122" s="10" t="n">
        <v>0</v>
      </c>
      <c r="M1122" s="10" t="n">
        <v>0</v>
      </c>
      <c r="N1122" s="10" t="n">
        <v>41</v>
      </c>
      <c r="O1122" s="8" t="inlineStr">
        <is>
          <t>DEL</t>
        </is>
      </c>
      <c r="P1122" s="8" t="inlineStr">
        <is>
          <t>STANDARD</t>
        </is>
      </c>
      <c r="Q1122" s="8" t="inlineStr">
        <is>
          <t>WHAP</t>
        </is>
      </c>
      <c r="R1122" s="8" t="inlineStr">
        <is>
          <t>OUI</t>
        </is>
      </c>
      <c r="S1122" s="8" t="inlineStr">
        <is>
          <t>31/08/2026 02:59</t>
        </is>
      </c>
    </row>
    <row r="1123">
      <c r="A1123" s="7" t="inlineStr">
        <is>
          <t>WHAP-1119</t>
        </is>
      </c>
      <c r="B1123" s="7" t="inlineStr">
        <is>
          <t>ECL-1119</t>
        </is>
      </c>
      <c r="C1123" s="7" t="inlineStr">
        <is>
          <t>clignotant — arrière gauche</t>
        </is>
      </c>
      <c r="D1123" s="7" t="inlineStr">
        <is>
          <t>Éclairage</t>
        </is>
      </c>
      <c r="E1123" s="7" t="inlineStr">
        <is>
          <t>Éclairage</t>
        </is>
      </c>
      <c r="F1123" s="7" t="inlineStr">
        <is>
          <t>PIECE_VEHICULE</t>
        </is>
      </c>
      <c r="G1123" s="7" t="inlineStr">
        <is>
          <t>unité</t>
        </is>
      </c>
      <c r="H1123" s="7" t="inlineStr">
        <is>
          <t>SMALL</t>
        </is>
      </c>
      <c r="I1123" s="7" t="n">
        <v>5</v>
      </c>
      <c r="J1123" s="7" t="inlineStr">
        <is>
          <t>E-06-03</t>
        </is>
      </c>
      <c r="K1123" s="7" t="inlineStr"/>
      <c r="L1123" s="9" t="n">
        <v>0</v>
      </c>
      <c r="M1123" s="9" t="n">
        <v>0</v>
      </c>
      <c r="N1123" s="9" t="n">
        <v>40</v>
      </c>
      <c r="O1123" s="7" t="inlineStr">
        <is>
          <t>BOS</t>
        </is>
      </c>
      <c r="P1123" s="7" t="inlineStr">
        <is>
          <t>STANDARD</t>
        </is>
      </c>
      <c r="Q1123" s="7" t="inlineStr">
        <is>
          <t>WHAP</t>
        </is>
      </c>
      <c r="R1123" s="7" t="inlineStr">
        <is>
          <t>OUI</t>
        </is>
      </c>
      <c r="S1123" s="7" t="inlineStr">
        <is>
          <t>31/08/2026 02:59</t>
        </is>
      </c>
    </row>
    <row r="1124">
      <c r="A1124" s="8" t="inlineStr">
        <is>
          <t>WHAP-1120</t>
        </is>
      </c>
      <c r="B1124" s="8" t="inlineStr">
        <is>
          <t>ECL-1120</t>
        </is>
      </c>
      <c r="C1124" s="8" t="inlineStr">
        <is>
          <t>feu de recul — arrière gauche</t>
        </is>
      </c>
      <c r="D1124" s="8" t="inlineStr">
        <is>
          <t>Éclairage</t>
        </is>
      </c>
      <c r="E1124" s="8" t="inlineStr">
        <is>
          <t>Éclairage</t>
        </is>
      </c>
      <c r="F1124" s="8" t="inlineStr">
        <is>
          <t>PIECE_VEHICULE</t>
        </is>
      </c>
      <c r="G1124" s="8" t="inlineStr">
        <is>
          <t>unité</t>
        </is>
      </c>
      <c r="H1124" s="8" t="inlineStr">
        <is>
          <t>SMALL</t>
        </is>
      </c>
      <c r="I1124" s="8" t="n">
        <v>5</v>
      </c>
      <c r="J1124" s="8" t="inlineStr">
        <is>
          <t>F-06-03</t>
        </is>
      </c>
      <c r="K1124" s="8" t="inlineStr"/>
      <c r="L1124" s="10" t="n">
        <v>0</v>
      </c>
      <c r="M1124" s="10" t="n">
        <v>0</v>
      </c>
      <c r="N1124" s="10" t="n">
        <v>50</v>
      </c>
      <c r="O1124" s="8" t="inlineStr">
        <is>
          <t>YZK</t>
        </is>
      </c>
      <c r="P1124" s="8" t="inlineStr">
        <is>
          <t>STANDARD</t>
        </is>
      </c>
      <c r="Q1124" s="8" t="inlineStr">
        <is>
          <t>WHAP</t>
        </is>
      </c>
      <c r="R1124" s="8" t="inlineStr">
        <is>
          <t>OUI</t>
        </is>
      </c>
      <c r="S1124" s="8" t="inlineStr">
        <is>
          <t>31/08/2026 02:59</t>
        </is>
      </c>
    </row>
    <row r="1125">
      <c r="A1125" s="7" t="inlineStr">
        <is>
          <t>WHAP-1121</t>
        </is>
      </c>
      <c r="B1125" s="7" t="inlineStr">
        <is>
          <t>ECL-1121</t>
        </is>
      </c>
      <c r="C1125" s="7" t="inlineStr">
        <is>
          <t>feu antibrouillard — arrière gauche</t>
        </is>
      </c>
      <c r="D1125" s="7" t="inlineStr">
        <is>
          <t>Éclairage</t>
        </is>
      </c>
      <c r="E1125" s="7" t="inlineStr">
        <is>
          <t>Éclairage</t>
        </is>
      </c>
      <c r="F1125" s="7" t="inlineStr">
        <is>
          <t>PIECE_VEHICULE</t>
        </is>
      </c>
      <c r="G1125" s="7" t="inlineStr">
        <is>
          <t>unité</t>
        </is>
      </c>
      <c r="H1125" s="7" t="inlineStr">
        <is>
          <t>SMALL</t>
        </is>
      </c>
      <c r="I1125" s="7" t="n">
        <v>5</v>
      </c>
      <c r="J1125" s="7" t="inlineStr">
        <is>
          <t>E-01-01</t>
        </is>
      </c>
      <c r="K1125" s="7" t="inlineStr"/>
      <c r="L1125" s="9" t="n">
        <v>0</v>
      </c>
      <c r="M1125" s="9" t="n">
        <v>0</v>
      </c>
      <c r="N1125" s="9" t="n">
        <v>47</v>
      </c>
      <c r="O1125" s="7" t="inlineStr">
        <is>
          <t>HEL</t>
        </is>
      </c>
      <c r="P1125" s="7" t="inlineStr">
        <is>
          <t>STANDARD</t>
        </is>
      </c>
      <c r="Q1125" s="7" t="inlineStr">
        <is>
          <t>WHAP</t>
        </is>
      </c>
      <c r="R1125" s="7" t="inlineStr">
        <is>
          <t>OUI</t>
        </is>
      </c>
      <c r="S1125" s="7" t="inlineStr">
        <is>
          <t>31/08/2026 02:59</t>
        </is>
      </c>
    </row>
    <row r="1126">
      <c r="A1126" s="8" t="inlineStr">
        <is>
          <t>WHAP-1122</t>
        </is>
      </c>
      <c r="B1126" s="8" t="inlineStr">
        <is>
          <t>ECL-1122</t>
        </is>
      </c>
      <c r="C1126" s="8" t="inlineStr">
        <is>
          <t>éclairage intérieur — arrière gauche</t>
        </is>
      </c>
      <c r="D1126" s="8" t="inlineStr">
        <is>
          <t>Éclairage</t>
        </is>
      </c>
      <c r="E1126" s="8" t="inlineStr">
        <is>
          <t>Éclairage</t>
        </is>
      </c>
      <c r="F1126" s="8" t="inlineStr">
        <is>
          <t>PIECE_VEHICULE</t>
        </is>
      </c>
      <c r="G1126" s="8" t="inlineStr">
        <is>
          <t>unité</t>
        </is>
      </c>
      <c r="H1126" s="8" t="inlineStr">
        <is>
          <t>SMALL</t>
        </is>
      </c>
      <c r="I1126" s="8" t="n">
        <v>5</v>
      </c>
      <c r="J1126" s="8" t="inlineStr">
        <is>
          <t>C-02-03</t>
        </is>
      </c>
      <c r="K1126" s="8" t="inlineStr"/>
      <c r="L1126" s="10" t="n">
        <v>0</v>
      </c>
      <c r="M1126" s="10" t="n">
        <v>0</v>
      </c>
      <c r="N1126" s="10" t="n">
        <v>48</v>
      </c>
      <c r="O1126" s="8" t="inlineStr">
        <is>
          <t>HEL</t>
        </is>
      </c>
      <c r="P1126" s="8" t="inlineStr">
        <is>
          <t>STANDARD</t>
        </is>
      </c>
      <c r="Q1126" s="8" t="inlineStr">
        <is>
          <t>WHAP</t>
        </is>
      </c>
      <c r="R1126" s="8" t="inlineStr">
        <is>
          <t>OUI</t>
        </is>
      </c>
      <c r="S1126" s="8" t="inlineStr">
        <is>
          <t>31/08/2026 02:59</t>
        </is>
      </c>
    </row>
    <row r="1127">
      <c r="A1127" s="7" t="inlineStr">
        <is>
          <t>WHAP-1123</t>
        </is>
      </c>
      <c r="B1127" s="7" t="inlineStr">
        <is>
          <t>ECL-1123</t>
        </is>
      </c>
      <c r="C1127" s="7" t="inlineStr">
        <is>
          <t>éclairage compartiment moteur — arrière gauche</t>
        </is>
      </c>
      <c r="D1127" s="7" t="inlineStr">
        <is>
          <t>Éclairage</t>
        </is>
      </c>
      <c r="E1127" s="7" t="inlineStr">
        <is>
          <t>Éclairage</t>
        </is>
      </c>
      <c r="F1127" s="7" t="inlineStr">
        <is>
          <t>PIECE_VEHICULE</t>
        </is>
      </c>
      <c r="G1127" s="7" t="inlineStr">
        <is>
          <t>unité</t>
        </is>
      </c>
      <c r="H1127" s="7" t="inlineStr">
        <is>
          <t>SMALL</t>
        </is>
      </c>
      <c r="I1127" s="7" t="n">
        <v>5</v>
      </c>
      <c r="J1127" s="7" t="inlineStr">
        <is>
          <t>C-03-04</t>
        </is>
      </c>
      <c r="K1127" s="7" t="inlineStr"/>
      <c r="L1127" s="9" t="n">
        <v>0</v>
      </c>
      <c r="M1127" s="9" t="n">
        <v>0</v>
      </c>
      <c r="N1127" s="9" t="n">
        <v>50</v>
      </c>
      <c r="O1127" s="7" t="inlineStr">
        <is>
          <t>HEL</t>
        </is>
      </c>
      <c r="P1127" s="7" t="inlineStr">
        <is>
          <t>STANDARD</t>
        </is>
      </c>
      <c r="Q1127" s="7" t="inlineStr">
        <is>
          <t>WHAP</t>
        </is>
      </c>
      <c r="R1127" s="7" t="inlineStr">
        <is>
          <t>OUI</t>
        </is>
      </c>
      <c r="S1127" s="7" t="inlineStr">
        <is>
          <t>31/08/2026 02:59</t>
        </is>
      </c>
    </row>
    <row r="1128">
      <c r="A1128" s="8" t="inlineStr">
        <is>
          <t>WHAP-1124</t>
        </is>
      </c>
      <c r="B1128" s="8" t="inlineStr">
        <is>
          <t>ECL-1124</t>
        </is>
      </c>
      <c r="C1128" s="8" t="inlineStr">
        <is>
          <t>éclairage poste de conduite — arrière gauche</t>
        </is>
      </c>
      <c r="D1128" s="8" t="inlineStr">
        <is>
          <t>Éclairage</t>
        </is>
      </c>
      <c r="E1128" s="8" t="inlineStr">
        <is>
          <t>Éclairage</t>
        </is>
      </c>
      <c r="F1128" s="8" t="inlineStr">
        <is>
          <t>PIECE_VEHICULE</t>
        </is>
      </c>
      <c r="G1128" s="8" t="inlineStr">
        <is>
          <t>unité</t>
        </is>
      </c>
      <c r="H1128" s="8" t="inlineStr">
        <is>
          <t>SMALL</t>
        </is>
      </c>
      <c r="I1128" s="8" t="n">
        <v>5</v>
      </c>
      <c r="J1128" s="8" t="inlineStr">
        <is>
          <t>A-01-04</t>
        </is>
      </c>
      <c r="K1128" s="8" t="inlineStr"/>
      <c r="L1128" s="10" t="n">
        <v>0</v>
      </c>
      <c r="M1128" s="10" t="n">
        <v>0</v>
      </c>
      <c r="N1128" s="10" t="n">
        <v>41</v>
      </c>
      <c r="O1128" s="8" t="inlineStr">
        <is>
          <t>DEL</t>
        </is>
      </c>
      <c r="P1128" s="8" t="inlineStr">
        <is>
          <t>STANDARD</t>
        </is>
      </c>
      <c r="Q1128" s="8" t="inlineStr">
        <is>
          <t>WHAP</t>
        </is>
      </c>
      <c r="R1128" s="8" t="inlineStr">
        <is>
          <t>OUI</t>
        </is>
      </c>
      <c r="S1128" s="8" t="inlineStr">
        <is>
          <t>31/08/2026 02:59</t>
        </is>
      </c>
    </row>
    <row r="1129">
      <c r="A1129" s="7" t="inlineStr">
        <is>
          <t>WHAP-1125</t>
        </is>
      </c>
      <c r="B1129" s="7" t="inlineStr">
        <is>
          <t>ECL-1125</t>
        </is>
      </c>
      <c r="C1129" s="7" t="inlineStr">
        <is>
          <t>gyrophare — arrière gauche</t>
        </is>
      </c>
      <c r="D1129" s="7" t="inlineStr">
        <is>
          <t>Éclairage</t>
        </is>
      </c>
      <c r="E1129" s="7" t="inlineStr">
        <is>
          <t>Éclairage</t>
        </is>
      </c>
      <c r="F1129" s="7" t="inlineStr">
        <is>
          <t>PIECE_VEHICULE</t>
        </is>
      </c>
      <c r="G1129" s="7" t="inlineStr">
        <is>
          <t>unité</t>
        </is>
      </c>
      <c r="H1129" s="7" t="inlineStr">
        <is>
          <t>SMALL</t>
        </is>
      </c>
      <c r="I1129" s="7" t="n">
        <v>5</v>
      </c>
      <c r="J1129" s="7" t="inlineStr">
        <is>
          <t>C-05-02</t>
        </is>
      </c>
      <c r="K1129" s="7" t="inlineStr"/>
      <c r="L1129" s="9" t="n">
        <v>0</v>
      </c>
      <c r="M1129" s="9" t="n">
        <v>0</v>
      </c>
      <c r="N1129" s="9" t="n">
        <v>50</v>
      </c>
      <c r="O1129" s="7" t="inlineStr">
        <is>
          <t>MAG</t>
        </is>
      </c>
      <c r="P1129" s="7" t="inlineStr">
        <is>
          <t>STANDARD</t>
        </is>
      </c>
      <c r="Q1129" s="7" t="inlineStr">
        <is>
          <t>WHAP</t>
        </is>
      </c>
      <c r="R1129" s="7" t="inlineStr">
        <is>
          <t>OUI</t>
        </is>
      </c>
      <c r="S1129" s="7" t="inlineStr">
        <is>
          <t>31/08/2026 02:59</t>
        </is>
      </c>
    </row>
    <row r="1130">
      <c r="A1130" s="8" t="inlineStr">
        <is>
          <t>WHAP-1126</t>
        </is>
      </c>
      <c r="B1130" s="8" t="inlineStr">
        <is>
          <t>ECL-1126</t>
        </is>
      </c>
      <c r="C1130" s="8" t="inlineStr">
        <is>
          <t>lampe de lecture — arrière gauche</t>
        </is>
      </c>
      <c r="D1130" s="8" t="inlineStr">
        <is>
          <t>Éclairage</t>
        </is>
      </c>
      <c r="E1130" s="8" t="inlineStr">
        <is>
          <t>Éclairage</t>
        </is>
      </c>
      <c r="F1130" s="8" t="inlineStr">
        <is>
          <t>PIECE_VEHICULE</t>
        </is>
      </c>
      <c r="G1130" s="8" t="inlineStr">
        <is>
          <t>unité</t>
        </is>
      </c>
      <c r="H1130" s="8" t="inlineStr">
        <is>
          <t>SMALL</t>
        </is>
      </c>
      <c r="I1130" s="8" t="n">
        <v>5</v>
      </c>
      <c r="J1130" s="8" t="inlineStr">
        <is>
          <t>F-06-01</t>
        </is>
      </c>
      <c r="K1130" s="8" t="inlineStr"/>
      <c r="L1130" s="10" t="n">
        <v>0</v>
      </c>
      <c r="M1130" s="10" t="n">
        <v>0</v>
      </c>
      <c r="N1130" s="10" t="n">
        <v>45</v>
      </c>
      <c r="O1130" s="8" t="inlineStr">
        <is>
          <t>FAU</t>
        </is>
      </c>
      <c r="P1130" s="8" t="inlineStr">
        <is>
          <t>STANDARD</t>
        </is>
      </c>
      <c r="Q1130" s="8" t="inlineStr">
        <is>
          <t>WHAP</t>
        </is>
      </c>
      <c r="R1130" s="8" t="inlineStr">
        <is>
          <t>OUI</t>
        </is>
      </c>
      <c r="S1130" s="8" t="inlineStr">
        <is>
          <t>31/08/2026 02:59</t>
        </is>
      </c>
    </row>
    <row r="1131">
      <c r="A1131" s="7" t="inlineStr">
        <is>
          <t>WHAP-1127</t>
        </is>
      </c>
      <c r="B1131" s="7" t="inlineStr">
        <is>
          <t>ECL-1127</t>
        </is>
      </c>
      <c r="C1131" s="7" t="inlineStr">
        <is>
          <t>projecteur de recherche — arrière gauche</t>
        </is>
      </c>
      <c r="D1131" s="7" t="inlineStr">
        <is>
          <t>Éclairage</t>
        </is>
      </c>
      <c r="E1131" s="7" t="inlineStr">
        <is>
          <t>Éclairage</t>
        </is>
      </c>
      <c r="F1131" s="7" t="inlineStr">
        <is>
          <t>PIECE_VEHICULE</t>
        </is>
      </c>
      <c r="G1131" s="7" t="inlineStr">
        <is>
          <t>unité</t>
        </is>
      </c>
      <c r="H1131" s="7" t="inlineStr">
        <is>
          <t>SMALL</t>
        </is>
      </c>
      <c r="I1131" s="7" t="n">
        <v>5</v>
      </c>
      <c r="J1131" s="7" t="inlineStr">
        <is>
          <t>D-03-04</t>
        </is>
      </c>
      <c r="K1131" s="7" t="inlineStr"/>
      <c r="L1131" s="9" t="n">
        <v>0</v>
      </c>
      <c r="M1131" s="9" t="n">
        <v>0</v>
      </c>
      <c r="N1131" s="9" t="n">
        <v>48</v>
      </c>
      <c r="O1131" s="7" t="inlineStr">
        <is>
          <t>CTL</t>
        </is>
      </c>
      <c r="P1131" s="7" t="inlineStr">
        <is>
          <t>STANDARD</t>
        </is>
      </c>
      <c r="Q1131" s="7" t="inlineStr">
        <is>
          <t>WHAP</t>
        </is>
      </c>
      <c r="R1131" s="7" t="inlineStr">
        <is>
          <t>OUI</t>
        </is>
      </c>
      <c r="S1131" s="7" t="inlineStr">
        <is>
          <t>31/08/2026 02:59</t>
        </is>
      </c>
    </row>
    <row r="1132">
      <c r="A1132" s="8" t="inlineStr">
        <is>
          <t>WHAP-1128</t>
        </is>
      </c>
      <c r="B1132" s="8" t="inlineStr">
        <is>
          <t>ECL-1128</t>
        </is>
      </c>
      <c r="C1132" s="8" t="inlineStr">
        <is>
          <t>module LED — arrière gauche</t>
        </is>
      </c>
      <c r="D1132" s="8" t="inlineStr">
        <is>
          <t>Éclairage</t>
        </is>
      </c>
      <c r="E1132" s="8" t="inlineStr">
        <is>
          <t>Éclairage</t>
        </is>
      </c>
      <c r="F1132" s="8" t="inlineStr">
        <is>
          <t>PIECE_VEHICULE</t>
        </is>
      </c>
      <c r="G1132" s="8" t="inlineStr">
        <is>
          <t>unité</t>
        </is>
      </c>
      <c r="H1132" s="8" t="inlineStr">
        <is>
          <t>SMALL</t>
        </is>
      </c>
      <c r="I1132" s="8" t="n">
        <v>5</v>
      </c>
      <c r="J1132" s="8" t="inlineStr">
        <is>
          <t>D-06-02</t>
        </is>
      </c>
      <c r="K1132" s="8" t="inlineStr"/>
      <c r="L1132" s="10" t="n">
        <v>0</v>
      </c>
      <c r="M1132" s="10" t="n">
        <v>0</v>
      </c>
      <c r="N1132" s="10" t="n">
        <v>41</v>
      </c>
      <c r="O1132" s="8" t="inlineStr">
        <is>
          <t>CTL</t>
        </is>
      </c>
      <c r="P1132" s="8" t="inlineStr">
        <is>
          <t>STANDARD</t>
        </is>
      </c>
      <c r="Q1132" s="8" t="inlineStr">
        <is>
          <t>WHAP</t>
        </is>
      </c>
      <c r="R1132" s="8" t="inlineStr">
        <is>
          <t>OUI</t>
        </is>
      </c>
      <c r="S1132" s="8" t="inlineStr">
        <is>
          <t>31/08/2026 02:59</t>
        </is>
      </c>
    </row>
    <row r="1133">
      <c r="A1133" s="7" t="inlineStr">
        <is>
          <t>WHAP-1129</t>
        </is>
      </c>
      <c r="B1133" s="7" t="inlineStr">
        <is>
          <t>ECL-1129</t>
        </is>
      </c>
      <c r="C1133" s="7" t="inlineStr">
        <is>
          <t>lentille — arrière gauche</t>
        </is>
      </c>
      <c r="D1133" s="7" t="inlineStr">
        <is>
          <t>Éclairage</t>
        </is>
      </c>
      <c r="E1133" s="7" t="inlineStr">
        <is>
          <t>Éclairage</t>
        </is>
      </c>
      <c r="F1133" s="7" t="inlineStr">
        <is>
          <t>PIECE_VEHICULE</t>
        </is>
      </c>
      <c r="G1133" s="7" t="inlineStr">
        <is>
          <t>unité</t>
        </is>
      </c>
      <c r="H1133" s="7" t="inlineStr">
        <is>
          <t>SMALL</t>
        </is>
      </c>
      <c r="I1133" s="7" t="n">
        <v>5</v>
      </c>
      <c r="J1133" s="7" t="inlineStr">
        <is>
          <t>E-05-02</t>
        </is>
      </c>
      <c r="K1133" s="7" t="inlineStr"/>
      <c r="L1133" s="9" t="n">
        <v>0</v>
      </c>
      <c r="M1133" s="9" t="n">
        <v>0</v>
      </c>
      <c r="N1133" s="9" t="n">
        <v>47</v>
      </c>
      <c r="O1133" s="7" t="inlineStr">
        <is>
          <t>SUM</t>
        </is>
      </c>
      <c r="P1133" s="7" t="inlineStr">
        <is>
          <t>STANDARD</t>
        </is>
      </c>
      <c r="Q1133" s="7" t="inlineStr">
        <is>
          <t>WHAP</t>
        </is>
      </c>
      <c r="R1133" s="7" t="inlineStr">
        <is>
          <t>OUI</t>
        </is>
      </c>
      <c r="S1133" s="7" t="inlineStr">
        <is>
          <t>31/08/2026 02:59</t>
        </is>
      </c>
    </row>
    <row r="1134">
      <c r="A1134" s="8" t="inlineStr">
        <is>
          <t>WHAP-1130</t>
        </is>
      </c>
      <c r="B1134" s="8" t="inlineStr">
        <is>
          <t>ECL-1130</t>
        </is>
      </c>
      <c r="C1134" s="8" t="inlineStr">
        <is>
          <t>réflecteur — arrière gauche</t>
        </is>
      </c>
      <c r="D1134" s="8" t="inlineStr">
        <is>
          <t>Éclairage</t>
        </is>
      </c>
      <c r="E1134" s="8" t="inlineStr">
        <is>
          <t>Éclairage</t>
        </is>
      </c>
      <c r="F1134" s="8" t="inlineStr">
        <is>
          <t>PIECE_VEHICULE</t>
        </is>
      </c>
      <c r="G1134" s="8" t="inlineStr">
        <is>
          <t>unité</t>
        </is>
      </c>
      <c r="H1134" s="8" t="inlineStr">
        <is>
          <t>SMALL</t>
        </is>
      </c>
      <c r="I1134" s="8" t="n">
        <v>5</v>
      </c>
      <c r="J1134" s="8" t="inlineStr">
        <is>
          <t>C-05-02</t>
        </is>
      </c>
      <c r="K1134" s="8" t="inlineStr"/>
      <c r="L1134" s="10" t="n">
        <v>0</v>
      </c>
      <c r="M1134" s="10" t="n">
        <v>0</v>
      </c>
      <c r="N1134" s="10" t="n">
        <v>46</v>
      </c>
      <c r="O1134" s="8" t="inlineStr">
        <is>
          <t>SUM</t>
        </is>
      </c>
      <c r="P1134" s="8" t="inlineStr">
        <is>
          <t>STANDARD</t>
        </is>
      </c>
      <c r="Q1134" s="8" t="inlineStr">
        <is>
          <t>WHAP</t>
        </is>
      </c>
      <c r="R1134" s="8" t="inlineStr">
        <is>
          <t>OUI</t>
        </is>
      </c>
      <c r="S1134" s="8" t="inlineStr">
        <is>
          <t>31/08/2026 02:59</t>
        </is>
      </c>
    </row>
    <row r="1135">
      <c r="A1135" s="7" t="inlineStr">
        <is>
          <t>WHAP-1131</t>
        </is>
      </c>
      <c r="B1135" s="7" t="inlineStr">
        <is>
          <t>ECL-1131</t>
        </is>
      </c>
      <c r="C1135" s="7" t="inlineStr">
        <is>
          <t>support de phare — arrière gauche</t>
        </is>
      </c>
      <c r="D1135" s="7" t="inlineStr">
        <is>
          <t>Éclairage</t>
        </is>
      </c>
      <c r="E1135" s="7" t="inlineStr">
        <is>
          <t>Éclairage</t>
        </is>
      </c>
      <c r="F1135" s="7" t="inlineStr">
        <is>
          <t>PIECE_VEHICULE</t>
        </is>
      </c>
      <c r="G1135" s="7" t="inlineStr">
        <is>
          <t>unité</t>
        </is>
      </c>
      <c r="H1135" s="7" t="inlineStr">
        <is>
          <t>SMALL</t>
        </is>
      </c>
      <c r="I1135" s="7" t="n">
        <v>5</v>
      </c>
      <c r="J1135" s="7" t="inlineStr">
        <is>
          <t>F-03-03</t>
        </is>
      </c>
      <c r="K1135" s="7" t="inlineStr"/>
      <c r="L1135" s="9" t="n">
        <v>0</v>
      </c>
      <c r="M1135" s="9" t="n">
        <v>0</v>
      </c>
      <c r="N1135" s="9" t="n">
        <v>50</v>
      </c>
      <c r="O1135" s="7" t="inlineStr">
        <is>
          <t>SKF</t>
        </is>
      </c>
      <c r="P1135" s="7" t="inlineStr">
        <is>
          <t>STANDARD</t>
        </is>
      </c>
      <c r="Q1135" s="7" t="inlineStr">
        <is>
          <t>WHAP</t>
        </is>
      </c>
      <c r="R1135" s="7" t="inlineStr">
        <is>
          <t>OUI</t>
        </is>
      </c>
      <c r="S1135" s="7" t="inlineStr">
        <is>
          <t>31/08/2026 02:59</t>
        </is>
      </c>
    </row>
    <row r="1136">
      <c r="A1136" s="8" t="inlineStr">
        <is>
          <t>WHAP-1132</t>
        </is>
      </c>
      <c r="B1136" s="8" t="inlineStr">
        <is>
          <t>ECL-1132</t>
        </is>
      </c>
      <c r="C1136" s="8" t="inlineStr">
        <is>
          <t>interrupteur éclairage — arrière gauche</t>
        </is>
      </c>
      <c r="D1136" s="8" t="inlineStr">
        <is>
          <t>Éclairage</t>
        </is>
      </c>
      <c r="E1136" s="8" t="inlineStr">
        <is>
          <t>Éclairage</t>
        </is>
      </c>
      <c r="F1136" s="8" t="inlineStr">
        <is>
          <t>PIECE_VEHICULE</t>
        </is>
      </c>
      <c r="G1136" s="8" t="inlineStr">
        <is>
          <t>unité</t>
        </is>
      </c>
      <c r="H1136" s="8" t="inlineStr">
        <is>
          <t>SMALL</t>
        </is>
      </c>
      <c r="I1136" s="8" t="n">
        <v>5</v>
      </c>
      <c r="J1136" s="8" t="inlineStr">
        <is>
          <t>D-03-01</t>
        </is>
      </c>
      <c r="K1136" s="8" t="inlineStr"/>
      <c r="L1136" s="10" t="n">
        <v>0</v>
      </c>
      <c r="M1136" s="10" t="n">
        <v>0</v>
      </c>
      <c r="N1136" s="10" t="n">
        <v>44</v>
      </c>
      <c r="O1136" s="8" t="inlineStr">
        <is>
          <t>YZK</t>
        </is>
      </c>
      <c r="P1136" s="8" t="inlineStr">
        <is>
          <t>STANDARD</t>
        </is>
      </c>
      <c r="Q1136" s="8" t="inlineStr">
        <is>
          <t>WHAP</t>
        </is>
      </c>
      <c r="R1136" s="8" t="inlineStr">
        <is>
          <t>OUI</t>
        </is>
      </c>
      <c r="S1136" s="8" t="inlineStr">
        <is>
          <t>31/08/2026 02:59</t>
        </is>
      </c>
    </row>
    <row r="1137">
      <c r="A1137" s="7" t="inlineStr">
        <is>
          <t>WHAP-1133</t>
        </is>
      </c>
      <c r="B1137" s="7" t="inlineStr">
        <is>
          <t>ECL-1133</t>
        </is>
      </c>
      <c r="C1137" s="7" t="inlineStr">
        <is>
          <t>faisceau éclairage — arrière gauche</t>
        </is>
      </c>
      <c r="D1137" s="7" t="inlineStr">
        <is>
          <t>Éclairage</t>
        </is>
      </c>
      <c r="E1137" s="7" t="inlineStr">
        <is>
          <t>Éclairage</t>
        </is>
      </c>
      <c r="F1137" s="7" t="inlineStr">
        <is>
          <t>PIECE_VEHICULE</t>
        </is>
      </c>
      <c r="G1137" s="7" t="inlineStr">
        <is>
          <t>unité</t>
        </is>
      </c>
      <c r="H1137" s="7" t="inlineStr">
        <is>
          <t>SMALL</t>
        </is>
      </c>
      <c r="I1137" s="7" t="n">
        <v>5</v>
      </c>
      <c r="J1137" s="7" t="inlineStr">
        <is>
          <t>C-04-02</t>
        </is>
      </c>
      <c r="K1137" s="7" t="inlineStr"/>
      <c r="L1137" s="9" t="n">
        <v>0</v>
      </c>
      <c r="M1137" s="9" t="n">
        <v>0</v>
      </c>
      <c r="N1137" s="9" t="n">
        <v>48</v>
      </c>
      <c r="O1137" s="7" t="inlineStr">
        <is>
          <t>SUM</t>
        </is>
      </c>
      <c r="P1137" s="7" t="inlineStr">
        <is>
          <t>STANDARD</t>
        </is>
      </c>
      <c r="Q1137" s="7" t="inlineStr">
        <is>
          <t>WHAP</t>
        </is>
      </c>
      <c r="R1137" s="7" t="inlineStr">
        <is>
          <t>OUI</t>
        </is>
      </c>
      <c r="S1137" s="7" t="inlineStr">
        <is>
          <t>31/08/2026 02:59</t>
        </is>
      </c>
    </row>
    <row r="1138">
      <c r="A1138" s="8" t="inlineStr">
        <is>
          <t>WHAP-1134</t>
        </is>
      </c>
      <c r="B1138" s="8" t="inlineStr">
        <is>
          <t>ECL-1134</t>
        </is>
      </c>
      <c r="C1138" s="8" t="inlineStr">
        <is>
          <t>connecteur de phare — arrière gauche</t>
        </is>
      </c>
      <c r="D1138" s="8" t="inlineStr">
        <is>
          <t>Éclairage</t>
        </is>
      </c>
      <c r="E1138" s="8" t="inlineStr">
        <is>
          <t>Éclairage</t>
        </is>
      </c>
      <c r="F1138" s="8" t="inlineStr">
        <is>
          <t>PIECE_VEHICULE</t>
        </is>
      </c>
      <c r="G1138" s="8" t="inlineStr">
        <is>
          <t>unité</t>
        </is>
      </c>
      <c r="H1138" s="8" t="inlineStr">
        <is>
          <t>SMALL</t>
        </is>
      </c>
      <c r="I1138" s="8" t="n">
        <v>5</v>
      </c>
      <c r="J1138" s="8" t="inlineStr">
        <is>
          <t>F-06-03</t>
        </is>
      </c>
      <c r="K1138" s="8" t="inlineStr"/>
      <c r="L1138" s="10" t="n">
        <v>0</v>
      </c>
      <c r="M1138" s="10" t="n">
        <v>0</v>
      </c>
      <c r="N1138" s="10" t="n">
        <v>40</v>
      </c>
      <c r="O1138" s="8" t="inlineStr">
        <is>
          <t>CTL</t>
        </is>
      </c>
      <c r="P1138" s="8" t="inlineStr">
        <is>
          <t>STANDARD</t>
        </is>
      </c>
      <c r="Q1138" s="8" t="inlineStr">
        <is>
          <t>WHAP</t>
        </is>
      </c>
      <c r="R1138" s="8" t="inlineStr">
        <is>
          <t>OUI</t>
        </is>
      </c>
      <c r="S1138" s="8" t="inlineStr">
        <is>
          <t>31/08/2026 02:59</t>
        </is>
      </c>
    </row>
    <row r="1139">
      <c r="A1139" s="7" t="inlineStr">
        <is>
          <t>WHAP-1135</t>
        </is>
      </c>
      <c r="B1139" s="7" t="inlineStr">
        <is>
          <t>ECL-1135</t>
        </is>
      </c>
      <c r="C1139" s="7" t="inlineStr">
        <is>
          <t>fusible éclairage — arrière gauche</t>
        </is>
      </c>
      <c r="D1139" s="7" t="inlineStr">
        <is>
          <t>Éclairage</t>
        </is>
      </c>
      <c r="E1139" s="7" t="inlineStr">
        <is>
          <t>Éclairage</t>
        </is>
      </c>
      <c r="F1139" s="7" t="inlineStr">
        <is>
          <t>PIECE_VEHICULE</t>
        </is>
      </c>
      <c r="G1139" s="7" t="inlineStr">
        <is>
          <t>unité</t>
        </is>
      </c>
      <c r="H1139" s="7" t="inlineStr">
        <is>
          <t>SMALL</t>
        </is>
      </c>
      <c r="I1139" s="7" t="n">
        <v>5</v>
      </c>
      <c r="J1139" s="7" t="inlineStr">
        <is>
          <t>F-02-01</t>
        </is>
      </c>
      <c r="K1139" s="7" t="inlineStr"/>
      <c r="L1139" s="9" t="n">
        <v>0</v>
      </c>
      <c r="M1139" s="9" t="n">
        <v>0</v>
      </c>
      <c r="N1139" s="9" t="n">
        <v>41</v>
      </c>
      <c r="O1139" s="7" t="inlineStr">
        <is>
          <t>VAL</t>
        </is>
      </c>
      <c r="P1139" s="7" t="inlineStr">
        <is>
          <t>STANDARD</t>
        </is>
      </c>
      <c r="Q1139" s="7" t="inlineStr">
        <is>
          <t>WHAP</t>
        </is>
      </c>
      <c r="R1139" s="7" t="inlineStr">
        <is>
          <t>OUI</t>
        </is>
      </c>
      <c r="S1139" s="7" t="inlineStr">
        <is>
          <t>31/08/2026 02:59</t>
        </is>
      </c>
    </row>
    <row r="1140">
      <c r="A1140" s="8" t="inlineStr">
        <is>
          <t>WHAP-1136</t>
        </is>
      </c>
      <c r="B1140" s="8" t="inlineStr">
        <is>
          <t>ECL-1136</t>
        </is>
      </c>
      <c r="C1140" s="8" t="inlineStr">
        <is>
          <t>phare avant — arrière droit</t>
        </is>
      </c>
      <c r="D1140" s="8" t="inlineStr">
        <is>
          <t>Éclairage</t>
        </is>
      </c>
      <c r="E1140" s="8" t="inlineStr">
        <is>
          <t>Éclairage</t>
        </is>
      </c>
      <c r="F1140" s="8" t="inlineStr">
        <is>
          <t>PIECE_VEHICULE</t>
        </is>
      </c>
      <c r="G1140" s="8" t="inlineStr">
        <is>
          <t>unité</t>
        </is>
      </c>
      <c r="H1140" s="8" t="inlineStr">
        <is>
          <t>SMALL</t>
        </is>
      </c>
      <c r="I1140" s="8" t="n">
        <v>5</v>
      </c>
      <c r="J1140" s="8" t="inlineStr">
        <is>
          <t>A-01-03</t>
        </is>
      </c>
      <c r="K1140" s="8" t="inlineStr"/>
      <c r="L1140" s="10" t="n">
        <v>0</v>
      </c>
      <c r="M1140" s="10" t="n">
        <v>0</v>
      </c>
      <c r="N1140" s="10" t="n">
        <v>41</v>
      </c>
      <c r="O1140" s="8" t="inlineStr">
        <is>
          <t>HEL</t>
        </is>
      </c>
      <c r="P1140" s="8" t="inlineStr">
        <is>
          <t>STANDARD</t>
        </is>
      </c>
      <c r="Q1140" s="8" t="inlineStr">
        <is>
          <t>WHAP</t>
        </is>
      </c>
      <c r="R1140" s="8" t="inlineStr">
        <is>
          <t>OUI</t>
        </is>
      </c>
      <c r="S1140" s="8" t="inlineStr">
        <is>
          <t>31/08/2026 02:59</t>
        </is>
      </c>
    </row>
    <row r="1141">
      <c r="A1141" s="7" t="inlineStr">
        <is>
          <t>WHAP-1137</t>
        </is>
      </c>
      <c r="B1141" s="7" t="inlineStr">
        <is>
          <t>ECL-1137</t>
        </is>
      </c>
      <c r="C1141" s="7" t="inlineStr">
        <is>
          <t>projecteur LED — arrière droit</t>
        </is>
      </c>
      <c r="D1141" s="7" t="inlineStr">
        <is>
          <t>Éclairage</t>
        </is>
      </c>
      <c r="E1141" s="7" t="inlineStr">
        <is>
          <t>Éclairage</t>
        </is>
      </c>
      <c r="F1141" s="7" t="inlineStr">
        <is>
          <t>PIECE_VEHICULE</t>
        </is>
      </c>
      <c r="G1141" s="7" t="inlineStr">
        <is>
          <t>unité</t>
        </is>
      </c>
      <c r="H1141" s="7" t="inlineStr">
        <is>
          <t>SMALL</t>
        </is>
      </c>
      <c r="I1141" s="7" t="n">
        <v>5</v>
      </c>
      <c r="J1141" s="7" t="inlineStr">
        <is>
          <t>F-03-03</t>
        </is>
      </c>
      <c r="K1141" s="7" t="inlineStr"/>
      <c r="L1141" s="9" t="n">
        <v>0</v>
      </c>
      <c r="M1141" s="9" t="n">
        <v>0</v>
      </c>
      <c r="N1141" s="9" t="n">
        <v>40</v>
      </c>
      <c r="O1141" s="7" t="inlineStr">
        <is>
          <t>FAU</t>
        </is>
      </c>
      <c r="P1141" s="7" t="inlineStr">
        <is>
          <t>STANDARD</t>
        </is>
      </c>
      <c r="Q1141" s="7" t="inlineStr">
        <is>
          <t>WHAP</t>
        </is>
      </c>
      <c r="R1141" s="7" t="inlineStr">
        <is>
          <t>OUI</t>
        </is>
      </c>
      <c r="S1141" s="7" t="inlineStr">
        <is>
          <t>31/08/2026 02:59</t>
        </is>
      </c>
    </row>
    <row r="1142">
      <c r="A1142" s="8" t="inlineStr">
        <is>
          <t>WHAP-1138</t>
        </is>
      </c>
      <c r="B1142" s="8" t="inlineStr">
        <is>
          <t>ECL-1138</t>
        </is>
      </c>
      <c r="C1142" s="8" t="inlineStr">
        <is>
          <t>feu de position — arrière droit</t>
        </is>
      </c>
      <c r="D1142" s="8" t="inlineStr">
        <is>
          <t>Éclairage</t>
        </is>
      </c>
      <c r="E1142" s="8" t="inlineStr">
        <is>
          <t>Éclairage</t>
        </is>
      </c>
      <c r="F1142" s="8" t="inlineStr">
        <is>
          <t>PIECE_VEHICULE</t>
        </is>
      </c>
      <c r="G1142" s="8" t="inlineStr">
        <is>
          <t>unité</t>
        </is>
      </c>
      <c r="H1142" s="8" t="inlineStr">
        <is>
          <t>SMALL</t>
        </is>
      </c>
      <c r="I1142" s="8" t="n">
        <v>5</v>
      </c>
      <c r="J1142" s="8" t="inlineStr">
        <is>
          <t>A-04-02</t>
        </is>
      </c>
      <c r="K1142" s="8" t="inlineStr"/>
      <c r="L1142" s="10" t="n">
        <v>0</v>
      </c>
      <c r="M1142" s="10" t="n">
        <v>0</v>
      </c>
      <c r="N1142" s="10" t="n">
        <v>45</v>
      </c>
      <c r="O1142" s="8" t="inlineStr">
        <is>
          <t>MAG</t>
        </is>
      </c>
      <c r="P1142" s="8" t="inlineStr">
        <is>
          <t>STANDARD</t>
        </is>
      </c>
      <c r="Q1142" s="8" t="inlineStr">
        <is>
          <t>WHAP</t>
        </is>
      </c>
      <c r="R1142" s="8" t="inlineStr">
        <is>
          <t>OUI</t>
        </is>
      </c>
      <c r="S1142" s="8" t="inlineStr">
        <is>
          <t>31/08/2026 02:59</t>
        </is>
      </c>
    </row>
    <row r="1143">
      <c r="A1143" s="7" t="inlineStr">
        <is>
          <t>WHAP-1139</t>
        </is>
      </c>
      <c r="B1143" s="7" t="inlineStr">
        <is>
          <t>ECL-1139</t>
        </is>
      </c>
      <c r="C1143" s="7" t="inlineStr">
        <is>
          <t>feu arrière — arrière droit</t>
        </is>
      </c>
      <c r="D1143" s="7" t="inlineStr">
        <is>
          <t>Éclairage</t>
        </is>
      </c>
      <c r="E1143" s="7" t="inlineStr">
        <is>
          <t>Éclairage</t>
        </is>
      </c>
      <c r="F1143" s="7" t="inlineStr">
        <is>
          <t>PIECE_VEHICULE</t>
        </is>
      </c>
      <c r="G1143" s="7" t="inlineStr">
        <is>
          <t>unité</t>
        </is>
      </c>
      <c r="H1143" s="7" t="inlineStr">
        <is>
          <t>SMALL</t>
        </is>
      </c>
      <c r="I1143" s="7" t="n">
        <v>5</v>
      </c>
      <c r="J1143" s="7" t="inlineStr">
        <is>
          <t>C-02-03</t>
        </is>
      </c>
      <c r="K1143" s="7" t="inlineStr"/>
      <c r="L1143" s="9" t="n">
        <v>0</v>
      </c>
      <c r="M1143" s="9" t="n">
        <v>0</v>
      </c>
      <c r="N1143" s="9" t="n">
        <v>41</v>
      </c>
      <c r="O1143" s="7" t="inlineStr">
        <is>
          <t>MAG</t>
        </is>
      </c>
      <c r="P1143" s="7" t="inlineStr">
        <is>
          <t>STANDARD</t>
        </is>
      </c>
      <c r="Q1143" s="7" t="inlineStr">
        <is>
          <t>WHAP</t>
        </is>
      </c>
      <c r="R1143" s="7" t="inlineStr">
        <is>
          <t>OUI</t>
        </is>
      </c>
      <c r="S1143" s="7" t="inlineStr">
        <is>
          <t>31/08/2026 02:59</t>
        </is>
      </c>
    </row>
    <row r="1144">
      <c r="A1144" s="8" t="inlineStr">
        <is>
          <t>WHAP-1140</t>
        </is>
      </c>
      <c r="B1144" s="8" t="inlineStr">
        <is>
          <t>ECL-1140</t>
        </is>
      </c>
      <c r="C1144" s="8" t="inlineStr">
        <is>
          <t>feu stop — arrière droit</t>
        </is>
      </c>
      <c r="D1144" s="8" t="inlineStr">
        <is>
          <t>Éclairage</t>
        </is>
      </c>
      <c r="E1144" s="8" t="inlineStr">
        <is>
          <t>Éclairage</t>
        </is>
      </c>
      <c r="F1144" s="8" t="inlineStr">
        <is>
          <t>PIECE_VEHICULE</t>
        </is>
      </c>
      <c r="G1144" s="8" t="inlineStr">
        <is>
          <t>unité</t>
        </is>
      </c>
      <c r="H1144" s="8" t="inlineStr">
        <is>
          <t>SMALL</t>
        </is>
      </c>
      <c r="I1144" s="8" t="n">
        <v>5</v>
      </c>
      <c r="J1144" s="8" t="inlineStr">
        <is>
          <t>D-04-02</t>
        </is>
      </c>
      <c r="K1144" s="8" t="inlineStr"/>
      <c r="L1144" s="10" t="n">
        <v>0</v>
      </c>
      <c r="M1144" s="10" t="n">
        <v>0</v>
      </c>
      <c r="N1144" s="10" t="n">
        <v>45</v>
      </c>
      <c r="O1144" s="8" t="inlineStr">
        <is>
          <t>YZK</t>
        </is>
      </c>
      <c r="P1144" s="8" t="inlineStr">
        <is>
          <t>STANDARD</t>
        </is>
      </c>
      <c r="Q1144" s="8" t="inlineStr">
        <is>
          <t>WHAP</t>
        </is>
      </c>
      <c r="R1144" s="8" t="inlineStr">
        <is>
          <t>OUI</t>
        </is>
      </c>
      <c r="S1144" s="8" t="inlineStr">
        <is>
          <t>31/08/2026 02:59</t>
        </is>
      </c>
    </row>
    <row r="1145">
      <c r="A1145" s="7" t="inlineStr">
        <is>
          <t>WHAP-1141</t>
        </is>
      </c>
      <c r="B1145" s="7" t="inlineStr">
        <is>
          <t>ECL-1141</t>
        </is>
      </c>
      <c r="C1145" s="7" t="inlineStr">
        <is>
          <t>clignotant — arrière droit</t>
        </is>
      </c>
      <c r="D1145" s="7" t="inlineStr">
        <is>
          <t>Éclairage</t>
        </is>
      </c>
      <c r="E1145" s="7" t="inlineStr">
        <is>
          <t>Éclairage</t>
        </is>
      </c>
      <c r="F1145" s="7" t="inlineStr">
        <is>
          <t>PIECE_VEHICULE</t>
        </is>
      </c>
      <c r="G1145" s="7" t="inlineStr">
        <is>
          <t>unité</t>
        </is>
      </c>
      <c r="H1145" s="7" t="inlineStr">
        <is>
          <t>SMALL</t>
        </is>
      </c>
      <c r="I1145" s="7" t="n">
        <v>5</v>
      </c>
      <c r="J1145" s="7" t="inlineStr">
        <is>
          <t>C-03-02</t>
        </is>
      </c>
      <c r="K1145" s="7" t="inlineStr"/>
      <c r="L1145" s="9" t="n">
        <v>0</v>
      </c>
      <c r="M1145" s="9" t="n">
        <v>0</v>
      </c>
      <c r="N1145" s="9" t="n">
        <v>43</v>
      </c>
      <c r="O1145" s="7" t="inlineStr">
        <is>
          <t>DEL</t>
        </is>
      </c>
      <c r="P1145" s="7" t="inlineStr">
        <is>
          <t>STANDARD</t>
        </is>
      </c>
      <c r="Q1145" s="7" t="inlineStr">
        <is>
          <t>WHAP</t>
        </is>
      </c>
      <c r="R1145" s="7" t="inlineStr">
        <is>
          <t>OUI</t>
        </is>
      </c>
      <c r="S1145" s="7" t="inlineStr">
        <is>
          <t>31/08/2026 02:59</t>
        </is>
      </c>
    </row>
    <row r="1146">
      <c r="A1146" s="8" t="inlineStr">
        <is>
          <t>WHAP-1142</t>
        </is>
      </c>
      <c r="B1146" s="8" t="inlineStr">
        <is>
          <t>ECL-1142</t>
        </is>
      </c>
      <c r="C1146" s="8" t="inlineStr">
        <is>
          <t>feu de recul — arrière droit</t>
        </is>
      </c>
      <c r="D1146" s="8" t="inlineStr">
        <is>
          <t>Éclairage</t>
        </is>
      </c>
      <c r="E1146" s="8" t="inlineStr">
        <is>
          <t>Éclairage</t>
        </is>
      </c>
      <c r="F1146" s="8" t="inlineStr">
        <is>
          <t>PIECE_VEHICULE</t>
        </is>
      </c>
      <c r="G1146" s="8" t="inlineStr">
        <is>
          <t>unité</t>
        </is>
      </c>
      <c r="H1146" s="8" t="inlineStr">
        <is>
          <t>SMALL</t>
        </is>
      </c>
      <c r="I1146" s="8" t="n">
        <v>5</v>
      </c>
      <c r="J1146" s="8" t="inlineStr">
        <is>
          <t>D-05-03</t>
        </is>
      </c>
      <c r="K1146" s="8" t="inlineStr"/>
      <c r="L1146" s="10" t="n">
        <v>0</v>
      </c>
      <c r="M1146" s="10" t="n">
        <v>0</v>
      </c>
      <c r="N1146" s="10" t="n">
        <v>45</v>
      </c>
      <c r="O1146" s="8" t="inlineStr">
        <is>
          <t>CTL</t>
        </is>
      </c>
      <c r="P1146" s="8" t="inlineStr">
        <is>
          <t>STANDARD</t>
        </is>
      </c>
      <c r="Q1146" s="8" t="inlineStr">
        <is>
          <t>WHAP</t>
        </is>
      </c>
      <c r="R1146" s="8" t="inlineStr">
        <is>
          <t>OUI</t>
        </is>
      </c>
      <c r="S1146" s="8" t="inlineStr">
        <is>
          <t>31/08/2026 02:59</t>
        </is>
      </c>
    </row>
    <row r="1147">
      <c r="A1147" s="7" t="inlineStr">
        <is>
          <t>WHAP-1143</t>
        </is>
      </c>
      <c r="B1147" s="7" t="inlineStr">
        <is>
          <t>ECL-1143</t>
        </is>
      </c>
      <c r="C1147" s="7" t="inlineStr">
        <is>
          <t>feu antibrouillard — arrière droit</t>
        </is>
      </c>
      <c r="D1147" s="7" t="inlineStr">
        <is>
          <t>Éclairage</t>
        </is>
      </c>
      <c r="E1147" s="7" t="inlineStr">
        <is>
          <t>Éclairage</t>
        </is>
      </c>
      <c r="F1147" s="7" t="inlineStr">
        <is>
          <t>PIECE_VEHICULE</t>
        </is>
      </c>
      <c r="G1147" s="7" t="inlineStr">
        <is>
          <t>unité</t>
        </is>
      </c>
      <c r="H1147" s="7" t="inlineStr">
        <is>
          <t>SMALL</t>
        </is>
      </c>
      <c r="I1147" s="7" t="n">
        <v>5</v>
      </c>
      <c r="J1147" s="7" t="inlineStr">
        <is>
          <t>A-05-04</t>
        </is>
      </c>
      <c r="K1147" s="7" t="inlineStr"/>
      <c r="L1147" s="9" t="n">
        <v>0</v>
      </c>
      <c r="M1147" s="9" t="n">
        <v>0</v>
      </c>
      <c r="N1147" s="9" t="n">
        <v>42</v>
      </c>
      <c r="O1147" s="7" t="inlineStr">
        <is>
          <t>DEL</t>
        </is>
      </c>
      <c r="P1147" s="7" t="inlineStr">
        <is>
          <t>STANDARD</t>
        </is>
      </c>
      <c r="Q1147" s="7" t="inlineStr">
        <is>
          <t>WHAP</t>
        </is>
      </c>
      <c r="R1147" s="7" t="inlineStr">
        <is>
          <t>OUI</t>
        </is>
      </c>
      <c r="S1147" s="7" t="inlineStr">
        <is>
          <t>31/08/2026 02:59</t>
        </is>
      </c>
    </row>
    <row r="1148">
      <c r="A1148" s="8" t="inlineStr">
        <is>
          <t>WHAP-1144</t>
        </is>
      </c>
      <c r="B1148" s="8" t="inlineStr">
        <is>
          <t>ECL-1144</t>
        </is>
      </c>
      <c r="C1148" s="8" t="inlineStr">
        <is>
          <t>éclairage intérieur — arrière droit</t>
        </is>
      </c>
      <c r="D1148" s="8" t="inlineStr">
        <is>
          <t>Éclairage</t>
        </is>
      </c>
      <c r="E1148" s="8" t="inlineStr">
        <is>
          <t>Éclairage</t>
        </is>
      </c>
      <c r="F1148" s="8" t="inlineStr">
        <is>
          <t>PIECE_VEHICULE</t>
        </is>
      </c>
      <c r="G1148" s="8" t="inlineStr">
        <is>
          <t>unité</t>
        </is>
      </c>
      <c r="H1148" s="8" t="inlineStr">
        <is>
          <t>SMALL</t>
        </is>
      </c>
      <c r="I1148" s="8" t="n">
        <v>5</v>
      </c>
      <c r="J1148" s="8" t="inlineStr">
        <is>
          <t>D-04-02</t>
        </is>
      </c>
      <c r="K1148" s="8" t="inlineStr"/>
      <c r="L1148" s="10" t="n">
        <v>0</v>
      </c>
      <c r="M1148" s="10" t="n">
        <v>0</v>
      </c>
      <c r="N1148" s="10" t="n">
        <v>45</v>
      </c>
      <c r="O1148" s="8" t="inlineStr">
        <is>
          <t>VAL</t>
        </is>
      </c>
      <c r="P1148" s="8" t="inlineStr">
        <is>
          <t>STANDARD</t>
        </is>
      </c>
      <c r="Q1148" s="8" t="inlineStr">
        <is>
          <t>WHAP</t>
        </is>
      </c>
      <c r="R1148" s="8" t="inlineStr">
        <is>
          <t>OUI</t>
        </is>
      </c>
      <c r="S1148" s="8" t="inlineStr">
        <is>
          <t>31/08/2026 02:59</t>
        </is>
      </c>
    </row>
    <row r="1149">
      <c r="A1149" s="7" t="inlineStr">
        <is>
          <t>WHAP-1145</t>
        </is>
      </c>
      <c r="B1149" s="7" t="inlineStr">
        <is>
          <t>ECL-1145</t>
        </is>
      </c>
      <c r="C1149" s="7" t="inlineStr">
        <is>
          <t>éclairage compartiment moteur — arrière droit</t>
        </is>
      </c>
      <c r="D1149" s="7" t="inlineStr">
        <is>
          <t>Éclairage</t>
        </is>
      </c>
      <c r="E1149" s="7" t="inlineStr">
        <is>
          <t>Éclairage</t>
        </is>
      </c>
      <c r="F1149" s="7" t="inlineStr">
        <is>
          <t>PIECE_VEHICULE</t>
        </is>
      </c>
      <c r="G1149" s="7" t="inlineStr">
        <is>
          <t>unité</t>
        </is>
      </c>
      <c r="H1149" s="7" t="inlineStr">
        <is>
          <t>SMALL</t>
        </is>
      </c>
      <c r="I1149" s="7" t="n">
        <v>5</v>
      </c>
      <c r="J1149" s="7" t="inlineStr">
        <is>
          <t>B-04-02</t>
        </is>
      </c>
      <c r="K1149" s="7" t="inlineStr"/>
      <c r="L1149" s="9" t="n">
        <v>0</v>
      </c>
      <c r="M1149" s="9" t="n">
        <v>0</v>
      </c>
      <c r="N1149" s="9" t="n">
        <v>45</v>
      </c>
      <c r="O1149" s="7" t="inlineStr">
        <is>
          <t>FAU</t>
        </is>
      </c>
      <c r="P1149" s="7" t="inlineStr">
        <is>
          <t>STANDARD</t>
        </is>
      </c>
      <c r="Q1149" s="7" t="inlineStr">
        <is>
          <t>WHAP</t>
        </is>
      </c>
      <c r="R1149" s="7" t="inlineStr">
        <is>
          <t>OUI</t>
        </is>
      </c>
      <c r="S1149" s="7" t="inlineStr">
        <is>
          <t>31/08/2026 02:59</t>
        </is>
      </c>
    </row>
    <row r="1150">
      <c r="A1150" s="8" t="inlineStr">
        <is>
          <t>WHAP-1146</t>
        </is>
      </c>
      <c r="B1150" s="8" t="inlineStr">
        <is>
          <t>ECL-1146</t>
        </is>
      </c>
      <c r="C1150" s="8" t="inlineStr">
        <is>
          <t>éclairage poste de conduite — arrière droit</t>
        </is>
      </c>
      <c r="D1150" s="8" t="inlineStr">
        <is>
          <t>Éclairage</t>
        </is>
      </c>
      <c r="E1150" s="8" t="inlineStr">
        <is>
          <t>Éclairage</t>
        </is>
      </c>
      <c r="F1150" s="8" t="inlineStr">
        <is>
          <t>PIECE_VEHICULE</t>
        </is>
      </c>
      <c r="G1150" s="8" t="inlineStr">
        <is>
          <t>unité</t>
        </is>
      </c>
      <c r="H1150" s="8" t="inlineStr">
        <is>
          <t>SMALL</t>
        </is>
      </c>
      <c r="I1150" s="8" t="n">
        <v>5</v>
      </c>
      <c r="J1150" s="8" t="inlineStr">
        <is>
          <t>E-05-02</t>
        </is>
      </c>
      <c r="K1150" s="8" t="inlineStr"/>
      <c r="L1150" s="10" t="n">
        <v>0</v>
      </c>
      <c r="M1150" s="10" t="n">
        <v>0</v>
      </c>
      <c r="N1150" s="10" t="n">
        <v>48</v>
      </c>
      <c r="O1150" s="8" t="inlineStr">
        <is>
          <t>MAG</t>
        </is>
      </c>
      <c r="P1150" s="8" t="inlineStr">
        <is>
          <t>STANDARD</t>
        </is>
      </c>
      <c r="Q1150" s="8" t="inlineStr">
        <is>
          <t>WHAP</t>
        </is>
      </c>
      <c r="R1150" s="8" t="inlineStr">
        <is>
          <t>OUI</t>
        </is>
      </c>
      <c r="S1150" s="8" t="inlineStr">
        <is>
          <t>31/08/2026 02:59</t>
        </is>
      </c>
    </row>
    <row r="1151">
      <c r="A1151" s="7" t="inlineStr">
        <is>
          <t>WHAP-1147</t>
        </is>
      </c>
      <c r="B1151" s="7" t="inlineStr">
        <is>
          <t>ECL-1147</t>
        </is>
      </c>
      <c r="C1151" s="7" t="inlineStr">
        <is>
          <t>gyrophare — arrière droit</t>
        </is>
      </c>
      <c r="D1151" s="7" t="inlineStr">
        <is>
          <t>Éclairage</t>
        </is>
      </c>
      <c r="E1151" s="7" t="inlineStr">
        <is>
          <t>Éclairage</t>
        </is>
      </c>
      <c r="F1151" s="7" t="inlineStr">
        <is>
          <t>PIECE_VEHICULE</t>
        </is>
      </c>
      <c r="G1151" s="7" t="inlineStr">
        <is>
          <t>unité</t>
        </is>
      </c>
      <c r="H1151" s="7" t="inlineStr">
        <is>
          <t>SMALL</t>
        </is>
      </c>
      <c r="I1151" s="7" t="n">
        <v>5</v>
      </c>
      <c r="J1151" s="7" t="inlineStr">
        <is>
          <t>B-06-02</t>
        </is>
      </c>
      <c r="K1151" s="7" t="inlineStr"/>
      <c r="L1151" s="9" t="n">
        <v>0</v>
      </c>
      <c r="M1151" s="9" t="n">
        <v>0</v>
      </c>
      <c r="N1151" s="9" t="n">
        <v>48</v>
      </c>
      <c r="O1151" s="7" t="inlineStr">
        <is>
          <t>FAU</t>
        </is>
      </c>
      <c r="P1151" s="7" t="inlineStr">
        <is>
          <t>STANDARD</t>
        </is>
      </c>
      <c r="Q1151" s="7" t="inlineStr">
        <is>
          <t>WHAP</t>
        </is>
      </c>
      <c r="R1151" s="7" t="inlineStr">
        <is>
          <t>OUI</t>
        </is>
      </c>
      <c r="S1151" s="7" t="inlineStr">
        <is>
          <t>31/08/2026 02:59</t>
        </is>
      </c>
    </row>
    <row r="1152">
      <c r="A1152" s="8" t="inlineStr">
        <is>
          <t>WHAP-1148</t>
        </is>
      </c>
      <c r="B1152" s="8" t="inlineStr">
        <is>
          <t>ECL-1148</t>
        </is>
      </c>
      <c r="C1152" s="8" t="inlineStr">
        <is>
          <t>lampe de lecture — arrière droit</t>
        </is>
      </c>
      <c r="D1152" s="8" t="inlineStr">
        <is>
          <t>Éclairage</t>
        </is>
      </c>
      <c r="E1152" s="8" t="inlineStr">
        <is>
          <t>Éclairage</t>
        </is>
      </c>
      <c r="F1152" s="8" t="inlineStr">
        <is>
          <t>PIECE_VEHICULE</t>
        </is>
      </c>
      <c r="G1152" s="8" t="inlineStr">
        <is>
          <t>unité</t>
        </is>
      </c>
      <c r="H1152" s="8" t="inlineStr">
        <is>
          <t>SMALL</t>
        </is>
      </c>
      <c r="I1152" s="8" t="n">
        <v>5</v>
      </c>
      <c r="J1152" s="8" t="inlineStr">
        <is>
          <t>A-01-03</t>
        </is>
      </c>
      <c r="K1152" s="8" t="inlineStr"/>
      <c r="L1152" s="10" t="n">
        <v>0</v>
      </c>
      <c r="M1152" s="10" t="n">
        <v>0</v>
      </c>
      <c r="N1152" s="10" t="n">
        <v>48</v>
      </c>
      <c r="O1152" s="8" t="inlineStr">
        <is>
          <t>SUM</t>
        </is>
      </c>
      <c r="P1152" s="8" t="inlineStr">
        <is>
          <t>STANDARD</t>
        </is>
      </c>
      <c r="Q1152" s="8" t="inlineStr">
        <is>
          <t>WHAP</t>
        </is>
      </c>
      <c r="R1152" s="8" t="inlineStr">
        <is>
          <t>OUI</t>
        </is>
      </c>
      <c r="S1152" s="8" t="inlineStr">
        <is>
          <t>31/08/2026 02:59</t>
        </is>
      </c>
    </row>
    <row r="1153">
      <c r="A1153" s="7" t="inlineStr">
        <is>
          <t>WHAP-1149</t>
        </is>
      </c>
      <c r="B1153" s="7" t="inlineStr">
        <is>
          <t>ECL-1149</t>
        </is>
      </c>
      <c r="C1153" s="7" t="inlineStr">
        <is>
          <t>projecteur de recherche — arrière droit</t>
        </is>
      </c>
      <c r="D1153" s="7" t="inlineStr">
        <is>
          <t>Éclairage</t>
        </is>
      </c>
      <c r="E1153" s="7" t="inlineStr">
        <is>
          <t>Éclairage</t>
        </is>
      </c>
      <c r="F1153" s="7" t="inlineStr">
        <is>
          <t>PIECE_VEHICULE</t>
        </is>
      </c>
      <c r="G1153" s="7" t="inlineStr">
        <is>
          <t>unité</t>
        </is>
      </c>
      <c r="H1153" s="7" t="inlineStr">
        <is>
          <t>SMALL</t>
        </is>
      </c>
      <c r="I1153" s="7" t="n">
        <v>5</v>
      </c>
      <c r="J1153" s="7" t="inlineStr">
        <is>
          <t>E-05-02</t>
        </is>
      </c>
      <c r="K1153" s="7" t="inlineStr"/>
      <c r="L1153" s="9" t="n">
        <v>0</v>
      </c>
      <c r="M1153" s="9" t="n">
        <v>0</v>
      </c>
      <c r="N1153" s="9" t="n">
        <v>42</v>
      </c>
      <c r="O1153" s="7" t="inlineStr">
        <is>
          <t>MAG</t>
        </is>
      </c>
      <c r="P1153" s="7" t="inlineStr">
        <is>
          <t>STANDARD</t>
        </is>
      </c>
      <c r="Q1153" s="7" t="inlineStr">
        <is>
          <t>WHAP</t>
        </is>
      </c>
      <c r="R1153" s="7" t="inlineStr">
        <is>
          <t>OUI</t>
        </is>
      </c>
      <c r="S1153" s="7" t="inlineStr">
        <is>
          <t>31/08/2026 02:59</t>
        </is>
      </c>
    </row>
    <row r="1154">
      <c r="A1154" s="8" t="inlineStr">
        <is>
          <t>WHAP-1150</t>
        </is>
      </c>
      <c r="B1154" s="8" t="inlineStr">
        <is>
          <t>ECL-1150</t>
        </is>
      </c>
      <c r="C1154" s="8" t="inlineStr">
        <is>
          <t>module LED — arrière droit</t>
        </is>
      </c>
      <c r="D1154" s="8" t="inlineStr">
        <is>
          <t>Éclairage</t>
        </is>
      </c>
      <c r="E1154" s="8" t="inlineStr">
        <is>
          <t>Éclairage</t>
        </is>
      </c>
      <c r="F1154" s="8" t="inlineStr">
        <is>
          <t>PIECE_VEHICULE</t>
        </is>
      </c>
      <c r="G1154" s="8" t="inlineStr">
        <is>
          <t>unité</t>
        </is>
      </c>
      <c r="H1154" s="8" t="inlineStr">
        <is>
          <t>SMALL</t>
        </is>
      </c>
      <c r="I1154" s="8" t="n">
        <v>5</v>
      </c>
      <c r="J1154" s="8" t="inlineStr">
        <is>
          <t>C-03-01</t>
        </is>
      </c>
      <c r="K1154" s="8" t="inlineStr"/>
      <c r="L1154" s="10" t="n">
        <v>0</v>
      </c>
      <c r="M1154" s="10" t="n">
        <v>0</v>
      </c>
      <c r="N1154" s="10" t="n">
        <v>47</v>
      </c>
      <c r="O1154" s="8" t="inlineStr">
        <is>
          <t>HEL</t>
        </is>
      </c>
      <c r="P1154" s="8" t="inlineStr">
        <is>
          <t>STANDARD</t>
        </is>
      </c>
      <c r="Q1154" s="8" t="inlineStr">
        <is>
          <t>WHAP</t>
        </is>
      </c>
      <c r="R1154" s="8" t="inlineStr">
        <is>
          <t>OUI</t>
        </is>
      </c>
      <c r="S1154" s="8" t="inlineStr">
        <is>
          <t>31/08/2026 02:59</t>
        </is>
      </c>
    </row>
    <row r="1155">
      <c r="A1155" s="7" t="inlineStr">
        <is>
          <t>WHAP-1151</t>
        </is>
      </c>
      <c r="B1155" s="7" t="inlineStr">
        <is>
          <t>ECL-1151</t>
        </is>
      </c>
      <c r="C1155" s="7" t="inlineStr">
        <is>
          <t>lentille — arrière droit</t>
        </is>
      </c>
      <c r="D1155" s="7" t="inlineStr">
        <is>
          <t>Éclairage</t>
        </is>
      </c>
      <c r="E1155" s="7" t="inlineStr">
        <is>
          <t>Éclairage</t>
        </is>
      </c>
      <c r="F1155" s="7" t="inlineStr">
        <is>
          <t>PIECE_VEHICULE</t>
        </is>
      </c>
      <c r="G1155" s="7" t="inlineStr">
        <is>
          <t>unité</t>
        </is>
      </c>
      <c r="H1155" s="7" t="inlineStr">
        <is>
          <t>SMALL</t>
        </is>
      </c>
      <c r="I1155" s="7" t="n">
        <v>5</v>
      </c>
      <c r="J1155" s="7" t="inlineStr">
        <is>
          <t>C-03-04</t>
        </is>
      </c>
      <c r="K1155" s="7" t="inlineStr"/>
      <c r="L1155" s="9" t="n">
        <v>0</v>
      </c>
      <c r="M1155" s="9" t="n">
        <v>0</v>
      </c>
      <c r="N1155" s="9" t="n">
        <v>41</v>
      </c>
      <c r="O1155" s="7" t="inlineStr">
        <is>
          <t>DEL</t>
        </is>
      </c>
      <c r="P1155" s="7" t="inlineStr">
        <is>
          <t>STANDARD</t>
        </is>
      </c>
      <c r="Q1155" s="7" t="inlineStr">
        <is>
          <t>WHAP</t>
        </is>
      </c>
      <c r="R1155" s="7" t="inlineStr">
        <is>
          <t>OUI</t>
        </is>
      </c>
      <c r="S1155" s="7" t="inlineStr">
        <is>
          <t>31/08/2026 02:59</t>
        </is>
      </c>
    </row>
    <row r="1156">
      <c r="A1156" s="8" t="inlineStr">
        <is>
          <t>WHAP-1152</t>
        </is>
      </c>
      <c r="B1156" s="8" t="inlineStr">
        <is>
          <t>ECL-1152</t>
        </is>
      </c>
      <c r="C1156" s="8" t="inlineStr">
        <is>
          <t>réflecteur — arrière droit</t>
        </is>
      </c>
      <c r="D1156" s="8" t="inlineStr">
        <is>
          <t>Éclairage</t>
        </is>
      </c>
      <c r="E1156" s="8" t="inlineStr">
        <is>
          <t>Éclairage</t>
        </is>
      </c>
      <c r="F1156" s="8" t="inlineStr">
        <is>
          <t>PIECE_VEHICULE</t>
        </is>
      </c>
      <c r="G1156" s="8" t="inlineStr">
        <is>
          <t>unité</t>
        </is>
      </c>
      <c r="H1156" s="8" t="inlineStr">
        <is>
          <t>SMALL</t>
        </is>
      </c>
      <c r="I1156" s="8" t="n">
        <v>5</v>
      </c>
      <c r="J1156" s="8" t="inlineStr">
        <is>
          <t>A-01-03</t>
        </is>
      </c>
      <c r="K1156" s="8" t="inlineStr"/>
      <c r="L1156" s="10" t="n">
        <v>0</v>
      </c>
      <c r="M1156" s="10" t="n">
        <v>0</v>
      </c>
      <c r="N1156" s="10" t="n">
        <v>40</v>
      </c>
      <c r="O1156" s="8" t="inlineStr">
        <is>
          <t>DEL</t>
        </is>
      </c>
      <c r="P1156" s="8" t="inlineStr">
        <is>
          <t>STANDARD</t>
        </is>
      </c>
      <c r="Q1156" s="8" t="inlineStr">
        <is>
          <t>WHAP</t>
        </is>
      </c>
      <c r="R1156" s="8" t="inlineStr">
        <is>
          <t>OUI</t>
        </is>
      </c>
      <c r="S1156" s="8" t="inlineStr">
        <is>
          <t>31/08/2026 02:59</t>
        </is>
      </c>
    </row>
    <row r="1157">
      <c r="A1157" s="7" t="inlineStr">
        <is>
          <t>WHAP-1153</t>
        </is>
      </c>
      <c r="B1157" s="7" t="inlineStr">
        <is>
          <t>ECL-1153</t>
        </is>
      </c>
      <c r="C1157" s="7" t="inlineStr">
        <is>
          <t>support de phare — arrière droit</t>
        </is>
      </c>
      <c r="D1157" s="7" t="inlineStr">
        <is>
          <t>Éclairage</t>
        </is>
      </c>
      <c r="E1157" s="7" t="inlineStr">
        <is>
          <t>Éclairage</t>
        </is>
      </c>
      <c r="F1157" s="7" t="inlineStr">
        <is>
          <t>PIECE_VEHICULE</t>
        </is>
      </c>
      <c r="G1157" s="7" t="inlineStr">
        <is>
          <t>unité</t>
        </is>
      </c>
      <c r="H1157" s="7" t="inlineStr">
        <is>
          <t>SMALL</t>
        </is>
      </c>
      <c r="I1157" s="7" t="n">
        <v>5</v>
      </c>
      <c r="J1157" s="7" t="inlineStr">
        <is>
          <t>E-05-03</t>
        </is>
      </c>
      <c r="K1157" s="7" t="inlineStr"/>
      <c r="L1157" s="9" t="n">
        <v>0</v>
      </c>
      <c r="M1157" s="9" t="n">
        <v>0</v>
      </c>
      <c r="N1157" s="9" t="n">
        <v>42</v>
      </c>
      <c r="O1157" s="7" t="inlineStr">
        <is>
          <t>BOS</t>
        </is>
      </c>
      <c r="P1157" s="7" t="inlineStr">
        <is>
          <t>STANDARD</t>
        </is>
      </c>
      <c r="Q1157" s="7" t="inlineStr">
        <is>
          <t>WHAP</t>
        </is>
      </c>
      <c r="R1157" s="7" t="inlineStr">
        <is>
          <t>OUI</t>
        </is>
      </c>
      <c r="S1157" s="7" t="inlineStr">
        <is>
          <t>31/08/2026 02:59</t>
        </is>
      </c>
    </row>
    <row r="1158">
      <c r="A1158" s="8" t="inlineStr">
        <is>
          <t>WHAP-1154</t>
        </is>
      </c>
      <c r="B1158" s="8" t="inlineStr">
        <is>
          <t>ECL-1154</t>
        </is>
      </c>
      <c r="C1158" s="8" t="inlineStr">
        <is>
          <t>interrupteur éclairage — arrière droit</t>
        </is>
      </c>
      <c r="D1158" s="8" t="inlineStr">
        <is>
          <t>Éclairage</t>
        </is>
      </c>
      <c r="E1158" s="8" t="inlineStr">
        <is>
          <t>Éclairage</t>
        </is>
      </c>
      <c r="F1158" s="8" t="inlineStr">
        <is>
          <t>PIECE_VEHICULE</t>
        </is>
      </c>
      <c r="G1158" s="8" t="inlineStr">
        <is>
          <t>unité</t>
        </is>
      </c>
      <c r="H1158" s="8" t="inlineStr">
        <is>
          <t>SMALL</t>
        </is>
      </c>
      <c r="I1158" s="8" t="n">
        <v>5</v>
      </c>
      <c r="J1158" s="8" t="inlineStr">
        <is>
          <t>E-03-04</t>
        </is>
      </c>
      <c r="K1158" s="8" t="inlineStr"/>
      <c r="L1158" s="10" t="n">
        <v>0</v>
      </c>
      <c r="M1158" s="10" t="n">
        <v>0</v>
      </c>
      <c r="N1158" s="10" t="n">
        <v>41</v>
      </c>
      <c r="O1158" s="8" t="inlineStr">
        <is>
          <t>HEL</t>
        </is>
      </c>
      <c r="P1158" s="8" t="inlineStr">
        <is>
          <t>STANDARD</t>
        </is>
      </c>
      <c r="Q1158" s="8" t="inlineStr">
        <is>
          <t>WHAP</t>
        </is>
      </c>
      <c r="R1158" s="8" t="inlineStr">
        <is>
          <t>OUI</t>
        </is>
      </c>
      <c r="S1158" s="8" t="inlineStr">
        <is>
          <t>31/08/2026 02:59</t>
        </is>
      </c>
    </row>
    <row r="1159">
      <c r="A1159" s="7" t="inlineStr">
        <is>
          <t>WHAP-1155</t>
        </is>
      </c>
      <c r="B1159" s="7" t="inlineStr">
        <is>
          <t>ECL-1155</t>
        </is>
      </c>
      <c r="C1159" s="7" t="inlineStr">
        <is>
          <t>faisceau éclairage — arrière droit</t>
        </is>
      </c>
      <c r="D1159" s="7" t="inlineStr">
        <is>
          <t>Éclairage</t>
        </is>
      </c>
      <c r="E1159" s="7" t="inlineStr">
        <is>
          <t>Éclairage</t>
        </is>
      </c>
      <c r="F1159" s="7" t="inlineStr">
        <is>
          <t>PIECE_VEHICULE</t>
        </is>
      </c>
      <c r="G1159" s="7" t="inlineStr">
        <is>
          <t>unité</t>
        </is>
      </c>
      <c r="H1159" s="7" t="inlineStr">
        <is>
          <t>SMALL</t>
        </is>
      </c>
      <c r="I1159" s="7" t="n">
        <v>5</v>
      </c>
      <c r="J1159" s="7" t="inlineStr">
        <is>
          <t>C-03-01</t>
        </is>
      </c>
      <c r="K1159" s="7" t="inlineStr"/>
      <c r="L1159" s="9" t="n">
        <v>0</v>
      </c>
      <c r="M1159" s="9" t="n">
        <v>0</v>
      </c>
      <c r="N1159" s="9" t="n">
        <v>47</v>
      </c>
      <c r="O1159" s="7" t="inlineStr">
        <is>
          <t>HEL</t>
        </is>
      </c>
      <c r="P1159" s="7" t="inlineStr">
        <is>
          <t>STANDARD</t>
        </is>
      </c>
      <c r="Q1159" s="7" t="inlineStr">
        <is>
          <t>WHAP</t>
        </is>
      </c>
      <c r="R1159" s="7" t="inlineStr">
        <is>
          <t>OUI</t>
        </is>
      </c>
      <c r="S1159" s="7" t="inlineStr">
        <is>
          <t>31/08/2026 02:59</t>
        </is>
      </c>
    </row>
    <row r="1160">
      <c r="A1160" s="8" t="inlineStr">
        <is>
          <t>WHAP-1156</t>
        </is>
      </c>
      <c r="B1160" s="8" t="inlineStr">
        <is>
          <t>ECL-1156</t>
        </is>
      </c>
      <c r="C1160" s="8" t="inlineStr">
        <is>
          <t>connecteur de phare — arrière droit</t>
        </is>
      </c>
      <c r="D1160" s="8" t="inlineStr">
        <is>
          <t>Éclairage</t>
        </is>
      </c>
      <c r="E1160" s="8" t="inlineStr">
        <is>
          <t>Éclairage</t>
        </is>
      </c>
      <c r="F1160" s="8" t="inlineStr">
        <is>
          <t>PIECE_VEHICULE</t>
        </is>
      </c>
      <c r="G1160" s="8" t="inlineStr">
        <is>
          <t>unité</t>
        </is>
      </c>
      <c r="H1160" s="8" t="inlineStr">
        <is>
          <t>SMALL</t>
        </is>
      </c>
      <c r="I1160" s="8" t="n">
        <v>5</v>
      </c>
      <c r="J1160" s="8" t="inlineStr">
        <is>
          <t>F-06-01</t>
        </is>
      </c>
      <c r="K1160" s="8" t="inlineStr"/>
      <c r="L1160" s="10" t="n">
        <v>0</v>
      </c>
      <c r="M1160" s="10" t="n">
        <v>0</v>
      </c>
      <c r="N1160" s="10" t="n">
        <v>43</v>
      </c>
      <c r="O1160" s="8" t="inlineStr">
        <is>
          <t>SKF</t>
        </is>
      </c>
      <c r="P1160" s="8" t="inlineStr">
        <is>
          <t>STANDARD</t>
        </is>
      </c>
      <c r="Q1160" s="8" t="inlineStr">
        <is>
          <t>WHAP</t>
        </is>
      </c>
      <c r="R1160" s="8" t="inlineStr">
        <is>
          <t>OUI</t>
        </is>
      </c>
      <c r="S1160" s="8" t="inlineStr">
        <is>
          <t>31/08/2026 02:59</t>
        </is>
      </c>
    </row>
    <row r="1161">
      <c r="A1161" s="7" t="inlineStr">
        <is>
          <t>WHAP-1157</t>
        </is>
      </c>
      <c r="B1161" s="7" t="inlineStr">
        <is>
          <t>ECL-1157</t>
        </is>
      </c>
      <c r="C1161" s="7" t="inlineStr">
        <is>
          <t>fusible éclairage — arrière droit</t>
        </is>
      </c>
      <c r="D1161" s="7" t="inlineStr">
        <is>
          <t>Éclairage</t>
        </is>
      </c>
      <c r="E1161" s="7" t="inlineStr">
        <is>
          <t>Éclairage</t>
        </is>
      </c>
      <c r="F1161" s="7" t="inlineStr">
        <is>
          <t>PIECE_VEHICULE</t>
        </is>
      </c>
      <c r="G1161" s="7" t="inlineStr">
        <is>
          <t>unité</t>
        </is>
      </c>
      <c r="H1161" s="7" t="inlineStr">
        <is>
          <t>SMALL</t>
        </is>
      </c>
      <c r="I1161" s="7" t="n">
        <v>5</v>
      </c>
      <c r="J1161" s="7" t="inlineStr">
        <is>
          <t>B-01-03</t>
        </is>
      </c>
      <c r="K1161" s="7" t="inlineStr"/>
      <c r="L1161" s="9" t="n">
        <v>0</v>
      </c>
      <c r="M1161" s="9" t="n">
        <v>0</v>
      </c>
      <c r="N1161" s="9" t="n">
        <v>50</v>
      </c>
      <c r="O1161" s="7" t="inlineStr">
        <is>
          <t>VAL</t>
        </is>
      </c>
      <c r="P1161" s="7" t="inlineStr">
        <is>
          <t>STANDARD</t>
        </is>
      </c>
      <c r="Q1161" s="7" t="inlineStr">
        <is>
          <t>WHAP</t>
        </is>
      </c>
      <c r="R1161" s="7" t="inlineStr">
        <is>
          <t>OUI</t>
        </is>
      </c>
      <c r="S1161" s="7" t="inlineStr">
        <is>
          <t>31/08/2026 02:59</t>
        </is>
      </c>
    </row>
    <row r="1162">
      <c r="A1162" s="8" t="inlineStr">
        <is>
          <t>WHAP-1158</t>
        </is>
      </c>
      <c r="B1162" s="8" t="inlineStr">
        <is>
          <t>POR-1158</t>
        </is>
      </c>
      <c r="C1162" s="8" t="inlineStr">
        <is>
          <t>porte conducteur — conducteur</t>
        </is>
      </c>
      <c r="D1162" s="8" t="inlineStr">
        <is>
          <t>Portes et trappes</t>
        </is>
      </c>
      <c r="E1162" s="8" t="inlineStr">
        <is>
          <t>Portes et trappes</t>
        </is>
      </c>
      <c r="F1162" s="8" t="inlineStr">
        <is>
          <t>PIECE_VEHICULE</t>
        </is>
      </c>
      <c r="G1162" s="8" t="inlineStr">
        <is>
          <t>unité</t>
        </is>
      </c>
      <c r="H1162" s="8" t="inlineStr">
        <is>
          <t>LARGE</t>
        </is>
      </c>
      <c r="I1162" s="8" t="n">
        <v>0</v>
      </c>
      <c r="J1162" s="8" t="inlineStr">
        <is>
          <t>B-03-01</t>
        </is>
      </c>
      <c r="K1162" s="8" t="inlineStr"/>
      <c r="L1162" s="10" t="n">
        <v>0</v>
      </c>
      <c r="M1162" s="10" t="n">
        <v>0</v>
      </c>
      <c r="N1162" s="10" t="n">
        <v>48</v>
      </c>
      <c r="O1162" s="8" t="inlineStr">
        <is>
          <t>FAU</t>
        </is>
      </c>
      <c r="P1162" s="8" t="inlineStr">
        <is>
          <t>STANDARD</t>
        </is>
      </c>
      <c r="Q1162" s="8" t="inlineStr">
        <is>
          <t>WHAP</t>
        </is>
      </c>
      <c r="R1162" s="8" t="inlineStr">
        <is>
          <t>OUI</t>
        </is>
      </c>
      <c r="S1162" s="8" t="inlineStr">
        <is>
          <t>31/08/2026 02:59</t>
        </is>
      </c>
    </row>
    <row r="1163">
      <c r="A1163" s="7" t="inlineStr">
        <is>
          <t>WHAP-1159</t>
        </is>
      </c>
      <c r="B1163" s="7" t="inlineStr">
        <is>
          <t>POR-1159</t>
        </is>
      </c>
      <c r="C1163" s="7" t="inlineStr">
        <is>
          <t>porte équipage — conducteur</t>
        </is>
      </c>
      <c r="D1163" s="7" t="inlineStr">
        <is>
          <t>Portes et trappes</t>
        </is>
      </c>
      <c r="E1163" s="7" t="inlineStr">
        <is>
          <t>Portes et trappes</t>
        </is>
      </c>
      <c r="F1163" s="7" t="inlineStr">
        <is>
          <t>PIECE_VEHICULE</t>
        </is>
      </c>
      <c r="G1163" s="7" t="inlineStr">
        <is>
          <t>unité</t>
        </is>
      </c>
      <c r="H1163" s="7" t="inlineStr">
        <is>
          <t>LARGE</t>
        </is>
      </c>
      <c r="I1163" s="7" t="n">
        <v>0</v>
      </c>
      <c r="J1163" s="7" t="inlineStr">
        <is>
          <t>F-03-04</t>
        </is>
      </c>
      <c r="K1163" s="7" t="inlineStr"/>
      <c r="L1163" s="9" t="n">
        <v>0</v>
      </c>
      <c r="M1163" s="9" t="n">
        <v>0</v>
      </c>
      <c r="N1163" s="9" t="n">
        <v>49</v>
      </c>
      <c r="O1163" s="7" t="inlineStr">
        <is>
          <t>YZK</t>
        </is>
      </c>
      <c r="P1163" s="7" t="inlineStr">
        <is>
          <t>STANDARD</t>
        </is>
      </c>
      <c r="Q1163" s="7" t="inlineStr">
        <is>
          <t>WHAP</t>
        </is>
      </c>
      <c r="R1163" s="7" t="inlineStr">
        <is>
          <t>OUI</t>
        </is>
      </c>
      <c r="S1163" s="7" t="inlineStr">
        <is>
          <t>31/08/2026 02:59</t>
        </is>
      </c>
    </row>
    <row r="1164">
      <c r="A1164" s="8" t="inlineStr">
        <is>
          <t>WHAP-1160</t>
        </is>
      </c>
      <c r="B1164" s="8" t="inlineStr">
        <is>
          <t>POR-1160</t>
        </is>
      </c>
      <c r="C1164" s="8" t="inlineStr">
        <is>
          <t>porte arrière — conducteur</t>
        </is>
      </c>
      <c r="D1164" s="8" t="inlineStr">
        <is>
          <t>Portes et trappes</t>
        </is>
      </c>
      <c r="E1164" s="8" t="inlineStr">
        <is>
          <t>Portes et trappes</t>
        </is>
      </c>
      <c r="F1164" s="8" t="inlineStr">
        <is>
          <t>PIECE_VEHICULE</t>
        </is>
      </c>
      <c r="G1164" s="8" t="inlineStr">
        <is>
          <t>unité</t>
        </is>
      </c>
      <c r="H1164" s="8" t="inlineStr">
        <is>
          <t>LARGE</t>
        </is>
      </c>
      <c r="I1164" s="8" t="n">
        <v>0</v>
      </c>
      <c r="J1164" s="8" t="inlineStr">
        <is>
          <t>B-03-03</t>
        </is>
      </c>
      <c r="K1164" s="8" t="inlineStr"/>
      <c r="L1164" s="10" t="n">
        <v>0</v>
      </c>
      <c r="M1164" s="10" t="n">
        <v>0</v>
      </c>
      <c r="N1164" s="10" t="n">
        <v>50</v>
      </c>
      <c r="O1164" s="8" t="inlineStr">
        <is>
          <t>YZK</t>
        </is>
      </c>
      <c r="P1164" s="8" t="inlineStr">
        <is>
          <t>STANDARD</t>
        </is>
      </c>
      <c r="Q1164" s="8" t="inlineStr">
        <is>
          <t>WHAP</t>
        </is>
      </c>
      <c r="R1164" s="8" t="inlineStr">
        <is>
          <t>OUI</t>
        </is>
      </c>
      <c r="S1164" s="8" t="inlineStr">
        <is>
          <t>31/08/2026 02:59</t>
        </is>
      </c>
    </row>
    <row r="1165">
      <c r="A1165" s="7" t="inlineStr">
        <is>
          <t>WHAP-1161</t>
        </is>
      </c>
      <c r="B1165" s="7" t="inlineStr">
        <is>
          <t>POR-1161</t>
        </is>
      </c>
      <c r="C1165" s="7" t="inlineStr">
        <is>
          <t>trappe supérieure — conducteur</t>
        </is>
      </c>
      <c r="D1165" s="7" t="inlineStr">
        <is>
          <t>Portes et trappes</t>
        </is>
      </c>
      <c r="E1165" s="7" t="inlineStr">
        <is>
          <t>Portes et trappes</t>
        </is>
      </c>
      <c r="F1165" s="7" t="inlineStr">
        <is>
          <t>PIECE_VEHICULE</t>
        </is>
      </c>
      <c r="G1165" s="7" t="inlineStr">
        <is>
          <t>unité</t>
        </is>
      </c>
      <c r="H1165" s="7" t="inlineStr">
        <is>
          <t>LARGE</t>
        </is>
      </c>
      <c r="I1165" s="7" t="n">
        <v>0</v>
      </c>
      <c r="J1165" s="7" t="inlineStr">
        <is>
          <t>E-03-03</t>
        </is>
      </c>
      <c r="K1165" s="7" t="inlineStr"/>
      <c r="L1165" s="9" t="n">
        <v>0</v>
      </c>
      <c r="M1165" s="9" t="n">
        <v>0</v>
      </c>
      <c r="N1165" s="9" t="n">
        <v>45</v>
      </c>
      <c r="O1165" s="7" t="inlineStr">
        <is>
          <t>BOS</t>
        </is>
      </c>
      <c r="P1165" s="7" t="inlineStr">
        <is>
          <t>STANDARD</t>
        </is>
      </c>
      <c r="Q1165" s="7" t="inlineStr">
        <is>
          <t>WHAP</t>
        </is>
      </c>
      <c r="R1165" s="7" t="inlineStr">
        <is>
          <t>OUI</t>
        </is>
      </c>
      <c r="S1165" s="7" t="inlineStr">
        <is>
          <t>31/08/2026 02:59</t>
        </is>
      </c>
    </row>
    <row r="1166">
      <c r="A1166" s="8" t="inlineStr">
        <is>
          <t>WHAP-1162</t>
        </is>
      </c>
      <c r="B1166" s="8" t="inlineStr">
        <is>
          <t>POR-1162</t>
        </is>
      </c>
      <c r="C1166" s="8" t="inlineStr">
        <is>
          <t>trappe latérale — conducteur</t>
        </is>
      </c>
      <c r="D1166" s="8" t="inlineStr">
        <is>
          <t>Portes et trappes</t>
        </is>
      </c>
      <c r="E1166" s="8" t="inlineStr">
        <is>
          <t>Portes et trappes</t>
        </is>
      </c>
      <c r="F1166" s="8" t="inlineStr">
        <is>
          <t>PIECE_VEHICULE</t>
        </is>
      </c>
      <c r="G1166" s="8" t="inlineStr">
        <is>
          <t>unité</t>
        </is>
      </c>
      <c r="H1166" s="8" t="inlineStr">
        <is>
          <t>LARGE</t>
        </is>
      </c>
      <c r="I1166" s="8" t="n">
        <v>0</v>
      </c>
      <c r="J1166" s="8" t="inlineStr">
        <is>
          <t>B-02-01</t>
        </is>
      </c>
      <c r="K1166" s="8" t="inlineStr"/>
      <c r="L1166" s="10" t="n">
        <v>0</v>
      </c>
      <c r="M1166" s="10" t="n">
        <v>0</v>
      </c>
      <c r="N1166" s="10" t="n">
        <v>47</v>
      </c>
      <c r="O1166" s="8" t="inlineStr">
        <is>
          <t>VAL</t>
        </is>
      </c>
      <c r="P1166" s="8" t="inlineStr">
        <is>
          <t>STANDARD</t>
        </is>
      </c>
      <c r="Q1166" s="8" t="inlineStr">
        <is>
          <t>WHAP</t>
        </is>
      </c>
      <c r="R1166" s="8" t="inlineStr">
        <is>
          <t>OUI</t>
        </is>
      </c>
      <c r="S1166" s="8" t="inlineStr">
        <is>
          <t>31/08/2026 02:59</t>
        </is>
      </c>
    </row>
    <row r="1167">
      <c r="A1167" s="7" t="inlineStr">
        <is>
          <t>WHAP-1163</t>
        </is>
      </c>
      <c r="B1167" s="7" t="inlineStr">
        <is>
          <t>POR-1163</t>
        </is>
      </c>
      <c r="C1167" s="7" t="inlineStr">
        <is>
          <t>trappe moteur — conducteur</t>
        </is>
      </c>
      <c r="D1167" s="7" t="inlineStr">
        <is>
          <t>Portes et trappes</t>
        </is>
      </c>
      <c r="E1167" s="7" t="inlineStr">
        <is>
          <t>Portes et trappes</t>
        </is>
      </c>
      <c r="F1167" s="7" t="inlineStr">
        <is>
          <t>PIECE_VEHICULE</t>
        </is>
      </c>
      <c r="G1167" s="7" t="inlineStr">
        <is>
          <t>unité</t>
        </is>
      </c>
      <c r="H1167" s="7" t="inlineStr">
        <is>
          <t>LARGE</t>
        </is>
      </c>
      <c r="I1167" s="7" t="n">
        <v>0</v>
      </c>
      <c r="J1167" s="7" t="inlineStr">
        <is>
          <t>A-02-04</t>
        </is>
      </c>
      <c r="K1167" s="7" t="inlineStr"/>
      <c r="L1167" s="9" t="n">
        <v>0</v>
      </c>
      <c r="M1167" s="9" t="n">
        <v>0</v>
      </c>
      <c r="N1167" s="9" t="n">
        <v>41</v>
      </c>
      <c r="O1167" s="7" t="inlineStr">
        <is>
          <t>SUM</t>
        </is>
      </c>
      <c r="P1167" s="7" t="inlineStr">
        <is>
          <t>STANDARD</t>
        </is>
      </c>
      <c r="Q1167" s="7" t="inlineStr">
        <is>
          <t>WHAP</t>
        </is>
      </c>
      <c r="R1167" s="7" t="inlineStr">
        <is>
          <t>OUI</t>
        </is>
      </c>
      <c r="S1167" s="7" t="inlineStr">
        <is>
          <t>31/08/2026 02:59</t>
        </is>
      </c>
    </row>
    <row r="1168">
      <c r="A1168" s="8" t="inlineStr">
        <is>
          <t>WHAP-1164</t>
        </is>
      </c>
      <c r="B1168" s="8" t="inlineStr">
        <is>
          <t>POR-1164</t>
        </is>
      </c>
      <c r="C1168" s="8" t="inlineStr">
        <is>
          <t>charnière — conducteur</t>
        </is>
      </c>
      <c r="D1168" s="8" t="inlineStr">
        <is>
          <t>Portes et trappes</t>
        </is>
      </c>
      <c r="E1168" s="8" t="inlineStr">
        <is>
          <t>Portes et trappes</t>
        </is>
      </c>
      <c r="F1168" s="8" t="inlineStr">
        <is>
          <t>PIECE_VEHICULE</t>
        </is>
      </c>
      <c r="G1168" s="8" t="inlineStr">
        <is>
          <t>unité</t>
        </is>
      </c>
      <c r="H1168" s="8" t="inlineStr">
        <is>
          <t>LARGE</t>
        </is>
      </c>
      <c r="I1168" s="8" t="n">
        <v>0</v>
      </c>
      <c r="J1168" s="8" t="inlineStr">
        <is>
          <t>C-01-03</t>
        </is>
      </c>
      <c r="K1168" s="8" t="inlineStr"/>
      <c r="L1168" s="10" t="n">
        <v>0</v>
      </c>
      <c r="M1168" s="10" t="n">
        <v>0</v>
      </c>
      <c r="N1168" s="10" t="n">
        <v>44</v>
      </c>
      <c r="O1168" s="8" t="inlineStr">
        <is>
          <t>MAG</t>
        </is>
      </c>
      <c r="P1168" s="8" t="inlineStr">
        <is>
          <t>STANDARD</t>
        </is>
      </c>
      <c r="Q1168" s="8" t="inlineStr">
        <is>
          <t>WHAP</t>
        </is>
      </c>
      <c r="R1168" s="8" t="inlineStr">
        <is>
          <t>OUI</t>
        </is>
      </c>
      <c r="S1168" s="8" t="inlineStr">
        <is>
          <t>31/08/2026 02:59</t>
        </is>
      </c>
    </row>
    <row r="1169">
      <c r="A1169" s="7" t="inlineStr">
        <is>
          <t>WHAP-1165</t>
        </is>
      </c>
      <c r="B1169" s="7" t="inlineStr">
        <is>
          <t>POR-1165</t>
        </is>
      </c>
      <c r="C1169" s="7" t="inlineStr">
        <is>
          <t>serrure — conducteur</t>
        </is>
      </c>
      <c r="D1169" s="7" t="inlineStr">
        <is>
          <t>Portes et trappes</t>
        </is>
      </c>
      <c r="E1169" s="7" t="inlineStr">
        <is>
          <t>Portes et trappes</t>
        </is>
      </c>
      <c r="F1169" s="7" t="inlineStr">
        <is>
          <t>PIECE_VEHICULE</t>
        </is>
      </c>
      <c r="G1169" s="7" t="inlineStr">
        <is>
          <t>unité</t>
        </is>
      </c>
      <c r="H1169" s="7" t="inlineStr">
        <is>
          <t>LARGE</t>
        </is>
      </c>
      <c r="I1169" s="7" t="n">
        <v>0</v>
      </c>
      <c r="J1169" s="7" t="inlineStr">
        <is>
          <t>A-05-01</t>
        </is>
      </c>
      <c r="K1169" s="7" t="inlineStr"/>
      <c r="L1169" s="9" t="n">
        <v>0</v>
      </c>
      <c r="M1169" s="9" t="n">
        <v>0</v>
      </c>
      <c r="N1169" s="9" t="n">
        <v>41</v>
      </c>
      <c r="O1169" s="7" t="inlineStr">
        <is>
          <t>SUM</t>
        </is>
      </c>
      <c r="P1169" s="7" t="inlineStr">
        <is>
          <t>STANDARD</t>
        </is>
      </c>
      <c r="Q1169" s="7" t="inlineStr">
        <is>
          <t>WHAP</t>
        </is>
      </c>
      <c r="R1169" s="7" t="inlineStr">
        <is>
          <t>OUI</t>
        </is>
      </c>
      <c r="S1169" s="7" t="inlineStr">
        <is>
          <t>31/08/2026 02:59</t>
        </is>
      </c>
    </row>
    <row r="1170">
      <c r="A1170" s="8" t="inlineStr">
        <is>
          <t>WHAP-1166</t>
        </is>
      </c>
      <c r="B1170" s="8" t="inlineStr">
        <is>
          <t>POR-1166</t>
        </is>
      </c>
      <c r="C1170" s="8" t="inlineStr">
        <is>
          <t>loquet — conducteur</t>
        </is>
      </c>
      <c r="D1170" s="8" t="inlineStr">
        <is>
          <t>Portes et trappes</t>
        </is>
      </c>
      <c r="E1170" s="8" t="inlineStr">
        <is>
          <t>Portes et trappes</t>
        </is>
      </c>
      <c r="F1170" s="8" t="inlineStr">
        <is>
          <t>PIECE_VEHICULE</t>
        </is>
      </c>
      <c r="G1170" s="8" t="inlineStr">
        <is>
          <t>unité</t>
        </is>
      </c>
      <c r="H1170" s="8" t="inlineStr">
        <is>
          <t>LARGE</t>
        </is>
      </c>
      <c r="I1170" s="8" t="n">
        <v>0</v>
      </c>
      <c r="J1170" s="8" t="inlineStr">
        <is>
          <t>F-01-03</t>
        </is>
      </c>
      <c r="K1170" s="8" t="inlineStr"/>
      <c r="L1170" s="10" t="n">
        <v>0</v>
      </c>
      <c r="M1170" s="10" t="n">
        <v>0</v>
      </c>
      <c r="N1170" s="10" t="n">
        <v>45</v>
      </c>
      <c r="O1170" s="8" t="inlineStr">
        <is>
          <t>SKF</t>
        </is>
      </c>
      <c r="P1170" s="8" t="inlineStr">
        <is>
          <t>STANDARD</t>
        </is>
      </c>
      <c r="Q1170" s="8" t="inlineStr">
        <is>
          <t>WHAP</t>
        </is>
      </c>
      <c r="R1170" s="8" t="inlineStr">
        <is>
          <t>OUI</t>
        </is>
      </c>
      <c r="S1170" s="8" t="inlineStr">
        <is>
          <t>31/08/2026 02:59</t>
        </is>
      </c>
    </row>
    <row r="1171">
      <c r="A1171" s="7" t="inlineStr">
        <is>
          <t>WHAP-1167</t>
        </is>
      </c>
      <c r="B1171" s="7" t="inlineStr">
        <is>
          <t>POR-1167</t>
        </is>
      </c>
      <c r="C1171" s="7" t="inlineStr">
        <is>
          <t>verrou rotatif — conducteur</t>
        </is>
      </c>
      <c r="D1171" s="7" t="inlineStr">
        <is>
          <t>Portes et trappes</t>
        </is>
      </c>
      <c r="E1171" s="7" t="inlineStr">
        <is>
          <t>Portes et trappes</t>
        </is>
      </c>
      <c r="F1171" s="7" t="inlineStr">
        <is>
          <t>PIECE_VEHICULE</t>
        </is>
      </c>
      <c r="G1171" s="7" t="inlineStr">
        <is>
          <t>unité</t>
        </is>
      </c>
      <c r="H1171" s="7" t="inlineStr">
        <is>
          <t>LARGE</t>
        </is>
      </c>
      <c r="I1171" s="7" t="n">
        <v>0</v>
      </c>
      <c r="J1171" s="7" t="inlineStr">
        <is>
          <t>B-02-02</t>
        </is>
      </c>
      <c r="K1171" s="7" t="inlineStr"/>
      <c r="L1171" s="9" t="n">
        <v>0</v>
      </c>
      <c r="M1171" s="9" t="n">
        <v>0</v>
      </c>
      <c r="N1171" s="9" t="n">
        <v>42</v>
      </c>
      <c r="O1171" s="7" t="inlineStr">
        <is>
          <t>VAL</t>
        </is>
      </c>
      <c r="P1171" s="7" t="inlineStr">
        <is>
          <t>STANDARD</t>
        </is>
      </c>
      <c r="Q1171" s="7" t="inlineStr">
        <is>
          <t>WHAP</t>
        </is>
      </c>
      <c r="R1171" s="7" t="inlineStr">
        <is>
          <t>OUI</t>
        </is>
      </c>
      <c r="S1171" s="7" t="inlineStr">
        <is>
          <t>31/08/2026 02:59</t>
        </is>
      </c>
    </row>
    <row r="1172">
      <c r="A1172" s="8" t="inlineStr">
        <is>
          <t>WHAP-1168</t>
        </is>
      </c>
      <c r="B1172" s="8" t="inlineStr">
        <is>
          <t>POR-1168</t>
        </is>
      </c>
      <c r="C1172" s="8" t="inlineStr">
        <is>
          <t>poignée intérieure — conducteur</t>
        </is>
      </c>
      <c r="D1172" s="8" t="inlineStr">
        <is>
          <t>Portes et trappes</t>
        </is>
      </c>
      <c r="E1172" s="8" t="inlineStr">
        <is>
          <t>Portes et trappes</t>
        </is>
      </c>
      <c r="F1172" s="8" t="inlineStr">
        <is>
          <t>PIECE_VEHICULE</t>
        </is>
      </c>
      <c r="G1172" s="8" t="inlineStr">
        <is>
          <t>unité</t>
        </is>
      </c>
      <c r="H1172" s="8" t="inlineStr">
        <is>
          <t>LARGE</t>
        </is>
      </c>
      <c r="I1172" s="8" t="n">
        <v>0</v>
      </c>
      <c r="J1172" s="8" t="inlineStr">
        <is>
          <t>E-06-02</t>
        </is>
      </c>
      <c r="K1172" s="8" t="inlineStr"/>
      <c r="L1172" s="10" t="n">
        <v>0</v>
      </c>
      <c r="M1172" s="10" t="n">
        <v>0</v>
      </c>
      <c r="N1172" s="10" t="n">
        <v>45</v>
      </c>
      <c r="O1172" s="8" t="inlineStr">
        <is>
          <t>MAG</t>
        </is>
      </c>
      <c r="P1172" s="8" t="inlineStr">
        <is>
          <t>STANDARD</t>
        </is>
      </c>
      <c r="Q1172" s="8" t="inlineStr">
        <is>
          <t>WHAP</t>
        </is>
      </c>
      <c r="R1172" s="8" t="inlineStr">
        <is>
          <t>OUI</t>
        </is>
      </c>
      <c r="S1172" s="8" t="inlineStr">
        <is>
          <t>31/08/2026 02:59</t>
        </is>
      </c>
    </row>
    <row r="1173">
      <c r="A1173" s="7" t="inlineStr">
        <is>
          <t>WHAP-1169</t>
        </is>
      </c>
      <c r="B1173" s="7" t="inlineStr">
        <is>
          <t>POR-1169</t>
        </is>
      </c>
      <c r="C1173" s="7" t="inlineStr">
        <is>
          <t>poignée extérieure — conducteur</t>
        </is>
      </c>
      <c r="D1173" s="7" t="inlineStr">
        <is>
          <t>Portes et trappes</t>
        </is>
      </c>
      <c r="E1173" s="7" t="inlineStr">
        <is>
          <t>Portes et trappes</t>
        </is>
      </c>
      <c r="F1173" s="7" t="inlineStr">
        <is>
          <t>PIECE_VEHICULE</t>
        </is>
      </c>
      <c r="G1173" s="7" t="inlineStr">
        <is>
          <t>unité</t>
        </is>
      </c>
      <c r="H1173" s="7" t="inlineStr">
        <is>
          <t>LARGE</t>
        </is>
      </c>
      <c r="I1173" s="7" t="n">
        <v>0</v>
      </c>
      <c r="J1173" s="7" t="inlineStr">
        <is>
          <t>E-02-01</t>
        </is>
      </c>
      <c r="K1173" s="7" t="inlineStr"/>
      <c r="L1173" s="9" t="n">
        <v>0</v>
      </c>
      <c r="M1173" s="9" t="n">
        <v>0</v>
      </c>
      <c r="N1173" s="9" t="n">
        <v>43</v>
      </c>
      <c r="O1173" s="7" t="inlineStr">
        <is>
          <t>HEL</t>
        </is>
      </c>
      <c r="P1173" s="7" t="inlineStr">
        <is>
          <t>STANDARD</t>
        </is>
      </c>
      <c r="Q1173" s="7" t="inlineStr">
        <is>
          <t>WHAP</t>
        </is>
      </c>
      <c r="R1173" s="7" t="inlineStr">
        <is>
          <t>OUI</t>
        </is>
      </c>
      <c r="S1173" s="7" t="inlineStr">
        <is>
          <t>31/08/2026 02:59</t>
        </is>
      </c>
    </row>
    <row r="1174">
      <c r="A1174" s="8" t="inlineStr">
        <is>
          <t>WHAP-1170</t>
        </is>
      </c>
      <c r="B1174" s="8" t="inlineStr">
        <is>
          <t>POR-1170</t>
        </is>
      </c>
      <c r="C1174" s="8" t="inlineStr">
        <is>
          <t>câble de commande — conducteur</t>
        </is>
      </c>
      <c r="D1174" s="8" t="inlineStr">
        <is>
          <t>Portes et trappes</t>
        </is>
      </c>
      <c r="E1174" s="8" t="inlineStr">
        <is>
          <t>Portes et trappes</t>
        </is>
      </c>
      <c r="F1174" s="8" t="inlineStr">
        <is>
          <t>PIECE_VEHICULE</t>
        </is>
      </c>
      <c r="G1174" s="8" t="inlineStr">
        <is>
          <t>unité</t>
        </is>
      </c>
      <c r="H1174" s="8" t="inlineStr">
        <is>
          <t>LARGE</t>
        </is>
      </c>
      <c r="I1174" s="8" t="n">
        <v>0</v>
      </c>
      <c r="J1174" s="8" t="inlineStr">
        <is>
          <t>C-04-03</t>
        </is>
      </c>
      <c r="K1174" s="8" t="inlineStr"/>
      <c r="L1174" s="10" t="n">
        <v>0</v>
      </c>
      <c r="M1174" s="10" t="n">
        <v>0</v>
      </c>
      <c r="N1174" s="10" t="n">
        <v>45</v>
      </c>
      <c r="O1174" s="8" t="inlineStr">
        <is>
          <t>DEL</t>
        </is>
      </c>
      <c r="P1174" s="8" t="inlineStr">
        <is>
          <t>STANDARD</t>
        </is>
      </c>
      <c r="Q1174" s="8" t="inlineStr">
        <is>
          <t>WHAP</t>
        </is>
      </c>
      <c r="R1174" s="8" t="inlineStr">
        <is>
          <t>OUI</t>
        </is>
      </c>
      <c r="S1174" s="8" t="inlineStr">
        <is>
          <t>31/08/2026 02:59</t>
        </is>
      </c>
    </row>
    <row r="1175">
      <c r="A1175" s="7" t="inlineStr">
        <is>
          <t>WHAP-1171</t>
        </is>
      </c>
      <c r="B1175" s="7" t="inlineStr">
        <is>
          <t>POR-1171</t>
        </is>
      </c>
      <c r="C1175" s="7" t="inlineStr">
        <is>
          <t>vérin à gaz — conducteur</t>
        </is>
      </c>
      <c r="D1175" s="7" t="inlineStr">
        <is>
          <t>Portes et trappes</t>
        </is>
      </c>
      <c r="E1175" s="7" t="inlineStr">
        <is>
          <t>Portes et trappes</t>
        </is>
      </c>
      <c r="F1175" s="7" t="inlineStr">
        <is>
          <t>PIECE_VEHICULE</t>
        </is>
      </c>
      <c r="G1175" s="7" t="inlineStr">
        <is>
          <t>unité</t>
        </is>
      </c>
      <c r="H1175" s="7" t="inlineStr">
        <is>
          <t>LARGE</t>
        </is>
      </c>
      <c r="I1175" s="7" t="n">
        <v>0</v>
      </c>
      <c r="J1175" s="7" t="inlineStr">
        <is>
          <t>F-03-02</t>
        </is>
      </c>
      <c r="K1175" s="7" t="inlineStr"/>
      <c r="L1175" s="9" t="n">
        <v>0</v>
      </c>
      <c r="M1175" s="9" t="n">
        <v>0</v>
      </c>
      <c r="N1175" s="9" t="n">
        <v>47</v>
      </c>
      <c r="O1175" s="7" t="inlineStr">
        <is>
          <t>CTL</t>
        </is>
      </c>
      <c r="P1175" s="7" t="inlineStr">
        <is>
          <t>STANDARD</t>
        </is>
      </c>
      <c r="Q1175" s="7" t="inlineStr">
        <is>
          <t>WHAP</t>
        </is>
      </c>
      <c r="R1175" s="7" t="inlineStr">
        <is>
          <t>OUI</t>
        </is>
      </c>
      <c r="S1175" s="7" t="inlineStr">
        <is>
          <t>31/08/2026 02:59</t>
        </is>
      </c>
    </row>
    <row r="1176">
      <c r="A1176" s="8" t="inlineStr">
        <is>
          <t>WHAP-1172</t>
        </is>
      </c>
      <c r="B1176" s="8" t="inlineStr">
        <is>
          <t>POR-1172</t>
        </is>
      </c>
      <c r="C1176" s="8" t="inlineStr">
        <is>
          <t>vérin hydraulique — conducteur</t>
        </is>
      </c>
      <c r="D1176" s="8" t="inlineStr">
        <is>
          <t>Portes et trappes</t>
        </is>
      </c>
      <c r="E1176" s="8" t="inlineStr">
        <is>
          <t>Portes et trappes</t>
        </is>
      </c>
      <c r="F1176" s="8" t="inlineStr">
        <is>
          <t>PIECE_VEHICULE</t>
        </is>
      </c>
      <c r="G1176" s="8" t="inlineStr">
        <is>
          <t>unité</t>
        </is>
      </c>
      <c r="H1176" s="8" t="inlineStr">
        <is>
          <t>LARGE</t>
        </is>
      </c>
      <c r="I1176" s="8" t="n">
        <v>0</v>
      </c>
      <c r="J1176" s="8" t="inlineStr">
        <is>
          <t>C-02-03</t>
        </is>
      </c>
      <c r="K1176" s="8" t="inlineStr"/>
      <c r="L1176" s="10" t="n">
        <v>0</v>
      </c>
      <c r="M1176" s="10" t="n">
        <v>0</v>
      </c>
      <c r="N1176" s="10" t="n">
        <v>45</v>
      </c>
      <c r="O1176" s="8" t="inlineStr">
        <is>
          <t>BOS</t>
        </is>
      </c>
      <c r="P1176" s="8" t="inlineStr">
        <is>
          <t>STANDARD</t>
        </is>
      </c>
      <c r="Q1176" s="8" t="inlineStr">
        <is>
          <t>WHAP</t>
        </is>
      </c>
      <c r="R1176" s="8" t="inlineStr">
        <is>
          <t>OUI</t>
        </is>
      </c>
      <c r="S1176" s="8" t="inlineStr">
        <is>
          <t>31/08/2026 02:59</t>
        </is>
      </c>
    </row>
    <row r="1177">
      <c r="A1177" s="7" t="inlineStr">
        <is>
          <t>WHAP-1173</t>
        </is>
      </c>
      <c r="B1177" s="7" t="inlineStr">
        <is>
          <t>POR-1173</t>
        </is>
      </c>
      <c r="C1177" s="7" t="inlineStr">
        <is>
          <t>joint de porte — conducteur</t>
        </is>
      </c>
      <c r="D1177" s="7" t="inlineStr">
        <is>
          <t>Portes et trappes</t>
        </is>
      </c>
      <c r="E1177" s="7" t="inlineStr">
        <is>
          <t>Portes et trappes</t>
        </is>
      </c>
      <c r="F1177" s="7" t="inlineStr">
        <is>
          <t>PIECE_VEHICULE</t>
        </is>
      </c>
      <c r="G1177" s="7" t="inlineStr">
        <is>
          <t>unité</t>
        </is>
      </c>
      <c r="H1177" s="7" t="inlineStr">
        <is>
          <t>LARGE</t>
        </is>
      </c>
      <c r="I1177" s="7" t="n">
        <v>0</v>
      </c>
      <c r="J1177" s="7" t="inlineStr">
        <is>
          <t>D-03-04</t>
        </is>
      </c>
      <c r="K1177" s="7" t="inlineStr"/>
      <c r="L1177" s="9" t="n">
        <v>0</v>
      </c>
      <c r="M1177" s="9" t="n">
        <v>0</v>
      </c>
      <c r="N1177" s="9" t="n">
        <v>46</v>
      </c>
      <c r="O1177" s="7" t="inlineStr">
        <is>
          <t>SKF</t>
        </is>
      </c>
      <c r="P1177" s="7" t="inlineStr">
        <is>
          <t>STANDARD</t>
        </is>
      </c>
      <c r="Q1177" s="7" t="inlineStr">
        <is>
          <t>WHAP</t>
        </is>
      </c>
      <c r="R1177" s="7" t="inlineStr">
        <is>
          <t>OUI</t>
        </is>
      </c>
      <c r="S1177" s="7" t="inlineStr">
        <is>
          <t>31/08/2026 02:59</t>
        </is>
      </c>
    </row>
    <row r="1178">
      <c r="A1178" s="8" t="inlineStr">
        <is>
          <t>WHAP-1174</t>
        </is>
      </c>
      <c r="B1178" s="8" t="inlineStr">
        <is>
          <t>POR-1174</t>
        </is>
      </c>
      <c r="C1178" s="8" t="inlineStr">
        <is>
          <t>joint de trappe — conducteur</t>
        </is>
      </c>
      <c r="D1178" s="8" t="inlineStr">
        <is>
          <t>Portes et trappes</t>
        </is>
      </c>
      <c r="E1178" s="8" t="inlineStr">
        <is>
          <t>Portes et trappes</t>
        </is>
      </c>
      <c r="F1178" s="8" t="inlineStr">
        <is>
          <t>PIECE_VEHICULE</t>
        </is>
      </c>
      <c r="G1178" s="8" t="inlineStr">
        <is>
          <t>unité</t>
        </is>
      </c>
      <c r="H1178" s="8" t="inlineStr">
        <is>
          <t>LARGE</t>
        </is>
      </c>
      <c r="I1178" s="8" t="n">
        <v>0</v>
      </c>
      <c r="J1178" s="8" t="inlineStr">
        <is>
          <t>B-06-04</t>
        </is>
      </c>
      <c r="K1178" s="8" t="inlineStr"/>
      <c r="L1178" s="10" t="n">
        <v>0</v>
      </c>
      <c r="M1178" s="10" t="n">
        <v>0</v>
      </c>
      <c r="N1178" s="10" t="n">
        <v>41</v>
      </c>
      <c r="O1178" s="8" t="inlineStr">
        <is>
          <t>VAL</t>
        </is>
      </c>
      <c r="P1178" s="8" t="inlineStr">
        <is>
          <t>STANDARD</t>
        </is>
      </c>
      <c r="Q1178" s="8" t="inlineStr">
        <is>
          <t>WHAP</t>
        </is>
      </c>
      <c r="R1178" s="8" t="inlineStr">
        <is>
          <t>OUI</t>
        </is>
      </c>
      <c r="S1178" s="8" t="inlineStr">
        <is>
          <t>31/08/2026 02:59</t>
        </is>
      </c>
    </row>
    <row r="1179">
      <c r="A1179" s="7" t="inlineStr">
        <is>
          <t>WHAP-1175</t>
        </is>
      </c>
      <c r="B1179" s="7" t="inlineStr">
        <is>
          <t>POR-1175</t>
        </is>
      </c>
      <c r="C1179" s="7" t="inlineStr">
        <is>
          <t>vitre blindée — conducteur</t>
        </is>
      </c>
      <c r="D1179" s="7" t="inlineStr">
        <is>
          <t>Portes et trappes</t>
        </is>
      </c>
      <c r="E1179" s="7" t="inlineStr">
        <is>
          <t>Portes et trappes</t>
        </is>
      </c>
      <c r="F1179" s="7" t="inlineStr">
        <is>
          <t>PIECE_VEHICULE</t>
        </is>
      </c>
      <c r="G1179" s="7" t="inlineStr">
        <is>
          <t>unité</t>
        </is>
      </c>
      <c r="H1179" s="7" t="inlineStr">
        <is>
          <t>LARGE</t>
        </is>
      </c>
      <c r="I1179" s="7" t="n">
        <v>0</v>
      </c>
      <c r="J1179" s="7" t="inlineStr">
        <is>
          <t>A-04-01</t>
        </is>
      </c>
      <c r="K1179" s="7" t="inlineStr"/>
      <c r="L1179" s="9" t="n">
        <v>0</v>
      </c>
      <c r="M1179" s="9" t="n">
        <v>0</v>
      </c>
      <c r="N1179" s="9" t="n">
        <v>45</v>
      </c>
      <c r="O1179" s="7" t="inlineStr">
        <is>
          <t>SUM</t>
        </is>
      </c>
      <c r="P1179" s="7" t="inlineStr">
        <is>
          <t>STANDARD</t>
        </is>
      </c>
      <c r="Q1179" s="7" t="inlineStr">
        <is>
          <t>WHAP</t>
        </is>
      </c>
      <c r="R1179" s="7" t="inlineStr">
        <is>
          <t>OUI</t>
        </is>
      </c>
      <c r="S1179" s="7" t="inlineStr">
        <is>
          <t>31/08/2026 02:59</t>
        </is>
      </c>
    </row>
    <row r="1180">
      <c r="A1180" s="8" t="inlineStr">
        <is>
          <t>WHAP-1176</t>
        </is>
      </c>
      <c r="B1180" s="8" t="inlineStr">
        <is>
          <t>POR-1176</t>
        </is>
      </c>
      <c r="C1180" s="8" t="inlineStr">
        <is>
          <t>cadre de vitre — conducteur</t>
        </is>
      </c>
      <c r="D1180" s="8" t="inlineStr">
        <is>
          <t>Portes et trappes</t>
        </is>
      </c>
      <c r="E1180" s="8" t="inlineStr">
        <is>
          <t>Portes et trappes</t>
        </is>
      </c>
      <c r="F1180" s="8" t="inlineStr">
        <is>
          <t>PIECE_VEHICULE</t>
        </is>
      </c>
      <c r="G1180" s="8" t="inlineStr">
        <is>
          <t>unité</t>
        </is>
      </c>
      <c r="H1180" s="8" t="inlineStr">
        <is>
          <t>LARGE</t>
        </is>
      </c>
      <c r="I1180" s="8" t="n">
        <v>0</v>
      </c>
      <c r="J1180" s="8" t="inlineStr">
        <is>
          <t>C-01-03</t>
        </is>
      </c>
      <c r="K1180" s="8" t="inlineStr"/>
      <c r="L1180" s="10" t="n">
        <v>0</v>
      </c>
      <c r="M1180" s="10" t="n">
        <v>0</v>
      </c>
      <c r="N1180" s="10" t="n">
        <v>41</v>
      </c>
      <c r="O1180" s="8" t="inlineStr">
        <is>
          <t>SUM</t>
        </is>
      </c>
      <c r="P1180" s="8" t="inlineStr">
        <is>
          <t>STANDARD</t>
        </is>
      </c>
      <c r="Q1180" s="8" t="inlineStr">
        <is>
          <t>WHAP</t>
        </is>
      </c>
      <c r="R1180" s="8" t="inlineStr">
        <is>
          <t>OUI</t>
        </is>
      </c>
      <c r="S1180" s="8" t="inlineStr">
        <is>
          <t>31/08/2026 02:59</t>
        </is>
      </c>
    </row>
    <row r="1181">
      <c r="A1181" s="7" t="inlineStr">
        <is>
          <t>WHAP-1177</t>
        </is>
      </c>
      <c r="B1181" s="7" t="inlineStr">
        <is>
          <t>POR-1177</t>
        </is>
      </c>
      <c r="C1181" s="7" t="inlineStr">
        <is>
          <t>lève-vitre — conducteur</t>
        </is>
      </c>
      <c r="D1181" s="7" t="inlineStr">
        <is>
          <t>Portes et trappes</t>
        </is>
      </c>
      <c r="E1181" s="7" t="inlineStr">
        <is>
          <t>Portes et trappes</t>
        </is>
      </c>
      <c r="F1181" s="7" t="inlineStr">
        <is>
          <t>PIECE_VEHICULE</t>
        </is>
      </c>
      <c r="G1181" s="7" t="inlineStr">
        <is>
          <t>unité</t>
        </is>
      </c>
      <c r="H1181" s="7" t="inlineStr">
        <is>
          <t>LARGE</t>
        </is>
      </c>
      <c r="I1181" s="7" t="n">
        <v>0</v>
      </c>
      <c r="J1181" s="7" t="inlineStr">
        <is>
          <t>D-03-03</t>
        </is>
      </c>
      <c r="K1181" s="7" t="inlineStr"/>
      <c r="L1181" s="9" t="n">
        <v>0</v>
      </c>
      <c r="M1181" s="9" t="n">
        <v>0</v>
      </c>
      <c r="N1181" s="9" t="n">
        <v>42</v>
      </c>
      <c r="O1181" s="7" t="inlineStr">
        <is>
          <t>CTL</t>
        </is>
      </c>
      <c r="P1181" s="7" t="inlineStr">
        <is>
          <t>STANDARD</t>
        </is>
      </c>
      <c r="Q1181" s="7" t="inlineStr">
        <is>
          <t>WHAP</t>
        </is>
      </c>
      <c r="R1181" s="7" t="inlineStr">
        <is>
          <t>OUI</t>
        </is>
      </c>
      <c r="S1181" s="7" t="inlineStr">
        <is>
          <t>31/08/2026 02:59</t>
        </is>
      </c>
    </row>
    <row r="1182">
      <c r="A1182" s="8" t="inlineStr">
        <is>
          <t>WHAP-1178</t>
        </is>
      </c>
      <c r="B1182" s="8" t="inlineStr">
        <is>
          <t>POR-1178</t>
        </is>
      </c>
      <c r="C1182" s="8" t="inlineStr">
        <is>
          <t>mécanisme de vitre — conducteur</t>
        </is>
      </c>
      <c r="D1182" s="8" t="inlineStr">
        <is>
          <t>Portes et trappes</t>
        </is>
      </c>
      <c r="E1182" s="8" t="inlineStr">
        <is>
          <t>Portes et trappes</t>
        </is>
      </c>
      <c r="F1182" s="8" t="inlineStr">
        <is>
          <t>PIECE_VEHICULE</t>
        </is>
      </c>
      <c r="G1182" s="8" t="inlineStr">
        <is>
          <t>unité</t>
        </is>
      </c>
      <c r="H1182" s="8" t="inlineStr">
        <is>
          <t>LARGE</t>
        </is>
      </c>
      <c r="I1182" s="8" t="n">
        <v>0</v>
      </c>
      <c r="J1182" s="8" t="inlineStr">
        <is>
          <t>C-04-02</t>
        </is>
      </c>
      <c r="K1182" s="8" t="inlineStr"/>
      <c r="L1182" s="10" t="n">
        <v>0</v>
      </c>
      <c r="M1182" s="10" t="n">
        <v>0</v>
      </c>
      <c r="N1182" s="10" t="n">
        <v>41</v>
      </c>
      <c r="O1182" s="8" t="inlineStr">
        <is>
          <t>SUM</t>
        </is>
      </c>
      <c r="P1182" s="8" t="inlineStr">
        <is>
          <t>STANDARD</t>
        </is>
      </c>
      <c r="Q1182" s="8" t="inlineStr">
        <is>
          <t>WHAP</t>
        </is>
      </c>
      <c r="R1182" s="8" t="inlineStr">
        <is>
          <t>OUI</t>
        </is>
      </c>
      <c r="S1182" s="8" t="inlineStr">
        <is>
          <t>31/08/2026 02:59</t>
        </is>
      </c>
    </row>
    <row r="1183">
      <c r="A1183" s="7" t="inlineStr">
        <is>
          <t>WHAP-1179</t>
        </is>
      </c>
      <c r="B1183" s="7" t="inlineStr">
        <is>
          <t>POR-1179</t>
        </is>
      </c>
      <c r="C1183" s="7" t="inlineStr">
        <is>
          <t>butée — conducteur</t>
        </is>
      </c>
      <c r="D1183" s="7" t="inlineStr">
        <is>
          <t>Portes et trappes</t>
        </is>
      </c>
      <c r="E1183" s="7" t="inlineStr">
        <is>
          <t>Portes et trappes</t>
        </is>
      </c>
      <c r="F1183" s="7" t="inlineStr">
        <is>
          <t>PIECE_VEHICULE</t>
        </is>
      </c>
      <c r="G1183" s="7" t="inlineStr">
        <is>
          <t>unité</t>
        </is>
      </c>
      <c r="H1183" s="7" t="inlineStr">
        <is>
          <t>LARGE</t>
        </is>
      </c>
      <c r="I1183" s="7" t="n">
        <v>0</v>
      </c>
      <c r="J1183" s="7" t="inlineStr">
        <is>
          <t>D-01-02</t>
        </is>
      </c>
      <c r="K1183" s="7" t="inlineStr"/>
      <c r="L1183" s="9" t="n">
        <v>0</v>
      </c>
      <c r="M1183" s="9" t="n">
        <v>0</v>
      </c>
      <c r="N1183" s="9" t="n">
        <v>42</v>
      </c>
      <c r="O1183" s="7" t="inlineStr">
        <is>
          <t>YZK</t>
        </is>
      </c>
      <c r="P1183" s="7" t="inlineStr">
        <is>
          <t>STANDARD</t>
        </is>
      </c>
      <c r="Q1183" s="7" t="inlineStr">
        <is>
          <t>WHAP</t>
        </is>
      </c>
      <c r="R1183" s="7" t="inlineStr">
        <is>
          <t>OUI</t>
        </is>
      </c>
      <c r="S1183" s="7" t="inlineStr">
        <is>
          <t>31/08/2026 02:59</t>
        </is>
      </c>
    </row>
    <row r="1184">
      <c r="A1184" s="8" t="inlineStr">
        <is>
          <t>WHAP-1180</t>
        </is>
      </c>
      <c r="B1184" s="8" t="inlineStr">
        <is>
          <t>POR-1180</t>
        </is>
      </c>
      <c r="C1184" s="8" t="inlineStr">
        <is>
          <t>gâche — conducteur</t>
        </is>
      </c>
      <c r="D1184" s="8" t="inlineStr">
        <is>
          <t>Portes et trappes</t>
        </is>
      </c>
      <c r="E1184" s="8" t="inlineStr">
        <is>
          <t>Portes et trappes</t>
        </is>
      </c>
      <c r="F1184" s="8" t="inlineStr">
        <is>
          <t>PIECE_VEHICULE</t>
        </is>
      </c>
      <c r="G1184" s="8" t="inlineStr">
        <is>
          <t>unité</t>
        </is>
      </c>
      <c r="H1184" s="8" t="inlineStr">
        <is>
          <t>LARGE</t>
        </is>
      </c>
      <c r="I1184" s="8" t="n">
        <v>0</v>
      </c>
      <c r="J1184" s="8" t="inlineStr">
        <is>
          <t>F-03-03</t>
        </is>
      </c>
      <c r="K1184" s="8" t="inlineStr"/>
      <c r="L1184" s="10" t="n">
        <v>0</v>
      </c>
      <c r="M1184" s="10" t="n">
        <v>0</v>
      </c>
      <c r="N1184" s="10" t="n">
        <v>48</v>
      </c>
      <c r="O1184" s="8" t="inlineStr">
        <is>
          <t>SKF</t>
        </is>
      </c>
      <c r="P1184" s="8" t="inlineStr">
        <is>
          <t>STANDARD</t>
        </is>
      </c>
      <c r="Q1184" s="8" t="inlineStr">
        <is>
          <t>WHAP</t>
        </is>
      </c>
      <c r="R1184" s="8" t="inlineStr">
        <is>
          <t>OUI</t>
        </is>
      </c>
      <c r="S1184" s="8" t="inlineStr">
        <is>
          <t>31/08/2026 02:59</t>
        </is>
      </c>
    </row>
    <row r="1185">
      <c r="A1185" s="7" t="inlineStr">
        <is>
          <t>WHAP-1181</t>
        </is>
      </c>
      <c r="B1185" s="7" t="inlineStr">
        <is>
          <t>POR-1181</t>
        </is>
      </c>
      <c r="C1185" s="7" t="inlineStr">
        <is>
          <t>axe de charnière — conducteur</t>
        </is>
      </c>
      <c r="D1185" s="7" t="inlineStr">
        <is>
          <t>Portes et trappes</t>
        </is>
      </c>
      <c r="E1185" s="7" t="inlineStr">
        <is>
          <t>Portes et trappes</t>
        </is>
      </c>
      <c r="F1185" s="7" t="inlineStr">
        <is>
          <t>PIECE_VEHICULE</t>
        </is>
      </c>
      <c r="G1185" s="7" t="inlineStr">
        <is>
          <t>unité</t>
        </is>
      </c>
      <c r="H1185" s="7" t="inlineStr">
        <is>
          <t>LARGE</t>
        </is>
      </c>
      <c r="I1185" s="7" t="n">
        <v>0</v>
      </c>
      <c r="J1185" s="7" t="inlineStr">
        <is>
          <t>D-05-01</t>
        </is>
      </c>
      <c r="K1185" s="7" t="inlineStr"/>
      <c r="L1185" s="9" t="n">
        <v>0</v>
      </c>
      <c r="M1185" s="9" t="n">
        <v>0</v>
      </c>
      <c r="N1185" s="9" t="n">
        <v>48</v>
      </c>
      <c r="O1185" s="7" t="inlineStr">
        <is>
          <t>FAU</t>
        </is>
      </c>
      <c r="P1185" s="7" t="inlineStr">
        <is>
          <t>STANDARD</t>
        </is>
      </c>
      <c r="Q1185" s="7" t="inlineStr">
        <is>
          <t>WHAP</t>
        </is>
      </c>
      <c r="R1185" s="7" t="inlineStr">
        <is>
          <t>OUI</t>
        </is>
      </c>
      <c r="S1185" s="7" t="inlineStr">
        <is>
          <t>31/08/2026 02:59</t>
        </is>
      </c>
    </row>
    <row r="1186">
      <c r="A1186" s="8" t="inlineStr">
        <is>
          <t>WHAP-1182</t>
        </is>
      </c>
      <c r="B1186" s="8" t="inlineStr">
        <is>
          <t>POR-1182</t>
        </is>
      </c>
      <c r="C1186" s="8" t="inlineStr">
        <is>
          <t>porte conducteur — chef de bord</t>
        </is>
      </c>
      <c r="D1186" s="8" t="inlineStr">
        <is>
          <t>Portes et trappes</t>
        </is>
      </c>
      <c r="E1186" s="8" t="inlineStr">
        <is>
          <t>Portes et trappes</t>
        </is>
      </c>
      <c r="F1186" s="8" t="inlineStr">
        <is>
          <t>PIECE_VEHICULE</t>
        </is>
      </c>
      <c r="G1186" s="8" t="inlineStr">
        <is>
          <t>unité</t>
        </is>
      </c>
      <c r="H1186" s="8" t="inlineStr">
        <is>
          <t>LARGE</t>
        </is>
      </c>
      <c r="I1186" s="8" t="n">
        <v>0</v>
      </c>
      <c r="J1186" s="8" t="inlineStr">
        <is>
          <t>D-06-03</t>
        </is>
      </c>
      <c r="K1186" s="8" t="inlineStr"/>
      <c r="L1186" s="10" t="n">
        <v>0</v>
      </c>
      <c r="M1186" s="10" t="n">
        <v>0</v>
      </c>
      <c r="N1186" s="10" t="n">
        <v>49</v>
      </c>
      <c r="O1186" s="8" t="inlineStr">
        <is>
          <t>CTL</t>
        </is>
      </c>
      <c r="P1186" s="8" t="inlineStr">
        <is>
          <t>STANDARD</t>
        </is>
      </c>
      <c r="Q1186" s="8" t="inlineStr">
        <is>
          <t>WHAP</t>
        </is>
      </c>
      <c r="R1186" s="8" t="inlineStr">
        <is>
          <t>OUI</t>
        </is>
      </c>
      <c r="S1186" s="8" t="inlineStr">
        <is>
          <t>31/08/2026 02:59</t>
        </is>
      </c>
    </row>
    <row r="1187">
      <c r="A1187" s="7" t="inlineStr">
        <is>
          <t>WHAP-1183</t>
        </is>
      </c>
      <c r="B1187" s="7" t="inlineStr">
        <is>
          <t>POR-1183</t>
        </is>
      </c>
      <c r="C1187" s="7" t="inlineStr">
        <is>
          <t>porte équipage — chef de bord</t>
        </is>
      </c>
      <c r="D1187" s="7" t="inlineStr">
        <is>
          <t>Portes et trappes</t>
        </is>
      </c>
      <c r="E1187" s="7" t="inlineStr">
        <is>
          <t>Portes et trappes</t>
        </is>
      </c>
      <c r="F1187" s="7" t="inlineStr">
        <is>
          <t>PIECE_VEHICULE</t>
        </is>
      </c>
      <c r="G1187" s="7" t="inlineStr">
        <is>
          <t>unité</t>
        </is>
      </c>
      <c r="H1187" s="7" t="inlineStr">
        <is>
          <t>LARGE</t>
        </is>
      </c>
      <c r="I1187" s="7" t="n">
        <v>0</v>
      </c>
      <c r="J1187" s="7" t="inlineStr">
        <is>
          <t>A-05-02</t>
        </is>
      </c>
      <c r="K1187" s="7" t="inlineStr"/>
      <c r="L1187" s="9" t="n">
        <v>0</v>
      </c>
      <c r="M1187" s="9" t="n">
        <v>0</v>
      </c>
      <c r="N1187" s="9" t="n">
        <v>41</v>
      </c>
      <c r="O1187" s="7" t="inlineStr">
        <is>
          <t>BOS</t>
        </is>
      </c>
      <c r="P1187" s="7" t="inlineStr">
        <is>
          <t>STANDARD</t>
        </is>
      </c>
      <c r="Q1187" s="7" t="inlineStr">
        <is>
          <t>WHAP</t>
        </is>
      </c>
      <c r="R1187" s="7" t="inlineStr">
        <is>
          <t>OUI</t>
        </is>
      </c>
      <c r="S1187" s="7" t="inlineStr">
        <is>
          <t>31/08/2026 02:59</t>
        </is>
      </c>
    </row>
    <row r="1188">
      <c r="A1188" s="8" t="inlineStr">
        <is>
          <t>WHAP-1184</t>
        </is>
      </c>
      <c r="B1188" s="8" t="inlineStr">
        <is>
          <t>POR-1184</t>
        </is>
      </c>
      <c r="C1188" s="8" t="inlineStr">
        <is>
          <t>porte arrière — chef de bord</t>
        </is>
      </c>
      <c r="D1188" s="8" t="inlineStr">
        <is>
          <t>Portes et trappes</t>
        </is>
      </c>
      <c r="E1188" s="8" t="inlineStr">
        <is>
          <t>Portes et trappes</t>
        </is>
      </c>
      <c r="F1188" s="8" t="inlineStr">
        <is>
          <t>PIECE_VEHICULE</t>
        </is>
      </c>
      <c r="G1188" s="8" t="inlineStr">
        <is>
          <t>unité</t>
        </is>
      </c>
      <c r="H1188" s="8" t="inlineStr">
        <is>
          <t>LARGE</t>
        </is>
      </c>
      <c r="I1188" s="8" t="n">
        <v>0</v>
      </c>
      <c r="J1188" s="8" t="inlineStr">
        <is>
          <t>D-05-02</t>
        </is>
      </c>
      <c r="K1188" s="8" t="inlineStr"/>
      <c r="L1188" s="10" t="n">
        <v>0</v>
      </c>
      <c r="M1188" s="10" t="n">
        <v>0</v>
      </c>
      <c r="N1188" s="10" t="n">
        <v>49</v>
      </c>
      <c r="O1188" s="8" t="inlineStr">
        <is>
          <t>VAL</t>
        </is>
      </c>
      <c r="P1188" s="8" t="inlineStr">
        <is>
          <t>STANDARD</t>
        </is>
      </c>
      <c r="Q1188" s="8" t="inlineStr">
        <is>
          <t>WHAP</t>
        </is>
      </c>
      <c r="R1188" s="8" t="inlineStr">
        <is>
          <t>OUI</t>
        </is>
      </c>
      <c r="S1188" s="8" t="inlineStr">
        <is>
          <t>31/08/2026 02:59</t>
        </is>
      </c>
    </row>
    <row r="1189">
      <c r="A1189" s="7" t="inlineStr">
        <is>
          <t>WHAP-1185</t>
        </is>
      </c>
      <c r="B1189" s="7" t="inlineStr">
        <is>
          <t>POR-1185</t>
        </is>
      </c>
      <c r="C1189" s="7" t="inlineStr">
        <is>
          <t>trappe supérieure — chef de bord</t>
        </is>
      </c>
      <c r="D1189" s="7" t="inlineStr">
        <is>
          <t>Portes et trappes</t>
        </is>
      </c>
      <c r="E1189" s="7" t="inlineStr">
        <is>
          <t>Portes et trappes</t>
        </is>
      </c>
      <c r="F1189" s="7" t="inlineStr">
        <is>
          <t>PIECE_VEHICULE</t>
        </is>
      </c>
      <c r="G1189" s="7" t="inlineStr">
        <is>
          <t>unité</t>
        </is>
      </c>
      <c r="H1189" s="7" t="inlineStr">
        <is>
          <t>LARGE</t>
        </is>
      </c>
      <c r="I1189" s="7" t="n">
        <v>0</v>
      </c>
      <c r="J1189" s="7" t="inlineStr">
        <is>
          <t>A-05-03</t>
        </is>
      </c>
      <c r="K1189" s="7" t="inlineStr"/>
      <c r="L1189" s="9" t="n">
        <v>0</v>
      </c>
      <c r="M1189" s="9" t="n">
        <v>0</v>
      </c>
      <c r="N1189" s="9" t="n">
        <v>40</v>
      </c>
      <c r="O1189" s="7" t="inlineStr">
        <is>
          <t>DEL</t>
        </is>
      </c>
      <c r="P1189" s="7" t="inlineStr">
        <is>
          <t>STANDARD</t>
        </is>
      </c>
      <c r="Q1189" s="7" t="inlineStr">
        <is>
          <t>WHAP</t>
        </is>
      </c>
      <c r="R1189" s="7" t="inlineStr">
        <is>
          <t>OUI</t>
        </is>
      </c>
      <c r="S1189" s="7" t="inlineStr">
        <is>
          <t>31/08/2026 02:59</t>
        </is>
      </c>
    </row>
    <row r="1190">
      <c r="A1190" s="8" t="inlineStr">
        <is>
          <t>WHAP-1186</t>
        </is>
      </c>
      <c r="B1190" s="8" t="inlineStr">
        <is>
          <t>POR-1186</t>
        </is>
      </c>
      <c r="C1190" s="8" t="inlineStr">
        <is>
          <t>trappe latérale — chef de bord</t>
        </is>
      </c>
      <c r="D1190" s="8" t="inlineStr">
        <is>
          <t>Portes et trappes</t>
        </is>
      </c>
      <c r="E1190" s="8" t="inlineStr">
        <is>
          <t>Portes et trappes</t>
        </is>
      </c>
      <c r="F1190" s="8" t="inlineStr">
        <is>
          <t>PIECE_VEHICULE</t>
        </is>
      </c>
      <c r="G1190" s="8" t="inlineStr">
        <is>
          <t>unité</t>
        </is>
      </c>
      <c r="H1190" s="8" t="inlineStr">
        <is>
          <t>LARGE</t>
        </is>
      </c>
      <c r="I1190" s="8" t="n">
        <v>0</v>
      </c>
      <c r="J1190" s="8" t="inlineStr">
        <is>
          <t>E-01-01</t>
        </is>
      </c>
      <c r="K1190" s="8" t="inlineStr"/>
      <c r="L1190" s="10" t="n">
        <v>0</v>
      </c>
      <c r="M1190" s="10" t="n">
        <v>0</v>
      </c>
      <c r="N1190" s="10" t="n">
        <v>42</v>
      </c>
      <c r="O1190" s="8" t="inlineStr">
        <is>
          <t>SUM</t>
        </is>
      </c>
      <c r="P1190" s="8" t="inlineStr">
        <is>
          <t>STANDARD</t>
        </is>
      </c>
      <c r="Q1190" s="8" t="inlineStr">
        <is>
          <t>WHAP</t>
        </is>
      </c>
      <c r="R1190" s="8" t="inlineStr">
        <is>
          <t>OUI</t>
        </is>
      </c>
      <c r="S1190" s="8" t="inlineStr">
        <is>
          <t>31/08/2026 02:59</t>
        </is>
      </c>
    </row>
    <row r="1191">
      <c r="A1191" s="7" t="inlineStr">
        <is>
          <t>WHAP-1187</t>
        </is>
      </c>
      <c r="B1191" s="7" t="inlineStr">
        <is>
          <t>POR-1187</t>
        </is>
      </c>
      <c r="C1191" s="7" t="inlineStr">
        <is>
          <t>trappe moteur — chef de bord</t>
        </is>
      </c>
      <c r="D1191" s="7" t="inlineStr">
        <is>
          <t>Portes et trappes</t>
        </is>
      </c>
      <c r="E1191" s="7" t="inlineStr">
        <is>
          <t>Portes et trappes</t>
        </is>
      </c>
      <c r="F1191" s="7" t="inlineStr">
        <is>
          <t>PIECE_VEHICULE</t>
        </is>
      </c>
      <c r="G1191" s="7" t="inlineStr">
        <is>
          <t>unité</t>
        </is>
      </c>
      <c r="H1191" s="7" t="inlineStr">
        <is>
          <t>LARGE</t>
        </is>
      </c>
      <c r="I1191" s="7" t="n">
        <v>0</v>
      </c>
      <c r="J1191" s="7" t="inlineStr">
        <is>
          <t>B-02-02</t>
        </is>
      </c>
      <c r="K1191" s="7" t="inlineStr"/>
      <c r="L1191" s="9" t="n">
        <v>0</v>
      </c>
      <c r="M1191" s="9" t="n">
        <v>0</v>
      </c>
      <c r="N1191" s="9" t="n">
        <v>48</v>
      </c>
      <c r="O1191" s="7" t="inlineStr">
        <is>
          <t>SKF</t>
        </is>
      </c>
      <c r="P1191" s="7" t="inlineStr">
        <is>
          <t>STANDARD</t>
        </is>
      </c>
      <c r="Q1191" s="7" t="inlineStr">
        <is>
          <t>WHAP</t>
        </is>
      </c>
      <c r="R1191" s="7" t="inlineStr">
        <is>
          <t>OUI</t>
        </is>
      </c>
      <c r="S1191" s="7" t="inlineStr">
        <is>
          <t>31/08/2026 02:59</t>
        </is>
      </c>
    </row>
    <row r="1192">
      <c r="A1192" s="8" t="inlineStr">
        <is>
          <t>WHAP-1188</t>
        </is>
      </c>
      <c r="B1192" s="8" t="inlineStr">
        <is>
          <t>POR-1188</t>
        </is>
      </c>
      <c r="C1192" s="8" t="inlineStr">
        <is>
          <t>charnière — chef de bord</t>
        </is>
      </c>
      <c r="D1192" s="8" t="inlineStr">
        <is>
          <t>Portes et trappes</t>
        </is>
      </c>
      <c r="E1192" s="8" t="inlineStr">
        <is>
          <t>Portes et trappes</t>
        </is>
      </c>
      <c r="F1192" s="8" t="inlineStr">
        <is>
          <t>PIECE_VEHICULE</t>
        </is>
      </c>
      <c r="G1192" s="8" t="inlineStr">
        <is>
          <t>unité</t>
        </is>
      </c>
      <c r="H1192" s="8" t="inlineStr">
        <is>
          <t>LARGE</t>
        </is>
      </c>
      <c r="I1192" s="8" t="n">
        <v>0</v>
      </c>
      <c r="J1192" s="8" t="inlineStr">
        <is>
          <t>F-02-04</t>
        </is>
      </c>
      <c r="K1192" s="8" t="inlineStr"/>
      <c r="L1192" s="10" t="n">
        <v>0</v>
      </c>
      <c r="M1192" s="10" t="n">
        <v>0</v>
      </c>
      <c r="N1192" s="10" t="n">
        <v>43</v>
      </c>
      <c r="O1192" s="8" t="inlineStr">
        <is>
          <t>FAU</t>
        </is>
      </c>
      <c r="P1192" s="8" t="inlineStr">
        <is>
          <t>STANDARD</t>
        </is>
      </c>
      <c r="Q1192" s="8" t="inlineStr">
        <is>
          <t>WHAP</t>
        </is>
      </c>
      <c r="R1192" s="8" t="inlineStr">
        <is>
          <t>OUI</t>
        </is>
      </c>
      <c r="S1192" s="8" t="inlineStr">
        <is>
          <t>31/08/2026 02:59</t>
        </is>
      </c>
    </row>
    <row r="1193">
      <c r="A1193" s="7" t="inlineStr">
        <is>
          <t>WHAP-1189</t>
        </is>
      </c>
      <c r="B1193" s="7" t="inlineStr">
        <is>
          <t>POR-1189</t>
        </is>
      </c>
      <c r="C1193" s="7" t="inlineStr">
        <is>
          <t>serrure — chef de bord</t>
        </is>
      </c>
      <c r="D1193" s="7" t="inlineStr">
        <is>
          <t>Portes et trappes</t>
        </is>
      </c>
      <c r="E1193" s="7" t="inlineStr">
        <is>
          <t>Portes et trappes</t>
        </is>
      </c>
      <c r="F1193" s="7" t="inlineStr">
        <is>
          <t>PIECE_VEHICULE</t>
        </is>
      </c>
      <c r="G1193" s="7" t="inlineStr">
        <is>
          <t>unité</t>
        </is>
      </c>
      <c r="H1193" s="7" t="inlineStr">
        <is>
          <t>LARGE</t>
        </is>
      </c>
      <c r="I1193" s="7" t="n">
        <v>0</v>
      </c>
      <c r="J1193" s="7" t="inlineStr">
        <is>
          <t>F-06-02</t>
        </is>
      </c>
      <c r="K1193" s="7" t="inlineStr"/>
      <c r="L1193" s="9" t="n">
        <v>0</v>
      </c>
      <c r="M1193" s="9" t="n">
        <v>0</v>
      </c>
      <c r="N1193" s="9" t="n">
        <v>47</v>
      </c>
      <c r="O1193" s="7" t="inlineStr">
        <is>
          <t>YZK</t>
        </is>
      </c>
      <c r="P1193" s="7" t="inlineStr">
        <is>
          <t>STANDARD</t>
        </is>
      </c>
      <c r="Q1193" s="7" t="inlineStr">
        <is>
          <t>WHAP</t>
        </is>
      </c>
      <c r="R1193" s="7" t="inlineStr">
        <is>
          <t>OUI</t>
        </is>
      </c>
      <c r="S1193" s="7" t="inlineStr">
        <is>
          <t>31/08/2026 02:59</t>
        </is>
      </c>
    </row>
    <row r="1194">
      <c r="A1194" s="8" t="inlineStr">
        <is>
          <t>WHAP-1190</t>
        </is>
      </c>
      <c r="B1194" s="8" t="inlineStr">
        <is>
          <t>POR-1190</t>
        </is>
      </c>
      <c r="C1194" s="8" t="inlineStr">
        <is>
          <t>loquet — chef de bord</t>
        </is>
      </c>
      <c r="D1194" s="8" t="inlineStr">
        <is>
          <t>Portes et trappes</t>
        </is>
      </c>
      <c r="E1194" s="8" t="inlineStr">
        <is>
          <t>Portes et trappes</t>
        </is>
      </c>
      <c r="F1194" s="8" t="inlineStr">
        <is>
          <t>PIECE_VEHICULE</t>
        </is>
      </c>
      <c r="G1194" s="8" t="inlineStr">
        <is>
          <t>unité</t>
        </is>
      </c>
      <c r="H1194" s="8" t="inlineStr">
        <is>
          <t>LARGE</t>
        </is>
      </c>
      <c r="I1194" s="8" t="n">
        <v>0</v>
      </c>
      <c r="J1194" s="8" t="inlineStr">
        <is>
          <t>F-06-02</t>
        </is>
      </c>
      <c r="K1194" s="8" t="inlineStr"/>
      <c r="L1194" s="10" t="n">
        <v>0</v>
      </c>
      <c r="M1194" s="10" t="n">
        <v>0</v>
      </c>
      <c r="N1194" s="10" t="n">
        <v>41</v>
      </c>
      <c r="O1194" s="8" t="inlineStr">
        <is>
          <t>FAU</t>
        </is>
      </c>
      <c r="P1194" s="8" t="inlineStr">
        <is>
          <t>STANDARD</t>
        </is>
      </c>
      <c r="Q1194" s="8" t="inlineStr">
        <is>
          <t>WHAP</t>
        </is>
      </c>
      <c r="R1194" s="8" t="inlineStr">
        <is>
          <t>OUI</t>
        </is>
      </c>
      <c r="S1194" s="8" t="inlineStr">
        <is>
          <t>31/08/2026 02:59</t>
        </is>
      </c>
    </row>
    <row r="1195">
      <c r="A1195" s="7" t="inlineStr">
        <is>
          <t>WHAP-1191</t>
        </is>
      </c>
      <c r="B1195" s="7" t="inlineStr">
        <is>
          <t>POR-1191</t>
        </is>
      </c>
      <c r="C1195" s="7" t="inlineStr">
        <is>
          <t>verrou rotatif — chef de bord</t>
        </is>
      </c>
      <c r="D1195" s="7" t="inlineStr">
        <is>
          <t>Portes et trappes</t>
        </is>
      </c>
      <c r="E1195" s="7" t="inlineStr">
        <is>
          <t>Portes et trappes</t>
        </is>
      </c>
      <c r="F1195" s="7" t="inlineStr">
        <is>
          <t>PIECE_VEHICULE</t>
        </is>
      </c>
      <c r="G1195" s="7" t="inlineStr">
        <is>
          <t>unité</t>
        </is>
      </c>
      <c r="H1195" s="7" t="inlineStr">
        <is>
          <t>LARGE</t>
        </is>
      </c>
      <c r="I1195" s="7" t="n">
        <v>0</v>
      </c>
      <c r="J1195" s="7" t="inlineStr">
        <is>
          <t>F-03-01</t>
        </is>
      </c>
      <c r="K1195" s="7" t="inlineStr"/>
      <c r="L1195" s="9" t="n">
        <v>0</v>
      </c>
      <c r="M1195" s="9" t="n">
        <v>0</v>
      </c>
      <c r="N1195" s="9" t="n">
        <v>43</v>
      </c>
      <c r="O1195" s="7" t="inlineStr">
        <is>
          <t>YZK</t>
        </is>
      </c>
      <c r="P1195" s="7" t="inlineStr">
        <is>
          <t>STANDARD</t>
        </is>
      </c>
      <c r="Q1195" s="7" t="inlineStr">
        <is>
          <t>WHAP</t>
        </is>
      </c>
      <c r="R1195" s="7" t="inlineStr">
        <is>
          <t>OUI</t>
        </is>
      </c>
      <c r="S1195" s="7" t="inlineStr">
        <is>
          <t>31/08/2026 02:59</t>
        </is>
      </c>
    </row>
    <row r="1196">
      <c r="A1196" s="8" t="inlineStr">
        <is>
          <t>WHAP-1192</t>
        </is>
      </c>
      <c r="B1196" s="8" t="inlineStr">
        <is>
          <t>POR-1192</t>
        </is>
      </c>
      <c r="C1196" s="8" t="inlineStr">
        <is>
          <t>poignée intérieure — chef de bord</t>
        </is>
      </c>
      <c r="D1196" s="8" t="inlineStr">
        <is>
          <t>Portes et trappes</t>
        </is>
      </c>
      <c r="E1196" s="8" t="inlineStr">
        <is>
          <t>Portes et trappes</t>
        </is>
      </c>
      <c r="F1196" s="8" t="inlineStr">
        <is>
          <t>PIECE_VEHICULE</t>
        </is>
      </c>
      <c r="G1196" s="8" t="inlineStr">
        <is>
          <t>unité</t>
        </is>
      </c>
      <c r="H1196" s="8" t="inlineStr">
        <is>
          <t>LARGE</t>
        </is>
      </c>
      <c r="I1196" s="8" t="n">
        <v>0</v>
      </c>
      <c r="J1196" s="8" t="inlineStr">
        <is>
          <t>F-02-01</t>
        </is>
      </c>
      <c r="K1196" s="8" t="inlineStr"/>
      <c r="L1196" s="10" t="n">
        <v>0</v>
      </c>
      <c r="M1196" s="10" t="n">
        <v>0</v>
      </c>
      <c r="N1196" s="10" t="n">
        <v>44</v>
      </c>
      <c r="O1196" s="8" t="inlineStr">
        <is>
          <t>SKF</t>
        </is>
      </c>
      <c r="P1196" s="8" t="inlineStr">
        <is>
          <t>STANDARD</t>
        </is>
      </c>
      <c r="Q1196" s="8" t="inlineStr">
        <is>
          <t>WHAP</t>
        </is>
      </c>
      <c r="R1196" s="8" t="inlineStr">
        <is>
          <t>OUI</t>
        </is>
      </c>
      <c r="S1196" s="8" t="inlineStr">
        <is>
          <t>31/08/2026 02:59</t>
        </is>
      </c>
    </row>
    <row r="1197">
      <c r="A1197" s="7" t="inlineStr">
        <is>
          <t>WHAP-1193</t>
        </is>
      </c>
      <c r="B1197" s="7" t="inlineStr">
        <is>
          <t>POR-1193</t>
        </is>
      </c>
      <c r="C1197" s="7" t="inlineStr">
        <is>
          <t>poignée extérieure — chef de bord</t>
        </is>
      </c>
      <c r="D1197" s="7" t="inlineStr">
        <is>
          <t>Portes et trappes</t>
        </is>
      </c>
      <c r="E1197" s="7" t="inlineStr">
        <is>
          <t>Portes et trappes</t>
        </is>
      </c>
      <c r="F1197" s="7" t="inlineStr">
        <is>
          <t>PIECE_VEHICULE</t>
        </is>
      </c>
      <c r="G1197" s="7" t="inlineStr">
        <is>
          <t>unité</t>
        </is>
      </c>
      <c r="H1197" s="7" t="inlineStr">
        <is>
          <t>LARGE</t>
        </is>
      </c>
      <c r="I1197" s="7" t="n">
        <v>0</v>
      </c>
      <c r="J1197" s="7" t="inlineStr">
        <is>
          <t>F-02-04</t>
        </is>
      </c>
      <c r="K1197" s="7" t="inlineStr"/>
      <c r="L1197" s="9" t="n">
        <v>0</v>
      </c>
      <c r="M1197" s="9" t="n">
        <v>0</v>
      </c>
      <c r="N1197" s="9" t="n">
        <v>41</v>
      </c>
      <c r="O1197" s="7" t="inlineStr">
        <is>
          <t>SKF</t>
        </is>
      </c>
      <c r="P1197" s="7" t="inlineStr">
        <is>
          <t>STANDARD</t>
        </is>
      </c>
      <c r="Q1197" s="7" t="inlineStr">
        <is>
          <t>WHAP</t>
        </is>
      </c>
      <c r="R1197" s="7" t="inlineStr">
        <is>
          <t>OUI</t>
        </is>
      </c>
      <c r="S1197" s="7" t="inlineStr">
        <is>
          <t>31/08/2026 02:59</t>
        </is>
      </c>
    </row>
    <row r="1198">
      <c r="A1198" s="8" t="inlineStr">
        <is>
          <t>WHAP-1194</t>
        </is>
      </c>
      <c r="B1198" s="8" t="inlineStr">
        <is>
          <t>POR-1194</t>
        </is>
      </c>
      <c r="C1198" s="8" t="inlineStr">
        <is>
          <t>câble de commande — chef de bord</t>
        </is>
      </c>
      <c r="D1198" s="8" t="inlineStr">
        <is>
          <t>Portes et trappes</t>
        </is>
      </c>
      <c r="E1198" s="8" t="inlineStr">
        <is>
          <t>Portes et trappes</t>
        </is>
      </c>
      <c r="F1198" s="8" t="inlineStr">
        <is>
          <t>PIECE_VEHICULE</t>
        </is>
      </c>
      <c r="G1198" s="8" t="inlineStr">
        <is>
          <t>unité</t>
        </is>
      </c>
      <c r="H1198" s="8" t="inlineStr">
        <is>
          <t>LARGE</t>
        </is>
      </c>
      <c r="I1198" s="8" t="n">
        <v>0</v>
      </c>
      <c r="J1198" s="8" t="inlineStr">
        <is>
          <t>C-01-02</t>
        </is>
      </c>
      <c r="K1198" s="8" t="inlineStr"/>
      <c r="L1198" s="10" t="n">
        <v>0</v>
      </c>
      <c r="M1198" s="10" t="n">
        <v>0</v>
      </c>
      <c r="N1198" s="10" t="n">
        <v>44</v>
      </c>
      <c r="O1198" s="8" t="inlineStr">
        <is>
          <t>HEL</t>
        </is>
      </c>
      <c r="P1198" s="8" t="inlineStr">
        <is>
          <t>STANDARD</t>
        </is>
      </c>
      <c r="Q1198" s="8" t="inlineStr">
        <is>
          <t>WHAP</t>
        </is>
      </c>
      <c r="R1198" s="8" t="inlineStr">
        <is>
          <t>OUI</t>
        </is>
      </c>
      <c r="S1198" s="8" t="inlineStr">
        <is>
          <t>31/08/2026 02:59</t>
        </is>
      </c>
    </row>
    <row r="1199">
      <c r="A1199" s="7" t="inlineStr">
        <is>
          <t>WHAP-1195</t>
        </is>
      </c>
      <c r="B1199" s="7" t="inlineStr">
        <is>
          <t>POR-1195</t>
        </is>
      </c>
      <c r="C1199" s="7" t="inlineStr">
        <is>
          <t>vérin à gaz — chef de bord</t>
        </is>
      </c>
      <c r="D1199" s="7" t="inlineStr">
        <is>
          <t>Portes et trappes</t>
        </is>
      </c>
      <c r="E1199" s="7" t="inlineStr">
        <is>
          <t>Portes et trappes</t>
        </is>
      </c>
      <c r="F1199" s="7" t="inlineStr">
        <is>
          <t>PIECE_VEHICULE</t>
        </is>
      </c>
      <c r="G1199" s="7" t="inlineStr">
        <is>
          <t>unité</t>
        </is>
      </c>
      <c r="H1199" s="7" t="inlineStr">
        <is>
          <t>LARGE</t>
        </is>
      </c>
      <c r="I1199" s="7" t="n">
        <v>0</v>
      </c>
      <c r="J1199" s="7" t="inlineStr">
        <is>
          <t>D-04-02</t>
        </is>
      </c>
      <c r="K1199" s="7" t="inlineStr"/>
      <c r="L1199" s="9" t="n">
        <v>0</v>
      </c>
      <c r="M1199" s="9" t="n">
        <v>0</v>
      </c>
      <c r="N1199" s="9" t="n">
        <v>40</v>
      </c>
      <c r="O1199" s="7" t="inlineStr">
        <is>
          <t>FAU</t>
        </is>
      </c>
      <c r="P1199" s="7" t="inlineStr">
        <is>
          <t>STANDARD</t>
        </is>
      </c>
      <c r="Q1199" s="7" t="inlineStr">
        <is>
          <t>WHAP</t>
        </is>
      </c>
      <c r="R1199" s="7" t="inlineStr">
        <is>
          <t>OUI</t>
        </is>
      </c>
      <c r="S1199" s="7" t="inlineStr">
        <is>
          <t>31/08/2026 02:59</t>
        </is>
      </c>
    </row>
    <row r="1200">
      <c r="A1200" s="8" t="inlineStr">
        <is>
          <t>WHAP-1196</t>
        </is>
      </c>
      <c r="B1200" s="8" t="inlineStr">
        <is>
          <t>POR-1196</t>
        </is>
      </c>
      <c r="C1200" s="8" t="inlineStr">
        <is>
          <t>vérin hydraulique — chef de bord</t>
        </is>
      </c>
      <c r="D1200" s="8" t="inlineStr">
        <is>
          <t>Portes et trappes</t>
        </is>
      </c>
      <c r="E1200" s="8" t="inlineStr">
        <is>
          <t>Portes et trappes</t>
        </is>
      </c>
      <c r="F1200" s="8" t="inlineStr">
        <is>
          <t>PIECE_VEHICULE</t>
        </is>
      </c>
      <c r="G1200" s="8" t="inlineStr">
        <is>
          <t>unité</t>
        </is>
      </c>
      <c r="H1200" s="8" t="inlineStr">
        <is>
          <t>LARGE</t>
        </is>
      </c>
      <c r="I1200" s="8" t="n">
        <v>0</v>
      </c>
      <c r="J1200" s="8" t="inlineStr">
        <is>
          <t>F-03-02</t>
        </is>
      </c>
      <c r="K1200" s="8" t="inlineStr"/>
      <c r="L1200" s="10" t="n">
        <v>0</v>
      </c>
      <c r="M1200" s="10" t="n">
        <v>0</v>
      </c>
      <c r="N1200" s="10" t="n">
        <v>50</v>
      </c>
      <c r="O1200" s="8" t="inlineStr">
        <is>
          <t>VAL</t>
        </is>
      </c>
      <c r="P1200" s="8" t="inlineStr">
        <is>
          <t>STANDARD</t>
        </is>
      </c>
      <c r="Q1200" s="8" t="inlineStr">
        <is>
          <t>WHAP</t>
        </is>
      </c>
      <c r="R1200" s="8" t="inlineStr">
        <is>
          <t>OUI</t>
        </is>
      </c>
      <c r="S1200" s="8" t="inlineStr">
        <is>
          <t>31/08/2026 02:59</t>
        </is>
      </c>
    </row>
    <row r="1201">
      <c r="A1201" s="7" t="inlineStr">
        <is>
          <t>WHAP-1197</t>
        </is>
      </c>
      <c r="B1201" s="7" t="inlineStr">
        <is>
          <t>POR-1197</t>
        </is>
      </c>
      <c r="C1201" s="7" t="inlineStr">
        <is>
          <t>joint de porte — chef de bord</t>
        </is>
      </c>
      <c r="D1201" s="7" t="inlineStr">
        <is>
          <t>Portes et trappes</t>
        </is>
      </c>
      <c r="E1201" s="7" t="inlineStr">
        <is>
          <t>Portes et trappes</t>
        </is>
      </c>
      <c r="F1201" s="7" t="inlineStr">
        <is>
          <t>PIECE_VEHICULE</t>
        </is>
      </c>
      <c r="G1201" s="7" t="inlineStr">
        <is>
          <t>unité</t>
        </is>
      </c>
      <c r="H1201" s="7" t="inlineStr">
        <is>
          <t>LARGE</t>
        </is>
      </c>
      <c r="I1201" s="7" t="n">
        <v>0</v>
      </c>
      <c r="J1201" s="7" t="inlineStr">
        <is>
          <t>F-02-04</t>
        </is>
      </c>
      <c r="K1201" s="7" t="inlineStr"/>
      <c r="L1201" s="9" t="n">
        <v>0</v>
      </c>
      <c r="M1201" s="9" t="n">
        <v>0</v>
      </c>
      <c r="N1201" s="9" t="n">
        <v>40</v>
      </c>
      <c r="O1201" s="7" t="inlineStr">
        <is>
          <t>YZK</t>
        </is>
      </c>
      <c r="P1201" s="7" t="inlineStr">
        <is>
          <t>STANDARD</t>
        </is>
      </c>
      <c r="Q1201" s="7" t="inlineStr">
        <is>
          <t>WHAP</t>
        </is>
      </c>
      <c r="R1201" s="7" t="inlineStr">
        <is>
          <t>OUI</t>
        </is>
      </c>
      <c r="S1201" s="7" t="inlineStr">
        <is>
          <t>31/08/2026 02:59</t>
        </is>
      </c>
    </row>
    <row r="1202">
      <c r="A1202" s="8" t="inlineStr">
        <is>
          <t>WHAP-1198</t>
        </is>
      </c>
      <c r="B1202" s="8" t="inlineStr">
        <is>
          <t>POR-1198</t>
        </is>
      </c>
      <c r="C1202" s="8" t="inlineStr">
        <is>
          <t>joint de trappe — chef de bord</t>
        </is>
      </c>
      <c r="D1202" s="8" t="inlineStr">
        <is>
          <t>Portes et trappes</t>
        </is>
      </c>
      <c r="E1202" s="8" t="inlineStr">
        <is>
          <t>Portes et trappes</t>
        </is>
      </c>
      <c r="F1202" s="8" t="inlineStr">
        <is>
          <t>PIECE_VEHICULE</t>
        </is>
      </c>
      <c r="G1202" s="8" t="inlineStr">
        <is>
          <t>unité</t>
        </is>
      </c>
      <c r="H1202" s="8" t="inlineStr">
        <is>
          <t>LARGE</t>
        </is>
      </c>
      <c r="I1202" s="8" t="n">
        <v>0</v>
      </c>
      <c r="J1202" s="8" t="inlineStr">
        <is>
          <t>F-06-03</t>
        </is>
      </c>
      <c r="K1202" s="8" t="inlineStr"/>
      <c r="L1202" s="10" t="n">
        <v>0</v>
      </c>
      <c r="M1202" s="10" t="n">
        <v>0</v>
      </c>
      <c r="N1202" s="10" t="n">
        <v>46</v>
      </c>
      <c r="O1202" s="8" t="inlineStr">
        <is>
          <t>CTL</t>
        </is>
      </c>
      <c r="P1202" s="8" t="inlineStr">
        <is>
          <t>STANDARD</t>
        </is>
      </c>
      <c r="Q1202" s="8" t="inlineStr">
        <is>
          <t>WHAP</t>
        </is>
      </c>
      <c r="R1202" s="8" t="inlineStr">
        <is>
          <t>OUI</t>
        </is>
      </c>
      <c r="S1202" s="8" t="inlineStr">
        <is>
          <t>31/08/2026 02:59</t>
        </is>
      </c>
    </row>
    <row r="1203">
      <c r="A1203" s="7" t="inlineStr">
        <is>
          <t>WHAP-1199</t>
        </is>
      </c>
      <c r="B1203" s="7" t="inlineStr">
        <is>
          <t>POR-1199</t>
        </is>
      </c>
      <c r="C1203" s="7" t="inlineStr">
        <is>
          <t>vitre blindée — chef de bord</t>
        </is>
      </c>
      <c r="D1203" s="7" t="inlineStr">
        <is>
          <t>Portes et trappes</t>
        </is>
      </c>
      <c r="E1203" s="7" t="inlineStr">
        <is>
          <t>Portes et trappes</t>
        </is>
      </c>
      <c r="F1203" s="7" t="inlineStr">
        <is>
          <t>PIECE_VEHICULE</t>
        </is>
      </c>
      <c r="G1203" s="7" t="inlineStr">
        <is>
          <t>unité</t>
        </is>
      </c>
      <c r="H1203" s="7" t="inlineStr">
        <is>
          <t>LARGE</t>
        </is>
      </c>
      <c r="I1203" s="7" t="n">
        <v>0</v>
      </c>
      <c r="J1203" s="7" t="inlineStr">
        <is>
          <t>E-06-02</t>
        </is>
      </c>
      <c r="K1203" s="7" t="inlineStr"/>
      <c r="L1203" s="9" t="n">
        <v>0</v>
      </c>
      <c r="M1203" s="9" t="n">
        <v>0</v>
      </c>
      <c r="N1203" s="9" t="n">
        <v>40</v>
      </c>
      <c r="O1203" s="7" t="inlineStr">
        <is>
          <t>MAG</t>
        </is>
      </c>
      <c r="P1203" s="7" t="inlineStr">
        <is>
          <t>STANDARD</t>
        </is>
      </c>
      <c r="Q1203" s="7" t="inlineStr">
        <is>
          <t>WHAP</t>
        </is>
      </c>
      <c r="R1203" s="7" t="inlineStr">
        <is>
          <t>OUI</t>
        </is>
      </c>
      <c r="S1203" s="7" t="inlineStr">
        <is>
          <t>31/08/2026 02:59</t>
        </is>
      </c>
    </row>
    <row r="1204">
      <c r="A1204" s="8" t="inlineStr">
        <is>
          <t>WHAP-1200</t>
        </is>
      </c>
      <c r="B1204" s="8" t="inlineStr">
        <is>
          <t>POR-1200</t>
        </is>
      </c>
      <c r="C1204" s="8" t="inlineStr">
        <is>
          <t>cadre de vitre — chef de bord</t>
        </is>
      </c>
      <c r="D1204" s="8" t="inlineStr">
        <is>
          <t>Portes et trappes</t>
        </is>
      </c>
      <c r="E1204" s="8" t="inlineStr">
        <is>
          <t>Portes et trappes</t>
        </is>
      </c>
      <c r="F1204" s="8" t="inlineStr">
        <is>
          <t>PIECE_VEHICULE</t>
        </is>
      </c>
      <c r="G1204" s="8" t="inlineStr">
        <is>
          <t>unité</t>
        </is>
      </c>
      <c r="H1204" s="8" t="inlineStr">
        <is>
          <t>LARGE</t>
        </is>
      </c>
      <c r="I1204" s="8" t="n">
        <v>0</v>
      </c>
      <c r="J1204" s="8" t="inlineStr">
        <is>
          <t>B-01-01</t>
        </is>
      </c>
      <c r="K1204" s="8" t="inlineStr"/>
      <c r="L1204" s="10" t="n">
        <v>0</v>
      </c>
      <c r="M1204" s="10" t="n">
        <v>0</v>
      </c>
      <c r="N1204" s="10" t="n">
        <v>40</v>
      </c>
      <c r="O1204" s="8" t="inlineStr">
        <is>
          <t>FAU</t>
        </is>
      </c>
      <c r="P1204" s="8" t="inlineStr">
        <is>
          <t>STANDARD</t>
        </is>
      </c>
      <c r="Q1204" s="8" t="inlineStr">
        <is>
          <t>WHAP</t>
        </is>
      </c>
      <c r="R1204" s="8" t="inlineStr">
        <is>
          <t>OUI</t>
        </is>
      </c>
      <c r="S1204" s="8" t="inlineStr">
        <is>
          <t>31/08/2026 02:59</t>
        </is>
      </c>
    </row>
    <row r="1205">
      <c r="A1205" s="7" t="inlineStr">
        <is>
          <t>WHAP-1201</t>
        </is>
      </c>
      <c r="B1205" s="7" t="inlineStr">
        <is>
          <t>POR-1201</t>
        </is>
      </c>
      <c r="C1205" s="7" t="inlineStr">
        <is>
          <t>lève-vitre — chef de bord</t>
        </is>
      </c>
      <c r="D1205" s="7" t="inlineStr">
        <is>
          <t>Portes et trappes</t>
        </is>
      </c>
      <c r="E1205" s="7" t="inlineStr">
        <is>
          <t>Portes et trappes</t>
        </is>
      </c>
      <c r="F1205" s="7" t="inlineStr">
        <is>
          <t>PIECE_VEHICULE</t>
        </is>
      </c>
      <c r="G1205" s="7" t="inlineStr">
        <is>
          <t>unité</t>
        </is>
      </c>
      <c r="H1205" s="7" t="inlineStr">
        <is>
          <t>LARGE</t>
        </is>
      </c>
      <c r="I1205" s="7" t="n">
        <v>0</v>
      </c>
      <c r="J1205" s="7" t="inlineStr">
        <is>
          <t>C-02-03</t>
        </is>
      </c>
      <c r="K1205" s="7" t="inlineStr"/>
      <c r="L1205" s="9" t="n">
        <v>0</v>
      </c>
      <c r="M1205" s="9" t="n">
        <v>0</v>
      </c>
      <c r="N1205" s="9" t="n">
        <v>42</v>
      </c>
      <c r="O1205" s="7" t="inlineStr">
        <is>
          <t>DEL</t>
        </is>
      </c>
      <c r="P1205" s="7" t="inlineStr">
        <is>
          <t>STANDARD</t>
        </is>
      </c>
      <c r="Q1205" s="7" t="inlineStr">
        <is>
          <t>WHAP</t>
        </is>
      </c>
      <c r="R1205" s="7" t="inlineStr">
        <is>
          <t>OUI</t>
        </is>
      </c>
      <c r="S1205" s="7" t="inlineStr">
        <is>
          <t>31/08/2026 02:59</t>
        </is>
      </c>
    </row>
    <row r="1206">
      <c r="A1206" s="8" t="inlineStr">
        <is>
          <t>WHAP-1202</t>
        </is>
      </c>
      <c r="B1206" s="8" t="inlineStr">
        <is>
          <t>POR-1202</t>
        </is>
      </c>
      <c r="C1206" s="8" t="inlineStr">
        <is>
          <t>mécanisme de vitre — chef de bord</t>
        </is>
      </c>
      <c r="D1206" s="8" t="inlineStr">
        <is>
          <t>Portes et trappes</t>
        </is>
      </c>
      <c r="E1206" s="8" t="inlineStr">
        <is>
          <t>Portes et trappes</t>
        </is>
      </c>
      <c r="F1206" s="8" t="inlineStr">
        <is>
          <t>PIECE_VEHICULE</t>
        </is>
      </c>
      <c r="G1206" s="8" t="inlineStr">
        <is>
          <t>unité</t>
        </is>
      </c>
      <c r="H1206" s="8" t="inlineStr">
        <is>
          <t>LARGE</t>
        </is>
      </c>
      <c r="I1206" s="8" t="n">
        <v>0</v>
      </c>
      <c r="J1206" s="8" t="inlineStr">
        <is>
          <t>E-04-03</t>
        </is>
      </c>
      <c r="K1206" s="8" t="inlineStr"/>
      <c r="L1206" s="10" t="n">
        <v>0</v>
      </c>
      <c r="M1206" s="10" t="n">
        <v>0</v>
      </c>
      <c r="N1206" s="10" t="n">
        <v>43</v>
      </c>
      <c r="O1206" s="8" t="inlineStr">
        <is>
          <t>SUM</t>
        </is>
      </c>
      <c r="P1206" s="8" t="inlineStr">
        <is>
          <t>STANDARD</t>
        </is>
      </c>
      <c r="Q1206" s="8" t="inlineStr">
        <is>
          <t>WHAP</t>
        </is>
      </c>
      <c r="R1206" s="8" t="inlineStr">
        <is>
          <t>OUI</t>
        </is>
      </c>
      <c r="S1206" s="8" t="inlineStr">
        <is>
          <t>31/08/2026 02:59</t>
        </is>
      </c>
    </row>
    <row r="1207">
      <c r="A1207" s="7" t="inlineStr">
        <is>
          <t>WHAP-1203</t>
        </is>
      </c>
      <c r="B1207" s="7" t="inlineStr">
        <is>
          <t>POR-1203</t>
        </is>
      </c>
      <c r="C1207" s="7" t="inlineStr">
        <is>
          <t>butée — chef de bord</t>
        </is>
      </c>
      <c r="D1207" s="7" t="inlineStr">
        <is>
          <t>Portes et trappes</t>
        </is>
      </c>
      <c r="E1207" s="7" t="inlineStr">
        <is>
          <t>Portes et trappes</t>
        </is>
      </c>
      <c r="F1207" s="7" t="inlineStr">
        <is>
          <t>PIECE_VEHICULE</t>
        </is>
      </c>
      <c r="G1207" s="7" t="inlineStr">
        <is>
          <t>unité</t>
        </is>
      </c>
      <c r="H1207" s="7" t="inlineStr">
        <is>
          <t>LARGE</t>
        </is>
      </c>
      <c r="I1207" s="7" t="n">
        <v>0</v>
      </c>
      <c r="J1207" s="7" t="inlineStr">
        <is>
          <t>D-01-04</t>
        </is>
      </c>
      <c r="K1207" s="7" t="inlineStr"/>
      <c r="L1207" s="9" t="n">
        <v>0</v>
      </c>
      <c r="M1207" s="9" t="n">
        <v>0</v>
      </c>
      <c r="N1207" s="9" t="n">
        <v>40</v>
      </c>
      <c r="O1207" s="7" t="inlineStr">
        <is>
          <t>VAL</t>
        </is>
      </c>
      <c r="P1207" s="7" t="inlineStr">
        <is>
          <t>STANDARD</t>
        </is>
      </c>
      <c r="Q1207" s="7" t="inlineStr">
        <is>
          <t>WHAP</t>
        </is>
      </c>
      <c r="R1207" s="7" t="inlineStr">
        <is>
          <t>OUI</t>
        </is>
      </c>
      <c r="S1207" s="7" t="inlineStr">
        <is>
          <t>31/08/2026 02:59</t>
        </is>
      </c>
    </row>
    <row r="1208">
      <c r="A1208" s="8" t="inlineStr">
        <is>
          <t>WHAP-1204</t>
        </is>
      </c>
      <c r="B1208" s="8" t="inlineStr">
        <is>
          <t>POR-1204</t>
        </is>
      </c>
      <c r="C1208" s="8" t="inlineStr">
        <is>
          <t>gâche — chef de bord</t>
        </is>
      </c>
      <c r="D1208" s="8" t="inlineStr">
        <is>
          <t>Portes et trappes</t>
        </is>
      </c>
      <c r="E1208" s="8" t="inlineStr">
        <is>
          <t>Portes et trappes</t>
        </is>
      </c>
      <c r="F1208" s="8" t="inlineStr">
        <is>
          <t>PIECE_VEHICULE</t>
        </is>
      </c>
      <c r="G1208" s="8" t="inlineStr">
        <is>
          <t>unité</t>
        </is>
      </c>
      <c r="H1208" s="8" t="inlineStr">
        <is>
          <t>LARGE</t>
        </is>
      </c>
      <c r="I1208" s="8" t="n">
        <v>0</v>
      </c>
      <c r="J1208" s="8" t="inlineStr">
        <is>
          <t>E-05-03</t>
        </is>
      </c>
      <c r="K1208" s="8" t="inlineStr"/>
      <c r="L1208" s="10" t="n">
        <v>0</v>
      </c>
      <c r="M1208" s="10" t="n">
        <v>0</v>
      </c>
      <c r="N1208" s="10" t="n">
        <v>45</v>
      </c>
      <c r="O1208" s="8" t="inlineStr">
        <is>
          <t>DEL</t>
        </is>
      </c>
      <c r="P1208" s="8" t="inlineStr">
        <is>
          <t>STANDARD</t>
        </is>
      </c>
      <c r="Q1208" s="8" t="inlineStr">
        <is>
          <t>WHAP</t>
        </is>
      </c>
      <c r="R1208" s="8" t="inlineStr">
        <is>
          <t>OUI</t>
        </is>
      </c>
      <c r="S1208" s="8" t="inlineStr">
        <is>
          <t>31/08/2026 02:59</t>
        </is>
      </c>
    </row>
    <row r="1209">
      <c r="A1209" s="7" t="inlineStr">
        <is>
          <t>WHAP-1205</t>
        </is>
      </c>
      <c r="B1209" s="7" t="inlineStr">
        <is>
          <t>POR-1205</t>
        </is>
      </c>
      <c r="C1209" s="7" t="inlineStr">
        <is>
          <t>axe de charnière — chef de bord</t>
        </is>
      </c>
      <c r="D1209" s="7" t="inlineStr">
        <is>
          <t>Portes et trappes</t>
        </is>
      </c>
      <c r="E1209" s="7" t="inlineStr">
        <is>
          <t>Portes et trappes</t>
        </is>
      </c>
      <c r="F1209" s="7" t="inlineStr">
        <is>
          <t>PIECE_VEHICULE</t>
        </is>
      </c>
      <c r="G1209" s="7" t="inlineStr">
        <is>
          <t>unité</t>
        </is>
      </c>
      <c r="H1209" s="7" t="inlineStr">
        <is>
          <t>LARGE</t>
        </is>
      </c>
      <c r="I1209" s="7" t="n">
        <v>0</v>
      </c>
      <c r="J1209" s="7" t="inlineStr">
        <is>
          <t>A-02-03</t>
        </is>
      </c>
      <c r="K1209" s="7" t="inlineStr"/>
      <c r="L1209" s="9" t="n">
        <v>0</v>
      </c>
      <c r="M1209" s="9" t="n">
        <v>0</v>
      </c>
      <c r="N1209" s="9" t="n">
        <v>49</v>
      </c>
      <c r="O1209" s="7" t="inlineStr">
        <is>
          <t>SUM</t>
        </is>
      </c>
      <c r="P1209" s="7" t="inlineStr">
        <is>
          <t>STANDARD</t>
        </is>
      </c>
      <c r="Q1209" s="7" t="inlineStr">
        <is>
          <t>WHAP</t>
        </is>
      </c>
      <c r="R1209" s="7" t="inlineStr">
        <is>
          <t>OUI</t>
        </is>
      </c>
      <c r="S1209" s="7" t="inlineStr">
        <is>
          <t>31/08/2026 02:59</t>
        </is>
      </c>
    </row>
    <row r="1210">
      <c r="A1210" s="8" t="inlineStr">
        <is>
          <t>WHAP-1206</t>
        </is>
      </c>
      <c r="B1210" s="8" t="inlineStr">
        <is>
          <t>POR-1206</t>
        </is>
      </c>
      <c r="C1210" s="8" t="inlineStr">
        <is>
          <t>porte conducteur — arrière gauche</t>
        </is>
      </c>
      <c r="D1210" s="8" t="inlineStr">
        <is>
          <t>Portes et trappes</t>
        </is>
      </c>
      <c r="E1210" s="8" t="inlineStr">
        <is>
          <t>Portes et trappes</t>
        </is>
      </c>
      <c r="F1210" s="8" t="inlineStr">
        <is>
          <t>PIECE_VEHICULE</t>
        </is>
      </c>
      <c r="G1210" s="8" t="inlineStr">
        <is>
          <t>unité</t>
        </is>
      </c>
      <c r="H1210" s="8" t="inlineStr">
        <is>
          <t>LARGE</t>
        </is>
      </c>
      <c r="I1210" s="8" t="n">
        <v>0</v>
      </c>
      <c r="J1210" s="8" t="inlineStr">
        <is>
          <t>F-04-04</t>
        </is>
      </c>
      <c r="K1210" s="8" t="inlineStr"/>
      <c r="L1210" s="10" t="n">
        <v>0</v>
      </c>
      <c r="M1210" s="10" t="n">
        <v>0</v>
      </c>
      <c r="N1210" s="10" t="n">
        <v>44</v>
      </c>
      <c r="O1210" s="8" t="inlineStr">
        <is>
          <t>FAU</t>
        </is>
      </c>
      <c r="P1210" s="8" t="inlineStr">
        <is>
          <t>STANDARD</t>
        </is>
      </c>
      <c r="Q1210" s="8" t="inlineStr">
        <is>
          <t>WHAP</t>
        </is>
      </c>
      <c r="R1210" s="8" t="inlineStr">
        <is>
          <t>OUI</t>
        </is>
      </c>
      <c r="S1210" s="8" t="inlineStr">
        <is>
          <t>31/08/2026 02:59</t>
        </is>
      </c>
    </row>
    <row r="1211">
      <c r="A1211" s="7" t="inlineStr">
        <is>
          <t>WHAP-1207</t>
        </is>
      </c>
      <c r="B1211" s="7" t="inlineStr">
        <is>
          <t>POR-1207</t>
        </is>
      </c>
      <c r="C1211" s="7" t="inlineStr">
        <is>
          <t>porte équipage — arrière gauche</t>
        </is>
      </c>
      <c r="D1211" s="7" t="inlineStr">
        <is>
          <t>Portes et trappes</t>
        </is>
      </c>
      <c r="E1211" s="7" t="inlineStr">
        <is>
          <t>Portes et trappes</t>
        </is>
      </c>
      <c r="F1211" s="7" t="inlineStr">
        <is>
          <t>PIECE_VEHICULE</t>
        </is>
      </c>
      <c r="G1211" s="7" t="inlineStr">
        <is>
          <t>unité</t>
        </is>
      </c>
      <c r="H1211" s="7" t="inlineStr">
        <is>
          <t>LARGE</t>
        </is>
      </c>
      <c r="I1211" s="7" t="n">
        <v>0</v>
      </c>
      <c r="J1211" s="7" t="inlineStr">
        <is>
          <t>F-03-01</t>
        </is>
      </c>
      <c r="K1211" s="7" t="inlineStr"/>
      <c r="L1211" s="9" t="n">
        <v>0</v>
      </c>
      <c r="M1211" s="9" t="n">
        <v>0</v>
      </c>
      <c r="N1211" s="9" t="n">
        <v>48</v>
      </c>
      <c r="O1211" s="7" t="inlineStr">
        <is>
          <t>VAL</t>
        </is>
      </c>
      <c r="P1211" s="7" t="inlineStr">
        <is>
          <t>STANDARD</t>
        </is>
      </c>
      <c r="Q1211" s="7" t="inlineStr">
        <is>
          <t>WHAP</t>
        </is>
      </c>
      <c r="R1211" s="7" t="inlineStr">
        <is>
          <t>OUI</t>
        </is>
      </c>
      <c r="S1211" s="7" t="inlineStr">
        <is>
          <t>31/08/2026 02:59</t>
        </is>
      </c>
    </row>
    <row r="1212">
      <c r="A1212" s="8" t="inlineStr">
        <is>
          <t>WHAP-1208</t>
        </is>
      </c>
      <c r="B1212" s="8" t="inlineStr">
        <is>
          <t>POR-1208</t>
        </is>
      </c>
      <c r="C1212" s="8" t="inlineStr">
        <is>
          <t>porte arrière — arrière gauche</t>
        </is>
      </c>
      <c r="D1212" s="8" t="inlineStr">
        <is>
          <t>Portes et trappes</t>
        </is>
      </c>
      <c r="E1212" s="8" t="inlineStr">
        <is>
          <t>Portes et trappes</t>
        </is>
      </c>
      <c r="F1212" s="8" t="inlineStr">
        <is>
          <t>PIECE_VEHICULE</t>
        </is>
      </c>
      <c r="G1212" s="8" t="inlineStr">
        <is>
          <t>unité</t>
        </is>
      </c>
      <c r="H1212" s="8" t="inlineStr">
        <is>
          <t>LARGE</t>
        </is>
      </c>
      <c r="I1212" s="8" t="n">
        <v>0</v>
      </c>
      <c r="J1212" s="8" t="inlineStr">
        <is>
          <t>F-06-01</t>
        </is>
      </c>
      <c r="K1212" s="8" t="inlineStr"/>
      <c r="L1212" s="10" t="n">
        <v>0</v>
      </c>
      <c r="M1212" s="10" t="n">
        <v>0</v>
      </c>
      <c r="N1212" s="10" t="n">
        <v>49</v>
      </c>
      <c r="O1212" s="8" t="inlineStr">
        <is>
          <t>FAU</t>
        </is>
      </c>
      <c r="P1212" s="8" t="inlineStr">
        <is>
          <t>STANDARD</t>
        </is>
      </c>
      <c r="Q1212" s="8" t="inlineStr">
        <is>
          <t>WHAP</t>
        </is>
      </c>
      <c r="R1212" s="8" t="inlineStr">
        <is>
          <t>OUI</t>
        </is>
      </c>
      <c r="S1212" s="8" t="inlineStr">
        <is>
          <t>31/08/2026 02:59</t>
        </is>
      </c>
    </row>
    <row r="1213">
      <c r="A1213" s="7" t="inlineStr">
        <is>
          <t>WHAP-1209</t>
        </is>
      </c>
      <c r="B1213" s="7" t="inlineStr">
        <is>
          <t>POR-1209</t>
        </is>
      </c>
      <c r="C1213" s="7" t="inlineStr">
        <is>
          <t>trappe supérieure — arrière gauche</t>
        </is>
      </c>
      <c r="D1213" s="7" t="inlineStr">
        <is>
          <t>Portes et trappes</t>
        </is>
      </c>
      <c r="E1213" s="7" t="inlineStr">
        <is>
          <t>Portes et trappes</t>
        </is>
      </c>
      <c r="F1213" s="7" t="inlineStr">
        <is>
          <t>PIECE_VEHICULE</t>
        </is>
      </c>
      <c r="G1213" s="7" t="inlineStr">
        <is>
          <t>unité</t>
        </is>
      </c>
      <c r="H1213" s="7" t="inlineStr">
        <is>
          <t>LARGE</t>
        </is>
      </c>
      <c r="I1213" s="7" t="n">
        <v>0</v>
      </c>
      <c r="J1213" s="7" t="inlineStr">
        <is>
          <t>E-02-02</t>
        </is>
      </c>
      <c r="K1213" s="7" t="inlineStr"/>
      <c r="L1213" s="9" t="n">
        <v>0</v>
      </c>
      <c r="M1213" s="9" t="n">
        <v>0</v>
      </c>
      <c r="N1213" s="9" t="n">
        <v>47</v>
      </c>
      <c r="O1213" s="7" t="inlineStr">
        <is>
          <t>DEL</t>
        </is>
      </c>
      <c r="P1213" s="7" t="inlineStr">
        <is>
          <t>STANDARD</t>
        </is>
      </c>
      <c r="Q1213" s="7" t="inlineStr">
        <is>
          <t>WHAP</t>
        </is>
      </c>
      <c r="R1213" s="7" t="inlineStr">
        <is>
          <t>OUI</t>
        </is>
      </c>
      <c r="S1213" s="7" t="inlineStr">
        <is>
          <t>31/08/2026 02:59</t>
        </is>
      </c>
    </row>
    <row r="1214">
      <c r="A1214" s="8" t="inlineStr">
        <is>
          <t>WHAP-1210</t>
        </is>
      </c>
      <c r="B1214" s="8" t="inlineStr">
        <is>
          <t>POR-1210</t>
        </is>
      </c>
      <c r="C1214" s="8" t="inlineStr">
        <is>
          <t>trappe latérale — arrière gauche</t>
        </is>
      </c>
      <c r="D1214" s="8" t="inlineStr">
        <is>
          <t>Portes et trappes</t>
        </is>
      </c>
      <c r="E1214" s="8" t="inlineStr">
        <is>
          <t>Portes et trappes</t>
        </is>
      </c>
      <c r="F1214" s="8" t="inlineStr">
        <is>
          <t>PIECE_VEHICULE</t>
        </is>
      </c>
      <c r="G1214" s="8" t="inlineStr">
        <is>
          <t>unité</t>
        </is>
      </c>
      <c r="H1214" s="8" t="inlineStr">
        <is>
          <t>LARGE</t>
        </is>
      </c>
      <c r="I1214" s="8" t="n">
        <v>0</v>
      </c>
      <c r="J1214" s="8" t="inlineStr">
        <is>
          <t>B-02-02</t>
        </is>
      </c>
      <c r="K1214" s="8" t="inlineStr"/>
      <c r="L1214" s="10" t="n">
        <v>0</v>
      </c>
      <c r="M1214" s="10" t="n">
        <v>0</v>
      </c>
      <c r="N1214" s="10" t="n">
        <v>48</v>
      </c>
      <c r="O1214" s="8" t="inlineStr">
        <is>
          <t>CTL</t>
        </is>
      </c>
      <c r="P1214" s="8" t="inlineStr">
        <is>
          <t>STANDARD</t>
        </is>
      </c>
      <c r="Q1214" s="8" t="inlineStr">
        <is>
          <t>WHAP</t>
        </is>
      </c>
      <c r="R1214" s="8" t="inlineStr">
        <is>
          <t>OUI</t>
        </is>
      </c>
      <c r="S1214" s="8" t="inlineStr">
        <is>
          <t>31/08/2026 02:59</t>
        </is>
      </c>
    </row>
    <row r="1215">
      <c r="A1215" s="7" t="inlineStr">
        <is>
          <t>WHAP-1211</t>
        </is>
      </c>
      <c r="B1215" s="7" t="inlineStr">
        <is>
          <t>POR-1211</t>
        </is>
      </c>
      <c r="C1215" s="7" t="inlineStr">
        <is>
          <t>trappe moteur — arrière gauche</t>
        </is>
      </c>
      <c r="D1215" s="7" t="inlineStr">
        <is>
          <t>Portes et trappes</t>
        </is>
      </c>
      <c r="E1215" s="7" t="inlineStr">
        <is>
          <t>Portes et trappes</t>
        </is>
      </c>
      <c r="F1215" s="7" t="inlineStr">
        <is>
          <t>PIECE_VEHICULE</t>
        </is>
      </c>
      <c r="G1215" s="7" t="inlineStr">
        <is>
          <t>unité</t>
        </is>
      </c>
      <c r="H1215" s="7" t="inlineStr">
        <is>
          <t>LARGE</t>
        </is>
      </c>
      <c r="I1215" s="7" t="n">
        <v>0</v>
      </c>
      <c r="J1215" s="7" t="inlineStr">
        <is>
          <t>C-06-04</t>
        </is>
      </c>
      <c r="K1215" s="7" t="inlineStr"/>
      <c r="L1215" s="9" t="n">
        <v>0</v>
      </c>
      <c r="M1215" s="9" t="n">
        <v>0</v>
      </c>
      <c r="N1215" s="9" t="n">
        <v>47</v>
      </c>
      <c r="O1215" s="7" t="inlineStr">
        <is>
          <t>HEL</t>
        </is>
      </c>
      <c r="P1215" s="7" t="inlineStr">
        <is>
          <t>STANDARD</t>
        </is>
      </c>
      <c r="Q1215" s="7" t="inlineStr">
        <is>
          <t>WHAP</t>
        </is>
      </c>
      <c r="R1215" s="7" t="inlineStr">
        <is>
          <t>OUI</t>
        </is>
      </c>
      <c r="S1215" s="7" t="inlineStr">
        <is>
          <t>31/08/2026 02:59</t>
        </is>
      </c>
    </row>
    <row r="1216">
      <c r="A1216" s="8" t="inlineStr">
        <is>
          <t>WHAP-1212</t>
        </is>
      </c>
      <c r="B1216" s="8" t="inlineStr">
        <is>
          <t>POR-1212</t>
        </is>
      </c>
      <c r="C1216" s="8" t="inlineStr">
        <is>
          <t>charnière — arrière gauche</t>
        </is>
      </c>
      <c r="D1216" s="8" t="inlineStr">
        <is>
          <t>Portes et trappes</t>
        </is>
      </c>
      <c r="E1216" s="8" t="inlineStr">
        <is>
          <t>Portes et trappes</t>
        </is>
      </c>
      <c r="F1216" s="8" t="inlineStr">
        <is>
          <t>PIECE_VEHICULE</t>
        </is>
      </c>
      <c r="G1216" s="8" t="inlineStr">
        <is>
          <t>unité</t>
        </is>
      </c>
      <c r="H1216" s="8" t="inlineStr">
        <is>
          <t>LARGE</t>
        </is>
      </c>
      <c r="I1216" s="8" t="n">
        <v>0</v>
      </c>
      <c r="J1216" s="8" t="inlineStr">
        <is>
          <t>D-06-02</t>
        </is>
      </c>
      <c r="K1216" s="8" t="inlineStr"/>
      <c r="L1216" s="10" t="n">
        <v>0</v>
      </c>
      <c r="M1216" s="10" t="n">
        <v>0</v>
      </c>
      <c r="N1216" s="10" t="n">
        <v>48</v>
      </c>
      <c r="O1216" s="8" t="inlineStr">
        <is>
          <t>FAU</t>
        </is>
      </c>
      <c r="P1216" s="8" t="inlineStr">
        <is>
          <t>STANDARD</t>
        </is>
      </c>
      <c r="Q1216" s="8" t="inlineStr">
        <is>
          <t>WHAP</t>
        </is>
      </c>
      <c r="R1216" s="8" t="inlineStr">
        <is>
          <t>OUI</t>
        </is>
      </c>
      <c r="S1216" s="8" t="inlineStr">
        <is>
          <t>31/08/2026 02:59</t>
        </is>
      </c>
    </row>
    <row r="1217">
      <c r="A1217" s="7" t="inlineStr">
        <is>
          <t>WHAP-1213</t>
        </is>
      </c>
      <c r="B1217" s="7" t="inlineStr">
        <is>
          <t>POR-1213</t>
        </is>
      </c>
      <c r="C1217" s="7" t="inlineStr">
        <is>
          <t>serrure — arrière gauche</t>
        </is>
      </c>
      <c r="D1217" s="7" t="inlineStr">
        <is>
          <t>Portes et trappes</t>
        </is>
      </c>
      <c r="E1217" s="7" t="inlineStr">
        <is>
          <t>Portes et trappes</t>
        </is>
      </c>
      <c r="F1217" s="7" t="inlineStr">
        <is>
          <t>PIECE_VEHICULE</t>
        </is>
      </c>
      <c r="G1217" s="7" t="inlineStr">
        <is>
          <t>unité</t>
        </is>
      </c>
      <c r="H1217" s="7" t="inlineStr">
        <is>
          <t>LARGE</t>
        </is>
      </c>
      <c r="I1217" s="7" t="n">
        <v>0</v>
      </c>
      <c r="J1217" s="7" t="inlineStr">
        <is>
          <t>A-02-03</t>
        </is>
      </c>
      <c r="K1217" s="7" t="inlineStr"/>
      <c r="L1217" s="9" t="n">
        <v>0</v>
      </c>
      <c r="M1217" s="9" t="n">
        <v>0</v>
      </c>
      <c r="N1217" s="9" t="n">
        <v>41</v>
      </c>
      <c r="O1217" s="7" t="inlineStr">
        <is>
          <t>BOS</t>
        </is>
      </c>
      <c r="P1217" s="7" t="inlineStr">
        <is>
          <t>STANDARD</t>
        </is>
      </c>
      <c r="Q1217" s="7" t="inlineStr">
        <is>
          <t>WHAP</t>
        </is>
      </c>
      <c r="R1217" s="7" t="inlineStr">
        <is>
          <t>OUI</t>
        </is>
      </c>
      <c r="S1217" s="7" t="inlineStr">
        <is>
          <t>31/08/2026 02:59</t>
        </is>
      </c>
    </row>
    <row r="1218">
      <c r="A1218" s="8" t="inlineStr">
        <is>
          <t>WHAP-1214</t>
        </is>
      </c>
      <c r="B1218" s="8" t="inlineStr">
        <is>
          <t>POR-1214</t>
        </is>
      </c>
      <c r="C1218" s="8" t="inlineStr">
        <is>
          <t>loquet — arrière gauche</t>
        </is>
      </c>
      <c r="D1218" s="8" t="inlineStr">
        <is>
          <t>Portes et trappes</t>
        </is>
      </c>
      <c r="E1218" s="8" t="inlineStr">
        <is>
          <t>Portes et trappes</t>
        </is>
      </c>
      <c r="F1218" s="8" t="inlineStr">
        <is>
          <t>PIECE_VEHICULE</t>
        </is>
      </c>
      <c r="G1218" s="8" t="inlineStr">
        <is>
          <t>unité</t>
        </is>
      </c>
      <c r="H1218" s="8" t="inlineStr">
        <is>
          <t>LARGE</t>
        </is>
      </c>
      <c r="I1218" s="8" t="n">
        <v>0</v>
      </c>
      <c r="J1218" s="8" t="inlineStr">
        <is>
          <t>B-03-01</t>
        </is>
      </c>
      <c r="K1218" s="8" t="inlineStr"/>
      <c r="L1218" s="10" t="n">
        <v>0</v>
      </c>
      <c r="M1218" s="10" t="n">
        <v>0</v>
      </c>
      <c r="N1218" s="10" t="n">
        <v>41</v>
      </c>
      <c r="O1218" s="8" t="inlineStr">
        <is>
          <t>FAU</t>
        </is>
      </c>
      <c r="P1218" s="8" t="inlineStr">
        <is>
          <t>STANDARD</t>
        </is>
      </c>
      <c r="Q1218" s="8" t="inlineStr">
        <is>
          <t>WHAP</t>
        </is>
      </c>
      <c r="R1218" s="8" t="inlineStr">
        <is>
          <t>OUI</t>
        </is>
      </c>
      <c r="S1218" s="8" t="inlineStr">
        <is>
          <t>31/08/2026 02:59</t>
        </is>
      </c>
    </row>
    <row r="1219">
      <c r="A1219" s="7" t="inlineStr">
        <is>
          <t>WHAP-1215</t>
        </is>
      </c>
      <c r="B1219" s="7" t="inlineStr">
        <is>
          <t>POR-1215</t>
        </is>
      </c>
      <c r="C1219" s="7" t="inlineStr">
        <is>
          <t>verrou rotatif — arrière gauche</t>
        </is>
      </c>
      <c r="D1219" s="7" t="inlineStr">
        <is>
          <t>Portes et trappes</t>
        </is>
      </c>
      <c r="E1219" s="7" t="inlineStr">
        <is>
          <t>Portes et trappes</t>
        </is>
      </c>
      <c r="F1219" s="7" t="inlineStr">
        <is>
          <t>PIECE_VEHICULE</t>
        </is>
      </c>
      <c r="G1219" s="7" t="inlineStr">
        <is>
          <t>unité</t>
        </is>
      </c>
      <c r="H1219" s="7" t="inlineStr">
        <is>
          <t>LARGE</t>
        </is>
      </c>
      <c r="I1219" s="7" t="n">
        <v>0</v>
      </c>
      <c r="J1219" s="7" t="inlineStr">
        <is>
          <t>C-05-04</t>
        </is>
      </c>
      <c r="K1219" s="7" t="inlineStr"/>
      <c r="L1219" s="9" t="n">
        <v>0</v>
      </c>
      <c r="M1219" s="9" t="n">
        <v>0</v>
      </c>
      <c r="N1219" s="9" t="n">
        <v>40</v>
      </c>
      <c r="O1219" s="7" t="inlineStr">
        <is>
          <t>HEL</t>
        </is>
      </c>
      <c r="P1219" s="7" t="inlineStr">
        <is>
          <t>STANDARD</t>
        </is>
      </c>
      <c r="Q1219" s="7" t="inlineStr">
        <is>
          <t>WHAP</t>
        </is>
      </c>
      <c r="R1219" s="7" t="inlineStr">
        <is>
          <t>OUI</t>
        </is>
      </c>
      <c r="S1219" s="7" t="inlineStr">
        <is>
          <t>31/08/2026 02:59</t>
        </is>
      </c>
    </row>
    <row r="1220">
      <c r="A1220" s="8" t="inlineStr">
        <is>
          <t>WHAP-1216</t>
        </is>
      </c>
      <c r="B1220" s="8" t="inlineStr">
        <is>
          <t>POR-1216</t>
        </is>
      </c>
      <c r="C1220" s="8" t="inlineStr">
        <is>
          <t>poignée intérieure — arrière gauche</t>
        </is>
      </c>
      <c r="D1220" s="8" t="inlineStr">
        <is>
          <t>Portes et trappes</t>
        </is>
      </c>
      <c r="E1220" s="8" t="inlineStr">
        <is>
          <t>Portes et trappes</t>
        </is>
      </c>
      <c r="F1220" s="8" t="inlineStr">
        <is>
          <t>PIECE_VEHICULE</t>
        </is>
      </c>
      <c r="G1220" s="8" t="inlineStr">
        <is>
          <t>unité</t>
        </is>
      </c>
      <c r="H1220" s="8" t="inlineStr">
        <is>
          <t>LARGE</t>
        </is>
      </c>
      <c r="I1220" s="8" t="n">
        <v>0</v>
      </c>
      <c r="J1220" s="8" t="inlineStr">
        <is>
          <t>B-01-04</t>
        </is>
      </c>
      <c r="K1220" s="8" t="inlineStr"/>
      <c r="L1220" s="10" t="n">
        <v>0</v>
      </c>
      <c r="M1220" s="10" t="n">
        <v>0</v>
      </c>
      <c r="N1220" s="10" t="n">
        <v>46</v>
      </c>
      <c r="O1220" s="8" t="inlineStr">
        <is>
          <t>VAL</t>
        </is>
      </c>
      <c r="P1220" s="8" t="inlineStr">
        <is>
          <t>STANDARD</t>
        </is>
      </c>
      <c r="Q1220" s="8" t="inlineStr">
        <is>
          <t>WHAP</t>
        </is>
      </c>
      <c r="R1220" s="8" t="inlineStr">
        <is>
          <t>OUI</t>
        </is>
      </c>
      <c r="S1220" s="8" t="inlineStr">
        <is>
          <t>31/08/2026 02:59</t>
        </is>
      </c>
    </row>
    <row r="1221">
      <c r="A1221" s="7" t="inlineStr">
        <is>
          <t>WHAP-1217</t>
        </is>
      </c>
      <c r="B1221" s="7" t="inlineStr">
        <is>
          <t>POR-1217</t>
        </is>
      </c>
      <c r="C1221" s="7" t="inlineStr">
        <is>
          <t>poignée extérieure — arrière gauche</t>
        </is>
      </c>
      <c r="D1221" s="7" t="inlineStr">
        <is>
          <t>Portes et trappes</t>
        </is>
      </c>
      <c r="E1221" s="7" t="inlineStr">
        <is>
          <t>Portes et trappes</t>
        </is>
      </c>
      <c r="F1221" s="7" t="inlineStr">
        <is>
          <t>PIECE_VEHICULE</t>
        </is>
      </c>
      <c r="G1221" s="7" t="inlineStr">
        <is>
          <t>unité</t>
        </is>
      </c>
      <c r="H1221" s="7" t="inlineStr">
        <is>
          <t>LARGE</t>
        </is>
      </c>
      <c r="I1221" s="7" t="n">
        <v>0</v>
      </c>
      <c r="J1221" s="7" t="inlineStr">
        <is>
          <t>D-04-04</t>
        </is>
      </c>
      <c r="K1221" s="7" t="inlineStr"/>
      <c r="L1221" s="9" t="n">
        <v>0</v>
      </c>
      <c r="M1221" s="9" t="n">
        <v>0</v>
      </c>
      <c r="N1221" s="9" t="n">
        <v>44</v>
      </c>
      <c r="O1221" s="7" t="inlineStr">
        <is>
          <t>YZK</t>
        </is>
      </c>
      <c r="P1221" s="7" t="inlineStr">
        <is>
          <t>STANDARD</t>
        </is>
      </c>
      <c r="Q1221" s="7" t="inlineStr">
        <is>
          <t>WHAP</t>
        </is>
      </c>
      <c r="R1221" s="7" t="inlineStr">
        <is>
          <t>OUI</t>
        </is>
      </c>
      <c r="S1221" s="7" t="inlineStr">
        <is>
          <t>31/08/2026 02:59</t>
        </is>
      </c>
    </row>
    <row r="1222">
      <c r="A1222" s="8" t="inlineStr">
        <is>
          <t>WHAP-1218</t>
        </is>
      </c>
      <c r="B1222" s="8" t="inlineStr">
        <is>
          <t>POR-1218</t>
        </is>
      </c>
      <c r="C1222" s="8" t="inlineStr">
        <is>
          <t>câble de commande — arrière gauche</t>
        </is>
      </c>
      <c r="D1222" s="8" t="inlineStr">
        <is>
          <t>Portes et trappes</t>
        </is>
      </c>
      <c r="E1222" s="8" t="inlineStr">
        <is>
          <t>Portes et trappes</t>
        </is>
      </c>
      <c r="F1222" s="8" t="inlineStr">
        <is>
          <t>PIECE_VEHICULE</t>
        </is>
      </c>
      <c r="G1222" s="8" t="inlineStr">
        <is>
          <t>unité</t>
        </is>
      </c>
      <c r="H1222" s="8" t="inlineStr">
        <is>
          <t>LARGE</t>
        </is>
      </c>
      <c r="I1222" s="8" t="n">
        <v>0</v>
      </c>
      <c r="J1222" s="8" t="inlineStr">
        <is>
          <t>D-02-02</t>
        </is>
      </c>
      <c r="K1222" s="8" t="inlineStr"/>
      <c r="L1222" s="10" t="n">
        <v>0</v>
      </c>
      <c r="M1222" s="10" t="n">
        <v>0</v>
      </c>
      <c r="N1222" s="10" t="n">
        <v>48</v>
      </c>
      <c r="O1222" s="8" t="inlineStr">
        <is>
          <t>CTL</t>
        </is>
      </c>
      <c r="P1222" s="8" t="inlineStr">
        <is>
          <t>STANDARD</t>
        </is>
      </c>
      <c r="Q1222" s="8" t="inlineStr">
        <is>
          <t>WHAP</t>
        </is>
      </c>
      <c r="R1222" s="8" t="inlineStr">
        <is>
          <t>OUI</t>
        </is>
      </c>
      <c r="S1222" s="8" t="inlineStr">
        <is>
          <t>31/08/2026 02:59</t>
        </is>
      </c>
    </row>
    <row r="1223">
      <c r="A1223" s="7" t="inlineStr">
        <is>
          <t>WHAP-1219</t>
        </is>
      </c>
      <c r="B1223" s="7" t="inlineStr">
        <is>
          <t>POR-1219</t>
        </is>
      </c>
      <c r="C1223" s="7" t="inlineStr">
        <is>
          <t>vérin à gaz — arrière gauche</t>
        </is>
      </c>
      <c r="D1223" s="7" t="inlineStr">
        <is>
          <t>Portes et trappes</t>
        </is>
      </c>
      <c r="E1223" s="7" t="inlineStr">
        <is>
          <t>Portes et trappes</t>
        </is>
      </c>
      <c r="F1223" s="7" t="inlineStr">
        <is>
          <t>PIECE_VEHICULE</t>
        </is>
      </c>
      <c r="G1223" s="7" t="inlineStr">
        <is>
          <t>unité</t>
        </is>
      </c>
      <c r="H1223" s="7" t="inlineStr">
        <is>
          <t>LARGE</t>
        </is>
      </c>
      <c r="I1223" s="7" t="n">
        <v>0</v>
      </c>
      <c r="J1223" s="7" t="inlineStr">
        <is>
          <t>D-06-03</t>
        </is>
      </c>
      <c r="K1223" s="7" t="inlineStr"/>
      <c r="L1223" s="9" t="n">
        <v>0</v>
      </c>
      <c r="M1223" s="9" t="n">
        <v>0</v>
      </c>
      <c r="N1223" s="9" t="n">
        <v>49</v>
      </c>
      <c r="O1223" s="7" t="inlineStr">
        <is>
          <t>VAL</t>
        </is>
      </c>
      <c r="P1223" s="7" t="inlineStr">
        <is>
          <t>STANDARD</t>
        </is>
      </c>
      <c r="Q1223" s="7" t="inlineStr">
        <is>
          <t>WHAP</t>
        </is>
      </c>
      <c r="R1223" s="7" t="inlineStr">
        <is>
          <t>OUI</t>
        </is>
      </c>
      <c r="S1223" s="7" t="inlineStr">
        <is>
          <t>31/08/2026 02:59</t>
        </is>
      </c>
    </row>
    <row r="1224">
      <c r="A1224" s="8" t="inlineStr">
        <is>
          <t>WHAP-1220</t>
        </is>
      </c>
      <c r="B1224" s="8" t="inlineStr">
        <is>
          <t>POR-1220</t>
        </is>
      </c>
      <c r="C1224" s="8" t="inlineStr">
        <is>
          <t>vérin hydraulique — arrière gauche</t>
        </is>
      </c>
      <c r="D1224" s="8" t="inlineStr">
        <is>
          <t>Portes et trappes</t>
        </is>
      </c>
      <c r="E1224" s="8" t="inlineStr">
        <is>
          <t>Portes et trappes</t>
        </is>
      </c>
      <c r="F1224" s="8" t="inlineStr">
        <is>
          <t>PIECE_VEHICULE</t>
        </is>
      </c>
      <c r="G1224" s="8" t="inlineStr">
        <is>
          <t>unité</t>
        </is>
      </c>
      <c r="H1224" s="8" t="inlineStr">
        <is>
          <t>LARGE</t>
        </is>
      </c>
      <c r="I1224" s="8" t="n">
        <v>0</v>
      </c>
      <c r="J1224" s="8" t="inlineStr">
        <is>
          <t>F-05-01</t>
        </is>
      </c>
      <c r="K1224" s="8" t="inlineStr"/>
      <c r="L1224" s="10" t="n">
        <v>0</v>
      </c>
      <c r="M1224" s="10" t="n">
        <v>0</v>
      </c>
      <c r="N1224" s="10" t="n">
        <v>40</v>
      </c>
      <c r="O1224" s="8" t="inlineStr">
        <is>
          <t>VAL</t>
        </is>
      </c>
      <c r="P1224" s="8" t="inlineStr">
        <is>
          <t>STANDARD</t>
        </is>
      </c>
      <c r="Q1224" s="8" t="inlineStr">
        <is>
          <t>WHAP</t>
        </is>
      </c>
      <c r="R1224" s="8" t="inlineStr">
        <is>
          <t>OUI</t>
        </is>
      </c>
      <c r="S1224" s="8" t="inlineStr">
        <is>
          <t>31/08/2026 02:59</t>
        </is>
      </c>
    </row>
    <row r="1225">
      <c r="A1225" s="7" t="inlineStr">
        <is>
          <t>WHAP-1221</t>
        </is>
      </c>
      <c r="B1225" s="7" t="inlineStr">
        <is>
          <t>POR-1221</t>
        </is>
      </c>
      <c r="C1225" s="7" t="inlineStr">
        <is>
          <t>joint de porte — arrière gauche</t>
        </is>
      </c>
      <c r="D1225" s="7" t="inlineStr">
        <is>
          <t>Portes et trappes</t>
        </is>
      </c>
      <c r="E1225" s="7" t="inlineStr">
        <is>
          <t>Portes et trappes</t>
        </is>
      </c>
      <c r="F1225" s="7" t="inlineStr">
        <is>
          <t>PIECE_VEHICULE</t>
        </is>
      </c>
      <c r="G1225" s="7" t="inlineStr">
        <is>
          <t>unité</t>
        </is>
      </c>
      <c r="H1225" s="7" t="inlineStr">
        <is>
          <t>LARGE</t>
        </is>
      </c>
      <c r="I1225" s="7" t="n">
        <v>0</v>
      </c>
      <c r="J1225" s="7" t="inlineStr">
        <is>
          <t>A-05-03</t>
        </is>
      </c>
      <c r="K1225" s="7" t="inlineStr"/>
      <c r="L1225" s="9" t="n">
        <v>0</v>
      </c>
      <c r="M1225" s="9" t="n">
        <v>0</v>
      </c>
      <c r="N1225" s="9" t="n">
        <v>45</v>
      </c>
      <c r="O1225" s="7" t="inlineStr">
        <is>
          <t>DEL</t>
        </is>
      </c>
      <c r="P1225" s="7" t="inlineStr">
        <is>
          <t>STANDARD</t>
        </is>
      </c>
      <c r="Q1225" s="7" t="inlineStr">
        <is>
          <t>WHAP</t>
        </is>
      </c>
      <c r="R1225" s="7" t="inlineStr">
        <is>
          <t>OUI</t>
        </is>
      </c>
      <c r="S1225" s="7" t="inlineStr">
        <is>
          <t>31/08/2026 02:59</t>
        </is>
      </c>
    </row>
    <row r="1226">
      <c r="A1226" s="8" t="inlineStr">
        <is>
          <t>WHAP-1222</t>
        </is>
      </c>
      <c r="B1226" s="8" t="inlineStr">
        <is>
          <t>POR-1222</t>
        </is>
      </c>
      <c r="C1226" s="8" t="inlineStr">
        <is>
          <t>joint de trappe — arrière gauche</t>
        </is>
      </c>
      <c r="D1226" s="8" t="inlineStr">
        <is>
          <t>Portes et trappes</t>
        </is>
      </c>
      <c r="E1226" s="8" t="inlineStr">
        <is>
          <t>Portes et trappes</t>
        </is>
      </c>
      <c r="F1226" s="8" t="inlineStr">
        <is>
          <t>PIECE_VEHICULE</t>
        </is>
      </c>
      <c r="G1226" s="8" t="inlineStr">
        <is>
          <t>unité</t>
        </is>
      </c>
      <c r="H1226" s="8" t="inlineStr">
        <is>
          <t>LARGE</t>
        </is>
      </c>
      <c r="I1226" s="8" t="n">
        <v>0</v>
      </c>
      <c r="J1226" s="8" t="inlineStr">
        <is>
          <t>E-03-01</t>
        </is>
      </c>
      <c r="K1226" s="8" t="inlineStr"/>
      <c r="L1226" s="10" t="n">
        <v>0</v>
      </c>
      <c r="M1226" s="10" t="n">
        <v>0</v>
      </c>
      <c r="N1226" s="10" t="n">
        <v>41</v>
      </c>
      <c r="O1226" s="8" t="inlineStr">
        <is>
          <t>HEL</t>
        </is>
      </c>
      <c r="P1226" s="8" t="inlineStr">
        <is>
          <t>STANDARD</t>
        </is>
      </c>
      <c r="Q1226" s="8" t="inlineStr">
        <is>
          <t>WHAP</t>
        </is>
      </c>
      <c r="R1226" s="8" t="inlineStr">
        <is>
          <t>OUI</t>
        </is>
      </c>
      <c r="S1226" s="8" t="inlineStr">
        <is>
          <t>31/08/2026 02:59</t>
        </is>
      </c>
    </row>
    <row r="1227">
      <c r="A1227" s="7" t="inlineStr">
        <is>
          <t>WHAP-1223</t>
        </is>
      </c>
      <c r="B1227" s="7" t="inlineStr">
        <is>
          <t>POR-1223</t>
        </is>
      </c>
      <c r="C1227" s="7" t="inlineStr">
        <is>
          <t>vitre blindée — arrière gauche</t>
        </is>
      </c>
      <c r="D1227" s="7" t="inlineStr">
        <is>
          <t>Portes et trappes</t>
        </is>
      </c>
      <c r="E1227" s="7" t="inlineStr">
        <is>
          <t>Portes et trappes</t>
        </is>
      </c>
      <c r="F1227" s="7" t="inlineStr">
        <is>
          <t>PIECE_VEHICULE</t>
        </is>
      </c>
      <c r="G1227" s="7" t="inlineStr">
        <is>
          <t>unité</t>
        </is>
      </c>
      <c r="H1227" s="7" t="inlineStr">
        <is>
          <t>LARGE</t>
        </is>
      </c>
      <c r="I1227" s="7" t="n">
        <v>0</v>
      </c>
      <c r="J1227" s="7" t="inlineStr">
        <is>
          <t>F-04-01</t>
        </is>
      </c>
      <c r="K1227" s="7" t="inlineStr"/>
      <c r="L1227" s="9" t="n">
        <v>0</v>
      </c>
      <c r="M1227" s="9" t="n">
        <v>0</v>
      </c>
      <c r="N1227" s="9" t="n">
        <v>46</v>
      </c>
      <c r="O1227" s="7" t="inlineStr">
        <is>
          <t>CTL</t>
        </is>
      </c>
      <c r="P1227" s="7" t="inlineStr">
        <is>
          <t>STANDARD</t>
        </is>
      </c>
      <c r="Q1227" s="7" t="inlineStr">
        <is>
          <t>WHAP</t>
        </is>
      </c>
      <c r="R1227" s="7" t="inlineStr">
        <is>
          <t>OUI</t>
        </is>
      </c>
      <c r="S1227" s="7" t="inlineStr">
        <is>
          <t>31/08/2026 02:59</t>
        </is>
      </c>
    </row>
    <row r="1228">
      <c r="A1228" s="8" t="inlineStr">
        <is>
          <t>WHAP-1224</t>
        </is>
      </c>
      <c r="B1228" s="8" t="inlineStr">
        <is>
          <t>POR-1224</t>
        </is>
      </c>
      <c r="C1228" s="8" t="inlineStr">
        <is>
          <t>cadre de vitre — arrière gauche</t>
        </is>
      </c>
      <c r="D1228" s="8" t="inlineStr">
        <is>
          <t>Portes et trappes</t>
        </is>
      </c>
      <c r="E1228" s="8" t="inlineStr">
        <is>
          <t>Portes et trappes</t>
        </is>
      </c>
      <c r="F1228" s="8" t="inlineStr">
        <is>
          <t>PIECE_VEHICULE</t>
        </is>
      </c>
      <c r="G1228" s="8" t="inlineStr">
        <is>
          <t>unité</t>
        </is>
      </c>
      <c r="H1228" s="8" t="inlineStr">
        <is>
          <t>LARGE</t>
        </is>
      </c>
      <c r="I1228" s="8" t="n">
        <v>0</v>
      </c>
      <c r="J1228" s="8" t="inlineStr">
        <is>
          <t>D-04-04</t>
        </is>
      </c>
      <c r="K1228" s="8" t="inlineStr"/>
      <c r="L1228" s="10" t="n">
        <v>0</v>
      </c>
      <c r="M1228" s="10" t="n">
        <v>0</v>
      </c>
      <c r="N1228" s="10" t="n">
        <v>42</v>
      </c>
      <c r="O1228" s="8" t="inlineStr">
        <is>
          <t>FAU</t>
        </is>
      </c>
      <c r="P1228" s="8" t="inlineStr">
        <is>
          <t>STANDARD</t>
        </is>
      </c>
      <c r="Q1228" s="8" t="inlineStr">
        <is>
          <t>WHAP</t>
        </is>
      </c>
      <c r="R1228" s="8" t="inlineStr">
        <is>
          <t>OUI</t>
        </is>
      </c>
      <c r="S1228" s="8" t="inlineStr">
        <is>
          <t>31/08/2026 02:59</t>
        </is>
      </c>
    </row>
    <row r="1229">
      <c r="A1229" s="7" t="inlineStr">
        <is>
          <t>WHAP-1225</t>
        </is>
      </c>
      <c r="B1229" s="7" t="inlineStr">
        <is>
          <t>POR-1225</t>
        </is>
      </c>
      <c r="C1229" s="7" t="inlineStr">
        <is>
          <t>lève-vitre — arrière gauche</t>
        </is>
      </c>
      <c r="D1229" s="7" t="inlineStr">
        <is>
          <t>Portes et trappes</t>
        </is>
      </c>
      <c r="E1229" s="7" t="inlineStr">
        <is>
          <t>Portes et trappes</t>
        </is>
      </c>
      <c r="F1229" s="7" t="inlineStr">
        <is>
          <t>PIECE_VEHICULE</t>
        </is>
      </c>
      <c r="G1229" s="7" t="inlineStr">
        <is>
          <t>unité</t>
        </is>
      </c>
      <c r="H1229" s="7" t="inlineStr">
        <is>
          <t>LARGE</t>
        </is>
      </c>
      <c r="I1229" s="7" t="n">
        <v>0</v>
      </c>
      <c r="J1229" s="7" t="inlineStr">
        <is>
          <t>E-05-04</t>
        </is>
      </c>
      <c r="K1229" s="7" t="inlineStr"/>
      <c r="L1229" s="9" t="n">
        <v>0</v>
      </c>
      <c r="M1229" s="9" t="n">
        <v>0</v>
      </c>
      <c r="N1229" s="9" t="n">
        <v>50</v>
      </c>
      <c r="O1229" s="7" t="inlineStr">
        <is>
          <t>SUM</t>
        </is>
      </c>
      <c r="P1229" s="7" t="inlineStr">
        <is>
          <t>STANDARD</t>
        </is>
      </c>
      <c r="Q1229" s="7" t="inlineStr">
        <is>
          <t>WHAP</t>
        </is>
      </c>
      <c r="R1229" s="7" t="inlineStr">
        <is>
          <t>OUI</t>
        </is>
      </c>
      <c r="S1229" s="7" t="inlineStr">
        <is>
          <t>31/08/2026 02:59</t>
        </is>
      </c>
    </row>
    <row r="1230">
      <c r="A1230" s="8" t="inlineStr">
        <is>
          <t>WHAP-1226</t>
        </is>
      </c>
      <c r="B1230" s="8" t="inlineStr">
        <is>
          <t>POR-1226</t>
        </is>
      </c>
      <c r="C1230" s="8" t="inlineStr">
        <is>
          <t>mécanisme de vitre — arrière gauche</t>
        </is>
      </c>
      <c r="D1230" s="8" t="inlineStr">
        <is>
          <t>Portes et trappes</t>
        </is>
      </c>
      <c r="E1230" s="8" t="inlineStr">
        <is>
          <t>Portes et trappes</t>
        </is>
      </c>
      <c r="F1230" s="8" t="inlineStr">
        <is>
          <t>PIECE_VEHICULE</t>
        </is>
      </c>
      <c r="G1230" s="8" t="inlineStr">
        <is>
          <t>unité</t>
        </is>
      </c>
      <c r="H1230" s="8" t="inlineStr">
        <is>
          <t>LARGE</t>
        </is>
      </c>
      <c r="I1230" s="8" t="n">
        <v>0</v>
      </c>
      <c r="J1230" s="8" t="inlineStr">
        <is>
          <t>B-02-01</t>
        </is>
      </c>
      <c r="K1230" s="8" t="inlineStr"/>
      <c r="L1230" s="10" t="n">
        <v>0</v>
      </c>
      <c r="M1230" s="10" t="n">
        <v>0</v>
      </c>
      <c r="N1230" s="10" t="n">
        <v>50</v>
      </c>
      <c r="O1230" s="8" t="inlineStr">
        <is>
          <t>YZK</t>
        </is>
      </c>
      <c r="P1230" s="8" t="inlineStr">
        <is>
          <t>STANDARD</t>
        </is>
      </c>
      <c r="Q1230" s="8" t="inlineStr">
        <is>
          <t>WHAP</t>
        </is>
      </c>
      <c r="R1230" s="8" t="inlineStr">
        <is>
          <t>OUI</t>
        </is>
      </c>
      <c r="S1230" s="8" t="inlineStr">
        <is>
          <t>31/08/2026 02:59</t>
        </is>
      </c>
    </row>
    <row r="1231">
      <c r="A1231" s="7" t="inlineStr">
        <is>
          <t>WHAP-1227</t>
        </is>
      </c>
      <c r="B1231" s="7" t="inlineStr">
        <is>
          <t>POR-1227</t>
        </is>
      </c>
      <c r="C1231" s="7" t="inlineStr">
        <is>
          <t>butée — arrière gauche</t>
        </is>
      </c>
      <c r="D1231" s="7" t="inlineStr">
        <is>
          <t>Portes et trappes</t>
        </is>
      </c>
      <c r="E1231" s="7" t="inlineStr">
        <is>
          <t>Portes et trappes</t>
        </is>
      </c>
      <c r="F1231" s="7" t="inlineStr">
        <is>
          <t>PIECE_VEHICULE</t>
        </is>
      </c>
      <c r="G1231" s="7" t="inlineStr">
        <is>
          <t>unité</t>
        </is>
      </c>
      <c r="H1231" s="7" t="inlineStr">
        <is>
          <t>LARGE</t>
        </is>
      </c>
      <c r="I1231" s="7" t="n">
        <v>0</v>
      </c>
      <c r="J1231" s="7" t="inlineStr">
        <is>
          <t>A-01-02</t>
        </is>
      </c>
      <c r="K1231" s="7" t="inlineStr"/>
      <c r="L1231" s="9" t="n">
        <v>0</v>
      </c>
      <c r="M1231" s="9" t="n">
        <v>0</v>
      </c>
      <c r="N1231" s="9" t="n">
        <v>45</v>
      </c>
      <c r="O1231" s="7" t="inlineStr">
        <is>
          <t>HEL</t>
        </is>
      </c>
      <c r="P1231" s="7" t="inlineStr">
        <is>
          <t>STANDARD</t>
        </is>
      </c>
      <c r="Q1231" s="7" t="inlineStr">
        <is>
          <t>WHAP</t>
        </is>
      </c>
      <c r="R1231" s="7" t="inlineStr">
        <is>
          <t>OUI</t>
        </is>
      </c>
      <c r="S1231" s="7" t="inlineStr">
        <is>
          <t>31/08/2026 02:59</t>
        </is>
      </c>
    </row>
    <row r="1232">
      <c r="A1232" s="8" t="inlineStr">
        <is>
          <t>WHAP-1228</t>
        </is>
      </c>
      <c r="B1232" s="8" t="inlineStr">
        <is>
          <t>POR-1228</t>
        </is>
      </c>
      <c r="C1232" s="8" t="inlineStr">
        <is>
          <t>gâche — arrière gauche</t>
        </is>
      </c>
      <c r="D1232" s="8" t="inlineStr">
        <is>
          <t>Portes et trappes</t>
        </is>
      </c>
      <c r="E1232" s="8" t="inlineStr">
        <is>
          <t>Portes et trappes</t>
        </is>
      </c>
      <c r="F1232" s="8" t="inlineStr">
        <is>
          <t>PIECE_VEHICULE</t>
        </is>
      </c>
      <c r="G1232" s="8" t="inlineStr">
        <is>
          <t>unité</t>
        </is>
      </c>
      <c r="H1232" s="8" t="inlineStr">
        <is>
          <t>LARGE</t>
        </is>
      </c>
      <c r="I1232" s="8" t="n">
        <v>0</v>
      </c>
      <c r="J1232" s="8" t="inlineStr">
        <is>
          <t>A-04-03</t>
        </is>
      </c>
      <c r="K1232" s="8" t="inlineStr"/>
      <c r="L1232" s="10" t="n">
        <v>0</v>
      </c>
      <c r="M1232" s="10" t="n">
        <v>0</v>
      </c>
      <c r="N1232" s="10" t="n">
        <v>50</v>
      </c>
      <c r="O1232" s="8" t="inlineStr">
        <is>
          <t>MAG</t>
        </is>
      </c>
      <c r="P1232" s="8" t="inlineStr">
        <is>
          <t>STANDARD</t>
        </is>
      </c>
      <c r="Q1232" s="8" t="inlineStr">
        <is>
          <t>WHAP</t>
        </is>
      </c>
      <c r="R1232" s="8" t="inlineStr">
        <is>
          <t>OUI</t>
        </is>
      </c>
      <c r="S1232" s="8" t="inlineStr">
        <is>
          <t>31/08/2026 02:59</t>
        </is>
      </c>
    </row>
    <row r="1233">
      <c r="A1233" s="7" t="inlineStr">
        <is>
          <t>WHAP-1229</t>
        </is>
      </c>
      <c r="B1233" s="7" t="inlineStr">
        <is>
          <t>POR-1229</t>
        </is>
      </c>
      <c r="C1233" s="7" t="inlineStr">
        <is>
          <t>axe de charnière — arrière gauche</t>
        </is>
      </c>
      <c r="D1233" s="7" t="inlineStr">
        <is>
          <t>Portes et trappes</t>
        </is>
      </c>
      <c r="E1233" s="7" t="inlineStr">
        <is>
          <t>Portes et trappes</t>
        </is>
      </c>
      <c r="F1233" s="7" t="inlineStr">
        <is>
          <t>PIECE_VEHICULE</t>
        </is>
      </c>
      <c r="G1233" s="7" t="inlineStr">
        <is>
          <t>unité</t>
        </is>
      </c>
      <c r="H1233" s="7" t="inlineStr">
        <is>
          <t>LARGE</t>
        </is>
      </c>
      <c r="I1233" s="7" t="n">
        <v>0</v>
      </c>
      <c r="J1233" s="7" t="inlineStr">
        <is>
          <t>B-02-02</t>
        </is>
      </c>
      <c r="K1233" s="7" t="inlineStr"/>
      <c r="L1233" s="9" t="n">
        <v>0</v>
      </c>
      <c r="M1233" s="9" t="n">
        <v>0</v>
      </c>
      <c r="N1233" s="9" t="n">
        <v>41</v>
      </c>
      <c r="O1233" s="7" t="inlineStr">
        <is>
          <t>YZK</t>
        </is>
      </c>
      <c r="P1233" s="7" t="inlineStr">
        <is>
          <t>STANDARD</t>
        </is>
      </c>
      <c r="Q1233" s="7" t="inlineStr">
        <is>
          <t>WHAP</t>
        </is>
      </c>
      <c r="R1233" s="7" t="inlineStr">
        <is>
          <t>OUI</t>
        </is>
      </c>
      <c r="S1233" s="7" t="inlineStr">
        <is>
          <t>31/08/2026 02:59</t>
        </is>
      </c>
    </row>
    <row r="1234">
      <c r="A1234" s="8" t="inlineStr">
        <is>
          <t>WHAP-1230</t>
        </is>
      </c>
      <c r="B1234" s="8" t="inlineStr">
        <is>
          <t>POR-1230</t>
        </is>
      </c>
      <c r="C1234" s="8" t="inlineStr">
        <is>
          <t>porte conducteur — arrière droit</t>
        </is>
      </c>
      <c r="D1234" s="8" t="inlineStr">
        <is>
          <t>Portes et trappes</t>
        </is>
      </c>
      <c r="E1234" s="8" t="inlineStr">
        <is>
          <t>Portes et trappes</t>
        </is>
      </c>
      <c r="F1234" s="8" t="inlineStr">
        <is>
          <t>PIECE_VEHICULE</t>
        </is>
      </c>
      <c r="G1234" s="8" t="inlineStr">
        <is>
          <t>unité</t>
        </is>
      </c>
      <c r="H1234" s="8" t="inlineStr">
        <is>
          <t>LARGE</t>
        </is>
      </c>
      <c r="I1234" s="8" t="n">
        <v>0</v>
      </c>
      <c r="J1234" s="8" t="inlineStr">
        <is>
          <t>B-04-04</t>
        </is>
      </c>
      <c r="K1234" s="8" t="inlineStr"/>
      <c r="L1234" s="10" t="n">
        <v>0</v>
      </c>
      <c r="M1234" s="10" t="n">
        <v>0</v>
      </c>
      <c r="N1234" s="10" t="n">
        <v>43</v>
      </c>
      <c r="O1234" s="8" t="inlineStr">
        <is>
          <t>CTL</t>
        </is>
      </c>
      <c r="P1234" s="8" t="inlineStr">
        <is>
          <t>STANDARD</t>
        </is>
      </c>
      <c r="Q1234" s="8" t="inlineStr">
        <is>
          <t>WHAP</t>
        </is>
      </c>
      <c r="R1234" s="8" t="inlineStr">
        <is>
          <t>OUI</t>
        </is>
      </c>
      <c r="S1234" s="8" t="inlineStr">
        <is>
          <t>31/08/2026 02:59</t>
        </is>
      </c>
    </row>
    <row r="1235">
      <c r="A1235" s="7" t="inlineStr">
        <is>
          <t>WHAP-1231</t>
        </is>
      </c>
      <c r="B1235" s="7" t="inlineStr">
        <is>
          <t>POR-1231</t>
        </is>
      </c>
      <c r="C1235" s="7" t="inlineStr">
        <is>
          <t>porte équipage — arrière droit</t>
        </is>
      </c>
      <c r="D1235" s="7" t="inlineStr">
        <is>
          <t>Portes et trappes</t>
        </is>
      </c>
      <c r="E1235" s="7" t="inlineStr">
        <is>
          <t>Portes et trappes</t>
        </is>
      </c>
      <c r="F1235" s="7" t="inlineStr">
        <is>
          <t>PIECE_VEHICULE</t>
        </is>
      </c>
      <c r="G1235" s="7" t="inlineStr">
        <is>
          <t>unité</t>
        </is>
      </c>
      <c r="H1235" s="7" t="inlineStr">
        <is>
          <t>LARGE</t>
        </is>
      </c>
      <c r="I1235" s="7" t="n">
        <v>0</v>
      </c>
      <c r="J1235" s="7" t="inlineStr">
        <is>
          <t>B-03-01</t>
        </is>
      </c>
      <c r="K1235" s="7" t="inlineStr"/>
      <c r="L1235" s="9" t="n">
        <v>0</v>
      </c>
      <c r="M1235" s="9" t="n">
        <v>0</v>
      </c>
      <c r="N1235" s="9" t="n">
        <v>50</v>
      </c>
      <c r="O1235" s="7" t="inlineStr">
        <is>
          <t>YZK</t>
        </is>
      </c>
      <c r="P1235" s="7" t="inlineStr">
        <is>
          <t>STANDARD</t>
        </is>
      </c>
      <c r="Q1235" s="7" t="inlineStr">
        <is>
          <t>WHAP</t>
        </is>
      </c>
      <c r="R1235" s="7" t="inlineStr">
        <is>
          <t>OUI</t>
        </is>
      </c>
      <c r="S1235" s="7" t="inlineStr">
        <is>
          <t>31/08/2026 02:59</t>
        </is>
      </c>
    </row>
    <row r="1236">
      <c r="A1236" s="8" t="inlineStr">
        <is>
          <t>WHAP-1232</t>
        </is>
      </c>
      <c r="B1236" s="8" t="inlineStr">
        <is>
          <t>POR-1232</t>
        </is>
      </c>
      <c r="C1236" s="8" t="inlineStr">
        <is>
          <t>porte arrière — arrière droit</t>
        </is>
      </c>
      <c r="D1236" s="8" t="inlineStr">
        <is>
          <t>Portes et trappes</t>
        </is>
      </c>
      <c r="E1236" s="8" t="inlineStr">
        <is>
          <t>Portes et trappes</t>
        </is>
      </c>
      <c r="F1236" s="8" t="inlineStr">
        <is>
          <t>PIECE_VEHICULE</t>
        </is>
      </c>
      <c r="G1236" s="8" t="inlineStr">
        <is>
          <t>unité</t>
        </is>
      </c>
      <c r="H1236" s="8" t="inlineStr">
        <is>
          <t>LARGE</t>
        </is>
      </c>
      <c r="I1236" s="8" t="n">
        <v>0</v>
      </c>
      <c r="J1236" s="8" t="inlineStr">
        <is>
          <t>C-01-04</t>
        </is>
      </c>
      <c r="K1236" s="8" t="inlineStr"/>
      <c r="L1236" s="10" t="n">
        <v>0</v>
      </c>
      <c r="M1236" s="10" t="n">
        <v>0</v>
      </c>
      <c r="N1236" s="10" t="n">
        <v>49</v>
      </c>
      <c r="O1236" s="8" t="inlineStr">
        <is>
          <t>MAG</t>
        </is>
      </c>
      <c r="P1236" s="8" t="inlineStr">
        <is>
          <t>STANDARD</t>
        </is>
      </c>
      <c r="Q1236" s="8" t="inlineStr">
        <is>
          <t>WHAP</t>
        </is>
      </c>
      <c r="R1236" s="8" t="inlineStr">
        <is>
          <t>OUI</t>
        </is>
      </c>
      <c r="S1236" s="8" t="inlineStr">
        <is>
          <t>31/08/2026 02:59</t>
        </is>
      </c>
    </row>
    <row r="1237">
      <c r="A1237" s="7" t="inlineStr">
        <is>
          <t>WHAP-1233</t>
        </is>
      </c>
      <c r="B1237" s="7" t="inlineStr">
        <is>
          <t>POR-1233</t>
        </is>
      </c>
      <c r="C1237" s="7" t="inlineStr">
        <is>
          <t>trappe supérieure — arrière droit</t>
        </is>
      </c>
      <c r="D1237" s="7" t="inlineStr">
        <is>
          <t>Portes et trappes</t>
        </is>
      </c>
      <c r="E1237" s="7" t="inlineStr">
        <is>
          <t>Portes et trappes</t>
        </is>
      </c>
      <c r="F1237" s="7" t="inlineStr">
        <is>
          <t>PIECE_VEHICULE</t>
        </is>
      </c>
      <c r="G1237" s="7" t="inlineStr">
        <is>
          <t>unité</t>
        </is>
      </c>
      <c r="H1237" s="7" t="inlineStr">
        <is>
          <t>LARGE</t>
        </is>
      </c>
      <c r="I1237" s="7" t="n">
        <v>0</v>
      </c>
      <c r="J1237" s="7" t="inlineStr">
        <is>
          <t>C-02-04</t>
        </is>
      </c>
      <c r="K1237" s="7" t="inlineStr"/>
      <c r="L1237" s="9" t="n">
        <v>0</v>
      </c>
      <c r="M1237" s="9" t="n">
        <v>0</v>
      </c>
      <c r="N1237" s="9" t="n">
        <v>44</v>
      </c>
      <c r="O1237" s="7" t="inlineStr">
        <is>
          <t>MAG</t>
        </is>
      </c>
      <c r="P1237" s="7" t="inlineStr">
        <is>
          <t>STANDARD</t>
        </is>
      </c>
      <c r="Q1237" s="7" t="inlineStr">
        <is>
          <t>WHAP</t>
        </is>
      </c>
      <c r="R1237" s="7" t="inlineStr">
        <is>
          <t>OUI</t>
        </is>
      </c>
      <c r="S1237" s="7" t="inlineStr">
        <is>
          <t>31/08/2026 02:59</t>
        </is>
      </c>
    </row>
    <row r="1238">
      <c r="A1238" s="8" t="inlineStr">
        <is>
          <t>WHAP-1234</t>
        </is>
      </c>
      <c r="B1238" s="8" t="inlineStr">
        <is>
          <t>POR-1234</t>
        </is>
      </c>
      <c r="C1238" s="8" t="inlineStr">
        <is>
          <t>trappe latérale — arrière droit</t>
        </is>
      </c>
      <c r="D1238" s="8" t="inlineStr">
        <is>
          <t>Portes et trappes</t>
        </is>
      </c>
      <c r="E1238" s="8" t="inlineStr">
        <is>
          <t>Portes et trappes</t>
        </is>
      </c>
      <c r="F1238" s="8" t="inlineStr">
        <is>
          <t>PIECE_VEHICULE</t>
        </is>
      </c>
      <c r="G1238" s="8" t="inlineStr">
        <is>
          <t>unité</t>
        </is>
      </c>
      <c r="H1238" s="8" t="inlineStr">
        <is>
          <t>LARGE</t>
        </is>
      </c>
      <c r="I1238" s="8" t="n">
        <v>0</v>
      </c>
      <c r="J1238" s="8" t="inlineStr">
        <is>
          <t>E-05-03</t>
        </is>
      </c>
      <c r="K1238" s="8" t="inlineStr"/>
      <c r="L1238" s="10" t="n">
        <v>0</v>
      </c>
      <c r="M1238" s="10" t="n">
        <v>0</v>
      </c>
      <c r="N1238" s="10" t="n">
        <v>46</v>
      </c>
      <c r="O1238" s="8" t="inlineStr">
        <is>
          <t>SUM</t>
        </is>
      </c>
      <c r="P1238" s="8" t="inlineStr">
        <is>
          <t>STANDARD</t>
        </is>
      </c>
      <c r="Q1238" s="8" t="inlineStr">
        <is>
          <t>WHAP</t>
        </is>
      </c>
      <c r="R1238" s="8" t="inlineStr">
        <is>
          <t>OUI</t>
        </is>
      </c>
      <c r="S1238" s="8" t="inlineStr">
        <is>
          <t>31/08/2026 02:59</t>
        </is>
      </c>
    </row>
    <row r="1239">
      <c r="A1239" s="7" t="inlineStr">
        <is>
          <t>WHAP-1235</t>
        </is>
      </c>
      <c r="B1239" s="7" t="inlineStr">
        <is>
          <t>POR-1235</t>
        </is>
      </c>
      <c r="C1239" s="7" t="inlineStr">
        <is>
          <t>trappe moteur — arrière droit</t>
        </is>
      </c>
      <c r="D1239" s="7" t="inlineStr">
        <is>
          <t>Portes et trappes</t>
        </is>
      </c>
      <c r="E1239" s="7" t="inlineStr">
        <is>
          <t>Portes et trappes</t>
        </is>
      </c>
      <c r="F1239" s="7" t="inlineStr">
        <is>
          <t>PIECE_VEHICULE</t>
        </is>
      </c>
      <c r="G1239" s="7" t="inlineStr">
        <is>
          <t>unité</t>
        </is>
      </c>
      <c r="H1239" s="7" t="inlineStr">
        <is>
          <t>LARGE</t>
        </is>
      </c>
      <c r="I1239" s="7" t="n">
        <v>0</v>
      </c>
      <c r="J1239" s="7" t="inlineStr">
        <is>
          <t>D-05-02</t>
        </is>
      </c>
      <c r="K1239" s="7" t="inlineStr"/>
      <c r="L1239" s="9" t="n">
        <v>0</v>
      </c>
      <c r="M1239" s="9" t="n">
        <v>0</v>
      </c>
      <c r="N1239" s="9" t="n">
        <v>45</v>
      </c>
      <c r="O1239" s="7" t="inlineStr">
        <is>
          <t>VAL</t>
        </is>
      </c>
      <c r="P1239" s="7" t="inlineStr">
        <is>
          <t>STANDARD</t>
        </is>
      </c>
      <c r="Q1239" s="7" t="inlineStr">
        <is>
          <t>WHAP</t>
        </is>
      </c>
      <c r="R1239" s="7" t="inlineStr">
        <is>
          <t>OUI</t>
        </is>
      </c>
      <c r="S1239" s="7" t="inlineStr">
        <is>
          <t>31/08/2026 02:59</t>
        </is>
      </c>
    </row>
    <row r="1240">
      <c r="A1240" s="8" t="inlineStr">
        <is>
          <t>WHAP-1236</t>
        </is>
      </c>
      <c r="B1240" s="8" t="inlineStr">
        <is>
          <t>POR-1236</t>
        </is>
      </c>
      <c r="C1240" s="8" t="inlineStr">
        <is>
          <t>charnière — arrière droit</t>
        </is>
      </c>
      <c r="D1240" s="8" t="inlineStr">
        <is>
          <t>Portes et trappes</t>
        </is>
      </c>
      <c r="E1240" s="8" t="inlineStr">
        <is>
          <t>Portes et trappes</t>
        </is>
      </c>
      <c r="F1240" s="8" t="inlineStr">
        <is>
          <t>PIECE_VEHICULE</t>
        </is>
      </c>
      <c r="G1240" s="8" t="inlineStr">
        <is>
          <t>unité</t>
        </is>
      </c>
      <c r="H1240" s="8" t="inlineStr">
        <is>
          <t>LARGE</t>
        </is>
      </c>
      <c r="I1240" s="8" t="n">
        <v>0</v>
      </c>
      <c r="J1240" s="8" t="inlineStr">
        <is>
          <t>C-01-01</t>
        </is>
      </c>
      <c r="K1240" s="8" t="inlineStr"/>
      <c r="L1240" s="10" t="n">
        <v>0</v>
      </c>
      <c r="M1240" s="10" t="n">
        <v>0</v>
      </c>
      <c r="N1240" s="10" t="n">
        <v>44</v>
      </c>
      <c r="O1240" s="8" t="inlineStr">
        <is>
          <t>DEL</t>
        </is>
      </c>
      <c r="P1240" s="8" t="inlineStr">
        <is>
          <t>STANDARD</t>
        </is>
      </c>
      <c r="Q1240" s="8" t="inlineStr">
        <is>
          <t>WHAP</t>
        </is>
      </c>
      <c r="R1240" s="8" t="inlineStr">
        <is>
          <t>OUI</t>
        </is>
      </c>
      <c r="S1240" s="8" t="inlineStr">
        <is>
          <t>31/08/2026 02:59</t>
        </is>
      </c>
    </row>
    <row r="1241">
      <c r="A1241" s="7" t="inlineStr">
        <is>
          <t>WHAP-1237</t>
        </is>
      </c>
      <c r="B1241" s="7" t="inlineStr">
        <is>
          <t>POR-1237</t>
        </is>
      </c>
      <c r="C1241" s="7" t="inlineStr">
        <is>
          <t>serrure — arrière droit</t>
        </is>
      </c>
      <c r="D1241" s="7" t="inlineStr">
        <is>
          <t>Portes et trappes</t>
        </is>
      </c>
      <c r="E1241" s="7" t="inlineStr">
        <is>
          <t>Portes et trappes</t>
        </is>
      </c>
      <c r="F1241" s="7" t="inlineStr">
        <is>
          <t>PIECE_VEHICULE</t>
        </is>
      </c>
      <c r="G1241" s="7" t="inlineStr">
        <is>
          <t>unité</t>
        </is>
      </c>
      <c r="H1241" s="7" t="inlineStr">
        <is>
          <t>LARGE</t>
        </is>
      </c>
      <c r="I1241" s="7" t="n">
        <v>0</v>
      </c>
      <c r="J1241" s="7" t="inlineStr">
        <is>
          <t>F-02-01</t>
        </is>
      </c>
      <c r="K1241" s="7" t="inlineStr"/>
      <c r="L1241" s="9" t="n">
        <v>0</v>
      </c>
      <c r="M1241" s="9" t="n">
        <v>0</v>
      </c>
      <c r="N1241" s="9" t="n">
        <v>40</v>
      </c>
      <c r="O1241" s="7" t="inlineStr">
        <is>
          <t>SKF</t>
        </is>
      </c>
      <c r="P1241" s="7" t="inlineStr">
        <is>
          <t>STANDARD</t>
        </is>
      </c>
      <c r="Q1241" s="7" t="inlineStr">
        <is>
          <t>WHAP</t>
        </is>
      </c>
      <c r="R1241" s="7" t="inlineStr">
        <is>
          <t>OUI</t>
        </is>
      </c>
      <c r="S1241" s="7" t="inlineStr">
        <is>
          <t>31/08/2026 02:59</t>
        </is>
      </c>
    </row>
    <row r="1242">
      <c r="A1242" s="8" t="inlineStr">
        <is>
          <t>WHAP-1238</t>
        </is>
      </c>
      <c r="B1242" s="8" t="inlineStr">
        <is>
          <t>POR-1238</t>
        </is>
      </c>
      <c r="C1242" s="8" t="inlineStr">
        <is>
          <t>loquet — arrière droit</t>
        </is>
      </c>
      <c r="D1242" s="8" t="inlineStr">
        <is>
          <t>Portes et trappes</t>
        </is>
      </c>
      <c r="E1242" s="8" t="inlineStr">
        <is>
          <t>Portes et trappes</t>
        </is>
      </c>
      <c r="F1242" s="8" t="inlineStr">
        <is>
          <t>PIECE_VEHICULE</t>
        </is>
      </c>
      <c r="G1242" s="8" t="inlineStr">
        <is>
          <t>unité</t>
        </is>
      </c>
      <c r="H1242" s="8" t="inlineStr">
        <is>
          <t>LARGE</t>
        </is>
      </c>
      <c r="I1242" s="8" t="n">
        <v>0</v>
      </c>
      <c r="J1242" s="8" t="inlineStr">
        <is>
          <t>E-02-04</t>
        </is>
      </c>
      <c r="K1242" s="8" t="inlineStr"/>
      <c r="L1242" s="10" t="n">
        <v>0</v>
      </c>
      <c r="M1242" s="10" t="n">
        <v>0</v>
      </c>
      <c r="N1242" s="10" t="n">
        <v>42</v>
      </c>
      <c r="O1242" s="8" t="inlineStr">
        <is>
          <t>BOS</t>
        </is>
      </c>
      <c r="P1242" s="8" t="inlineStr">
        <is>
          <t>STANDARD</t>
        </is>
      </c>
      <c r="Q1242" s="8" t="inlineStr">
        <is>
          <t>WHAP</t>
        </is>
      </c>
      <c r="R1242" s="8" t="inlineStr">
        <is>
          <t>OUI</t>
        </is>
      </c>
      <c r="S1242" s="8" t="inlineStr">
        <is>
          <t>31/08/2026 02:59</t>
        </is>
      </c>
    </row>
    <row r="1243">
      <c r="A1243" s="7" t="inlineStr">
        <is>
          <t>WHAP-1239</t>
        </is>
      </c>
      <c r="B1243" s="7" t="inlineStr">
        <is>
          <t>POR-1239</t>
        </is>
      </c>
      <c r="C1243" s="7" t="inlineStr">
        <is>
          <t>verrou rotatif — arrière droit</t>
        </is>
      </c>
      <c r="D1243" s="7" t="inlineStr">
        <is>
          <t>Portes et trappes</t>
        </is>
      </c>
      <c r="E1243" s="7" t="inlineStr">
        <is>
          <t>Portes et trappes</t>
        </is>
      </c>
      <c r="F1243" s="7" t="inlineStr">
        <is>
          <t>PIECE_VEHICULE</t>
        </is>
      </c>
      <c r="G1243" s="7" t="inlineStr">
        <is>
          <t>unité</t>
        </is>
      </c>
      <c r="H1243" s="7" t="inlineStr">
        <is>
          <t>LARGE</t>
        </is>
      </c>
      <c r="I1243" s="7" t="n">
        <v>0</v>
      </c>
      <c r="J1243" s="7" t="inlineStr">
        <is>
          <t>D-01-04</t>
        </is>
      </c>
      <c r="K1243" s="7" t="inlineStr"/>
      <c r="L1243" s="9" t="n">
        <v>0</v>
      </c>
      <c r="M1243" s="9" t="n">
        <v>0</v>
      </c>
      <c r="N1243" s="9" t="n">
        <v>40</v>
      </c>
      <c r="O1243" s="7" t="inlineStr">
        <is>
          <t>SKF</t>
        </is>
      </c>
      <c r="P1243" s="7" t="inlineStr">
        <is>
          <t>STANDARD</t>
        </is>
      </c>
      <c r="Q1243" s="7" t="inlineStr">
        <is>
          <t>WHAP</t>
        </is>
      </c>
      <c r="R1243" s="7" t="inlineStr">
        <is>
          <t>OUI</t>
        </is>
      </c>
      <c r="S1243" s="7" t="inlineStr">
        <is>
          <t>31/08/2026 02:59</t>
        </is>
      </c>
    </row>
    <row r="1244">
      <c r="A1244" s="8" t="inlineStr">
        <is>
          <t>WHAP-1240</t>
        </is>
      </c>
      <c r="B1244" s="8" t="inlineStr">
        <is>
          <t>POR-1240</t>
        </is>
      </c>
      <c r="C1244" s="8" t="inlineStr">
        <is>
          <t>poignée intérieure — arrière droit</t>
        </is>
      </c>
      <c r="D1244" s="8" t="inlineStr">
        <is>
          <t>Portes et trappes</t>
        </is>
      </c>
      <c r="E1244" s="8" t="inlineStr">
        <is>
          <t>Portes et trappes</t>
        </is>
      </c>
      <c r="F1244" s="8" t="inlineStr">
        <is>
          <t>PIECE_VEHICULE</t>
        </is>
      </c>
      <c r="G1244" s="8" t="inlineStr">
        <is>
          <t>unité</t>
        </is>
      </c>
      <c r="H1244" s="8" t="inlineStr">
        <is>
          <t>LARGE</t>
        </is>
      </c>
      <c r="I1244" s="8" t="n">
        <v>0</v>
      </c>
      <c r="J1244" s="8" t="inlineStr">
        <is>
          <t>D-02-01</t>
        </is>
      </c>
      <c r="K1244" s="8" t="inlineStr"/>
      <c r="L1244" s="10" t="n">
        <v>0</v>
      </c>
      <c r="M1244" s="10" t="n">
        <v>0</v>
      </c>
      <c r="N1244" s="10" t="n">
        <v>48</v>
      </c>
      <c r="O1244" s="8" t="inlineStr">
        <is>
          <t>VAL</t>
        </is>
      </c>
      <c r="P1244" s="8" t="inlineStr">
        <is>
          <t>STANDARD</t>
        </is>
      </c>
      <c r="Q1244" s="8" t="inlineStr">
        <is>
          <t>WHAP</t>
        </is>
      </c>
      <c r="R1244" s="8" t="inlineStr">
        <is>
          <t>OUI</t>
        </is>
      </c>
      <c r="S1244" s="8" t="inlineStr">
        <is>
          <t>31/08/2026 02:59</t>
        </is>
      </c>
    </row>
    <row r="1245">
      <c r="A1245" s="7" t="inlineStr">
        <is>
          <t>WHAP-1241</t>
        </is>
      </c>
      <c r="B1245" s="7" t="inlineStr">
        <is>
          <t>POR-1241</t>
        </is>
      </c>
      <c r="C1245" s="7" t="inlineStr">
        <is>
          <t>poignée extérieure — arrière droit</t>
        </is>
      </c>
      <c r="D1245" s="7" t="inlineStr">
        <is>
          <t>Portes et trappes</t>
        </is>
      </c>
      <c r="E1245" s="7" t="inlineStr">
        <is>
          <t>Portes et trappes</t>
        </is>
      </c>
      <c r="F1245" s="7" t="inlineStr">
        <is>
          <t>PIECE_VEHICULE</t>
        </is>
      </c>
      <c r="G1245" s="7" t="inlineStr">
        <is>
          <t>unité</t>
        </is>
      </c>
      <c r="H1245" s="7" t="inlineStr">
        <is>
          <t>LARGE</t>
        </is>
      </c>
      <c r="I1245" s="7" t="n">
        <v>0</v>
      </c>
      <c r="J1245" s="7" t="inlineStr">
        <is>
          <t>D-04-01</t>
        </is>
      </c>
      <c r="K1245" s="7" t="inlineStr"/>
      <c r="L1245" s="9" t="n">
        <v>0</v>
      </c>
      <c r="M1245" s="9" t="n">
        <v>0</v>
      </c>
      <c r="N1245" s="9" t="n">
        <v>48</v>
      </c>
      <c r="O1245" s="7" t="inlineStr">
        <is>
          <t>VAL</t>
        </is>
      </c>
      <c r="P1245" s="7" t="inlineStr">
        <is>
          <t>STANDARD</t>
        </is>
      </c>
      <c r="Q1245" s="7" t="inlineStr">
        <is>
          <t>WHAP</t>
        </is>
      </c>
      <c r="R1245" s="7" t="inlineStr">
        <is>
          <t>OUI</t>
        </is>
      </c>
      <c r="S1245" s="7" t="inlineStr">
        <is>
          <t>31/08/2026 02:59</t>
        </is>
      </c>
    </row>
    <row r="1246">
      <c r="A1246" s="8" t="inlineStr">
        <is>
          <t>WHAP-1242</t>
        </is>
      </c>
      <c r="B1246" s="8" t="inlineStr">
        <is>
          <t>POR-1242</t>
        </is>
      </c>
      <c r="C1246" s="8" t="inlineStr">
        <is>
          <t>câble de commande — arrière droit</t>
        </is>
      </c>
      <c r="D1246" s="8" t="inlineStr">
        <is>
          <t>Portes et trappes</t>
        </is>
      </c>
      <c r="E1246" s="8" t="inlineStr">
        <is>
          <t>Portes et trappes</t>
        </is>
      </c>
      <c r="F1246" s="8" t="inlineStr">
        <is>
          <t>PIECE_VEHICULE</t>
        </is>
      </c>
      <c r="G1246" s="8" t="inlineStr">
        <is>
          <t>unité</t>
        </is>
      </c>
      <c r="H1246" s="8" t="inlineStr">
        <is>
          <t>LARGE</t>
        </is>
      </c>
      <c r="I1246" s="8" t="n">
        <v>0</v>
      </c>
      <c r="J1246" s="8" t="inlineStr">
        <is>
          <t>D-03-02</t>
        </is>
      </c>
      <c r="K1246" s="8" t="inlineStr"/>
      <c r="L1246" s="10" t="n">
        <v>0</v>
      </c>
      <c r="M1246" s="10" t="n">
        <v>0</v>
      </c>
      <c r="N1246" s="10" t="n">
        <v>40</v>
      </c>
      <c r="O1246" s="8" t="inlineStr">
        <is>
          <t>YZK</t>
        </is>
      </c>
      <c r="P1246" s="8" t="inlineStr">
        <is>
          <t>STANDARD</t>
        </is>
      </c>
      <c r="Q1246" s="8" t="inlineStr">
        <is>
          <t>WHAP</t>
        </is>
      </c>
      <c r="R1246" s="8" t="inlineStr">
        <is>
          <t>OUI</t>
        </is>
      </c>
      <c r="S1246" s="8" t="inlineStr">
        <is>
          <t>31/08/2026 02:59</t>
        </is>
      </c>
    </row>
    <row r="1247">
      <c r="A1247" s="7" t="inlineStr">
        <is>
          <t>WHAP-1243</t>
        </is>
      </c>
      <c r="B1247" s="7" t="inlineStr">
        <is>
          <t>POR-1243</t>
        </is>
      </c>
      <c r="C1247" s="7" t="inlineStr">
        <is>
          <t>vérin à gaz — arrière droit</t>
        </is>
      </c>
      <c r="D1247" s="7" t="inlineStr">
        <is>
          <t>Portes et trappes</t>
        </is>
      </c>
      <c r="E1247" s="7" t="inlineStr">
        <is>
          <t>Portes et trappes</t>
        </is>
      </c>
      <c r="F1247" s="7" t="inlineStr">
        <is>
          <t>PIECE_VEHICULE</t>
        </is>
      </c>
      <c r="G1247" s="7" t="inlineStr">
        <is>
          <t>unité</t>
        </is>
      </c>
      <c r="H1247" s="7" t="inlineStr">
        <is>
          <t>LARGE</t>
        </is>
      </c>
      <c r="I1247" s="7" t="n">
        <v>0</v>
      </c>
      <c r="J1247" s="7" t="inlineStr">
        <is>
          <t>F-06-01</t>
        </is>
      </c>
      <c r="K1247" s="7" t="inlineStr"/>
      <c r="L1247" s="9" t="n">
        <v>0</v>
      </c>
      <c r="M1247" s="9" t="n">
        <v>0</v>
      </c>
      <c r="N1247" s="9" t="n">
        <v>47</v>
      </c>
      <c r="O1247" s="7" t="inlineStr">
        <is>
          <t>VAL</t>
        </is>
      </c>
      <c r="P1247" s="7" t="inlineStr">
        <is>
          <t>STANDARD</t>
        </is>
      </c>
      <c r="Q1247" s="7" t="inlineStr">
        <is>
          <t>WHAP</t>
        </is>
      </c>
      <c r="R1247" s="7" t="inlineStr">
        <is>
          <t>OUI</t>
        </is>
      </c>
      <c r="S1247" s="7" t="inlineStr">
        <is>
          <t>31/08/2026 02:59</t>
        </is>
      </c>
    </row>
    <row r="1248">
      <c r="A1248" s="8" t="inlineStr">
        <is>
          <t>WHAP-1244</t>
        </is>
      </c>
      <c r="B1248" s="8" t="inlineStr">
        <is>
          <t>POR-1244</t>
        </is>
      </c>
      <c r="C1248" s="8" t="inlineStr">
        <is>
          <t>vérin hydraulique — arrière droit</t>
        </is>
      </c>
      <c r="D1248" s="8" t="inlineStr">
        <is>
          <t>Portes et trappes</t>
        </is>
      </c>
      <c r="E1248" s="8" t="inlineStr">
        <is>
          <t>Portes et trappes</t>
        </is>
      </c>
      <c r="F1248" s="8" t="inlineStr">
        <is>
          <t>PIECE_VEHICULE</t>
        </is>
      </c>
      <c r="G1248" s="8" t="inlineStr">
        <is>
          <t>unité</t>
        </is>
      </c>
      <c r="H1248" s="8" t="inlineStr">
        <is>
          <t>LARGE</t>
        </is>
      </c>
      <c r="I1248" s="8" t="n">
        <v>0</v>
      </c>
      <c r="J1248" s="8" t="inlineStr">
        <is>
          <t>A-01-03</t>
        </is>
      </c>
      <c r="K1248" s="8" t="inlineStr"/>
      <c r="L1248" s="10" t="n">
        <v>0</v>
      </c>
      <c r="M1248" s="10" t="n">
        <v>0</v>
      </c>
      <c r="N1248" s="10" t="n">
        <v>48</v>
      </c>
      <c r="O1248" s="8" t="inlineStr">
        <is>
          <t>BOS</t>
        </is>
      </c>
      <c r="P1248" s="8" t="inlineStr">
        <is>
          <t>STANDARD</t>
        </is>
      </c>
      <c r="Q1248" s="8" t="inlineStr">
        <is>
          <t>WHAP</t>
        </is>
      </c>
      <c r="R1248" s="8" t="inlineStr">
        <is>
          <t>OUI</t>
        </is>
      </c>
      <c r="S1248" s="8" t="inlineStr">
        <is>
          <t>31/08/2026 02:59</t>
        </is>
      </c>
    </row>
    <row r="1249">
      <c r="A1249" s="7" t="inlineStr">
        <is>
          <t>WHAP-1245</t>
        </is>
      </c>
      <c r="B1249" s="7" t="inlineStr">
        <is>
          <t>POR-1245</t>
        </is>
      </c>
      <c r="C1249" s="7" t="inlineStr">
        <is>
          <t>joint de porte — arrière droit</t>
        </is>
      </c>
      <c r="D1249" s="7" t="inlineStr">
        <is>
          <t>Portes et trappes</t>
        </is>
      </c>
      <c r="E1249" s="7" t="inlineStr">
        <is>
          <t>Portes et trappes</t>
        </is>
      </c>
      <c r="F1249" s="7" t="inlineStr">
        <is>
          <t>PIECE_VEHICULE</t>
        </is>
      </c>
      <c r="G1249" s="7" t="inlineStr">
        <is>
          <t>unité</t>
        </is>
      </c>
      <c r="H1249" s="7" t="inlineStr">
        <is>
          <t>LARGE</t>
        </is>
      </c>
      <c r="I1249" s="7" t="n">
        <v>0</v>
      </c>
      <c r="J1249" s="7" t="inlineStr">
        <is>
          <t>B-01-04</t>
        </is>
      </c>
      <c r="K1249" s="7" t="inlineStr"/>
      <c r="L1249" s="9" t="n">
        <v>0</v>
      </c>
      <c r="M1249" s="9" t="n">
        <v>0</v>
      </c>
      <c r="N1249" s="9" t="n">
        <v>45</v>
      </c>
      <c r="O1249" s="7" t="inlineStr">
        <is>
          <t>SKF</t>
        </is>
      </c>
      <c r="P1249" s="7" t="inlineStr">
        <is>
          <t>STANDARD</t>
        </is>
      </c>
      <c r="Q1249" s="7" t="inlineStr">
        <is>
          <t>WHAP</t>
        </is>
      </c>
      <c r="R1249" s="7" t="inlineStr">
        <is>
          <t>OUI</t>
        </is>
      </c>
      <c r="S1249" s="7" t="inlineStr">
        <is>
          <t>31/08/2026 02:59</t>
        </is>
      </c>
    </row>
    <row r="1250">
      <c r="A1250" s="8" t="inlineStr">
        <is>
          <t>WHAP-1246</t>
        </is>
      </c>
      <c r="B1250" s="8" t="inlineStr">
        <is>
          <t>POR-1246</t>
        </is>
      </c>
      <c r="C1250" s="8" t="inlineStr">
        <is>
          <t>joint de trappe — arrière droit</t>
        </is>
      </c>
      <c r="D1250" s="8" t="inlineStr">
        <is>
          <t>Portes et trappes</t>
        </is>
      </c>
      <c r="E1250" s="8" t="inlineStr">
        <is>
          <t>Portes et trappes</t>
        </is>
      </c>
      <c r="F1250" s="8" t="inlineStr">
        <is>
          <t>PIECE_VEHICULE</t>
        </is>
      </c>
      <c r="G1250" s="8" t="inlineStr">
        <is>
          <t>unité</t>
        </is>
      </c>
      <c r="H1250" s="8" t="inlineStr">
        <is>
          <t>LARGE</t>
        </is>
      </c>
      <c r="I1250" s="8" t="n">
        <v>0</v>
      </c>
      <c r="J1250" s="8" t="inlineStr">
        <is>
          <t>A-01-04</t>
        </is>
      </c>
      <c r="K1250" s="8" t="inlineStr"/>
      <c r="L1250" s="10" t="n">
        <v>0</v>
      </c>
      <c r="M1250" s="10" t="n">
        <v>0</v>
      </c>
      <c r="N1250" s="10" t="n">
        <v>44</v>
      </c>
      <c r="O1250" s="8" t="inlineStr">
        <is>
          <t>BOS</t>
        </is>
      </c>
      <c r="P1250" s="8" t="inlineStr">
        <is>
          <t>STANDARD</t>
        </is>
      </c>
      <c r="Q1250" s="8" t="inlineStr">
        <is>
          <t>WHAP</t>
        </is>
      </c>
      <c r="R1250" s="8" t="inlineStr">
        <is>
          <t>OUI</t>
        </is>
      </c>
      <c r="S1250" s="8" t="inlineStr">
        <is>
          <t>31/08/2026 02:59</t>
        </is>
      </c>
    </row>
    <row r="1251">
      <c r="A1251" s="7" t="inlineStr">
        <is>
          <t>WHAP-1247</t>
        </is>
      </c>
      <c r="B1251" s="7" t="inlineStr">
        <is>
          <t>POR-1247</t>
        </is>
      </c>
      <c r="C1251" s="7" t="inlineStr">
        <is>
          <t>vitre blindée — arrière droit</t>
        </is>
      </c>
      <c r="D1251" s="7" t="inlineStr">
        <is>
          <t>Portes et trappes</t>
        </is>
      </c>
      <c r="E1251" s="7" t="inlineStr">
        <is>
          <t>Portes et trappes</t>
        </is>
      </c>
      <c r="F1251" s="7" t="inlineStr">
        <is>
          <t>PIECE_VEHICULE</t>
        </is>
      </c>
      <c r="G1251" s="7" t="inlineStr">
        <is>
          <t>unité</t>
        </is>
      </c>
      <c r="H1251" s="7" t="inlineStr">
        <is>
          <t>LARGE</t>
        </is>
      </c>
      <c r="I1251" s="7" t="n">
        <v>0</v>
      </c>
      <c r="J1251" s="7" t="inlineStr">
        <is>
          <t>D-01-04</t>
        </is>
      </c>
      <c r="K1251" s="7" t="inlineStr"/>
      <c r="L1251" s="9" t="n">
        <v>0</v>
      </c>
      <c r="M1251" s="9" t="n">
        <v>0</v>
      </c>
      <c r="N1251" s="9" t="n">
        <v>44</v>
      </c>
      <c r="O1251" s="7" t="inlineStr">
        <is>
          <t>SKF</t>
        </is>
      </c>
      <c r="P1251" s="7" t="inlineStr">
        <is>
          <t>STANDARD</t>
        </is>
      </c>
      <c r="Q1251" s="7" t="inlineStr">
        <is>
          <t>WHAP</t>
        </is>
      </c>
      <c r="R1251" s="7" t="inlineStr">
        <is>
          <t>OUI</t>
        </is>
      </c>
      <c r="S1251" s="7" t="inlineStr">
        <is>
          <t>31/08/2026 02:59</t>
        </is>
      </c>
    </row>
    <row r="1252">
      <c r="A1252" s="8" t="inlineStr">
        <is>
          <t>WHAP-1248</t>
        </is>
      </c>
      <c r="B1252" s="8" t="inlineStr">
        <is>
          <t>POR-1248</t>
        </is>
      </c>
      <c r="C1252" s="8" t="inlineStr">
        <is>
          <t>cadre de vitre — arrière droit</t>
        </is>
      </c>
      <c r="D1252" s="8" t="inlineStr">
        <is>
          <t>Portes et trappes</t>
        </is>
      </c>
      <c r="E1252" s="8" t="inlineStr">
        <is>
          <t>Portes et trappes</t>
        </is>
      </c>
      <c r="F1252" s="8" t="inlineStr">
        <is>
          <t>PIECE_VEHICULE</t>
        </is>
      </c>
      <c r="G1252" s="8" t="inlineStr">
        <is>
          <t>unité</t>
        </is>
      </c>
      <c r="H1252" s="8" t="inlineStr">
        <is>
          <t>LARGE</t>
        </is>
      </c>
      <c r="I1252" s="8" t="n">
        <v>0</v>
      </c>
      <c r="J1252" s="8" t="inlineStr">
        <is>
          <t>D-02-01</t>
        </is>
      </c>
      <c r="K1252" s="8" t="inlineStr"/>
      <c r="L1252" s="10" t="n">
        <v>0</v>
      </c>
      <c r="M1252" s="10" t="n">
        <v>0</v>
      </c>
      <c r="N1252" s="10" t="n">
        <v>46</v>
      </c>
      <c r="O1252" s="8" t="inlineStr">
        <is>
          <t>SKF</t>
        </is>
      </c>
      <c r="P1252" s="8" t="inlineStr">
        <is>
          <t>STANDARD</t>
        </is>
      </c>
      <c r="Q1252" s="8" t="inlineStr">
        <is>
          <t>WHAP</t>
        </is>
      </c>
      <c r="R1252" s="8" t="inlineStr">
        <is>
          <t>OUI</t>
        </is>
      </c>
      <c r="S1252" s="8" t="inlineStr">
        <is>
          <t>31/08/2026 02:59</t>
        </is>
      </c>
    </row>
    <row r="1253">
      <c r="A1253" s="7" t="inlineStr">
        <is>
          <t>WHAP-1249</t>
        </is>
      </c>
      <c r="B1253" s="7" t="inlineStr">
        <is>
          <t>POR-1249</t>
        </is>
      </c>
      <c r="C1253" s="7" t="inlineStr">
        <is>
          <t>lève-vitre — arrière droit</t>
        </is>
      </c>
      <c r="D1253" s="7" t="inlineStr">
        <is>
          <t>Portes et trappes</t>
        </is>
      </c>
      <c r="E1253" s="7" t="inlineStr">
        <is>
          <t>Portes et trappes</t>
        </is>
      </c>
      <c r="F1253" s="7" t="inlineStr">
        <is>
          <t>PIECE_VEHICULE</t>
        </is>
      </c>
      <c r="G1253" s="7" t="inlineStr">
        <is>
          <t>unité</t>
        </is>
      </c>
      <c r="H1253" s="7" t="inlineStr">
        <is>
          <t>LARGE</t>
        </is>
      </c>
      <c r="I1253" s="7" t="n">
        <v>0</v>
      </c>
      <c r="J1253" s="7" t="inlineStr">
        <is>
          <t>C-05-04</t>
        </is>
      </c>
      <c r="K1253" s="7" t="inlineStr"/>
      <c r="L1253" s="9" t="n">
        <v>0</v>
      </c>
      <c r="M1253" s="9" t="n">
        <v>0</v>
      </c>
      <c r="N1253" s="9" t="n">
        <v>44</v>
      </c>
      <c r="O1253" s="7" t="inlineStr">
        <is>
          <t>BOS</t>
        </is>
      </c>
      <c r="P1253" s="7" t="inlineStr">
        <is>
          <t>STANDARD</t>
        </is>
      </c>
      <c r="Q1253" s="7" t="inlineStr">
        <is>
          <t>WHAP</t>
        </is>
      </c>
      <c r="R1253" s="7" t="inlineStr">
        <is>
          <t>OUI</t>
        </is>
      </c>
      <c r="S1253" s="7" t="inlineStr">
        <is>
          <t>31/08/2026 02:59</t>
        </is>
      </c>
    </row>
    <row r="1254">
      <c r="A1254" s="8" t="inlineStr">
        <is>
          <t>WHAP-1250</t>
        </is>
      </c>
      <c r="B1254" s="8" t="inlineStr">
        <is>
          <t>POR-1250</t>
        </is>
      </c>
      <c r="C1254" s="8" t="inlineStr">
        <is>
          <t>mécanisme de vitre — arrière droit</t>
        </is>
      </c>
      <c r="D1254" s="8" t="inlineStr">
        <is>
          <t>Portes et trappes</t>
        </is>
      </c>
      <c r="E1254" s="8" t="inlineStr">
        <is>
          <t>Portes et trappes</t>
        </is>
      </c>
      <c r="F1254" s="8" t="inlineStr">
        <is>
          <t>PIECE_VEHICULE</t>
        </is>
      </c>
      <c r="G1254" s="8" t="inlineStr">
        <is>
          <t>unité</t>
        </is>
      </c>
      <c r="H1254" s="8" t="inlineStr">
        <is>
          <t>LARGE</t>
        </is>
      </c>
      <c r="I1254" s="8" t="n">
        <v>0</v>
      </c>
      <c r="J1254" s="8" t="inlineStr">
        <is>
          <t>A-04-02</t>
        </is>
      </c>
      <c r="K1254" s="8" t="inlineStr"/>
      <c r="L1254" s="10" t="n">
        <v>0</v>
      </c>
      <c r="M1254" s="10" t="n">
        <v>0</v>
      </c>
      <c r="N1254" s="10" t="n">
        <v>48</v>
      </c>
      <c r="O1254" s="8" t="inlineStr">
        <is>
          <t>BOS</t>
        </is>
      </c>
      <c r="P1254" s="8" t="inlineStr">
        <is>
          <t>STANDARD</t>
        </is>
      </c>
      <c r="Q1254" s="8" t="inlineStr">
        <is>
          <t>WHAP</t>
        </is>
      </c>
      <c r="R1254" s="8" t="inlineStr">
        <is>
          <t>OUI</t>
        </is>
      </c>
      <c r="S1254" s="8" t="inlineStr">
        <is>
          <t>31/08/2026 02:59</t>
        </is>
      </c>
    </row>
    <row r="1255">
      <c r="A1255" s="7" t="inlineStr">
        <is>
          <t>WHAP-1251</t>
        </is>
      </c>
      <c r="B1255" s="7" t="inlineStr">
        <is>
          <t>POR-1251</t>
        </is>
      </c>
      <c r="C1255" s="7" t="inlineStr">
        <is>
          <t>butée — arrière droit</t>
        </is>
      </c>
      <c r="D1255" s="7" t="inlineStr">
        <is>
          <t>Portes et trappes</t>
        </is>
      </c>
      <c r="E1255" s="7" t="inlineStr">
        <is>
          <t>Portes et trappes</t>
        </is>
      </c>
      <c r="F1255" s="7" t="inlineStr">
        <is>
          <t>PIECE_VEHICULE</t>
        </is>
      </c>
      <c r="G1255" s="7" t="inlineStr">
        <is>
          <t>unité</t>
        </is>
      </c>
      <c r="H1255" s="7" t="inlineStr">
        <is>
          <t>LARGE</t>
        </is>
      </c>
      <c r="I1255" s="7" t="n">
        <v>0</v>
      </c>
      <c r="J1255" s="7" t="inlineStr">
        <is>
          <t>A-05-03</t>
        </is>
      </c>
      <c r="K1255" s="7" t="inlineStr"/>
      <c r="L1255" s="9" t="n">
        <v>0</v>
      </c>
      <c r="M1255" s="9" t="n">
        <v>0</v>
      </c>
      <c r="N1255" s="9" t="n">
        <v>44</v>
      </c>
      <c r="O1255" s="7" t="inlineStr">
        <is>
          <t>HEL</t>
        </is>
      </c>
      <c r="P1255" s="7" t="inlineStr">
        <is>
          <t>STANDARD</t>
        </is>
      </c>
      <c r="Q1255" s="7" t="inlineStr">
        <is>
          <t>WHAP</t>
        </is>
      </c>
      <c r="R1255" s="7" t="inlineStr">
        <is>
          <t>OUI</t>
        </is>
      </c>
      <c r="S1255" s="7" t="inlineStr">
        <is>
          <t>31/08/2026 02:59</t>
        </is>
      </c>
    </row>
    <row r="1256">
      <c r="A1256" s="8" t="inlineStr">
        <is>
          <t>WHAP-1252</t>
        </is>
      </c>
      <c r="B1256" s="8" t="inlineStr">
        <is>
          <t>POR-1252</t>
        </is>
      </c>
      <c r="C1256" s="8" t="inlineStr">
        <is>
          <t>gâche — arrière droit</t>
        </is>
      </c>
      <c r="D1256" s="8" t="inlineStr">
        <is>
          <t>Portes et trappes</t>
        </is>
      </c>
      <c r="E1256" s="8" t="inlineStr">
        <is>
          <t>Portes et trappes</t>
        </is>
      </c>
      <c r="F1256" s="8" t="inlineStr">
        <is>
          <t>PIECE_VEHICULE</t>
        </is>
      </c>
      <c r="G1256" s="8" t="inlineStr">
        <is>
          <t>unité</t>
        </is>
      </c>
      <c r="H1256" s="8" t="inlineStr">
        <is>
          <t>LARGE</t>
        </is>
      </c>
      <c r="I1256" s="8" t="n">
        <v>0</v>
      </c>
      <c r="J1256" s="8" t="inlineStr">
        <is>
          <t>E-02-02</t>
        </is>
      </c>
      <c r="K1256" s="8" t="inlineStr"/>
      <c r="L1256" s="10" t="n">
        <v>0</v>
      </c>
      <c r="M1256" s="10" t="n">
        <v>0</v>
      </c>
      <c r="N1256" s="10" t="n">
        <v>48</v>
      </c>
      <c r="O1256" s="8" t="inlineStr">
        <is>
          <t>HEL</t>
        </is>
      </c>
      <c r="P1256" s="8" t="inlineStr">
        <is>
          <t>STANDARD</t>
        </is>
      </c>
      <c r="Q1256" s="8" t="inlineStr">
        <is>
          <t>WHAP</t>
        </is>
      </c>
      <c r="R1256" s="8" t="inlineStr">
        <is>
          <t>OUI</t>
        </is>
      </c>
      <c r="S1256" s="8" t="inlineStr">
        <is>
          <t>31/08/2026 02:59</t>
        </is>
      </c>
    </row>
    <row r="1257">
      <c r="A1257" s="7" t="inlineStr">
        <is>
          <t>WHAP-1253</t>
        </is>
      </c>
      <c r="B1257" s="7" t="inlineStr">
        <is>
          <t>POR-1253</t>
        </is>
      </c>
      <c r="C1257" s="7" t="inlineStr">
        <is>
          <t>axe de charnière — arrière droit</t>
        </is>
      </c>
      <c r="D1257" s="7" t="inlineStr">
        <is>
          <t>Portes et trappes</t>
        </is>
      </c>
      <c r="E1257" s="7" t="inlineStr">
        <is>
          <t>Portes et trappes</t>
        </is>
      </c>
      <c r="F1257" s="7" t="inlineStr">
        <is>
          <t>PIECE_VEHICULE</t>
        </is>
      </c>
      <c r="G1257" s="7" t="inlineStr">
        <is>
          <t>unité</t>
        </is>
      </c>
      <c r="H1257" s="7" t="inlineStr">
        <is>
          <t>LARGE</t>
        </is>
      </c>
      <c r="I1257" s="7" t="n">
        <v>0</v>
      </c>
      <c r="J1257" s="7" t="inlineStr">
        <is>
          <t>B-04-03</t>
        </is>
      </c>
      <c r="K1257" s="7" t="inlineStr"/>
      <c r="L1257" s="9" t="n">
        <v>0</v>
      </c>
      <c r="M1257" s="9" t="n">
        <v>0</v>
      </c>
      <c r="N1257" s="9" t="n">
        <v>41</v>
      </c>
      <c r="O1257" s="7" t="inlineStr">
        <is>
          <t>YZK</t>
        </is>
      </c>
      <c r="P1257" s="7" t="inlineStr">
        <is>
          <t>STANDARD</t>
        </is>
      </c>
      <c r="Q1257" s="7" t="inlineStr">
        <is>
          <t>WHAP</t>
        </is>
      </c>
      <c r="R1257" s="7" t="inlineStr">
        <is>
          <t>OUI</t>
        </is>
      </c>
      <c r="S1257" s="7" t="inlineStr">
        <is>
          <t>31/08/2026 02:59</t>
        </is>
      </c>
    </row>
    <row r="1258">
      <c r="A1258" s="8" t="inlineStr">
        <is>
          <t>WHAP-1254</t>
        </is>
      </c>
      <c r="B1258" s="8" t="inlineStr">
        <is>
          <t>OBS-1254</t>
        </is>
      </c>
      <c r="C1258" s="8" t="inlineStr">
        <is>
          <t>périscope — avant</t>
        </is>
      </c>
      <c r="D1258" s="8" t="inlineStr">
        <is>
          <t>Observation</t>
        </is>
      </c>
      <c r="E1258" s="8" t="inlineStr">
        <is>
          <t>Observation</t>
        </is>
      </c>
      <c r="F1258" s="8" t="inlineStr">
        <is>
          <t>EQUIPEMENT_VEHICULE</t>
        </is>
      </c>
      <c r="G1258" s="8" t="inlineStr">
        <is>
          <t>unité</t>
        </is>
      </c>
      <c r="H1258" s="8" t="inlineStr">
        <is>
          <t>LARGE</t>
        </is>
      </c>
      <c r="I1258" s="8" t="n">
        <v>0</v>
      </c>
      <c r="J1258" s="8" t="inlineStr">
        <is>
          <t>E-01-02</t>
        </is>
      </c>
      <c r="K1258" s="8" t="inlineStr"/>
      <c r="L1258" s="10" t="n">
        <v>0</v>
      </c>
      <c r="M1258" s="10" t="n">
        <v>0</v>
      </c>
      <c r="N1258" s="10" t="n">
        <v>46</v>
      </c>
      <c r="O1258" s="8" t="inlineStr">
        <is>
          <t>MAG</t>
        </is>
      </c>
      <c r="P1258" s="8" t="inlineStr">
        <is>
          <t>STANDARD</t>
        </is>
      </c>
      <c r="Q1258" s="8" t="inlineStr">
        <is>
          <t>WHAP</t>
        </is>
      </c>
      <c r="R1258" s="8" t="inlineStr">
        <is>
          <t>OUI</t>
        </is>
      </c>
      <c r="S1258" s="8" t="inlineStr">
        <is>
          <t>31/08/2026 02:59</t>
        </is>
      </c>
    </row>
    <row r="1259">
      <c r="A1259" s="7" t="inlineStr">
        <is>
          <t>WHAP-1255</t>
        </is>
      </c>
      <c r="B1259" s="7" t="inlineStr">
        <is>
          <t>OBS-1255</t>
        </is>
      </c>
      <c r="C1259" s="7" t="inlineStr">
        <is>
          <t>bloc optique — avant</t>
        </is>
      </c>
      <c r="D1259" s="7" t="inlineStr">
        <is>
          <t>Observation</t>
        </is>
      </c>
      <c r="E1259" s="7" t="inlineStr">
        <is>
          <t>Observation</t>
        </is>
      </c>
      <c r="F1259" s="7" t="inlineStr">
        <is>
          <t>EQUIPEMENT_VEHICULE</t>
        </is>
      </c>
      <c r="G1259" s="7" t="inlineStr">
        <is>
          <t>unité</t>
        </is>
      </c>
      <c r="H1259" s="7" t="inlineStr">
        <is>
          <t>LARGE</t>
        </is>
      </c>
      <c r="I1259" s="7" t="n">
        <v>0</v>
      </c>
      <c r="J1259" s="7" t="inlineStr">
        <is>
          <t>C-02-02</t>
        </is>
      </c>
      <c r="K1259" s="7" t="inlineStr"/>
      <c r="L1259" s="9" t="n">
        <v>0</v>
      </c>
      <c r="M1259" s="9" t="n">
        <v>0</v>
      </c>
      <c r="N1259" s="9" t="n">
        <v>40</v>
      </c>
      <c r="O1259" s="7" t="inlineStr">
        <is>
          <t>MAG</t>
        </is>
      </c>
      <c r="P1259" s="7" t="inlineStr">
        <is>
          <t>STANDARD</t>
        </is>
      </c>
      <c r="Q1259" s="7" t="inlineStr">
        <is>
          <t>WHAP</t>
        </is>
      </c>
      <c r="R1259" s="7" t="inlineStr">
        <is>
          <t>OUI</t>
        </is>
      </c>
      <c r="S1259" s="7" t="inlineStr">
        <is>
          <t>31/08/2026 02:59</t>
        </is>
      </c>
    </row>
    <row r="1260">
      <c r="A1260" s="8" t="inlineStr">
        <is>
          <t>WHAP-1256</t>
        </is>
      </c>
      <c r="B1260" s="8" t="inlineStr">
        <is>
          <t>OBS-1256</t>
        </is>
      </c>
      <c r="C1260" s="8" t="inlineStr">
        <is>
          <t>viseur conducteur — avant</t>
        </is>
      </c>
      <c r="D1260" s="8" t="inlineStr">
        <is>
          <t>Observation</t>
        </is>
      </c>
      <c r="E1260" s="8" t="inlineStr">
        <is>
          <t>Observation</t>
        </is>
      </c>
      <c r="F1260" s="8" t="inlineStr">
        <is>
          <t>EQUIPEMENT_VEHICULE</t>
        </is>
      </c>
      <c r="G1260" s="8" t="inlineStr">
        <is>
          <t>unité</t>
        </is>
      </c>
      <c r="H1260" s="8" t="inlineStr">
        <is>
          <t>LARGE</t>
        </is>
      </c>
      <c r="I1260" s="8" t="n">
        <v>0</v>
      </c>
      <c r="J1260" s="8" t="inlineStr">
        <is>
          <t>F-06-03</t>
        </is>
      </c>
      <c r="K1260" s="8" t="inlineStr"/>
      <c r="L1260" s="10" t="n">
        <v>0</v>
      </c>
      <c r="M1260" s="10" t="n">
        <v>0</v>
      </c>
      <c r="N1260" s="10" t="n">
        <v>47</v>
      </c>
      <c r="O1260" s="8" t="inlineStr">
        <is>
          <t>VAL</t>
        </is>
      </c>
      <c r="P1260" s="8" t="inlineStr">
        <is>
          <t>STANDARD</t>
        </is>
      </c>
      <c r="Q1260" s="8" t="inlineStr">
        <is>
          <t>WHAP</t>
        </is>
      </c>
      <c r="R1260" s="8" t="inlineStr">
        <is>
          <t>OUI</t>
        </is>
      </c>
      <c r="S1260" s="8" t="inlineStr">
        <is>
          <t>31/08/2026 02:59</t>
        </is>
      </c>
    </row>
    <row r="1261">
      <c r="A1261" s="7" t="inlineStr">
        <is>
          <t>WHAP-1257</t>
        </is>
      </c>
      <c r="B1261" s="7" t="inlineStr">
        <is>
          <t>OBS-1257</t>
        </is>
      </c>
      <c r="C1261" s="7" t="inlineStr">
        <is>
          <t>caméra avant — avant</t>
        </is>
      </c>
      <c r="D1261" s="7" t="inlineStr">
        <is>
          <t>Observation</t>
        </is>
      </c>
      <c r="E1261" s="7" t="inlineStr">
        <is>
          <t>Observation</t>
        </is>
      </c>
      <c r="F1261" s="7" t="inlineStr">
        <is>
          <t>EQUIPEMENT_VEHICULE</t>
        </is>
      </c>
      <c r="G1261" s="7" t="inlineStr">
        <is>
          <t>unité</t>
        </is>
      </c>
      <c r="H1261" s="7" t="inlineStr">
        <is>
          <t>LARGE</t>
        </is>
      </c>
      <c r="I1261" s="7" t="n">
        <v>0</v>
      </c>
      <c r="J1261" s="7" t="inlineStr">
        <is>
          <t>D-01-03</t>
        </is>
      </c>
      <c r="K1261" s="7" t="inlineStr"/>
      <c r="L1261" s="9" t="n">
        <v>0</v>
      </c>
      <c r="M1261" s="9" t="n">
        <v>0</v>
      </c>
      <c r="N1261" s="9" t="n">
        <v>48</v>
      </c>
      <c r="O1261" s="7" t="inlineStr">
        <is>
          <t>SKF</t>
        </is>
      </c>
      <c r="P1261" s="7" t="inlineStr">
        <is>
          <t>STANDARD</t>
        </is>
      </c>
      <c r="Q1261" s="7" t="inlineStr">
        <is>
          <t>WHAP</t>
        </is>
      </c>
      <c r="R1261" s="7" t="inlineStr">
        <is>
          <t>OUI</t>
        </is>
      </c>
      <c r="S1261" s="7" t="inlineStr">
        <is>
          <t>31/08/2026 02:59</t>
        </is>
      </c>
    </row>
    <row r="1262">
      <c r="A1262" s="8" t="inlineStr">
        <is>
          <t>WHAP-1258</t>
        </is>
      </c>
      <c r="B1262" s="8" t="inlineStr">
        <is>
          <t>OBS-1258</t>
        </is>
      </c>
      <c r="C1262" s="8" t="inlineStr">
        <is>
          <t>caméra arrière — avant</t>
        </is>
      </c>
      <c r="D1262" s="8" t="inlineStr">
        <is>
          <t>Observation</t>
        </is>
      </c>
      <c r="E1262" s="8" t="inlineStr">
        <is>
          <t>Observation</t>
        </is>
      </c>
      <c r="F1262" s="8" t="inlineStr">
        <is>
          <t>EQUIPEMENT_VEHICULE</t>
        </is>
      </c>
      <c r="G1262" s="8" t="inlineStr">
        <is>
          <t>unité</t>
        </is>
      </c>
      <c r="H1262" s="8" t="inlineStr">
        <is>
          <t>LARGE</t>
        </is>
      </c>
      <c r="I1262" s="8" t="n">
        <v>0</v>
      </c>
      <c r="J1262" s="8" t="inlineStr">
        <is>
          <t>E-02-02</t>
        </is>
      </c>
      <c r="K1262" s="8" t="inlineStr"/>
      <c r="L1262" s="10" t="n">
        <v>0</v>
      </c>
      <c r="M1262" s="10" t="n">
        <v>0</v>
      </c>
      <c r="N1262" s="10" t="n">
        <v>43</v>
      </c>
      <c r="O1262" s="8" t="inlineStr">
        <is>
          <t>DEL</t>
        </is>
      </c>
      <c r="P1262" s="8" t="inlineStr">
        <is>
          <t>STANDARD</t>
        </is>
      </c>
      <c r="Q1262" s="8" t="inlineStr">
        <is>
          <t>WHAP</t>
        </is>
      </c>
      <c r="R1262" s="8" t="inlineStr">
        <is>
          <t>OUI</t>
        </is>
      </c>
      <c r="S1262" s="8" t="inlineStr">
        <is>
          <t>31/08/2026 02:59</t>
        </is>
      </c>
    </row>
    <row r="1263">
      <c r="A1263" s="7" t="inlineStr">
        <is>
          <t>WHAP-1259</t>
        </is>
      </c>
      <c r="B1263" s="7" t="inlineStr">
        <is>
          <t>OBS-1259</t>
        </is>
      </c>
      <c r="C1263" s="7" t="inlineStr">
        <is>
          <t>caméra latérale — avant</t>
        </is>
      </c>
      <c r="D1263" s="7" t="inlineStr">
        <is>
          <t>Observation</t>
        </is>
      </c>
      <c r="E1263" s="7" t="inlineStr">
        <is>
          <t>Observation</t>
        </is>
      </c>
      <c r="F1263" s="7" t="inlineStr">
        <is>
          <t>EQUIPEMENT_VEHICULE</t>
        </is>
      </c>
      <c r="G1263" s="7" t="inlineStr">
        <is>
          <t>unité</t>
        </is>
      </c>
      <c r="H1263" s="7" t="inlineStr">
        <is>
          <t>LARGE</t>
        </is>
      </c>
      <c r="I1263" s="7" t="n">
        <v>0</v>
      </c>
      <c r="J1263" s="7" t="inlineStr">
        <is>
          <t>E-05-04</t>
        </is>
      </c>
      <c r="K1263" s="7" t="inlineStr"/>
      <c r="L1263" s="9" t="n">
        <v>0</v>
      </c>
      <c r="M1263" s="9" t="n">
        <v>0</v>
      </c>
      <c r="N1263" s="9" t="n">
        <v>49</v>
      </c>
      <c r="O1263" s="7" t="inlineStr">
        <is>
          <t>DEL</t>
        </is>
      </c>
      <c r="P1263" s="7" t="inlineStr">
        <is>
          <t>STANDARD</t>
        </is>
      </c>
      <c r="Q1263" s="7" t="inlineStr">
        <is>
          <t>WHAP</t>
        </is>
      </c>
      <c r="R1263" s="7" t="inlineStr">
        <is>
          <t>OUI</t>
        </is>
      </c>
      <c r="S1263" s="7" t="inlineStr">
        <is>
          <t>31/08/2026 02:59</t>
        </is>
      </c>
    </row>
    <row r="1264">
      <c r="A1264" s="8" t="inlineStr">
        <is>
          <t>WHAP-1260</t>
        </is>
      </c>
      <c r="B1264" s="8" t="inlineStr">
        <is>
          <t>OBS-1260</t>
        </is>
      </c>
      <c r="C1264" s="8" t="inlineStr">
        <is>
          <t>caméra thermique — avant</t>
        </is>
      </c>
      <c r="D1264" s="8" t="inlineStr">
        <is>
          <t>Observation</t>
        </is>
      </c>
      <c r="E1264" s="8" t="inlineStr">
        <is>
          <t>Observation</t>
        </is>
      </c>
      <c r="F1264" s="8" t="inlineStr">
        <is>
          <t>EQUIPEMENT_VEHICULE</t>
        </is>
      </c>
      <c r="G1264" s="8" t="inlineStr">
        <is>
          <t>unité</t>
        </is>
      </c>
      <c r="H1264" s="8" t="inlineStr">
        <is>
          <t>LARGE</t>
        </is>
      </c>
      <c r="I1264" s="8" t="n">
        <v>0</v>
      </c>
      <c r="J1264" s="8" t="inlineStr">
        <is>
          <t>B-04-04</t>
        </is>
      </c>
      <c r="K1264" s="8" t="inlineStr"/>
      <c r="L1264" s="10" t="n">
        <v>0</v>
      </c>
      <c r="M1264" s="10" t="n">
        <v>0</v>
      </c>
      <c r="N1264" s="10" t="n">
        <v>41</v>
      </c>
      <c r="O1264" s="8" t="inlineStr">
        <is>
          <t>YZK</t>
        </is>
      </c>
      <c r="P1264" s="8" t="inlineStr">
        <is>
          <t>STANDARD</t>
        </is>
      </c>
      <c r="Q1264" s="8" t="inlineStr">
        <is>
          <t>WHAP</t>
        </is>
      </c>
      <c r="R1264" s="8" t="inlineStr">
        <is>
          <t>OUI</t>
        </is>
      </c>
      <c r="S1264" s="8" t="inlineStr">
        <is>
          <t>31/08/2026 02:59</t>
        </is>
      </c>
    </row>
    <row r="1265">
      <c r="A1265" s="7" t="inlineStr">
        <is>
          <t>WHAP-1261</t>
        </is>
      </c>
      <c r="B1265" s="7" t="inlineStr">
        <is>
          <t>OBS-1261</t>
        </is>
      </c>
      <c r="C1265" s="7" t="inlineStr">
        <is>
          <t>module infrarouge — avant</t>
        </is>
      </c>
      <c r="D1265" s="7" t="inlineStr">
        <is>
          <t>Observation</t>
        </is>
      </c>
      <c r="E1265" s="7" t="inlineStr">
        <is>
          <t>Observation</t>
        </is>
      </c>
      <c r="F1265" s="7" t="inlineStr">
        <is>
          <t>EQUIPEMENT_VEHICULE</t>
        </is>
      </c>
      <c r="G1265" s="7" t="inlineStr">
        <is>
          <t>unité</t>
        </is>
      </c>
      <c r="H1265" s="7" t="inlineStr">
        <is>
          <t>LARGE</t>
        </is>
      </c>
      <c r="I1265" s="7" t="n">
        <v>0</v>
      </c>
      <c r="J1265" s="7" t="inlineStr">
        <is>
          <t>D-04-01</t>
        </is>
      </c>
      <c r="K1265" s="7" t="inlineStr"/>
      <c r="L1265" s="9" t="n">
        <v>0</v>
      </c>
      <c r="M1265" s="9" t="n">
        <v>0</v>
      </c>
      <c r="N1265" s="9" t="n">
        <v>40</v>
      </c>
      <c r="O1265" s="7" t="inlineStr">
        <is>
          <t>SKF</t>
        </is>
      </c>
      <c r="P1265" s="7" t="inlineStr">
        <is>
          <t>STANDARD</t>
        </is>
      </c>
      <c r="Q1265" s="7" t="inlineStr">
        <is>
          <t>WHAP</t>
        </is>
      </c>
      <c r="R1265" s="7" t="inlineStr">
        <is>
          <t>OUI</t>
        </is>
      </c>
      <c r="S1265" s="7" t="inlineStr">
        <is>
          <t>31/08/2026 02:59</t>
        </is>
      </c>
    </row>
    <row r="1266">
      <c r="A1266" s="8" t="inlineStr">
        <is>
          <t>WHAP-1262</t>
        </is>
      </c>
      <c r="B1266" s="8" t="inlineStr">
        <is>
          <t>OBS-1262</t>
        </is>
      </c>
      <c r="C1266" s="8" t="inlineStr">
        <is>
          <t>écran caméra — avant</t>
        </is>
      </c>
      <c r="D1266" s="8" t="inlineStr">
        <is>
          <t>Observation</t>
        </is>
      </c>
      <c r="E1266" s="8" t="inlineStr">
        <is>
          <t>Observation</t>
        </is>
      </c>
      <c r="F1266" s="8" t="inlineStr">
        <is>
          <t>EQUIPEMENT_VEHICULE</t>
        </is>
      </c>
      <c r="G1266" s="8" t="inlineStr">
        <is>
          <t>unité</t>
        </is>
      </c>
      <c r="H1266" s="8" t="inlineStr">
        <is>
          <t>LARGE</t>
        </is>
      </c>
      <c r="I1266" s="8" t="n">
        <v>0</v>
      </c>
      <c r="J1266" s="8" t="inlineStr">
        <is>
          <t>F-06-03</t>
        </is>
      </c>
      <c r="K1266" s="8" t="inlineStr"/>
      <c r="L1266" s="10" t="n">
        <v>0</v>
      </c>
      <c r="M1266" s="10" t="n">
        <v>0</v>
      </c>
      <c r="N1266" s="10" t="n">
        <v>41</v>
      </c>
      <c r="O1266" s="8" t="inlineStr">
        <is>
          <t>SKF</t>
        </is>
      </c>
      <c r="P1266" s="8" t="inlineStr">
        <is>
          <t>STANDARD</t>
        </is>
      </c>
      <c r="Q1266" s="8" t="inlineStr">
        <is>
          <t>WHAP</t>
        </is>
      </c>
      <c r="R1266" s="8" t="inlineStr">
        <is>
          <t>OUI</t>
        </is>
      </c>
      <c r="S1266" s="8" t="inlineStr">
        <is>
          <t>31/08/2026 02:59</t>
        </is>
      </c>
    </row>
    <row r="1267">
      <c r="A1267" s="7" t="inlineStr">
        <is>
          <t>WHAP-1263</t>
        </is>
      </c>
      <c r="B1267" s="7" t="inlineStr">
        <is>
          <t>OBS-1263</t>
        </is>
      </c>
      <c r="C1267" s="7" t="inlineStr">
        <is>
          <t>unité de traitement vidéo — avant</t>
        </is>
      </c>
      <c r="D1267" s="7" t="inlineStr">
        <is>
          <t>Observation</t>
        </is>
      </c>
      <c r="E1267" s="7" t="inlineStr">
        <is>
          <t>Observation</t>
        </is>
      </c>
      <c r="F1267" s="7" t="inlineStr">
        <is>
          <t>EQUIPEMENT_VEHICULE</t>
        </is>
      </c>
      <c r="G1267" s="7" t="inlineStr">
        <is>
          <t>unité</t>
        </is>
      </c>
      <c r="H1267" s="7" t="inlineStr">
        <is>
          <t>LARGE</t>
        </is>
      </c>
      <c r="I1267" s="7" t="n">
        <v>0</v>
      </c>
      <c r="J1267" s="7" t="inlineStr">
        <is>
          <t>D-06-01</t>
        </is>
      </c>
      <c r="K1267" s="7" t="inlineStr"/>
      <c r="L1267" s="9" t="n">
        <v>0</v>
      </c>
      <c r="M1267" s="9" t="n">
        <v>0</v>
      </c>
      <c r="N1267" s="9" t="n">
        <v>41</v>
      </c>
      <c r="O1267" s="7" t="inlineStr">
        <is>
          <t>FAU</t>
        </is>
      </c>
      <c r="P1267" s="7" t="inlineStr">
        <is>
          <t>STANDARD</t>
        </is>
      </c>
      <c r="Q1267" s="7" t="inlineStr">
        <is>
          <t>WHAP</t>
        </is>
      </c>
      <c r="R1267" s="7" t="inlineStr">
        <is>
          <t>OUI</t>
        </is>
      </c>
      <c r="S1267" s="7" t="inlineStr">
        <is>
          <t>31/08/2026 02:59</t>
        </is>
      </c>
    </row>
    <row r="1268">
      <c r="A1268" s="8" t="inlineStr">
        <is>
          <t>WHAP-1264</t>
        </is>
      </c>
      <c r="B1268" s="8" t="inlineStr">
        <is>
          <t>OBS-1264</t>
        </is>
      </c>
      <c r="C1268" s="8" t="inlineStr">
        <is>
          <t>câble vidéo — avant</t>
        </is>
      </c>
      <c r="D1268" s="8" t="inlineStr">
        <is>
          <t>Observation</t>
        </is>
      </c>
      <c r="E1268" s="8" t="inlineStr">
        <is>
          <t>Observation</t>
        </is>
      </c>
      <c r="F1268" s="8" t="inlineStr">
        <is>
          <t>EQUIPEMENT_VEHICULE</t>
        </is>
      </c>
      <c r="G1268" s="8" t="inlineStr">
        <is>
          <t>unité</t>
        </is>
      </c>
      <c r="H1268" s="8" t="inlineStr">
        <is>
          <t>LARGE</t>
        </is>
      </c>
      <c r="I1268" s="8" t="n">
        <v>0</v>
      </c>
      <c r="J1268" s="8" t="inlineStr">
        <is>
          <t>E-03-03</t>
        </is>
      </c>
      <c r="K1268" s="8" t="inlineStr"/>
      <c r="L1268" s="10" t="n">
        <v>0</v>
      </c>
      <c r="M1268" s="10" t="n">
        <v>0</v>
      </c>
      <c r="N1268" s="10" t="n">
        <v>46</v>
      </c>
      <c r="O1268" s="8" t="inlineStr">
        <is>
          <t>SUM</t>
        </is>
      </c>
      <c r="P1268" s="8" t="inlineStr">
        <is>
          <t>STANDARD</t>
        </is>
      </c>
      <c r="Q1268" s="8" t="inlineStr">
        <is>
          <t>WHAP</t>
        </is>
      </c>
      <c r="R1268" s="8" t="inlineStr">
        <is>
          <t>OUI</t>
        </is>
      </c>
      <c r="S1268" s="8" t="inlineStr">
        <is>
          <t>31/08/2026 02:59</t>
        </is>
      </c>
    </row>
    <row r="1269">
      <c r="A1269" s="7" t="inlineStr">
        <is>
          <t>WHAP-1265</t>
        </is>
      </c>
      <c r="B1269" s="7" t="inlineStr">
        <is>
          <t>OBS-1265</t>
        </is>
      </c>
      <c r="C1269" s="7" t="inlineStr">
        <is>
          <t>connecteur vidéo — avant</t>
        </is>
      </c>
      <c r="D1269" s="7" t="inlineStr">
        <is>
          <t>Observation</t>
        </is>
      </c>
      <c r="E1269" s="7" t="inlineStr">
        <is>
          <t>Observation</t>
        </is>
      </c>
      <c r="F1269" s="7" t="inlineStr">
        <is>
          <t>EQUIPEMENT_VEHICULE</t>
        </is>
      </c>
      <c r="G1269" s="7" t="inlineStr">
        <is>
          <t>unité</t>
        </is>
      </c>
      <c r="H1269" s="7" t="inlineStr">
        <is>
          <t>LARGE</t>
        </is>
      </c>
      <c r="I1269" s="7" t="n">
        <v>0</v>
      </c>
      <c r="J1269" s="7" t="inlineStr">
        <is>
          <t>B-02-01</t>
        </is>
      </c>
      <c r="K1269" s="7" t="inlineStr"/>
      <c r="L1269" s="9" t="n">
        <v>0</v>
      </c>
      <c r="M1269" s="9" t="n">
        <v>0</v>
      </c>
      <c r="N1269" s="9" t="n">
        <v>47</v>
      </c>
      <c r="O1269" s="7" t="inlineStr">
        <is>
          <t>CTL</t>
        </is>
      </c>
      <c r="P1269" s="7" t="inlineStr">
        <is>
          <t>STANDARD</t>
        </is>
      </c>
      <c r="Q1269" s="7" t="inlineStr">
        <is>
          <t>WHAP</t>
        </is>
      </c>
      <c r="R1269" s="7" t="inlineStr">
        <is>
          <t>OUI</t>
        </is>
      </c>
      <c r="S1269" s="7" t="inlineStr">
        <is>
          <t>31/08/2026 02:59</t>
        </is>
      </c>
    </row>
    <row r="1270">
      <c r="A1270" s="8" t="inlineStr">
        <is>
          <t>WHAP-1266</t>
        </is>
      </c>
      <c r="B1270" s="8" t="inlineStr">
        <is>
          <t>OBS-1266</t>
        </is>
      </c>
      <c r="C1270" s="8" t="inlineStr">
        <is>
          <t>support caméra — avant</t>
        </is>
      </c>
      <c r="D1270" s="8" t="inlineStr">
        <is>
          <t>Observation</t>
        </is>
      </c>
      <c r="E1270" s="8" t="inlineStr">
        <is>
          <t>Observation</t>
        </is>
      </c>
      <c r="F1270" s="8" t="inlineStr">
        <is>
          <t>EQUIPEMENT_VEHICULE</t>
        </is>
      </c>
      <c r="G1270" s="8" t="inlineStr">
        <is>
          <t>unité</t>
        </is>
      </c>
      <c r="H1270" s="8" t="inlineStr">
        <is>
          <t>LARGE</t>
        </is>
      </c>
      <c r="I1270" s="8" t="n">
        <v>0</v>
      </c>
      <c r="J1270" s="8" t="inlineStr">
        <is>
          <t>E-05-01</t>
        </is>
      </c>
      <c r="K1270" s="8" t="inlineStr"/>
      <c r="L1270" s="10" t="n">
        <v>0</v>
      </c>
      <c r="M1270" s="10" t="n">
        <v>0</v>
      </c>
      <c r="N1270" s="10" t="n">
        <v>50</v>
      </c>
      <c r="O1270" s="8" t="inlineStr">
        <is>
          <t>SUM</t>
        </is>
      </c>
      <c r="P1270" s="8" t="inlineStr">
        <is>
          <t>STANDARD</t>
        </is>
      </c>
      <c r="Q1270" s="8" t="inlineStr">
        <is>
          <t>WHAP</t>
        </is>
      </c>
      <c r="R1270" s="8" t="inlineStr">
        <is>
          <t>OUI</t>
        </is>
      </c>
      <c r="S1270" s="8" t="inlineStr">
        <is>
          <t>31/08/2026 02:59</t>
        </is>
      </c>
    </row>
    <row r="1271">
      <c r="A1271" s="7" t="inlineStr">
        <is>
          <t>WHAP-1267</t>
        </is>
      </c>
      <c r="B1271" s="7" t="inlineStr">
        <is>
          <t>OBS-1267</t>
        </is>
      </c>
      <c r="C1271" s="7" t="inlineStr">
        <is>
          <t>capot caméra — avant</t>
        </is>
      </c>
      <c r="D1271" s="7" t="inlineStr">
        <is>
          <t>Observation</t>
        </is>
      </c>
      <c r="E1271" s="7" t="inlineStr">
        <is>
          <t>Observation</t>
        </is>
      </c>
      <c r="F1271" s="7" t="inlineStr">
        <is>
          <t>EQUIPEMENT_VEHICULE</t>
        </is>
      </c>
      <c r="G1271" s="7" t="inlineStr">
        <is>
          <t>unité</t>
        </is>
      </c>
      <c r="H1271" s="7" t="inlineStr">
        <is>
          <t>LARGE</t>
        </is>
      </c>
      <c r="I1271" s="7" t="n">
        <v>0</v>
      </c>
      <c r="J1271" s="7" t="inlineStr">
        <is>
          <t>D-03-03</t>
        </is>
      </c>
      <c r="K1271" s="7" t="inlineStr"/>
      <c r="L1271" s="9" t="n">
        <v>0</v>
      </c>
      <c r="M1271" s="9" t="n">
        <v>0</v>
      </c>
      <c r="N1271" s="9" t="n">
        <v>41</v>
      </c>
      <c r="O1271" s="7" t="inlineStr">
        <is>
          <t>YZK</t>
        </is>
      </c>
      <c r="P1271" s="7" t="inlineStr">
        <is>
          <t>STANDARD</t>
        </is>
      </c>
      <c r="Q1271" s="7" t="inlineStr">
        <is>
          <t>WHAP</t>
        </is>
      </c>
      <c r="R1271" s="7" t="inlineStr">
        <is>
          <t>OUI</t>
        </is>
      </c>
      <c r="S1271" s="7" t="inlineStr">
        <is>
          <t>31/08/2026 02:59</t>
        </is>
      </c>
    </row>
    <row r="1272">
      <c r="A1272" s="8" t="inlineStr">
        <is>
          <t>WHAP-1268</t>
        </is>
      </c>
      <c r="B1272" s="8" t="inlineStr">
        <is>
          <t>OBS-1268</t>
        </is>
      </c>
      <c r="C1272" s="8" t="inlineStr">
        <is>
          <t>essuie-optique — avant</t>
        </is>
      </c>
      <c r="D1272" s="8" t="inlineStr">
        <is>
          <t>Observation</t>
        </is>
      </c>
      <c r="E1272" s="8" t="inlineStr">
        <is>
          <t>Observation</t>
        </is>
      </c>
      <c r="F1272" s="8" t="inlineStr">
        <is>
          <t>EQUIPEMENT_VEHICULE</t>
        </is>
      </c>
      <c r="G1272" s="8" t="inlineStr">
        <is>
          <t>unité</t>
        </is>
      </c>
      <c r="H1272" s="8" t="inlineStr">
        <is>
          <t>LARGE</t>
        </is>
      </c>
      <c r="I1272" s="8" t="n">
        <v>0</v>
      </c>
      <c r="J1272" s="8" t="inlineStr">
        <is>
          <t>F-02-04</t>
        </is>
      </c>
      <c r="K1272" s="8" t="inlineStr"/>
      <c r="L1272" s="10" t="n">
        <v>0</v>
      </c>
      <c r="M1272" s="10" t="n">
        <v>0</v>
      </c>
      <c r="N1272" s="10" t="n">
        <v>41</v>
      </c>
      <c r="O1272" s="8" t="inlineStr">
        <is>
          <t>VAL</t>
        </is>
      </c>
      <c r="P1272" s="8" t="inlineStr">
        <is>
          <t>STANDARD</t>
        </is>
      </c>
      <c r="Q1272" s="8" t="inlineStr">
        <is>
          <t>WHAP</t>
        </is>
      </c>
      <c r="R1272" s="8" t="inlineStr">
        <is>
          <t>OUI</t>
        </is>
      </c>
      <c r="S1272" s="8" t="inlineStr">
        <is>
          <t>31/08/2026 02:59</t>
        </is>
      </c>
    </row>
    <row r="1273">
      <c r="A1273" s="7" t="inlineStr">
        <is>
          <t>WHAP-1269</t>
        </is>
      </c>
      <c r="B1273" s="7" t="inlineStr">
        <is>
          <t>OBS-1269</t>
        </is>
      </c>
      <c r="C1273" s="7" t="inlineStr">
        <is>
          <t>chauffage optique — avant</t>
        </is>
      </c>
      <c r="D1273" s="7" t="inlineStr">
        <is>
          <t>Observation</t>
        </is>
      </c>
      <c r="E1273" s="7" t="inlineStr">
        <is>
          <t>Observation</t>
        </is>
      </c>
      <c r="F1273" s="7" t="inlineStr">
        <is>
          <t>EQUIPEMENT_VEHICULE</t>
        </is>
      </c>
      <c r="G1273" s="7" t="inlineStr">
        <is>
          <t>unité</t>
        </is>
      </c>
      <c r="H1273" s="7" t="inlineStr">
        <is>
          <t>LARGE</t>
        </is>
      </c>
      <c r="I1273" s="7" t="n">
        <v>0</v>
      </c>
      <c r="J1273" s="7" t="inlineStr">
        <is>
          <t>C-01-03</t>
        </is>
      </c>
      <c r="K1273" s="7" t="inlineStr"/>
      <c r="L1273" s="9" t="n">
        <v>0</v>
      </c>
      <c r="M1273" s="9" t="n">
        <v>0</v>
      </c>
      <c r="N1273" s="9" t="n">
        <v>40</v>
      </c>
      <c r="O1273" s="7" t="inlineStr">
        <is>
          <t>HEL</t>
        </is>
      </c>
      <c r="P1273" s="7" t="inlineStr">
        <is>
          <t>STANDARD</t>
        </is>
      </c>
      <c r="Q1273" s="7" t="inlineStr">
        <is>
          <t>WHAP</t>
        </is>
      </c>
      <c r="R1273" s="7" t="inlineStr">
        <is>
          <t>OUI</t>
        </is>
      </c>
      <c r="S1273" s="7" t="inlineStr">
        <is>
          <t>31/08/2026 02:59</t>
        </is>
      </c>
    </row>
    <row r="1274">
      <c r="A1274" s="8" t="inlineStr">
        <is>
          <t>WHAP-1270</t>
        </is>
      </c>
      <c r="B1274" s="8" t="inlineStr">
        <is>
          <t>OBS-1270</t>
        </is>
      </c>
      <c r="C1274" s="8" t="inlineStr">
        <is>
          <t>capteur luminosité — avant</t>
        </is>
      </c>
      <c r="D1274" s="8" t="inlineStr">
        <is>
          <t>Observation</t>
        </is>
      </c>
      <c r="E1274" s="8" t="inlineStr">
        <is>
          <t>Observation</t>
        </is>
      </c>
      <c r="F1274" s="8" t="inlineStr">
        <is>
          <t>EQUIPEMENT_VEHICULE</t>
        </is>
      </c>
      <c r="G1274" s="8" t="inlineStr">
        <is>
          <t>unité</t>
        </is>
      </c>
      <c r="H1274" s="8" t="inlineStr">
        <is>
          <t>LARGE</t>
        </is>
      </c>
      <c r="I1274" s="8" t="n">
        <v>0</v>
      </c>
      <c r="J1274" s="8" t="inlineStr">
        <is>
          <t>F-01-04</t>
        </is>
      </c>
      <c r="K1274" s="8" t="inlineStr"/>
      <c r="L1274" s="10" t="n">
        <v>0</v>
      </c>
      <c r="M1274" s="10" t="n">
        <v>0</v>
      </c>
      <c r="N1274" s="10" t="n">
        <v>44</v>
      </c>
      <c r="O1274" s="8" t="inlineStr">
        <is>
          <t>SKF</t>
        </is>
      </c>
      <c r="P1274" s="8" t="inlineStr">
        <is>
          <t>STANDARD</t>
        </is>
      </c>
      <c r="Q1274" s="8" t="inlineStr">
        <is>
          <t>WHAP</t>
        </is>
      </c>
      <c r="R1274" s="8" t="inlineStr">
        <is>
          <t>OUI</t>
        </is>
      </c>
      <c r="S1274" s="8" t="inlineStr">
        <is>
          <t>31/08/2026 02:59</t>
        </is>
      </c>
    </row>
    <row r="1275">
      <c r="A1275" s="7" t="inlineStr">
        <is>
          <t>WHAP-1271</t>
        </is>
      </c>
      <c r="B1275" s="7" t="inlineStr">
        <is>
          <t>OBS-1271</t>
        </is>
      </c>
      <c r="C1275" s="7" t="inlineStr">
        <is>
          <t>périscope — arrière</t>
        </is>
      </c>
      <c r="D1275" s="7" t="inlineStr">
        <is>
          <t>Observation</t>
        </is>
      </c>
      <c r="E1275" s="7" t="inlineStr">
        <is>
          <t>Observation</t>
        </is>
      </c>
      <c r="F1275" s="7" t="inlineStr">
        <is>
          <t>EQUIPEMENT_VEHICULE</t>
        </is>
      </c>
      <c r="G1275" s="7" t="inlineStr">
        <is>
          <t>unité</t>
        </is>
      </c>
      <c r="H1275" s="7" t="inlineStr">
        <is>
          <t>LARGE</t>
        </is>
      </c>
      <c r="I1275" s="7" t="n">
        <v>0</v>
      </c>
      <c r="J1275" s="7" t="inlineStr">
        <is>
          <t>A-01-01</t>
        </is>
      </c>
      <c r="K1275" s="7" t="inlineStr"/>
      <c r="L1275" s="9" t="n">
        <v>0</v>
      </c>
      <c r="M1275" s="9" t="n">
        <v>0</v>
      </c>
      <c r="N1275" s="9" t="n">
        <v>49</v>
      </c>
      <c r="O1275" s="7" t="inlineStr">
        <is>
          <t>MAG</t>
        </is>
      </c>
      <c r="P1275" s="7" t="inlineStr">
        <is>
          <t>STANDARD</t>
        </is>
      </c>
      <c r="Q1275" s="7" t="inlineStr">
        <is>
          <t>WHAP</t>
        </is>
      </c>
      <c r="R1275" s="7" t="inlineStr">
        <is>
          <t>OUI</t>
        </is>
      </c>
      <c r="S1275" s="7" t="inlineStr">
        <is>
          <t>31/08/2026 02:59</t>
        </is>
      </c>
    </row>
    <row r="1276">
      <c r="A1276" s="8" t="inlineStr">
        <is>
          <t>WHAP-1272</t>
        </is>
      </c>
      <c r="B1276" s="8" t="inlineStr">
        <is>
          <t>OBS-1272</t>
        </is>
      </c>
      <c r="C1276" s="8" t="inlineStr">
        <is>
          <t>bloc optique — arrière</t>
        </is>
      </c>
      <c r="D1276" s="8" t="inlineStr">
        <is>
          <t>Observation</t>
        </is>
      </c>
      <c r="E1276" s="8" t="inlineStr">
        <is>
          <t>Observation</t>
        </is>
      </c>
      <c r="F1276" s="8" t="inlineStr">
        <is>
          <t>EQUIPEMENT_VEHICULE</t>
        </is>
      </c>
      <c r="G1276" s="8" t="inlineStr">
        <is>
          <t>unité</t>
        </is>
      </c>
      <c r="H1276" s="8" t="inlineStr">
        <is>
          <t>LARGE</t>
        </is>
      </c>
      <c r="I1276" s="8" t="n">
        <v>0</v>
      </c>
      <c r="J1276" s="8" t="inlineStr">
        <is>
          <t>E-02-03</t>
        </is>
      </c>
      <c r="K1276" s="8" t="inlineStr"/>
      <c r="L1276" s="10" t="n">
        <v>0</v>
      </c>
      <c r="M1276" s="10" t="n">
        <v>0</v>
      </c>
      <c r="N1276" s="10" t="n">
        <v>44</v>
      </c>
      <c r="O1276" s="8" t="inlineStr">
        <is>
          <t>DEL</t>
        </is>
      </c>
      <c r="P1276" s="8" t="inlineStr">
        <is>
          <t>STANDARD</t>
        </is>
      </c>
      <c r="Q1276" s="8" t="inlineStr">
        <is>
          <t>WHAP</t>
        </is>
      </c>
      <c r="R1276" s="8" t="inlineStr">
        <is>
          <t>OUI</t>
        </is>
      </c>
      <c r="S1276" s="8" t="inlineStr">
        <is>
          <t>31/08/2026 02:59</t>
        </is>
      </c>
    </row>
    <row r="1277">
      <c r="A1277" s="7" t="inlineStr">
        <is>
          <t>WHAP-1273</t>
        </is>
      </c>
      <c r="B1277" s="7" t="inlineStr">
        <is>
          <t>OBS-1273</t>
        </is>
      </c>
      <c r="C1277" s="7" t="inlineStr">
        <is>
          <t>viseur conducteur — arrière</t>
        </is>
      </c>
      <c r="D1277" s="7" t="inlineStr">
        <is>
          <t>Observation</t>
        </is>
      </c>
      <c r="E1277" s="7" t="inlineStr">
        <is>
          <t>Observation</t>
        </is>
      </c>
      <c r="F1277" s="7" t="inlineStr">
        <is>
          <t>EQUIPEMENT_VEHICULE</t>
        </is>
      </c>
      <c r="G1277" s="7" t="inlineStr">
        <is>
          <t>unité</t>
        </is>
      </c>
      <c r="H1277" s="7" t="inlineStr">
        <is>
          <t>LARGE</t>
        </is>
      </c>
      <c r="I1277" s="7" t="n">
        <v>0</v>
      </c>
      <c r="J1277" s="7" t="inlineStr">
        <is>
          <t>D-05-03</t>
        </is>
      </c>
      <c r="K1277" s="7" t="inlineStr"/>
      <c r="L1277" s="9" t="n">
        <v>0</v>
      </c>
      <c r="M1277" s="9" t="n">
        <v>0</v>
      </c>
      <c r="N1277" s="9" t="n">
        <v>43</v>
      </c>
      <c r="O1277" s="7" t="inlineStr">
        <is>
          <t>FAU</t>
        </is>
      </c>
      <c r="P1277" s="7" t="inlineStr">
        <is>
          <t>STANDARD</t>
        </is>
      </c>
      <c r="Q1277" s="7" t="inlineStr">
        <is>
          <t>WHAP</t>
        </is>
      </c>
      <c r="R1277" s="7" t="inlineStr">
        <is>
          <t>OUI</t>
        </is>
      </c>
      <c r="S1277" s="7" t="inlineStr">
        <is>
          <t>31/08/2026 02:59</t>
        </is>
      </c>
    </row>
    <row r="1278">
      <c r="A1278" s="8" t="inlineStr">
        <is>
          <t>WHAP-1274</t>
        </is>
      </c>
      <c r="B1278" s="8" t="inlineStr">
        <is>
          <t>OBS-1274</t>
        </is>
      </c>
      <c r="C1278" s="8" t="inlineStr">
        <is>
          <t>caméra avant — arrière</t>
        </is>
      </c>
      <c r="D1278" s="8" t="inlineStr">
        <is>
          <t>Observation</t>
        </is>
      </c>
      <c r="E1278" s="8" t="inlineStr">
        <is>
          <t>Observation</t>
        </is>
      </c>
      <c r="F1278" s="8" t="inlineStr">
        <is>
          <t>EQUIPEMENT_VEHICULE</t>
        </is>
      </c>
      <c r="G1278" s="8" t="inlineStr">
        <is>
          <t>unité</t>
        </is>
      </c>
      <c r="H1278" s="8" t="inlineStr">
        <is>
          <t>LARGE</t>
        </is>
      </c>
      <c r="I1278" s="8" t="n">
        <v>0</v>
      </c>
      <c r="J1278" s="8" t="inlineStr">
        <is>
          <t>A-03-01</t>
        </is>
      </c>
      <c r="K1278" s="8" t="inlineStr"/>
      <c r="L1278" s="10" t="n">
        <v>0</v>
      </c>
      <c r="M1278" s="10" t="n">
        <v>0</v>
      </c>
      <c r="N1278" s="10" t="n">
        <v>42</v>
      </c>
      <c r="O1278" s="8" t="inlineStr">
        <is>
          <t>SUM</t>
        </is>
      </c>
      <c r="P1278" s="8" t="inlineStr">
        <is>
          <t>STANDARD</t>
        </is>
      </c>
      <c r="Q1278" s="8" t="inlineStr">
        <is>
          <t>WHAP</t>
        </is>
      </c>
      <c r="R1278" s="8" t="inlineStr">
        <is>
          <t>OUI</t>
        </is>
      </c>
      <c r="S1278" s="8" t="inlineStr">
        <is>
          <t>31/08/2026 02:59</t>
        </is>
      </c>
    </row>
    <row r="1279">
      <c r="A1279" s="7" t="inlineStr">
        <is>
          <t>WHAP-1275</t>
        </is>
      </c>
      <c r="B1279" s="7" t="inlineStr">
        <is>
          <t>OBS-1275</t>
        </is>
      </c>
      <c r="C1279" s="7" t="inlineStr">
        <is>
          <t>caméra arrière — arrière</t>
        </is>
      </c>
      <c r="D1279" s="7" t="inlineStr">
        <is>
          <t>Observation</t>
        </is>
      </c>
      <c r="E1279" s="7" t="inlineStr">
        <is>
          <t>Observation</t>
        </is>
      </c>
      <c r="F1279" s="7" t="inlineStr">
        <is>
          <t>EQUIPEMENT_VEHICULE</t>
        </is>
      </c>
      <c r="G1279" s="7" t="inlineStr">
        <is>
          <t>unité</t>
        </is>
      </c>
      <c r="H1279" s="7" t="inlineStr">
        <is>
          <t>LARGE</t>
        </is>
      </c>
      <c r="I1279" s="7" t="n">
        <v>0</v>
      </c>
      <c r="J1279" s="7" t="inlineStr">
        <is>
          <t>E-01-01</t>
        </is>
      </c>
      <c r="K1279" s="7" t="inlineStr"/>
      <c r="L1279" s="9" t="n">
        <v>0</v>
      </c>
      <c r="M1279" s="9" t="n">
        <v>0</v>
      </c>
      <c r="N1279" s="9" t="n">
        <v>44</v>
      </c>
      <c r="O1279" s="7" t="inlineStr">
        <is>
          <t>DEL</t>
        </is>
      </c>
      <c r="P1279" s="7" t="inlineStr">
        <is>
          <t>STANDARD</t>
        </is>
      </c>
      <c r="Q1279" s="7" t="inlineStr">
        <is>
          <t>WHAP</t>
        </is>
      </c>
      <c r="R1279" s="7" t="inlineStr">
        <is>
          <t>OUI</t>
        </is>
      </c>
      <c r="S1279" s="7" t="inlineStr">
        <is>
          <t>31/08/2026 02:59</t>
        </is>
      </c>
    </row>
    <row r="1280">
      <c r="A1280" s="8" t="inlineStr">
        <is>
          <t>WHAP-1276</t>
        </is>
      </c>
      <c r="B1280" s="8" t="inlineStr">
        <is>
          <t>OBS-1276</t>
        </is>
      </c>
      <c r="C1280" s="8" t="inlineStr">
        <is>
          <t>caméra latérale — arrière</t>
        </is>
      </c>
      <c r="D1280" s="8" t="inlineStr">
        <is>
          <t>Observation</t>
        </is>
      </c>
      <c r="E1280" s="8" t="inlineStr">
        <is>
          <t>Observation</t>
        </is>
      </c>
      <c r="F1280" s="8" t="inlineStr">
        <is>
          <t>EQUIPEMENT_VEHICULE</t>
        </is>
      </c>
      <c r="G1280" s="8" t="inlineStr">
        <is>
          <t>unité</t>
        </is>
      </c>
      <c r="H1280" s="8" t="inlineStr">
        <is>
          <t>LARGE</t>
        </is>
      </c>
      <c r="I1280" s="8" t="n">
        <v>0</v>
      </c>
      <c r="J1280" s="8" t="inlineStr">
        <is>
          <t>B-02-04</t>
        </is>
      </c>
      <c r="K1280" s="8" t="inlineStr"/>
      <c r="L1280" s="10" t="n">
        <v>0</v>
      </c>
      <c r="M1280" s="10" t="n">
        <v>0</v>
      </c>
      <c r="N1280" s="10" t="n">
        <v>50</v>
      </c>
      <c r="O1280" s="8" t="inlineStr">
        <is>
          <t>VAL</t>
        </is>
      </c>
      <c r="P1280" s="8" t="inlineStr">
        <is>
          <t>STANDARD</t>
        </is>
      </c>
      <c r="Q1280" s="8" t="inlineStr">
        <is>
          <t>WHAP</t>
        </is>
      </c>
      <c r="R1280" s="8" t="inlineStr">
        <is>
          <t>OUI</t>
        </is>
      </c>
      <c r="S1280" s="8" t="inlineStr">
        <is>
          <t>31/08/2026 02:59</t>
        </is>
      </c>
    </row>
    <row r="1281">
      <c r="A1281" s="7" t="inlineStr">
        <is>
          <t>WHAP-1277</t>
        </is>
      </c>
      <c r="B1281" s="7" t="inlineStr">
        <is>
          <t>OBS-1277</t>
        </is>
      </c>
      <c r="C1281" s="7" t="inlineStr">
        <is>
          <t>caméra thermique — arrière</t>
        </is>
      </c>
      <c r="D1281" s="7" t="inlineStr">
        <is>
          <t>Observation</t>
        </is>
      </c>
      <c r="E1281" s="7" t="inlineStr">
        <is>
          <t>Observation</t>
        </is>
      </c>
      <c r="F1281" s="7" t="inlineStr">
        <is>
          <t>EQUIPEMENT_VEHICULE</t>
        </is>
      </c>
      <c r="G1281" s="7" t="inlineStr">
        <is>
          <t>unité</t>
        </is>
      </c>
      <c r="H1281" s="7" t="inlineStr">
        <is>
          <t>LARGE</t>
        </is>
      </c>
      <c r="I1281" s="7" t="n">
        <v>0</v>
      </c>
      <c r="J1281" s="7" t="inlineStr">
        <is>
          <t>C-04-02</t>
        </is>
      </c>
      <c r="K1281" s="7" t="inlineStr"/>
      <c r="L1281" s="9" t="n">
        <v>0</v>
      </c>
      <c r="M1281" s="9" t="n">
        <v>0</v>
      </c>
      <c r="N1281" s="9" t="n">
        <v>47</v>
      </c>
      <c r="O1281" s="7" t="inlineStr">
        <is>
          <t>SUM</t>
        </is>
      </c>
      <c r="P1281" s="7" t="inlineStr">
        <is>
          <t>STANDARD</t>
        </is>
      </c>
      <c r="Q1281" s="7" t="inlineStr">
        <is>
          <t>WHAP</t>
        </is>
      </c>
      <c r="R1281" s="7" t="inlineStr">
        <is>
          <t>OUI</t>
        </is>
      </c>
      <c r="S1281" s="7" t="inlineStr">
        <is>
          <t>31/08/2026 02:59</t>
        </is>
      </c>
    </row>
    <row r="1282">
      <c r="A1282" s="8" t="inlineStr">
        <is>
          <t>WHAP-1278</t>
        </is>
      </c>
      <c r="B1282" s="8" t="inlineStr">
        <is>
          <t>OBS-1278</t>
        </is>
      </c>
      <c r="C1282" s="8" t="inlineStr">
        <is>
          <t>module infrarouge — arrière</t>
        </is>
      </c>
      <c r="D1282" s="8" t="inlineStr">
        <is>
          <t>Observation</t>
        </is>
      </c>
      <c r="E1282" s="8" t="inlineStr">
        <is>
          <t>Observation</t>
        </is>
      </c>
      <c r="F1282" s="8" t="inlineStr">
        <is>
          <t>EQUIPEMENT_VEHICULE</t>
        </is>
      </c>
      <c r="G1282" s="8" t="inlineStr">
        <is>
          <t>unité</t>
        </is>
      </c>
      <c r="H1282" s="8" t="inlineStr">
        <is>
          <t>LARGE</t>
        </is>
      </c>
      <c r="I1282" s="8" t="n">
        <v>0</v>
      </c>
      <c r="J1282" s="8" t="inlineStr">
        <is>
          <t>F-06-03</t>
        </is>
      </c>
      <c r="K1282" s="8" t="inlineStr"/>
      <c r="L1282" s="10" t="n">
        <v>0</v>
      </c>
      <c r="M1282" s="10" t="n">
        <v>0</v>
      </c>
      <c r="N1282" s="10" t="n">
        <v>49</v>
      </c>
      <c r="O1282" s="8" t="inlineStr">
        <is>
          <t>YZK</t>
        </is>
      </c>
      <c r="P1282" s="8" t="inlineStr">
        <is>
          <t>STANDARD</t>
        </is>
      </c>
      <c r="Q1282" s="8" t="inlineStr">
        <is>
          <t>WHAP</t>
        </is>
      </c>
      <c r="R1282" s="8" t="inlineStr">
        <is>
          <t>OUI</t>
        </is>
      </c>
      <c r="S1282" s="8" t="inlineStr">
        <is>
          <t>31/08/2026 02:59</t>
        </is>
      </c>
    </row>
    <row r="1283">
      <c r="A1283" s="7" t="inlineStr">
        <is>
          <t>WHAP-1279</t>
        </is>
      </c>
      <c r="B1283" s="7" t="inlineStr">
        <is>
          <t>OBS-1279</t>
        </is>
      </c>
      <c r="C1283" s="7" t="inlineStr">
        <is>
          <t>écran caméra — arrière</t>
        </is>
      </c>
      <c r="D1283" s="7" t="inlineStr">
        <is>
          <t>Observation</t>
        </is>
      </c>
      <c r="E1283" s="7" t="inlineStr">
        <is>
          <t>Observation</t>
        </is>
      </c>
      <c r="F1283" s="7" t="inlineStr">
        <is>
          <t>EQUIPEMENT_VEHICULE</t>
        </is>
      </c>
      <c r="G1283" s="7" t="inlineStr">
        <is>
          <t>unité</t>
        </is>
      </c>
      <c r="H1283" s="7" t="inlineStr">
        <is>
          <t>LARGE</t>
        </is>
      </c>
      <c r="I1283" s="7" t="n">
        <v>0</v>
      </c>
      <c r="J1283" s="7" t="inlineStr">
        <is>
          <t>D-05-04</t>
        </is>
      </c>
      <c r="K1283" s="7" t="inlineStr"/>
      <c r="L1283" s="9" t="n">
        <v>0</v>
      </c>
      <c r="M1283" s="9" t="n">
        <v>0</v>
      </c>
      <c r="N1283" s="9" t="n">
        <v>49</v>
      </c>
      <c r="O1283" s="7" t="inlineStr">
        <is>
          <t>SKF</t>
        </is>
      </c>
      <c r="P1283" s="7" t="inlineStr">
        <is>
          <t>STANDARD</t>
        </is>
      </c>
      <c r="Q1283" s="7" t="inlineStr">
        <is>
          <t>WHAP</t>
        </is>
      </c>
      <c r="R1283" s="7" t="inlineStr">
        <is>
          <t>OUI</t>
        </is>
      </c>
      <c r="S1283" s="7" t="inlineStr">
        <is>
          <t>31/08/2026 02:59</t>
        </is>
      </c>
    </row>
    <row r="1284">
      <c r="A1284" s="8" t="inlineStr">
        <is>
          <t>WHAP-1280</t>
        </is>
      </c>
      <c r="B1284" s="8" t="inlineStr">
        <is>
          <t>OBS-1280</t>
        </is>
      </c>
      <c r="C1284" s="8" t="inlineStr">
        <is>
          <t>unité de traitement vidéo — arrière</t>
        </is>
      </c>
      <c r="D1284" s="8" t="inlineStr">
        <is>
          <t>Observation</t>
        </is>
      </c>
      <c r="E1284" s="8" t="inlineStr">
        <is>
          <t>Observation</t>
        </is>
      </c>
      <c r="F1284" s="8" t="inlineStr">
        <is>
          <t>EQUIPEMENT_VEHICULE</t>
        </is>
      </c>
      <c r="G1284" s="8" t="inlineStr">
        <is>
          <t>unité</t>
        </is>
      </c>
      <c r="H1284" s="8" t="inlineStr">
        <is>
          <t>LARGE</t>
        </is>
      </c>
      <c r="I1284" s="8" t="n">
        <v>0</v>
      </c>
      <c r="J1284" s="8" t="inlineStr">
        <is>
          <t>B-03-02</t>
        </is>
      </c>
      <c r="K1284" s="8" t="inlineStr"/>
      <c r="L1284" s="10" t="n">
        <v>0</v>
      </c>
      <c r="M1284" s="10" t="n">
        <v>0</v>
      </c>
      <c r="N1284" s="10" t="n">
        <v>50</v>
      </c>
      <c r="O1284" s="8" t="inlineStr">
        <is>
          <t>SKF</t>
        </is>
      </c>
      <c r="P1284" s="8" t="inlineStr">
        <is>
          <t>STANDARD</t>
        </is>
      </c>
      <c r="Q1284" s="8" t="inlineStr">
        <is>
          <t>WHAP</t>
        </is>
      </c>
      <c r="R1284" s="8" t="inlineStr">
        <is>
          <t>OUI</t>
        </is>
      </c>
      <c r="S1284" s="8" t="inlineStr">
        <is>
          <t>31/08/2026 02:59</t>
        </is>
      </c>
    </row>
    <row r="1285">
      <c r="A1285" s="7" t="inlineStr">
        <is>
          <t>WHAP-1281</t>
        </is>
      </c>
      <c r="B1285" s="7" t="inlineStr">
        <is>
          <t>OBS-1281</t>
        </is>
      </c>
      <c r="C1285" s="7" t="inlineStr">
        <is>
          <t>câble vidéo — arrière</t>
        </is>
      </c>
      <c r="D1285" s="7" t="inlineStr">
        <is>
          <t>Observation</t>
        </is>
      </c>
      <c r="E1285" s="7" t="inlineStr">
        <is>
          <t>Observation</t>
        </is>
      </c>
      <c r="F1285" s="7" t="inlineStr">
        <is>
          <t>EQUIPEMENT_VEHICULE</t>
        </is>
      </c>
      <c r="G1285" s="7" t="inlineStr">
        <is>
          <t>unité</t>
        </is>
      </c>
      <c r="H1285" s="7" t="inlineStr">
        <is>
          <t>LARGE</t>
        </is>
      </c>
      <c r="I1285" s="7" t="n">
        <v>0</v>
      </c>
      <c r="J1285" s="7" t="inlineStr">
        <is>
          <t>E-03-02</t>
        </is>
      </c>
      <c r="K1285" s="7" t="inlineStr"/>
      <c r="L1285" s="9" t="n">
        <v>0</v>
      </c>
      <c r="M1285" s="9" t="n">
        <v>0</v>
      </c>
      <c r="N1285" s="9" t="n">
        <v>43</v>
      </c>
      <c r="O1285" s="7" t="inlineStr">
        <is>
          <t>BOS</t>
        </is>
      </c>
      <c r="P1285" s="7" t="inlineStr">
        <is>
          <t>STANDARD</t>
        </is>
      </c>
      <c r="Q1285" s="7" t="inlineStr">
        <is>
          <t>WHAP</t>
        </is>
      </c>
      <c r="R1285" s="7" t="inlineStr">
        <is>
          <t>OUI</t>
        </is>
      </c>
      <c r="S1285" s="7" t="inlineStr">
        <is>
          <t>31/08/2026 02:59</t>
        </is>
      </c>
    </row>
    <row r="1286">
      <c r="A1286" s="8" t="inlineStr">
        <is>
          <t>WHAP-1282</t>
        </is>
      </c>
      <c r="B1286" s="8" t="inlineStr">
        <is>
          <t>OBS-1282</t>
        </is>
      </c>
      <c r="C1286" s="8" t="inlineStr">
        <is>
          <t>connecteur vidéo — arrière</t>
        </is>
      </c>
      <c r="D1286" s="8" t="inlineStr">
        <is>
          <t>Observation</t>
        </is>
      </c>
      <c r="E1286" s="8" t="inlineStr">
        <is>
          <t>Observation</t>
        </is>
      </c>
      <c r="F1286" s="8" t="inlineStr">
        <is>
          <t>EQUIPEMENT_VEHICULE</t>
        </is>
      </c>
      <c r="G1286" s="8" t="inlineStr">
        <is>
          <t>unité</t>
        </is>
      </c>
      <c r="H1286" s="8" t="inlineStr">
        <is>
          <t>LARGE</t>
        </is>
      </c>
      <c r="I1286" s="8" t="n">
        <v>0</v>
      </c>
      <c r="J1286" s="8" t="inlineStr">
        <is>
          <t>B-03-02</t>
        </is>
      </c>
      <c r="K1286" s="8" t="inlineStr"/>
      <c r="L1286" s="10" t="n">
        <v>0</v>
      </c>
      <c r="M1286" s="10" t="n">
        <v>0</v>
      </c>
      <c r="N1286" s="10" t="n">
        <v>50</v>
      </c>
      <c r="O1286" s="8" t="inlineStr">
        <is>
          <t>VAL</t>
        </is>
      </c>
      <c r="P1286" s="8" t="inlineStr">
        <is>
          <t>STANDARD</t>
        </is>
      </c>
      <c r="Q1286" s="8" t="inlineStr">
        <is>
          <t>WHAP</t>
        </is>
      </c>
      <c r="R1286" s="8" t="inlineStr">
        <is>
          <t>OUI</t>
        </is>
      </c>
      <c r="S1286" s="8" t="inlineStr">
        <is>
          <t>31/08/2026 02:59</t>
        </is>
      </c>
    </row>
    <row r="1287">
      <c r="A1287" s="7" t="inlineStr">
        <is>
          <t>WHAP-1283</t>
        </is>
      </c>
      <c r="B1287" s="7" t="inlineStr">
        <is>
          <t>OBS-1283</t>
        </is>
      </c>
      <c r="C1287" s="7" t="inlineStr">
        <is>
          <t>support caméra — arrière</t>
        </is>
      </c>
      <c r="D1287" s="7" t="inlineStr">
        <is>
          <t>Observation</t>
        </is>
      </c>
      <c r="E1287" s="7" t="inlineStr">
        <is>
          <t>Observation</t>
        </is>
      </c>
      <c r="F1287" s="7" t="inlineStr">
        <is>
          <t>EQUIPEMENT_VEHICULE</t>
        </is>
      </c>
      <c r="G1287" s="7" t="inlineStr">
        <is>
          <t>unité</t>
        </is>
      </c>
      <c r="H1287" s="7" t="inlineStr">
        <is>
          <t>LARGE</t>
        </is>
      </c>
      <c r="I1287" s="7" t="n">
        <v>0</v>
      </c>
      <c r="J1287" s="7" t="inlineStr">
        <is>
          <t>E-05-02</t>
        </is>
      </c>
      <c r="K1287" s="7" t="inlineStr"/>
      <c r="L1287" s="9" t="n">
        <v>0</v>
      </c>
      <c r="M1287" s="9" t="n">
        <v>0</v>
      </c>
      <c r="N1287" s="9" t="n">
        <v>40</v>
      </c>
      <c r="O1287" s="7" t="inlineStr">
        <is>
          <t>BOS</t>
        </is>
      </c>
      <c r="P1287" s="7" t="inlineStr">
        <is>
          <t>STANDARD</t>
        </is>
      </c>
      <c r="Q1287" s="7" t="inlineStr">
        <is>
          <t>WHAP</t>
        </is>
      </c>
      <c r="R1287" s="7" t="inlineStr">
        <is>
          <t>OUI</t>
        </is>
      </c>
      <c r="S1287" s="7" t="inlineStr">
        <is>
          <t>31/08/2026 02:59</t>
        </is>
      </c>
    </row>
    <row r="1288">
      <c r="A1288" s="8" t="inlineStr">
        <is>
          <t>WHAP-1284</t>
        </is>
      </c>
      <c r="B1288" s="8" t="inlineStr">
        <is>
          <t>OBS-1284</t>
        </is>
      </c>
      <c r="C1288" s="8" t="inlineStr">
        <is>
          <t>capot caméra — arrière</t>
        </is>
      </c>
      <c r="D1288" s="8" t="inlineStr">
        <is>
          <t>Observation</t>
        </is>
      </c>
      <c r="E1288" s="8" t="inlineStr">
        <is>
          <t>Observation</t>
        </is>
      </c>
      <c r="F1288" s="8" t="inlineStr">
        <is>
          <t>EQUIPEMENT_VEHICULE</t>
        </is>
      </c>
      <c r="G1288" s="8" t="inlineStr">
        <is>
          <t>unité</t>
        </is>
      </c>
      <c r="H1288" s="8" t="inlineStr">
        <is>
          <t>LARGE</t>
        </is>
      </c>
      <c r="I1288" s="8" t="n">
        <v>0</v>
      </c>
      <c r="J1288" s="8" t="inlineStr">
        <is>
          <t>F-01-04</t>
        </is>
      </c>
      <c r="K1288" s="8" t="inlineStr"/>
      <c r="L1288" s="10" t="n">
        <v>0</v>
      </c>
      <c r="M1288" s="10" t="n">
        <v>0</v>
      </c>
      <c r="N1288" s="10" t="n">
        <v>46</v>
      </c>
      <c r="O1288" s="8" t="inlineStr">
        <is>
          <t>YZK</t>
        </is>
      </c>
      <c r="P1288" s="8" t="inlineStr">
        <is>
          <t>STANDARD</t>
        </is>
      </c>
      <c r="Q1288" s="8" t="inlineStr">
        <is>
          <t>WHAP</t>
        </is>
      </c>
      <c r="R1288" s="8" t="inlineStr">
        <is>
          <t>OUI</t>
        </is>
      </c>
      <c r="S1288" s="8" t="inlineStr">
        <is>
          <t>31/08/2026 02:59</t>
        </is>
      </c>
    </row>
    <row r="1289">
      <c r="A1289" s="7" t="inlineStr">
        <is>
          <t>WHAP-1285</t>
        </is>
      </c>
      <c r="B1289" s="7" t="inlineStr">
        <is>
          <t>OBS-1285</t>
        </is>
      </c>
      <c r="C1289" s="7" t="inlineStr">
        <is>
          <t>essuie-optique — arrière</t>
        </is>
      </c>
      <c r="D1289" s="7" t="inlineStr">
        <is>
          <t>Observation</t>
        </is>
      </c>
      <c r="E1289" s="7" t="inlineStr">
        <is>
          <t>Observation</t>
        </is>
      </c>
      <c r="F1289" s="7" t="inlineStr">
        <is>
          <t>EQUIPEMENT_VEHICULE</t>
        </is>
      </c>
      <c r="G1289" s="7" t="inlineStr">
        <is>
          <t>unité</t>
        </is>
      </c>
      <c r="H1289" s="7" t="inlineStr">
        <is>
          <t>LARGE</t>
        </is>
      </c>
      <c r="I1289" s="7" t="n">
        <v>0</v>
      </c>
      <c r="J1289" s="7" t="inlineStr">
        <is>
          <t>E-05-04</t>
        </is>
      </c>
      <c r="K1289" s="7" t="inlineStr"/>
      <c r="L1289" s="9" t="n">
        <v>0</v>
      </c>
      <c r="M1289" s="9" t="n">
        <v>0</v>
      </c>
      <c r="N1289" s="9" t="n">
        <v>49</v>
      </c>
      <c r="O1289" s="7" t="inlineStr">
        <is>
          <t>BOS</t>
        </is>
      </c>
      <c r="P1289" s="7" t="inlineStr">
        <is>
          <t>STANDARD</t>
        </is>
      </c>
      <c r="Q1289" s="7" t="inlineStr">
        <is>
          <t>WHAP</t>
        </is>
      </c>
      <c r="R1289" s="7" t="inlineStr">
        <is>
          <t>OUI</t>
        </is>
      </c>
      <c r="S1289" s="7" t="inlineStr">
        <is>
          <t>31/08/2026 02:59</t>
        </is>
      </c>
    </row>
    <row r="1290">
      <c r="A1290" s="8" t="inlineStr">
        <is>
          <t>WHAP-1286</t>
        </is>
      </c>
      <c r="B1290" s="8" t="inlineStr">
        <is>
          <t>OBS-1286</t>
        </is>
      </c>
      <c r="C1290" s="8" t="inlineStr">
        <is>
          <t>chauffage optique — arrière</t>
        </is>
      </c>
      <c r="D1290" s="8" t="inlineStr">
        <is>
          <t>Observation</t>
        </is>
      </c>
      <c r="E1290" s="8" t="inlineStr">
        <is>
          <t>Observation</t>
        </is>
      </c>
      <c r="F1290" s="8" t="inlineStr">
        <is>
          <t>EQUIPEMENT_VEHICULE</t>
        </is>
      </c>
      <c r="G1290" s="8" t="inlineStr">
        <is>
          <t>unité</t>
        </is>
      </c>
      <c r="H1290" s="8" t="inlineStr">
        <is>
          <t>LARGE</t>
        </is>
      </c>
      <c r="I1290" s="8" t="n">
        <v>0</v>
      </c>
      <c r="J1290" s="8" t="inlineStr">
        <is>
          <t>E-05-02</t>
        </is>
      </c>
      <c r="K1290" s="8" t="inlineStr"/>
      <c r="L1290" s="10" t="n">
        <v>0</v>
      </c>
      <c r="M1290" s="10" t="n">
        <v>0</v>
      </c>
      <c r="N1290" s="10" t="n">
        <v>48</v>
      </c>
      <c r="O1290" s="8" t="inlineStr">
        <is>
          <t>MAG</t>
        </is>
      </c>
      <c r="P1290" s="8" t="inlineStr">
        <is>
          <t>STANDARD</t>
        </is>
      </c>
      <c r="Q1290" s="8" t="inlineStr">
        <is>
          <t>WHAP</t>
        </is>
      </c>
      <c r="R1290" s="8" t="inlineStr">
        <is>
          <t>OUI</t>
        </is>
      </c>
      <c r="S1290" s="8" t="inlineStr">
        <is>
          <t>31/08/2026 02:59</t>
        </is>
      </c>
    </row>
    <row r="1291">
      <c r="A1291" s="7" t="inlineStr">
        <is>
          <t>WHAP-1287</t>
        </is>
      </c>
      <c r="B1291" s="7" t="inlineStr">
        <is>
          <t>OBS-1287</t>
        </is>
      </c>
      <c r="C1291" s="7" t="inlineStr">
        <is>
          <t>capteur luminosité — arrière</t>
        </is>
      </c>
      <c r="D1291" s="7" t="inlineStr">
        <is>
          <t>Observation</t>
        </is>
      </c>
      <c r="E1291" s="7" t="inlineStr">
        <is>
          <t>Observation</t>
        </is>
      </c>
      <c r="F1291" s="7" t="inlineStr">
        <is>
          <t>EQUIPEMENT_VEHICULE</t>
        </is>
      </c>
      <c r="G1291" s="7" t="inlineStr">
        <is>
          <t>unité</t>
        </is>
      </c>
      <c r="H1291" s="7" t="inlineStr">
        <is>
          <t>LARGE</t>
        </is>
      </c>
      <c r="I1291" s="7" t="n">
        <v>0</v>
      </c>
      <c r="J1291" s="7" t="inlineStr">
        <is>
          <t>B-01-03</t>
        </is>
      </c>
      <c r="K1291" s="7" t="inlineStr"/>
      <c r="L1291" s="9" t="n">
        <v>0</v>
      </c>
      <c r="M1291" s="9" t="n">
        <v>0</v>
      </c>
      <c r="N1291" s="9" t="n">
        <v>41</v>
      </c>
      <c r="O1291" s="7" t="inlineStr">
        <is>
          <t>VAL</t>
        </is>
      </c>
      <c r="P1291" s="7" t="inlineStr">
        <is>
          <t>STANDARD</t>
        </is>
      </c>
      <c r="Q1291" s="7" t="inlineStr">
        <is>
          <t>WHAP</t>
        </is>
      </c>
      <c r="R1291" s="7" t="inlineStr">
        <is>
          <t>OUI</t>
        </is>
      </c>
      <c r="S1291" s="7" t="inlineStr">
        <is>
          <t>31/08/2026 02:59</t>
        </is>
      </c>
    </row>
    <row r="1292">
      <c r="A1292" s="8" t="inlineStr">
        <is>
          <t>WHAP-1288</t>
        </is>
      </c>
      <c r="B1292" s="8" t="inlineStr">
        <is>
          <t>OBS-1288</t>
        </is>
      </c>
      <c r="C1292" s="8" t="inlineStr">
        <is>
          <t>périscope — latéral gauche</t>
        </is>
      </c>
      <c r="D1292" s="8" t="inlineStr">
        <is>
          <t>Observation</t>
        </is>
      </c>
      <c r="E1292" s="8" t="inlineStr">
        <is>
          <t>Observation</t>
        </is>
      </c>
      <c r="F1292" s="8" t="inlineStr">
        <is>
          <t>EQUIPEMENT_VEHICULE</t>
        </is>
      </c>
      <c r="G1292" s="8" t="inlineStr">
        <is>
          <t>unité</t>
        </is>
      </c>
      <c r="H1292" s="8" t="inlineStr">
        <is>
          <t>LARGE</t>
        </is>
      </c>
      <c r="I1292" s="8" t="n">
        <v>0</v>
      </c>
      <c r="J1292" s="8" t="inlineStr">
        <is>
          <t>F-04-04</t>
        </is>
      </c>
      <c r="K1292" s="8" t="inlineStr"/>
      <c r="L1292" s="10" t="n">
        <v>0</v>
      </c>
      <c r="M1292" s="10" t="n">
        <v>0</v>
      </c>
      <c r="N1292" s="10" t="n">
        <v>47</v>
      </c>
      <c r="O1292" s="8" t="inlineStr">
        <is>
          <t>SKF</t>
        </is>
      </c>
      <c r="P1292" s="8" t="inlineStr">
        <is>
          <t>STANDARD</t>
        </is>
      </c>
      <c r="Q1292" s="8" t="inlineStr">
        <is>
          <t>WHAP</t>
        </is>
      </c>
      <c r="R1292" s="8" t="inlineStr">
        <is>
          <t>OUI</t>
        </is>
      </c>
      <c r="S1292" s="8" t="inlineStr">
        <is>
          <t>31/08/2026 02:59</t>
        </is>
      </c>
    </row>
    <row r="1293">
      <c r="A1293" s="7" t="inlineStr">
        <is>
          <t>WHAP-1289</t>
        </is>
      </c>
      <c r="B1293" s="7" t="inlineStr">
        <is>
          <t>OBS-1289</t>
        </is>
      </c>
      <c r="C1293" s="7" t="inlineStr">
        <is>
          <t>bloc optique — latéral gauche</t>
        </is>
      </c>
      <c r="D1293" s="7" t="inlineStr">
        <is>
          <t>Observation</t>
        </is>
      </c>
      <c r="E1293" s="7" t="inlineStr">
        <is>
          <t>Observation</t>
        </is>
      </c>
      <c r="F1293" s="7" t="inlineStr">
        <is>
          <t>EQUIPEMENT_VEHICULE</t>
        </is>
      </c>
      <c r="G1293" s="7" t="inlineStr">
        <is>
          <t>unité</t>
        </is>
      </c>
      <c r="H1293" s="7" t="inlineStr">
        <is>
          <t>LARGE</t>
        </is>
      </c>
      <c r="I1293" s="7" t="n">
        <v>0</v>
      </c>
      <c r="J1293" s="7" t="inlineStr">
        <is>
          <t>F-05-03</t>
        </is>
      </c>
      <c r="K1293" s="7" t="inlineStr"/>
      <c r="L1293" s="9" t="n">
        <v>0</v>
      </c>
      <c r="M1293" s="9" t="n">
        <v>0</v>
      </c>
      <c r="N1293" s="9" t="n">
        <v>46</v>
      </c>
      <c r="O1293" s="7" t="inlineStr">
        <is>
          <t>SKF</t>
        </is>
      </c>
      <c r="P1293" s="7" t="inlineStr">
        <is>
          <t>STANDARD</t>
        </is>
      </c>
      <c r="Q1293" s="7" t="inlineStr">
        <is>
          <t>WHAP</t>
        </is>
      </c>
      <c r="R1293" s="7" t="inlineStr">
        <is>
          <t>OUI</t>
        </is>
      </c>
      <c r="S1293" s="7" t="inlineStr">
        <is>
          <t>31/08/2026 02:59</t>
        </is>
      </c>
    </row>
    <row r="1294">
      <c r="A1294" s="8" t="inlineStr">
        <is>
          <t>WHAP-1290</t>
        </is>
      </c>
      <c r="B1294" s="8" t="inlineStr">
        <is>
          <t>OBS-1290</t>
        </is>
      </c>
      <c r="C1294" s="8" t="inlineStr">
        <is>
          <t>viseur conducteur — latéral gauche</t>
        </is>
      </c>
      <c r="D1294" s="8" t="inlineStr">
        <is>
          <t>Observation</t>
        </is>
      </c>
      <c r="E1294" s="8" t="inlineStr">
        <is>
          <t>Observation</t>
        </is>
      </c>
      <c r="F1294" s="8" t="inlineStr">
        <is>
          <t>EQUIPEMENT_VEHICULE</t>
        </is>
      </c>
      <c r="G1294" s="8" t="inlineStr">
        <is>
          <t>unité</t>
        </is>
      </c>
      <c r="H1294" s="8" t="inlineStr">
        <is>
          <t>LARGE</t>
        </is>
      </c>
      <c r="I1294" s="8" t="n">
        <v>0</v>
      </c>
      <c r="J1294" s="8" t="inlineStr">
        <is>
          <t>E-03-01</t>
        </is>
      </c>
      <c r="K1294" s="8" t="inlineStr"/>
      <c r="L1294" s="10" t="n">
        <v>0</v>
      </c>
      <c r="M1294" s="10" t="n">
        <v>0</v>
      </c>
      <c r="N1294" s="10" t="n">
        <v>50</v>
      </c>
      <c r="O1294" s="8" t="inlineStr">
        <is>
          <t>DEL</t>
        </is>
      </c>
      <c r="P1294" s="8" t="inlineStr">
        <is>
          <t>STANDARD</t>
        </is>
      </c>
      <c r="Q1294" s="8" t="inlineStr">
        <is>
          <t>WHAP</t>
        </is>
      </c>
      <c r="R1294" s="8" t="inlineStr">
        <is>
          <t>OUI</t>
        </is>
      </c>
      <c r="S1294" s="8" t="inlineStr">
        <is>
          <t>31/08/2026 02:59</t>
        </is>
      </c>
    </row>
    <row r="1295">
      <c r="A1295" s="7" t="inlineStr">
        <is>
          <t>WHAP-1291</t>
        </is>
      </c>
      <c r="B1295" s="7" t="inlineStr">
        <is>
          <t>OBS-1291</t>
        </is>
      </c>
      <c r="C1295" s="7" t="inlineStr">
        <is>
          <t>caméra avant — latéral gauche</t>
        </is>
      </c>
      <c r="D1295" s="7" t="inlineStr">
        <is>
          <t>Observation</t>
        </is>
      </c>
      <c r="E1295" s="7" t="inlineStr">
        <is>
          <t>Observation</t>
        </is>
      </c>
      <c r="F1295" s="7" t="inlineStr">
        <is>
          <t>EQUIPEMENT_VEHICULE</t>
        </is>
      </c>
      <c r="G1295" s="7" t="inlineStr">
        <is>
          <t>unité</t>
        </is>
      </c>
      <c r="H1295" s="7" t="inlineStr">
        <is>
          <t>LARGE</t>
        </is>
      </c>
      <c r="I1295" s="7" t="n">
        <v>0</v>
      </c>
      <c r="J1295" s="7" t="inlineStr">
        <is>
          <t>D-03-01</t>
        </is>
      </c>
      <c r="K1295" s="7" t="inlineStr"/>
      <c r="L1295" s="9" t="n">
        <v>0</v>
      </c>
      <c r="M1295" s="9" t="n">
        <v>0</v>
      </c>
      <c r="N1295" s="9" t="n">
        <v>48</v>
      </c>
      <c r="O1295" s="7" t="inlineStr">
        <is>
          <t>CTL</t>
        </is>
      </c>
      <c r="P1295" s="7" t="inlineStr">
        <is>
          <t>STANDARD</t>
        </is>
      </c>
      <c r="Q1295" s="7" t="inlineStr">
        <is>
          <t>WHAP</t>
        </is>
      </c>
      <c r="R1295" s="7" t="inlineStr">
        <is>
          <t>OUI</t>
        </is>
      </c>
      <c r="S1295" s="7" t="inlineStr">
        <is>
          <t>31/08/2026 02:59</t>
        </is>
      </c>
    </row>
    <row r="1296">
      <c r="A1296" s="8" t="inlineStr">
        <is>
          <t>WHAP-1292</t>
        </is>
      </c>
      <c r="B1296" s="8" t="inlineStr">
        <is>
          <t>OBS-1292</t>
        </is>
      </c>
      <c r="C1296" s="8" t="inlineStr">
        <is>
          <t>caméra arrière — latéral gauche</t>
        </is>
      </c>
      <c r="D1296" s="8" t="inlineStr">
        <is>
          <t>Observation</t>
        </is>
      </c>
      <c r="E1296" s="8" t="inlineStr">
        <is>
          <t>Observation</t>
        </is>
      </c>
      <c r="F1296" s="8" t="inlineStr">
        <is>
          <t>EQUIPEMENT_VEHICULE</t>
        </is>
      </c>
      <c r="G1296" s="8" t="inlineStr">
        <is>
          <t>unité</t>
        </is>
      </c>
      <c r="H1296" s="8" t="inlineStr">
        <is>
          <t>LARGE</t>
        </is>
      </c>
      <c r="I1296" s="8" t="n">
        <v>0</v>
      </c>
      <c r="J1296" s="8" t="inlineStr">
        <is>
          <t>F-04-04</t>
        </is>
      </c>
      <c r="K1296" s="8" t="inlineStr"/>
      <c r="L1296" s="10" t="n">
        <v>0</v>
      </c>
      <c r="M1296" s="10" t="n">
        <v>0</v>
      </c>
      <c r="N1296" s="10" t="n">
        <v>47</v>
      </c>
      <c r="O1296" s="8" t="inlineStr">
        <is>
          <t>FAU</t>
        </is>
      </c>
      <c r="P1296" s="8" t="inlineStr">
        <is>
          <t>STANDARD</t>
        </is>
      </c>
      <c r="Q1296" s="8" t="inlineStr">
        <is>
          <t>WHAP</t>
        </is>
      </c>
      <c r="R1296" s="8" t="inlineStr">
        <is>
          <t>OUI</t>
        </is>
      </c>
      <c r="S1296" s="8" t="inlineStr">
        <is>
          <t>31/08/2026 02:59</t>
        </is>
      </c>
    </row>
    <row r="1297">
      <c r="A1297" s="7" t="inlineStr">
        <is>
          <t>WHAP-1293</t>
        </is>
      </c>
      <c r="B1297" s="7" t="inlineStr">
        <is>
          <t>OBS-1293</t>
        </is>
      </c>
      <c r="C1297" s="7" t="inlineStr">
        <is>
          <t>caméra latérale — latéral gauche</t>
        </is>
      </c>
      <c r="D1297" s="7" t="inlineStr">
        <is>
          <t>Observation</t>
        </is>
      </c>
      <c r="E1297" s="7" t="inlineStr">
        <is>
          <t>Observation</t>
        </is>
      </c>
      <c r="F1297" s="7" t="inlineStr">
        <is>
          <t>EQUIPEMENT_VEHICULE</t>
        </is>
      </c>
      <c r="G1297" s="7" t="inlineStr">
        <is>
          <t>unité</t>
        </is>
      </c>
      <c r="H1297" s="7" t="inlineStr">
        <is>
          <t>LARGE</t>
        </is>
      </c>
      <c r="I1297" s="7" t="n">
        <v>0</v>
      </c>
      <c r="J1297" s="7" t="inlineStr">
        <is>
          <t>B-04-03</t>
        </is>
      </c>
      <c r="K1297" s="7" t="inlineStr"/>
      <c r="L1297" s="9" t="n">
        <v>0</v>
      </c>
      <c r="M1297" s="9" t="n">
        <v>0</v>
      </c>
      <c r="N1297" s="9" t="n">
        <v>45</v>
      </c>
      <c r="O1297" s="7" t="inlineStr">
        <is>
          <t>CTL</t>
        </is>
      </c>
      <c r="P1297" s="7" t="inlineStr">
        <is>
          <t>STANDARD</t>
        </is>
      </c>
      <c r="Q1297" s="7" t="inlineStr">
        <is>
          <t>WHAP</t>
        </is>
      </c>
      <c r="R1297" s="7" t="inlineStr">
        <is>
          <t>OUI</t>
        </is>
      </c>
      <c r="S1297" s="7" t="inlineStr">
        <is>
          <t>31/08/2026 02:59</t>
        </is>
      </c>
    </row>
    <row r="1298">
      <c r="A1298" s="8" t="inlineStr">
        <is>
          <t>WHAP-1294</t>
        </is>
      </c>
      <c r="B1298" s="8" t="inlineStr">
        <is>
          <t>OBS-1294</t>
        </is>
      </c>
      <c r="C1298" s="8" t="inlineStr">
        <is>
          <t>caméra thermique — latéral gauche</t>
        </is>
      </c>
      <c r="D1298" s="8" t="inlineStr">
        <is>
          <t>Observation</t>
        </is>
      </c>
      <c r="E1298" s="8" t="inlineStr">
        <is>
          <t>Observation</t>
        </is>
      </c>
      <c r="F1298" s="8" t="inlineStr">
        <is>
          <t>EQUIPEMENT_VEHICULE</t>
        </is>
      </c>
      <c r="G1298" s="8" t="inlineStr">
        <is>
          <t>unité</t>
        </is>
      </c>
      <c r="H1298" s="8" t="inlineStr">
        <is>
          <t>LARGE</t>
        </is>
      </c>
      <c r="I1298" s="8" t="n">
        <v>0</v>
      </c>
      <c r="J1298" s="8" t="inlineStr">
        <is>
          <t>D-06-01</t>
        </is>
      </c>
      <c r="K1298" s="8" t="inlineStr"/>
      <c r="L1298" s="10" t="n">
        <v>0</v>
      </c>
      <c r="M1298" s="10" t="n">
        <v>0</v>
      </c>
      <c r="N1298" s="10" t="n">
        <v>43</v>
      </c>
      <c r="O1298" s="8" t="inlineStr">
        <is>
          <t>VAL</t>
        </is>
      </c>
      <c r="P1298" s="8" t="inlineStr">
        <is>
          <t>STANDARD</t>
        </is>
      </c>
      <c r="Q1298" s="8" t="inlineStr">
        <is>
          <t>WHAP</t>
        </is>
      </c>
      <c r="R1298" s="8" t="inlineStr">
        <is>
          <t>OUI</t>
        </is>
      </c>
      <c r="S1298" s="8" t="inlineStr">
        <is>
          <t>31/08/2026 02:59</t>
        </is>
      </c>
    </row>
    <row r="1299">
      <c r="A1299" s="7" t="inlineStr">
        <is>
          <t>WHAP-1295</t>
        </is>
      </c>
      <c r="B1299" s="7" t="inlineStr">
        <is>
          <t>OBS-1295</t>
        </is>
      </c>
      <c r="C1299" s="7" t="inlineStr">
        <is>
          <t>module infrarouge — latéral gauche</t>
        </is>
      </c>
      <c r="D1299" s="7" t="inlineStr">
        <is>
          <t>Observation</t>
        </is>
      </c>
      <c r="E1299" s="7" t="inlineStr">
        <is>
          <t>Observation</t>
        </is>
      </c>
      <c r="F1299" s="7" t="inlineStr">
        <is>
          <t>EQUIPEMENT_VEHICULE</t>
        </is>
      </c>
      <c r="G1299" s="7" t="inlineStr">
        <is>
          <t>unité</t>
        </is>
      </c>
      <c r="H1299" s="7" t="inlineStr">
        <is>
          <t>LARGE</t>
        </is>
      </c>
      <c r="I1299" s="7" t="n">
        <v>0</v>
      </c>
      <c r="J1299" s="7" t="inlineStr">
        <is>
          <t>E-04-04</t>
        </is>
      </c>
      <c r="K1299" s="7" t="inlineStr"/>
      <c r="L1299" s="9" t="n">
        <v>0</v>
      </c>
      <c r="M1299" s="9" t="n">
        <v>0</v>
      </c>
      <c r="N1299" s="9" t="n">
        <v>46</v>
      </c>
      <c r="O1299" s="7" t="inlineStr">
        <is>
          <t>BOS</t>
        </is>
      </c>
      <c r="P1299" s="7" t="inlineStr">
        <is>
          <t>STANDARD</t>
        </is>
      </c>
      <c r="Q1299" s="7" t="inlineStr">
        <is>
          <t>WHAP</t>
        </is>
      </c>
      <c r="R1299" s="7" t="inlineStr">
        <is>
          <t>OUI</t>
        </is>
      </c>
      <c r="S1299" s="7" t="inlineStr">
        <is>
          <t>31/08/2026 02:59</t>
        </is>
      </c>
    </row>
    <row r="1300">
      <c r="A1300" s="8" t="inlineStr">
        <is>
          <t>WHAP-1296</t>
        </is>
      </c>
      <c r="B1300" s="8" t="inlineStr">
        <is>
          <t>OBS-1296</t>
        </is>
      </c>
      <c r="C1300" s="8" t="inlineStr">
        <is>
          <t>écran caméra — latéral gauche</t>
        </is>
      </c>
      <c r="D1300" s="8" t="inlineStr">
        <is>
          <t>Observation</t>
        </is>
      </c>
      <c r="E1300" s="8" t="inlineStr">
        <is>
          <t>Observation</t>
        </is>
      </c>
      <c r="F1300" s="8" t="inlineStr">
        <is>
          <t>EQUIPEMENT_VEHICULE</t>
        </is>
      </c>
      <c r="G1300" s="8" t="inlineStr">
        <is>
          <t>unité</t>
        </is>
      </c>
      <c r="H1300" s="8" t="inlineStr">
        <is>
          <t>LARGE</t>
        </is>
      </c>
      <c r="I1300" s="8" t="n">
        <v>0</v>
      </c>
      <c r="J1300" s="8" t="inlineStr">
        <is>
          <t>F-01-02</t>
        </is>
      </c>
      <c r="K1300" s="8" t="inlineStr"/>
      <c r="L1300" s="10" t="n">
        <v>0</v>
      </c>
      <c r="M1300" s="10" t="n">
        <v>0</v>
      </c>
      <c r="N1300" s="10" t="n">
        <v>42</v>
      </c>
      <c r="O1300" s="8" t="inlineStr">
        <is>
          <t>CTL</t>
        </is>
      </c>
      <c r="P1300" s="8" t="inlineStr">
        <is>
          <t>STANDARD</t>
        </is>
      </c>
      <c r="Q1300" s="8" t="inlineStr">
        <is>
          <t>WHAP</t>
        </is>
      </c>
      <c r="R1300" s="8" t="inlineStr">
        <is>
          <t>OUI</t>
        </is>
      </c>
      <c r="S1300" s="8" t="inlineStr">
        <is>
          <t>31/08/2026 02:59</t>
        </is>
      </c>
    </row>
    <row r="1301">
      <c r="A1301" s="7" t="inlineStr">
        <is>
          <t>WHAP-1297</t>
        </is>
      </c>
      <c r="B1301" s="7" t="inlineStr">
        <is>
          <t>OBS-1297</t>
        </is>
      </c>
      <c r="C1301" s="7" t="inlineStr">
        <is>
          <t>unité de traitement vidéo — latéral gauche</t>
        </is>
      </c>
      <c r="D1301" s="7" t="inlineStr">
        <is>
          <t>Observation</t>
        </is>
      </c>
      <c r="E1301" s="7" t="inlineStr">
        <is>
          <t>Observation</t>
        </is>
      </c>
      <c r="F1301" s="7" t="inlineStr">
        <is>
          <t>EQUIPEMENT_VEHICULE</t>
        </is>
      </c>
      <c r="G1301" s="7" t="inlineStr">
        <is>
          <t>unité</t>
        </is>
      </c>
      <c r="H1301" s="7" t="inlineStr">
        <is>
          <t>LARGE</t>
        </is>
      </c>
      <c r="I1301" s="7" t="n">
        <v>0</v>
      </c>
      <c r="J1301" s="7" t="inlineStr">
        <is>
          <t>E-05-03</t>
        </is>
      </c>
      <c r="K1301" s="7" t="inlineStr"/>
      <c r="L1301" s="9" t="n">
        <v>0</v>
      </c>
      <c r="M1301" s="9" t="n">
        <v>0</v>
      </c>
      <c r="N1301" s="9" t="n">
        <v>44</v>
      </c>
      <c r="O1301" s="7" t="inlineStr">
        <is>
          <t>MAG</t>
        </is>
      </c>
      <c r="P1301" s="7" t="inlineStr">
        <is>
          <t>STANDARD</t>
        </is>
      </c>
      <c r="Q1301" s="7" t="inlineStr">
        <is>
          <t>WHAP</t>
        </is>
      </c>
      <c r="R1301" s="7" t="inlineStr">
        <is>
          <t>OUI</t>
        </is>
      </c>
      <c r="S1301" s="7" t="inlineStr">
        <is>
          <t>31/08/2026 02:59</t>
        </is>
      </c>
    </row>
    <row r="1302">
      <c r="A1302" s="8" t="inlineStr">
        <is>
          <t>WHAP-1298</t>
        </is>
      </c>
      <c r="B1302" s="8" t="inlineStr">
        <is>
          <t>OBS-1298</t>
        </is>
      </c>
      <c r="C1302" s="8" t="inlineStr">
        <is>
          <t>câble vidéo — latéral gauche</t>
        </is>
      </c>
      <c r="D1302" s="8" t="inlineStr">
        <is>
          <t>Observation</t>
        </is>
      </c>
      <c r="E1302" s="8" t="inlineStr">
        <is>
          <t>Observation</t>
        </is>
      </c>
      <c r="F1302" s="8" t="inlineStr">
        <is>
          <t>EQUIPEMENT_VEHICULE</t>
        </is>
      </c>
      <c r="G1302" s="8" t="inlineStr">
        <is>
          <t>unité</t>
        </is>
      </c>
      <c r="H1302" s="8" t="inlineStr">
        <is>
          <t>LARGE</t>
        </is>
      </c>
      <c r="I1302" s="8" t="n">
        <v>0</v>
      </c>
      <c r="J1302" s="8" t="inlineStr">
        <is>
          <t>C-05-04</t>
        </is>
      </c>
      <c r="K1302" s="8" t="inlineStr"/>
      <c r="L1302" s="10" t="n">
        <v>0</v>
      </c>
      <c r="M1302" s="10" t="n">
        <v>0</v>
      </c>
      <c r="N1302" s="10" t="n">
        <v>48</v>
      </c>
      <c r="O1302" s="8" t="inlineStr">
        <is>
          <t>BOS</t>
        </is>
      </c>
      <c r="P1302" s="8" t="inlineStr">
        <is>
          <t>STANDARD</t>
        </is>
      </c>
      <c r="Q1302" s="8" t="inlineStr">
        <is>
          <t>WHAP</t>
        </is>
      </c>
      <c r="R1302" s="8" t="inlineStr">
        <is>
          <t>OUI</t>
        </is>
      </c>
      <c r="S1302" s="8" t="inlineStr">
        <is>
          <t>31/08/2026 02:59</t>
        </is>
      </c>
    </row>
    <row r="1303">
      <c r="A1303" s="7" t="inlineStr">
        <is>
          <t>WHAP-1299</t>
        </is>
      </c>
      <c r="B1303" s="7" t="inlineStr">
        <is>
          <t>OBS-1299</t>
        </is>
      </c>
      <c r="C1303" s="7" t="inlineStr">
        <is>
          <t>connecteur vidéo — latéral gauche</t>
        </is>
      </c>
      <c r="D1303" s="7" t="inlineStr">
        <is>
          <t>Observation</t>
        </is>
      </c>
      <c r="E1303" s="7" t="inlineStr">
        <is>
          <t>Observation</t>
        </is>
      </c>
      <c r="F1303" s="7" t="inlineStr">
        <is>
          <t>EQUIPEMENT_VEHICULE</t>
        </is>
      </c>
      <c r="G1303" s="7" t="inlineStr">
        <is>
          <t>unité</t>
        </is>
      </c>
      <c r="H1303" s="7" t="inlineStr">
        <is>
          <t>LARGE</t>
        </is>
      </c>
      <c r="I1303" s="7" t="n">
        <v>0</v>
      </c>
      <c r="J1303" s="7" t="inlineStr">
        <is>
          <t>D-05-04</t>
        </is>
      </c>
      <c r="K1303" s="7" t="inlineStr"/>
      <c r="L1303" s="9" t="n">
        <v>0</v>
      </c>
      <c r="M1303" s="9" t="n">
        <v>0</v>
      </c>
      <c r="N1303" s="9" t="n">
        <v>50</v>
      </c>
      <c r="O1303" s="7" t="inlineStr">
        <is>
          <t>YZK</t>
        </is>
      </c>
      <c r="P1303" s="7" t="inlineStr">
        <is>
          <t>STANDARD</t>
        </is>
      </c>
      <c r="Q1303" s="7" t="inlineStr">
        <is>
          <t>WHAP</t>
        </is>
      </c>
      <c r="R1303" s="7" t="inlineStr">
        <is>
          <t>OUI</t>
        </is>
      </c>
      <c r="S1303" s="7" t="inlineStr">
        <is>
          <t>31/08/2026 02:59</t>
        </is>
      </c>
    </row>
    <row r="1304">
      <c r="A1304" s="8" t="inlineStr">
        <is>
          <t>WHAP-1300</t>
        </is>
      </c>
      <c r="B1304" s="8" t="inlineStr">
        <is>
          <t>OBS-1300</t>
        </is>
      </c>
      <c r="C1304" s="8" t="inlineStr">
        <is>
          <t>support caméra — latéral gauche</t>
        </is>
      </c>
      <c r="D1304" s="8" t="inlineStr">
        <is>
          <t>Observation</t>
        </is>
      </c>
      <c r="E1304" s="8" t="inlineStr">
        <is>
          <t>Observation</t>
        </is>
      </c>
      <c r="F1304" s="8" t="inlineStr">
        <is>
          <t>EQUIPEMENT_VEHICULE</t>
        </is>
      </c>
      <c r="G1304" s="8" t="inlineStr">
        <is>
          <t>unité</t>
        </is>
      </c>
      <c r="H1304" s="8" t="inlineStr">
        <is>
          <t>LARGE</t>
        </is>
      </c>
      <c r="I1304" s="8" t="n">
        <v>0</v>
      </c>
      <c r="J1304" s="8" t="inlineStr">
        <is>
          <t>C-06-03</t>
        </is>
      </c>
      <c r="K1304" s="8" t="inlineStr"/>
      <c r="L1304" s="10" t="n">
        <v>0</v>
      </c>
      <c r="M1304" s="10" t="n">
        <v>0</v>
      </c>
      <c r="N1304" s="10" t="n">
        <v>45</v>
      </c>
      <c r="O1304" s="8" t="inlineStr">
        <is>
          <t>BOS</t>
        </is>
      </c>
      <c r="P1304" s="8" t="inlineStr">
        <is>
          <t>STANDARD</t>
        </is>
      </c>
      <c r="Q1304" s="8" t="inlineStr">
        <is>
          <t>WHAP</t>
        </is>
      </c>
      <c r="R1304" s="8" t="inlineStr">
        <is>
          <t>OUI</t>
        </is>
      </c>
      <c r="S1304" s="8" t="inlineStr">
        <is>
          <t>31/08/2026 02:59</t>
        </is>
      </c>
    </row>
    <row r="1305">
      <c r="A1305" s="7" t="inlineStr">
        <is>
          <t>WHAP-1301</t>
        </is>
      </c>
      <c r="B1305" s="7" t="inlineStr">
        <is>
          <t>OBS-1301</t>
        </is>
      </c>
      <c r="C1305" s="7" t="inlineStr">
        <is>
          <t>capot caméra — latéral gauche</t>
        </is>
      </c>
      <c r="D1305" s="7" t="inlineStr">
        <is>
          <t>Observation</t>
        </is>
      </c>
      <c r="E1305" s="7" t="inlineStr">
        <is>
          <t>Observation</t>
        </is>
      </c>
      <c r="F1305" s="7" t="inlineStr">
        <is>
          <t>EQUIPEMENT_VEHICULE</t>
        </is>
      </c>
      <c r="G1305" s="7" t="inlineStr">
        <is>
          <t>unité</t>
        </is>
      </c>
      <c r="H1305" s="7" t="inlineStr">
        <is>
          <t>LARGE</t>
        </is>
      </c>
      <c r="I1305" s="7" t="n">
        <v>0</v>
      </c>
      <c r="J1305" s="7" t="inlineStr">
        <is>
          <t>E-03-04</t>
        </is>
      </c>
      <c r="K1305" s="7" t="inlineStr"/>
      <c r="L1305" s="9" t="n">
        <v>0</v>
      </c>
      <c r="M1305" s="9" t="n">
        <v>0</v>
      </c>
      <c r="N1305" s="9" t="n">
        <v>41</v>
      </c>
      <c r="O1305" s="7" t="inlineStr">
        <is>
          <t>BOS</t>
        </is>
      </c>
      <c r="P1305" s="7" t="inlineStr">
        <is>
          <t>STANDARD</t>
        </is>
      </c>
      <c r="Q1305" s="7" t="inlineStr">
        <is>
          <t>WHAP</t>
        </is>
      </c>
      <c r="R1305" s="7" t="inlineStr">
        <is>
          <t>OUI</t>
        </is>
      </c>
      <c r="S1305" s="7" t="inlineStr">
        <is>
          <t>31/08/2026 02:59</t>
        </is>
      </c>
    </row>
    <row r="1306">
      <c r="A1306" s="8" t="inlineStr">
        <is>
          <t>WHAP-1302</t>
        </is>
      </c>
      <c r="B1306" s="8" t="inlineStr">
        <is>
          <t>OBS-1302</t>
        </is>
      </c>
      <c r="C1306" s="8" t="inlineStr">
        <is>
          <t>essuie-optique — latéral gauche</t>
        </is>
      </c>
      <c r="D1306" s="8" t="inlineStr">
        <is>
          <t>Observation</t>
        </is>
      </c>
      <c r="E1306" s="8" t="inlineStr">
        <is>
          <t>Observation</t>
        </is>
      </c>
      <c r="F1306" s="8" t="inlineStr">
        <is>
          <t>EQUIPEMENT_VEHICULE</t>
        </is>
      </c>
      <c r="G1306" s="8" t="inlineStr">
        <is>
          <t>unité</t>
        </is>
      </c>
      <c r="H1306" s="8" t="inlineStr">
        <is>
          <t>LARGE</t>
        </is>
      </c>
      <c r="I1306" s="8" t="n">
        <v>0</v>
      </c>
      <c r="J1306" s="8" t="inlineStr">
        <is>
          <t>C-04-03</t>
        </is>
      </c>
      <c r="K1306" s="8" t="inlineStr"/>
      <c r="L1306" s="10" t="n">
        <v>0</v>
      </c>
      <c r="M1306" s="10" t="n">
        <v>0</v>
      </c>
      <c r="N1306" s="10" t="n">
        <v>40</v>
      </c>
      <c r="O1306" s="8" t="inlineStr">
        <is>
          <t>MAG</t>
        </is>
      </c>
      <c r="P1306" s="8" t="inlineStr">
        <is>
          <t>STANDARD</t>
        </is>
      </c>
      <c r="Q1306" s="8" t="inlineStr">
        <is>
          <t>WHAP</t>
        </is>
      </c>
      <c r="R1306" s="8" t="inlineStr">
        <is>
          <t>OUI</t>
        </is>
      </c>
      <c r="S1306" s="8" t="inlineStr">
        <is>
          <t>31/08/2026 02:59</t>
        </is>
      </c>
    </row>
    <row r="1307">
      <c r="A1307" s="7" t="inlineStr">
        <is>
          <t>WHAP-1303</t>
        </is>
      </c>
      <c r="B1307" s="7" t="inlineStr">
        <is>
          <t>OBS-1303</t>
        </is>
      </c>
      <c r="C1307" s="7" t="inlineStr">
        <is>
          <t>chauffage optique — latéral gauche</t>
        </is>
      </c>
      <c r="D1307" s="7" t="inlineStr">
        <is>
          <t>Observation</t>
        </is>
      </c>
      <c r="E1307" s="7" t="inlineStr">
        <is>
          <t>Observation</t>
        </is>
      </c>
      <c r="F1307" s="7" t="inlineStr">
        <is>
          <t>EQUIPEMENT_VEHICULE</t>
        </is>
      </c>
      <c r="G1307" s="7" t="inlineStr">
        <is>
          <t>unité</t>
        </is>
      </c>
      <c r="H1307" s="7" t="inlineStr">
        <is>
          <t>LARGE</t>
        </is>
      </c>
      <c r="I1307" s="7" t="n">
        <v>0</v>
      </c>
      <c r="J1307" s="7" t="inlineStr">
        <is>
          <t>D-05-03</t>
        </is>
      </c>
      <c r="K1307" s="7" t="inlineStr"/>
      <c r="L1307" s="9" t="n">
        <v>0</v>
      </c>
      <c r="M1307" s="9" t="n">
        <v>0</v>
      </c>
      <c r="N1307" s="9" t="n">
        <v>47</v>
      </c>
      <c r="O1307" s="7" t="inlineStr">
        <is>
          <t>YZK</t>
        </is>
      </c>
      <c r="P1307" s="7" t="inlineStr">
        <is>
          <t>STANDARD</t>
        </is>
      </c>
      <c r="Q1307" s="7" t="inlineStr">
        <is>
          <t>WHAP</t>
        </is>
      </c>
      <c r="R1307" s="7" t="inlineStr">
        <is>
          <t>OUI</t>
        </is>
      </c>
      <c r="S1307" s="7" t="inlineStr">
        <is>
          <t>31/08/2026 02:59</t>
        </is>
      </c>
    </row>
    <row r="1308">
      <c r="A1308" s="8" t="inlineStr">
        <is>
          <t>WHAP-1304</t>
        </is>
      </c>
      <c r="B1308" s="8" t="inlineStr">
        <is>
          <t>OBS-1304</t>
        </is>
      </c>
      <c r="C1308" s="8" t="inlineStr">
        <is>
          <t>capteur luminosité — latéral gauche</t>
        </is>
      </c>
      <c r="D1308" s="8" t="inlineStr">
        <is>
          <t>Observation</t>
        </is>
      </c>
      <c r="E1308" s="8" t="inlineStr">
        <is>
          <t>Observation</t>
        </is>
      </c>
      <c r="F1308" s="8" t="inlineStr">
        <is>
          <t>EQUIPEMENT_VEHICULE</t>
        </is>
      </c>
      <c r="G1308" s="8" t="inlineStr">
        <is>
          <t>unité</t>
        </is>
      </c>
      <c r="H1308" s="8" t="inlineStr">
        <is>
          <t>LARGE</t>
        </is>
      </c>
      <c r="I1308" s="8" t="n">
        <v>0</v>
      </c>
      <c r="J1308" s="8" t="inlineStr">
        <is>
          <t>E-06-03</t>
        </is>
      </c>
      <c r="K1308" s="8" t="inlineStr"/>
      <c r="L1308" s="10" t="n">
        <v>0</v>
      </c>
      <c r="M1308" s="10" t="n">
        <v>0</v>
      </c>
      <c r="N1308" s="10" t="n">
        <v>47</v>
      </c>
      <c r="O1308" s="8" t="inlineStr">
        <is>
          <t>DEL</t>
        </is>
      </c>
      <c r="P1308" s="8" t="inlineStr">
        <is>
          <t>STANDARD</t>
        </is>
      </c>
      <c r="Q1308" s="8" t="inlineStr">
        <is>
          <t>WHAP</t>
        </is>
      </c>
      <c r="R1308" s="8" t="inlineStr">
        <is>
          <t>OUI</t>
        </is>
      </c>
      <c r="S1308" s="8" t="inlineStr">
        <is>
          <t>31/08/2026 02:59</t>
        </is>
      </c>
    </row>
    <row r="1309">
      <c r="A1309" s="7" t="inlineStr">
        <is>
          <t>WHAP-1305</t>
        </is>
      </c>
      <c r="B1309" s="7" t="inlineStr">
        <is>
          <t>OBS-1305</t>
        </is>
      </c>
      <c r="C1309" s="7" t="inlineStr">
        <is>
          <t>périscope — latéral droit</t>
        </is>
      </c>
      <c r="D1309" s="7" t="inlineStr">
        <is>
          <t>Observation</t>
        </is>
      </c>
      <c r="E1309" s="7" t="inlineStr">
        <is>
          <t>Observation</t>
        </is>
      </c>
      <c r="F1309" s="7" t="inlineStr">
        <is>
          <t>EQUIPEMENT_VEHICULE</t>
        </is>
      </c>
      <c r="G1309" s="7" t="inlineStr">
        <is>
          <t>unité</t>
        </is>
      </c>
      <c r="H1309" s="7" t="inlineStr">
        <is>
          <t>LARGE</t>
        </is>
      </c>
      <c r="I1309" s="7" t="n">
        <v>0</v>
      </c>
      <c r="J1309" s="7" t="inlineStr">
        <is>
          <t>D-01-02</t>
        </is>
      </c>
      <c r="K1309" s="7" t="inlineStr"/>
      <c r="L1309" s="9" t="n">
        <v>0</v>
      </c>
      <c r="M1309" s="9" t="n">
        <v>0</v>
      </c>
      <c r="N1309" s="9" t="n">
        <v>47</v>
      </c>
      <c r="O1309" s="7" t="inlineStr">
        <is>
          <t>SKF</t>
        </is>
      </c>
      <c r="P1309" s="7" t="inlineStr">
        <is>
          <t>STANDARD</t>
        </is>
      </c>
      <c r="Q1309" s="7" t="inlineStr">
        <is>
          <t>WHAP</t>
        </is>
      </c>
      <c r="R1309" s="7" t="inlineStr">
        <is>
          <t>OUI</t>
        </is>
      </c>
      <c r="S1309" s="7" t="inlineStr">
        <is>
          <t>31/08/2026 02:59</t>
        </is>
      </c>
    </row>
    <row r="1310">
      <c r="A1310" s="8" t="inlineStr">
        <is>
          <t>WHAP-1306</t>
        </is>
      </c>
      <c r="B1310" s="8" t="inlineStr">
        <is>
          <t>OBS-1306</t>
        </is>
      </c>
      <c r="C1310" s="8" t="inlineStr">
        <is>
          <t>bloc optique — latéral droit</t>
        </is>
      </c>
      <c r="D1310" s="8" t="inlineStr">
        <is>
          <t>Observation</t>
        </is>
      </c>
      <c r="E1310" s="8" t="inlineStr">
        <is>
          <t>Observation</t>
        </is>
      </c>
      <c r="F1310" s="8" t="inlineStr">
        <is>
          <t>EQUIPEMENT_VEHICULE</t>
        </is>
      </c>
      <c r="G1310" s="8" t="inlineStr">
        <is>
          <t>unité</t>
        </is>
      </c>
      <c r="H1310" s="8" t="inlineStr">
        <is>
          <t>LARGE</t>
        </is>
      </c>
      <c r="I1310" s="8" t="n">
        <v>0</v>
      </c>
      <c r="J1310" s="8" t="inlineStr">
        <is>
          <t>F-02-03</t>
        </is>
      </c>
      <c r="K1310" s="8" t="inlineStr"/>
      <c r="L1310" s="10" t="n">
        <v>0</v>
      </c>
      <c r="M1310" s="10" t="n">
        <v>0</v>
      </c>
      <c r="N1310" s="10" t="n">
        <v>41</v>
      </c>
      <c r="O1310" s="8" t="inlineStr">
        <is>
          <t>SKF</t>
        </is>
      </c>
      <c r="P1310" s="8" t="inlineStr">
        <is>
          <t>STANDARD</t>
        </is>
      </c>
      <c r="Q1310" s="8" t="inlineStr">
        <is>
          <t>WHAP</t>
        </is>
      </c>
      <c r="R1310" s="8" t="inlineStr">
        <is>
          <t>OUI</t>
        </is>
      </c>
      <c r="S1310" s="8" t="inlineStr">
        <is>
          <t>31/08/2026 02:59</t>
        </is>
      </c>
    </row>
    <row r="1311">
      <c r="A1311" s="7" t="inlineStr">
        <is>
          <t>WHAP-1307</t>
        </is>
      </c>
      <c r="B1311" s="7" t="inlineStr">
        <is>
          <t>OBS-1307</t>
        </is>
      </c>
      <c r="C1311" s="7" t="inlineStr">
        <is>
          <t>viseur conducteur — latéral droit</t>
        </is>
      </c>
      <c r="D1311" s="7" t="inlineStr">
        <is>
          <t>Observation</t>
        </is>
      </c>
      <c r="E1311" s="7" t="inlineStr">
        <is>
          <t>Observation</t>
        </is>
      </c>
      <c r="F1311" s="7" t="inlineStr">
        <is>
          <t>EQUIPEMENT_VEHICULE</t>
        </is>
      </c>
      <c r="G1311" s="7" t="inlineStr">
        <is>
          <t>unité</t>
        </is>
      </c>
      <c r="H1311" s="7" t="inlineStr">
        <is>
          <t>LARGE</t>
        </is>
      </c>
      <c r="I1311" s="7" t="n">
        <v>0</v>
      </c>
      <c r="J1311" s="7" t="inlineStr">
        <is>
          <t>E-04-02</t>
        </is>
      </c>
      <c r="K1311" s="7" t="inlineStr"/>
      <c r="L1311" s="9" t="n">
        <v>0</v>
      </c>
      <c r="M1311" s="9" t="n">
        <v>0</v>
      </c>
      <c r="N1311" s="9" t="n">
        <v>44</v>
      </c>
      <c r="O1311" s="7" t="inlineStr">
        <is>
          <t>SUM</t>
        </is>
      </c>
      <c r="P1311" s="7" t="inlineStr">
        <is>
          <t>STANDARD</t>
        </is>
      </c>
      <c r="Q1311" s="7" t="inlineStr">
        <is>
          <t>WHAP</t>
        </is>
      </c>
      <c r="R1311" s="7" t="inlineStr">
        <is>
          <t>OUI</t>
        </is>
      </c>
      <c r="S1311" s="7" t="inlineStr">
        <is>
          <t>31/08/2026 02:59</t>
        </is>
      </c>
    </row>
    <row r="1312">
      <c r="A1312" s="8" t="inlineStr">
        <is>
          <t>WHAP-1308</t>
        </is>
      </c>
      <c r="B1312" s="8" t="inlineStr">
        <is>
          <t>OBS-1308</t>
        </is>
      </c>
      <c r="C1312" s="8" t="inlineStr">
        <is>
          <t>caméra avant — latéral droit</t>
        </is>
      </c>
      <c r="D1312" s="8" t="inlineStr">
        <is>
          <t>Observation</t>
        </is>
      </c>
      <c r="E1312" s="8" t="inlineStr">
        <is>
          <t>Observation</t>
        </is>
      </c>
      <c r="F1312" s="8" t="inlineStr">
        <is>
          <t>EQUIPEMENT_VEHICULE</t>
        </is>
      </c>
      <c r="G1312" s="8" t="inlineStr">
        <is>
          <t>unité</t>
        </is>
      </c>
      <c r="H1312" s="8" t="inlineStr">
        <is>
          <t>LARGE</t>
        </is>
      </c>
      <c r="I1312" s="8" t="n">
        <v>0</v>
      </c>
      <c r="J1312" s="8" t="inlineStr">
        <is>
          <t>A-03-04</t>
        </is>
      </c>
      <c r="K1312" s="8" t="inlineStr"/>
      <c r="L1312" s="10" t="n">
        <v>0</v>
      </c>
      <c r="M1312" s="10" t="n">
        <v>0</v>
      </c>
      <c r="N1312" s="10" t="n">
        <v>46</v>
      </c>
      <c r="O1312" s="8" t="inlineStr">
        <is>
          <t>HEL</t>
        </is>
      </c>
      <c r="P1312" s="8" t="inlineStr">
        <is>
          <t>STANDARD</t>
        </is>
      </c>
      <c r="Q1312" s="8" t="inlineStr">
        <is>
          <t>WHAP</t>
        </is>
      </c>
      <c r="R1312" s="8" t="inlineStr">
        <is>
          <t>OUI</t>
        </is>
      </c>
      <c r="S1312" s="8" t="inlineStr">
        <is>
          <t>31/08/2026 02:59</t>
        </is>
      </c>
    </row>
    <row r="1313">
      <c r="A1313" s="7" t="inlineStr">
        <is>
          <t>WHAP-1309</t>
        </is>
      </c>
      <c r="B1313" s="7" t="inlineStr">
        <is>
          <t>OBS-1309</t>
        </is>
      </c>
      <c r="C1313" s="7" t="inlineStr">
        <is>
          <t>caméra arrière — latéral droit</t>
        </is>
      </c>
      <c r="D1313" s="7" t="inlineStr">
        <is>
          <t>Observation</t>
        </is>
      </c>
      <c r="E1313" s="7" t="inlineStr">
        <is>
          <t>Observation</t>
        </is>
      </c>
      <c r="F1313" s="7" t="inlineStr">
        <is>
          <t>EQUIPEMENT_VEHICULE</t>
        </is>
      </c>
      <c r="G1313" s="7" t="inlineStr">
        <is>
          <t>unité</t>
        </is>
      </c>
      <c r="H1313" s="7" t="inlineStr">
        <is>
          <t>LARGE</t>
        </is>
      </c>
      <c r="I1313" s="7" t="n">
        <v>0</v>
      </c>
      <c r="J1313" s="7" t="inlineStr">
        <is>
          <t>E-04-04</t>
        </is>
      </c>
      <c r="K1313" s="7" t="inlineStr"/>
      <c r="L1313" s="9" t="n">
        <v>0</v>
      </c>
      <c r="M1313" s="9" t="n">
        <v>0</v>
      </c>
      <c r="N1313" s="9" t="n">
        <v>43</v>
      </c>
      <c r="O1313" s="7" t="inlineStr">
        <is>
          <t>MAG</t>
        </is>
      </c>
      <c r="P1313" s="7" t="inlineStr">
        <is>
          <t>STANDARD</t>
        </is>
      </c>
      <c r="Q1313" s="7" t="inlineStr">
        <is>
          <t>WHAP</t>
        </is>
      </c>
      <c r="R1313" s="7" t="inlineStr">
        <is>
          <t>OUI</t>
        </is>
      </c>
      <c r="S1313" s="7" t="inlineStr">
        <is>
          <t>31/08/2026 02:59</t>
        </is>
      </c>
    </row>
    <row r="1314">
      <c r="A1314" s="8" t="inlineStr">
        <is>
          <t>WHAP-1310</t>
        </is>
      </c>
      <c r="B1314" s="8" t="inlineStr">
        <is>
          <t>OBS-1310</t>
        </is>
      </c>
      <c r="C1314" s="8" t="inlineStr">
        <is>
          <t>caméra latérale — latéral droit</t>
        </is>
      </c>
      <c r="D1314" s="8" t="inlineStr">
        <is>
          <t>Observation</t>
        </is>
      </c>
      <c r="E1314" s="8" t="inlineStr">
        <is>
          <t>Observation</t>
        </is>
      </c>
      <c r="F1314" s="8" t="inlineStr">
        <is>
          <t>EQUIPEMENT_VEHICULE</t>
        </is>
      </c>
      <c r="G1314" s="8" t="inlineStr">
        <is>
          <t>unité</t>
        </is>
      </c>
      <c r="H1314" s="8" t="inlineStr">
        <is>
          <t>LARGE</t>
        </is>
      </c>
      <c r="I1314" s="8" t="n">
        <v>0</v>
      </c>
      <c r="J1314" s="8" t="inlineStr">
        <is>
          <t>C-05-03</t>
        </is>
      </c>
      <c r="K1314" s="8" t="inlineStr"/>
      <c r="L1314" s="10" t="n">
        <v>0</v>
      </c>
      <c r="M1314" s="10" t="n">
        <v>0</v>
      </c>
      <c r="N1314" s="10" t="n">
        <v>45</v>
      </c>
      <c r="O1314" s="8" t="inlineStr">
        <is>
          <t>DEL</t>
        </is>
      </c>
      <c r="P1314" s="8" t="inlineStr">
        <is>
          <t>STANDARD</t>
        </is>
      </c>
      <c r="Q1314" s="8" t="inlineStr">
        <is>
          <t>WHAP</t>
        </is>
      </c>
      <c r="R1314" s="8" t="inlineStr">
        <is>
          <t>OUI</t>
        </is>
      </c>
      <c r="S1314" s="8" t="inlineStr">
        <is>
          <t>31/08/2026 02:59</t>
        </is>
      </c>
    </row>
    <row r="1315">
      <c r="A1315" s="7" t="inlineStr">
        <is>
          <t>WHAP-1311</t>
        </is>
      </c>
      <c r="B1315" s="7" t="inlineStr">
        <is>
          <t>OBS-1311</t>
        </is>
      </c>
      <c r="C1315" s="7" t="inlineStr">
        <is>
          <t>caméra thermique — latéral droit</t>
        </is>
      </c>
      <c r="D1315" s="7" t="inlineStr">
        <is>
          <t>Observation</t>
        </is>
      </c>
      <c r="E1315" s="7" t="inlineStr">
        <is>
          <t>Observation</t>
        </is>
      </c>
      <c r="F1315" s="7" t="inlineStr">
        <is>
          <t>EQUIPEMENT_VEHICULE</t>
        </is>
      </c>
      <c r="G1315" s="7" t="inlineStr">
        <is>
          <t>unité</t>
        </is>
      </c>
      <c r="H1315" s="7" t="inlineStr">
        <is>
          <t>LARGE</t>
        </is>
      </c>
      <c r="I1315" s="7" t="n">
        <v>0</v>
      </c>
      <c r="J1315" s="7" t="inlineStr">
        <is>
          <t>A-03-03</t>
        </is>
      </c>
      <c r="K1315" s="7" t="inlineStr"/>
      <c r="L1315" s="9" t="n">
        <v>0</v>
      </c>
      <c r="M1315" s="9" t="n">
        <v>0</v>
      </c>
      <c r="N1315" s="9" t="n">
        <v>47</v>
      </c>
      <c r="O1315" s="7" t="inlineStr">
        <is>
          <t>MAG</t>
        </is>
      </c>
      <c r="P1315" s="7" t="inlineStr">
        <is>
          <t>STANDARD</t>
        </is>
      </c>
      <c r="Q1315" s="7" t="inlineStr">
        <is>
          <t>WHAP</t>
        </is>
      </c>
      <c r="R1315" s="7" t="inlineStr">
        <is>
          <t>OUI</t>
        </is>
      </c>
      <c r="S1315" s="7" t="inlineStr">
        <is>
          <t>31/08/2026 02:59</t>
        </is>
      </c>
    </row>
    <row r="1316">
      <c r="A1316" s="8" t="inlineStr">
        <is>
          <t>WHAP-1312</t>
        </is>
      </c>
      <c r="B1316" s="8" t="inlineStr">
        <is>
          <t>OBS-1312</t>
        </is>
      </c>
      <c r="C1316" s="8" t="inlineStr">
        <is>
          <t>module infrarouge — latéral droit</t>
        </is>
      </c>
      <c r="D1316" s="8" t="inlineStr">
        <is>
          <t>Observation</t>
        </is>
      </c>
      <c r="E1316" s="8" t="inlineStr">
        <is>
          <t>Observation</t>
        </is>
      </c>
      <c r="F1316" s="8" t="inlineStr">
        <is>
          <t>EQUIPEMENT_VEHICULE</t>
        </is>
      </c>
      <c r="G1316" s="8" t="inlineStr">
        <is>
          <t>unité</t>
        </is>
      </c>
      <c r="H1316" s="8" t="inlineStr">
        <is>
          <t>LARGE</t>
        </is>
      </c>
      <c r="I1316" s="8" t="n">
        <v>0</v>
      </c>
      <c r="J1316" s="8" t="inlineStr">
        <is>
          <t>E-04-02</t>
        </is>
      </c>
      <c r="K1316" s="8" t="inlineStr"/>
      <c r="L1316" s="10" t="n">
        <v>0</v>
      </c>
      <c r="M1316" s="10" t="n">
        <v>0</v>
      </c>
      <c r="N1316" s="10" t="n">
        <v>42</v>
      </c>
      <c r="O1316" s="8" t="inlineStr">
        <is>
          <t>HEL</t>
        </is>
      </c>
      <c r="P1316" s="8" t="inlineStr">
        <is>
          <t>STANDARD</t>
        </is>
      </c>
      <c r="Q1316" s="8" t="inlineStr">
        <is>
          <t>WHAP</t>
        </is>
      </c>
      <c r="R1316" s="8" t="inlineStr">
        <is>
          <t>OUI</t>
        </is>
      </c>
      <c r="S1316" s="8" t="inlineStr">
        <is>
          <t>31/08/2026 02:59</t>
        </is>
      </c>
    </row>
    <row r="1317">
      <c r="A1317" s="7" t="inlineStr">
        <is>
          <t>WHAP-1313</t>
        </is>
      </c>
      <c r="B1317" s="7" t="inlineStr">
        <is>
          <t>OBS-1313</t>
        </is>
      </c>
      <c r="C1317" s="7" t="inlineStr">
        <is>
          <t>écran caméra — latéral droit</t>
        </is>
      </c>
      <c r="D1317" s="7" t="inlineStr">
        <is>
          <t>Observation</t>
        </is>
      </c>
      <c r="E1317" s="7" t="inlineStr">
        <is>
          <t>Observation</t>
        </is>
      </c>
      <c r="F1317" s="7" t="inlineStr">
        <is>
          <t>EQUIPEMENT_VEHICULE</t>
        </is>
      </c>
      <c r="G1317" s="7" t="inlineStr">
        <is>
          <t>unité</t>
        </is>
      </c>
      <c r="H1317" s="7" t="inlineStr">
        <is>
          <t>LARGE</t>
        </is>
      </c>
      <c r="I1317" s="7" t="n">
        <v>0</v>
      </c>
      <c r="J1317" s="7" t="inlineStr">
        <is>
          <t>F-03-01</t>
        </is>
      </c>
      <c r="K1317" s="7" t="inlineStr"/>
      <c r="L1317" s="9" t="n">
        <v>0</v>
      </c>
      <c r="M1317" s="9" t="n">
        <v>0</v>
      </c>
      <c r="N1317" s="9" t="n">
        <v>43</v>
      </c>
      <c r="O1317" s="7" t="inlineStr">
        <is>
          <t>CTL</t>
        </is>
      </c>
      <c r="P1317" s="7" t="inlineStr">
        <is>
          <t>STANDARD</t>
        </is>
      </c>
      <c r="Q1317" s="7" t="inlineStr">
        <is>
          <t>WHAP</t>
        </is>
      </c>
      <c r="R1317" s="7" t="inlineStr">
        <is>
          <t>OUI</t>
        </is>
      </c>
      <c r="S1317" s="7" t="inlineStr">
        <is>
          <t>31/08/2026 02:59</t>
        </is>
      </c>
    </row>
    <row r="1318">
      <c r="A1318" s="8" t="inlineStr">
        <is>
          <t>WHAP-1314</t>
        </is>
      </c>
      <c r="B1318" s="8" t="inlineStr">
        <is>
          <t>OBS-1314</t>
        </is>
      </c>
      <c r="C1318" s="8" t="inlineStr">
        <is>
          <t>unité de traitement vidéo — latéral droit</t>
        </is>
      </c>
      <c r="D1318" s="8" t="inlineStr">
        <is>
          <t>Observation</t>
        </is>
      </c>
      <c r="E1318" s="8" t="inlineStr">
        <is>
          <t>Observation</t>
        </is>
      </c>
      <c r="F1318" s="8" t="inlineStr">
        <is>
          <t>EQUIPEMENT_VEHICULE</t>
        </is>
      </c>
      <c r="G1318" s="8" t="inlineStr">
        <is>
          <t>unité</t>
        </is>
      </c>
      <c r="H1318" s="8" t="inlineStr">
        <is>
          <t>LARGE</t>
        </is>
      </c>
      <c r="I1318" s="8" t="n">
        <v>0</v>
      </c>
      <c r="J1318" s="8" t="inlineStr">
        <is>
          <t>E-05-03</t>
        </is>
      </c>
      <c r="K1318" s="8" t="inlineStr"/>
      <c r="L1318" s="10" t="n">
        <v>0</v>
      </c>
      <c r="M1318" s="10" t="n">
        <v>0</v>
      </c>
      <c r="N1318" s="10" t="n">
        <v>48</v>
      </c>
      <c r="O1318" s="8" t="inlineStr">
        <is>
          <t>DEL</t>
        </is>
      </c>
      <c r="P1318" s="8" t="inlineStr">
        <is>
          <t>STANDARD</t>
        </is>
      </c>
      <c r="Q1318" s="8" t="inlineStr">
        <is>
          <t>WHAP</t>
        </is>
      </c>
      <c r="R1318" s="8" t="inlineStr">
        <is>
          <t>OUI</t>
        </is>
      </c>
      <c r="S1318" s="8" t="inlineStr">
        <is>
          <t>31/08/2026 02:59</t>
        </is>
      </c>
    </row>
    <row r="1319">
      <c r="A1319" s="7" t="inlineStr">
        <is>
          <t>WHAP-1315</t>
        </is>
      </c>
      <c r="B1319" s="7" t="inlineStr">
        <is>
          <t>OBS-1315</t>
        </is>
      </c>
      <c r="C1319" s="7" t="inlineStr">
        <is>
          <t>câble vidéo — latéral droit</t>
        </is>
      </c>
      <c r="D1319" s="7" t="inlineStr">
        <is>
          <t>Observation</t>
        </is>
      </c>
      <c r="E1319" s="7" t="inlineStr">
        <is>
          <t>Observation</t>
        </is>
      </c>
      <c r="F1319" s="7" t="inlineStr">
        <is>
          <t>EQUIPEMENT_VEHICULE</t>
        </is>
      </c>
      <c r="G1319" s="7" t="inlineStr">
        <is>
          <t>unité</t>
        </is>
      </c>
      <c r="H1319" s="7" t="inlineStr">
        <is>
          <t>LARGE</t>
        </is>
      </c>
      <c r="I1319" s="7" t="n">
        <v>0</v>
      </c>
      <c r="J1319" s="7" t="inlineStr">
        <is>
          <t>E-06-04</t>
        </is>
      </c>
      <c r="K1319" s="7" t="inlineStr"/>
      <c r="L1319" s="9" t="n">
        <v>0</v>
      </c>
      <c r="M1319" s="9" t="n">
        <v>0</v>
      </c>
      <c r="N1319" s="9" t="n">
        <v>40</v>
      </c>
      <c r="O1319" s="7" t="inlineStr">
        <is>
          <t>MAG</t>
        </is>
      </c>
      <c r="P1319" s="7" t="inlineStr">
        <is>
          <t>STANDARD</t>
        </is>
      </c>
      <c r="Q1319" s="7" t="inlineStr">
        <is>
          <t>WHAP</t>
        </is>
      </c>
      <c r="R1319" s="7" t="inlineStr">
        <is>
          <t>OUI</t>
        </is>
      </c>
      <c r="S1319" s="7" t="inlineStr">
        <is>
          <t>31/08/2026 02:59</t>
        </is>
      </c>
    </row>
    <row r="1320">
      <c r="A1320" s="8" t="inlineStr">
        <is>
          <t>WHAP-1316</t>
        </is>
      </c>
      <c r="B1320" s="8" t="inlineStr">
        <is>
          <t>OBS-1316</t>
        </is>
      </c>
      <c r="C1320" s="8" t="inlineStr">
        <is>
          <t>connecteur vidéo — latéral droit</t>
        </is>
      </c>
      <c r="D1320" s="8" t="inlineStr">
        <is>
          <t>Observation</t>
        </is>
      </c>
      <c r="E1320" s="8" t="inlineStr">
        <is>
          <t>Observation</t>
        </is>
      </c>
      <c r="F1320" s="8" t="inlineStr">
        <is>
          <t>EQUIPEMENT_VEHICULE</t>
        </is>
      </c>
      <c r="G1320" s="8" t="inlineStr">
        <is>
          <t>unité</t>
        </is>
      </c>
      <c r="H1320" s="8" t="inlineStr">
        <is>
          <t>LARGE</t>
        </is>
      </c>
      <c r="I1320" s="8" t="n">
        <v>0</v>
      </c>
      <c r="J1320" s="8" t="inlineStr">
        <is>
          <t>B-02-04</t>
        </is>
      </c>
      <c r="K1320" s="8" t="inlineStr"/>
      <c r="L1320" s="10" t="n">
        <v>0</v>
      </c>
      <c r="M1320" s="10" t="n">
        <v>0</v>
      </c>
      <c r="N1320" s="10" t="n">
        <v>43</v>
      </c>
      <c r="O1320" s="8" t="inlineStr">
        <is>
          <t>SKF</t>
        </is>
      </c>
      <c r="P1320" s="8" t="inlineStr">
        <is>
          <t>STANDARD</t>
        </is>
      </c>
      <c r="Q1320" s="8" t="inlineStr">
        <is>
          <t>WHAP</t>
        </is>
      </c>
      <c r="R1320" s="8" t="inlineStr">
        <is>
          <t>OUI</t>
        </is>
      </c>
      <c r="S1320" s="8" t="inlineStr">
        <is>
          <t>31/08/2026 02:59</t>
        </is>
      </c>
    </row>
    <row r="1321">
      <c r="A1321" s="7" t="inlineStr">
        <is>
          <t>WHAP-1317</t>
        </is>
      </c>
      <c r="B1321" s="7" t="inlineStr">
        <is>
          <t>OBS-1317</t>
        </is>
      </c>
      <c r="C1321" s="7" t="inlineStr">
        <is>
          <t>support caméra — latéral droit</t>
        </is>
      </c>
      <c r="D1321" s="7" t="inlineStr">
        <is>
          <t>Observation</t>
        </is>
      </c>
      <c r="E1321" s="7" t="inlineStr">
        <is>
          <t>Observation</t>
        </is>
      </c>
      <c r="F1321" s="7" t="inlineStr">
        <is>
          <t>EQUIPEMENT_VEHICULE</t>
        </is>
      </c>
      <c r="G1321" s="7" t="inlineStr">
        <is>
          <t>unité</t>
        </is>
      </c>
      <c r="H1321" s="7" t="inlineStr">
        <is>
          <t>LARGE</t>
        </is>
      </c>
      <c r="I1321" s="7" t="n">
        <v>0</v>
      </c>
      <c r="J1321" s="7" t="inlineStr">
        <is>
          <t>E-05-02</t>
        </is>
      </c>
      <c r="K1321" s="7" t="inlineStr"/>
      <c r="L1321" s="9" t="n">
        <v>0</v>
      </c>
      <c r="M1321" s="9" t="n">
        <v>0</v>
      </c>
      <c r="N1321" s="9" t="n">
        <v>42</v>
      </c>
      <c r="O1321" s="7" t="inlineStr">
        <is>
          <t>SUM</t>
        </is>
      </c>
      <c r="P1321" s="7" t="inlineStr">
        <is>
          <t>STANDARD</t>
        </is>
      </c>
      <c r="Q1321" s="7" t="inlineStr">
        <is>
          <t>WHAP</t>
        </is>
      </c>
      <c r="R1321" s="7" t="inlineStr">
        <is>
          <t>OUI</t>
        </is>
      </c>
      <c r="S1321" s="7" t="inlineStr">
        <is>
          <t>31/08/2026 02:59</t>
        </is>
      </c>
    </row>
    <row r="1322">
      <c r="A1322" s="8" t="inlineStr">
        <is>
          <t>WHAP-1318</t>
        </is>
      </c>
      <c r="B1322" s="8" t="inlineStr">
        <is>
          <t>OBS-1318</t>
        </is>
      </c>
      <c r="C1322" s="8" t="inlineStr">
        <is>
          <t>capot caméra — latéral droit</t>
        </is>
      </c>
      <c r="D1322" s="8" t="inlineStr">
        <is>
          <t>Observation</t>
        </is>
      </c>
      <c r="E1322" s="8" t="inlineStr">
        <is>
          <t>Observation</t>
        </is>
      </c>
      <c r="F1322" s="8" t="inlineStr">
        <is>
          <t>EQUIPEMENT_VEHICULE</t>
        </is>
      </c>
      <c r="G1322" s="8" t="inlineStr">
        <is>
          <t>unité</t>
        </is>
      </c>
      <c r="H1322" s="8" t="inlineStr">
        <is>
          <t>LARGE</t>
        </is>
      </c>
      <c r="I1322" s="8" t="n">
        <v>0</v>
      </c>
      <c r="J1322" s="8" t="inlineStr">
        <is>
          <t>C-01-02</t>
        </is>
      </c>
      <c r="K1322" s="8" t="inlineStr"/>
      <c r="L1322" s="10" t="n">
        <v>0</v>
      </c>
      <c r="M1322" s="10" t="n">
        <v>0</v>
      </c>
      <c r="N1322" s="10" t="n">
        <v>48</v>
      </c>
      <c r="O1322" s="8" t="inlineStr">
        <is>
          <t>SUM</t>
        </is>
      </c>
      <c r="P1322" s="8" t="inlineStr">
        <is>
          <t>STANDARD</t>
        </is>
      </c>
      <c r="Q1322" s="8" t="inlineStr">
        <is>
          <t>WHAP</t>
        </is>
      </c>
      <c r="R1322" s="8" t="inlineStr">
        <is>
          <t>OUI</t>
        </is>
      </c>
      <c r="S1322" s="8" t="inlineStr">
        <is>
          <t>31/08/2026 02:59</t>
        </is>
      </c>
    </row>
    <row r="1323">
      <c r="A1323" s="7" t="inlineStr">
        <is>
          <t>WHAP-1319</t>
        </is>
      </c>
      <c r="B1323" s="7" t="inlineStr">
        <is>
          <t>OBS-1319</t>
        </is>
      </c>
      <c r="C1323" s="7" t="inlineStr">
        <is>
          <t>essuie-optique — latéral droit</t>
        </is>
      </c>
      <c r="D1323" s="7" t="inlineStr">
        <is>
          <t>Observation</t>
        </is>
      </c>
      <c r="E1323" s="7" t="inlineStr">
        <is>
          <t>Observation</t>
        </is>
      </c>
      <c r="F1323" s="7" t="inlineStr">
        <is>
          <t>EQUIPEMENT_VEHICULE</t>
        </is>
      </c>
      <c r="G1323" s="7" t="inlineStr">
        <is>
          <t>unité</t>
        </is>
      </c>
      <c r="H1323" s="7" t="inlineStr">
        <is>
          <t>LARGE</t>
        </is>
      </c>
      <c r="I1323" s="7" t="n">
        <v>0</v>
      </c>
      <c r="J1323" s="7" t="inlineStr">
        <is>
          <t>D-06-03</t>
        </is>
      </c>
      <c r="K1323" s="7" t="inlineStr"/>
      <c r="L1323" s="9" t="n">
        <v>0</v>
      </c>
      <c r="M1323" s="9" t="n">
        <v>0</v>
      </c>
      <c r="N1323" s="9" t="n">
        <v>46</v>
      </c>
      <c r="O1323" s="7" t="inlineStr">
        <is>
          <t>SKF</t>
        </is>
      </c>
      <c r="P1323" s="7" t="inlineStr">
        <is>
          <t>STANDARD</t>
        </is>
      </c>
      <c r="Q1323" s="7" t="inlineStr">
        <is>
          <t>WHAP</t>
        </is>
      </c>
      <c r="R1323" s="7" t="inlineStr">
        <is>
          <t>OUI</t>
        </is>
      </c>
      <c r="S1323" s="7" t="inlineStr">
        <is>
          <t>31/08/2026 02:59</t>
        </is>
      </c>
    </row>
    <row r="1324">
      <c r="A1324" s="8" t="inlineStr">
        <is>
          <t>WHAP-1320</t>
        </is>
      </c>
      <c r="B1324" s="8" t="inlineStr">
        <is>
          <t>OBS-1320</t>
        </is>
      </c>
      <c r="C1324" s="8" t="inlineStr">
        <is>
          <t>chauffage optique — latéral droit</t>
        </is>
      </c>
      <c r="D1324" s="8" t="inlineStr">
        <is>
          <t>Observation</t>
        </is>
      </c>
      <c r="E1324" s="8" t="inlineStr">
        <is>
          <t>Observation</t>
        </is>
      </c>
      <c r="F1324" s="8" t="inlineStr">
        <is>
          <t>EQUIPEMENT_VEHICULE</t>
        </is>
      </c>
      <c r="G1324" s="8" t="inlineStr">
        <is>
          <t>unité</t>
        </is>
      </c>
      <c r="H1324" s="8" t="inlineStr">
        <is>
          <t>LARGE</t>
        </is>
      </c>
      <c r="I1324" s="8" t="n">
        <v>0</v>
      </c>
      <c r="J1324" s="8" t="inlineStr">
        <is>
          <t>A-01-02</t>
        </is>
      </c>
      <c r="K1324" s="8" t="inlineStr"/>
      <c r="L1324" s="10" t="n">
        <v>0</v>
      </c>
      <c r="M1324" s="10" t="n">
        <v>0</v>
      </c>
      <c r="N1324" s="10" t="n">
        <v>50</v>
      </c>
      <c r="O1324" s="8" t="inlineStr">
        <is>
          <t>BOS</t>
        </is>
      </c>
      <c r="P1324" s="8" t="inlineStr">
        <is>
          <t>STANDARD</t>
        </is>
      </c>
      <c r="Q1324" s="8" t="inlineStr">
        <is>
          <t>WHAP</t>
        </is>
      </c>
      <c r="R1324" s="8" t="inlineStr">
        <is>
          <t>OUI</t>
        </is>
      </c>
      <c r="S1324" s="8" t="inlineStr">
        <is>
          <t>31/08/2026 02:59</t>
        </is>
      </c>
    </row>
    <row r="1325">
      <c r="A1325" s="7" t="inlineStr">
        <is>
          <t>WHAP-1321</t>
        </is>
      </c>
      <c r="B1325" s="7" t="inlineStr">
        <is>
          <t>OBS-1321</t>
        </is>
      </c>
      <c r="C1325" s="7" t="inlineStr">
        <is>
          <t>capteur luminosité — latéral droit</t>
        </is>
      </c>
      <c r="D1325" s="7" t="inlineStr">
        <is>
          <t>Observation</t>
        </is>
      </c>
      <c r="E1325" s="7" t="inlineStr">
        <is>
          <t>Observation</t>
        </is>
      </c>
      <c r="F1325" s="7" t="inlineStr">
        <is>
          <t>EQUIPEMENT_VEHICULE</t>
        </is>
      </c>
      <c r="G1325" s="7" t="inlineStr">
        <is>
          <t>unité</t>
        </is>
      </c>
      <c r="H1325" s="7" t="inlineStr">
        <is>
          <t>LARGE</t>
        </is>
      </c>
      <c r="I1325" s="7" t="n">
        <v>0</v>
      </c>
      <c r="J1325" s="7" t="inlineStr">
        <is>
          <t>A-02-01</t>
        </is>
      </c>
      <c r="K1325" s="7" t="inlineStr"/>
      <c r="L1325" s="9" t="n">
        <v>0</v>
      </c>
      <c r="M1325" s="9" t="n">
        <v>0</v>
      </c>
      <c r="N1325" s="9" t="n">
        <v>44</v>
      </c>
      <c r="O1325" s="7" t="inlineStr">
        <is>
          <t>BOS</t>
        </is>
      </c>
      <c r="P1325" s="7" t="inlineStr">
        <is>
          <t>STANDARD</t>
        </is>
      </c>
      <c r="Q1325" s="7" t="inlineStr">
        <is>
          <t>WHAP</t>
        </is>
      </c>
      <c r="R1325" s="7" t="inlineStr">
        <is>
          <t>OUI</t>
        </is>
      </c>
      <c r="S1325" s="7" t="inlineStr">
        <is>
          <t>31/08/2026 02:59</t>
        </is>
      </c>
    </row>
    <row r="1326">
      <c r="A1326" s="8" t="inlineStr">
        <is>
          <t>WHAP-1322</t>
        </is>
      </c>
      <c r="B1326" s="8" t="inlineStr">
        <is>
          <t>ELE-1322</t>
        </is>
      </c>
      <c r="C1326" s="8" t="inlineStr">
        <is>
          <t>batterie — avant</t>
        </is>
      </c>
      <c r="D1326" s="8" t="inlineStr">
        <is>
          <t>Électricité</t>
        </is>
      </c>
      <c r="E1326" s="8" t="inlineStr">
        <is>
          <t>Électricité</t>
        </is>
      </c>
      <c r="F1326" s="8" t="inlineStr">
        <is>
          <t>PIECE_VEHICULE</t>
        </is>
      </c>
      <c r="G1326" s="8" t="inlineStr">
        <is>
          <t>unité</t>
        </is>
      </c>
      <c r="H1326" s="8" t="inlineStr">
        <is>
          <t>SMALL</t>
        </is>
      </c>
      <c r="I1326" s="8" t="n">
        <v>5</v>
      </c>
      <c r="J1326" s="8" t="inlineStr">
        <is>
          <t>E-01-01</t>
        </is>
      </c>
      <c r="K1326" s="8" t="inlineStr"/>
      <c r="L1326" s="10" t="n">
        <v>0</v>
      </c>
      <c r="M1326" s="10" t="n">
        <v>0</v>
      </c>
      <c r="N1326" s="10" t="n">
        <v>27</v>
      </c>
      <c r="O1326" s="8" t="inlineStr">
        <is>
          <t>BOS</t>
        </is>
      </c>
      <c r="P1326" s="8" t="inlineStr">
        <is>
          <t>IMPORTANT</t>
        </is>
      </c>
      <c r="Q1326" s="8" t="inlineStr">
        <is>
          <t>WHAP</t>
        </is>
      </c>
      <c r="R1326" s="8" t="inlineStr">
        <is>
          <t>OUI</t>
        </is>
      </c>
      <c r="S1326" s="8" t="inlineStr">
        <is>
          <t>31/08/2026 02:59</t>
        </is>
      </c>
    </row>
    <row r="1327">
      <c r="A1327" s="7" t="inlineStr">
        <is>
          <t>WHAP-1323</t>
        </is>
      </c>
      <c r="B1327" s="7" t="inlineStr">
        <is>
          <t>ELE-1323</t>
        </is>
      </c>
      <c r="C1327" s="7" t="inlineStr">
        <is>
          <t>bac batterie — avant</t>
        </is>
      </c>
      <c r="D1327" s="7" t="inlineStr">
        <is>
          <t>Électricité</t>
        </is>
      </c>
      <c r="E1327" s="7" t="inlineStr">
        <is>
          <t>Électricité</t>
        </is>
      </c>
      <c r="F1327" s="7" t="inlineStr">
        <is>
          <t>PIECE_VEHICULE</t>
        </is>
      </c>
      <c r="G1327" s="7" t="inlineStr">
        <is>
          <t>unité</t>
        </is>
      </c>
      <c r="H1327" s="7" t="inlineStr">
        <is>
          <t>SMALL</t>
        </is>
      </c>
      <c r="I1327" s="7" t="n">
        <v>5</v>
      </c>
      <c r="J1327" s="7" t="inlineStr">
        <is>
          <t>E-05-03</t>
        </is>
      </c>
      <c r="K1327" s="7" t="inlineStr"/>
      <c r="L1327" s="9" t="n">
        <v>0</v>
      </c>
      <c r="M1327" s="9" t="n">
        <v>0</v>
      </c>
      <c r="N1327" s="9" t="n">
        <v>31</v>
      </c>
      <c r="O1327" s="7" t="inlineStr">
        <is>
          <t>BOS</t>
        </is>
      </c>
      <c r="P1327" s="7" t="inlineStr">
        <is>
          <t>IMPORTANT</t>
        </is>
      </c>
      <c r="Q1327" s="7" t="inlineStr">
        <is>
          <t>WHAP</t>
        </is>
      </c>
      <c r="R1327" s="7" t="inlineStr">
        <is>
          <t>OUI</t>
        </is>
      </c>
      <c r="S1327" s="7" t="inlineStr">
        <is>
          <t>31/08/2026 02:59</t>
        </is>
      </c>
    </row>
    <row r="1328">
      <c r="A1328" s="8" t="inlineStr">
        <is>
          <t>WHAP-1324</t>
        </is>
      </c>
      <c r="B1328" s="8" t="inlineStr">
        <is>
          <t>ELE-1324</t>
        </is>
      </c>
      <c r="C1328" s="8" t="inlineStr">
        <is>
          <t>coupe-batterie — avant</t>
        </is>
      </c>
      <c r="D1328" s="8" t="inlineStr">
        <is>
          <t>Électricité</t>
        </is>
      </c>
      <c r="E1328" s="8" t="inlineStr">
        <is>
          <t>Électricité</t>
        </is>
      </c>
      <c r="F1328" s="8" t="inlineStr">
        <is>
          <t>PIECE_VEHICULE</t>
        </is>
      </c>
      <c r="G1328" s="8" t="inlineStr">
        <is>
          <t>unité</t>
        </is>
      </c>
      <c r="H1328" s="8" t="inlineStr">
        <is>
          <t>SMALL</t>
        </is>
      </c>
      <c r="I1328" s="8" t="n">
        <v>5</v>
      </c>
      <c r="J1328" s="8" t="inlineStr">
        <is>
          <t>D-06-04</t>
        </is>
      </c>
      <c r="K1328" s="8" t="inlineStr"/>
      <c r="L1328" s="10" t="n">
        <v>0</v>
      </c>
      <c r="M1328" s="10" t="n">
        <v>0</v>
      </c>
      <c r="N1328" s="10" t="n">
        <v>28</v>
      </c>
      <c r="O1328" s="8" t="inlineStr">
        <is>
          <t>YZK</t>
        </is>
      </c>
      <c r="P1328" s="8" t="inlineStr">
        <is>
          <t>IMPORTANT</t>
        </is>
      </c>
      <c r="Q1328" s="8" t="inlineStr">
        <is>
          <t>WHAP</t>
        </is>
      </c>
      <c r="R1328" s="8" t="inlineStr">
        <is>
          <t>OUI</t>
        </is>
      </c>
      <c r="S1328" s="8" t="inlineStr">
        <is>
          <t>31/08/2026 02:59</t>
        </is>
      </c>
    </row>
    <row r="1329">
      <c r="A1329" s="7" t="inlineStr">
        <is>
          <t>WHAP-1325</t>
        </is>
      </c>
      <c r="B1329" s="7" t="inlineStr">
        <is>
          <t>ELE-1325</t>
        </is>
      </c>
      <c r="C1329" s="7" t="inlineStr">
        <is>
          <t>câble positif — avant</t>
        </is>
      </c>
      <c r="D1329" s="7" t="inlineStr">
        <is>
          <t>Électricité</t>
        </is>
      </c>
      <c r="E1329" s="7" t="inlineStr">
        <is>
          <t>Électricité</t>
        </is>
      </c>
      <c r="F1329" s="7" t="inlineStr">
        <is>
          <t>PIECE_VEHICULE</t>
        </is>
      </c>
      <c r="G1329" s="7" t="inlineStr">
        <is>
          <t>unité</t>
        </is>
      </c>
      <c r="H1329" s="7" t="inlineStr">
        <is>
          <t>SMALL</t>
        </is>
      </c>
      <c r="I1329" s="7" t="n">
        <v>5</v>
      </c>
      <c r="J1329" s="7" t="inlineStr">
        <is>
          <t>C-04-04</t>
        </is>
      </c>
      <c r="K1329" s="7" t="inlineStr"/>
      <c r="L1329" s="9" t="n">
        <v>0</v>
      </c>
      <c r="M1329" s="9" t="n">
        <v>0</v>
      </c>
      <c r="N1329" s="9" t="n">
        <v>26</v>
      </c>
      <c r="O1329" s="7" t="inlineStr">
        <is>
          <t>BOS</t>
        </is>
      </c>
      <c r="P1329" s="7" t="inlineStr">
        <is>
          <t>IMPORTANT</t>
        </is>
      </c>
      <c r="Q1329" s="7" t="inlineStr">
        <is>
          <t>WHAP</t>
        </is>
      </c>
      <c r="R1329" s="7" t="inlineStr">
        <is>
          <t>OUI</t>
        </is>
      </c>
      <c r="S1329" s="7" t="inlineStr">
        <is>
          <t>31/08/2026 02:59</t>
        </is>
      </c>
    </row>
    <row r="1330">
      <c r="A1330" s="8" t="inlineStr">
        <is>
          <t>WHAP-1326</t>
        </is>
      </c>
      <c r="B1330" s="8" t="inlineStr">
        <is>
          <t>ELE-1326</t>
        </is>
      </c>
      <c r="C1330" s="8" t="inlineStr">
        <is>
          <t>câble négatif — avant</t>
        </is>
      </c>
      <c r="D1330" s="8" t="inlineStr">
        <is>
          <t>Électricité</t>
        </is>
      </c>
      <c r="E1330" s="8" t="inlineStr">
        <is>
          <t>Électricité</t>
        </is>
      </c>
      <c r="F1330" s="8" t="inlineStr">
        <is>
          <t>PIECE_VEHICULE</t>
        </is>
      </c>
      <c r="G1330" s="8" t="inlineStr">
        <is>
          <t>unité</t>
        </is>
      </c>
      <c r="H1330" s="8" t="inlineStr">
        <is>
          <t>SMALL</t>
        </is>
      </c>
      <c r="I1330" s="8" t="n">
        <v>5</v>
      </c>
      <c r="J1330" s="8" t="inlineStr">
        <is>
          <t>A-01-03</t>
        </is>
      </c>
      <c r="K1330" s="8" t="inlineStr"/>
      <c r="L1330" s="10" t="n">
        <v>0</v>
      </c>
      <c r="M1330" s="10" t="n">
        <v>0</v>
      </c>
      <c r="N1330" s="10" t="n">
        <v>30</v>
      </c>
      <c r="O1330" s="8" t="inlineStr">
        <is>
          <t>SUM</t>
        </is>
      </c>
      <c r="P1330" s="8" t="inlineStr">
        <is>
          <t>IMPORTANT</t>
        </is>
      </c>
      <c r="Q1330" s="8" t="inlineStr">
        <is>
          <t>WHAP</t>
        </is>
      </c>
      <c r="R1330" s="8" t="inlineStr">
        <is>
          <t>OUI</t>
        </is>
      </c>
      <c r="S1330" s="8" t="inlineStr">
        <is>
          <t>31/08/2026 02:59</t>
        </is>
      </c>
    </row>
    <row r="1331">
      <c r="A1331" s="7" t="inlineStr">
        <is>
          <t>WHAP-1327</t>
        </is>
      </c>
      <c r="B1331" s="7" t="inlineStr">
        <is>
          <t>ELE-1327</t>
        </is>
      </c>
      <c r="C1331" s="7" t="inlineStr">
        <is>
          <t>cosse batterie — avant</t>
        </is>
      </c>
      <c r="D1331" s="7" t="inlineStr">
        <is>
          <t>Électricité</t>
        </is>
      </c>
      <c r="E1331" s="7" t="inlineStr">
        <is>
          <t>Électricité</t>
        </is>
      </c>
      <c r="F1331" s="7" t="inlineStr">
        <is>
          <t>PIECE_VEHICULE</t>
        </is>
      </c>
      <c r="G1331" s="7" t="inlineStr">
        <is>
          <t>unité</t>
        </is>
      </c>
      <c r="H1331" s="7" t="inlineStr">
        <is>
          <t>SMALL</t>
        </is>
      </c>
      <c r="I1331" s="7" t="n">
        <v>5</v>
      </c>
      <c r="J1331" s="7" t="inlineStr">
        <is>
          <t>B-05-03</t>
        </is>
      </c>
      <c r="K1331" s="7" t="inlineStr"/>
      <c r="L1331" s="9" t="n">
        <v>0</v>
      </c>
      <c r="M1331" s="9" t="n">
        <v>0</v>
      </c>
      <c r="N1331" s="9" t="n">
        <v>30</v>
      </c>
      <c r="O1331" s="7" t="inlineStr">
        <is>
          <t>SKF</t>
        </is>
      </c>
      <c r="P1331" s="7" t="inlineStr">
        <is>
          <t>IMPORTANT</t>
        </is>
      </c>
      <c r="Q1331" s="7" t="inlineStr">
        <is>
          <t>WHAP</t>
        </is>
      </c>
      <c r="R1331" s="7" t="inlineStr">
        <is>
          <t>OUI</t>
        </is>
      </c>
      <c r="S1331" s="7" t="inlineStr">
        <is>
          <t>31/08/2026 02:59</t>
        </is>
      </c>
    </row>
    <row r="1332">
      <c r="A1332" s="8" t="inlineStr">
        <is>
          <t>WHAP-1328</t>
        </is>
      </c>
      <c r="B1332" s="8" t="inlineStr">
        <is>
          <t>ELE-1328</t>
        </is>
      </c>
      <c r="C1332" s="8" t="inlineStr">
        <is>
          <t>alternateur — avant</t>
        </is>
      </c>
      <c r="D1332" s="8" t="inlineStr">
        <is>
          <t>Électricité</t>
        </is>
      </c>
      <c r="E1332" s="8" t="inlineStr">
        <is>
          <t>Électricité</t>
        </is>
      </c>
      <c r="F1332" s="8" t="inlineStr">
        <is>
          <t>PIECE_VEHICULE</t>
        </is>
      </c>
      <c r="G1332" s="8" t="inlineStr">
        <is>
          <t>unité</t>
        </is>
      </c>
      <c r="H1332" s="8" t="inlineStr">
        <is>
          <t>SMALL</t>
        </is>
      </c>
      <c r="I1332" s="8" t="n">
        <v>5</v>
      </c>
      <c r="J1332" s="8" t="inlineStr">
        <is>
          <t>E-02-02</t>
        </is>
      </c>
      <c r="K1332" s="8" t="inlineStr"/>
      <c r="L1332" s="10" t="n">
        <v>0</v>
      </c>
      <c r="M1332" s="10" t="n">
        <v>0</v>
      </c>
      <c r="N1332" s="10" t="n">
        <v>22</v>
      </c>
      <c r="O1332" s="8" t="inlineStr">
        <is>
          <t>HEL</t>
        </is>
      </c>
      <c r="P1332" s="8" t="inlineStr">
        <is>
          <t>IMPORTANT</t>
        </is>
      </c>
      <c r="Q1332" s="8" t="inlineStr">
        <is>
          <t>WHAP</t>
        </is>
      </c>
      <c r="R1332" s="8" t="inlineStr">
        <is>
          <t>OUI</t>
        </is>
      </c>
      <c r="S1332" s="8" t="inlineStr">
        <is>
          <t>31/08/2026 02:59</t>
        </is>
      </c>
    </row>
    <row r="1333">
      <c r="A1333" s="7" t="inlineStr">
        <is>
          <t>WHAP-1329</t>
        </is>
      </c>
      <c r="B1333" s="7" t="inlineStr">
        <is>
          <t>ELE-1329</t>
        </is>
      </c>
      <c r="C1333" s="7" t="inlineStr">
        <is>
          <t>démarreur — avant</t>
        </is>
      </c>
      <c r="D1333" s="7" t="inlineStr">
        <is>
          <t>Électricité</t>
        </is>
      </c>
      <c r="E1333" s="7" t="inlineStr">
        <is>
          <t>Électricité</t>
        </is>
      </c>
      <c r="F1333" s="7" t="inlineStr">
        <is>
          <t>PIECE_VEHICULE</t>
        </is>
      </c>
      <c r="G1333" s="7" t="inlineStr">
        <is>
          <t>unité</t>
        </is>
      </c>
      <c r="H1333" s="7" t="inlineStr">
        <is>
          <t>SMALL</t>
        </is>
      </c>
      <c r="I1333" s="7" t="n">
        <v>5</v>
      </c>
      <c r="J1333" s="7" t="inlineStr">
        <is>
          <t>E-03-02</t>
        </is>
      </c>
      <c r="K1333" s="7" t="inlineStr"/>
      <c r="L1333" s="9" t="n">
        <v>0</v>
      </c>
      <c r="M1333" s="9" t="n">
        <v>0</v>
      </c>
      <c r="N1333" s="9" t="n">
        <v>24</v>
      </c>
      <c r="O1333" s="7" t="inlineStr">
        <is>
          <t>MAG</t>
        </is>
      </c>
      <c r="P1333" s="7" t="inlineStr">
        <is>
          <t>IMPORTANT</t>
        </is>
      </c>
      <c r="Q1333" s="7" t="inlineStr">
        <is>
          <t>WHAP</t>
        </is>
      </c>
      <c r="R1333" s="7" t="inlineStr">
        <is>
          <t>OUI</t>
        </is>
      </c>
      <c r="S1333" s="7" t="inlineStr">
        <is>
          <t>31/08/2026 02:59</t>
        </is>
      </c>
    </row>
    <row r="1334">
      <c r="A1334" s="8" t="inlineStr">
        <is>
          <t>WHAP-1330</t>
        </is>
      </c>
      <c r="B1334" s="8" t="inlineStr">
        <is>
          <t>ELE-1330</t>
        </is>
      </c>
      <c r="C1334" s="8" t="inlineStr">
        <is>
          <t>relais principal — avant</t>
        </is>
      </c>
      <c r="D1334" s="8" t="inlineStr">
        <is>
          <t>Électricité</t>
        </is>
      </c>
      <c r="E1334" s="8" t="inlineStr">
        <is>
          <t>Électricité</t>
        </is>
      </c>
      <c r="F1334" s="8" t="inlineStr">
        <is>
          <t>PIECE_VEHICULE</t>
        </is>
      </c>
      <c r="G1334" s="8" t="inlineStr">
        <is>
          <t>unité</t>
        </is>
      </c>
      <c r="H1334" s="8" t="inlineStr">
        <is>
          <t>SMALL</t>
        </is>
      </c>
      <c r="I1334" s="8" t="n">
        <v>5</v>
      </c>
      <c r="J1334" s="8" t="inlineStr">
        <is>
          <t>A-02-02</t>
        </is>
      </c>
      <c r="K1334" s="8" t="inlineStr"/>
      <c r="L1334" s="10" t="n">
        <v>0</v>
      </c>
      <c r="M1334" s="10" t="n">
        <v>0</v>
      </c>
      <c r="N1334" s="10" t="n">
        <v>26</v>
      </c>
      <c r="O1334" s="8" t="inlineStr">
        <is>
          <t>DEL</t>
        </is>
      </c>
      <c r="P1334" s="8" t="inlineStr">
        <is>
          <t>IMPORTANT</t>
        </is>
      </c>
      <c r="Q1334" s="8" t="inlineStr">
        <is>
          <t>WHAP</t>
        </is>
      </c>
      <c r="R1334" s="8" t="inlineStr">
        <is>
          <t>OUI</t>
        </is>
      </c>
      <c r="S1334" s="8" t="inlineStr">
        <is>
          <t>31/08/2026 02:59</t>
        </is>
      </c>
    </row>
    <row r="1335">
      <c r="A1335" s="7" t="inlineStr">
        <is>
          <t>WHAP-1331</t>
        </is>
      </c>
      <c r="B1335" s="7" t="inlineStr">
        <is>
          <t>ELE-1331</t>
        </is>
      </c>
      <c r="C1335" s="7" t="inlineStr">
        <is>
          <t>boîtier fusibles — avant</t>
        </is>
      </c>
      <c r="D1335" s="7" t="inlineStr">
        <is>
          <t>Électricité</t>
        </is>
      </c>
      <c r="E1335" s="7" t="inlineStr">
        <is>
          <t>Électricité</t>
        </is>
      </c>
      <c r="F1335" s="7" t="inlineStr">
        <is>
          <t>PIECE_VEHICULE</t>
        </is>
      </c>
      <c r="G1335" s="7" t="inlineStr">
        <is>
          <t>unité</t>
        </is>
      </c>
      <c r="H1335" s="7" t="inlineStr">
        <is>
          <t>SMALL</t>
        </is>
      </c>
      <c r="I1335" s="7" t="n">
        <v>5</v>
      </c>
      <c r="J1335" s="7" t="inlineStr">
        <is>
          <t>C-05-04</t>
        </is>
      </c>
      <c r="K1335" s="7" t="inlineStr"/>
      <c r="L1335" s="9" t="n">
        <v>0</v>
      </c>
      <c r="M1335" s="9" t="n">
        <v>0</v>
      </c>
      <c r="N1335" s="9" t="n">
        <v>26</v>
      </c>
      <c r="O1335" s="7" t="inlineStr">
        <is>
          <t>HEL</t>
        </is>
      </c>
      <c r="P1335" s="7" t="inlineStr">
        <is>
          <t>IMPORTANT</t>
        </is>
      </c>
      <c r="Q1335" s="7" t="inlineStr">
        <is>
          <t>WHAP</t>
        </is>
      </c>
      <c r="R1335" s="7" t="inlineStr">
        <is>
          <t>OUI</t>
        </is>
      </c>
      <c r="S1335" s="7" t="inlineStr">
        <is>
          <t>31/08/2026 02:59</t>
        </is>
      </c>
    </row>
    <row r="1336">
      <c r="A1336" s="8" t="inlineStr">
        <is>
          <t>WHAP-1332</t>
        </is>
      </c>
      <c r="B1336" s="8" t="inlineStr">
        <is>
          <t>ELE-1332</t>
        </is>
      </c>
      <c r="C1336" s="8" t="inlineStr">
        <is>
          <t>fusible — avant</t>
        </is>
      </c>
      <c r="D1336" s="8" t="inlineStr">
        <is>
          <t>Électricité</t>
        </is>
      </c>
      <c r="E1336" s="8" t="inlineStr">
        <is>
          <t>Électricité</t>
        </is>
      </c>
      <c r="F1336" s="8" t="inlineStr">
        <is>
          <t>PIECE_VEHICULE</t>
        </is>
      </c>
      <c r="G1336" s="8" t="inlineStr">
        <is>
          <t>unité</t>
        </is>
      </c>
      <c r="H1336" s="8" t="inlineStr">
        <is>
          <t>SMALL</t>
        </is>
      </c>
      <c r="I1336" s="8" t="n">
        <v>5</v>
      </c>
      <c r="J1336" s="8" t="inlineStr">
        <is>
          <t>B-04-02</t>
        </is>
      </c>
      <c r="K1336" s="8" t="inlineStr"/>
      <c r="L1336" s="10" t="n">
        <v>0</v>
      </c>
      <c r="M1336" s="10" t="n">
        <v>0</v>
      </c>
      <c r="N1336" s="10" t="n">
        <v>24</v>
      </c>
      <c r="O1336" s="8" t="inlineStr">
        <is>
          <t>SKF</t>
        </is>
      </c>
      <c r="P1336" s="8" t="inlineStr">
        <is>
          <t>IMPORTANT</t>
        </is>
      </c>
      <c r="Q1336" s="8" t="inlineStr">
        <is>
          <t>WHAP</t>
        </is>
      </c>
      <c r="R1336" s="8" t="inlineStr">
        <is>
          <t>OUI</t>
        </is>
      </c>
      <c r="S1336" s="8" t="inlineStr">
        <is>
          <t>31/08/2026 02:59</t>
        </is>
      </c>
    </row>
    <row r="1337">
      <c r="A1337" s="7" t="inlineStr">
        <is>
          <t>WHAP-1333</t>
        </is>
      </c>
      <c r="B1337" s="7" t="inlineStr">
        <is>
          <t>ELE-1333</t>
        </is>
      </c>
      <c r="C1337" s="7" t="inlineStr">
        <is>
          <t>disjoncteur — avant</t>
        </is>
      </c>
      <c r="D1337" s="7" t="inlineStr">
        <is>
          <t>Électricité</t>
        </is>
      </c>
      <c r="E1337" s="7" t="inlineStr">
        <is>
          <t>Électricité</t>
        </is>
      </c>
      <c r="F1337" s="7" t="inlineStr">
        <is>
          <t>PIECE_VEHICULE</t>
        </is>
      </c>
      <c r="G1337" s="7" t="inlineStr">
        <is>
          <t>unité</t>
        </is>
      </c>
      <c r="H1337" s="7" t="inlineStr">
        <is>
          <t>SMALL</t>
        </is>
      </c>
      <c r="I1337" s="7" t="n">
        <v>5</v>
      </c>
      <c r="J1337" s="7" t="inlineStr">
        <is>
          <t>B-02-02</t>
        </is>
      </c>
      <c r="K1337" s="7" t="inlineStr"/>
      <c r="L1337" s="9" t="n">
        <v>0</v>
      </c>
      <c r="M1337" s="9" t="n">
        <v>0</v>
      </c>
      <c r="N1337" s="9" t="n">
        <v>23</v>
      </c>
      <c r="O1337" s="7" t="inlineStr">
        <is>
          <t>FAU</t>
        </is>
      </c>
      <c r="P1337" s="7" t="inlineStr">
        <is>
          <t>IMPORTANT</t>
        </is>
      </c>
      <c r="Q1337" s="7" t="inlineStr">
        <is>
          <t>WHAP</t>
        </is>
      </c>
      <c r="R1337" s="7" t="inlineStr">
        <is>
          <t>OUI</t>
        </is>
      </c>
      <c r="S1337" s="7" t="inlineStr">
        <is>
          <t>31/08/2026 02:59</t>
        </is>
      </c>
    </row>
    <row r="1338">
      <c r="A1338" s="8" t="inlineStr">
        <is>
          <t>WHAP-1334</t>
        </is>
      </c>
      <c r="B1338" s="8" t="inlineStr">
        <is>
          <t>ELE-1334</t>
        </is>
      </c>
      <c r="C1338" s="8" t="inlineStr">
        <is>
          <t>contacteur — avant</t>
        </is>
      </c>
      <c r="D1338" s="8" t="inlineStr">
        <is>
          <t>Électricité</t>
        </is>
      </c>
      <c r="E1338" s="8" t="inlineStr">
        <is>
          <t>Électricité</t>
        </is>
      </c>
      <c r="F1338" s="8" t="inlineStr">
        <is>
          <t>PIECE_VEHICULE</t>
        </is>
      </c>
      <c r="G1338" s="8" t="inlineStr">
        <is>
          <t>unité</t>
        </is>
      </c>
      <c r="H1338" s="8" t="inlineStr">
        <is>
          <t>SMALL</t>
        </is>
      </c>
      <c r="I1338" s="8" t="n">
        <v>5</v>
      </c>
      <c r="J1338" s="8" t="inlineStr">
        <is>
          <t>D-03-01</t>
        </is>
      </c>
      <c r="K1338" s="8" t="inlineStr"/>
      <c r="L1338" s="10" t="n">
        <v>0</v>
      </c>
      <c r="M1338" s="10" t="n">
        <v>0</v>
      </c>
      <c r="N1338" s="10" t="n">
        <v>26</v>
      </c>
      <c r="O1338" s="8" t="inlineStr">
        <is>
          <t>SKF</t>
        </is>
      </c>
      <c r="P1338" s="8" t="inlineStr">
        <is>
          <t>IMPORTANT</t>
        </is>
      </c>
      <c r="Q1338" s="8" t="inlineStr">
        <is>
          <t>WHAP</t>
        </is>
      </c>
      <c r="R1338" s="8" t="inlineStr">
        <is>
          <t>OUI</t>
        </is>
      </c>
      <c r="S1338" s="8" t="inlineStr">
        <is>
          <t>31/08/2026 02:59</t>
        </is>
      </c>
    </row>
    <row r="1339">
      <c r="A1339" s="7" t="inlineStr">
        <is>
          <t>WHAP-1335</t>
        </is>
      </c>
      <c r="B1339" s="7" t="inlineStr">
        <is>
          <t>ELE-1335</t>
        </is>
      </c>
      <c r="C1339" s="7" t="inlineStr">
        <is>
          <t>convertisseur DC-DC — avant</t>
        </is>
      </c>
      <c r="D1339" s="7" t="inlineStr">
        <is>
          <t>Électricité</t>
        </is>
      </c>
      <c r="E1339" s="7" t="inlineStr">
        <is>
          <t>Électricité</t>
        </is>
      </c>
      <c r="F1339" s="7" t="inlineStr">
        <is>
          <t>PIECE_VEHICULE</t>
        </is>
      </c>
      <c r="G1339" s="7" t="inlineStr">
        <is>
          <t>unité</t>
        </is>
      </c>
      <c r="H1339" s="7" t="inlineStr">
        <is>
          <t>SMALL</t>
        </is>
      </c>
      <c r="I1339" s="7" t="n">
        <v>5</v>
      </c>
      <c r="J1339" s="7" t="inlineStr">
        <is>
          <t>C-03-03</t>
        </is>
      </c>
      <c r="K1339" s="7" t="inlineStr"/>
      <c r="L1339" s="9" t="n">
        <v>0</v>
      </c>
      <c r="M1339" s="9" t="n">
        <v>0</v>
      </c>
      <c r="N1339" s="9" t="n">
        <v>26</v>
      </c>
      <c r="O1339" s="7" t="inlineStr">
        <is>
          <t>BOS</t>
        </is>
      </c>
      <c r="P1339" s="7" t="inlineStr">
        <is>
          <t>IMPORTANT</t>
        </is>
      </c>
      <c r="Q1339" s="7" t="inlineStr">
        <is>
          <t>WHAP</t>
        </is>
      </c>
      <c r="R1339" s="7" t="inlineStr">
        <is>
          <t>OUI</t>
        </is>
      </c>
      <c r="S1339" s="7" t="inlineStr">
        <is>
          <t>31/08/2026 02:59</t>
        </is>
      </c>
    </row>
    <row r="1340">
      <c r="A1340" s="8" t="inlineStr">
        <is>
          <t>WHAP-1336</t>
        </is>
      </c>
      <c r="B1340" s="8" t="inlineStr">
        <is>
          <t>ELE-1336</t>
        </is>
      </c>
      <c r="C1340" s="8" t="inlineStr">
        <is>
          <t>onduleur — avant</t>
        </is>
      </c>
      <c r="D1340" s="8" t="inlineStr">
        <is>
          <t>Électricité</t>
        </is>
      </c>
      <c r="E1340" s="8" t="inlineStr">
        <is>
          <t>Électricité</t>
        </is>
      </c>
      <c r="F1340" s="8" t="inlineStr">
        <is>
          <t>PIECE_VEHICULE</t>
        </is>
      </c>
      <c r="G1340" s="8" t="inlineStr">
        <is>
          <t>unité</t>
        </is>
      </c>
      <c r="H1340" s="8" t="inlineStr">
        <is>
          <t>SMALL</t>
        </is>
      </c>
      <c r="I1340" s="8" t="n">
        <v>5</v>
      </c>
      <c r="J1340" s="8" t="inlineStr">
        <is>
          <t>B-02-02</t>
        </is>
      </c>
      <c r="K1340" s="8" t="inlineStr"/>
      <c r="L1340" s="10" t="n">
        <v>0</v>
      </c>
      <c r="M1340" s="10" t="n">
        <v>0</v>
      </c>
      <c r="N1340" s="10" t="n">
        <v>32</v>
      </c>
      <c r="O1340" s="8" t="inlineStr">
        <is>
          <t>SKF</t>
        </is>
      </c>
      <c r="P1340" s="8" t="inlineStr">
        <is>
          <t>IMPORTANT</t>
        </is>
      </c>
      <c r="Q1340" s="8" t="inlineStr">
        <is>
          <t>WHAP</t>
        </is>
      </c>
      <c r="R1340" s="8" t="inlineStr">
        <is>
          <t>OUI</t>
        </is>
      </c>
      <c r="S1340" s="8" t="inlineStr">
        <is>
          <t>31/08/2026 02:59</t>
        </is>
      </c>
    </row>
    <row r="1341">
      <c r="A1341" s="7" t="inlineStr">
        <is>
          <t>WHAP-1337</t>
        </is>
      </c>
      <c r="B1341" s="7" t="inlineStr">
        <is>
          <t>ELE-1337</t>
        </is>
      </c>
      <c r="C1341" s="7" t="inlineStr">
        <is>
          <t>chargeur — avant</t>
        </is>
      </c>
      <c r="D1341" s="7" t="inlineStr">
        <is>
          <t>Électricité</t>
        </is>
      </c>
      <c r="E1341" s="7" t="inlineStr">
        <is>
          <t>Électricité</t>
        </is>
      </c>
      <c r="F1341" s="7" t="inlineStr">
        <is>
          <t>PIECE_VEHICULE</t>
        </is>
      </c>
      <c r="G1341" s="7" t="inlineStr">
        <is>
          <t>unité</t>
        </is>
      </c>
      <c r="H1341" s="7" t="inlineStr">
        <is>
          <t>SMALL</t>
        </is>
      </c>
      <c r="I1341" s="7" t="n">
        <v>5</v>
      </c>
      <c r="J1341" s="7" t="inlineStr">
        <is>
          <t>F-06-01</t>
        </is>
      </c>
      <c r="K1341" s="7" t="inlineStr"/>
      <c r="L1341" s="9" t="n">
        <v>0</v>
      </c>
      <c r="M1341" s="9" t="n">
        <v>0</v>
      </c>
      <c r="N1341" s="9" t="n">
        <v>29</v>
      </c>
      <c r="O1341" s="7" t="inlineStr">
        <is>
          <t>YZK</t>
        </is>
      </c>
      <c r="P1341" s="7" t="inlineStr">
        <is>
          <t>IMPORTANT</t>
        </is>
      </c>
      <c r="Q1341" s="7" t="inlineStr">
        <is>
          <t>WHAP</t>
        </is>
      </c>
      <c r="R1341" s="7" t="inlineStr">
        <is>
          <t>OUI</t>
        </is>
      </c>
      <c r="S1341" s="7" t="inlineStr">
        <is>
          <t>31/08/2026 02:59</t>
        </is>
      </c>
    </row>
    <row r="1342">
      <c r="A1342" s="8" t="inlineStr">
        <is>
          <t>WHAP-1338</t>
        </is>
      </c>
      <c r="B1342" s="8" t="inlineStr">
        <is>
          <t>ELE-1338</t>
        </is>
      </c>
      <c r="C1342" s="8" t="inlineStr">
        <is>
          <t>barrette de masse — avant</t>
        </is>
      </c>
      <c r="D1342" s="8" t="inlineStr">
        <is>
          <t>Électricité</t>
        </is>
      </c>
      <c r="E1342" s="8" t="inlineStr">
        <is>
          <t>Électricité</t>
        </is>
      </c>
      <c r="F1342" s="8" t="inlineStr">
        <is>
          <t>PIECE_VEHICULE</t>
        </is>
      </c>
      <c r="G1342" s="8" t="inlineStr">
        <is>
          <t>unité</t>
        </is>
      </c>
      <c r="H1342" s="8" t="inlineStr">
        <is>
          <t>SMALL</t>
        </is>
      </c>
      <c r="I1342" s="8" t="n">
        <v>5</v>
      </c>
      <c r="J1342" s="8" t="inlineStr">
        <is>
          <t>F-02-01</t>
        </is>
      </c>
      <c r="K1342" s="8" t="inlineStr"/>
      <c r="L1342" s="10" t="n">
        <v>0</v>
      </c>
      <c r="M1342" s="10" t="n">
        <v>0</v>
      </c>
      <c r="N1342" s="10" t="n">
        <v>25</v>
      </c>
      <c r="O1342" s="8" t="inlineStr">
        <is>
          <t>SKF</t>
        </is>
      </c>
      <c r="P1342" s="8" t="inlineStr">
        <is>
          <t>IMPORTANT</t>
        </is>
      </c>
      <c r="Q1342" s="8" t="inlineStr">
        <is>
          <t>WHAP</t>
        </is>
      </c>
      <c r="R1342" s="8" t="inlineStr">
        <is>
          <t>OUI</t>
        </is>
      </c>
      <c r="S1342" s="8" t="inlineStr">
        <is>
          <t>31/08/2026 02:59</t>
        </is>
      </c>
    </row>
    <row r="1343">
      <c r="A1343" s="7" t="inlineStr">
        <is>
          <t>WHAP-1339</t>
        </is>
      </c>
      <c r="B1343" s="7" t="inlineStr">
        <is>
          <t>ELE-1339</t>
        </is>
      </c>
      <c r="C1343" s="7" t="inlineStr">
        <is>
          <t>point de masse — avant</t>
        </is>
      </c>
      <c r="D1343" s="7" t="inlineStr">
        <is>
          <t>Électricité</t>
        </is>
      </c>
      <c r="E1343" s="7" t="inlineStr">
        <is>
          <t>Électricité</t>
        </is>
      </c>
      <c r="F1343" s="7" t="inlineStr">
        <is>
          <t>PIECE_VEHICULE</t>
        </is>
      </c>
      <c r="G1343" s="7" t="inlineStr">
        <is>
          <t>unité</t>
        </is>
      </c>
      <c r="H1343" s="7" t="inlineStr">
        <is>
          <t>SMALL</t>
        </is>
      </c>
      <c r="I1343" s="7" t="n">
        <v>5</v>
      </c>
      <c r="J1343" s="7" t="inlineStr">
        <is>
          <t>B-06-04</t>
        </is>
      </c>
      <c r="K1343" s="7" t="inlineStr"/>
      <c r="L1343" s="9" t="n">
        <v>0</v>
      </c>
      <c r="M1343" s="9" t="n">
        <v>0</v>
      </c>
      <c r="N1343" s="9" t="n">
        <v>27</v>
      </c>
      <c r="O1343" s="7" t="inlineStr">
        <is>
          <t>CTL</t>
        </is>
      </c>
      <c r="P1343" s="7" t="inlineStr">
        <is>
          <t>IMPORTANT</t>
        </is>
      </c>
      <c r="Q1343" s="7" t="inlineStr">
        <is>
          <t>WHAP</t>
        </is>
      </c>
      <c r="R1343" s="7" t="inlineStr">
        <is>
          <t>OUI</t>
        </is>
      </c>
      <c r="S1343" s="7" t="inlineStr">
        <is>
          <t>31/08/2026 02:59</t>
        </is>
      </c>
    </row>
    <row r="1344">
      <c r="A1344" s="8" t="inlineStr">
        <is>
          <t>WHAP-1340</t>
        </is>
      </c>
      <c r="B1344" s="8" t="inlineStr">
        <is>
          <t>ELE-1340</t>
        </is>
      </c>
      <c r="C1344" s="8" t="inlineStr">
        <is>
          <t>faisceau moteur — avant</t>
        </is>
      </c>
      <c r="D1344" s="8" t="inlineStr">
        <is>
          <t>Électricité</t>
        </is>
      </c>
      <c r="E1344" s="8" t="inlineStr">
        <is>
          <t>Électricité</t>
        </is>
      </c>
      <c r="F1344" s="8" t="inlineStr">
        <is>
          <t>PIECE_VEHICULE</t>
        </is>
      </c>
      <c r="G1344" s="8" t="inlineStr">
        <is>
          <t>unité</t>
        </is>
      </c>
      <c r="H1344" s="8" t="inlineStr">
        <is>
          <t>SMALL</t>
        </is>
      </c>
      <c r="I1344" s="8" t="n">
        <v>5</v>
      </c>
      <c r="J1344" s="8" t="inlineStr">
        <is>
          <t>D-01-02</t>
        </is>
      </c>
      <c r="K1344" s="8" t="inlineStr"/>
      <c r="L1344" s="10" t="n">
        <v>0</v>
      </c>
      <c r="M1344" s="10" t="n">
        <v>0</v>
      </c>
      <c r="N1344" s="10" t="n">
        <v>29</v>
      </c>
      <c r="O1344" s="8" t="inlineStr">
        <is>
          <t>YZK</t>
        </is>
      </c>
      <c r="P1344" s="8" t="inlineStr">
        <is>
          <t>IMPORTANT</t>
        </is>
      </c>
      <c r="Q1344" s="8" t="inlineStr">
        <is>
          <t>WHAP</t>
        </is>
      </c>
      <c r="R1344" s="8" t="inlineStr">
        <is>
          <t>OUI</t>
        </is>
      </c>
      <c r="S1344" s="8" t="inlineStr">
        <is>
          <t>31/08/2026 02:59</t>
        </is>
      </c>
    </row>
    <row r="1345">
      <c r="A1345" s="7" t="inlineStr">
        <is>
          <t>WHAP-1341</t>
        </is>
      </c>
      <c r="B1345" s="7" t="inlineStr">
        <is>
          <t>ELE-1341</t>
        </is>
      </c>
      <c r="C1345" s="7" t="inlineStr">
        <is>
          <t>faisceau châssis — avant</t>
        </is>
      </c>
      <c r="D1345" s="7" t="inlineStr">
        <is>
          <t>Électricité</t>
        </is>
      </c>
      <c r="E1345" s="7" t="inlineStr">
        <is>
          <t>Électricité</t>
        </is>
      </c>
      <c r="F1345" s="7" t="inlineStr">
        <is>
          <t>PIECE_VEHICULE</t>
        </is>
      </c>
      <c r="G1345" s="7" t="inlineStr">
        <is>
          <t>unité</t>
        </is>
      </c>
      <c r="H1345" s="7" t="inlineStr">
        <is>
          <t>SMALL</t>
        </is>
      </c>
      <c r="I1345" s="7" t="n">
        <v>5</v>
      </c>
      <c r="J1345" s="7" t="inlineStr">
        <is>
          <t>C-04-01</t>
        </is>
      </c>
      <c r="K1345" s="7" t="inlineStr"/>
      <c r="L1345" s="9" t="n">
        <v>0</v>
      </c>
      <c r="M1345" s="9" t="n">
        <v>0</v>
      </c>
      <c r="N1345" s="9" t="n">
        <v>29</v>
      </c>
      <c r="O1345" s="7" t="inlineStr">
        <is>
          <t>HEL</t>
        </is>
      </c>
      <c r="P1345" s="7" t="inlineStr">
        <is>
          <t>IMPORTANT</t>
        </is>
      </c>
      <c r="Q1345" s="7" t="inlineStr">
        <is>
          <t>WHAP</t>
        </is>
      </c>
      <c r="R1345" s="7" t="inlineStr">
        <is>
          <t>OUI</t>
        </is>
      </c>
      <c r="S1345" s="7" t="inlineStr">
        <is>
          <t>31/08/2026 02:59</t>
        </is>
      </c>
    </row>
    <row r="1346">
      <c r="A1346" s="8" t="inlineStr">
        <is>
          <t>WHAP-1342</t>
        </is>
      </c>
      <c r="B1346" s="8" t="inlineStr">
        <is>
          <t>ELE-1342</t>
        </is>
      </c>
      <c r="C1346" s="8" t="inlineStr">
        <is>
          <t>faisceau habitacle — avant</t>
        </is>
      </c>
      <c r="D1346" s="8" t="inlineStr">
        <is>
          <t>Électricité</t>
        </is>
      </c>
      <c r="E1346" s="8" t="inlineStr">
        <is>
          <t>Électricité</t>
        </is>
      </c>
      <c r="F1346" s="8" t="inlineStr">
        <is>
          <t>PIECE_VEHICULE</t>
        </is>
      </c>
      <c r="G1346" s="8" t="inlineStr">
        <is>
          <t>unité</t>
        </is>
      </c>
      <c r="H1346" s="8" t="inlineStr">
        <is>
          <t>SMALL</t>
        </is>
      </c>
      <c r="I1346" s="8" t="n">
        <v>5</v>
      </c>
      <c r="J1346" s="8" t="inlineStr">
        <is>
          <t>B-01-02</t>
        </is>
      </c>
      <c r="K1346" s="8" t="inlineStr"/>
      <c r="L1346" s="10" t="n">
        <v>0</v>
      </c>
      <c r="M1346" s="10" t="n">
        <v>0</v>
      </c>
      <c r="N1346" s="10" t="n">
        <v>32</v>
      </c>
      <c r="O1346" s="8" t="inlineStr">
        <is>
          <t>FAU</t>
        </is>
      </c>
      <c r="P1346" s="8" t="inlineStr">
        <is>
          <t>IMPORTANT</t>
        </is>
      </c>
      <c r="Q1346" s="8" t="inlineStr">
        <is>
          <t>WHAP</t>
        </is>
      </c>
      <c r="R1346" s="8" t="inlineStr">
        <is>
          <t>OUI</t>
        </is>
      </c>
      <c r="S1346" s="8" t="inlineStr">
        <is>
          <t>31/08/2026 02:59</t>
        </is>
      </c>
    </row>
    <row r="1347">
      <c r="A1347" s="7" t="inlineStr">
        <is>
          <t>WHAP-1343</t>
        </is>
      </c>
      <c r="B1347" s="7" t="inlineStr">
        <is>
          <t>ELE-1343</t>
        </is>
      </c>
      <c r="C1347" s="7" t="inlineStr">
        <is>
          <t>faisceau éclairage — avant</t>
        </is>
      </c>
      <c r="D1347" s="7" t="inlineStr">
        <is>
          <t>Électricité</t>
        </is>
      </c>
      <c r="E1347" s="7" t="inlineStr">
        <is>
          <t>Électricité</t>
        </is>
      </c>
      <c r="F1347" s="7" t="inlineStr">
        <is>
          <t>PIECE_VEHICULE</t>
        </is>
      </c>
      <c r="G1347" s="7" t="inlineStr">
        <is>
          <t>unité</t>
        </is>
      </c>
      <c r="H1347" s="7" t="inlineStr">
        <is>
          <t>SMALL</t>
        </is>
      </c>
      <c r="I1347" s="7" t="n">
        <v>5</v>
      </c>
      <c r="J1347" s="7" t="inlineStr">
        <is>
          <t>E-01-03</t>
        </is>
      </c>
      <c r="K1347" s="7" t="inlineStr"/>
      <c r="L1347" s="9" t="n">
        <v>0</v>
      </c>
      <c r="M1347" s="9" t="n">
        <v>0</v>
      </c>
      <c r="N1347" s="9" t="n">
        <v>26</v>
      </c>
      <c r="O1347" s="7" t="inlineStr">
        <is>
          <t>MAG</t>
        </is>
      </c>
      <c r="P1347" s="7" t="inlineStr">
        <is>
          <t>IMPORTANT</t>
        </is>
      </c>
      <c r="Q1347" s="7" t="inlineStr">
        <is>
          <t>WHAP</t>
        </is>
      </c>
      <c r="R1347" s="7" t="inlineStr">
        <is>
          <t>OUI</t>
        </is>
      </c>
      <c r="S1347" s="7" t="inlineStr">
        <is>
          <t>31/08/2026 02:59</t>
        </is>
      </c>
    </row>
    <row r="1348">
      <c r="A1348" s="8" t="inlineStr">
        <is>
          <t>WHAP-1344</t>
        </is>
      </c>
      <c r="B1348" s="8" t="inlineStr">
        <is>
          <t>ELE-1344</t>
        </is>
      </c>
      <c r="C1348" s="8" t="inlineStr">
        <is>
          <t>connecteur étanche — avant</t>
        </is>
      </c>
      <c r="D1348" s="8" t="inlineStr">
        <is>
          <t>Électricité</t>
        </is>
      </c>
      <c r="E1348" s="8" t="inlineStr">
        <is>
          <t>Électricité</t>
        </is>
      </c>
      <c r="F1348" s="8" t="inlineStr">
        <is>
          <t>PIECE_VEHICULE</t>
        </is>
      </c>
      <c r="G1348" s="8" t="inlineStr">
        <is>
          <t>unité</t>
        </is>
      </c>
      <c r="H1348" s="8" t="inlineStr">
        <is>
          <t>SMALL</t>
        </is>
      </c>
      <c r="I1348" s="8" t="n">
        <v>5</v>
      </c>
      <c r="J1348" s="8" t="inlineStr">
        <is>
          <t>E-05-04</t>
        </is>
      </c>
      <c r="K1348" s="8" t="inlineStr"/>
      <c r="L1348" s="10" t="n">
        <v>0</v>
      </c>
      <c r="M1348" s="10" t="n">
        <v>0</v>
      </c>
      <c r="N1348" s="10" t="n">
        <v>27</v>
      </c>
      <c r="O1348" s="8" t="inlineStr">
        <is>
          <t>HEL</t>
        </is>
      </c>
      <c r="P1348" s="8" t="inlineStr">
        <is>
          <t>IMPORTANT</t>
        </is>
      </c>
      <c r="Q1348" s="8" t="inlineStr">
        <is>
          <t>WHAP</t>
        </is>
      </c>
      <c r="R1348" s="8" t="inlineStr">
        <is>
          <t>OUI</t>
        </is>
      </c>
      <c r="S1348" s="8" t="inlineStr">
        <is>
          <t>31/08/2026 02:59</t>
        </is>
      </c>
    </row>
    <row r="1349">
      <c r="A1349" s="7" t="inlineStr">
        <is>
          <t>WHAP-1345</t>
        </is>
      </c>
      <c r="B1349" s="7" t="inlineStr">
        <is>
          <t>ELE-1345</t>
        </is>
      </c>
      <c r="C1349" s="7" t="inlineStr">
        <is>
          <t>borne électrique — avant</t>
        </is>
      </c>
      <c r="D1349" s="7" t="inlineStr">
        <is>
          <t>Électricité</t>
        </is>
      </c>
      <c r="E1349" s="7" t="inlineStr">
        <is>
          <t>Électricité</t>
        </is>
      </c>
      <c r="F1349" s="7" t="inlineStr">
        <is>
          <t>PIECE_VEHICULE</t>
        </is>
      </c>
      <c r="G1349" s="7" t="inlineStr">
        <is>
          <t>unité</t>
        </is>
      </c>
      <c r="H1349" s="7" t="inlineStr">
        <is>
          <t>SMALL</t>
        </is>
      </c>
      <c r="I1349" s="7" t="n">
        <v>5</v>
      </c>
      <c r="J1349" s="7" t="inlineStr">
        <is>
          <t>C-06-03</t>
        </is>
      </c>
      <c r="K1349" s="7" t="inlineStr"/>
      <c r="L1349" s="9" t="n">
        <v>0</v>
      </c>
      <c r="M1349" s="9" t="n">
        <v>0</v>
      </c>
      <c r="N1349" s="9" t="n">
        <v>26</v>
      </c>
      <c r="O1349" s="7" t="inlineStr">
        <is>
          <t>MAG</t>
        </is>
      </c>
      <c r="P1349" s="7" t="inlineStr">
        <is>
          <t>IMPORTANT</t>
        </is>
      </c>
      <c r="Q1349" s="7" t="inlineStr">
        <is>
          <t>WHAP</t>
        </is>
      </c>
      <c r="R1349" s="7" t="inlineStr">
        <is>
          <t>OUI</t>
        </is>
      </c>
      <c r="S1349" s="7" t="inlineStr">
        <is>
          <t>31/08/2026 02:59</t>
        </is>
      </c>
    </row>
    <row r="1350">
      <c r="A1350" s="8" t="inlineStr">
        <is>
          <t>WHAP-1346</t>
        </is>
      </c>
      <c r="B1350" s="8" t="inlineStr">
        <is>
          <t>ELE-1346</t>
        </is>
      </c>
      <c r="C1350" s="8" t="inlineStr">
        <is>
          <t>gaine électrique — avant</t>
        </is>
      </c>
      <c r="D1350" s="8" t="inlineStr">
        <is>
          <t>Électricité</t>
        </is>
      </c>
      <c r="E1350" s="8" t="inlineStr">
        <is>
          <t>Électricité</t>
        </is>
      </c>
      <c r="F1350" s="8" t="inlineStr">
        <is>
          <t>PIECE_VEHICULE</t>
        </is>
      </c>
      <c r="G1350" s="8" t="inlineStr">
        <is>
          <t>unité</t>
        </is>
      </c>
      <c r="H1350" s="8" t="inlineStr">
        <is>
          <t>SMALL</t>
        </is>
      </c>
      <c r="I1350" s="8" t="n">
        <v>5</v>
      </c>
      <c r="J1350" s="8" t="inlineStr">
        <is>
          <t>F-05-03</t>
        </is>
      </c>
      <c r="K1350" s="8" t="inlineStr"/>
      <c r="L1350" s="10" t="n">
        <v>0</v>
      </c>
      <c r="M1350" s="10" t="n">
        <v>0</v>
      </c>
      <c r="N1350" s="10" t="n">
        <v>29</v>
      </c>
      <c r="O1350" s="8" t="inlineStr">
        <is>
          <t>CTL</t>
        </is>
      </c>
      <c r="P1350" s="8" t="inlineStr">
        <is>
          <t>IMPORTANT</t>
        </is>
      </c>
      <c r="Q1350" s="8" t="inlineStr">
        <is>
          <t>WHAP</t>
        </is>
      </c>
      <c r="R1350" s="8" t="inlineStr">
        <is>
          <t>OUI</t>
        </is>
      </c>
      <c r="S1350" s="8" t="inlineStr">
        <is>
          <t>31/08/2026 02:59</t>
        </is>
      </c>
    </row>
    <row r="1351">
      <c r="A1351" s="7" t="inlineStr">
        <is>
          <t>WHAP-1347</t>
        </is>
      </c>
      <c r="B1351" s="7" t="inlineStr">
        <is>
          <t>ELE-1347</t>
        </is>
      </c>
      <c r="C1351" s="7" t="inlineStr">
        <is>
          <t>passe-fil — avant</t>
        </is>
      </c>
      <c r="D1351" s="7" t="inlineStr">
        <is>
          <t>Électricité</t>
        </is>
      </c>
      <c r="E1351" s="7" t="inlineStr">
        <is>
          <t>Électricité</t>
        </is>
      </c>
      <c r="F1351" s="7" t="inlineStr">
        <is>
          <t>PIECE_VEHICULE</t>
        </is>
      </c>
      <c r="G1351" s="7" t="inlineStr">
        <is>
          <t>unité</t>
        </is>
      </c>
      <c r="H1351" s="7" t="inlineStr">
        <is>
          <t>SMALL</t>
        </is>
      </c>
      <c r="I1351" s="7" t="n">
        <v>5</v>
      </c>
      <c r="J1351" s="7" t="inlineStr">
        <is>
          <t>C-02-03</t>
        </is>
      </c>
      <c r="K1351" s="7" t="inlineStr"/>
      <c r="L1351" s="9" t="n">
        <v>0</v>
      </c>
      <c r="M1351" s="9" t="n">
        <v>0</v>
      </c>
      <c r="N1351" s="9" t="n">
        <v>23</v>
      </c>
      <c r="O1351" s="7" t="inlineStr">
        <is>
          <t>HEL</t>
        </is>
      </c>
      <c r="P1351" s="7" t="inlineStr">
        <is>
          <t>IMPORTANT</t>
        </is>
      </c>
      <c r="Q1351" s="7" t="inlineStr">
        <is>
          <t>WHAP</t>
        </is>
      </c>
      <c r="R1351" s="7" t="inlineStr">
        <is>
          <t>OUI</t>
        </is>
      </c>
      <c r="S1351" s="7" t="inlineStr">
        <is>
          <t>31/08/2026 02:59</t>
        </is>
      </c>
    </row>
    <row r="1352">
      <c r="A1352" s="8" t="inlineStr">
        <is>
          <t>WHAP-1348</t>
        </is>
      </c>
      <c r="B1352" s="8" t="inlineStr">
        <is>
          <t>ELE-1348</t>
        </is>
      </c>
      <c r="C1352" s="8" t="inlineStr">
        <is>
          <t>porte-fusible — avant</t>
        </is>
      </c>
      <c r="D1352" s="8" t="inlineStr">
        <is>
          <t>Électricité</t>
        </is>
      </c>
      <c r="E1352" s="8" t="inlineStr">
        <is>
          <t>Électricité</t>
        </is>
      </c>
      <c r="F1352" s="8" t="inlineStr">
        <is>
          <t>PIECE_VEHICULE</t>
        </is>
      </c>
      <c r="G1352" s="8" t="inlineStr">
        <is>
          <t>unité</t>
        </is>
      </c>
      <c r="H1352" s="8" t="inlineStr">
        <is>
          <t>SMALL</t>
        </is>
      </c>
      <c r="I1352" s="8" t="n">
        <v>5</v>
      </c>
      <c r="J1352" s="8" t="inlineStr">
        <is>
          <t>B-02-03</t>
        </is>
      </c>
      <c r="K1352" s="8" t="inlineStr"/>
      <c r="L1352" s="10" t="n">
        <v>0</v>
      </c>
      <c r="M1352" s="10" t="n">
        <v>0</v>
      </c>
      <c r="N1352" s="10" t="n">
        <v>30</v>
      </c>
      <c r="O1352" s="8" t="inlineStr">
        <is>
          <t>CTL</t>
        </is>
      </c>
      <c r="P1352" s="8" t="inlineStr">
        <is>
          <t>IMPORTANT</t>
        </is>
      </c>
      <c r="Q1352" s="8" t="inlineStr">
        <is>
          <t>WHAP</t>
        </is>
      </c>
      <c r="R1352" s="8" t="inlineStr">
        <is>
          <t>OUI</t>
        </is>
      </c>
      <c r="S1352" s="8" t="inlineStr">
        <is>
          <t>31/08/2026 02:59</t>
        </is>
      </c>
    </row>
    <row r="1353">
      <c r="A1353" s="7" t="inlineStr">
        <is>
          <t>WHAP-1349</t>
        </is>
      </c>
      <c r="B1353" s="7" t="inlineStr">
        <is>
          <t>ELE-1349</t>
        </is>
      </c>
      <c r="C1353" s="7" t="inlineStr">
        <is>
          <t>boîtier de distribution — avant</t>
        </is>
      </c>
      <c r="D1353" s="7" t="inlineStr">
        <is>
          <t>Électricité</t>
        </is>
      </c>
      <c r="E1353" s="7" t="inlineStr">
        <is>
          <t>Électricité</t>
        </is>
      </c>
      <c r="F1353" s="7" t="inlineStr">
        <is>
          <t>PIECE_VEHICULE</t>
        </is>
      </c>
      <c r="G1353" s="7" t="inlineStr">
        <is>
          <t>unité</t>
        </is>
      </c>
      <c r="H1353" s="7" t="inlineStr">
        <is>
          <t>SMALL</t>
        </is>
      </c>
      <c r="I1353" s="7" t="n">
        <v>5</v>
      </c>
      <c r="J1353" s="7" t="inlineStr">
        <is>
          <t>C-01-02</t>
        </is>
      </c>
      <c r="K1353" s="7" t="inlineStr"/>
      <c r="L1353" s="9" t="n">
        <v>0</v>
      </c>
      <c r="M1353" s="9" t="n">
        <v>0</v>
      </c>
      <c r="N1353" s="9" t="n">
        <v>24</v>
      </c>
      <c r="O1353" s="7" t="inlineStr">
        <is>
          <t>MAG</t>
        </is>
      </c>
      <c r="P1353" s="7" t="inlineStr">
        <is>
          <t>IMPORTANT</t>
        </is>
      </c>
      <c r="Q1353" s="7" t="inlineStr">
        <is>
          <t>WHAP</t>
        </is>
      </c>
      <c r="R1353" s="7" t="inlineStr">
        <is>
          <t>OUI</t>
        </is>
      </c>
      <c r="S1353" s="7" t="inlineStr">
        <is>
          <t>31/08/2026 02:59</t>
        </is>
      </c>
    </row>
    <row r="1354">
      <c r="A1354" s="8" t="inlineStr">
        <is>
          <t>WHAP-1350</t>
        </is>
      </c>
      <c r="B1354" s="8" t="inlineStr">
        <is>
          <t>ELE-1350</t>
        </is>
      </c>
      <c r="C1354" s="8" t="inlineStr">
        <is>
          <t>batterie — compartiment moteur</t>
        </is>
      </c>
      <c r="D1354" s="8" t="inlineStr">
        <is>
          <t>Électricité</t>
        </is>
      </c>
      <c r="E1354" s="8" t="inlineStr">
        <is>
          <t>Électricité</t>
        </is>
      </c>
      <c r="F1354" s="8" t="inlineStr">
        <is>
          <t>PIECE_VEHICULE</t>
        </is>
      </c>
      <c r="G1354" s="8" t="inlineStr">
        <is>
          <t>unité</t>
        </is>
      </c>
      <c r="H1354" s="8" t="inlineStr">
        <is>
          <t>SMALL</t>
        </is>
      </c>
      <c r="I1354" s="8" t="n">
        <v>5</v>
      </c>
      <c r="J1354" s="8" t="inlineStr">
        <is>
          <t>C-04-04</t>
        </is>
      </c>
      <c r="K1354" s="8" t="inlineStr"/>
      <c r="L1354" s="10" t="n">
        <v>0</v>
      </c>
      <c r="M1354" s="10" t="n">
        <v>0</v>
      </c>
      <c r="N1354" s="10" t="n">
        <v>25</v>
      </c>
      <c r="O1354" s="8" t="inlineStr">
        <is>
          <t>DEL</t>
        </is>
      </c>
      <c r="P1354" s="8" t="inlineStr">
        <is>
          <t>IMPORTANT</t>
        </is>
      </c>
      <c r="Q1354" s="8" t="inlineStr">
        <is>
          <t>WHAP</t>
        </is>
      </c>
      <c r="R1354" s="8" t="inlineStr">
        <is>
          <t>OUI</t>
        </is>
      </c>
      <c r="S1354" s="8" t="inlineStr">
        <is>
          <t>31/08/2026 02:59</t>
        </is>
      </c>
    </row>
    <row r="1355">
      <c r="A1355" s="7" t="inlineStr">
        <is>
          <t>WHAP-1351</t>
        </is>
      </c>
      <c r="B1355" s="7" t="inlineStr">
        <is>
          <t>ELE-1351</t>
        </is>
      </c>
      <c r="C1355" s="7" t="inlineStr">
        <is>
          <t>bac batterie — compartiment moteur</t>
        </is>
      </c>
      <c r="D1355" s="7" t="inlineStr">
        <is>
          <t>Électricité</t>
        </is>
      </c>
      <c r="E1355" s="7" t="inlineStr">
        <is>
          <t>Électricité</t>
        </is>
      </c>
      <c r="F1355" s="7" t="inlineStr">
        <is>
          <t>PIECE_VEHICULE</t>
        </is>
      </c>
      <c r="G1355" s="7" t="inlineStr">
        <is>
          <t>unité</t>
        </is>
      </c>
      <c r="H1355" s="7" t="inlineStr">
        <is>
          <t>SMALL</t>
        </is>
      </c>
      <c r="I1355" s="7" t="n">
        <v>5</v>
      </c>
      <c r="J1355" s="7" t="inlineStr">
        <is>
          <t>C-02-03</t>
        </is>
      </c>
      <c r="K1355" s="7" t="inlineStr"/>
      <c r="L1355" s="9" t="n">
        <v>0</v>
      </c>
      <c r="M1355" s="9" t="n">
        <v>0</v>
      </c>
      <c r="N1355" s="9" t="n">
        <v>24</v>
      </c>
      <c r="O1355" s="7" t="inlineStr">
        <is>
          <t>BOS</t>
        </is>
      </c>
      <c r="P1355" s="7" t="inlineStr">
        <is>
          <t>IMPORTANT</t>
        </is>
      </c>
      <c r="Q1355" s="7" t="inlineStr">
        <is>
          <t>WHAP</t>
        </is>
      </c>
      <c r="R1355" s="7" t="inlineStr">
        <is>
          <t>OUI</t>
        </is>
      </c>
      <c r="S1355" s="7" t="inlineStr">
        <is>
          <t>31/08/2026 02:59</t>
        </is>
      </c>
    </row>
    <row r="1356">
      <c r="A1356" s="8" t="inlineStr">
        <is>
          <t>WHAP-1352</t>
        </is>
      </c>
      <c r="B1356" s="8" t="inlineStr">
        <is>
          <t>ELE-1352</t>
        </is>
      </c>
      <c r="C1356" s="8" t="inlineStr">
        <is>
          <t>coupe-batterie — compartiment moteur</t>
        </is>
      </c>
      <c r="D1356" s="8" t="inlineStr">
        <is>
          <t>Électricité</t>
        </is>
      </c>
      <c r="E1356" s="8" t="inlineStr">
        <is>
          <t>Électricité</t>
        </is>
      </c>
      <c r="F1356" s="8" t="inlineStr">
        <is>
          <t>PIECE_VEHICULE</t>
        </is>
      </c>
      <c r="G1356" s="8" t="inlineStr">
        <is>
          <t>unité</t>
        </is>
      </c>
      <c r="H1356" s="8" t="inlineStr">
        <is>
          <t>SMALL</t>
        </is>
      </c>
      <c r="I1356" s="8" t="n">
        <v>5</v>
      </c>
      <c r="J1356" s="8" t="inlineStr">
        <is>
          <t>B-05-03</t>
        </is>
      </c>
      <c r="K1356" s="8" t="inlineStr"/>
      <c r="L1356" s="10" t="n">
        <v>0</v>
      </c>
      <c r="M1356" s="10" t="n">
        <v>0</v>
      </c>
      <c r="N1356" s="10" t="n">
        <v>24</v>
      </c>
      <c r="O1356" s="8" t="inlineStr">
        <is>
          <t>FAU</t>
        </is>
      </c>
      <c r="P1356" s="8" t="inlineStr">
        <is>
          <t>IMPORTANT</t>
        </is>
      </c>
      <c r="Q1356" s="8" t="inlineStr">
        <is>
          <t>WHAP</t>
        </is>
      </c>
      <c r="R1356" s="8" t="inlineStr">
        <is>
          <t>OUI</t>
        </is>
      </c>
      <c r="S1356" s="8" t="inlineStr">
        <is>
          <t>31/08/2026 02:59</t>
        </is>
      </c>
    </row>
    <row r="1357">
      <c r="A1357" s="7" t="inlineStr">
        <is>
          <t>WHAP-1353</t>
        </is>
      </c>
      <c r="B1357" s="7" t="inlineStr">
        <is>
          <t>ELE-1353</t>
        </is>
      </c>
      <c r="C1357" s="7" t="inlineStr">
        <is>
          <t>câble positif — compartiment moteur</t>
        </is>
      </c>
      <c r="D1357" s="7" t="inlineStr">
        <is>
          <t>Électricité</t>
        </is>
      </c>
      <c r="E1357" s="7" t="inlineStr">
        <is>
          <t>Électricité</t>
        </is>
      </c>
      <c r="F1357" s="7" t="inlineStr">
        <is>
          <t>PIECE_VEHICULE</t>
        </is>
      </c>
      <c r="G1357" s="7" t="inlineStr">
        <is>
          <t>unité</t>
        </is>
      </c>
      <c r="H1357" s="7" t="inlineStr">
        <is>
          <t>SMALL</t>
        </is>
      </c>
      <c r="I1357" s="7" t="n">
        <v>5</v>
      </c>
      <c r="J1357" s="7" t="inlineStr">
        <is>
          <t>C-03-04</t>
        </is>
      </c>
      <c r="K1357" s="7" t="inlineStr"/>
      <c r="L1357" s="9" t="n">
        <v>0</v>
      </c>
      <c r="M1357" s="9" t="n">
        <v>0</v>
      </c>
      <c r="N1357" s="9" t="n">
        <v>23</v>
      </c>
      <c r="O1357" s="7" t="inlineStr">
        <is>
          <t>MAG</t>
        </is>
      </c>
      <c r="P1357" s="7" t="inlineStr">
        <is>
          <t>IMPORTANT</t>
        </is>
      </c>
      <c r="Q1357" s="7" t="inlineStr">
        <is>
          <t>WHAP</t>
        </is>
      </c>
      <c r="R1357" s="7" t="inlineStr">
        <is>
          <t>OUI</t>
        </is>
      </c>
      <c r="S1357" s="7" t="inlineStr">
        <is>
          <t>31/08/2026 02:59</t>
        </is>
      </c>
    </row>
    <row r="1358">
      <c r="A1358" s="8" t="inlineStr">
        <is>
          <t>WHAP-1354</t>
        </is>
      </c>
      <c r="B1358" s="8" t="inlineStr">
        <is>
          <t>ELE-1354</t>
        </is>
      </c>
      <c r="C1358" s="8" t="inlineStr">
        <is>
          <t>câble négatif — compartiment moteur</t>
        </is>
      </c>
      <c r="D1358" s="8" t="inlineStr">
        <is>
          <t>Électricité</t>
        </is>
      </c>
      <c r="E1358" s="8" t="inlineStr">
        <is>
          <t>Électricité</t>
        </is>
      </c>
      <c r="F1358" s="8" t="inlineStr">
        <is>
          <t>PIECE_VEHICULE</t>
        </is>
      </c>
      <c r="G1358" s="8" t="inlineStr">
        <is>
          <t>unité</t>
        </is>
      </c>
      <c r="H1358" s="8" t="inlineStr">
        <is>
          <t>SMALL</t>
        </is>
      </c>
      <c r="I1358" s="8" t="n">
        <v>5</v>
      </c>
      <c r="J1358" s="8" t="inlineStr">
        <is>
          <t>C-04-01</t>
        </is>
      </c>
      <c r="K1358" s="8" t="inlineStr"/>
      <c r="L1358" s="10" t="n">
        <v>0</v>
      </c>
      <c r="M1358" s="10" t="n">
        <v>0</v>
      </c>
      <c r="N1358" s="10" t="n">
        <v>24</v>
      </c>
      <c r="O1358" s="8" t="inlineStr">
        <is>
          <t>MAG</t>
        </is>
      </c>
      <c r="P1358" s="8" t="inlineStr">
        <is>
          <t>IMPORTANT</t>
        </is>
      </c>
      <c r="Q1358" s="8" t="inlineStr">
        <is>
          <t>WHAP</t>
        </is>
      </c>
      <c r="R1358" s="8" t="inlineStr">
        <is>
          <t>OUI</t>
        </is>
      </c>
      <c r="S1358" s="8" t="inlineStr">
        <is>
          <t>31/08/2026 02:59</t>
        </is>
      </c>
    </row>
    <row r="1359">
      <c r="A1359" s="7" t="inlineStr">
        <is>
          <t>WHAP-1355</t>
        </is>
      </c>
      <c r="B1359" s="7" t="inlineStr">
        <is>
          <t>ELE-1355</t>
        </is>
      </c>
      <c r="C1359" s="7" t="inlineStr">
        <is>
          <t>cosse batterie — compartiment moteur</t>
        </is>
      </c>
      <c r="D1359" s="7" t="inlineStr">
        <is>
          <t>Électricité</t>
        </is>
      </c>
      <c r="E1359" s="7" t="inlineStr">
        <is>
          <t>Électricité</t>
        </is>
      </c>
      <c r="F1359" s="7" t="inlineStr">
        <is>
          <t>PIECE_VEHICULE</t>
        </is>
      </c>
      <c r="G1359" s="7" t="inlineStr">
        <is>
          <t>unité</t>
        </is>
      </c>
      <c r="H1359" s="7" t="inlineStr">
        <is>
          <t>SMALL</t>
        </is>
      </c>
      <c r="I1359" s="7" t="n">
        <v>5</v>
      </c>
      <c r="J1359" s="7" t="inlineStr">
        <is>
          <t>B-02-02</t>
        </is>
      </c>
      <c r="K1359" s="7" t="inlineStr"/>
      <c r="L1359" s="9" t="n">
        <v>0</v>
      </c>
      <c r="M1359" s="9" t="n">
        <v>0</v>
      </c>
      <c r="N1359" s="9" t="n">
        <v>24</v>
      </c>
      <c r="O1359" s="7" t="inlineStr">
        <is>
          <t>CTL</t>
        </is>
      </c>
      <c r="P1359" s="7" t="inlineStr">
        <is>
          <t>IMPORTANT</t>
        </is>
      </c>
      <c r="Q1359" s="7" t="inlineStr">
        <is>
          <t>WHAP</t>
        </is>
      </c>
      <c r="R1359" s="7" t="inlineStr">
        <is>
          <t>OUI</t>
        </is>
      </c>
      <c r="S1359" s="7" t="inlineStr">
        <is>
          <t>31/08/2026 02:59</t>
        </is>
      </c>
    </row>
    <row r="1360">
      <c r="A1360" s="8" t="inlineStr">
        <is>
          <t>WHAP-1356</t>
        </is>
      </c>
      <c r="B1360" s="8" t="inlineStr">
        <is>
          <t>ELE-1356</t>
        </is>
      </c>
      <c r="C1360" s="8" t="inlineStr">
        <is>
          <t>alternateur — compartiment moteur</t>
        </is>
      </c>
      <c r="D1360" s="8" t="inlineStr">
        <is>
          <t>Électricité</t>
        </is>
      </c>
      <c r="E1360" s="8" t="inlineStr">
        <is>
          <t>Électricité</t>
        </is>
      </c>
      <c r="F1360" s="8" t="inlineStr">
        <is>
          <t>PIECE_VEHICULE</t>
        </is>
      </c>
      <c r="G1360" s="8" t="inlineStr">
        <is>
          <t>unité</t>
        </is>
      </c>
      <c r="H1360" s="8" t="inlineStr">
        <is>
          <t>SMALL</t>
        </is>
      </c>
      <c r="I1360" s="8" t="n">
        <v>5</v>
      </c>
      <c r="J1360" s="8" t="inlineStr">
        <is>
          <t>E-05-01</t>
        </is>
      </c>
      <c r="K1360" s="8" t="inlineStr"/>
      <c r="L1360" s="10" t="n">
        <v>0</v>
      </c>
      <c r="M1360" s="10" t="n">
        <v>0</v>
      </c>
      <c r="N1360" s="10" t="n">
        <v>31</v>
      </c>
      <c r="O1360" s="8" t="inlineStr">
        <is>
          <t>DEL</t>
        </is>
      </c>
      <c r="P1360" s="8" t="inlineStr">
        <is>
          <t>IMPORTANT</t>
        </is>
      </c>
      <c r="Q1360" s="8" t="inlineStr">
        <is>
          <t>WHAP</t>
        </is>
      </c>
      <c r="R1360" s="8" t="inlineStr">
        <is>
          <t>OUI</t>
        </is>
      </c>
      <c r="S1360" s="8" t="inlineStr">
        <is>
          <t>31/08/2026 02:59</t>
        </is>
      </c>
    </row>
    <row r="1361">
      <c r="A1361" s="7" t="inlineStr">
        <is>
          <t>WHAP-1357</t>
        </is>
      </c>
      <c r="B1361" s="7" t="inlineStr">
        <is>
          <t>ELE-1357</t>
        </is>
      </c>
      <c r="C1361" s="7" t="inlineStr">
        <is>
          <t>démarreur — compartiment moteur</t>
        </is>
      </c>
      <c r="D1361" s="7" t="inlineStr">
        <is>
          <t>Électricité</t>
        </is>
      </c>
      <c r="E1361" s="7" t="inlineStr">
        <is>
          <t>Électricité</t>
        </is>
      </c>
      <c r="F1361" s="7" t="inlineStr">
        <is>
          <t>PIECE_VEHICULE</t>
        </is>
      </c>
      <c r="G1361" s="7" t="inlineStr">
        <is>
          <t>unité</t>
        </is>
      </c>
      <c r="H1361" s="7" t="inlineStr">
        <is>
          <t>SMALL</t>
        </is>
      </c>
      <c r="I1361" s="7" t="n">
        <v>5</v>
      </c>
      <c r="J1361" s="7" t="inlineStr">
        <is>
          <t>C-05-02</t>
        </is>
      </c>
      <c r="K1361" s="7" t="inlineStr"/>
      <c r="L1361" s="9" t="n">
        <v>0</v>
      </c>
      <c r="M1361" s="9" t="n">
        <v>0</v>
      </c>
      <c r="N1361" s="9" t="n">
        <v>29</v>
      </c>
      <c r="O1361" s="7" t="inlineStr">
        <is>
          <t>BOS</t>
        </is>
      </c>
      <c r="P1361" s="7" t="inlineStr">
        <is>
          <t>IMPORTANT</t>
        </is>
      </c>
      <c r="Q1361" s="7" t="inlineStr">
        <is>
          <t>WHAP</t>
        </is>
      </c>
      <c r="R1361" s="7" t="inlineStr">
        <is>
          <t>OUI</t>
        </is>
      </c>
      <c r="S1361" s="7" t="inlineStr">
        <is>
          <t>31/08/2026 02:59</t>
        </is>
      </c>
    </row>
    <row r="1362">
      <c r="A1362" s="8" t="inlineStr">
        <is>
          <t>WHAP-1358</t>
        </is>
      </c>
      <c r="B1362" s="8" t="inlineStr">
        <is>
          <t>ELE-1358</t>
        </is>
      </c>
      <c r="C1362" s="8" t="inlineStr">
        <is>
          <t>relais principal — compartiment moteur</t>
        </is>
      </c>
      <c r="D1362" s="8" t="inlineStr">
        <is>
          <t>Électricité</t>
        </is>
      </c>
      <c r="E1362" s="8" t="inlineStr">
        <is>
          <t>Électricité</t>
        </is>
      </c>
      <c r="F1362" s="8" t="inlineStr">
        <is>
          <t>PIECE_VEHICULE</t>
        </is>
      </c>
      <c r="G1362" s="8" t="inlineStr">
        <is>
          <t>unité</t>
        </is>
      </c>
      <c r="H1362" s="8" t="inlineStr">
        <is>
          <t>SMALL</t>
        </is>
      </c>
      <c r="I1362" s="8" t="n">
        <v>5</v>
      </c>
      <c r="J1362" s="8" t="inlineStr">
        <is>
          <t>B-01-01</t>
        </is>
      </c>
      <c r="K1362" s="8" t="inlineStr"/>
      <c r="L1362" s="10" t="n">
        <v>0</v>
      </c>
      <c r="M1362" s="10" t="n">
        <v>0</v>
      </c>
      <c r="N1362" s="10" t="n">
        <v>32</v>
      </c>
      <c r="O1362" s="8" t="inlineStr">
        <is>
          <t>SKF</t>
        </is>
      </c>
      <c r="P1362" s="8" t="inlineStr">
        <is>
          <t>IMPORTANT</t>
        </is>
      </c>
      <c r="Q1362" s="8" t="inlineStr">
        <is>
          <t>WHAP</t>
        </is>
      </c>
      <c r="R1362" s="8" t="inlineStr">
        <is>
          <t>OUI</t>
        </is>
      </c>
      <c r="S1362" s="8" t="inlineStr">
        <is>
          <t>31/08/2026 02:59</t>
        </is>
      </c>
    </row>
    <row r="1363">
      <c r="A1363" s="7" t="inlineStr">
        <is>
          <t>WHAP-1359</t>
        </is>
      </c>
      <c r="B1363" s="7" t="inlineStr">
        <is>
          <t>ELE-1359</t>
        </is>
      </c>
      <c r="C1363" s="7" t="inlineStr">
        <is>
          <t>boîtier fusibles — compartiment moteur</t>
        </is>
      </c>
      <c r="D1363" s="7" t="inlineStr">
        <is>
          <t>Électricité</t>
        </is>
      </c>
      <c r="E1363" s="7" t="inlineStr">
        <is>
          <t>Électricité</t>
        </is>
      </c>
      <c r="F1363" s="7" t="inlineStr">
        <is>
          <t>PIECE_VEHICULE</t>
        </is>
      </c>
      <c r="G1363" s="7" t="inlineStr">
        <is>
          <t>unité</t>
        </is>
      </c>
      <c r="H1363" s="7" t="inlineStr">
        <is>
          <t>SMALL</t>
        </is>
      </c>
      <c r="I1363" s="7" t="n">
        <v>5</v>
      </c>
      <c r="J1363" s="7" t="inlineStr">
        <is>
          <t>C-02-01</t>
        </is>
      </c>
      <c r="K1363" s="7" t="inlineStr"/>
      <c r="L1363" s="9" t="n">
        <v>0</v>
      </c>
      <c r="M1363" s="9" t="n">
        <v>0</v>
      </c>
      <c r="N1363" s="9" t="n">
        <v>32</v>
      </c>
      <c r="O1363" s="7" t="inlineStr">
        <is>
          <t>BOS</t>
        </is>
      </c>
      <c r="P1363" s="7" t="inlineStr">
        <is>
          <t>IMPORTANT</t>
        </is>
      </c>
      <c r="Q1363" s="7" t="inlineStr">
        <is>
          <t>WHAP</t>
        </is>
      </c>
      <c r="R1363" s="7" t="inlineStr">
        <is>
          <t>OUI</t>
        </is>
      </c>
      <c r="S1363" s="7" t="inlineStr">
        <is>
          <t>31/08/2026 02:59</t>
        </is>
      </c>
    </row>
    <row r="1364">
      <c r="A1364" s="8" t="inlineStr">
        <is>
          <t>WHAP-1360</t>
        </is>
      </c>
      <c r="B1364" s="8" t="inlineStr">
        <is>
          <t>ELE-1360</t>
        </is>
      </c>
      <c r="C1364" s="8" t="inlineStr">
        <is>
          <t>fusible — compartiment moteur</t>
        </is>
      </c>
      <c r="D1364" s="8" t="inlineStr">
        <is>
          <t>Électricité</t>
        </is>
      </c>
      <c r="E1364" s="8" t="inlineStr">
        <is>
          <t>Électricité</t>
        </is>
      </c>
      <c r="F1364" s="8" t="inlineStr">
        <is>
          <t>PIECE_VEHICULE</t>
        </is>
      </c>
      <c r="G1364" s="8" t="inlineStr">
        <is>
          <t>unité</t>
        </is>
      </c>
      <c r="H1364" s="8" t="inlineStr">
        <is>
          <t>SMALL</t>
        </is>
      </c>
      <c r="I1364" s="8" t="n">
        <v>5</v>
      </c>
      <c r="J1364" s="8" t="inlineStr">
        <is>
          <t>C-02-01</t>
        </is>
      </c>
      <c r="K1364" s="8" t="inlineStr"/>
      <c r="L1364" s="10" t="n">
        <v>0</v>
      </c>
      <c r="M1364" s="10" t="n">
        <v>0</v>
      </c>
      <c r="N1364" s="10" t="n">
        <v>28</v>
      </c>
      <c r="O1364" s="8" t="inlineStr">
        <is>
          <t>BOS</t>
        </is>
      </c>
      <c r="P1364" s="8" t="inlineStr">
        <is>
          <t>IMPORTANT</t>
        </is>
      </c>
      <c r="Q1364" s="8" t="inlineStr">
        <is>
          <t>WHAP</t>
        </is>
      </c>
      <c r="R1364" s="8" t="inlineStr">
        <is>
          <t>OUI</t>
        </is>
      </c>
      <c r="S1364" s="8" t="inlineStr">
        <is>
          <t>31/08/2026 02:59</t>
        </is>
      </c>
    </row>
    <row r="1365">
      <c r="A1365" s="7" t="inlineStr">
        <is>
          <t>WHAP-1361</t>
        </is>
      </c>
      <c r="B1365" s="7" t="inlineStr">
        <is>
          <t>ELE-1361</t>
        </is>
      </c>
      <c r="C1365" s="7" t="inlineStr">
        <is>
          <t>disjoncteur — compartiment moteur</t>
        </is>
      </c>
      <c r="D1365" s="7" t="inlineStr">
        <is>
          <t>Électricité</t>
        </is>
      </c>
      <c r="E1365" s="7" t="inlineStr">
        <is>
          <t>Électricité</t>
        </is>
      </c>
      <c r="F1365" s="7" t="inlineStr">
        <is>
          <t>PIECE_VEHICULE</t>
        </is>
      </c>
      <c r="G1365" s="7" t="inlineStr">
        <is>
          <t>unité</t>
        </is>
      </c>
      <c r="H1365" s="7" t="inlineStr">
        <is>
          <t>SMALL</t>
        </is>
      </c>
      <c r="I1365" s="7" t="n">
        <v>5</v>
      </c>
      <c r="J1365" s="7" t="inlineStr">
        <is>
          <t>E-05-03</t>
        </is>
      </c>
      <c r="K1365" s="7" t="inlineStr"/>
      <c r="L1365" s="9" t="n">
        <v>0</v>
      </c>
      <c r="M1365" s="9" t="n">
        <v>0</v>
      </c>
      <c r="N1365" s="9" t="n">
        <v>29</v>
      </c>
      <c r="O1365" s="7" t="inlineStr">
        <is>
          <t>BOS</t>
        </is>
      </c>
      <c r="P1365" s="7" t="inlineStr">
        <is>
          <t>IMPORTANT</t>
        </is>
      </c>
      <c r="Q1365" s="7" t="inlineStr">
        <is>
          <t>WHAP</t>
        </is>
      </c>
      <c r="R1365" s="7" t="inlineStr">
        <is>
          <t>OUI</t>
        </is>
      </c>
      <c r="S1365" s="7" t="inlineStr">
        <is>
          <t>31/08/2026 02:59</t>
        </is>
      </c>
    </row>
    <row r="1366">
      <c r="A1366" s="8" t="inlineStr">
        <is>
          <t>WHAP-1362</t>
        </is>
      </c>
      <c r="B1366" s="8" t="inlineStr">
        <is>
          <t>ELE-1362</t>
        </is>
      </c>
      <c r="C1366" s="8" t="inlineStr">
        <is>
          <t>contacteur — compartiment moteur</t>
        </is>
      </c>
      <c r="D1366" s="8" t="inlineStr">
        <is>
          <t>Électricité</t>
        </is>
      </c>
      <c r="E1366" s="8" t="inlineStr">
        <is>
          <t>Électricité</t>
        </is>
      </c>
      <c r="F1366" s="8" t="inlineStr">
        <is>
          <t>PIECE_VEHICULE</t>
        </is>
      </c>
      <c r="G1366" s="8" t="inlineStr">
        <is>
          <t>unité</t>
        </is>
      </c>
      <c r="H1366" s="8" t="inlineStr">
        <is>
          <t>SMALL</t>
        </is>
      </c>
      <c r="I1366" s="8" t="n">
        <v>5</v>
      </c>
      <c r="J1366" s="8" t="inlineStr">
        <is>
          <t>D-01-03</t>
        </is>
      </c>
      <c r="K1366" s="8" t="inlineStr"/>
      <c r="L1366" s="10" t="n">
        <v>0</v>
      </c>
      <c r="M1366" s="10" t="n">
        <v>0</v>
      </c>
      <c r="N1366" s="10" t="n">
        <v>27</v>
      </c>
      <c r="O1366" s="8" t="inlineStr">
        <is>
          <t>VAL</t>
        </is>
      </c>
      <c r="P1366" s="8" t="inlineStr">
        <is>
          <t>IMPORTANT</t>
        </is>
      </c>
      <c r="Q1366" s="8" t="inlineStr">
        <is>
          <t>WHAP</t>
        </is>
      </c>
      <c r="R1366" s="8" t="inlineStr">
        <is>
          <t>OUI</t>
        </is>
      </c>
      <c r="S1366" s="8" t="inlineStr">
        <is>
          <t>31/08/2026 02:59</t>
        </is>
      </c>
    </row>
    <row r="1367">
      <c r="A1367" s="7" t="inlineStr">
        <is>
          <t>WHAP-1363</t>
        </is>
      </c>
      <c r="B1367" s="7" t="inlineStr">
        <is>
          <t>ELE-1363</t>
        </is>
      </c>
      <c r="C1367" s="7" t="inlineStr">
        <is>
          <t>convertisseur DC-DC — compartiment moteur</t>
        </is>
      </c>
      <c r="D1367" s="7" t="inlineStr">
        <is>
          <t>Électricité</t>
        </is>
      </c>
      <c r="E1367" s="7" t="inlineStr">
        <is>
          <t>Électricité</t>
        </is>
      </c>
      <c r="F1367" s="7" t="inlineStr">
        <is>
          <t>PIECE_VEHICULE</t>
        </is>
      </c>
      <c r="G1367" s="7" t="inlineStr">
        <is>
          <t>unité</t>
        </is>
      </c>
      <c r="H1367" s="7" t="inlineStr">
        <is>
          <t>SMALL</t>
        </is>
      </c>
      <c r="I1367" s="7" t="n">
        <v>5</v>
      </c>
      <c r="J1367" s="7" t="inlineStr">
        <is>
          <t>A-01-02</t>
        </is>
      </c>
      <c r="K1367" s="7" t="inlineStr"/>
      <c r="L1367" s="9" t="n">
        <v>0</v>
      </c>
      <c r="M1367" s="9" t="n">
        <v>0</v>
      </c>
      <c r="N1367" s="9" t="n">
        <v>25</v>
      </c>
      <c r="O1367" s="7" t="inlineStr">
        <is>
          <t>MAG</t>
        </is>
      </c>
      <c r="P1367" s="7" t="inlineStr">
        <is>
          <t>IMPORTANT</t>
        </is>
      </c>
      <c r="Q1367" s="7" t="inlineStr">
        <is>
          <t>WHAP</t>
        </is>
      </c>
      <c r="R1367" s="7" t="inlineStr">
        <is>
          <t>OUI</t>
        </is>
      </c>
      <c r="S1367" s="7" t="inlineStr">
        <is>
          <t>31/08/2026 02:59</t>
        </is>
      </c>
    </row>
    <row r="1368">
      <c r="A1368" s="8" t="inlineStr">
        <is>
          <t>WHAP-1364</t>
        </is>
      </c>
      <c r="B1368" s="8" t="inlineStr">
        <is>
          <t>ELE-1364</t>
        </is>
      </c>
      <c r="C1368" s="8" t="inlineStr">
        <is>
          <t>onduleur — compartiment moteur</t>
        </is>
      </c>
      <c r="D1368" s="8" t="inlineStr">
        <is>
          <t>Électricité</t>
        </is>
      </c>
      <c r="E1368" s="8" t="inlineStr">
        <is>
          <t>Électricité</t>
        </is>
      </c>
      <c r="F1368" s="8" t="inlineStr">
        <is>
          <t>PIECE_VEHICULE</t>
        </is>
      </c>
      <c r="G1368" s="8" t="inlineStr">
        <is>
          <t>unité</t>
        </is>
      </c>
      <c r="H1368" s="8" t="inlineStr">
        <is>
          <t>SMALL</t>
        </is>
      </c>
      <c r="I1368" s="8" t="n">
        <v>5</v>
      </c>
      <c r="J1368" s="8" t="inlineStr">
        <is>
          <t>E-03-02</t>
        </is>
      </c>
      <c r="K1368" s="8" t="inlineStr"/>
      <c r="L1368" s="10" t="n">
        <v>0</v>
      </c>
      <c r="M1368" s="10" t="n">
        <v>0</v>
      </c>
      <c r="N1368" s="10" t="n">
        <v>31</v>
      </c>
      <c r="O1368" s="8" t="inlineStr">
        <is>
          <t>HEL</t>
        </is>
      </c>
      <c r="P1368" s="8" t="inlineStr">
        <is>
          <t>IMPORTANT</t>
        </is>
      </c>
      <c r="Q1368" s="8" t="inlineStr">
        <is>
          <t>WHAP</t>
        </is>
      </c>
      <c r="R1368" s="8" t="inlineStr">
        <is>
          <t>OUI</t>
        </is>
      </c>
      <c r="S1368" s="8" t="inlineStr">
        <is>
          <t>31/08/2026 02:59</t>
        </is>
      </c>
    </row>
    <row r="1369">
      <c r="A1369" s="7" t="inlineStr">
        <is>
          <t>WHAP-1365</t>
        </is>
      </c>
      <c r="B1369" s="7" t="inlineStr">
        <is>
          <t>ELE-1365</t>
        </is>
      </c>
      <c r="C1369" s="7" t="inlineStr">
        <is>
          <t>chargeur — compartiment moteur</t>
        </is>
      </c>
      <c r="D1369" s="7" t="inlineStr">
        <is>
          <t>Électricité</t>
        </is>
      </c>
      <c r="E1369" s="7" t="inlineStr">
        <is>
          <t>Électricité</t>
        </is>
      </c>
      <c r="F1369" s="7" t="inlineStr">
        <is>
          <t>PIECE_VEHICULE</t>
        </is>
      </c>
      <c r="G1369" s="7" t="inlineStr">
        <is>
          <t>unité</t>
        </is>
      </c>
      <c r="H1369" s="7" t="inlineStr">
        <is>
          <t>SMALL</t>
        </is>
      </c>
      <c r="I1369" s="7" t="n">
        <v>5</v>
      </c>
      <c r="J1369" s="7" t="inlineStr">
        <is>
          <t>B-02-04</t>
        </is>
      </c>
      <c r="K1369" s="7" t="inlineStr"/>
      <c r="L1369" s="9" t="n">
        <v>0</v>
      </c>
      <c r="M1369" s="9" t="n">
        <v>0</v>
      </c>
      <c r="N1369" s="9" t="n">
        <v>29</v>
      </c>
      <c r="O1369" s="7" t="inlineStr">
        <is>
          <t>YZK</t>
        </is>
      </c>
      <c r="P1369" s="7" t="inlineStr">
        <is>
          <t>IMPORTANT</t>
        </is>
      </c>
      <c r="Q1369" s="7" t="inlineStr">
        <is>
          <t>WHAP</t>
        </is>
      </c>
      <c r="R1369" s="7" t="inlineStr">
        <is>
          <t>OUI</t>
        </is>
      </c>
      <c r="S1369" s="7" t="inlineStr">
        <is>
          <t>31/08/2026 02:59</t>
        </is>
      </c>
    </row>
    <row r="1370">
      <c r="A1370" s="8" t="inlineStr">
        <is>
          <t>WHAP-1366</t>
        </is>
      </c>
      <c r="B1370" s="8" t="inlineStr">
        <is>
          <t>ELE-1366</t>
        </is>
      </c>
      <c r="C1370" s="8" t="inlineStr">
        <is>
          <t>barrette de masse — compartiment moteur</t>
        </is>
      </c>
      <c r="D1370" s="8" t="inlineStr">
        <is>
          <t>Électricité</t>
        </is>
      </c>
      <c r="E1370" s="8" t="inlineStr">
        <is>
          <t>Électricité</t>
        </is>
      </c>
      <c r="F1370" s="8" t="inlineStr">
        <is>
          <t>PIECE_VEHICULE</t>
        </is>
      </c>
      <c r="G1370" s="8" t="inlineStr">
        <is>
          <t>unité</t>
        </is>
      </c>
      <c r="H1370" s="8" t="inlineStr">
        <is>
          <t>SMALL</t>
        </is>
      </c>
      <c r="I1370" s="8" t="n">
        <v>5</v>
      </c>
      <c r="J1370" s="8" t="inlineStr">
        <is>
          <t>C-04-02</t>
        </is>
      </c>
      <c r="K1370" s="8" t="inlineStr"/>
      <c r="L1370" s="10" t="n">
        <v>0</v>
      </c>
      <c r="M1370" s="10" t="n">
        <v>0</v>
      </c>
      <c r="N1370" s="10" t="n">
        <v>25</v>
      </c>
      <c r="O1370" s="8" t="inlineStr">
        <is>
          <t>DEL</t>
        </is>
      </c>
      <c r="P1370" s="8" t="inlineStr">
        <is>
          <t>IMPORTANT</t>
        </is>
      </c>
      <c r="Q1370" s="8" t="inlineStr">
        <is>
          <t>WHAP</t>
        </is>
      </c>
      <c r="R1370" s="8" t="inlineStr">
        <is>
          <t>OUI</t>
        </is>
      </c>
      <c r="S1370" s="8" t="inlineStr">
        <is>
          <t>31/08/2026 02:59</t>
        </is>
      </c>
    </row>
    <row r="1371">
      <c r="A1371" s="7" t="inlineStr">
        <is>
          <t>WHAP-1367</t>
        </is>
      </c>
      <c r="B1371" s="7" t="inlineStr">
        <is>
          <t>ELE-1367</t>
        </is>
      </c>
      <c r="C1371" s="7" t="inlineStr">
        <is>
          <t>point de masse — compartiment moteur</t>
        </is>
      </c>
      <c r="D1371" s="7" t="inlineStr">
        <is>
          <t>Électricité</t>
        </is>
      </c>
      <c r="E1371" s="7" t="inlineStr">
        <is>
          <t>Électricité</t>
        </is>
      </c>
      <c r="F1371" s="7" t="inlineStr">
        <is>
          <t>PIECE_VEHICULE</t>
        </is>
      </c>
      <c r="G1371" s="7" t="inlineStr">
        <is>
          <t>unité</t>
        </is>
      </c>
      <c r="H1371" s="7" t="inlineStr">
        <is>
          <t>SMALL</t>
        </is>
      </c>
      <c r="I1371" s="7" t="n">
        <v>5</v>
      </c>
      <c r="J1371" s="7" t="inlineStr">
        <is>
          <t>C-01-03</t>
        </is>
      </c>
      <c r="K1371" s="7" t="inlineStr"/>
      <c r="L1371" s="9" t="n">
        <v>0</v>
      </c>
      <c r="M1371" s="9" t="n">
        <v>0</v>
      </c>
      <c r="N1371" s="9" t="n">
        <v>23</v>
      </c>
      <c r="O1371" s="7" t="inlineStr">
        <is>
          <t>MAG</t>
        </is>
      </c>
      <c r="P1371" s="7" t="inlineStr">
        <is>
          <t>IMPORTANT</t>
        </is>
      </c>
      <c r="Q1371" s="7" t="inlineStr">
        <is>
          <t>WHAP</t>
        </is>
      </c>
      <c r="R1371" s="7" t="inlineStr">
        <is>
          <t>OUI</t>
        </is>
      </c>
      <c r="S1371" s="7" t="inlineStr">
        <is>
          <t>31/08/2026 02:59</t>
        </is>
      </c>
    </row>
    <row r="1372">
      <c r="A1372" s="8" t="inlineStr">
        <is>
          <t>WHAP-1368</t>
        </is>
      </c>
      <c r="B1372" s="8" t="inlineStr">
        <is>
          <t>ELE-1368</t>
        </is>
      </c>
      <c r="C1372" s="8" t="inlineStr">
        <is>
          <t>faisceau moteur — compartiment moteur</t>
        </is>
      </c>
      <c r="D1372" s="8" t="inlineStr">
        <is>
          <t>Électricité</t>
        </is>
      </c>
      <c r="E1372" s="8" t="inlineStr">
        <is>
          <t>Électricité</t>
        </is>
      </c>
      <c r="F1372" s="8" t="inlineStr">
        <is>
          <t>PIECE_VEHICULE</t>
        </is>
      </c>
      <c r="G1372" s="8" t="inlineStr">
        <is>
          <t>unité</t>
        </is>
      </c>
      <c r="H1372" s="8" t="inlineStr">
        <is>
          <t>SMALL</t>
        </is>
      </c>
      <c r="I1372" s="8" t="n">
        <v>5</v>
      </c>
      <c r="J1372" s="8" t="inlineStr">
        <is>
          <t>E-01-02</t>
        </is>
      </c>
      <c r="K1372" s="8" t="inlineStr"/>
      <c r="L1372" s="10" t="n">
        <v>0</v>
      </c>
      <c r="M1372" s="10" t="n">
        <v>0</v>
      </c>
      <c r="N1372" s="10" t="n">
        <v>29</v>
      </c>
      <c r="O1372" s="8" t="inlineStr">
        <is>
          <t>HEL</t>
        </is>
      </c>
      <c r="P1372" s="8" t="inlineStr">
        <is>
          <t>IMPORTANT</t>
        </is>
      </c>
      <c r="Q1372" s="8" t="inlineStr">
        <is>
          <t>WHAP</t>
        </is>
      </c>
      <c r="R1372" s="8" t="inlineStr">
        <is>
          <t>OUI</t>
        </is>
      </c>
      <c r="S1372" s="8" t="inlineStr">
        <is>
          <t>31/08/2026 02:59</t>
        </is>
      </c>
    </row>
    <row r="1373">
      <c r="A1373" s="7" t="inlineStr">
        <is>
          <t>WHAP-1369</t>
        </is>
      </c>
      <c r="B1373" s="7" t="inlineStr">
        <is>
          <t>ELE-1369</t>
        </is>
      </c>
      <c r="C1373" s="7" t="inlineStr">
        <is>
          <t>faisceau châssis — compartiment moteur</t>
        </is>
      </c>
      <c r="D1373" s="7" t="inlineStr">
        <is>
          <t>Électricité</t>
        </is>
      </c>
      <c r="E1373" s="7" t="inlineStr">
        <is>
          <t>Électricité</t>
        </is>
      </c>
      <c r="F1373" s="7" t="inlineStr">
        <is>
          <t>PIECE_VEHICULE</t>
        </is>
      </c>
      <c r="G1373" s="7" t="inlineStr">
        <is>
          <t>unité</t>
        </is>
      </c>
      <c r="H1373" s="7" t="inlineStr">
        <is>
          <t>SMALL</t>
        </is>
      </c>
      <c r="I1373" s="7" t="n">
        <v>5</v>
      </c>
      <c r="J1373" s="7" t="inlineStr">
        <is>
          <t>B-06-04</t>
        </is>
      </c>
      <c r="K1373" s="7" t="inlineStr"/>
      <c r="L1373" s="9" t="n">
        <v>0</v>
      </c>
      <c r="M1373" s="9" t="n">
        <v>0</v>
      </c>
      <c r="N1373" s="9" t="n">
        <v>27</v>
      </c>
      <c r="O1373" s="7" t="inlineStr">
        <is>
          <t>VAL</t>
        </is>
      </c>
      <c r="P1373" s="7" t="inlineStr">
        <is>
          <t>IMPORTANT</t>
        </is>
      </c>
      <c r="Q1373" s="7" t="inlineStr">
        <is>
          <t>WHAP</t>
        </is>
      </c>
      <c r="R1373" s="7" t="inlineStr">
        <is>
          <t>OUI</t>
        </is>
      </c>
      <c r="S1373" s="7" t="inlineStr">
        <is>
          <t>31/08/2026 02:59</t>
        </is>
      </c>
    </row>
    <row r="1374">
      <c r="A1374" s="8" t="inlineStr">
        <is>
          <t>WHAP-1370</t>
        </is>
      </c>
      <c r="B1374" s="8" t="inlineStr">
        <is>
          <t>ELE-1370</t>
        </is>
      </c>
      <c r="C1374" s="8" t="inlineStr">
        <is>
          <t>faisceau habitacle — compartiment moteur</t>
        </is>
      </c>
      <c r="D1374" s="8" t="inlineStr">
        <is>
          <t>Électricité</t>
        </is>
      </c>
      <c r="E1374" s="8" t="inlineStr">
        <is>
          <t>Électricité</t>
        </is>
      </c>
      <c r="F1374" s="8" t="inlineStr">
        <is>
          <t>PIECE_VEHICULE</t>
        </is>
      </c>
      <c r="G1374" s="8" t="inlineStr">
        <is>
          <t>unité</t>
        </is>
      </c>
      <c r="H1374" s="8" t="inlineStr">
        <is>
          <t>SMALL</t>
        </is>
      </c>
      <c r="I1374" s="8" t="n">
        <v>5</v>
      </c>
      <c r="J1374" s="8" t="inlineStr">
        <is>
          <t>B-04-04</t>
        </is>
      </c>
      <c r="K1374" s="8" t="inlineStr"/>
      <c r="L1374" s="10" t="n">
        <v>0</v>
      </c>
      <c r="M1374" s="10" t="n">
        <v>0</v>
      </c>
      <c r="N1374" s="10" t="n">
        <v>23</v>
      </c>
      <c r="O1374" s="8" t="inlineStr">
        <is>
          <t>YZK</t>
        </is>
      </c>
      <c r="P1374" s="8" t="inlineStr">
        <is>
          <t>IMPORTANT</t>
        </is>
      </c>
      <c r="Q1374" s="8" t="inlineStr">
        <is>
          <t>WHAP</t>
        </is>
      </c>
      <c r="R1374" s="8" t="inlineStr">
        <is>
          <t>OUI</t>
        </is>
      </c>
      <c r="S1374" s="8" t="inlineStr">
        <is>
          <t>31/08/2026 02:59</t>
        </is>
      </c>
    </row>
    <row r="1375">
      <c r="A1375" s="7" t="inlineStr">
        <is>
          <t>WHAP-1371</t>
        </is>
      </c>
      <c r="B1375" s="7" t="inlineStr">
        <is>
          <t>ELE-1371</t>
        </is>
      </c>
      <c r="C1375" s="7" t="inlineStr">
        <is>
          <t>faisceau éclairage — compartiment moteur</t>
        </is>
      </c>
      <c r="D1375" s="7" t="inlineStr">
        <is>
          <t>Électricité</t>
        </is>
      </c>
      <c r="E1375" s="7" t="inlineStr">
        <is>
          <t>Électricité</t>
        </is>
      </c>
      <c r="F1375" s="7" t="inlineStr">
        <is>
          <t>PIECE_VEHICULE</t>
        </is>
      </c>
      <c r="G1375" s="7" t="inlineStr">
        <is>
          <t>unité</t>
        </is>
      </c>
      <c r="H1375" s="7" t="inlineStr">
        <is>
          <t>SMALL</t>
        </is>
      </c>
      <c r="I1375" s="7" t="n">
        <v>5</v>
      </c>
      <c r="J1375" s="7" t="inlineStr">
        <is>
          <t>F-03-04</t>
        </is>
      </c>
      <c r="K1375" s="7" t="inlineStr"/>
      <c r="L1375" s="9" t="n">
        <v>0</v>
      </c>
      <c r="M1375" s="9" t="n">
        <v>0</v>
      </c>
      <c r="N1375" s="9" t="n">
        <v>24</v>
      </c>
      <c r="O1375" s="7" t="inlineStr">
        <is>
          <t>CTL</t>
        </is>
      </c>
      <c r="P1375" s="7" t="inlineStr">
        <is>
          <t>IMPORTANT</t>
        </is>
      </c>
      <c r="Q1375" s="7" t="inlineStr">
        <is>
          <t>WHAP</t>
        </is>
      </c>
      <c r="R1375" s="7" t="inlineStr">
        <is>
          <t>OUI</t>
        </is>
      </c>
      <c r="S1375" s="7" t="inlineStr">
        <is>
          <t>31/08/2026 02:59</t>
        </is>
      </c>
    </row>
    <row r="1376">
      <c r="A1376" s="8" t="inlineStr">
        <is>
          <t>WHAP-1372</t>
        </is>
      </c>
      <c r="B1376" s="8" t="inlineStr">
        <is>
          <t>ELE-1372</t>
        </is>
      </c>
      <c r="C1376" s="8" t="inlineStr">
        <is>
          <t>connecteur étanche — compartiment moteur</t>
        </is>
      </c>
      <c r="D1376" s="8" t="inlineStr">
        <is>
          <t>Électricité</t>
        </is>
      </c>
      <c r="E1376" s="8" t="inlineStr">
        <is>
          <t>Électricité</t>
        </is>
      </c>
      <c r="F1376" s="8" t="inlineStr">
        <is>
          <t>PIECE_VEHICULE</t>
        </is>
      </c>
      <c r="G1376" s="8" t="inlineStr">
        <is>
          <t>unité</t>
        </is>
      </c>
      <c r="H1376" s="8" t="inlineStr">
        <is>
          <t>SMALL</t>
        </is>
      </c>
      <c r="I1376" s="8" t="n">
        <v>5</v>
      </c>
      <c r="J1376" s="8" t="inlineStr">
        <is>
          <t>E-01-02</t>
        </is>
      </c>
      <c r="K1376" s="8" t="inlineStr"/>
      <c r="L1376" s="10" t="n">
        <v>0</v>
      </c>
      <c r="M1376" s="10" t="n">
        <v>0</v>
      </c>
      <c r="N1376" s="10" t="n">
        <v>28</v>
      </c>
      <c r="O1376" s="8" t="inlineStr">
        <is>
          <t>SUM</t>
        </is>
      </c>
      <c r="P1376" s="8" t="inlineStr">
        <is>
          <t>IMPORTANT</t>
        </is>
      </c>
      <c r="Q1376" s="8" t="inlineStr">
        <is>
          <t>WHAP</t>
        </is>
      </c>
      <c r="R1376" s="8" t="inlineStr">
        <is>
          <t>OUI</t>
        </is>
      </c>
      <c r="S1376" s="8" t="inlineStr">
        <is>
          <t>31/08/2026 02:59</t>
        </is>
      </c>
    </row>
    <row r="1377">
      <c r="A1377" s="7" t="inlineStr">
        <is>
          <t>WHAP-1373</t>
        </is>
      </c>
      <c r="B1377" s="7" t="inlineStr">
        <is>
          <t>ELE-1373</t>
        </is>
      </c>
      <c r="C1377" s="7" t="inlineStr">
        <is>
          <t>borne électrique — compartiment moteur</t>
        </is>
      </c>
      <c r="D1377" s="7" t="inlineStr">
        <is>
          <t>Électricité</t>
        </is>
      </c>
      <c r="E1377" s="7" t="inlineStr">
        <is>
          <t>Électricité</t>
        </is>
      </c>
      <c r="F1377" s="7" t="inlineStr">
        <is>
          <t>PIECE_VEHICULE</t>
        </is>
      </c>
      <c r="G1377" s="7" t="inlineStr">
        <is>
          <t>unité</t>
        </is>
      </c>
      <c r="H1377" s="7" t="inlineStr">
        <is>
          <t>SMALL</t>
        </is>
      </c>
      <c r="I1377" s="7" t="n">
        <v>5</v>
      </c>
      <c r="J1377" s="7" t="inlineStr">
        <is>
          <t>B-04-03</t>
        </is>
      </c>
      <c r="K1377" s="7" t="inlineStr"/>
      <c r="L1377" s="9" t="n">
        <v>0</v>
      </c>
      <c r="M1377" s="9" t="n">
        <v>0</v>
      </c>
      <c r="N1377" s="9" t="n">
        <v>29</v>
      </c>
      <c r="O1377" s="7" t="inlineStr">
        <is>
          <t>FAU</t>
        </is>
      </c>
      <c r="P1377" s="7" t="inlineStr">
        <is>
          <t>IMPORTANT</t>
        </is>
      </c>
      <c r="Q1377" s="7" t="inlineStr">
        <is>
          <t>WHAP</t>
        </is>
      </c>
      <c r="R1377" s="7" t="inlineStr">
        <is>
          <t>OUI</t>
        </is>
      </c>
      <c r="S1377" s="7" t="inlineStr">
        <is>
          <t>31/08/2026 02:59</t>
        </is>
      </c>
    </row>
    <row r="1378">
      <c r="A1378" s="8" t="inlineStr">
        <is>
          <t>WHAP-1374</t>
        </is>
      </c>
      <c r="B1378" s="8" t="inlineStr">
        <is>
          <t>ELE-1374</t>
        </is>
      </c>
      <c r="C1378" s="8" t="inlineStr">
        <is>
          <t>gaine électrique — compartiment moteur</t>
        </is>
      </c>
      <c r="D1378" s="8" t="inlineStr">
        <is>
          <t>Électricité</t>
        </is>
      </c>
      <c r="E1378" s="8" t="inlineStr">
        <is>
          <t>Électricité</t>
        </is>
      </c>
      <c r="F1378" s="8" t="inlineStr">
        <is>
          <t>PIECE_VEHICULE</t>
        </is>
      </c>
      <c r="G1378" s="8" t="inlineStr">
        <is>
          <t>unité</t>
        </is>
      </c>
      <c r="H1378" s="8" t="inlineStr">
        <is>
          <t>SMALL</t>
        </is>
      </c>
      <c r="I1378" s="8" t="n">
        <v>5</v>
      </c>
      <c r="J1378" s="8" t="inlineStr">
        <is>
          <t>F-01-01</t>
        </is>
      </c>
      <c r="K1378" s="8" t="inlineStr"/>
      <c r="L1378" s="10" t="n">
        <v>0</v>
      </c>
      <c r="M1378" s="10" t="n">
        <v>0</v>
      </c>
      <c r="N1378" s="10" t="n">
        <v>31</v>
      </c>
      <c r="O1378" s="8" t="inlineStr">
        <is>
          <t>VAL</t>
        </is>
      </c>
      <c r="P1378" s="8" t="inlineStr">
        <is>
          <t>IMPORTANT</t>
        </is>
      </c>
      <c r="Q1378" s="8" t="inlineStr">
        <is>
          <t>WHAP</t>
        </is>
      </c>
      <c r="R1378" s="8" t="inlineStr">
        <is>
          <t>OUI</t>
        </is>
      </c>
      <c r="S1378" s="8" t="inlineStr">
        <is>
          <t>31/08/2026 02:59</t>
        </is>
      </c>
    </row>
    <row r="1379">
      <c r="A1379" s="7" t="inlineStr">
        <is>
          <t>WHAP-1375</t>
        </is>
      </c>
      <c r="B1379" s="7" t="inlineStr">
        <is>
          <t>ELE-1375</t>
        </is>
      </c>
      <c r="C1379" s="7" t="inlineStr">
        <is>
          <t>passe-fil — compartiment moteur</t>
        </is>
      </c>
      <c r="D1379" s="7" t="inlineStr">
        <is>
          <t>Électricité</t>
        </is>
      </c>
      <c r="E1379" s="7" t="inlineStr">
        <is>
          <t>Électricité</t>
        </is>
      </c>
      <c r="F1379" s="7" t="inlineStr">
        <is>
          <t>PIECE_VEHICULE</t>
        </is>
      </c>
      <c r="G1379" s="7" t="inlineStr">
        <is>
          <t>unité</t>
        </is>
      </c>
      <c r="H1379" s="7" t="inlineStr">
        <is>
          <t>SMALL</t>
        </is>
      </c>
      <c r="I1379" s="7" t="n">
        <v>5</v>
      </c>
      <c r="J1379" s="7" t="inlineStr">
        <is>
          <t>B-04-01</t>
        </is>
      </c>
      <c r="K1379" s="7" t="inlineStr"/>
      <c r="L1379" s="9" t="n">
        <v>0</v>
      </c>
      <c r="M1379" s="9" t="n">
        <v>0</v>
      </c>
      <c r="N1379" s="9" t="n">
        <v>30</v>
      </c>
      <c r="O1379" s="7" t="inlineStr">
        <is>
          <t>VAL</t>
        </is>
      </c>
      <c r="P1379" s="7" t="inlineStr">
        <is>
          <t>IMPORTANT</t>
        </is>
      </c>
      <c r="Q1379" s="7" t="inlineStr">
        <is>
          <t>WHAP</t>
        </is>
      </c>
      <c r="R1379" s="7" t="inlineStr">
        <is>
          <t>OUI</t>
        </is>
      </c>
      <c r="S1379" s="7" t="inlineStr">
        <is>
          <t>31/08/2026 02:59</t>
        </is>
      </c>
    </row>
    <row r="1380">
      <c r="A1380" s="8" t="inlineStr">
        <is>
          <t>WHAP-1376</t>
        </is>
      </c>
      <c r="B1380" s="8" t="inlineStr">
        <is>
          <t>ELE-1376</t>
        </is>
      </c>
      <c r="C1380" s="8" t="inlineStr">
        <is>
          <t>porte-fusible — compartiment moteur</t>
        </is>
      </c>
      <c r="D1380" s="8" t="inlineStr">
        <is>
          <t>Électricité</t>
        </is>
      </c>
      <c r="E1380" s="8" t="inlineStr">
        <is>
          <t>Électricité</t>
        </is>
      </c>
      <c r="F1380" s="8" t="inlineStr">
        <is>
          <t>PIECE_VEHICULE</t>
        </is>
      </c>
      <c r="G1380" s="8" t="inlineStr">
        <is>
          <t>unité</t>
        </is>
      </c>
      <c r="H1380" s="8" t="inlineStr">
        <is>
          <t>SMALL</t>
        </is>
      </c>
      <c r="I1380" s="8" t="n">
        <v>5</v>
      </c>
      <c r="J1380" s="8" t="inlineStr">
        <is>
          <t>F-01-01</t>
        </is>
      </c>
      <c r="K1380" s="8" t="inlineStr"/>
      <c r="L1380" s="10" t="n">
        <v>0</v>
      </c>
      <c r="M1380" s="10" t="n">
        <v>0</v>
      </c>
      <c r="N1380" s="10" t="n">
        <v>26</v>
      </c>
      <c r="O1380" s="8" t="inlineStr">
        <is>
          <t>YZK</t>
        </is>
      </c>
      <c r="P1380" s="8" t="inlineStr">
        <is>
          <t>IMPORTANT</t>
        </is>
      </c>
      <c r="Q1380" s="8" t="inlineStr">
        <is>
          <t>WHAP</t>
        </is>
      </c>
      <c r="R1380" s="8" t="inlineStr">
        <is>
          <t>OUI</t>
        </is>
      </c>
      <c r="S1380" s="8" t="inlineStr">
        <is>
          <t>31/08/2026 02:59</t>
        </is>
      </c>
    </row>
    <row r="1381">
      <c r="A1381" s="7" t="inlineStr">
        <is>
          <t>WHAP-1377</t>
        </is>
      </c>
      <c r="B1381" s="7" t="inlineStr">
        <is>
          <t>ELE-1377</t>
        </is>
      </c>
      <c r="C1381" s="7" t="inlineStr">
        <is>
          <t>boîtier de distribution — compartiment moteur</t>
        </is>
      </c>
      <c r="D1381" s="7" t="inlineStr">
        <is>
          <t>Électricité</t>
        </is>
      </c>
      <c r="E1381" s="7" t="inlineStr">
        <is>
          <t>Électricité</t>
        </is>
      </c>
      <c r="F1381" s="7" t="inlineStr">
        <is>
          <t>PIECE_VEHICULE</t>
        </is>
      </c>
      <c r="G1381" s="7" t="inlineStr">
        <is>
          <t>unité</t>
        </is>
      </c>
      <c r="H1381" s="7" t="inlineStr">
        <is>
          <t>SMALL</t>
        </is>
      </c>
      <c r="I1381" s="7" t="n">
        <v>5</v>
      </c>
      <c r="J1381" s="7" t="inlineStr">
        <is>
          <t>A-06-02</t>
        </is>
      </c>
      <c r="K1381" s="7" t="inlineStr"/>
      <c r="L1381" s="9" t="n">
        <v>0</v>
      </c>
      <c r="M1381" s="9" t="n">
        <v>0</v>
      </c>
      <c r="N1381" s="9" t="n">
        <v>30</v>
      </c>
      <c r="O1381" s="7" t="inlineStr">
        <is>
          <t>HEL</t>
        </is>
      </c>
      <c r="P1381" s="7" t="inlineStr">
        <is>
          <t>IMPORTANT</t>
        </is>
      </c>
      <c r="Q1381" s="7" t="inlineStr">
        <is>
          <t>WHAP</t>
        </is>
      </c>
      <c r="R1381" s="7" t="inlineStr">
        <is>
          <t>OUI</t>
        </is>
      </c>
      <c r="S1381" s="7" t="inlineStr">
        <is>
          <t>31/08/2026 02:59</t>
        </is>
      </c>
    </row>
    <row r="1382">
      <c r="A1382" s="8" t="inlineStr">
        <is>
          <t>WHAP-1378</t>
        </is>
      </c>
      <c r="B1382" s="8" t="inlineStr">
        <is>
          <t>ELE-1378</t>
        </is>
      </c>
      <c r="C1382" s="8" t="inlineStr">
        <is>
          <t>batterie — habitacle</t>
        </is>
      </c>
      <c r="D1382" s="8" t="inlineStr">
        <is>
          <t>Électricité</t>
        </is>
      </c>
      <c r="E1382" s="8" t="inlineStr">
        <is>
          <t>Électricité</t>
        </is>
      </c>
      <c r="F1382" s="8" t="inlineStr">
        <is>
          <t>PIECE_VEHICULE</t>
        </is>
      </c>
      <c r="G1382" s="8" t="inlineStr">
        <is>
          <t>unité</t>
        </is>
      </c>
      <c r="H1382" s="8" t="inlineStr">
        <is>
          <t>SMALL</t>
        </is>
      </c>
      <c r="I1382" s="8" t="n">
        <v>5</v>
      </c>
      <c r="J1382" s="8" t="inlineStr">
        <is>
          <t>E-03-03</t>
        </is>
      </c>
      <c r="K1382" s="8" t="inlineStr"/>
      <c r="L1382" s="10" t="n">
        <v>0</v>
      </c>
      <c r="M1382" s="10" t="n">
        <v>0</v>
      </c>
      <c r="N1382" s="10" t="n">
        <v>27</v>
      </c>
      <c r="O1382" s="8" t="inlineStr">
        <is>
          <t>MAG</t>
        </is>
      </c>
      <c r="P1382" s="8" t="inlineStr">
        <is>
          <t>IMPORTANT</t>
        </is>
      </c>
      <c r="Q1382" s="8" t="inlineStr">
        <is>
          <t>WHAP</t>
        </is>
      </c>
      <c r="R1382" s="8" t="inlineStr">
        <is>
          <t>OUI</t>
        </is>
      </c>
      <c r="S1382" s="8" t="inlineStr">
        <is>
          <t>31/08/2026 02:59</t>
        </is>
      </c>
    </row>
    <row r="1383">
      <c r="A1383" s="7" t="inlineStr">
        <is>
          <t>WHAP-1379</t>
        </is>
      </c>
      <c r="B1383" s="7" t="inlineStr">
        <is>
          <t>ELE-1379</t>
        </is>
      </c>
      <c r="C1383" s="7" t="inlineStr">
        <is>
          <t>bac batterie — habitacle</t>
        </is>
      </c>
      <c r="D1383" s="7" t="inlineStr">
        <is>
          <t>Électricité</t>
        </is>
      </c>
      <c r="E1383" s="7" t="inlineStr">
        <is>
          <t>Électricité</t>
        </is>
      </c>
      <c r="F1383" s="7" t="inlineStr">
        <is>
          <t>PIECE_VEHICULE</t>
        </is>
      </c>
      <c r="G1383" s="7" t="inlineStr">
        <is>
          <t>unité</t>
        </is>
      </c>
      <c r="H1383" s="7" t="inlineStr">
        <is>
          <t>SMALL</t>
        </is>
      </c>
      <c r="I1383" s="7" t="n">
        <v>5</v>
      </c>
      <c r="J1383" s="7" t="inlineStr">
        <is>
          <t>D-06-03</t>
        </is>
      </c>
      <c r="K1383" s="7" t="inlineStr"/>
      <c r="L1383" s="9" t="n">
        <v>0</v>
      </c>
      <c r="M1383" s="9" t="n">
        <v>0</v>
      </c>
      <c r="N1383" s="9" t="n">
        <v>27</v>
      </c>
      <c r="O1383" s="7" t="inlineStr">
        <is>
          <t>FAU</t>
        </is>
      </c>
      <c r="P1383" s="7" t="inlineStr">
        <is>
          <t>IMPORTANT</t>
        </is>
      </c>
      <c r="Q1383" s="7" t="inlineStr">
        <is>
          <t>WHAP</t>
        </is>
      </c>
      <c r="R1383" s="7" t="inlineStr">
        <is>
          <t>OUI</t>
        </is>
      </c>
      <c r="S1383" s="7" t="inlineStr">
        <is>
          <t>31/08/2026 02:59</t>
        </is>
      </c>
    </row>
    <row r="1384">
      <c r="A1384" s="8" t="inlineStr">
        <is>
          <t>WHAP-1380</t>
        </is>
      </c>
      <c r="B1384" s="8" t="inlineStr">
        <is>
          <t>ELE-1380</t>
        </is>
      </c>
      <c r="C1384" s="8" t="inlineStr">
        <is>
          <t>coupe-batterie — habitacle</t>
        </is>
      </c>
      <c r="D1384" s="8" t="inlineStr">
        <is>
          <t>Électricité</t>
        </is>
      </c>
      <c r="E1384" s="8" t="inlineStr">
        <is>
          <t>Électricité</t>
        </is>
      </c>
      <c r="F1384" s="8" t="inlineStr">
        <is>
          <t>PIECE_VEHICULE</t>
        </is>
      </c>
      <c r="G1384" s="8" t="inlineStr">
        <is>
          <t>unité</t>
        </is>
      </c>
      <c r="H1384" s="8" t="inlineStr">
        <is>
          <t>SMALL</t>
        </is>
      </c>
      <c r="I1384" s="8" t="n">
        <v>5</v>
      </c>
      <c r="J1384" s="8" t="inlineStr">
        <is>
          <t>B-01-02</t>
        </is>
      </c>
      <c r="K1384" s="8" t="inlineStr"/>
      <c r="L1384" s="10" t="n">
        <v>0</v>
      </c>
      <c r="M1384" s="10" t="n">
        <v>0</v>
      </c>
      <c r="N1384" s="10" t="n">
        <v>27</v>
      </c>
      <c r="O1384" s="8" t="inlineStr">
        <is>
          <t>FAU</t>
        </is>
      </c>
      <c r="P1384" s="8" t="inlineStr">
        <is>
          <t>IMPORTANT</t>
        </is>
      </c>
      <c r="Q1384" s="8" t="inlineStr">
        <is>
          <t>WHAP</t>
        </is>
      </c>
      <c r="R1384" s="8" t="inlineStr">
        <is>
          <t>OUI</t>
        </is>
      </c>
      <c r="S1384" s="8" t="inlineStr">
        <is>
          <t>31/08/2026 02:59</t>
        </is>
      </c>
    </row>
    <row r="1385">
      <c r="A1385" s="7" t="inlineStr">
        <is>
          <t>WHAP-1381</t>
        </is>
      </c>
      <c r="B1385" s="7" t="inlineStr">
        <is>
          <t>ELE-1381</t>
        </is>
      </c>
      <c r="C1385" s="7" t="inlineStr">
        <is>
          <t>câble positif — habitacle</t>
        </is>
      </c>
      <c r="D1385" s="7" t="inlineStr">
        <is>
          <t>Électricité</t>
        </is>
      </c>
      <c r="E1385" s="7" t="inlineStr">
        <is>
          <t>Électricité</t>
        </is>
      </c>
      <c r="F1385" s="7" t="inlineStr">
        <is>
          <t>PIECE_VEHICULE</t>
        </is>
      </c>
      <c r="G1385" s="7" t="inlineStr">
        <is>
          <t>unité</t>
        </is>
      </c>
      <c r="H1385" s="7" t="inlineStr">
        <is>
          <t>SMALL</t>
        </is>
      </c>
      <c r="I1385" s="7" t="n">
        <v>5</v>
      </c>
      <c r="J1385" s="7" t="inlineStr">
        <is>
          <t>C-02-01</t>
        </is>
      </c>
      <c r="K1385" s="7" t="inlineStr"/>
      <c r="L1385" s="9" t="n">
        <v>0</v>
      </c>
      <c r="M1385" s="9" t="n">
        <v>0</v>
      </c>
      <c r="N1385" s="9" t="n">
        <v>23</v>
      </c>
      <c r="O1385" s="7" t="inlineStr">
        <is>
          <t>SUM</t>
        </is>
      </c>
      <c r="P1385" s="7" t="inlineStr">
        <is>
          <t>IMPORTANT</t>
        </is>
      </c>
      <c r="Q1385" s="7" t="inlineStr">
        <is>
          <t>WHAP</t>
        </is>
      </c>
      <c r="R1385" s="7" t="inlineStr">
        <is>
          <t>OUI</t>
        </is>
      </c>
      <c r="S1385" s="7" t="inlineStr">
        <is>
          <t>31/08/2026 02:59</t>
        </is>
      </c>
    </row>
    <row r="1386">
      <c r="A1386" s="8" t="inlineStr">
        <is>
          <t>WHAP-1382</t>
        </is>
      </c>
      <c r="B1386" s="8" t="inlineStr">
        <is>
          <t>ELE-1382</t>
        </is>
      </c>
      <c r="C1386" s="8" t="inlineStr">
        <is>
          <t>câble négatif — habitacle</t>
        </is>
      </c>
      <c r="D1386" s="8" t="inlineStr">
        <is>
          <t>Électricité</t>
        </is>
      </c>
      <c r="E1386" s="8" t="inlineStr">
        <is>
          <t>Électricité</t>
        </is>
      </c>
      <c r="F1386" s="8" t="inlineStr">
        <is>
          <t>PIECE_VEHICULE</t>
        </is>
      </c>
      <c r="G1386" s="8" t="inlineStr">
        <is>
          <t>unité</t>
        </is>
      </c>
      <c r="H1386" s="8" t="inlineStr">
        <is>
          <t>SMALL</t>
        </is>
      </c>
      <c r="I1386" s="8" t="n">
        <v>5</v>
      </c>
      <c r="J1386" s="8" t="inlineStr">
        <is>
          <t>C-05-04</t>
        </is>
      </c>
      <c r="K1386" s="8" t="inlineStr"/>
      <c r="L1386" s="10" t="n">
        <v>0</v>
      </c>
      <c r="M1386" s="10" t="n">
        <v>0</v>
      </c>
      <c r="N1386" s="10" t="n">
        <v>30</v>
      </c>
      <c r="O1386" s="8" t="inlineStr">
        <is>
          <t>SUM</t>
        </is>
      </c>
      <c r="P1386" s="8" t="inlineStr">
        <is>
          <t>IMPORTANT</t>
        </is>
      </c>
      <c r="Q1386" s="8" t="inlineStr">
        <is>
          <t>WHAP</t>
        </is>
      </c>
      <c r="R1386" s="8" t="inlineStr">
        <is>
          <t>OUI</t>
        </is>
      </c>
      <c r="S1386" s="8" t="inlineStr">
        <is>
          <t>31/08/2026 02:59</t>
        </is>
      </c>
    </row>
    <row r="1387">
      <c r="A1387" s="7" t="inlineStr">
        <is>
          <t>WHAP-1383</t>
        </is>
      </c>
      <c r="B1387" s="7" t="inlineStr">
        <is>
          <t>ELE-1383</t>
        </is>
      </c>
      <c r="C1387" s="7" t="inlineStr">
        <is>
          <t>cosse batterie — habitacle</t>
        </is>
      </c>
      <c r="D1387" s="7" t="inlineStr">
        <is>
          <t>Électricité</t>
        </is>
      </c>
      <c r="E1387" s="7" t="inlineStr">
        <is>
          <t>Électricité</t>
        </is>
      </c>
      <c r="F1387" s="7" t="inlineStr">
        <is>
          <t>PIECE_VEHICULE</t>
        </is>
      </c>
      <c r="G1387" s="7" t="inlineStr">
        <is>
          <t>unité</t>
        </is>
      </c>
      <c r="H1387" s="7" t="inlineStr">
        <is>
          <t>SMALL</t>
        </is>
      </c>
      <c r="I1387" s="7" t="n">
        <v>5</v>
      </c>
      <c r="J1387" s="7" t="inlineStr">
        <is>
          <t>E-05-01</t>
        </is>
      </c>
      <c r="K1387" s="7" t="inlineStr"/>
      <c r="L1387" s="9" t="n">
        <v>0</v>
      </c>
      <c r="M1387" s="9" t="n">
        <v>0</v>
      </c>
      <c r="N1387" s="9" t="n">
        <v>27</v>
      </c>
      <c r="O1387" s="7" t="inlineStr">
        <is>
          <t>HEL</t>
        </is>
      </c>
      <c r="P1387" s="7" t="inlineStr">
        <is>
          <t>IMPORTANT</t>
        </is>
      </c>
      <c r="Q1387" s="7" t="inlineStr">
        <is>
          <t>WHAP</t>
        </is>
      </c>
      <c r="R1387" s="7" t="inlineStr">
        <is>
          <t>OUI</t>
        </is>
      </c>
      <c r="S1387" s="7" t="inlineStr">
        <is>
          <t>31/08/2026 02:59</t>
        </is>
      </c>
    </row>
    <row r="1388">
      <c r="A1388" s="8" t="inlineStr">
        <is>
          <t>WHAP-1384</t>
        </is>
      </c>
      <c r="B1388" s="8" t="inlineStr">
        <is>
          <t>ELE-1384</t>
        </is>
      </c>
      <c r="C1388" s="8" t="inlineStr">
        <is>
          <t>alternateur — habitacle</t>
        </is>
      </c>
      <c r="D1388" s="8" t="inlineStr">
        <is>
          <t>Électricité</t>
        </is>
      </c>
      <c r="E1388" s="8" t="inlineStr">
        <is>
          <t>Électricité</t>
        </is>
      </c>
      <c r="F1388" s="8" t="inlineStr">
        <is>
          <t>PIECE_VEHICULE</t>
        </is>
      </c>
      <c r="G1388" s="8" t="inlineStr">
        <is>
          <t>unité</t>
        </is>
      </c>
      <c r="H1388" s="8" t="inlineStr">
        <is>
          <t>SMALL</t>
        </is>
      </c>
      <c r="I1388" s="8" t="n">
        <v>5</v>
      </c>
      <c r="J1388" s="8" t="inlineStr">
        <is>
          <t>B-02-02</t>
        </is>
      </c>
      <c r="K1388" s="8" t="inlineStr"/>
      <c r="L1388" s="10" t="n">
        <v>0</v>
      </c>
      <c r="M1388" s="10" t="n">
        <v>0</v>
      </c>
      <c r="N1388" s="10" t="n">
        <v>23</v>
      </c>
      <c r="O1388" s="8" t="inlineStr">
        <is>
          <t>SKF</t>
        </is>
      </c>
      <c r="P1388" s="8" t="inlineStr">
        <is>
          <t>IMPORTANT</t>
        </is>
      </c>
      <c r="Q1388" s="8" t="inlineStr">
        <is>
          <t>WHAP</t>
        </is>
      </c>
      <c r="R1388" s="8" t="inlineStr">
        <is>
          <t>OUI</t>
        </is>
      </c>
      <c r="S1388" s="8" t="inlineStr">
        <is>
          <t>31/08/2026 02:59</t>
        </is>
      </c>
    </row>
    <row r="1389">
      <c r="A1389" s="7" t="inlineStr">
        <is>
          <t>WHAP-1385</t>
        </is>
      </c>
      <c r="B1389" s="7" t="inlineStr">
        <is>
          <t>ELE-1385</t>
        </is>
      </c>
      <c r="C1389" s="7" t="inlineStr">
        <is>
          <t>démarreur — habitacle</t>
        </is>
      </c>
      <c r="D1389" s="7" t="inlineStr">
        <is>
          <t>Électricité</t>
        </is>
      </c>
      <c r="E1389" s="7" t="inlineStr">
        <is>
          <t>Électricité</t>
        </is>
      </c>
      <c r="F1389" s="7" t="inlineStr">
        <is>
          <t>PIECE_VEHICULE</t>
        </is>
      </c>
      <c r="G1389" s="7" t="inlineStr">
        <is>
          <t>unité</t>
        </is>
      </c>
      <c r="H1389" s="7" t="inlineStr">
        <is>
          <t>SMALL</t>
        </is>
      </c>
      <c r="I1389" s="7" t="n">
        <v>5</v>
      </c>
      <c r="J1389" s="7" t="inlineStr">
        <is>
          <t>D-01-01</t>
        </is>
      </c>
      <c r="K1389" s="7" t="inlineStr"/>
      <c r="L1389" s="9" t="n">
        <v>0</v>
      </c>
      <c r="M1389" s="9" t="n">
        <v>0</v>
      </c>
      <c r="N1389" s="9" t="n">
        <v>24</v>
      </c>
      <c r="O1389" s="7" t="inlineStr">
        <is>
          <t>SKF</t>
        </is>
      </c>
      <c r="P1389" s="7" t="inlineStr">
        <is>
          <t>IMPORTANT</t>
        </is>
      </c>
      <c r="Q1389" s="7" t="inlineStr">
        <is>
          <t>WHAP</t>
        </is>
      </c>
      <c r="R1389" s="7" t="inlineStr">
        <is>
          <t>OUI</t>
        </is>
      </c>
      <c r="S1389" s="7" t="inlineStr">
        <is>
          <t>31/08/2026 02:59</t>
        </is>
      </c>
    </row>
    <row r="1390">
      <c r="A1390" s="8" t="inlineStr">
        <is>
          <t>WHAP-1386</t>
        </is>
      </c>
      <c r="B1390" s="8" t="inlineStr">
        <is>
          <t>ELE-1386</t>
        </is>
      </c>
      <c r="C1390" s="8" t="inlineStr">
        <is>
          <t>relais principal — habitacle</t>
        </is>
      </c>
      <c r="D1390" s="8" t="inlineStr">
        <is>
          <t>Électricité</t>
        </is>
      </c>
      <c r="E1390" s="8" t="inlineStr">
        <is>
          <t>Électricité</t>
        </is>
      </c>
      <c r="F1390" s="8" t="inlineStr">
        <is>
          <t>PIECE_VEHICULE</t>
        </is>
      </c>
      <c r="G1390" s="8" t="inlineStr">
        <is>
          <t>unité</t>
        </is>
      </c>
      <c r="H1390" s="8" t="inlineStr">
        <is>
          <t>SMALL</t>
        </is>
      </c>
      <c r="I1390" s="8" t="n">
        <v>5</v>
      </c>
      <c r="J1390" s="8" t="inlineStr">
        <is>
          <t>C-03-01</t>
        </is>
      </c>
      <c r="K1390" s="8" t="inlineStr"/>
      <c r="L1390" s="10" t="n">
        <v>0</v>
      </c>
      <c r="M1390" s="10" t="n">
        <v>0</v>
      </c>
      <c r="N1390" s="10" t="n">
        <v>25</v>
      </c>
      <c r="O1390" s="8" t="inlineStr">
        <is>
          <t>DEL</t>
        </is>
      </c>
      <c r="P1390" s="8" t="inlineStr">
        <is>
          <t>IMPORTANT</t>
        </is>
      </c>
      <c r="Q1390" s="8" t="inlineStr">
        <is>
          <t>WHAP</t>
        </is>
      </c>
      <c r="R1390" s="8" t="inlineStr">
        <is>
          <t>OUI</t>
        </is>
      </c>
      <c r="S1390" s="8" t="inlineStr">
        <is>
          <t>31/08/2026 02:59</t>
        </is>
      </c>
    </row>
    <row r="1391">
      <c r="A1391" s="7" t="inlineStr">
        <is>
          <t>WHAP-1387</t>
        </is>
      </c>
      <c r="B1391" s="7" t="inlineStr">
        <is>
          <t>ELE-1387</t>
        </is>
      </c>
      <c r="C1391" s="7" t="inlineStr">
        <is>
          <t>boîtier fusibles — habitacle</t>
        </is>
      </c>
      <c r="D1391" s="7" t="inlineStr">
        <is>
          <t>Électricité</t>
        </is>
      </c>
      <c r="E1391" s="7" t="inlineStr">
        <is>
          <t>Électricité</t>
        </is>
      </c>
      <c r="F1391" s="7" t="inlineStr">
        <is>
          <t>PIECE_VEHICULE</t>
        </is>
      </c>
      <c r="G1391" s="7" t="inlineStr">
        <is>
          <t>unité</t>
        </is>
      </c>
      <c r="H1391" s="7" t="inlineStr">
        <is>
          <t>SMALL</t>
        </is>
      </c>
      <c r="I1391" s="7" t="n">
        <v>5</v>
      </c>
      <c r="J1391" s="7" t="inlineStr">
        <is>
          <t>A-04-02</t>
        </is>
      </c>
      <c r="K1391" s="7" t="inlineStr"/>
      <c r="L1391" s="9" t="n">
        <v>0</v>
      </c>
      <c r="M1391" s="9" t="n">
        <v>0</v>
      </c>
      <c r="N1391" s="9" t="n">
        <v>29</v>
      </c>
      <c r="O1391" s="7" t="inlineStr">
        <is>
          <t>MAG</t>
        </is>
      </c>
      <c r="P1391" s="7" t="inlineStr">
        <is>
          <t>IMPORTANT</t>
        </is>
      </c>
      <c r="Q1391" s="7" t="inlineStr">
        <is>
          <t>WHAP</t>
        </is>
      </c>
      <c r="R1391" s="7" t="inlineStr">
        <is>
          <t>OUI</t>
        </is>
      </c>
      <c r="S1391" s="7" t="inlineStr">
        <is>
          <t>31/08/2026 02:59</t>
        </is>
      </c>
    </row>
    <row r="1392">
      <c r="A1392" s="8" t="inlineStr">
        <is>
          <t>WHAP-1388</t>
        </is>
      </c>
      <c r="B1392" s="8" t="inlineStr">
        <is>
          <t>ELE-1388</t>
        </is>
      </c>
      <c r="C1392" s="8" t="inlineStr">
        <is>
          <t>fusible — habitacle</t>
        </is>
      </c>
      <c r="D1392" s="8" t="inlineStr">
        <is>
          <t>Électricité</t>
        </is>
      </c>
      <c r="E1392" s="8" t="inlineStr">
        <is>
          <t>Électricité</t>
        </is>
      </c>
      <c r="F1392" s="8" t="inlineStr">
        <is>
          <t>PIECE_VEHICULE</t>
        </is>
      </c>
      <c r="G1392" s="8" t="inlineStr">
        <is>
          <t>unité</t>
        </is>
      </c>
      <c r="H1392" s="8" t="inlineStr">
        <is>
          <t>SMALL</t>
        </is>
      </c>
      <c r="I1392" s="8" t="n">
        <v>5</v>
      </c>
      <c r="J1392" s="8" t="inlineStr">
        <is>
          <t>D-01-02</t>
        </is>
      </c>
      <c r="K1392" s="8" t="inlineStr"/>
      <c r="L1392" s="10" t="n">
        <v>0</v>
      </c>
      <c r="M1392" s="10" t="n">
        <v>0</v>
      </c>
      <c r="N1392" s="10" t="n">
        <v>24</v>
      </c>
      <c r="O1392" s="8" t="inlineStr">
        <is>
          <t>CTL</t>
        </is>
      </c>
      <c r="P1392" s="8" t="inlineStr">
        <is>
          <t>IMPORTANT</t>
        </is>
      </c>
      <c r="Q1392" s="8" t="inlineStr">
        <is>
          <t>WHAP</t>
        </is>
      </c>
      <c r="R1392" s="8" t="inlineStr">
        <is>
          <t>OUI</t>
        </is>
      </c>
      <c r="S1392" s="8" t="inlineStr">
        <is>
          <t>31/08/2026 02:59</t>
        </is>
      </c>
    </row>
    <row r="1393">
      <c r="A1393" s="7" t="inlineStr">
        <is>
          <t>WHAP-1389</t>
        </is>
      </c>
      <c r="B1393" s="7" t="inlineStr">
        <is>
          <t>ELE-1389</t>
        </is>
      </c>
      <c r="C1393" s="7" t="inlineStr">
        <is>
          <t>disjoncteur — habitacle</t>
        </is>
      </c>
      <c r="D1393" s="7" t="inlineStr">
        <is>
          <t>Électricité</t>
        </is>
      </c>
      <c r="E1393" s="7" t="inlineStr">
        <is>
          <t>Électricité</t>
        </is>
      </c>
      <c r="F1393" s="7" t="inlineStr">
        <is>
          <t>PIECE_VEHICULE</t>
        </is>
      </c>
      <c r="G1393" s="7" t="inlineStr">
        <is>
          <t>unité</t>
        </is>
      </c>
      <c r="H1393" s="7" t="inlineStr">
        <is>
          <t>SMALL</t>
        </is>
      </c>
      <c r="I1393" s="7" t="n">
        <v>5</v>
      </c>
      <c r="J1393" s="7" t="inlineStr">
        <is>
          <t>D-06-03</t>
        </is>
      </c>
      <c r="K1393" s="7" t="inlineStr"/>
      <c r="L1393" s="9" t="n">
        <v>0</v>
      </c>
      <c r="M1393" s="9" t="n">
        <v>0</v>
      </c>
      <c r="N1393" s="9" t="n">
        <v>27</v>
      </c>
      <c r="O1393" s="7" t="inlineStr">
        <is>
          <t>VAL</t>
        </is>
      </c>
      <c r="P1393" s="7" t="inlineStr">
        <is>
          <t>IMPORTANT</t>
        </is>
      </c>
      <c r="Q1393" s="7" t="inlineStr">
        <is>
          <t>WHAP</t>
        </is>
      </c>
      <c r="R1393" s="7" t="inlineStr">
        <is>
          <t>OUI</t>
        </is>
      </c>
      <c r="S1393" s="7" t="inlineStr">
        <is>
          <t>31/08/2026 02:59</t>
        </is>
      </c>
    </row>
    <row r="1394">
      <c r="A1394" s="8" t="inlineStr">
        <is>
          <t>WHAP-1390</t>
        </is>
      </c>
      <c r="B1394" s="8" t="inlineStr">
        <is>
          <t>ELE-1390</t>
        </is>
      </c>
      <c r="C1394" s="8" t="inlineStr">
        <is>
          <t>contacteur — habitacle</t>
        </is>
      </c>
      <c r="D1394" s="8" t="inlineStr">
        <is>
          <t>Électricité</t>
        </is>
      </c>
      <c r="E1394" s="8" t="inlineStr">
        <is>
          <t>Électricité</t>
        </is>
      </c>
      <c r="F1394" s="8" t="inlineStr">
        <is>
          <t>PIECE_VEHICULE</t>
        </is>
      </c>
      <c r="G1394" s="8" t="inlineStr">
        <is>
          <t>unité</t>
        </is>
      </c>
      <c r="H1394" s="8" t="inlineStr">
        <is>
          <t>SMALL</t>
        </is>
      </c>
      <c r="I1394" s="8" t="n">
        <v>5</v>
      </c>
      <c r="J1394" s="8" t="inlineStr">
        <is>
          <t>F-04-02</t>
        </is>
      </c>
      <c r="K1394" s="8" t="inlineStr"/>
      <c r="L1394" s="10" t="n">
        <v>0</v>
      </c>
      <c r="M1394" s="10" t="n">
        <v>0</v>
      </c>
      <c r="N1394" s="10" t="n">
        <v>26</v>
      </c>
      <c r="O1394" s="8" t="inlineStr">
        <is>
          <t>CTL</t>
        </is>
      </c>
      <c r="P1394" s="8" t="inlineStr">
        <is>
          <t>IMPORTANT</t>
        </is>
      </c>
      <c r="Q1394" s="8" t="inlineStr">
        <is>
          <t>WHAP</t>
        </is>
      </c>
      <c r="R1394" s="8" t="inlineStr">
        <is>
          <t>OUI</t>
        </is>
      </c>
      <c r="S1394" s="8" t="inlineStr">
        <is>
          <t>31/08/2026 02:59</t>
        </is>
      </c>
    </row>
    <row r="1395">
      <c r="A1395" s="7" t="inlineStr">
        <is>
          <t>WHAP-1391</t>
        </is>
      </c>
      <c r="B1395" s="7" t="inlineStr">
        <is>
          <t>ELE-1391</t>
        </is>
      </c>
      <c r="C1395" s="7" t="inlineStr">
        <is>
          <t>convertisseur DC-DC — habitacle</t>
        </is>
      </c>
      <c r="D1395" s="7" t="inlineStr">
        <is>
          <t>Électricité</t>
        </is>
      </c>
      <c r="E1395" s="7" t="inlineStr">
        <is>
          <t>Électricité</t>
        </is>
      </c>
      <c r="F1395" s="7" t="inlineStr">
        <is>
          <t>PIECE_VEHICULE</t>
        </is>
      </c>
      <c r="G1395" s="7" t="inlineStr">
        <is>
          <t>unité</t>
        </is>
      </c>
      <c r="H1395" s="7" t="inlineStr">
        <is>
          <t>SMALL</t>
        </is>
      </c>
      <c r="I1395" s="7" t="n">
        <v>5</v>
      </c>
      <c r="J1395" s="7" t="inlineStr">
        <is>
          <t>E-03-03</t>
        </is>
      </c>
      <c r="K1395" s="7" t="inlineStr"/>
      <c r="L1395" s="9" t="n">
        <v>0</v>
      </c>
      <c r="M1395" s="9" t="n">
        <v>0</v>
      </c>
      <c r="N1395" s="9" t="n">
        <v>30</v>
      </c>
      <c r="O1395" s="7" t="inlineStr">
        <is>
          <t>HEL</t>
        </is>
      </c>
      <c r="P1395" s="7" t="inlineStr">
        <is>
          <t>IMPORTANT</t>
        </is>
      </c>
      <c r="Q1395" s="7" t="inlineStr">
        <is>
          <t>WHAP</t>
        </is>
      </c>
      <c r="R1395" s="7" t="inlineStr">
        <is>
          <t>OUI</t>
        </is>
      </c>
      <c r="S1395" s="7" t="inlineStr">
        <is>
          <t>31/08/2026 02:59</t>
        </is>
      </c>
    </row>
    <row r="1396">
      <c r="A1396" s="8" t="inlineStr">
        <is>
          <t>WHAP-1392</t>
        </is>
      </c>
      <c r="B1396" s="8" t="inlineStr">
        <is>
          <t>ELE-1392</t>
        </is>
      </c>
      <c r="C1396" s="8" t="inlineStr">
        <is>
          <t>onduleur — habitacle</t>
        </is>
      </c>
      <c r="D1396" s="8" t="inlineStr">
        <is>
          <t>Électricité</t>
        </is>
      </c>
      <c r="E1396" s="8" t="inlineStr">
        <is>
          <t>Électricité</t>
        </is>
      </c>
      <c r="F1396" s="8" t="inlineStr">
        <is>
          <t>PIECE_VEHICULE</t>
        </is>
      </c>
      <c r="G1396" s="8" t="inlineStr">
        <is>
          <t>unité</t>
        </is>
      </c>
      <c r="H1396" s="8" t="inlineStr">
        <is>
          <t>SMALL</t>
        </is>
      </c>
      <c r="I1396" s="8" t="n">
        <v>5</v>
      </c>
      <c r="J1396" s="8" t="inlineStr">
        <is>
          <t>D-01-02</t>
        </is>
      </c>
      <c r="K1396" s="8" t="inlineStr"/>
      <c r="L1396" s="10" t="n">
        <v>0</v>
      </c>
      <c r="M1396" s="10" t="n">
        <v>0</v>
      </c>
      <c r="N1396" s="10" t="n">
        <v>31</v>
      </c>
      <c r="O1396" s="8" t="inlineStr">
        <is>
          <t>FAU</t>
        </is>
      </c>
      <c r="P1396" s="8" t="inlineStr">
        <is>
          <t>IMPORTANT</t>
        </is>
      </c>
      <c r="Q1396" s="8" t="inlineStr">
        <is>
          <t>WHAP</t>
        </is>
      </c>
      <c r="R1396" s="8" t="inlineStr">
        <is>
          <t>OUI</t>
        </is>
      </c>
      <c r="S1396" s="8" t="inlineStr">
        <is>
          <t>31/08/2026 02:59</t>
        </is>
      </c>
    </row>
    <row r="1397">
      <c r="A1397" s="7" t="inlineStr">
        <is>
          <t>WHAP-1393</t>
        </is>
      </c>
      <c r="B1397" s="7" t="inlineStr">
        <is>
          <t>ELE-1393</t>
        </is>
      </c>
      <c r="C1397" s="7" t="inlineStr">
        <is>
          <t>chargeur — habitacle</t>
        </is>
      </c>
      <c r="D1397" s="7" t="inlineStr">
        <is>
          <t>Électricité</t>
        </is>
      </c>
      <c r="E1397" s="7" t="inlineStr">
        <is>
          <t>Électricité</t>
        </is>
      </c>
      <c r="F1397" s="7" t="inlineStr">
        <is>
          <t>PIECE_VEHICULE</t>
        </is>
      </c>
      <c r="G1397" s="7" t="inlineStr">
        <is>
          <t>unité</t>
        </is>
      </c>
      <c r="H1397" s="7" t="inlineStr">
        <is>
          <t>SMALL</t>
        </is>
      </c>
      <c r="I1397" s="7" t="n">
        <v>5</v>
      </c>
      <c r="J1397" s="7" t="inlineStr">
        <is>
          <t>F-06-04</t>
        </is>
      </c>
      <c r="K1397" s="7" t="inlineStr"/>
      <c r="L1397" s="9" t="n">
        <v>0</v>
      </c>
      <c r="M1397" s="9" t="n">
        <v>0</v>
      </c>
      <c r="N1397" s="9" t="n">
        <v>32</v>
      </c>
      <c r="O1397" s="7" t="inlineStr">
        <is>
          <t>FAU</t>
        </is>
      </c>
      <c r="P1397" s="7" t="inlineStr">
        <is>
          <t>IMPORTANT</t>
        </is>
      </c>
      <c r="Q1397" s="7" t="inlineStr">
        <is>
          <t>WHAP</t>
        </is>
      </c>
      <c r="R1397" s="7" t="inlineStr">
        <is>
          <t>OUI</t>
        </is>
      </c>
      <c r="S1397" s="7" t="inlineStr">
        <is>
          <t>31/08/2026 02:59</t>
        </is>
      </c>
    </row>
    <row r="1398">
      <c r="A1398" s="8" t="inlineStr">
        <is>
          <t>WHAP-1394</t>
        </is>
      </c>
      <c r="B1398" s="8" t="inlineStr">
        <is>
          <t>ELE-1394</t>
        </is>
      </c>
      <c r="C1398" s="8" t="inlineStr">
        <is>
          <t>barrette de masse — habitacle</t>
        </is>
      </c>
      <c r="D1398" s="8" t="inlineStr">
        <is>
          <t>Électricité</t>
        </is>
      </c>
      <c r="E1398" s="8" t="inlineStr">
        <is>
          <t>Électricité</t>
        </is>
      </c>
      <c r="F1398" s="8" t="inlineStr">
        <is>
          <t>PIECE_VEHICULE</t>
        </is>
      </c>
      <c r="G1398" s="8" t="inlineStr">
        <is>
          <t>unité</t>
        </is>
      </c>
      <c r="H1398" s="8" t="inlineStr">
        <is>
          <t>SMALL</t>
        </is>
      </c>
      <c r="I1398" s="8" t="n">
        <v>5</v>
      </c>
      <c r="J1398" s="8" t="inlineStr">
        <is>
          <t>E-01-02</t>
        </is>
      </c>
      <c r="K1398" s="8" t="inlineStr"/>
      <c r="L1398" s="10" t="n">
        <v>0</v>
      </c>
      <c r="M1398" s="10" t="n">
        <v>0</v>
      </c>
      <c r="N1398" s="10" t="n">
        <v>28</v>
      </c>
      <c r="O1398" s="8" t="inlineStr">
        <is>
          <t>BOS</t>
        </is>
      </c>
      <c r="P1398" s="8" t="inlineStr">
        <is>
          <t>IMPORTANT</t>
        </is>
      </c>
      <c r="Q1398" s="8" t="inlineStr">
        <is>
          <t>WHAP</t>
        </is>
      </c>
      <c r="R1398" s="8" t="inlineStr">
        <is>
          <t>OUI</t>
        </is>
      </c>
      <c r="S1398" s="8" t="inlineStr">
        <is>
          <t>31/08/2026 02:59</t>
        </is>
      </c>
    </row>
    <row r="1399">
      <c r="A1399" s="7" t="inlineStr">
        <is>
          <t>WHAP-1395</t>
        </is>
      </c>
      <c r="B1399" s="7" t="inlineStr">
        <is>
          <t>ELE-1395</t>
        </is>
      </c>
      <c r="C1399" s="7" t="inlineStr">
        <is>
          <t>point de masse — habitacle</t>
        </is>
      </c>
      <c r="D1399" s="7" t="inlineStr">
        <is>
          <t>Électricité</t>
        </is>
      </c>
      <c r="E1399" s="7" t="inlineStr">
        <is>
          <t>Électricité</t>
        </is>
      </c>
      <c r="F1399" s="7" t="inlineStr">
        <is>
          <t>PIECE_VEHICULE</t>
        </is>
      </c>
      <c r="G1399" s="7" t="inlineStr">
        <is>
          <t>unité</t>
        </is>
      </c>
      <c r="H1399" s="7" t="inlineStr">
        <is>
          <t>SMALL</t>
        </is>
      </c>
      <c r="I1399" s="7" t="n">
        <v>5</v>
      </c>
      <c r="J1399" s="7" t="inlineStr">
        <is>
          <t>C-02-02</t>
        </is>
      </c>
      <c r="K1399" s="7" t="inlineStr"/>
      <c r="L1399" s="9" t="n">
        <v>0</v>
      </c>
      <c r="M1399" s="9" t="n">
        <v>0</v>
      </c>
      <c r="N1399" s="9" t="n">
        <v>23</v>
      </c>
      <c r="O1399" s="7" t="inlineStr">
        <is>
          <t>MAG</t>
        </is>
      </c>
      <c r="P1399" s="7" t="inlineStr">
        <is>
          <t>IMPORTANT</t>
        </is>
      </c>
      <c r="Q1399" s="7" t="inlineStr">
        <is>
          <t>WHAP</t>
        </is>
      </c>
      <c r="R1399" s="7" t="inlineStr">
        <is>
          <t>OUI</t>
        </is>
      </c>
      <c r="S1399" s="7" t="inlineStr">
        <is>
          <t>31/08/2026 02:59</t>
        </is>
      </c>
    </row>
    <row r="1400">
      <c r="A1400" s="8" t="inlineStr">
        <is>
          <t>WHAP-1396</t>
        </is>
      </c>
      <c r="B1400" s="8" t="inlineStr">
        <is>
          <t>ELE-1396</t>
        </is>
      </c>
      <c r="C1400" s="8" t="inlineStr">
        <is>
          <t>faisceau moteur — habitacle</t>
        </is>
      </c>
      <c r="D1400" s="8" t="inlineStr">
        <is>
          <t>Électricité</t>
        </is>
      </c>
      <c r="E1400" s="8" t="inlineStr">
        <is>
          <t>Électricité</t>
        </is>
      </c>
      <c r="F1400" s="8" t="inlineStr">
        <is>
          <t>PIECE_VEHICULE</t>
        </is>
      </c>
      <c r="G1400" s="8" t="inlineStr">
        <is>
          <t>unité</t>
        </is>
      </c>
      <c r="H1400" s="8" t="inlineStr">
        <is>
          <t>SMALL</t>
        </is>
      </c>
      <c r="I1400" s="8" t="n">
        <v>5</v>
      </c>
      <c r="J1400" s="8" t="inlineStr">
        <is>
          <t>F-06-03</t>
        </is>
      </c>
      <c r="K1400" s="8" t="inlineStr"/>
      <c r="L1400" s="10" t="n">
        <v>0</v>
      </c>
      <c r="M1400" s="10" t="n">
        <v>0</v>
      </c>
      <c r="N1400" s="10" t="n">
        <v>32</v>
      </c>
      <c r="O1400" s="8" t="inlineStr">
        <is>
          <t>FAU</t>
        </is>
      </c>
      <c r="P1400" s="8" t="inlineStr">
        <is>
          <t>IMPORTANT</t>
        </is>
      </c>
      <c r="Q1400" s="8" t="inlineStr">
        <is>
          <t>WHAP</t>
        </is>
      </c>
      <c r="R1400" s="8" t="inlineStr">
        <is>
          <t>OUI</t>
        </is>
      </c>
      <c r="S1400" s="8" t="inlineStr">
        <is>
          <t>31/08/2026 02:59</t>
        </is>
      </c>
    </row>
    <row r="1401">
      <c r="A1401" s="7" t="inlineStr">
        <is>
          <t>WHAP-1397</t>
        </is>
      </c>
      <c r="B1401" s="7" t="inlineStr">
        <is>
          <t>ELE-1397</t>
        </is>
      </c>
      <c r="C1401" s="7" t="inlineStr">
        <is>
          <t>faisceau châssis — habitacle</t>
        </is>
      </c>
      <c r="D1401" s="7" t="inlineStr">
        <is>
          <t>Électricité</t>
        </is>
      </c>
      <c r="E1401" s="7" t="inlineStr">
        <is>
          <t>Électricité</t>
        </is>
      </c>
      <c r="F1401" s="7" t="inlineStr">
        <is>
          <t>PIECE_VEHICULE</t>
        </is>
      </c>
      <c r="G1401" s="7" t="inlineStr">
        <is>
          <t>unité</t>
        </is>
      </c>
      <c r="H1401" s="7" t="inlineStr">
        <is>
          <t>SMALL</t>
        </is>
      </c>
      <c r="I1401" s="7" t="n">
        <v>5</v>
      </c>
      <c r="J1401" s="7" t="inlineStr">
        <is>
          <t>E-02-01</t>
        </is>
      </c>
      <c r="K1401" s="7" t="inlineStr"/>
      <c r="L1401" s="9" t="n">
        <v>0</v>
      </c>
      <c r="M1401" s="9" t="n">
        <v>0</v>
      </c>
      <c r="N1401" s="9" t="n">
        <v>29</v>
      </c>
      <c r="O1401" s="7" t="inlineStr">
        <is>
          <t>BOS</t>
        </is>
      </c>
      <c r="P1401" s="7" t="inlineStr">
        <is>
          <t>IMPORTANT</t>
        </is>
      </c>
      <c r="Q1401" s="7" t="inlineStr">
        <is>
          <t>WHAP</t>
        </is>
      </c>
      <c r="R1401" s="7" t="inlineStr">
        <is>
          <t>OUI</t>
        </is>
      </c>
      <c r="S1401" s="7" t="inlineStr">
        <is>
          <t>31/08/2026 02:59</t>
        </is>
      </c>
    </row>
    <row r="1402">
      <c r="A1402" s="8" t="inlineStr">
        <is>
          <t>WHAP-1398</t>
        </is>
      </c>
      <c r="B1402" s="8" t="inlineStr">
        <is>
          <t>ELE-1398</t>
        </is>
      </c>
      <c r="C1402" s="8" t="inlineStr">
        <is>
          <t>faisceau habitacle — habitacle</t>
        </is>
      </c>
      <c r="D1402" s="8" t="inlineStr">
        <is>
          <t>Électricité</t>
        </is>
      </c>
      <c r="E1402" s="8" t="inlineStr">
        <is>
          <t>Électricité</t>
        </is>
      </c>
      <c r="F1402" s="8" t="inlineStr">
        <is>
          <t>PIECE_VEHICULE</t>
        </is>
      </c>
      <c r="G1402" s="8" t="inlineStr">
        <is>
          <t>unité</t>
        </is>
      </c>
      <c r="H1402" s="8" t="inlineStr">
        <is>
          <t>SMALL</t>
        </is>
      </c>
      <c r="I1402" s="8" t="n">
        <v>5</v>
      </c>
      <c r="J1402" s="8" t="inlineStr">
        <is>
          <t>C-05-02</t>
        </is>
      </c>
      <c r="K1402" s="8" t="inlineStr"/>
      <c r="L1402" s="10" t="n">
        <v>0</v>
      </c>
      <c r="M1402" s="10" t="n">
        <v>0</v>
      </c>
      <c r="N1402" s="10" t="n">
        <v>23</v>
      </c>
      <c r="O1402" s="8" t="inlineStr">
        <is>
          <t>MAG</t>
        </is>
      </c>
      <c r="P1402" s="8" t="inlineStr">
        <is>
          <t>IMPORTANT</t>
        </is>
      </c>
      <c r="Q1402" s="8" t="inlineStr">
        <is>
          <t>WHAP</t>
        </is>
      </c>
      <c r="R1402" s="8" t="inlineStr">
        <is>
          <t>OUI</t>
        </is>
      </c>
      <c r="S1402" s="8" t="inlineStr">
        <is>
          <t>31/08/2026 02:59</t>
        </is>
      </c>
    </row>
    <row r="1403">
      <c r="A1403" s="7" t="inlineStr">
        <is>
          <t>WHAP-1399</t>
        </is>
      </c>
      <c r="B1403" s="7" t="inlineStr">
        <is>
          <t>ELE-1399</t>
        </is>
      </c>
      <c r="C1403" s="7" t="inlineStr">
        <is>
          <t>faisceau éclairage — habitacle</t>
        </is>
      </c>
      <c r="D1403" s="7" t="inlineStr">
        <is>
          <t>Électricité</t>
        </is>
      </c>
      <c r="E1403" s="7" t="inlineStr">
        <is>
          <t>Électricité</t>
        </is>
      </c>
      <c r="F1403" s="7" t="inlineStr">
        <is>
          <t>PIECE_VEHICULE</t>
        </is>
      </c>
      <c r="G1403" s="7" t="inlineStr">
        <is>
          <t>unité</t>
        </is>
      </c>
      <c r="H1403" s="7" t="inlineStr">
        <is>
          <t>SMALL</t>
        </is>
      </c>
      <c r="I1403" s="7" t="n">
        <v>5</v>
      </c>
      <c r="J1403" s="7" t="inlineStr">
        <is>
          <t>C-05-02</t>
        </is>
      </c>
      <c r="K1403" s="7" t="inlineStr"/>
      <c r="L1403" s="9" t="n">
        <v>0</v>
      </c>
      <c r="M1403" s="9" t="n">
        <v>0</v>
      </c>
      <c r="N1403" s="9" t="n">
        <v>29</v>
      </c>
      <c r="O1403" s="7" t="inlineStr">
        <is>
          <t>MAG</t>
        </is>
      </c>
      <c r="P1403" s="7" t="inlineStr">
        <is>
          <t>IMPORTANT</t>
        </is>
      </c>
      <c r="Q1403" s="7" t="inlineStr">
        <is>
          <t>WHAP</t>
        </is>
      </c>
      <c r="R1403" s="7" t="inlineStr">
        <is>
          <t>OUI</t>
        </is>
      </c>
      <c r="S1403" s="7" t="inlineStr">
        <is>
          <t>31/08/2026 02:59</t>
        </is>
      </c>
    </row>
    <row r="1404">
      <c r="A1404" s="8" t="inlineStr">
        <is>
          <t>WHAP-1400</t>
        </is>
      </c>
      <c r="B1404" s="8" t="inlineStr">
        <is>
          <t>ELE-1400</t>
        </is>
      </c>
      <c r="C1404" s="8" t="inlineStr">
        <is>
          <t>connecteur étanche — habitacle</t>
        </is>
      </c>
      <c r="D1404" s="8" t="inlineStr">
        <is>
          <t>Électricité</t>
        </is>
      </c>
      <c r="E1404" s="8" t="inlineStr">
        <is>
          <t>Électricité</t>
        </is>
      </c>
      <c r="F1404" s="8" t="inlineStr">
        <is>
          <t>PIECE_VEHICULE</t>
        </is>
      </c>
      <c r="G1404" s="8" t="inlineStr">
        <is>
          <t>unité</t>
        </is>
      </c>
      <c r="H1404" s="8" t="inlineStr">
        <is>
          <t>SMALL</t>
        </is>
      </c>
      <c r="I1404" s="8" t="n">
        <v>5</v>
      </c>
      <c r="J1404" s="8" t="inlineStr">
        <is>
          <t>D-04-01</t>
        </is>
      </c>
      <c r="K1404" s="8" t="inlineStr"/>
      <c r="L1404" s="10" t="n">
        <v>0</v>
      </c>
      <c r="M1404" s="10" t="n">
        <v>0</v>
      </c>
      <c r="N1404" s="10" t="n">
        <v>28</v>
      </c>
      <c r="O1404" s="8" t="inlineStr">
        <is>
          <t>CTL</t>
        </is>
      </c>
      <c r="P1404" s="8" t="inlineStr">
        <is>
          <t>IMPORTANT</t>
        </is>
      </c>
      <c r="Q1404" s="8" t="inlineStr">
        <is>
          <t>WHAP</t>
        </is>
      </c>
      <c r="R1404" s="8" t="inlineStr">
        <is>
          <t>OUI</t>
        </is>
      </c>
      <c r="S1404" s="8" t="inlineStr">
        <is>
          <t>31/08/2026 02:59</t>
        </is>
      </c>
    </row>
    <row r="1405">
      <c r="A1405" s="7" t="inlineStr">
        <is>
          <t>WHAP-1401</t>
        </is>
      </c>
      <c r="B1405" s="7" t="inlineStr">
        <is>
          <t>ELE-1401</t>
        </is>
      </c>
      <c r="C1405" s="7" t="inlineStr">
        <is>
          <t>borne électrique — habitacle</t>
        </is>
      </c>
      <c r="D1405" s="7" t="inlineStr">
        <is>
          <t>Électricité</t>
        </is>
      </c>
      <c r="E1405" s="7" t="inlineStr">
        <is>
          <t>Électricité</t>
        </is>
      </c>
      <c r="F1405" s="7" t="inlineStr">
        <is>
          <t>PIECE_VEHICULE</t>
        </is>
      </c>
      <c r="G1405" s="7" t="inlineStr">
        <is>
          <t>unité</t>
        </is>
      </c>
      <c r="H1405" s="7" t="inlineStr">
        <is>
          <t>SMALL</t>
        </is>
      </c>
      <c r="I1405" s="7" t="n">
        <v>5</v>
      </c>
      <c r="J1405" s="7" t="inlineStr">
        <is>
          <t>B-04-04</t>
        </is>
      </c>
      <c r="K1405" s="7" t="inlineStr"/>
      <c r="L1405" s="9" t="n">
        <v>0</v>
      </c>
      <c r="M1405" s="9" t="n">
        <v>0</v>
      </c>
      <c r="N1405" s="9" t="n">
        <v>23</v>
      </c>
      <c r="O1405" s="7" t="inlineStr">
        <is>
          <t>YZK</t>
        </is>
      </c>
      <c r="P1405" s="7" t="inlineStr">
        <is>
          <t>IMPORTANT</t>
        </is>
      </c>
      <c r="Q1405" s="7" t="inlineStr">
        <is>
          <t>WHAP</t>
        </is>
      </c>
      <c r="R1405" s="7" t="inlineStr">
        <is>
          <t>OUI</t>
        </is>
      </c>
      <c r="S1405" s="7" t="inlineStr">
        <is>
          <t>31/08/2026 02:59</t>
        </is>
      </c>
    </row>
    <row r="1406">
      <c r="A1406" s="8" t="inlineStr">
        <is>
          <t>WHAP-1402</t>
        </is>
      </c>
      <c r="B1406" s="8" t="inlineStr">
        <is>
          <t>ELE-1402</t>
        </is>
      </c>
      <c r="C1406" s="8" t="inlineStr">
        <is>
          <t>gaine électrique — habitacle</t>
        </is>
      </c>
      <c r="D1406" s="8" t="inlineStr">
        <is>
          <t>Électricité</t>
        </is>
      </c>
      <c r="E1406" s="8" t="inlineStr">
        <is>
          <t>Électricité</t>
        </is>
      </c>
      <c r="F1406" s="8" t="inlineStr">
        <is>
          <t>PIECE_VEHICULE</t>
        </is>
      </c>
      <c r="G1406" s="8" t="inlineStr">
        <is>
          <t>unité</t>
        </is>
      </c>
      <c r="H1406" s="8" t="inlineStr">
        <is>
          <t>SMALL</t>
        </is>
      </c>
      <c r="I1406" s="8" t="n">
        <v>5</v>
      </c>
      <c r="J1406" s="8" t="inlineStr">
        <is>
          <t>D-01-04</t>
        </is>
      </c>
      <c r="K1406" s="8" t="inlineStr"/>
      <c r="L1406" s="10" t="n">
        <v>0</v>
      </c>
      <c r="M1406" s="10" t="n">
        <v>0</v>
      </c>
      <c r="N1406" s="10" t="n">
        <v>28</v>
      </c>
      <c r="O1406" s="8" t="inlineStr">
        <is>
          <t>VAL</t>
        </is>
      </c>
      <c r="P1406" s="8" t="inlineStr">
        <is>
          <t>IMPORTANT</t>
        </is>
      </c>
      <c r="Q1406" s="8" t="inlineStr">
        <is>
          <t>WHAP</t>
        </is>
      </c>
      <c r="R1406" s="8" t="inlineStr">
        <is>
          <t>OUI</t>
        </is>
      </c>
      <c r="S1406" s="8" t="inlineStr">
        <is>
          <t>31/08/2026 02:59</t>
        </is>
      </c>
    </row>
    <row r="1407">
      <c r="A1407" s="7" t="inlineStr">
        <is>
          <t>WHAP-1403</t>
        </is>
      </c>
      <c r="B1407" s="7" t="inlineStr">
        <is>
          <t>ELE-1403</t>
        </is>
      </c>
      <c r="C1407" s="7" t="inlineStr">
        <is>
          <t>passe-fil — habitacle</t>
        </is>
      </c>
      <c r="D1407" s="7" t="inlineStr">
        <is>
          <t>Électricité</t>
        </is>
      </c>
      <c r="E1407" s="7" t="inlineStr">
        <is>
          <t>Électricité</t>
        </is>
      </c>
      <c r="F1407" s="7" t="inlineStr">
        <is>
          <t>PIECE_VEHICULE</t>
        </is>
      </c>
      <c r="G1407" s="7" t="inlineStr">
        <is>
          <t>unité</t>
        </is>
      </c>
      <c r="H1407" s="7" t="inlineStr">
        <is>
          <t>SMALL</t>
        </is>
      </c>
      <c r="I1407" s="7" t="n">
        <v>5</v>
      </c>
      <c r="J1407" s="7" t="inlineStr">
        <is>
          <t>A-04-01</t>
        </is>
      </c>
      <c r="K1407" s="7" t="inlineStr"/>
      <c r="L1407" s="9" t="n">
        <v>0</v>
      </c>
      <c r="M1407" s="9" t="n">
        <v>0</v>
      </c>
      <c r="N1407" s="9" t="n">
        <v>31</v>
      </c>
      <c r="O1407" s="7" t="inlineStr">
        <is>
          <t>DEL</t>
        </is>
      </c>
      <c r="P1407" s="7" t="inlineStr">
        <is>
          <t>IMPORTANT</t>
        </is>
      </c>
      <c r="Q1407" s="7" t="inlineStr">
        <is>
          <t>WHAP</t>
        </is>
      </c>
      <c r="R1407" s="7" t="inlineStr">
        <is>
          <t>OUI</t>
        </is>
      </c>
      <c r="S1407" s="7" t="inlineStr">
        <is>
          <t>31/08/2026 02:59</t>
        </is>
      </c>
    </row>
    <row r="1408">
      <c r="A1408" s="8" t="inlineStr">
        <is>
          <t>WHAP-1404</t>
        </is>
      </c>
      <c r="B1408" s="8" t="inlineStr">
        <is>
          <t>ELE-1404</t>
        </is>
      </c>
      <c r="C1408" s="8" t="inlineStr">
        <is>
          <t>porte-fusible — habitacle</t>
        </is>
      </c>
      <c r="D1408" s="8" t="inlineStr">
        <is>
          <t>Électricité</t>
        </is>
      </c>
      <c r="E1408" s="8" t="inlineStr">
        <is>
          <t>Électricité</t>
        </is>
      </c>
      <c r="F1408" s="8" t="inlineStr">
        <is>
          <t>PIECE_VEHICULE</t>
        </is>
      </c>
      <c r="G1408" s="8" t="inlineStr">
        <is>
          <t>unité</t>
        </is>
      </c>
      <c r="H1408" s="8" t="inlineStr">
        <is>
          <t>SMALL</t>
        </is>
      </c>
      <c r="I1408" s="8" t="n">
        <v>5</v>
      </c>
      <c r="J1408" s="8" t="inlineStr">
        <is>
          <t>B-06-01</t>
        </is>
      </c>
      <c r="K1408" s="8" t="inlineStr"/>
      <c r="L1408" s="10" t="n">
        <v>0</v>
      </c>
      <c r="M1408" s="10" t="n">
        <v>0</v>
      </c>
      <c r="N1408" s="10" t="n">
        <v>24</v>
      </c>
      <c r="O1408" s="8" t="inlineStr">
        <is>
          <t>YZK</t>
        </is>
      </c>
      <c r="P1408" s="8" t="inlineStr">
        <is>
          <t>IMPORTANT</t>
        </is>
      </c>
      <c r="Q1408" s="8" t="inlineStr">
        <is>
          <t>WHAP</t>
        </is>
      </c>
      <c r="R1408" s="8" t="inlineStr">
        <is>
          <t>OUI</t>
        </is>
      </c>
      <c r="S1408" s="8" t="inlineStr">
        <is>
          <t>31/08/2026 02:59</t>
        </is>
      </c>
    </row>
    <row r="1409">
      <c r="A1409" s="7" t="inlineStr">
        <is>
          <t>WHAP-1405</t>
        </is>
      </c>
      <c r="B1409" s="7" t="inlineStr">
        <is>
          <t>ELE-1405</t>
        </is>
      </c>
      <c r="C1409" s="7" t="inlineStr">
        <is>
          <t>boîtier de distribution — habitacle</t>
        </is>
      </c>
      <c r="D1409" s="7" t="inlineStr">
        <is>
          <t>Électricité</t>
        </is>
      </c>
      <c r="E1409" s="7" t="inlineStr">
        <is>
          <t>Électricité</t>
        </is>
      </c>
      <c r="F1409" s="7" t="inlineStr">
        <is>
          <t>PIECE_VEHICULE</t>
        </is>
      </c>
      <c r="G1409" s="7" t="inlineStr">
        <is>
          <t>unité</t>
        </is>
      </c>
      <c r="H1409" s="7" t="inlineStr">
        <is>
          <t>SMALL</t>
        </is>
      </c>
      <c r="I1409" s="7" t="n">
        <v>5</v>
      </c>
      <c r="J1409" s="7" t="inlineStr">
        <is>
          <t>B-04-03</t>
        </is>
      </c>
      <c r="K1409" s="7" t="inlineStr"/>
      <c r="L1409" s="9" t="n">
        <v>0</v>
      </c>
      <c r="M1409" s="9" t="n">
        <v>0</v>
      </c>
      <c r="N1409" s="9" t="n">
        <v>22</v>
      </c>
      <c r="O1409" s="7" t="inlineStr">
        <is>
          <t>YZK</t>
        </is>
      </c>
      <c r="P1409" s="7" t="inlineStr">
        <is>
          <t>IMPORTANT</t>
        </is>
      </c>
      <c r="Q1409" s="7" t="inlineStr">
        <is>
          <t>WHAP</t>
        </is>
      </c>
      <c r="R1409" s="7" t="inlineStr">
        <is>
          <t>OUI</t>
        </is>
      </c>
      <c r="S1409" s="7" t="inlineStr">
        <is>
          <t>31/08/2026 02:59</t>
        </is>
      </c>
    </row>
    <row r="1410">
      <c r="A1410" s="8" t="inlineStr">
        <is>
          <t>WHAP-1406</t>
        </is>
      </c>
      <c r="B1410" s="8" t="inlineStr">
        <is>
          <t>ELE-1406</t>
        </is>
      </c>
      <c r="C1410" s="8" t="inlineStr">
        <is>
          <t>batterie — arrière</t>
        </is>
      </c>
      <c r="D1410" s="8" t="inlineStr">
        <is>
          <t>Électricité</t>
        </is>
      </c>
      <c r="E1410" s="8" t="inlineStr">
        <is>
          <t>Électricité</t>
        </is>
      </c>
      <c r="F1410" s="8" t="inlineStr">
        <is>
          <t>PIECE_VEHICULE</t>
        </is>
      </c>
      <c r="G1410" s="8" t="inlineStr">
        <is>
          <t>unité</t>
        </is>
      </c>
      <c r="H1410" s="8" t="inlineStr">
        <is>
          <t>SMALL</t>
        </is>
      </c>
      <c r="I1410" s="8" t="n">
        <v>5</v>
      </c>
      <c r="J1410" s="8" t="inlineStr">
        <is>
          <t>B-02-04</t>
        </is>
      </c>
      <c r="K1410" s="8" t="inlineStr"/>
      <c r="L1410" s="10" t="n">
        <v>0</v>
      </c>
      <c r="M1410" s="10" t="n">
        <v>0</v>
      </c>
      <c r="N1410" s="10" t="n">
        <v>32</v>
      </c>
      <c r="O1410" s="8" t="inlineStr">
        <is>
          <t>SKF</t>
        </is>
      </c>
      <c r="P1410" s="8" t="inlineStr">
        <is>
          <t>IMPORTANT</t>
        </is>
      </c>
      <c r="Q1410" s="8" t="inlineStr">
        <is>
          <t>WHAP</t>
        </is>
      </c>
      <c r="R1410" s="8" t="inlineStr">
        <is>
          <t>OUI</t>
        </is>
      </c>
      <c r="S1410" s="8" t="inlineStr">
        <is>
          <t>31/08/2026 02:59</t>
        </is>
      </c>
    </row>
    <row r="1411">
      <c r="A1411" s="7" t="inlineStr">
        <is>
          <t>WHAP-1407</t>
        </is>
      </c>
      <c r="B1411" s="7" t="inlineStr">
        <is>
          <t>ELE-1407</t>
        </is>
      </c>
      <c r="C1411" s="7" t="inlineStr">
        <is>
          <t>bac batterie — arrière</t>
        </is>
      </c>
      <c r="D1411" s="7" t="inlineStr">
        <is>
          <t>Électricité</t>
        </is>
      </c>
      <c r="E1411" s="7" t="inlineStr">
        <is>
          <t>Électricité</t>
        </is>
      </c>
      <c r="F1411" s="7" t="inlineStr">
        <is>
          <t>PIECE_VEHICULE</t>
        </is>
      </c>
      <c r="G1411" s="7" t="inlineStr">
        <is>
          <t>unité</t>
        </is>
      </c>
      <c r="H1411" s="7" t="inlineStr">
        <is>
          <t>SMALL</t>
        </is>
      </c>
      <c r="I1411" s="7" t="n">
        <v>5</v>
      </c>
      <c r="J1411" s="7" t="inlineStr">
        <is>
          <t>F-02-03</t>
        </is>
      </c>
      <c r="K1411" s="7" t="inlineStr"/>
      <c r="L1411" s="9" t="n">
        <v>0</v>
      </c>
      <c r="M1411" s="9" t="n">
        <v>0</v>
      </c>
      <c r="N1411" s="9" t="n">
        <v>31</v>
      </c>
      <c r="O1411" s="7" t="inlineStr">
        <is>
          <t>YZK</t>
        </is>
      </c>
      <c r="P1411" s="7" t="inlineStr">
        <is>
          <t>IMPORTANT</t>
        </is>
      </c>
      <c r="Q1411" s="7" t="inlineStr">
        <is>
          <t>WHAP</t>
        </is>
      </c>
      <c r="R1411" s="7" t="inlineStr">
        <is>
          <t>OUI</t>
        </is>
      </c>
      <c r="S1411" s="7" t="inlineStr">
        <is>
          <t>31/08/2026 02:59</t>
        </is>
      </c>
    </row>
    <row r="1412">
      <c r="A1412" s="8" t="inlineStr">
        <is>
          <t>WHAP-1408</t>
        </is>
      </c>
      <c r="B1412" s="8" t="inlineStr">
        <is>
          <t>ELE-1408</t>
        </is>
      </c>
      <c r="C1412" s="8" t="inlineStr">
        <is>
          <t>coupe-batterie — arrière</t>
        </is>
      </c>
      <c r="D1412" s="8" t="inlineStr">
        <is>
          <t>Électricité</t>
        </is>
      </c>
      <c r="E1412" s="8" t="inlineStr">
        <is>
          <t>Électricité</t>
        </is>
      </c>
      <c r="F1412" s="8" t="inlineStr">
        <is>
          <t>PIECE_VEHICULE</t>
        </is>
      </c>
      <c r="G1412" s="8" t="inlineStr">
        <is>
          <t>unité</t>
        </is>
      </c>
      <c r="H1412" s="8" t="inlineStr">
        <is>
          <t>SMALL</t>
        </is>
      </c>
      <c r="I1412" s="8" t="n">
        <v>5</v>
      </c>
      <c r="J1412" s="8" t="inlineStr">
        <is>
          <t>B-06-03</t>
        </is>
      </c>
      <c r="K1412" s="8" t="inlineStr"/>
      <c r="L1412" s="10" t="n">
        <v>0</v>
      </c>
      <c r="M1412" s="10" t="n">
        <v>0</v>
      </c>
      <c r="N1412" s="10" t="n">
        <v>26</v>
      </c>
      <c r="O1412" s="8" t="inlineStr">
        <is>
          <t>FAU</t>
        </is>
      </c>
      <c r="P1412" s="8" t="inlineStr">
        <is>
          <t>IMPORTANT</t>
        </is>
      </c>
      <c r="Q1412" s="8" t="inlineStr">
        <is>
          <t>WHAP</t>
        </is>
      </c>
      <c r="R1412" s="8" t="inlineStr">
        <is>
          <t>OUI</t>
        </is>
      </c>
      <c r="S1412" s="8" t="inlineStr">
        <is>
          <t>31/08/2026 02:59</t>
        </is>
      </c>
    </row>
    <row r="1413">
      <c r="A1413" s="7" t="inlineStr">
        <is>
          <t>WHAP-1409</t>
        </is>
      </c>
      <c r="B1413" s="7" t="inlineStr">
        <is>
          <t>ELE-1409</t>
        </is>
      </c>
      <c r="C1413" s="7" t="inlineStr">
        <is>
          <t>câble positif — arrière</t>
        </is>
      </c>
      <c r="D1413" s="7" t="inlineStr">
        <is>
          <t>Électricité</t>
        </is>
      </c>
      <c r="E1413" s="7" t="inlineStr">
        <is>
          <t>Électricité</t>
        </is>
      </c>
      <c r="F1413" s="7" t="inlineStr">
        <is>
          <t>PIECE_VEHICULE</t>
        </is>
      </c>
      <c r="G1413" s="7" t="inlineStr">
        <is>
          <t>unité</t>
        </is>
      </c>
      <c r="H1413" s="7" t="inlineStr">
        <is>
          <t>SMALL</t>
        </is>
      </c>
      <c r="I1413" s="7" t="n">
        <v>5</v>
      </c>
      <c r="J1413" s="7" t="inlineStr">
        <is>
          <t>E-06-01</t>
        </is>
      </c>
      <c r="K1413" s="7" t="inlineStr"/>
      <c r="L1413" s="9" t="n">
        <v>0</v>
      </c>
      <c r="M1413" s="9" t="n">
        <v>0</v>
      </c>
      <c r="N1413" s="9" t="n">
        <v>24</v>
      </c>
      <c r="O1413" s="7" t="inlineStr">
        <is>
          <t>DEL</t>
        </is>
      </c>
      <c r="P1413" s="7" t="inlineStr">
        <is>
          <t>IMPORTANT</t>
        </is>
      </c>
      <c r="Q1413" s="7" t="inlineStr">
        <is>
          <t>WHAP</t>
        </is>
      </c>
      <c r="R1413" s="7" t="inlineStr">
        <is>
          <t>OUI</t>
        </is>
      </c>
      <c r="S1413" s="7" t="inlineStr">
        <is>
          <t>31/08/2026 02:59</t>
        </is>
      </c>
    </row>
    <row r="1414">
      <c r="A1414" s="8" t="inlineStr">
        <is>
          <t>WHAP-1410</t>
        </is>
      </c>
      <c r="B1414" s="8" t="inlineStr">
        <is>
          <t>ELE-1410</t>
        </is>
      </c>
      <c r="C1414" s="8" t="inlineStr">
        <is>
          <t>câble négatif — arrière</t>
        </is>
      </c>
      <c r="D1414" s="8" t="inlineStr">
        <is>
          <t>Électricité</t>
        </is>
      </c>
      <c r="E1414" s="8" t="inlineStr">
        <is>
          <t>Électricité</t>
        </is>
      </c>
      <c r="F1414" s="8" t="inlineStr">
        <is>
          <t>PIECE_VEHICULE</t>
        </is>
      </c>
      <c r="G1414" s="8" t="inlineStr">
        <is>
          <t>unité</t>
        </is>
      </c>
      <c r="H1414" s="8" t="inlineStr">
        <is>
          <t>SMALL</t>
        </is>
      </c>
      <c r="I1414" s="8" t="n">
        <v>5</v>
      </c>
      <c r="J1414" s="8" t="inlineStr">
        <is>
          <t>F-06-04</t>
        </is>
      </c>
      <c r="K1414" s="8" t="inlineStr"/>
      <c r="L1414" s="10" t="n">
        <v>0</v>
      </c>
      <c r="M1414" s="10" t="n">
        <v>0</v>
      </c>
      <c r="N1414" s="10" t="n">
        <v>32</v>
      </c>
      <c r="O1414" s="8" t="inlineStr">
        <is>
          <t>SKF</t>
        </is>
      </c>
      <c r="P1414" s="8" t="inlineStr">
        <is>
          <t>IMPORTANT</t>
        </is>
      </c>
      <c r="Q1414" s="8" t="inlineStr">
        <is>
          <t>WHAP</t>
        </is>
      </c>
      <c r="R1414" s="8" t="inlineStr">
        <is>
          <t>OUI</t>
        </is>
      </c>
      <c r="S1414" s="8" t="inlineStr">
        <is>
          <t>31/08/2026 02:59</t>
        </is>
      </c>
    </row>
    <row r="1415">
      <c r="A1415" s="7" t="inlineStr">
        <is>
          <t>WHAP-1411</t>
        </is>
      </c>
      <c r="B1415" s="7" t="inlineStr">
        <is>
          <t>ELE-1411</t>
        </is>
      </c>
      <c r="C1415" s="7" t="inlineStr">
        <is>
          <t>cosse batterie — arrière</t>
        </is>
      </c>
      <c r="D1415" s="7" t="inlineStr">
        <is>
          <t>Électricité</t>
        </is>
      </c>
      <c r="E1415" s="7" t="inlineStr">
        <is>
          <t>Électricité</t>
        </is>
      </c>
      <c r="F1415" s="7" t="inlineStr">
        <is>
          <t>PIECE_VEHICULE</t>
        </is>
      </c>
      <c r="G1415" s="7" t="inlineStr">
        <is>
          <t>unité</t>
        </is>
      </c>
      <c r="H1415" s="7" t="inlineStr">
        <is>
          <t>SMALL</t>
        </is>
      </c>
      <c r="I1415" s="7" t="n">
        <v>5</v>
      </c>
      <c r="J1415" s="7" t="inlineStr">
        <is>
          <t>D-05-02</t>
        </is>
      </c>
      <c r="K1415" s="7" t="inlineStr"/>
      <c r="L1415" s="9" t="n">
        <v>0</v>
      </c>
      <c r="M1415" s="9" t="n">
        <v>0</v>
      </c>
      <c r="N1415" s="9" t="n">
        <v>22</v>
      </c>
      <c r="O1415" s="7" t="inlineStr">
        <is>
          <t>FAU</t>
        </is>
      </c>
      <c r="P1415" s="7" t="inlineStr">
        <is>
          <t>IMPORTANT</t>
        </is>
      </c>
      <c r="Q1415" s="7" t="inlineStr">
        <is>
          <t>WHAP</t>
        </is>
      </c>
      <c r="R1415" s="7" t="inlineStr">
        <is>
          <t>OUI</t>
        </is>
      </c>
      <c r="S1415" s="7" t="inlineStr">
        <is>
          <t>31/08/2026 02:59</t>
        </is>
      </c>
    </row>
    <row r="1416">
      <c r="A1416" s="8" t="inlineStr">
        <is>
          <t>WHAP-1412</t>
        </is>
      </c>
      <c r="B1416" s="8" t="inlineStr">
        <is>
          <t>ELE-1412</t>
        </is>
      </c>
      <c r="C1416" s="8" t="inlineStr">
        <is>
          <t>alternateur — arrière</t>
        </is>
      </c>
      <c r="D1416" s="8" t="inlineStr">
        <is>
          <t>Électricité</t>
        </is>
      </c>
      <c r="E1416" s="8" t="inlineStr">
        <is>
          <t>Électricité</t>
        </is>
      </c>
      <c r="F1416" s="8" t="inlineStr">
        <is>
          <t>PIECE_VEHICULE</t>
        </is>
      </c>
      <c r="G1416" s="8" t="inlineStr">
        <is>
          <t>unité</t>
        </is>
      </c>
      <c r="H1416" s="8" t="inlineStr">
        <is>
          <t>SMALL</t>
        </is>
      </c>
      <c r="I1416" s="8" t="n">
        <v>5</v>
      </c>
      <c r="J1416" s="8" t="inlineStr">
        <is>
          <t>B-05-03</t>
        </is>
      </c>
      <c r="K1416" s="8" t="inlineStr"/>
      <c r="L1416" s="10" t="n">
        <v>0</v>
      </c>
      <c r="M1416" s="10" t="n">
        <v>0</v>
      </c>
      <c r="N1416" s="10" t="n">
        <v>24</v>
      </c>
      <c r="O1416" s="8" t="inlineStr">
        <is>
          <t>YZK</t>
        </is>
      </c>
      <c r="P1416" s="8" t="inlineStr">
        <is>
          <t>IMPORTANT</t>
        </is>
      </c>
      <c r="Q1416" s="8" t="inlineStr">
        <is>
          <t>WHAP</t>
        </is>
      </c>
      <c r="R1416" s="8" t="inlineStr">
        <is>
          <t>OUI</t>
        </is>
      </c>
      <c r="S1416" s="8" t="inlineStr">
        <is>
          <t>31/08/2026 02:59</t>
        </is>
      </c>
    </row>
    <row r="1417">
      <c r="A1417" s="7" t="inlineStr">
        <is>
          <t>WHAP-1413</t>
        </is>
      </c>
      <c r="B1417" s="7" t="inlineStr">
        <is>
          <t>ELE-1413</t>
        </is>
      </c>
      <c r="C1417" s="7" t="inlineStr">
        <is>
          <t>démarreur — arrière</t>
        </is>
      </c>
      <c r="D1417" s="7" t="inlineStr">
        <is>
          <t>Électricité</t>
        </is>
      </c>
      <c r="E1417" s="7" t="inlineStr">
        <is>
          <t>Électricité</t>
        </is>
      </c>
      <c r="F1417" s="7" t="inlineStr">
        <is>
          <t>PIECE_VEHICULE</t>
        </is>
      </c>
      <c r="G1417" s="7" t="inlineStr">
        <is>
          <t>unité</t>
        </is>
      </c>
      <c r="H1417" s="7" t="inlineStr">
        <is>
          <t>SMALL</t>
        </is>
      </c>
      <c r="I1417" s="7" t="n">
        <v>5</v>
      </c>
      <c r="J1417" s="7" t="inlineStr">
        <is>
          <t>A-02-02</t>
        </is>
      </c>
      <c r="K1417" s="7" t="inlineStr"/>
      <c r="L1417" s="9" t="n">
        <v>0</v>
      </c>
      <c r="M1417" s="9" t="n">
        <v>0</v>
      </c>
      <c r="N1417" s="9" t="n">
        <v>30</v>
      </c>
      <c r="O1417" s="7" t="inlineStr">
        <is>
          <t>MAG</t>
        </is>
      </c>
      <c r="P1417" s="7" t="inlineStr">
        <is>
          <t>IMPORTANT</t>
        </is>
      </c>
      <c r="Q1417" s="7" t="inlineStr">
        <is>
          <t>WHAP</t>
        </is>
      </c>
      <c r="R1417" s="7" t="inlineStr">
        <is>
          <t>OUI</t>
        </is>
      </c>
      <c r="S1417" s="7" t="inlineStr">
        <is>
          <t>31/08/2026 02:59</t>
        </is>
      </c>
    </row>
    <row r="1418">
      <c r="A1418" s="8" t="inlineStr">
        <is>
          <t>WHAP-1414</t>
        </is>
      </c>
      <c r="B1418" s="8" t="inlineStr">
        <is>
          <t>ELE-1414</t>
        </is>
      </c>
      <c r="C1418" s="8" t="inlineStr">
        <is>
          <t>relais principal — arrière</t>
        </is>
      </c>
      <c r="D1418" s="8" t="inlineStr">
        <is>
          <t>Électricité</t>
        </is>
      </c>
      <c r="E1418" s="8" t="inlineStr">
        <is>
          <t>Électricité</t>
        </is>
      </c>
      <c r="F1418" s="8" t="inlineStr">
        <is>
          <t>PIECE_VEHICULE</t>
        </is>
      </c>
      <c r="G1418" s="8" t="inlineStr">
        <is>
          <t>unité</t>
        </is>
      </c>
      <c r="H1418" s="8" t="inlineStr">
        <is>
          <t>SMALL</t>
        </is>
      </c>
      <c r="I1418" s="8" t="n">
        <v>5</v>
      </c>
      <c r="J1418" s="8" t="inlineStr">
        <is>
          <t>B-06-04</t>
        </is>
      </c>
      <c r="K1418" s="8" t="inlineStr"/>
      <c r="L1418" s="10" t="n">
        <v>0</v>
      </c>
      <c r="M1418" s="10" t="n">
        <v>0</v>
      </c>
      <c r="N1418" s="10" t="n">
        <v>28</v>
      </c>
      <c r="O1418" s="8" t="inlineStr">
        <is>
          <t>CTL</t>
        </is>
      </c>
      <c r="P1418" s="8" t="inlineStr">
        <is>
          <t>IMPORTANT</t>
        </is>
      </c>
      <c r="Q1418" s="8" t="inlineStr">
        <is>
          <t>WHAP</t>
        </is>
      </c>
      <c r="R1418" s="8" t="inlineStr">
        <is>
          <t>OUI</t>
        </is>
      </c>
      <c r="S1418" s="8" t="inlineStr">
        <is>
          <t>31/08/2026 02:59</t>
        </is>
      </c>
    </row>
    <row r="1419">
      <c r="A1419" s="7" t="inlineStr">
        <is>
          <t>WHAP-1415</t>
        </is>
      </c>
      <c r="B1419" s="7" t="inlineStr">
        <is>
          <t>ELE-1415</t>
        </is>
      </c>
      <c r="C1419" s="7" t="inlineStr">
        <is>
          <t>boîtier fusibles — arrière</t>
        </is>
      </c>
      <c r="D1419" s="7" t="inlineStr">
        <is>
          <t>Électricité</t>
        </is>
      </c>
      <c r="E1419" s="7" t="inlineStr">
        <is>
          <t>Électricité</t>
        </is>
      </c>
      <c r="F1419" s="7" t="inlineStr">
        <is>
          <t>PIECE_VEHICULE</t>
        </is>
      </c>
      <c r="G1419" s="7" t="inlineStr">
        <is>
          <t>unité</t>
        </is>
      </c>
      <c r="H1419" s="7" t="inlineStr">
        <is>
          <t>SMALL</t>
        </is>
      </c>
      <c r="I1419" s="7" t="n">
        <v>5</v>
      </c>
      <c r="J1419" s="7" t="inlineStr">
        <is>
          <t>E-01-04</t>
        </is>
      </c>
      <c r="K1419" s="7" t="inlineStr"/>
      <c r="L1419" s="9" t="n">
        <v>0</v>
      </c>
      <c r="M1419" s="9" t="n">
        <v>0</v>
      </c>
      <c r="N1419" s="9" t="n">
        <v>22</v>
      </c>
      <c r="O1419" s="7" t="inlineStr">
        <is>
          <t>SUM</t>
        </is>
      </c>
      <c r="P1419" s="7" t="inlineStr">
        <is>
          <t>IMPORTANT</t>
        </is>
      </c>
      <c r="Q1419" s="7" t="inlineStr">
        <is>
          <t>WHAP</t>
        </is>
      </c>
      <c r="R1419" s="7" t="inlineStr">
        <is>
          <t>OUI</t>
        </is>
      </c>
      <c r="S1419" s="7" t="inlineStr">
        <is>
          <t>31/08/2026 02:59</t>
        </is>
      </c>
    </row>
    <row r="1420">
      <c r="A1420" s="8" t="inlineStr">
        <is>
          <t>WHAP-1416</t>
        </is>
      </c>
      <c r="B1420" s="8" t="inlineStr">
        <is>
          <t>ELE-1416</t>
        </is>
      </c>
      <c r="C1420" s="8" t="inlineStr">
        <is>
          <t>fusible — arrière</t>
        </is>
      </c>
      <c r="D1420" s="8" t="inlineStr">
        <is>
          <t>Électricité</t>
        </is>
      </c>
      <c r="E1420" s="8" t="inlineStr">
        <is>
          <t>Électricité</t>
        </is>
      </c>
      <c r="F1420" s="8" t="inlineStr">
        <is>
          <t>PIECE_VEHICULE</t>
        </is>
      </c>
      <c r="G1420" s="8" t="inlineStr">
        <is>
          <t>unité</t>
        </is>
      </c>
      <c r="H1420" s="8" t="inlineStr">
        <is>
          <t>SMALL</t>
        </is>
      </c>
      <c r="I1420" s="8" t="n">
        <v>5</v>
      </c>
      <c r="J1420" s="8" t="inlineStr">
        <is>
          <t>D-04-01</t>
        </is>
      </c>
      <c r="K1420" s="8" t="inlineStr"/>
      <c r="L1420" s="10" t="n">
        <v>0</v>
      </c>
      <c r="M1420" s="10" t="n">
        <v>0</v>
      </c>
      <c r="N1420" s="10" t="n">
        <v>23</v>
      </c>
      <c r="O1420" s="8" t="inlineStr">
        <is>
          <t>SKF</t>
        </is>
      </c>
      <c r="P1420" s="8" t="inlineStr">
        <is>
          <t>IMPORTANT</t>
        </is>
      </c>
      <c r="Q1420" s="8" t="inlineStr">
        <is>
          <t>WHAP</t>
        </is>
      </c>
      <c r="R1420" s="8" t="inlineStr">
        <is>
          <t>OUI</t>
        </is>
      </c>
      <c r="S1420" s="8" t="inlineStr">
        <is>
          <t>31/08/2026 02:59</t>
        </is>
      </c>
    </row>
    <row r="1421">
      <c r="A1421" s="7" t="inlineStr">
        <is>
          <t>WHAP-1417</t>
        </is>
      </c>
      <c r="B1421" s="7" t="inlineStr">
        <is>
          <t>ELE-1417</t>
        </is>
      </c>
      <c r="C1421" s="7" t="inlineStr">
        <is>
          <t>disjoncteur — arrière</t>
        </is>
      </c>
      <c r="D1421" s="7" t="inlineStr">
        <is>
          <t>Électricité</t>
        </is>
      </c>
      <c r="E1421" s="7" t="inlineStr">
        <is>
          <t>Électricité</t>
        </is>
      </c>
      <c r="F1421" s="7" t="inlineStr">
        <is>
          <t>PIECE_VEHICULE</t>
        </is>
      </c>
      <c r="G1421" s="7" t="inlineStr">
        <is>
          <t>unité</t>
        </is>
      </c>
      <c r="H1421" s="7" t="inlineStr">
        <is>
          <t>SMALL</t>
        </is>
      </c>
      <c r="I1421" s="7" t="n">
        <v>5</v>
      </c>
      <c r="J1421" s="7" t="inlineStr">
        <is>
          <t>A-01-04</t>
        </is>
      </c>
      <c r="K1421" s="7" t="inlineStr"/>
      <c r="L1421" s="9" t="n">
        <v>0</v>
      </c>
      <c r="M1421" s="9" t="n">
        <v>0</v>
      </c>
      <c r="N1421" s="9" t="n">
        <v>28</v>
      </c>
      <c r="O1421" s="7" t="inlineStr">
        <is>
          <t>HEL</t>
        </is>
      </c>
      <c r="P1421" s="7" t="inlineStr">
        <is>
          <t>IMPORTANT</t>
        </is>
      </c>
      <c r="Q1421" s="7" t="inlineStr">
        <is>
          <t>WHAP</t>
        </is>
      </c>
      <c r="R1421" s="7" t="inlineStr">
        <is>
          <t>OUI</t>
        </is>
      </c>
      <c r="S1421" s="7" t="inlineStr">
        <is>
          <t>31/08/2026 02:59</t>
        </is>
      </c>
    </row>
    <row r="1422">
      <c r="A1422" s="8" t="inlineStr">
        <is>
          <t>WHAP-1418</t>
        </is>
      </c>
      <c r="B1422" s="8" t="inlineStr">
        <is>
          <t>ELE-1418</t>
        </is>
      </c>
      <c r="C1422" s="8" t="inlineStr">
        <is>
          <t>contacteur — arrière</t>
        </is>
      </c>
      <c r="D1422" s="8" t="inlineStr">
        <is>
          <t>Électricité</t>
        </is>
      </c>
      <c r="E1422" s="8" t="inlineStr">
        <is>
          <t>Électricité</t>
        </is>
      </c>
      <c r="F1422" s="8" t="inlineStr">
        <is>
          <t>PIECE_VEHICULE</t>
        </is>
      </c>
      <c r="G1422" s="8" t="inlineStr">
        <is>
          <t>unité</t>
        </is>
      </c>
      <c r="H1422" s="8" t="inlineStr">
        <is>
          <t>SMALL</t>
        </is>
      </c>
      <c r="I1422" s="8" t="n">
        <v>5</v>
      </c>
      <c r="J1422" s="8" t="inlineStr">
        <is>
          <t>A-05-03</t>
        </is>
      </c>
      <c r="K1422" s="8" t="inlineStr"/>
      <c r="L1422" s="10" t="n">
        <v>0</v>
      </c>
      <c r="M1422" s="10" t="n">
        <v>0</v>
      </c>
      <c r="N1422" s="10" t="n">
        <v>28</v>
      </c>
      <c r="O1422" s="8" t="inlineStr">
        <is>
          <t>MAG</t>
        </is>
      </c>
      <c r="P1422" s="8" t="inlineStr">
        <is>
          <t>IMPORTANT</t>
        </is>
      </c>
      <c r="Q1422" s="8" t="inlineStr">
        <is>
          <t>WHAP</t>
        </is>
      </c>
      <c r="R1422" s="8" t="inlineStr">
        <is>
          <t>OUI</t>
        </is>
      </c>
      <c r="S1422" s="8" t="inlineStr">
        <is>
          <t>31/08/2026 02:59</t>
        </is>
      </c>
    </row>
    <row r="1423">
      <c r="A1423" s="7" t="inlineStr">
        <is>
          <t>WHAP-1419</t>
        </is>
      </c>
      <c r="B1423" s="7" t="inlineStr">
        <is>
          <t>ELE-1419</t>
        </is>
      </c>
      <c r="C1423" s="7" t="inlineStr">
        <is>
          <t>convertisseur DC-DC — arrière</t>
        </is>
      </c>
      <c r="D1423" s="7" t="inlineStr">
        <is>
          <t>Électricité</t>
        </is>
      </c>
      <c r="E1423" s="7" t="inlineStr">
        <is>
          <t>Électricité</t>
        </is>
      </c>
      <c r="F1423" s="7" t="inlineStr">
        <is>
          <t>PIECE_VEHICULE</t>
        </is>
      </c>
      <c r="G1423" s="7" t="inlineStr">
        <is>
          <t>unité</t>
        </is>
      </c>
      <c r="H1423" s="7" t="inlineStr">
        <is>
          <t>SMALL</t>
        </is>
      </c>
      <c r="I1423" s="7" t="n">
        <v>5</v>
      </c>
      <c r="J1423" s="7" t="inlineStr">
        <is>
          <t>C-03-02</t>
        </is>
      </c>
      <c r="K1423" s="7" t="inlineStr"/>
      <c r="L1423" s="9" t="n">
        <v>0</v>
      </c>
      <c r="M1423" s="9" t="n">
        <v>0</v>
      </c>
      <c r="N1423" s="9" t="n">
        <v>28</v>
      </c>
      <c r="O1423" s="7" t="inlineStr">
        <is>
          <t>HEL</t>
        </is>
      </c>
      <c r="P1423" s="7" t="inlineStr">
        <is>
          <t>IMPORTANT</t>
        </is>
      </c>
      <c r="Q1423" s="7" t="inlineStr">
        <is>
          <t>WHAP</t>
        </is>
      </c>
      <c r="R1423" s="7" t="inlineStr">
        <is>
          <t>OUI</t>
        </is>
      </c>
      <c r="S1423" s="7" t="inlineStr">
        <is>
          <t>31/08/2026 02:59</t>
        </is>
      </c>
    </row>
    <row r="1424">
      <c r="A1424" s="8" t="inlineStr">
        <is>
          <t>WHAP-1420</t>
        </is>
      </c>
      <c r="B1424" s="8" t="inlineStr">
        <is>
          <t>ELE-1420</t>
        </is>
      </c>
      <c r="C1424" s="8" t="inlineStr">
        <is>
          <t>onduleur — arrière</t>
        </is>
      </c>
      <c r="D1424" s="8" t="inlineStr">
        <is>
          <t>Électricité</t>
        </is>
      </c>
      <c r="E1424" s="8" t="inlineStr">
        <is>
          <t>Électricité</t>
        </is>
      </c>
      <c r="F1424" s="8" t="inlineStr">
        <is>
          <t>PIECE_VEHICULE</t>
        </is>
      </c>
      <c r="G1424" s="8" t="inlineStr">
        <is>
          <t>unité</t>
        </is>
      </c>
      <c r="H1424" s="8" t="inlineStr">
        <is>
          <t>SMALL</t>
        </is>
      </c>
      <c r="I1424" s="8" t="n">
        <v>5</v>
      </c>
      <c r="J1424" s="8" t="inlineStr">
        <is>
          <t>E-06-03</t>
        </is>
      </c>
      <c r="K1424" s="8" t="inlineStr"/>
      <c r="L1424" s="10" t="n">
        <v>0</v>
      </c>
      <c r="M1424" s="10" t="n">
        <v>0</v>
      </c>
      <c r="N1424" s="10" t="n">
        <v>30</v>
      </c>
      <c r="O1424" s="8" t="inlineStr">
        <is>
          <t>SUM</t>
        </is>
      </c>
      <c r="P1424" s="8" t="inlineStr">
        <is>
          <t>IMPORTANT</t>
        </is>
      </c>
      <c r="Q1424" s="8" t="inlineStr">
        <is>
          <t>WHAP</t>
        </is>
      </c>
      <c r="R1424" s="8" t="inlineStr">
        <is>
          <t>OUI</t>
        </is>
      </c>
      <c r="S1424" s="8" t="inlineStr">
        <is>
          <t>31/08/2026 02:59</t>
        </is>
      </c>
    </row>
    <row r="1425">
      <c r="A1425" s="7" t="inlineStr">
        <is>
          <t>WHAP-1421</t>
        </is>
      </c>
      <c r="B1425" s="7" t="inlineStr">
        <is>
          <t>ELE-1421</t>
        </is>
      </c>
      <c r="C1425" s="7" t="inlineStr">
        <is>
          <t>chargeur — arrière</t>
        </is>
      </c>
      <c r="D1425" s="7" t="inlineStr">
        <is>
          <t>Électricité</t>
        </is>
      </c>
      <c r="E1425" s="7" t="inlineStr">
        <is>
          <t>Électricité</t>
        </is>
      </c>
      <c r="F1425" s="7" t="inlineStr">
        <is>
          <t>PIECE_VEHICULE</t>
        </is>
      </c>
      <c r="G1425" s="7" t="inlineStr">
        <is>
          <t>unité</t>
        </is>
      </c>
      <c r="H1425" s="7" t="inlineStr">
        <is>
          <t>SMALL</t>
        </is>
      </c>
      <c r="I1425" s="7" t="n">
        <v>5</v>
      </c>
      <c r="J1425" s="7" t="inlineStr">
        <is>
          <t>A-05-02</t>
        </is>
      </c>
      <c r="K1425" s="7" t="inlineStr"/>
      <c r="L1425" s="9" t="n">
        <v>0</v>
      </c>
      <c r="M1425" s="9" t="n">
        <v>0</v>
      </c>
      <c r="N1425" s="9" t="n">
        <v>23</v>
      </c>
      <c r="O1425" s="7" t="inlineStr">
        <is>
          <t>HEL</t>
        </is>
      </c>
      <c r="P1425" s="7" t="inlineStr">
        <is>
          <t>IMPORTANT</t>
        </is>
      </c>
      <c r="Q1425" s="7" t="inlineStr">
        <is>
          <t>WHAP</t>
        </is>
      </c>
      <c r="R1425" s="7" t="inlineStr">
        <is>
          <t>OUI</t>
        </is>
      </c>
      <c r="S1425" s="7" t="inlineStr">
        <is>
          <t>31/08/2026 02:59</t>
        </is>
      </c>
    </row>
    <row r="1426">
      <c r="A1426" s="8" t="inlineStr">
        <is>
          <t>WHAP-1422</t>
        </is>
      </c>
      <c r="B1426" s="8" t="inlineStr">
        <is>
          <t>ELE-1422</t>
        </is>
      </c>
      <c r="C1426" s="8" t="inlineStr">
        <is>
          <t>barrette de masse — arrière</t>
        </is>
      </c>
      <c r="D1426" s="8" t="inlineStr">
        <is>
          <t>Électricité</t>
        </is>
      </c>
      <c r="E1426" s="8" t="inlineStr">
        <is>
          <t>Électricité</t>
        </is>
      </c>
      <c r="F1426" s="8" t="inlineStr">
        <is>
          <t>PIECE_VEHICULE</t>
        </is>
      </c>
      <c r="G1426" s="8" t="inlineStr">
        <is>
          <t>unité</t>
        </is>
      </c>
      <c r="H1426" s="8" t="inlineStr">
        <is>
          <t>SMALL</t>
        </is>
      </c>
      <c r="I1426" s="8" t="n">
        <v>5</v>
      </c>
      <c r="J1426" s="8" t="inlineStr">
        <is>
          <t>B-03-02</t>
        </is>
      </c>
      <c r="K1426" s="8" t="inlineStr"/>
      <c r="L1426" s="10" t="n">
        <v>0</v>
      </c>
      <c r="M1426" s="10" t="n">
        <v>0</v>
      </c>
      <c r="N1426" s="10" t="n">
        <v>26</v>
      </c>
      <c r="O1426" s="8" t="inlineStr">
        <is>
          <t>SKF</t>
        </is>
      </c>
      <c r="P1426" s="8" t="inlineStr">
        <is>
          <t>IMPORTANT</t>
        </is>
      </c>
      <c r="Q1426" s="8" t="inlineStr">
        <is>
          <t>WHAP</t>
        </is>
      </c>
      <c r="R1426" s="8" t="inlineStr">
        <is>
          <t>OUI</t>
        </is>
      </c>
      <c r="S1426" s="8" t="inlineStr">
        <is>
          <t>31/08/2026 02:59</t>
        </is>
      </c>
    </row>
    <row r="1427">
      <c r="A1427" s="7" t="inlineStr">
        <is>
          <t>WHAP-1423</t>
        </is>
      </c>
      <c r="B1427" s="7" t="inlineStr">
        <is>
          <t>ELE-1423</t>
        </is>
      </c>
      <c r="C1427" s="7" t="inlineStr">
        <is>
          <t>point de masse — arrière</t>
        </is>
      </c>
      <c r="D1427" s="7" t="inlineStr">
        <is>
          <t>Électricité</t>
        </is>
      </c>
      <c r="E1427" s="7" t="inlineStr">
        <is>
          <t>Électricité</t>
        </is>
      </c>
      <c r="F1427" s="7" t="inlineStr">
        <is>
          <t>PIECE_VEHICULE</t>
        </is>
      </c>
      <c r="G1427" s="7" t="inlineStr">
        <is>
          <t>unité</t>
        </is>
      </c>
      <c r="H1427" s="7" t="inlineStr">
        <is>
          <t>SMALL</t>
        </is>
      </c>
      <c r="I1427" s="7" t="n">
        <v>5</v>
      </c>
      <c r="J1427" s="7" t="inlineStr">
        <is>
          <t>F-02-02</t>
        </is>
      </c>
      <c r="K1427" s="7" t="inlineStr"/>
      <c r="L1427" s="9" t="n">
        <v>0</v>
      </c>
      <c r="M1427" s="9" t="n">
        <v>0</v>
      </c>
      <c r="N1427" s="9" t="n">
        <v>22</v>
      </c>
      <c r="O1427" s="7" t="inlineStr">
        <is>
          <t>YZK</t>
        </is>
      </c>
      <c r="P1427" s="7" t="inlineStr">
        <is>
          <t>IMPORTANT</t>
        </is>
      </c>
      <c r="Q1427" s="7" t="inlineStr">
        <is>
          <t>WHAP</t>
        </is>
      </c>
      <c r="R1427" s="7" t="inlineStr">
        <is>
          <t>OUI</t>
        </is>
      </c>
      <c r="S1427" s="7" t="inlineStr">
        <is>
          <t>31/08/2026 02:59</t>
        </is>
      </c>
    </row>
    <row r="1428">
      <c r="A1428" s="8" t="inlineStr">
        <is>
          <t>WHAP-1424</t>
        </is>
      </c>
      <c r="B1428" s="8" t="inlineStr">
        <is>
          <t>ELE-1424</t>
        </is>
      </c>
      <c r="C1428" s="8" t="inlineStr">
        <is>
          <t>faisceau moteur — arrière</t>
        </is>
      </c>
      <c r="D1428" s="8" t="inlineStr">
        <is>
          <t>Électricité</t>
        </is>
      </c>
      <c r="E1428" s="8" t="inlineStr">
        <is>
          <t>Électricité</t>
        </is>
      </c>
      <c r="F1428" s="8" t="inlineStr">
        <is>
          <t>PIECE_VEHICULE</t>
        </is>
      </c>
      <c r="G1428" s="8" t="inlineStr">
        <is>
          <t>unité</t>
        </is>
      </c>
      <c r="H1428" s="8" t="inlineStr">
        <is>
          <t>SMALL</t>
        </is>
      </c>
      <c r="I1428" s="8" t="n">
        <v>5</v>
      </c>
      <c r="J1428" s="8" t="inlineStr">
        <is>
          <t>C-06-02</t>
        </is>
      </c>
      <c r="K1428" s="8" t="inlineStr"/>
      <c r="L1428" s="10" t="n">
        <v>0</v>
      </c>
      <c r="M1428" s="10" t="n">
        <v>0</v>
      </c>
      <c r="N1428" s="10" t="n">
        <v>32</v>
      </c>
      <c r="O1428" s="8" t="inlineStr">
        <is>
          <t>MAG</t>
        </is>
      </c>
      <c r="P1428" s="8" t="inlineStr">
        <is>
          <t>IMPORTANT</t>
        </is>
      </c>
      <c r="Q1428" s="8" t="inlineStr">
        <is>
          <t>WHAP</t>
        </is>
      </c>
      <c r="R1428" s="8" t="inlineStr">
        <is>
          <t>OUI</t>
        </is>
      </c>
      <c r="S1428" s="8" t="inlineStr">
        <is>
          <t>31/08/2026 02:59</t>
        </is>
      </c>
    </row>
    <row r="1429">
      <c r="A1429" s="7" t="inlineStr">
        <is>
          <t>WHAP-1425</t>
        </is>
      </c>
      <c r="B1429" s="7" t="inlineStr">
        <is>
          <t>ELE-1425</t>
        </is>
      </c>
      <c r="C1429" s="7" t="inlineStr">
        <is>
          <t>faisceau châssis — arrière</t>
        </is>
      </c>
      <c r="D1429" s="7" t="inlineStr">
        <is>
          <t>Électricité</t>
        </is>
      </c>
      <c r="E1429" s="7" t="inlineStr">
        <is>
          <t>Électricité</t>
        </is>
      </c>
      <c r="F1429" s="7" t="inlineStr">
        <is>
          <t>PIECE_VEHICULE</t>
        </is>
      </c>
      <c r="G1429" s="7" t="inlineStr">
        <is>
          <t>unité</t>
        </is>
      </c>
      <c r="H1429" s="7" t="inlineStr">
        <is>
          <t>SMALL</t>
        </is>
      </c>
      <c r="I1429" s="7" t="n">
        <v>5</v>
      </c>
      <c r="J1429" s="7" t="inlineStr">
        <is>
          <t>E-03-01</t>
        </is>
      </c>
      <c r="K1429" s="7" t="inlineStr"/>
      <c r="L1429" s="9" t="n">
        <v>0</v>
      </c>
      <c r="M1429" s="9" t="n">
        <v>0</v>
      </c>
      <c r="N1429" s="9" t="n">
        <v>23</v>
      </c>
      <c r="O1429" s="7" t="inlineStr">
        <is>
          <t>HEL</t>
        </is>
      </c>
      <c r="P1429" s="7" t="inlineStr">
        <is>
          <t>IMPORTANT</t>
        </is>
      </c>
      <c r="Q1429" s="7" t="inlineStr">
        <is>
          <t>WHAP</t>
        </is>
      </c>
      <c r="R1429" s="7" t="inlineStr">
        <is>
          <t>OUI</t>
        </is>
      </c>
      <c r="S1429" s="7" t="inlineStr">
        <is>
          <t>31/08/2026 02:59</t>
        </is>
      </c>
    </row>
    <row r="1430">
      <c r="A1430" s="8" t="inlineStr">
        <is>
          <t>WHAP-1426</t>
        </is>
      </c>
      <c r="B1430" s="8" t="inlineStr">
        <is>
          <t>ELE-1426</t>
        </is>
      </c>
      <c r="C1430" s="8" t="inlineStr">
        <is>
          <t>faisceau habitacle — arrière</t>
        </is>
      </c>
      <c r="D1430" s="8" t="inlineStr">
        <is>
          <t>Électricité</t>
        </is>
      </c>
      <c r="E1430" s="8" t="inlineStr">
        <is>
          <t>Électricité</t>
        </is>
      </c>
      <c r="F1430" s="8" t="inlineStr">
        <is>
          <t>PIECE_VEHICULE</t>
        </is>
      </c>
      <c r="G1430" s="8" t="inlineStr">
        <is>
          <t>unité</t>
        </is>
      </c>
      <c r="H1430" s="8" t="inlineStr">
        <is>
          <t>SMALL</t>
        </is>
      </c>
      <c r="I1430" s="8" t="n">
        <v>5</v>
      </c>
      <c r="J1430" s="8" t="inlineStr">
        <is>
          <t>C-03-01</t>
        </is>
      </c>
      <c r="K1430" s="8" t="inlineStr"/>
      <c r="L1430" s="10" t="n">
        <v>0</v>
      </c>
      <c r="M1430" s="10" t="n">
        <v>0</v>
      </c>
      <c r="N1430" s="10" t="n">
        <v>28</v>
      </c>
      <c r="O1430" s="8" t="inlineStr">
        <is>
          <t>MAG</t>
        </is>
      </c>
      <c r="P1430" s="8" t="inlineStr">
        <is>
          <t>IMPORTANT</t>
        </is>
      </c>
      <c r="Q1430" s="8" t="inlineStr">
        <is>
          <t>WHAP</t>
        </is>
      </c>
      <c r="R1430" s="8" t="inlineStr">
        <is>
          <t>OUI</t>
        </is>
      </c>
      <c r="S1430" s="8" t="inlineStr">
        <is>
          <t>31/08/2026 02:59</t>
        </is>
      </c>
    </row>
    <row r="1431">
      <c r="A1431" s="7" t="inlineStr">
        <is>
          <t>WHAP-1427</t>
        </is>
      </c>
      <c r="B1431" s="7" t="inlineStr">
        <is>
          <t>ELE-1427</t>
        </is>
      </c>
      <c r="C1431" s="7" t="inlineStr">
        <is>
          <t>faisceau éclairage — arrière</t>
        </is>
      </c>
      <c r="D1431" s="7" t="inlineStr">
        <is>
          <t>Électricité</t>
        </is>
      </c>
      <c r="E1431" s="7" t="inlineStr">
        <is>
          <t>Électricité</t>
        </is>
      </c>
      <c r="F1431" s="7" t="inlineStr">
        <is>
          <t>PIECE_VEHICULE</t>
        </is>
      </c>
      <c r="G1431" s="7" t="inlineStr">
        <is>
          <t>unité</t>
        </is>
      </c>
      <c r="H1431" s="7" t="inlineStr">
        <is>
          <t>SMALL</t>
        </is>
      </c>
      <c r="I1431" s="7" t="n">
        <v>5</v>
      </c>
      <c r="J1431" s="7" t="inlineStr">
        <is>
          <t>B-05-03</t>
        </is>
      </c>
      <c r="K1431" s="7" t="inlineStr"/>
      <c r="L1431" s="9" t="n">
        <v>0</v>
      </c>
      <c r="M1431" s="9" t="n">
        <v>0</v>
      </c>
      <c r="N1431" s="9" t="n">
        <v>24</v>
      </c>
      <c r="O1431" s="7" t="inlineStr">
        <is>
          <t>SKF</t>
        </is>
      </c>
      <c r="P1431" s="7" t="inlineStr">
        <is>
          <t>IMPORTANT</t>
        </is>
      </c>
      <c r="Q1431" s="7" t="inlineStr">
        <is>
          <t>WHAP</t>
        </is>
      </c>
      <c r="R1431" s="7" t="inlineStr">
        <is>
          <t>OUI</t>
        </is>
      </c>
      <c r="S1431" s="7" t="inlineStr">
        <is>
          <t>31/08/2026 02:59</t>
        </is>
      </c>
    </row>
    <row r="1432">
      <c r="A1432" s="8" t="inlineStr">
        <is>
          <t>WHAP-1428</t>
        </is>
      </c>
      <c r="B1432" s="8" t="inlineStr">
        <is>
          <t>ELE-1428</t>
        </is>
      </c>
      <c r="C1432" s="8" t="inlineStr">
        <is>
          <t>connecteur étanche — arrière</t>
        </is>
      </c>
      <c r="D1432" s="8" t="inlineStr">
        <is>
          <t>Électricité</t>
        </is>
      </c>
      <c r="E1432" s="8" t="inlineStr">
        <is>
          <t>Électricité</t>
        </is>
      </c>
      <c r="F1432" s="8" t="inlineStr">
        <is>
          <t>PIECE_VEHICULE</t>
        </is>
      </c>
      <c r="G1432" s="8" t="inlineStr">
        <is>
          <t>unité</t>
        </is>
      </c>
      <c r="H1432" s="8" t="inlineStr">
        <is>
          <t>SMALL</t>
        </is>
      </c>
      <c r="I1432" s="8" t="n">
        <v>5</v>
      </c>
      <c r="J1432" s="8" t="inlineStr">
        <is>
          <t>D-06-01</t>
        </is>
      </c>
      <c r="K1432" s="8" t="inlineStr"/>
      <c r="L1432" s="10" t="n">
        <v>0</v>
      </c>
      <c r="M1432" s="10" t="n">
        <v>0</v>
      </c>
      <c r="N1432" s="10" t="n">
        <v>27</v>
      </c>
      <c r="O1432" s="8" t="inlineStr">
        <is>
          <t>FAU</t>
        </is>
      </c>
      <c r="P1432" s="8" t="inlineStr">
        <is>
          <t>IMPORTANT</t>
        </is>
      </c>
      <c r="Q1432" s="8" t="inlineStr">
        <is>
          <t>WHAP</t>
        </is>
      </c>
      <c r="R1432" s="8" t="inlineStr">
        <is>
          <t>OUI</t>
        </is>
      </c>
      <c r="S1432" s="8" t="inlineStr">
        <is>
          <t>31/08/2026 02:59</t>
        </is>
      </c>
    </row>
    <row r="1433">
      <c r="A1433" s="7" t="inlineStr">
        <is>
          <t>WHAP-1429</t>
        </is>
      </c>
      <c r="B1433" s="7" t="inlineStr">
        <is>
          <t>ELE-1429</t>
        </is>
      </c>
      <c r="C1433" s="7" t="inlineStr">
        <is>
          <t>borne électrique — arrière</t>
        </is>
      </c>
      <c r="D1433" s="7" t="inlineStr">
        <is>
          <t>Électricité</t>
        </is>
      </c>
      <c r="E1433" s="7" t="inlineStr">
        <is>
          <t>Électricité</t>
        </is>
      </c>
      <c r="F1433" s="7" t="inlineStr">
        <is>
          <t>PIECE_VEHICULE</t>
        </is>
      </c>
      <c r="G1433" s="7" t="inlineStr">
        <is>
          <t>unité</t>
        </is>
      </c>
      <c r="H1433" s="7" t="inlineStr">
        <is>
          <t>SMALL</t>
        </is>
      </c>
      <c r="I1433" s="7" t="n">
        <v>5</v>
      </c>
      <c r="J1433" s="7" t="inlineStr">
        <is>
          <t>B-02-02</t>
        </is>
      </c>
      <c r="K1433" s="7" t="inlineStr"/>
      <c r="L1433" s="9" t="n">
        <v>0</v>
      </c>
      <c r="M1433" s="9" t="n">
        <v>0</v>
      </c>
      <c r="N1433" s="9" t="n">
        <v>24</v>
      </c>
      <c r="O1433" s="7" t="inlineStr">
        <is>
          <t>FAU</t>
        </is>
      </c>
      <c r="P1433" s="7" t="inlineStr">
        <is>
          <t>IMPORTANT</t>
        </is>
      </c>
      <c r="Q1433" s="7" t="inlineStr">
        <is>
          <t>WHAP</t>
        </is>
      </c>
      <c r="R1433" s="7" t="inlineStr">
        <is>
          <t>OUI</t>
        </is>
      </c>
      <c r="S1433" s="7" t="inlineStr">
        <is>
          <t>31/08/2026 02:59</t>
        </is>
      </c>
    </row>
    <row r="1434">
      <c r="A1434" s="8" t="inlineStr">
        <is>
          <t>WHAP-1430</t>
        </is>
      </c>
      <c r="B1434" s="8" t="inlineStr">
        <is>
          <t>ELE-1430</t>
        </is>
      </c>
      <c r="C1434" s="8" t="inlineStr">
        <is>
          <t>gaine électrique — arrière</t>
        </is>
      </c>
      <c r="D1434" s="8" t="inlineStr">
        <is>
          <t>Électricité</t>
        </is>
      </c>
      <c r="E1434" s="8" t="inlineStr">
        <is>
          <t>Électricité</t>
        </is>
      </c>
      <c r="F1434" s="8" t="inlineStr">
        <is>
          <t>PIECE_VEHICULE</t>
        </is>
      </c>
      <c r="G1434" s="8" t="inlineStr">
        <is>
          <t>unité</t>
        </is>
      </c>
      <c r="H1434" s="8" t="inlineStr">
        <is>
          <t>SMALL</t>
        </is>
      </c>
      <c r="I1434" s="8" t="n">
        <v>5</v>
      </c>
      <c r="J1434" s="8" t="inlineStr">
        <is>
          <t>B-06-02</t>
        </is>
      </c>
      <c r="K1434" s="8" t="inlineStr"/>
      <c r="L1434" s="10" t="n">
        <v>0</v>
      </c>
      <c r="M1434" s="10" t="n">
        <v>0</v>
      </c>
      <c r="N1434" s="10" t="n">
        <v>30</v>
      </c>
      <c r="O1434" s="8" t="inlineStr">
        <is>
          <t>FAU</t>
        </is>
      </c>
      <c r="P1434" s="8" t="inlineStr">
        <is>
          <t>IMPORTANT</t>
        </is>
      </c>
      <c r="Q1434" s="8" t="inlineStr">
        <is>
          <t>WHAP</t>
        </is>
      </c>
      <c r="R1434" s="8" t="inlineStr">
        <is>
          <t>OUI</t>
        </is>
      </c>
      <c r="S1434" s="8" t="inlineStr">
        <is>
          <t>31/08/2026 02:59</t>
        </is>
      </c>
    </row>
    <row r="1435">
      <c r="A1435" s="7" t="inlineStr">
        <is>
          <t>WHAP-1431</t>
        </is>
      </c>
      <c r="B1435" s="7" t="inlineStr">
        <is>
          <t>ELE-1431</t>
        </is>
      </c>
      <c r="C1435" s="7" t="inlineStr">
        <is>
          <t>passe-fil — arrière</t>
        </is>
      </c>
      <c r="D1435" s="7" t="inlineStr">
        <is>
          <t>Électricité</t>
        </is>
      </c>
      <c r="E1435" s="7" t="inlineStr">
        <is>
          <t>Électricité</t>
        </is>
      </c>
      <c r="F1435" s="7" t="inlineStr">
        <is>
          <t>PIECE_VEHICULE</t>
        </is>
      </c>
      <c r="G1435" s="7" t="inlineStr">
        <is>
          <t>unité</t>
        </is>
      </c>
      <c r="H1435" s="7" t="inlineStr">
        <is>
          <t>SMALL</t>
        </is>
      </c>
      <c r="I1435" s="7" t="n">
        <v>5</v>
      </c>
      <c r="J1435" s="7" t="inlineStr">
        <is>
          <t>F-02-03</t>
        </is>
      </c>
      <c r="K1435" s="7" t="inlineStr"/>
      <c r="L1435" s="9" t="n">
        <v>0</v>
      </c>
      <c r="M1435" s="9" t="n">
        <v>0</v>
      </c>
      <c r="N1435" s="9" t="n">
        <v>26</v>
      </c>
      <c r="O1435" s="7" t="inlineStr">
        <is>
          <t>SKF</t>
        </is>
      </c>
      <c r="P1435" s="7" t="inlineStr">
        <is>
          <t>IMPORTANT</t>
        </is>
      </c>
      <c r="Q1435" s="7" t="inlineStr">
        <is>
          <t>WHAP</t>
        </is>
      </c>
      <c r="R1435" s="7" t="inlineStr">
        <is>
          <t>OUI</t>
        </is>
      </c>
      <c r="S1435" s="7" t="inlineStr">
        <is>
          <t>31/08/2026 02:59</t>
        </is>
      </c>
    </row>
    <row r="1436">
      <c r="A1436" s="8" t="inlineStr">
        <is>
          <t>WHAP-1432</t>
        </is>
      </c>
      <c r="B1436" s="8" t="inlineStr">
        <is>
          <t>ELE-1432</t>
        </is>
      </c>
      <c r="C1436" s="8" t="inlineStr">
        <is>
          <t>porte-fusible — arrière</t>
        </is>
      </c>
      <c r="D1436" s="8" t="inlineStr">
        <is>
          <t>Électricité</t>
        </is>
      </c>
      <c r="E1436" s="8" t="inlineStr">
        <is>
          <t>Électricité</t>
        </is>
      </c>
      <c r="F1436" s="8" t="inlineStr">
        <is>
          <t>PIECE_VEHICULE</t>
        </is>
      </c>
      <c r="G1436" s="8" t="inlineStr">
        <is>
          <t>unité</t>
        </is>
      </c>
      <c r="H1436" s="8" t="inlineStr">
        <is>
          <t>SMALL</t>
        </is>
      </c>
      <c r="I1436" s="8" t="n">
        <v>5</v>
      </c>
      <c r="J1436" s="8" t="inlineStr">
        <is>
          <t>C-06-02</t>
        </is>
      </c>
      <c r="K1436" s="8" t="inlineStr"/>
      <c r="L1436" s="10" t="n">
        <v>0</v>
      </c>
      <c r="M1436" s="10" t="n">
        <v>0</v>
      </c>
      <c r="N1436" s="10" t="n">
        <v>32</v>
      </c>
      <c r="O1436" s="8" t="inlineStr">
        <is>
          <t>BOS</t>
        </is>
      </c>
      <c r="P1436" s="8" t="inlineStr">
        <is>
          <t>IMPORTANT</t>
        </is>
      </c>
      <c r="Q1436" s="8" t="inlineStr">
        <is>
          <t>WHAP</t>
        </is>
      </c>
      <c r="R1436" s="8" t="inlineStr">
        <is>
          <t>OUI</t>
        </is>
      </c>
      <c r="S1436" s="8" t="inlineStr">
        <is>
          <t>31/08/2026 02:59</t>
        </is>
      </c>
    </row>
    <row r="1437">
      <c r="A1437" s="7" t="inlineStr">
        <is>
          <t>WHAP-1433</t>
        </is>
      </c>
      <c r="B1437" s="7" t="inlineStr">
        <is>
          <t>ELE-1433</t>
        </is>
      </c>
      <c r="C1437" s="7" t="inlineStr">
        <is>
          <t>boîtier de distribution — arrière</t>
        </is>
      </c>
      <c r="D1437" s="7" t="inlineStr">
        <is>
          <t>Électricité</t>
        </is>
      </c>
      <c r="E1437" s="7" t="inlineStr">
        <is>
          <t>Électricité</t>
        </is>
      </c>
      <c r="F1437" s="7" t="inlineStr">
        <is>
          <t>PIECE_VEHICULE</t>
        </is>
      </c>
      <c r="G1437" s="7" t="inlineStr">
        <is>
          <t>unité</t>
        </is>
      </c>
      <c r="H1437" s="7" t="inlineStr">
        <is>
          <t>SMALL</t>
        </is>
      </c>
      <c r="I1437" s="7" t="n">
        <v>5</v>
      </c>
      <c r="J1437" s="7" t="inlineStr">
        <is>
          <t>E-02-02</t>
        </is>
      </c>
      <c r="K1437" s="7" t="inlineStr"/>
      <c r="L1437" s="9" t="n">
        <v>0</v>
      </c>
      <c r="M1437" s="9" t="n">
        <v>0</v>
      </c>
      <c r="N1437" s="9" t="n">
        <v>28</v>
      </c>
      <c r="O1437" s="7" t="inlineStr">
        <is>
          <t>SUM</t>
        </is>
      </c>
      <c r="P1437" s="7" t="inlineStr">
        <is>
          <t>IMPORTANT</t>
        </is>
      </c>
      <c r="Q1437" s="7" t="inlineStr">
        <is>
          <t>WHAP</t>
        </is>
      </c>
      <c r="R1437" s="7" t="inlineStr">
        <is>
          <t>OUI</t>
        </is>
      </c>
      <c r="S1437" s="7" t="inlineStr">
        <is>
          <t>31/08/2026 02:59</t>
        </is>
      </c>
    </row>
    <row r="1438">
      <c r="A1438" s="8" t="inlineStr">
        <is>
          <t>WHAP-1434</t>
        </is>
      </c>
      <c r="B1438" s="8" t="inlineStr">
        <is>
          <t>ELC-1434</t>
        </is>
      </c>
      <c r="C1438" s="8" t="inlineStr">
        <is>
          <t>calculateur moteur — moteur</t>
        </is>
      </c>
      <c r="D1438" s="8" t="inlineStr">
        <is>
          <t>Électronique et capteurs</t>
        </is>
      </c>
      <c r="E1438" s="8" t="inlineStr">
        <is>
          <t>Électronique et capteurs</t>
        </is>
      </c>
      <c r="F1438" s="8" t="inlineStr">
        <is>
          <t>PIECE_VEHICULE</t>
        </is>
      </c>
      <c r="G1438" s="8" t="inlineStr">
        <is>
          <t>unité</t>
        </is>
      </c>
      <c r="H1438" s="8" t="inlineStr">
        <is>
          <t>SMALL</t>
        </is>
      </c>
      <c r="I1438" s="8" t="n">
        <v>5</v>
      </c>
      <c r="J1438" s="8" t="inlineStr">
        <is>
          <t>F-04-02</t>
        </is>
      </c>
      <c r="K1438" s="8" t="inlineStr"/>
      <c r="L1438" s="10" t="n">
        <v>0</v>
      </c>
      <c r="M1438" s="10" t="n">
        <v>0</v>
      </c>
      <c r="N1438" s="10" t="n">
        <v>22</v>
      </c>
      <c r="O1438" s="8" t="inlineStr">
        <is>
          <t>CTL</t>
        </is>
      </c>
      <c r="P1438" s="8" t="inlineStr">
        <is>
          <t>IMPORTANT</t>
        </is>
      </c>
      <c r="Q1438" s="8" t="inlineStr">
        <is>
          <t>WHAP</t>
        </is>
      </c>
      <c r="R1438" s="8" t="inlineStr">
        <is>
          <t>OUI</t>
        </is>
      </c>
      <c r="S1438" s="8" t="inlineStr">
        <is>
          <t>31/08/2026 02:59</t>
        </is>
      </c>
    </row>
    <row r="1439">
      <c r="A1439" s="7" t="inlineStr">
        <is>
          <t>WHAP-1435</t>
        </is>
      </c>
      <c r="B1439" s="7" t="inlineStr">
        <is>
          <t>ELC-1435</t>
        </is>
      </c>
      <c r="C1439" s="7" t="inlineStr">
        <is>
          <t>calculateur transmission — moteur</t>
        </is>
      </c>
      <c r="D1439" s="7" t="inlineStr">
        <is>
          <t>Électronique et capteurs</t>
        </is>
      </c>
      <c r="E1439" s="7" t="inlineStr">
        <is>
          <t>Électronique et capteurs</t>
        </is>
      </c>
      <c r="F1439" s="7" t="inlineStr">
        <is>
          <t>PIECE_VEHICULE</t>
        </is>
      </c>
      <c r="G1439" s="7" t="inlineStr">
        <is>
          <t>unité</t>
        </is>
      </c>
      <c r="H1439" s="7" t="inlineStr">
        <is>
          <t>SMALL</t>
        </is>
      </c>
      <c r="I1439" s="7" t="n">
        <v>5</v>
      </c>
      <c r="J1439" s="7" t="inlineStr">
        <is>
          <t>B-01-02</t>
        </is>
      </c>
      <c r="K1439" s="7" t="inlineStr"/>
      <c r="L1439" s="9" t="n">
        <v>0</v>
      </c>
      <c r="M1439" s="9" t="n">
        <v>0</v>
      </c>
      <c r="N1439" s="9" t="n">
        <v>23</v>
      </c>
      <c r="O1439" s="7" t="inlineStr">
        <is>
          <t>VAL</t>
        </is>
      </c>
      <c r="P1439" s="7" t="inlineStr">
        <is>
          <t>IMPORTANT</t>
        </is>
      </c>
      <c r="Q1439" s="7" t="inlineStr">
        <is>
          <t>WHAP</t>
        </is>
      </c>
      <c r="R1439" s="7" t="inlineStr">
        <is>
          <t>OUI</t>
        </is>
      </c>
      <c r="S1439" s="7" t="inlineStr">
        <is>
          <t>31/08/2026 02:59</t>
        </is>
      </c>
    </row>
    <row r="1440">
      <c r="A1440" s="8" t="inlineStr">
        <is>
          <t>WHAP-1436</t>
        </is>
      </c>
      <c r="B1440" s="8" t="inlineStr">
        <is>
          <t>ELC-1436</t>
        </is>
      </c>
      <c r="C1440" s="8" t="inlineStr">
        <is>
          <t>calculateur ABS — moteur</t>
        </is>
      </c>
      <c r="D1440" s="8" t="inlineStr">
        <is>
          <t>Électronique et capteurs</t>
        </is>
      </c>
      <c r="E1440" s="8" t="inlineStr">
        <is>
          <t>Électronique et capteurs</t>
        </is>
      </c>
      <c r="F1440" s="8" t="inlineStr">
        <is>
          <t>PIECE_VEHICULE</t>
        </is>
      </c>
      <c r="G1440" s="8" t="inlineStr">
        <is>
          <t>unité</t>
        </is>
      </c>
      <c r="H1440" s="8" t="inlineStr">
        <is>
          <t>SMALL</t>
        </is>
      </c>
      <c r="I1440" s="8" t="n">
        <v>5</v>
      </c>
      <c r="J1440" s="8" t="inlineStr">
        <is>
          <t>C-03-01</t>
        </is>
      </c>
      <c r="K1440" s="8" t="inlineStr"/>
      <c r="L1440" s="10" t="n">
        <v>0</v>
      </c>
      <c r="M1440" s="10" t="n">
        <v>0</v>
      </c>
      <c r="N1440" s="10" t="n">
        <v>26</v>
      </c>
      <c r="O1440" s="8" t="inlineStr">
        <is>
          <t>BOS</t>
        </is>
      </c>
      <c r="P1440" s="8" t="inlineStr">
        <is>
          <t>IMPORTANT</t>
        </is>
      </c>
      <c r="Q1440" s="8" t="inlineStr">
        <is>
          <t>WHAP</t>
        </is>
      </c>
      <c r="R1440" s="8" t="inlineStr">
        <is>
          <t>OUI</t>
        </is>
      </c>
      <c r="S1440" s="8" t="inlineStr">
        <is>
          <t>31/08/2026 02:59</t>
        </is>
      </c>
    </row>
    <row r="1441">
      <c r="A1441" s="7" t="inlineStr">
        <is>
          <t>WHAP-1437</t>
        </is>
      </c>
      <c r="B1441" s="7" t="inlineStr">
        <is>
          <t>ELC-1437</t>
        </is>
      </c>
      <c r="C1441" s="7" t="inlineStr">
        <is>
          <t>calculateur CTIS — moteur</t>
        </is>
      </c>
      <c r="D1441" s="7" t="inlineStr">
        <is>
          <t>Électronique et capteurs</t>
        </is>
      </c>
      <c r="E1441" s="7" t="inlineStr">
        <is>
          <t>Électronique et capteurs</t>
        </is>
      </c>
      <c r="F1441" s="7" t="inlineStr">
        <is>
          <t>PIECE_VEHICULE</t>
        </is>
      </c>
      <c r="G1441" s="7" t="inlineStr">
        <is>
          <t>unité</t>
        </is>
      </c>
      <c r="H1441" s="7" t="inlineStr">
        <is>
          <t>SMALL</t>
        </is>
      </c>
      <c r="I1441" s="7" t="n">
        <v>5</v>
      </c>
      <c r="J1441" s="7" t="inlineStr">
        <is>
          <t>C-05-03</t>
        </is>
      </c>
      <c r="K1441" s="7" t="inlineStr"/>
      <c r="L1441" s="9" t="n">
        <v>0</v>
      </c>
      <c r="M1441" s="9" t="n">
        <v>0</v>
      </c>
      <c r="N1441" s="9" t="n">
        <v>27</v>
      </c>
      <c r="O1441" s="7" t="inlineStr">
        <is>
          <t>MAG</t>
        </is>
      </c>
      <c r="P1441" s="7" t="inlineStr">
        <is>
          <t>IMPORTANT</t>
        </is>
      </c>
      <c r="Q1441" s="7" t="inlineStr">
        <is>
          <t>WHAP</t>
        </is>
      </c>
      <c r="R1441" s="7" t="inlineStr">
        <is>
          <t>OUI</t>
        </is>
      </c>
      <c r="S1441" s="7" t="inlineStr">
        <is>
          <t>31/08/2026 02:59</t>
        </is>
      </c>
    </row>
    <row r="1442">
      <c r="A1442" s="8" t="inlineStr">
        <is>
          <t>WHAP-1438</t>
        </is>
      </c>
      <c r="B1442" s="8" t="inlineStr">
        <is>
          <t>ELC-1438</t>
        </is>
      </c>
      <c r="C1442" s="8" t="inlineStr">
        <is>
          <t>unité de contrôle véhicule — moteur</t>
        </is>
      </c>
      <c r="D1442" s="8" t="inlineStr">
        <is>
          <t>Électronique et capteurs</t>
        </is>
      </c>
      <c r="E1442" s="8" t="inlineStr">
        <is>
          <t>Électronique et capteurs</t>
        </is>
      </c>
      <c r="F1442" s="8" t="inlineStr">
        <is>
          <t>PIECE_VEHICULE</t>
        </is>
      </c>
      <c r="G1442" s="8" t="inlineStr">
        <is>
          <t>unité</t>
        </is>
      </c>
      <c r="H1442" s="8" t="inlineStr">
        <is>
          <t>SMALL</t>
        </is>
      </c>
      <c r="I1442" s="8" t="n">
        <v>5</v>
      </c>
      <c r="J1442" s="8" t="inlineStr">
        <is>
          <t>C-04-03</t>
        </is>
      </c>
      <c r="K1442" s="8" t="inlineStr"/>
      <c r="L1442" s="10" t="n">
        <v>0</v>
      </c>
      <c r="M1442" s="10" t="n">
        <v>0</v>
      </c>
      <c r="N1442" s="10" t="n">
        <v>28</v>
      </c>
      <c r="O1442" s="8" t="inlineStr">
        <is>
          <t>HEL</t>
        </is>
      </c>
      <c r="P1442" s="8" t="inlineStr">
        <is>
          <t>IMPORTANT</t>
        </is>
      </c>
      <c r="Q1442" s="8" t="inlineStr">
        <is>
          <t>WHAP</t>
        </is>
      </c>
      <c r="R1442" s="8" t="inlineStr">
        <is>
          <t>OUI</t>
        </is>
      </c>
      <c r="S1442" s="8" t="inlineStr">
        <is>
          <t>31/08/2026 02:59</t>
        </is>
      </c>
    </row>
    <row r="1443">
      <c r="A1443" s="7" t="inlineStr">
        <is>
          <t>WHAP-1439</t>
        </is>
      </c>
      <c r="B1443" s="7" t="inlineStr">
        <is>
          <t>ELC-1439</t>
        </is>
      </c>
      <c r="C1443" s="7" t="inlineStr">
        <is>
          <t>module I/O — moteur</t>
        </is>
      </c>
      <c r="D1443" s="7" t="inlineStr">
        <is>
          <t>Électronique et capteurs</t>
        </is>
      </c>
      <c r="E1443" s="7" t="inlineStr">
        <is>
          <t>Électronique et capteurs</t>
        </is>
      </c>
      <c r="F1443" s="7" t="inlineStr">
        <is>
          <t>PIECE_VEHICULE</t>
        </is>
      </c>
      <c r="G1443" s="7" t="inlineStr">
        <is>
          <t>unité</t>
        </is>
      </c>
      <c r="H1443" s="7" t="inlineStr">
        <is>
          <t>SMALL</t>
        </is>
      </c>
      <c r="I1443" s="7" t="n">
        <v>5</v>
      </c>
      <c r="J1443" s="7" t="inlineStr">
        <is>
          <t>A-04-02</t>
        </is>
      </c>
      <c r="K1443" s="7" t="inlineStr"/>
      <c r="L1443" s="9" t="n">
        <v>0</v>
      </c>
      <c r="M1443" s="9" t="n">
        <v>0</v>
      </c>
      <c r="N1443" s="9" t="n">
        <v>26</v>
      </c>
      <c r="O1443" s="7" t="inlineStr">
        <is>
          <t>DEL</t>
        </is>
      </c>
      <c r="P1443" s="7" t="inlineStr">
        <is>
          <t>IMPORTANT</t>
        </is>
      </c>
      <c r="Q1443" s="7" t="inlineStr">
        <is>
          <t>WHAP</t>
        </is>
      </c>
      <c r="R1443" s="7" t="inlineStr">
        <is>
          <t>OUI</t>
        </is>
      </c>
      <c r="S1443" s="7" t="inlineStr">
        <is>
          <t>31/08/2026 02:59</t>
        </is>
      </c>
    </row>
    <row r="1444">
      <c r="A1444" s="8" t="inlineStr">
        <is>
          <t>WHAP-1440</t>
        </is>
      </c>
      <c r="B1444" s="8" t="inlineStr">
        <is>
          <t>ELC-1440</t>
        </is>
      </c>
      <c r="C1444" s="8" t="inlineStr">
        <is>
          <t>capteur température — moteur</t>
        </is>
      </c>
      <c r="D1444" s="8" t="inlineStr">
        <is>
          <t>Électronique et capteurs</t>
        </is>
      </c>
      <c r="E1444" s="8" t="inlineStr">
        <is>
          <t>Électronique et capteurs</t>
        </is>
      </c>
      <c r="F1444" s="8" t="inlineStr">
        <is>
          <t>PIECE_VEHICULE</t>
        </is>
      </c>
      <c r="G1444" s="8" t="inlineStr">
        <is>
          <t>unité</t>
        </is>
      </c>
      <c r="H1444" s="8" t="inlineStr">
        <is>
          <t>SMALL</t>
        </is>
      </c>
      <c r="I1444" s="8" t="n">
        <v>5</v>
      </c>
      <c r="J1444" s="8" t="inlineStr">
        <is>
          <t>E-05-03</t>
        </is>
      </c>
      <c r="K1444" s="8" t="inlineStr"/>
      <c r="L1444" s="10" t="n">
        <v>0</v>
      </c>
      <c r="M1444" s="10" t="n">
        <v>0</v>
      </c>
      <c r="N1444" s="10" t="n">
        <v>31</v>
      </c>
      <c r="O1444" s="8" t="inlineStr">
        <is>
          <t>MAG</t>
        </is>
      </c>
      <c r="P1444" s="8" t="inlineStr">
        <is>
          <t>IMPORTANT</t>
        </is>
      </c>
      <c r="Q1444" s="8" t="inlineStr">
        <is>
          <t>WHAP</t>
        </is>
      </c>
      <c r="R1444" s="8" t="inlineStr">
        <is>
          <t>OUI</t>
        </is>
      </c>
      <c r="S1444" s="8" t="inlineStr">
        <is>
          <t>31/08/2026 02:59</t>
        </is>
      </c>
    </row>
    <row r="1445">
      <c r="A1445" s="7" t="inlineStr">
        <is>
          <t>WHAP-1441</t>
        </is>
      </c>
      <c r="B1445" s="7" t="inlineStr">
        <is>
          <t>ELC-1441</t>
        </is>
      </c>
      <c r="C1445" s="7" t="inlineStr">
        <is>
          <t>capteur pression — moteur</t>
        </is>
      </c>
      <c r="D1445" s="7" t="inlineStr">
        <is>
          <t>Électronique et capteurs</t>
        </is>
      </c>
      <c r="E1445" s="7" t="inlineStr">
        <is>
          <t>Électronique et capteurs</t>
        </is>
      </c>
      <c r="F1445" s="7" t="inlineStr">
        <is>
          <t>PIECE_VEHICULE</t>
        </is>
      </c>
      <c r="G1445" s="7" t="inlineStr">
        <is>
          <t>unité</t>
        </is>
      </c>
      <c r="H1445" s="7" t="inlineStr">
        <is>
          <t>SMALL</t>
        </is>
      </c>
      <c r="I1445" s="7" t="n">
        <v>5</v>
      </c>
      <c r="J1445" s="7" t="inlineStr">
        <is>
          <t>C-04-03</t>
        </is>
      </c>
      <c r="K1445" s="7" t="inlineStr"/>
      <c r="L1445" s="9" t="n">
        <v>0</v>
      </c>
      <c r="M1445" s="9" t="n">
        <v>0</v>
      </c>
      <c r="N1445" s="9" t="n">
        <v>32</v>
      </c>
      <c r="O1445" s="7" t="inlineStr">
        <is>
          <t>DEL</t>
        </is>
      </c>
      <c r="P1445" s="7" t="inlineStr">
        <is>
          <t>IMPORTANT</t>
        </is>
      </c>
      <c r="Q1445" s="7" t="inlineStr">
        <is>
          <t>WHAP</t>
        </is>
      </c>
      <c r="R1445" s="7" t="inlineStr">
        <is>
          <t>OUI</t>
        </is>
      </c>
      <c r="S1445" s="7" t="inlineStr">
        <is>
          <t>31/08/2026 02:59</t>
        </is>
      </c>
    </row>
    <row r="1446">
      <c r="A1446" s="8" t="inlineStr">
        <is>
          <t>WHAP-1442</t>
        </is>
      </c>
      <c r="B1446" s="8" t="inlineStr">
        <is>
          <t>ELC-1442</t>
        </is>
      </c>
      <c r="C1446" s="8" t="inlineStr">
        <is>
          <t>capteur vitesse — moteur</t>
        </is>
      </c>
      <c r="D1446" s="8" t="inlineStr">
        <is>
          <t>Électronique et capteurs</t>
        </is>
      </c>
      <c r="E1446" s="8" t="inlineStr">
        <is>
          <t>Électronique et capteurs</t>
        </is>
      </c>
      <c r="F1446" s="8" t="inlineStr">
        <is>
          <t>PIECE_VEHICULE</t>
        </is>
      </c>
      <c r="G1446" s="8" t="inlineStr">
        <is>
          <t>unité</t>
        </is>
      </c>
      <c r="H1446" s="8" t="inlineStr">
        <is>
          <t>SMALL</t>
        </is>
      </c>
      <c r="I1446" s="8" t="n">
        <v>5</v>
      </c>
      <c r="J1446" s="8" t="inlineStr">
        <is>
          <t>C-05-04</t>
        </is>
      </c>
      <c r="K1446" s="8" t="inlineStr"/>
      <c r="L1446" s="10" t="n">
        <v>0</v>
      </c>
      <c r="M1446" s="10" t="n">
        <v>0</v>
      </c>
      <c r="N1446" s="10" t="n">
        <v>22</v>
      </c>
      <c r="O1446" s="8" t="inlineStr">
        <is>
          <t>BOS</t>
        </is>
      </c>
      <c r="P1446" s="8" t="inlineStr">
        <is>
          <t>IMPORTANT</t>
        </is>
      </c>
      <c r="Q1446" s="8" t="inlineStr">
        <is>
          <t>WHAP</t>
        </is>
      </c>
      <c r="R1446" s="8" t="inlineStr">
        <is>
          <t>OUI</t>
        </is>
      </c>
      <c r="S1446" s="8" t="inlineStr">
        <is>
          <t>31/08/2026 02:59</t>
        </is>
      </c>
    </row>
    <row r="1447">
      <c r="A1447" s="7" t="inlineStr">
        <is>
          <t>WHAP-1443</t>
        </is>
      </c>
      <c r="B1447" s="7" t="inlineStr">
        <is>
          <t>ELC-1443</t>
        </is>
      </c>
      <c r="C1447" s="7" t="inlineStr">
        <is>
          <t>capteur position — moteur</t>
        </is>
      </c>
      <c r="D1447" s="7" t="inlineStr">
        <is>
          <t>Électronique et capteurs</t>
        </is>
      </c>
      <c r="E1447" s="7" t="inlineStr">
        <is>
          <t>Électronique et capteurs</t>
        </is>
      </c>
      <c r="F1447" s="7" t="inlineStr">
        <is>
          <t>PIECE_VEHICULE</t>
        </is>
      </c>
      <c r="G1447" s="7" t="inlineStr">
        <is>
          <t>unité</t>
        </is>
      </c>
      <c r="H1447" s="7" t="inlineStr">
        <is>
          <t>SMALL</t>
        </is>
      </c>
      <c r="I1447" s="7" t="n">
        <v>5</v>
      </c>
      <c r="J1447" s="7" t="inlineStr">
        <is>
          <t>F-01-04</t>
        </is>
      </c>
      <c r="K1447" s="7" t="inlineStr"/>
      <c r="L1447" s="9" t="n">
        <v>0</v>
      </c>
      <c r="M1447" s="9" t="n">
        <v>0</v>
      </c>
      <c r="N1447" s="9" t="n">
        <v>25</v>
      </c>
      <c r="O1447" s="7" t="inlineStr">
        <is>
          <t>FAU</t>
        </is>
      </c>
      <c r="P1447" s="7" t="inlineStr">
        <is>
          <t>IMPORTANT</t>
        </is>
      </c>
      <c r="Q1447" s="7" t="inlineStr">
        <is>
          <t>WHAP</t>
        </is>
      </c>
      <c r="R1447" s="7" t="inlineStr">
        <is>
          <t>OUI</t>
        </is>
      </c>
      <c r="S1447" s="7" t="inlineStr">
        <is>
          <t>31/08/2026 02:59</t>
        </is>
      </c>
    </row>
    <row r="1448">
      <c r="A1448" s="8" t="inlineStr">
        <is>
          <t>WHAP-1444</t>
        </is>
      </c>
      <c r="B1448" s="8" t="inlineStr">
        <is>
          <t>ELC-1444</t>
        </is>
      </c>
      <c r="C1448" s="8" t="inlineStr">
        <is>
          <t>capteur niveau — moteur</t>
        </is>
      </c>
      <c r="D1448" s="8" t="inlineStr">
        <is>
          <t>Électronique et capteurs</t>
        </is>
      </c>
      <c r="E1448" s="8" t="inlineStr">
        <is>
          <t>Électronique et capteurs</t>
        </is>
      </c>
      <c r="F1448" s="8" t="inlineStr">
        <is>
          <t>PIECE_VEHICULE</t>
        </is>
      </c>
      <c r="G1448" s="8" t="inlineStr">
        <is>
          <t>unité</t>
        </is>
      </c>
      <c r="H1448" s="8" t="inlineStr">
        <is>
          <t>SMALL</t>
        </is>
      </c>
      <c r="I1448" s="8" t="n">
        <v>5</v>
      </c>
      <c r="J1448" s="8" t="inlineStr">
        <is>
          <t>B-06-03</t>
        </is>
      </c>
      <c r="K1448" s="8" t="inlineStr"/>
      <c r="L1448" s="10" t="n">
        <v>0</v>
      </c>
      <c r="M1448" s="10" t="n">
        <v>0</v>
      </c>
      <c r="N1448" s="10" t="n">
        <v>32</v>
      </c>
      <c r="O1448" s="8" t="inlineStr">
        <is>
          <t>CTL</t>
        </is>
      </c>
      <c r="P1448" s="8" t="inlineStr">
        <is>
          <t>IMPORTANT</t>
        </is>
      </c>
      <c r="Q1448" s="8" t="inlineStr">
        <is>
          <t>WHAP</t>
        </is>
      </c>
      <c r="R1448" s="8" t="inlineStr">
        <is>
          <t>OUI</t>
        </is>
      </c>
      <c r="S1448" s="8" t="inlineStr">
        <is>
          <t>31/08/2026 02:59</t>
        </is>
      </c>
    </row>
    <row r="1449">
      <c r="A1449" s="7" t="inlineStr">
        <is>
          <t>WHAP-1445</t>
        </is>
      </c>
      <c r="B1449" s="7" t="inlineStr">
        <is>
          <t>ELC-1445</t>
        </is>
      </c>
      <c r="C1449" s="7" t="inlineStr">
        <is>
          <t>capteur débit — moteur</t>
        </is>
      </c>
      <c r="D1449" s="7" t="inlineStr">
        <is>
          <t>Électronique et capteurs</t>
        </is>
      </c>
      <c r="E1449" s="7" t="inlineStr">
        <is>
          <t>Électronique et capteurs</t>
        </is>
      </c>
      <c r="F1449" s="7" t="inlineStr">
        <is>
          <t>PIECE_VEHICULE</t>
        </is>
      </c>
      <c r="G1449" s="7" t="inlineStr">
        <is>
          <t>unité</t>
        </is>
      </c>
      <c r="H1449" s="7" t="inlineStr">
        <is>
          <t>SMALL</t>
        </is>
      </c>
      <c r="I1449" s="7" t="n">
        <v>5</v>
      </c>
      <c r="J1449" s="7" t="inlineStr">
        <is>
          <t>B-02-03</t>
        </is>
      </c>
      <c r="K1449" s="7" t="inlineStr"/>
      <c r="L1449" s="9" t="n">
        <v>0</v>
      </c>
      <c r="M1449" s="9" t="n">
        <v>0</v>
      </c>
      <c r="N1449" s="9" t="n">
        <v>26</v>
      </c>
      <c r="O1449" s="7" t="inlineStr">
        <is>
          <t>CTL</t>
        </is>
      </c>
      <c r="P1449" s="7" t="inlineStr">
        <is>
          <t>IMPORTANT</t>
        </is>
      </c>
      <c r="Q1449" s="7" t="inlineStr">
        <is>
          <t>WHAP</t>
        </is>
      </c>
      <c r="R1449" s="7" t="inlineStr">
        <is>
          <t>OUI</t>
        </is>
      </c>
      <c r="S1449" s="7" t="inlineStr">
        <is>
          <t>31/08/2026 02:59</t>
        </is>
      </c>
    </row>
    <row r="1450">
      <c r="A1450" s="8" t="inlineStr">
        <is>
          <t>WHAP-1446</t>
        </is>
      </c>
      <c r="B1450" s="8" t="inlineStr">
        <is>
          <t>ELC-1446</t>
        </is>
      </c>
      <c r="C1450" s="8" t="inlineStr">
        <is>
          <t>capteur accélération — moteur</t>
        </is>
      </c>
      <c r="D1450" s="8" t="inlineStr">
        <is>
          <t>Électronique et capteurs</t>
        </is>
      </c>
      <c r="E1450" s="8" t="inlineStr">
        <is>
          <t>Électronique et capteurs</t>
        </is>
      </c>
      <c r="F1450" s="8" t="inlineStr">
        <is>
          <t>PIECE_VEHICULE</t>
        </is>
      </c>
      <c r="G1450" s="8" t="inlineStr">
        <is>
          <t>unité</t>
        </is>
      </c>
      <c r="H1450" s="8" t="inlineStr">
        <is>
          <t>SMALL</t>
        </is>
      </c>
      <c r="I1450" s="8" t="n">
        <v>5</v>
      </c>
      <c r="J1450" s="8" t="inlineStr">
        <is>
          <t>E-04-03</t>
        </is>
      </c>
      <c r="K1450" s="8" t="inlineStr"/>
      <c r="L1450" s="10" t="n">
        <v>0</v>
      </c>
      <c r="M1450" s="10" t="n">
        <v>0</v>
      </c>
      <c r="N1450" s="10" t="n">
        <v>28</v>
      </c>
      <c r="O1450" s="8" t="inlineStr">
        <is>
          <t>HEL</t>
        </is>
      </c>
      <c r="P1450" s="8" t="inlineStr">
        <is>
          <t>IMPORTANT</t>
        </is>
      </c>
      <c r="Q1450" s="8" t="inlineStr">
        <is>
          <t>WHAP</t>
        </is>
      </c>
      <c r="R1450" s="8" t="inlineStr">
        <is>
          <t>OUI</t>
        </is>
      </c>
      <c r="S1450" s="8" t="inlineStr">
        <is>
          <t>31/08/2026 02:59</t>
        </is>
      </c>
    </row>
    <row r="1451">
      <c r="A1451" s="7" t="inlineStr">
        <is>
          <t>WHAP-1447</t>
        </is>
      </c>
      <c r="B1451" s="7" t="inlineStr">
        <is>
          <t>ELC-1447</t>
        </is>
      </c>
      <c r="C1451" s="7" t="inlineStr">
        <is>
          <t>capteur inclinaison — moteur</t>
        </is>
      </c>
      <c r="D1451" s="7" t="inlineStr">
        <is>
          <t>Électronique et capteurs</t>
        </is>
      </c>
      <c r="E1451" s="7" t="inlineStr">
        <is>
          <t>Électronique et capteurs</t>
        </is>
      </c>
      <c r="F1451" s="7" t="inlineStr">
        <is>
          <t>PIECE_VEHICULE</t>
        </is>
      </c>
      <c r="G1451" s="7" t="inlineStr">
        <is>
          <t>unité</t>
        </is>
      </c>
      <c r="H1451" s="7" t="inlineStr">
        <is>
          <t>SMALL</t>
        </is>
      </c>
      <c r="I1451" s="7" t="n">
        <v>5</v>
      </c>
      <c r="J1451" s="7" t="inlineStr">
        <is>
          <t>C-03-01</t>
        </is>
      </c>
      <c r="K1451" s="7" t="inlineStr"/>
      <c r="L1451" s="9" t="n">
        <v>0</v>
      </c>
      <c r="M1451" s="9" t="n">
        <v>0</v>
      </c>
      <c r="N1451" s="9" t="n">
        <v>26</v>
      </c>
      <c r="O1451" s="7" t="inlineStr">
        <is>
          <t>BOS</t>
        </is>
      </c>
      <c r="P1451" s="7" t="inlineStr">
        <is>
          <t>IMPORTANT</t>
        </is>
      </c>
      <c r="Q1451" s="7" t="inlineStr">
        <is>
          <t>WHAP</t>
        </is>
      </c>
      <c r="R1451" s="7" t="inlineStr">
        <is>
          <t>OUI</t>
        </is>
      </c>
      <c r="S1451" s="7" t="inlineStr">
        <is>
          <t>31/08/2026 02:59</t>
        </is>
      </c>
    </row>
    <row r="1452">
      <c r="A1452" s="8" t="inlineStr">
        <is>
          <t>WHAP-1448</t>
        </is>
      </c>
      <c r="B1452" s="8" t="inlineStr">
        <is>
          <t>ELC-1448</t>
        </is>
      </c>
      <c r="C1452" s="8" t="inlineStr">
        <is>
          <t>capteur ouverture porte — moteur</t>
        </is>
      </c>
      <c r="D1452" s="8" t="inlineStr">
        <is>
          <t>Électronique et capteurs</t>
        </is>
      </c>
      <c r="E1452" s="8" t="inlineStr">
        <is>
          <t>Électronique et capteurs</t>
        </is>
      </c>
      <c r="F1452" s="8" t="inlineStr">
        <is>
          <t>PIECE_VEHICULE</t>
        </is>
      </c>
      <c r="G1452" s="8" t="inlineStr">
        <is>
          <t>unité</t>
        </is>
      </c>
      <c r="H1452" s="8" t="inlineStr">
        <is>
          <t>SMALL</t>
        </is>
      </c>
      <c r="I1452" s="8" t="n">
        <v>5</v>
      </c>
      <c r="J1452" s="8" t="inlineStr">
        <is>
          <t>C-01-02</t>
        </is>
      </c>
      <c r="K1452" s="8" t="inlineStr"/>
      <c r="L1452" s="10" t="n">
        <v>0</v>
      </c>
      <c r="M1452" s="10" t="n">
        <v>0</v>
      </c>
      <c r="N1452" s="10" t="n">
        <v>31</v>
      </c>
      <c r="O1452" s="8" t="inlineStr">
        <is>
          <t>SUM</t>
        </is>
      </c>
      <c r="P1452" s="8" t="inlineStr">
        <is>
          <t>IMPORTANT</t>
        </is>
      </c>
      <c r="Q1452" s="8" t="inlineStr">
        <is>
          <t>WHAP</t>
        </is>
      </c>
      <c r="R1452" s="8" t="inlineStr">
        <is>
          <t>OUI</t>
        </is>
      </c>
      <c r="S1452" s="8" t="inlineStr">
        <is>
          <t>31/08/2026 02:59</t>
        </is>
      </c>
    </row>
    <row r="1453">
      <c r="A1453" s="7" t="inlineStr">
        <is>
          <t>WHAP-1449</t>
        </is>
      </c>
      <c r="B1453" s="7" t="inlineStr">
        <is>
          <t>ELC-1449</t>
        </is>
      </c>
      <c r="C1453" s="7" t="inlineStr">
        <is>
          <t>capteur présence — moteur</t>
        </is>
      </c>
      <c r="D1453" s="7" t="inlineStr">
        <is>
          <t>Électronique et capteurs</t>
        </is>
      </c>
      <c r="E1453" s="7" t="inlineStr">
        <is>
          <t>Électronique et capteurs</t>
        </is>
      </c>
      <c r="F1453" s="7" t="inlineStr">
        <is>
          <t>PIECE_VEHICULE</t>
        </is>
      </c>
      <c r="G1453" s="7" t="inlineStr">
        <is>
          <t>unité</t>
        </is>
      </c>
      <c r="H1453" s="7" t="inlineStr">
        <is>
          <t>SMALL</t>
        </is>
      </c>
      <c r="I1453" s="7" t="n">
        <v>5</v>
      </c>
      <c r="J1453" s="7" t="inlineStr">
        <is>
          <t>E-01-02</t>
        </is>
      </c>
      <c r="K1453" s="7" t="inlineStr"/>
      <c r="L1453" s="9" t="n">
        <v>0</v>
      </c>
      <c r="M1453" s="9" t="n">
        <v>0</v>
      </c>
      <c r="N1453" s="9" t="n">
        <v>25</v>
      </c>
      <c r="O1453" s="7" t="inlineStr">
        <is>
          <t>SUM</t>
        </is>
      </c>
      <c r="P1453" s="7" t="inlineStr">
        <is>
          <t>IMPORTANT</t>
        </is>
      </c>
      <c r="Q1453" s="7" t="inlineStr">
        <is>
          <t>WHAP</t>
        </is>
      </c>
      <c r="R1453" s="7" t="inlineStr">
        <is>
          <t>OUI</t>
        </is>
      </c>
      <c r="S1453" s="7" t="inlineStr">
        <is>
          <t>31/08/2026 02:59</t>
        </is>
      </c>
    </row>
    <row r="1454">
      <c r="A1454" s="8" t="inlineStr">
        <is>
          <t>WHAP-1450</t>
        </is>
      </c>
      <c r="B1454" s="8" t="inlineStr">
        <is>
          <t>ELC-1450</t>
        </is>
      </c>
      <c r="C1454" s="8" t="inlineStr">
        <is>
          <t>capteur fumée — moteur</t>
        </is>
      </c>
      <c r="D1454" s="8" t="inlineStr">
        <is>
          <t>Électronique et capteurs</t>
        </is>
      </c>
      <c r="E1454" s="8" t="inlineStr">
        <is>
          <t>Électronique et capteurs</t>
        </is>
      </c>
      <c r="F1454" s="8" t="inlineStr">
        <is>
          <t>PIECE_VEHICULE</t>
        </is>
      </c>
      <c r="G1454" s="8" t="inlineStr">
        <is>
          <t>unité</t>
        </is>
      </c>
      <c r="H1454" s="8" t="inlineStr">
        <is>
          <t>SMALL</t>
        </is>
      </c>
      <c r="I1454" s="8" t="n">
        <v>5</v>
      </c>
      <c r="J1454" s="8" t="inlineStr">
        <is>
          <t>B-02-02</t>
        </is>
      </c>
      <c r="K1454" s="8" t="inlineStr"/>
      <c r="L1454" s="10" t="n">
        <v>0</v>
      </c>
      <c r="M1454" s="10" t="n">
        <v>0</v>
      </c>
      <c r="N1454" s="10" t="n">
        <v>24</v>
      </c>
      <c r="O1454" s="8" t="inlineStr">
        <is>
          <t>VAL</t>
        </is>
      </c>
      <c r="P1454" s="8" t="inlineStr">
        <is>
          <t>IMPORTANT</t>
        </is>
      </c>
      <c r="Q1454" s="8" t="inlineStr">
        <is>
          <t>WHAP</t>
        </is>
      </c>
      <c r="R1454" s="8" t="inlineStr">
        <is>
          <t>OUI</t>
        </is>
      </c>
      <c r="S1454" s="8" t="inlineStr">
        <is>
          <t>31/08/2026 02:59</t>
        </is>
      </c>
    </row>
    <row r="1455">
      <c r="A1455" s="7" t="inlineStr">
        <is>
          <t>WHAP-1451</t>
        </is>
      </c>
      <c r="B1455" s="7" t="inlineStr">
        <is>
          <t>ELC-1451</t>
        </is>
      </c>
      <c r="C1455" s="7" t="inlineStr">
        <is>
          <t>capteur flamme — moteur</t>
        </is>
      </c>
      <c r="D1455" s="7" t="inlineStr">
        <is>
          <t>Électronique et capteurs</t>
        </is>
      </c>
      <c r="E1455" s="7" t="inlineStr">
        <is>
          <t>Électronique et capteurs</t>
        </is>
      </c>
      <c r="F1455" s="7" t="inlineStr">
        <is>
          <t>PIECE_VEHICULE</t>
        </is>
      </c>
      <c r="G1455" s="7" t="inlineStr">
        <is>
          <t>unité</t>
        </is>
      </c>
      <c r="H1455" s="7" t="inlineStr">
        <is>
          <t>SMALL</t>
        </is>
      </c>
      <c r="I1455" s="7" t="n">
        <v>5</v>
      </c>
      <c r="J1455" s="7" t="inlineStr">
        <is>
          <t>F-03-02</t>
        </is>
      </c>
      <c r="K1455" s="7" t="inlineStr"/>
      <c r="L1455" s="9" t="n">
        <v>0</v>
      </c>
      <c r="M1455" s="9" t="n">
        <v>0</v>
      </c>
      <c r="N1455" s="9" t="n">
        <v>26</v>
      </c>
      <c r="O1455" s="7" t="inlineStr">
        <is>
          <t>FAU</t>
        </is>
      </c>
      <c r="P1455" s="7" t="inlineStr">
        <is>
          <t>IMPORTANT</t>
        </is>
      </c>
      <c r="Q1455" s="7" t="inlineStr">
        <is>
          <t>WHAP</t>
        </is>
      </c>
      <c r="R1455" s="7" t="inlineStr">
        <is>
          <t>OUI</t>
        </is>
      </c>
      <c r="S1455" s="7" t="inlineStr">
        <is>
          <t>31/08/2026 02:59</t>
        </is>
      </c>
    </row>
    <row r="1456">
      <c r="A1456" s="8" t="inlineStr">
        <is>
          <t>WHAP-1452</t>
        </is>
      </c>
      <c r="B1456" s="8" t="inlineStr">
        <is>
          <t>ELC-1452</t>
        </is>
      </c>
      <c r="C1456" s="8" t="inlineStr">
        <is>
          <t>capteur CO2 — moteur</t>
        </is>
      </c>
      <c r="D1456" s="8" t="inlineStr">
        <is>
          <t>Électronique et capteurs</t>
        </is>
      </c>
      <c r="E1456" s="8" t="inlineStr">
        <is>
          <t>Électronique et capteurs</t>
        </is>
      </c>
      <c r="F1456" s="8" t="inlineStr">
        <is>
          <t>PIECE_VEHICULE</t>
        </is>
      </c>
      <c r="G1456" s="8" t="inlineStr">
        <is>
          <t>unité</t>
        </is>
      </c>
      <c r="H1456" s="8" t="inlineStr">
        <is>
          <t>SMALL</t>
        </is>
      </c>
      <c r="I1456" s="8" t="n">
        <v>5</v>
      </c>
      <c r="J1456" s="8" t="inlineStr">
        <is>
          <t>D-06-03</t>
        </is>
      </c>
      <c r="K1456" s="8" t="inlineStr"/>
      <c r="L1456" s="10" t="n">
        <v>0</v>
      </c>
      <c r="M1456" s="10" t="n">
        <v>0</v>
      </c>
      <c r="N1456" s="10" t="n">
        <v>31</v>
      </c>
      <c r="O1456" s="8" t="inlineStr">
        <is>
          <t>VAL</t>
        </is>
      </c>
      <c r="P1456" s="8" t="inlineStr">
        <is>
          <t>IMPORTANT</t>
        </is>
      </c>
      <c r="Q1456" s="8" t="inlineStr">
        <is>
          <t>WHAP</t>
        </is>
      </c>
      <c r="R1456" s="8" t="inlineStr">
        <is>
          <t>OUI</t>
        </is>
      </c>
      <c r="S1456" s="8" t="inlineStr">
        <is>
          <t>31/08/2026 02:59</t>
        </is>
      </c>
    </row>
    <row r="1457">
      <c r="A1457" s="7" t="inlineStr">
        <is>
          <t>WHAP-1453</t>
        </is>
      </c>
      <c r="B1457" s="7" t="inlineStr">
        <is>
          <t>ELC-1453</t>
        </is>
      </c>
      <c r="C1457" s="7" t="inlineStr">
        <is>
          <t>capteur humidité — moteur</t>
        </is>
      </c>
      <c r="D1457" s="7" t="inlineStr">
        <is>
          <t>Électronique et capteurs</t>
        </is>
      </c>
      <c r="E1457" s="7" t="inlineStr">
        <is>
          <t>Électronique et capteurs</t>
        </is>
      </c>
      <c r="F1457" s="7" t="inlineStr">
        <is>
          <t>PIECE_VEHICULE</t>
        </is>
      </c>
      <c r="G1457" s="7" t="inlineStr">
        <is>
          <t>unité</t>
        </is>
      </c>
      <c r="H1457" s="7" t="inlineStr">
        <is>
          <t>SMALL</t>
        </is>
      </c>
      <c r="I1457" s="7" t="n">
        <v>5</v>
      </c>
      <c r="J1457" s="7" t="inlineStr">
        <is>
          <t>A-03-03</t>
        </is>
      </c>
      <c r="K1457" s="7" t="inlineStr"/>
      <c r="L1457" s="9" t="n">
        <v>0</v>
      </c>
      <c r="M1457" s="9" t="n">
        <v>0</v>
      </c>
      <c r="N1457" s="9" t="n">
        <v>31</v>
      </c>
      <c r="O1457" s="7" t="inlineStr">
        <is>
          <t>SUM</t>
        </is>
      </c>
      <c r="P1457" s="7" t="inlineStr">
        <is>
          <t>IMPORTANT</t>
        </is>
      </c>
      <c r="Q1457" s="7" t="inlineStr">
        <is>
          <t>WHAP</t>
        </is>
      </c>
      <c r="R1457" s="7" t="inlineStr">
        <is>
          <t>OUI</t>
        </is>
      </c>
      <c r="S1457" s="7" t="inlineStr">
        <is>
          <t>31/08/2026 02:59</t>
        </is>
      </c>
    </row>
    <row r="1458">
      <c r="A1458" s="8" t="inlineStr">
        <is>
          <t>WHAP-1454</t>
        </is>
      </c>
      <c r="B1458" s="8" t="inlineStr">
        <is>
          <t>ELC-1454</t>
        </is>
      </c>
      <c r="C1458" s="8" t="inlineStr">
        <is>
          <t>capteur vibration — moteur</t>
        </is>
      </c>
      <c r="D1458" s="8" t="inlineStr">
        <is>
          <t>Électronique et capteurs</t>
        </is>
      </c>
      <c r="E1458" s="8" t="inlineStr">
        <is>
          <t>Électronique et capteurs</t>
        </is>
      </c>
      <c r="F1458" s="8" t="inlineStr">
        <is>
          <t>PIECE_VEHICULE</t>
        </is>
      </c>
      <c r="G1458" s="8" t="inlineStr">
        <is>
          <t>unité</t>
        </is>
      </c>
      <c r="H1458" s="8" t="inlineStr">
        <is>
          <t>SMALL</t>
        </is>
      </c>
      <c r="I1458" s="8" t="n">
        <v>5</v>
      </c>
      <c r="J1458" s="8" t="inlineStr">
        <is>
          <t>E-06-04</t>
        </is>
      </c>
      <c r="K1458" s="8" t="inlineStr"/>
      <c r="L1458" s="10" t="n">
        <v>0</v>
      </c>
      <c r="M1458" s="10" t="n">
        <v>0</v>
      </c>
      <c r="N1458" s="10" t="n">
        <v>28</v>
      </c>
      <c r="O1458" s="8" t="inlineStr">
        <is>
          <t>DEL</t>
        </is>
      </c>
      <c r="P1458" s="8" t="inlineStr">
        <is>
          <t>IMPORTANT</t>
        </is>
      </c>
      <c r="Q1458" s="8" t="inlineStr">
        <is>
          <t>WHAP</t>
        </is>
      </c>
      <c r="R1458" s="8" t="inlineStr">
        <is>
          <t>OUI</t>
        </is>
      </c>
      <c r="S1458" s="8" t="inlineStr">
        <is>
          <t>31/08/2026 02:59</t>
        </is>
      </c>
    </row>
    <row r="1459">
      <c r="A1459" s="7" t="inlineStr">
        <is>
          <t>WHAP-1455</t>
        </is>
      </c>
      <c r="B1459" s="7" t="inlineStr">
        <is>
          <t>ELC-1455</t>
        </is>
      </c>
      <c r="C1459" s="7" t="inlineStr">
        <is>
          <t>antenne — moteur</t>
        </is>
      </c>
      <c r="D1459" s="7" t="inlineStr">
        <is>
          <t>Électronique et capteurs</t>
        </is>
      </c>
      <c r="E1459" s="7" t="inlineStr">
        <is>
          <t>Électronique et capteurs</t>
        </is>
      </c>
      <c r="F1459" s="7" t="inlineStr">
        <is>
          <t>PIECE_VEHICULE</t>
        </is>
      </c>
      <c r="G1459" s="7" t="inlineStr">
        <is>
          <t>unité</t>
        </is>
      </c>
      <c r="H1459" s="7" t="inlineStr">
        <is>
          <t>SMALL</t>
        </is>
      </c>
      <c r="I1459" s="7" t="n">
        <v>5</v>
      </c>
      <c r="J1459" s="7" t="inlineStr">
        <is>
          <t>A-01-01</t>
        </is>
      </c>
      <c r="K1459" s="7" t="inlineStr"/>
      <c r="L1459" s="9" t="n">
        <v>0</v>
      </c>
      <c r="M1459" s="9" t="n">
        <v>0</v>
      </c>
      <c r="N1459" s="9" t="n">
        <v>22</v>
      </c>
      <c r="O1459" s="7" t="inlineStr">
        <is>
          <t>DEL</t>
        </is>
      </c>
      <c r="P1459" s="7" t="inlineStr">
        <is>
          <t>IMPORTANT</t>
        </is>
      </c>
      <c r="Q1459" s="7" t="inlineStr">
        <is>
          <t>WHAP</t>
        </is>
      </c>
      <c r="R1459" s="7" t="inlineStr">
        <is>
          <t>OUI</t>
        </is>
      </c>
      <c r="S1459" s="7" t="inlineStr">
        <is>
          <t>31/08/2026 02:59</t>
        </is>
      </c>
    </row>
    <row r="1460">
      <c r="A1460" s="8" t="inlineStr">
        <is>
          <t>WHAP-1456</t>
        </is>
      </c>
      <c r="B1460" s="8" t="inlineStr">
        <is>
          <t>ELC-1456</t>
        </is>
      </c>
      <c r="C1460" s="8" t="inlineStr">
        <is>
          <t>module GPS — moteur</t>
        </is>
      </c>
      <c r="D1460" s="8" t="inlineStr">
        <is>
          <t>Électronique et capteurs</t>
        </is>
      </c>
      <c r="E1460" s="8" t="inlineStr">
        <is>
          <t>Électronique et capteurs</t>
        </is>
      </c>
      <c r="F1460" s="8" t="inlineStr">
        <is>
          <t>PIECE_VEHICULE</t>
        </is>
      </c>
      <c r="G1460" s="8" t="inlineStr">
        <is>
          <t>unité</t>
        </is>
      </c>
      <c r="H1460" s="8" t="inlineStr">
        <is>
          <t>SMALL</t>
        </is>
      </c>
      <c r="I1460" s="8" t="n">
        <v>5</v>
      </c>
      <c r="J1460" s="8" t="inlineStr">
        <is>
          <t>F-05-01</t>
        </is>
      </c>
      <c r="K1460" s="8" t="inlineStr"/>
      <c r="L1460" s="10" t="n">
        <v>0</v>
      </c>
      <c r="M1460" s="10" t="n">
        <v>0</v>
      </c>
      <c r="N1460" s="10" t="n">
        <v>24</v>
      </c>
      <c r="O1460" s="8" t="inlineStr">
        <is>
          <t>CTL</t>
        </is>
      </c>
      <c r="P1460" s="8" t="inlineStr">
        <is>
          <t>IMPORTANT</t>
        </is>
      </c>
      <c r="Q1460" s="8" t="inlineStr">
        <is>
          <t>WHAP</t>
        </is>
      </c>
      <c r="R1460" s="8" t="inlineStr">
        <is>
          <t>OUI</t>
        </is>
      </c>
      <c r="S1460" s="8" t="inlineStr">
        <is>
          <t>31/08/2026 02:59</t>
        </is>
      </c>
    </row>
    <row r="1461">
      <c r="A1461" s="7" t="inlineStr">
        <is>
          <t>WHAP-1457</t>
        </is>
      </c>
      <c r="B1461" s="7" t="inlineStr">
        <is>
          <t>ELC-1457</t>
        </is>
      </c>
      <c r="C1461" s="7" t="inlineStr">
        <is>
          <t>module communication — moteur</t>
        </is>
      </c>
      <c r="D1461" s="7" t="inlineStr">
        <is>
          <t>Électronique et capteurs</t>
        </is>
      </c>
      <c r="E1461" s="7" t="inlineStr">
        <is>
          <t>Électronique et capteurs</t>
        </is>
      </c>
      <c r="F1461" s="7" t="inlineStr">
        <is>
          <t>PIECE_VEHICULE</t>
        </is>
      </c>
      <c r="G1461" s="7" t="inlineStr">
        <is>
          <t>unité</t>
        </is>
      </c>
      <c r="H1461" s="7" t="inlineStr">
        <is>
          <t>SMALL</t>
        </is>
      </c>
      <c r="I1461" s="7" t="n">
        <v>5</v>
      </c>
      <c r="J1461" s="7" t="inlineStr">
        <is>
          <t>E-06-04</t>
        </is>
      </c>
      <c r="K1461" s="7" t="inlineStr"/>
      <c r="L1461" s="9" t="n">
        <v>0</v>
      </c>
      <c r="M1461" s="9" t="n">
        <v>0</v>
      </c>
      <c r="N1461" s="9" t="n">
        <v>32</v>
      </c>
      <c r="O1461" s="7" t="inlineStr">
        <is>
          <t>HEL</t>
        </is>
      </c>
      <c r="P1461" s="7" t="inlineStr">
        <is>
          <t>IMPORTANT</t>
        </is>
      </c>
      <c r="Q1461" s="7" t="inlineStr">
        <is>
          <t>WHAP</t>
        </is>
      </c>
      <c r="R1461" s="7" t="inlineStr">
        <is>
          <t>OUI</t>
        </is>
      </c>
      <c r="S1461" s="7" t="inlineStr">
        <is>
          <t>31/08/2026 02:59</t>
        </is>
      </c>
    </row>
    <row r="1462">
      <c r="A1462" s="8" t="inlineStr">
        <is>
          <t>WHAP-1458</t>
        </is>
      </c>
      <c r="B1462" s="8" t="inlineStr">
        <is>
          <t>ELC-1458</t>
        </is>
      </c>
      <c r="C1462" s="8" t="inlineStr">
        <is>
          <t>écran multifonction — moteur</t>
        </is>
      </c>
      <c r="D1462" s="8" t="inlineStr">
        <is>
          <t>Électronique et capteurs</t>
        </is>
      </c>
      <c r="E1462" s="8" t="inlineStr">
        <is>
          <t>Électronique et capteurs</t>
        </is>
      </c>
      <c r="F1462" s="8" t="inlineStr">
        <is>
          <t>PIECE_VEHICULE</t>
        </is>
      </c>
      <c r="G1462" s="8" t="inlineStr">
        <is>
          <t>unité</t>
        </is>
      </c>
      <c r="H1462" s="8" t="inlineStr">
        <is>
          <t>SMALL</t>
        </is>
      </c>
      <c r="I1462" s="8" t="n">
        <v>5</v>
      </c>
      <c r="J1462" s="8" t="inlineStr">
        <is>
          <t>E-03-03</t>
        </is>
      </c>
      <c r="K1462" s="8" t="inlineStr"/>
      <c r="L1462" s="10" t="n">
        <v>0</v>
      </c>
      <c r="M1462" s="10" t="n">
        <v>0</v>
      </c>
      <c r="N1462" s="10" t="n">
        <v>31</v>
      </c>
      <c r="O1462" s="8" t="inlineStr">
        <is>
          <t>BOS</t>
        </is>
      </c>
      <c r="P1462" s="8" t="inlineStr">
        <is>
          <t>IMPORTANT</t>
        </is>
      </c>
      <c r="Q1462" s="8" t="inlineStr">
        <is>
          <t>WHAP</t>
        </is>
      </c>
      <c r="R1462" s="8" t="inlineStr">
        <is>
          <t>OUI</t>
        </is>
      </c>
      <c r="S1462" s="8" t="inlineStr">
        <is>
          <t>31/08/2026 02:59</t>
        </is>
      </c>
    </row>
    <row r="1463">
      <c r="A1463" s="7" t="inlineStr">
        <is>
          <t>WHAP-1459</t>
        </is>
      </c>
      <c r="B1463" s="7" t="inlineStr">
        <is>
          <t>ELC-1459</t>
        </is>
      </c>
      <c r="C1463" s="7" t="inlineStr">
        <is>
          <t>unité de diagnostic — moteur</t>
        </is>
      </c>
      <c r="D1463" s="7" t="inlineStr">
        <is>
          <t>Électronique et capteurs</t>
        </is>
      </c>
      <c r="E1463" s="7" t="inlineStr">
        <is>
          <t>Électronique et capteurs</t>
        </is>
      </c>
      <c r="F1463" s="7" t="inlineStr">
        <is>
          <t>PIECE_VEHICULE</t>
        </is>
      </c>
      <c r="G1463" s="7" t="inlineStr">
        <is>
          <t>unité</t>
        </is>
      </c>
      <c r="H1463" s="7" t="inlineStr">
        <is>
          <t>SMALL</t>
        </is>
      </c>
      <c r="I1463" s="7" t="n">
        <v>5</v>
      </c>
      <c r="J1463" s="7" t="inlineStr">
        <is>
          <t>A-02-03</t>
        </is>
      </c>
      <c r="K1463" s="7" t="inlineStr"/>
      <c r="L1463" s="9" t="n">
        <v>0</v>
      </c>
      <c r="M1463" s="9" t="n">
        <v>0</v>
      </c>
      <c r="N1463" s="9" t="n">
        <v>25</v>
      </c>
      <c r="O1463" s="7" t="inlineStr">
        <is>
          <t>SUM</t>
        </is>
      </c>
      <c r="P1463" s="7" t="inlineStr">
        <is>
          <t>IMPORTANT</t>
        </is>
      </c>
      <c r="Q1463" s="7" t="inlineStr">
        <is>
          <t>WHAP</t>
        </is>
      </c>
      <c r="R1463" s="7" t="inlineStr">
        <is>
          <t>OUI</t>
        </is>
      </c>
      <c r="S1463" s="7" t="inlineStr">
        <is>
          <t>31/08/2026 02:59</t>
        </is>
      </c>
    </row>
    <row r="1464">
      <c r="A1464" s="8" t="inlineStr">
        <is>
          <t>WHAP-1460</t>
        </is>
      </c>
      <c r="B1464" s="8" t="inlineStr">
        <is>
          <t>ELC-1460</t>
        </is>
      </c>
      <c r="C1464" s="8" t="inlineStr">
        <is>
          <t>connecteur CAN — moteur</t>
        </is>
      </c>
      <c r="D1464" s="8" t="inlineStr">
        <is>
          <t>Électronique et capteurs</t>
        </is>
      </c>
      <c r="E1464" s="8" t="inlineStr">
        <is>
          <t>Électronique et capteurs</t>
        </is>
      </c>
      <c r="F1464" s="8" t="inlineStr">
        <is>
          <t>PIECE_VEHICULE</t>
        </is>
      </c>
      <c r="G1464" s="8" t="inlineStr">
        <is>
          <t>unité</t>
        </is>
      </c>
      <c r="H1464" s="8" t="inlineStr">
        <is>
          <t>SMALL</t>
        </is>
      </c>
      <c r="I1464" s="8" t="n">
        <v>5</v>
      </c>
      <c r="J1464" s="8" t="inlineStr">
        <is>
          <t>E-05-03</t>
        </is>
      </c>
      <c r="K1464" s="8" t="inlineStr"/>
      <c r="L1464" s="10" t="n">
        <v>0</v>
      </c>
      <c r="M1464" s="10" t="n">
        <v>0</v>
      </c>
      <c r="N1464" s="10" t="n">
        <v>28</v>
      </c>
      <c r="O1464" s="8" t="inlineStr">
        <is>
          <t>HEL</t>
        </is>
      </c>
      <c r="P1464" s="8" t="inlineStr">
        <is>
          <t>IMPORTANT</t>
        </is>
      </c>
      <c r="Q1464" s="8" t="inlineStr">
        <is>
          <t>WHAP</t>
        </is>
      </c>
      <c r="R1464" s="8" t="inlineStr">
        <is>
          <t>OUI</t>
        </is>
      </c>
      <c r="S1464" s="8" t="inlineStr">
        <is>
          <t>31/08/2026 02:59</t>
        </is>
      </c>
    </row>
    <row r="1465">
      <c r="A1465" s="7" t="inlineStr">
        <is>
          <t>WHAP-1461</t>
        </is>
      </c>
      <c r="B1465" s="7" t="inlineStr">
        <is>
          <t>ELC-1461</t>
        </is>
      </c>
      <c r="C1465" s="7" t="inlineStr">
        <is>
          <t>terminaison CAN — moteur</t>
        </is>
      </c>
      <c r="D1465" s="7" t="inlineStr">
        <is>
          <t>Électronique et capteurs</t>
        </is>
      </c>
      <c r="E1465" s="7" t="inlineStr">
        <is>
          <t>Électronique et capteurs</t>
        </is>
      </c>
      <c r="F1465" s="7" t="inlineStr">
        <is>
          <t>PIECE_VEHICULE</t>
        </is>
      </c>
      <c r="G1465" s="7" t="inlineStr">
        <is>
          <t>unité</t>
        </is>
      </c>
      <c r="H1465" s="7" t="inlineStr">
        <is>
          <t>SMALL</t>
        </is>
      </c>
      <c r="I1465" s="7" t="n">
        <v>5</v>
      </c>
      <c r="J1465" s="7" t="inlineStr">
        <is>
          <t>D-02-02</t>
        </is>
      </c>
      <c r="K1465" s="7" t="inlineStr"/>
      <c r="L1465" s="9" t="n">
        <v>0</v>
      </c>
      <c r="M1465" s="9" t="n">
        <v>0</v>
      </c>
      <c r="N1465" s="9" t="n">
        <v>32</v>
      </c>
      <c r="O1465" s="7" t="inlineStr">
        <is>
          <t>VAL</t>
        </is>
      </c>
      <c r="P1465" s="7" t="inlineStr">
        <is>
          <t>IMPORTANT</t>
        </is>
      </c>
      <c r="Q1465" s="7" t="inlineStr">
        <is>
          <t>WHAP</t>
        </is>
      </c>
      <c r="R1465" s="7" t="inlineStr">
        <is>
          <t>OUI</t>
        </is>
      </c>
      <c r="S1465" s="7" t="inlineStr">
        <is>
          <t>31/08/2026 02:59</t>
        </is>
      </c>
    </row>
    <row r="1466">
      <c r="A1466" s="8" t="inlineStr">
        <is>
          <t>WHAP-1462</t>
        </is>
      </c>
      <c r="B1466" s="8" t="inlineStr">
        <is>
          <t>ELC-1462</t>
        </is>
      </c>
      <c r="C1466" s="8" t="inlineStr">
        <is>
          <t>câble CAN — moteur</t>
        </is>
      </c>
      <c r="D1466" s="8" t="inlineStr">
        <is>
          <t>Électronique et capteurs</t>
        </is>
      </c>
      <c r="E1466" s="8" t="inlineStr">
        <is>
          <t>Électronique et capteurs</t>
        </is>
      </c>
      <c r="F1466" s="8" t="inlineStr">
        <is>
          <t>PIECE_VEHICULE</t>
        </is>
      </c>
      <c r="G1466" s="8" t="inlineStr">
        <is>
          <t>unité</t>
        </is>
      </c>
      <c r="H1466" s="8" t="inlineStr">
        <is>
          <t>SMALL</t>
        </is>
      </c>
      <c r="I1466" s="8" t="n">
        <v>5</v>
      </c>
      <c r="J1466" s="8" t="inlineStr">
        <is>
          <t>E-05-02</t>
        </is>
      </c>
      <c r="K1466" s="8" t="inlineStr"/>
      <c r="L1466" s="10" t="n">
        <v>0</v>
      </c>
      <c r="M1466" s="10" t="n">
        <v>0</v>
      </c>
      <c r="N1466" s="10" t="n">
        <v>30</v>
      </c>
      <c r="O1466" s="8" t="inlineStr">
        <is>
          <t>BOS</t>
        </is>
      </c>
      <c r="P1466" s="8" t="inlineStr">
        <is>
          <t>IMPORTANT</t>
        </is>
      </c>
      <c r="Q1466" s="8" t="inlineStr">
        <is>
          <t>WHAP</t>
        </is>
      </c>
      <c r="R1466" s="8" t="inlineStr">
        <is>
          <t>OUI</t>
        </is>
      </c>
      <c r="S1466" s="8" t="inlineStr">
        <is>
          <t>31/08/2026 02:59</t>
        </is>
      </c>
    </row>
    <row r="1467">
      <c r="A1467" s="7" t="inlineStr">
        <is>
          <t>WHAP-1463</t>
        </is>
      </c>
      <c r="B1467" s="7" t="inlineStr">
        <is>
          <t>ELC-1463</t>
        </is>
      </c>
      <c r="C1467" s="7" t="inlineStr">
        <is>
          <t>boîtier électronique — moteur</t>
        </is>
      </c>
      <c r="D1467" s="7" t="inlineStr">
        <is>
          <t>Électronique et capteurs</t>
        </is>
      </c>
      <c r="E1467" s="7" t="inlineStr">
        <is>
          <t>Électronique et capteurs</t>
        </is>
      </c>
      <c r="F1467" s="7" t="inlineStr">
        <is>
          <t>PIECE_VEHICULE</t>
        </is>
      </c>
      <c r="G1467" s="7" t="inlineStr">
        <is>
          <t>unité</t>
        </is>
      </c>
      <c r="H1467" s="7" t="inlineStr">
        <is>
          <t>SMALL</t>
        </is>
      </c>
      <c r="I1467" s="7" t="n">
        <v>5</v>
      </c>
      <c r="J1467" s="7" t="inlineStr">
        <is>
          <t>F-04-02</t>
        </is>
      </c>
      <c r="K1467" s="7" t="inlineStr"/>
      <c r="L1467" s="9" t="n">
        <v>0</v>
      </c>
      <c r="M1467" s="9" t="n">
        <v>0</v>
      </c>
      <c r="N1467" s="9" t="n">
        <v>25</v>
      </c>
      <c r="O1467" s="7" t="inlineStr">
        <is>
          <t>YZK</t>
        </is>
      </c>
      <c r="P1467" s="7" t="inlineStr">
        <is>
          <t>IMPORTANT</t>
        </is>
      </c>
      <c r="Q1467" s="7" t="inlineStr">
        <is>
          <t>WHAP</t>
        </is>
      </c>
      <c r="R1467" s="7" t="inlineStr">
        <is>
          <t>OUI</t>
        </is>
      </c>
      <c r="S1467" s="7" t="inlineStr">
        <is>
          <t>31/08/2026 02:59</t>
        </is>
      </c>
    </row>
    <row r="1468">
      <c r="A1468" s="8" t="inlineStr">
        <is>
          <t>WHAP-1464</t>
        </is>
      </c>
      <c r="B1468" s="8" t="inlineStr">
        <is>
          <t>ELC-1464</t>
        </is>
      </c>
      <c r="C1468" s="8" t="inlineStr">
        <is>
          <t>calculateur moteur — transmission</t>
        </is>
      </c>
      <c r="D1468" s="8" t="inlineStr">
        <is>
          <t>Électronique et capteurs</t>
        </is>
      </c>
      <c r="E1468" s="8" t="inlineStr">
        <is>
          <t>Électronique et capteurs</t>
        </is>
      </c>
      <c r="F1468" s="8" t="inlineStr">
        <is>
          <t>PIECE_VEHICULE</t>
        </is>
      </c>
      <c r="G1468" s="8" t="inlineStr">
        <is>
          <t>unité</t>
        </is>
      </c>
      <c r="H1468" s="8" t="inlineStr">
        <is>
          <t>SMALL</t>
        </is>
      </c>
      <c r="I1468" s="8" t="n">
        <v>5</v>
      </c>
      <c r="J1468" s="8" t="inlineStr">
        <is>
          <t>E-02-04</t>
        </is>
      </c>
      <c r="K1468" s="8" t="inlineStr"/>
      <c r="L1468" s="10" t="n">
        <v>0</v>
      </c>
      <c r="M1468" s="10" t="n">
        <v>0</v>
      </c>
      <c r="N1468" s="10" t="n">
        <v>22</v>
      </c>
      <c r="O1468" s="8" t="inlineStr">
        <is>
          <t>SUM</t>
        </is>
      </c>
      <c r="P1468" s="8" t="inlineStr">
        <is>
          <t>IMPORTANT</t>
        </is>
      </c>
      <c r="Q1468" s="8" t="inlineStr">
        <is>
          <t>WHAP</t>
        </is>
      </c>
      <c r="R1468" s="8" t="inlineStr">
        <is>
          <t>OUI</t>
        </is>
      </c>
      <c r="S1468" s="8" t="inlineStr">
        <is>
          <t>31/08/2026 02:59</t>
        </is>
      </c>
    </row>
    <row r="1469">
      <c r="A1469" s="7" t="inlineStr">
        <is>
          <t>WHAP-1465</t>
        </is>
      </c>
      <c r="B1469" s="7" t="inlineStr">
        <is>
          <t>ELC-1465</t>
        </is>
      </c>
      <c r="C1469" s="7" t="inlineStr">
        <is>
          <t>calculateur transmission — transmission</t>
        </is>
      </c>
      <c r="D1469" s="7" t="inlineStr">
        <is>
          <t>Électronique et capteurs</t>
        </is>
      </c>
      <c r="E1469" s="7" t="inlineStr">
        <is>
          <t>Électronique et capteurs</t>
        </is>
      </c>
      <c r="F1469" s="7" t="inlineStr">
        <is>
          <t>PIECE_VEHICULE</t>
        </is>
      </c>
      <c r="G1469" s="7" t="inlineStr">
        <is>
          <t>unité</t>
        </is>
      </c>
      <c r="H1469" s="7" t="inlineStr">
        <is>
          <t>SMALL</t>
        </is>
      </c>
      <c r="I1469" s="7" t="n">
        <v>5</v>
      </c>
      <c r="J1469" s="7" t="inlineStr">
        <is>
          <t>E-05-04</t>
        </is>
      </c>
      <c r="K1469" s="7" t="inlineStr"/>
      <c r="L1469" s="9" t="n">
        <v>0</v>
      </c>
      <c r="M1469" s="9" t="n">
        <v>0</v>
      </c>
      <c r="N1469" s="9" t="n">
        <v>30</v>
      </c>
      <c r="O1469" s="7" t="inlineStr">
        <is>
          <t>MAG</t>
        </is>
      </c>
      <c r="P1469" s="7" t="inlineStr">
        <is>
          <t>IMPORTANT</t>
        </is>
      </c>
      <c r="Q1469" s="7" t="inlineStr">
        <is>
          <t>WHAP</t>
        </is>
      </c>
      <c r="R1469" s="7" t="inlineStr">
        <is>
          <t>OUI</t>
        </is>
      </c>
      <c r="S1469" s="7" t="inlineStr">
        <is>
          <t>31/08/2026 02:59</t>
        </is>
      </c>
    </row>
    <row r="1470">
      <c r="A1470" s="8" t="inlineStr">
        <is>
          <t>WHAP-1466</t>
        </is>
      </c>
      <c r="B1470" s="8" t="inlineStr">
        <is>
          <t>ELC-1466</t>
        </is>
      </c>
      <c r="C1470" s="8" t="inlineStr">
        <is>
          <t>calculateur ABS — transmission</t>
        </is>
      </c>
      <c r="D1470" s="8" t="inlineStr">
        <is>
          <t>Électronique et capteurs</t>
        </is>
      </c>
      <c r="E1470" s="8" t="inlineStr">
        <is>
          <t>Électronique et capteurs</t>
        </is>
      </c>
      <c r="F1470" s="8" t="inlineStr">
        <is>
          <t>PIECE_VEHICULE</t>
        </is>
      </c>
      <c r="G1470" s="8" t="inlineStr">
        <is>
          <t>unité</t>
        </is>
      </c>
      <c r="H1470" s="8" t="inlineStr">
        <is>
          <t>SMALL</t>
        </is>
      </c>
      <c r="I1470" s="8" t="n">
        <v>5</v>
      </c>
      <c r="J1470" s="8" t="inlineStr">
        <is>
          <t>F-04-02</t>
        </is>
      </c>
      <c r="K1470" s="8" t="inlineStr"/>
      <c r="L1470" s="10" t="n">
        <v>0</v>
      </c>
      <c r="M1470" s="10" t="n">
        <v>0</v>
      </c>
      <c r="N1470" s="10" t="n">
        <v>22</v>
      </c>
      <c r="O1470" s="8" t="inlineStr">
        <is>
          <t>YZK</t>
        </is>
      </c>
      <c r="P1470" s="8" t="inlineStr">
        <is>
          <t>IMPORTANT</t>
        </is>
      </c>
      <c r="Q1470" s="8" t="inlineStr">
        <is>
          <t>WHAP</t>
        </is>
      </c>
      <c r="R1470" s="8" t="inlineStr">
        <is>
          <t>OUI</t>
        </is>
      </c>
      <c r="S1470" s="8" t="inlineStr">
        <is>
          <t>31/08/2026 02:59</t>
        </is>
      </c>
    </row>
    <row r="1471">
      <c r="A1471" s="7" t="inlineStr">
        <is>
          <t>WHAP-1467</t>
        </is>
      </c>
      <c r="B1471" s="7" t="inlineStr">
        <is>
          <t>ELC-1467</t>
        </is>
      </c>
      <c r="C1471" s="7" t="inlineStr">
        <is>
          <t>calculateur CTIS — transmission</t>
        </is>
      </c>
      <c r="D1471" s="7" t="inlineStr">
        <is>
          <t>Électronique et capteurs</t>
        </is>
      </c>
      <c r="E1471" s="7" t="inlineStr">
        <is>
          <t>Électronique et capteurs</t>
        </is>
      </c>
      <c r="F1471" s="7" t="inlineStr">
        <is>
          <t>PIECE_VEHICULE</t>
        </is>
      </c>
      <c r="G1471" s="7" t="inlineStr">
        <is>
          <t>unité</t>
        </is>
      </c>
      <c r="H1471" s="7" t="inlineStr">
        <is>
          <t>SMALL</t>
        </is>
      </c>
      <c r="I1471" s="7" t="n">
        <v>5</v>
      </c>
      <c r="J1471" s="7" t="inlineStr">
        <is>
          <t>D-04-02</t>
        </is>
      </c>
      <c r="K1471" s="7" t="inlineStr"/>
      <c r="L1471" s="9" t="n">
        <v>0</v>
      </c>
      <c r="M1471" s="9" t="n">
        <v>0</v>
      </c>
      <c r="N1471" s="9" t="n">
        <v>27</v>
      </c>
      <c r="O1471" s="7" t="inlineStr">
        <is>
          <t>CTL</t>
        </is>
      </c>
      <c r="P1471" s="7" t="inlineStr">
        <is>
          <t>IMPORTANT</t>
        </is>
      </c>
      <c r="Q1471" s="7" t="inlineStr">
        <is>
          <t>WHAP</t>
        </is>
      </c>
      <c r="R1471" s="7" t="inlineStr">
        <is>
          <t>OUI</t>
        </is>
      </c>
      <c r="S1471" s="7" t="inlineStr">
        <is>
          <t>31/08/2026 02:59</t>
        </is>
      </c>
    </row>
    <row r="1472">
      <c r="A1472" s="8" t="inlineStr">
        <is>
          <t>WHAP-1468</t>
        </is>
      </c>
      <c r="B1472" s="8" t="inlineStr">
        <is>
          <t>ELC-1468</t>
        </is>
      </c>
      <c r="C1472" s="8" t="inlineStr">
        <is>
          <t>unité de contrôle véhicule — transmission</t>
        </is>
      </c>
      <c r="D1472" s="8" t="inlineStr">
        <is>
          <t>Électronique et capteurs</t>
        </is>
      </c>
      <c r="E1472" s="8" t="inlineStr">
        <is>
          <t>Électronique et capteurs</t>
        </is>
      </c>
      <c r="F1472" s="8" t="inlineStr">
        <is>
          <t>PIECE_VEHICULE</t>
        </is>
      </c>
      <c r="G1472" s="8" t="inlineStr">
        <is>
          <t>unité</t>
        </is>
      </c>
      <c r="H1472" s="8" t="inlineStr">
        <is>
          <t>SMALL</t>
        </is>
      </c>
      <c r="I1472" s="8" t="n">
        <v>5</v>
      </c>
      <c r="J1472" s="8" t="inlineStr">
        <is>
          <t>C-03-03</t>
        </is>
      </c>
      <c r="K1472" s="8" t="inlineStr"/>
      <c r="L1472" s="10" t="n">
        <v>0</v>
      </c>
      <c r="M1472" s="10" t="n">
        <v>0</v>
      </c>
      <c r="N1472" s="10" t="n">
        <v>27</v>
      </c>
      <c r="O1472" s="8" t="inlineStr">
        <is>
          <t>MAG</t>
        </is>
      </c>
      <c r="P1472" s="8" t="inlineStr">
        <is>
          <t>IMPORTANT</t>
        </is>
      </c>
      <c r="Q1472" s="8" t="inlineStr">
        <is>
          <t>WHAP</t>
        </is>
      </c>
      <c r="R1472" s="8" t="inlineStr">
        <is>
          <t>OUI</t>
        </is>
      </c>
      <c r="S1472" s="8" t="inlineStr">
        <is>
          <t>31/08/2026 02:59</t>
        </is>
      </c>
    </row>
    <row r="1473">
      <c r="A1473" s="7" t="inlineStr">
        <is>
          <t>WHAP-1469</t>
        </is>
      </c>
      <c r="B1473" s="7" t="inlineStr">
        <is>
          <t>ELC-1469</t>
        </is>
      </c>
      <c r="C1473" s="7" t="inlineStr">
        <is>
          <t>module I/O — transmission</t>
        </is>
      </c>
      <c r="D1473" s="7" t="inlineStr">
        <is>
          <t>Électronique et capteurs</t>
        </is>
      </c>
      <c r="E1473" s="7" t="inlineStr">
        <is>
          <t>Électronique et capteurs</t>
        </is>
      </c>
      <c r="F1473" s="7" t="inlineStr">
        <is>
          <t>PIECE_VEHICULE</t>
        </is>
      </c>
      <c r="G1473" s="7" t="inlineStr">
        <is>
          <t>unité</t>
        </is>
      </c>
      <c r="H1473" s="7" t="inlineStr">
        <is>
          <t>SMALL</t>
        </is>
      </c>
      <c r="I1473" s="7" t="n">
        <v>5</v>
      </c>
      <c r="J1473" s="7" t="inlineStr">
        <is>
          <t>C-03-01</t>
        </is>
      </c>
      <c r="K1473" s="7" t="inlineStr"/>
      <c r="L1473" s="9" t="n">
        <v>0</v>
      </c>
      <c r="M1473" s="9" t="n">
        <v>0</v>
      </c>
      <c r="N1473" s="9" t="n">
        <v>29</v>
      </c>
      <c r="O1473" s="7" t="inlineStr">
        <is>
          <t>DEL</t>
        </is>
      </c>
      <c r="P1473" s="7" t="inlineStr">
        <is>
          <t>IMPORTANT</t>
        </is>
      </c>
      <c r="Q1473" s="7" t="inlineStr">
        <is>
          <t>WHAP</t>
        </is>
      </c>
      <c r="R1473" s="7" t="inlineStr">
        <is>
          <t>OUI</t>
        </is>
      </c>
      <c r="S1473" s="7" t="inlineStr">
        <is>
          <t>31/08/2026 02:59</t>
        </is>
      </c>
    </row>
    <row r="1474">
      <c r="A1474" s="8" t="inlineStr">
        <is>
          <t>WHAP-1470</t>
        </is>
      </c>
      <c r="B1474" s="8" t="inlineStr">
        <is>
          <t>ELC-1470</t>
        </is>
      </c>
      <c r="C1474" s="8" t="inlineStr">
        <is>
          <t>capteur température — transmission</t>
        </is>
      </c>
      <c r="D1474" s="8" t="inlineStr">
        <is>
          <t>Électronique et capteurs</t>
        </is>
      </c>
      <c r="E1474" s="8" t="inlineStr">
        <is>
          <t>Électronique et capteurs</t>
        </is>
      </c>
      <c r="F1474" s="8" t="inlineStr">
        <is>
          <t>PIECE_VEHICULE</t>
        </is>
      </c>
      <c r="G1474" s="8" t="inlineStr">
        <is>
          <t>unité</t>
        </is>
      </c>
      <c r="H1474" s="8" t="inlineStr">
        <is>
          <t>SMALL</t>
        </is>
      </c>
      <c r="I1474" s="8" t="n">
        <v>5</v>
      </c>
      <c r="J1474" s="8" t="inlineStr">
        <is>
          <t>C-03-03</t>
        </is>
      </c>
      <c r="K1474" s="8" t="inlineStr"/>
      <c r="L1474" s="10" t="n">
        <v>0</v>
      </c>
      <c r="M1474" s="10" t="n">
        <v>0</v>
      </c>
      <c r="N1474" s="10" t="n">
        <v>31</v>
      </c>
      <c r="O1474" s="8" t="inlineStr">
        <is>
          <t>DEL</t>
        </is>
      </c>
      <c r="P1474" s="8" t="inlineStr">
        <is>
          <t>IMPORTANT</t>
        </is>
      </c>
      <c r="Q1474" s="8" t="inlineStr">
        <is>
          <t>WHAP</t>
        </is>
      </c>
      <c r="R1474" s="8" t="inlineStr">
        <is>
          <t>OUI</t>
        </is>
      </c>
      <c r="S1474" s="8" t="inlineStr">
        <is>
          <t>31/08/2026 02:59</t>
        </is>
      </c>
    </row>
    <row r="1475">
      <c r="A1475" s="7" t="inlineStr">
        <is>
          <t>WHAP-1471</t>
        </is>
      </c>
      <c r="B1475" s="7" t="inlineStr">
        <is>
          <t>ELC-1471</t>
        </is>
      </c>
      <c r="C1475" s="7" t="inlineStr">
        <is>
          <t>capteur pression — transmission</t>
        </is>
      </c>
      <c r="D1475" s="7" t="inlineStr">
        <is>
          <t>Électronique et capteurs</t>
        </is>
      </c>
      <c r="E1475" s="7" t="inlineStr">
        <is>
          <t>Électronique et capteurs</t>
        </is>
      </c>
      <c r="F1475" s="7" t="inlineStr">
        <is>
          <t>PIECE_VEHICULE</t>
        </is>
      </c>
      <c r="G1475" s="7" t="inlineStr">
        <is>
          <t>unité</t>
        </is>
      </c>
      <c r="H1475" s="7" t="inlineStr">
        <is>
          <t>SMALL</t>
        </is>
      </c>
      <c r="I1475" s="7" t="n">
        <v>5</v>
      </c>
      <c r="J1475" s="7" t="inlineStr">
        <is>
          <t>E-05-01</t>
        </is>
      </c>
      <c r="K1475" s="7" t="inlineStr"/>
      <c r="L1475" s="9" t="n">
        <v>0</v>
      </c>
      <c r="M1475" s="9" t="n">
        <v>0</v>
      </c>
      <c r="N1475" s="9" t="n">
        <v>23</v>
      </c>
      <c r="O1475" s="7" t="inlineStr">
        <is>
          <t>HEL</t>
        </is>
      </c>
      <c r="P1475" s="7" t="inlineStr">
        <is>
          <t>IMPORTANT</t>
        </is>
      </c>
      <c r="Q1475" s="7" t="inlineStr">
        <is>
          <t>WHAP</t>
        </is>
      </c>
      <c r="R1475" s="7" t="inlineStr">
        <is>
          <t>OUI</t>
        </is>
      </c>
      <c r="S1475" s="7" t="inlineStr">
        <is>
          <t>31/08/2026 02:59</t>
        </is>
      </c>
    </row>
    <row r="1476">
      <c r="A1476" s="8" t="inlineStr">
        <is>
          <t>WHAP-1472</t>
        </is>
      </c>
      <c r="B1476" s="8" t="inlineStr">
        <is>
          <t>ELC-1472</t>
        </is>
      </c>
      <c r="C1476" s="8" t="inlineStr">
        <is>
          <t>capteur vitesse — transmission</t>
        </is>
      </c>
      <c r="D1476" s="8" t="inlineStr">
        <is>
          <t>Électronique et capteurs</t>
        </is>
      </c>
      <c r="E1476" s="8" t="inlineStr">
        <is>
          <t>Électronique et capteurs</t>
        </is>
      </c>
      <c r="F1476" s="8" t="inlineStr">
        <is>
          <t>PIECE_VEHICULE</t>
        </is>
      </c>
      <c r="G1476" s="8" t="inlineStr">
        <is>
          <t>unité</t>
        </is>
      </c>
      <c r="H1476" s="8" t="inlineStr">
        <is>
          <t>SMALL</t>
        </is>
      </c>
      <c r="I1476" s="8" t="n">
        <v>5</v>
      </c>
      <c r="J1476" s="8" t="inlineStr">
        <is>
          <t>F-06-03</t>
        </is>
      </c>
      <c r="K1476" s="8" t="inlineStr"/>
      <c r="L1476" s="10" t="n">
        <v>0</v>
      </c>
      <c r="M1476" s="10" t="n">
        <v>0</v>
      </c>
      <c r="N1476" s="10" t="n">
        <v>26</v>
      </c>
      <c r="O1476" s="8" t="inlineStr">
        <is>
          <t>VAL</t>
        </is>
      </c>
      <c r="P1476" s="8" t="inlineStr">
        <is>
          <t>IMPORTANT</t>
        </is>
      </c>
      <c r="Q1476" s="8" t="inlineStr">
        <is>
          <t>WHAP</t>
        </is>
      </c>
      <c r="R1476" s="8" t="inlineStr">
        <is>
          <t>OUI</t>
        </is>
      </c>
      <c r="S1476" s="8" t="inlineStr">
        <is>
          <t>31/08/2026 02:59</t>
        </is>
      </c>
    </row>
    <row r="1477">
      <c r="A1477" s="7" t="inlineStr">
        <is>
          <t>WHAP-1473</t>
        </is>
      </c>
      <c r="B1477" s="7" t="inlineStr">
        <is>
          <t>ELC-1473</t>
        </is>
      </c>
      <c r="C1477" s="7" t="inlineStr">
        <is>
          <t>capteur position — transmission</t>
        </is>
      </c>
      <c r="D1477" s="7" t="inlineStr">
        <is>
          <t>Électronique et capteurs</t>
        </is>
      </c>
      <c r="E1477" s="7" t="inlineStr">
        <is>
          <t>Électronique et capteurs</t>
        </is>
      </c>
      <c r="F1477" s="7" t="inlineStr">
        <is>
          <t>PIECE_VEHICULE</t>
        </is>
      </c>
      <c r="G1477" s="7" t="inlineStr">
        <is>
          <t>unité</t>
        </is>
      </c>
      <c r="H1477" s="7" t="inlineStr">
        <is>
          <t>SMALL</t>
        </is>
      </c>
      <c r="I1477" s="7" t="n">
        <v>5</v>
      </c>
      <c r="J1477" s="7" t="inlineStr">
        <is>
          <t>B-06-02</t>
        </is>
      </c>
      <c r="K1477" s="7" t="inlineStr"/>
      <c r="L1477" s="9" t="n">
        <v>0</v>
      </c>
      <c r="M1477" s="9" t="n">
        <v>0</v>
      </c>
      <c r="N1477" s="9" t="n">
        <v>27</v>
      </c>
      <c r="O1477" s="7" t="inlineStr">
        <is>
          <t>YZK</t>
        </is>
      </c>
      <c r="P1477" s="7" t="inlineStr">
        <is>
          <t>IMPORTANT</t>
        </is>
      </c>
      <c r="Q1477" s="7" t="inlineStr">
        <is>
          <t>WHAP</t>
        </is>
      </c>
      <c r="R1477" s="7" t="inlineStr">
        <is>
          <t>OUI</t>
        </is>
      </c>
      <c r="S1477" s="7" t="inlineStr">
        <is>
          <t>31/08/2026 02:59</t>
        </is>
      </c>
    </row>
    <row r="1478">
      <c r="A1478" s="8" t="inlineStr">
        <is>
          <t>WHAP-1474</t>
        </is>
      </c>
      <c r="B1478" s="8" t="inlineStr">
        <is>
          <t>ELC-1474</t>
        </is>
      </c>
      <c r="C1478" s="8" t="inlineStr">
        <is>
          <t>capteur niveau — transmission</t>
        </is>
      </c>
      <c r="D1478" s="8" t="inlineStr">
        <is>
          <t>Électronique et capteurs</t>
        </is>
      </c>
      <c r="E1478" s="8" t="inlineStr">
        <is>
          <t>Électronique et capteurs</t>
        </is>
      </c>
      <c r="F1478" s="8" t="inlineStr">
        <is>
          <t>PIECE_VEHICULE</t>
        </is>
      </c>
      <c r="G1478" s="8" t="inlineStr">
        <is>
          <t>unité</t>
        </is>
      </c>
      <c r="H1478" s="8" t="inlineStr">
        <is>
          <t>SMALL</t>
        </is>
      </c>
      <c r="I1478" s="8" t="n">
        <v>5</v>
      </c>
      <c r="J1478" s="8" t="inlineStr">
        <is>
          <t>C-03-04</t>
        </is>
      </c>
      <c r="K1478" s="8" t="inlineStr"/>
      <c r="L1478" s="10" t="n">
        <v>0</v>
      </c>
      <c r="M1478" s="10" t="n">
        <v>0</v>
      </c>
      <c r="N1478" s="10" t="n">
        <v>29</v>
      </c>
      <c r="O1478" s="8" t="inlineStr">
        <is>
          <t>MAG</t>
        </is>
      </c>
      <c r="P1478" s="8" t="inlineStr">
        <is>
          <t>IMPORTANT</t>
        </is>
      </c>
      <c r="Q1478" s="8" t="inlineStr">
        <is>
          <t>WHAP</t>
        </is>
      </c>
      <c r="R1478" s="8" t="inlineStr">
        <is>
          <t>OUI</t>
        </is>
      </c>
      <c r="S1478" s="8" t="inlineStr">
        <is>
          <t>31/08/2026 02:59</t>
        </is>
      </c>
    </row>
    <row r="1479">
      <c r="A1479" s="7" t="inlineStr">
        <is>
          <t>WHAP-1475</t>
        </is>
      </c>
      <c r="B1479" s="7" t="inlineStr">
        <is>
          <t>ELC-1475</t>
        </is>
      </c>
      <c r="C1479" s="7" t="inlineStr">
        <is>
          <t>capteur débit — transmission</t>
        </is>
      </c>
      <c r="D1479" s="7" t="inlineStr">
        <is>
          <t>Électronique et capteurs</t>
        </is>
      </c>
      <c r="E1479" s="7" t="inlineStr">
        <is>
          <t>Électronique et capteurs</t>
        </is>
      </c>
      <c r="F1479" s="7" t="inlineStr">
        <is>
          <t>PIECE_VEHICULE</t>
        </is>
      </c>
      <c r="G1479" s="7" t="inlineStr">
        <is>
          <t>unité</t>
        </is>
      </c>
      <c r="H1479" s="7" t="inlineStr">
        <is>
          <t>SMALL</t>
        </is>
      </c>
      <c r="I1479" s="7" t="n">
        <v>5</v>
      </c>
      <c r="J1479" s="7" t="inlineStr">
        <is>
          <t>D-06-02</t>
        </is>
      </c>
      <c r="K1479" s="7" t="inlineStr"/>
      <c r="L1479" s="9" t="n">
        <v>0</v>
      </c>
      <c r="M1479" s="9" t="n">
        <v>0</v>
      </c>
      <c r="N1479" s="9" t="n">
        <v>28</v>
      </c>
      <c r="O1479" s="7" t="inlineStr">
        <is>
          <t>YZK</t>
        </is>
      </c>
      <c r="P1479" s="7" t="inlineStr">
        <is>
          <t>IMPORTANT</t>
        </is>
      </c>
      <c r="Q1479" s="7" t="inlineStr">
        <is>
          <t>WHAP</t>
        </is>
      </c>
      <c r="R1479" s="7" t="inlineStr">
        <is>
          <t>OUI</t>
        </is>
      </c>
      <c r="S1479" s="7" t="inlineStr">
        <is>
          <t>31/08/2026 02:59</t>
        </is>
      </c>
    </row>
    <row r="1480">
      <c r="A1480" s="8" t="inlineStr">
        <is>
          <t>WHAP-1476</t>
        </is>
      </c>
      <c r="B1480" s="8" t="inlineStr">
        <is>
          <t>ELC-1476</t>
        </is>
      </c>
      <c r="C1480" s="8" t="inlineStr">
        <is>
          <t>capteur accélération — transmission</t>
        </is>
      </c>
      <c r="D1480" s="8" t="inlineStr">
        <is>
          <t>Électronique et capteurs</t>
        </is>
      </c>
      <c r="E1480" s="8" t="inlineStr">
        <is>
          <t>Électronique et capteurs</t>
        </is>
      </c>
      <c r="F1480" s="8" t="inlineStr">
        <is>
          <t>PIECE_VEHICULE</t>
        </is>
      </c>
      <c r="G1480" s="8" t="inlineStr">
        <is>
          <t>unité</t>
        </is>
      </c>
      <c r="H1480" s="8" t="inlineStr">
        <is>
          <t>SMALL</t>
        </is>
      </c>
      <c r="I1480" s="8" t="n">
        <v>5</v>
      </c>
      <c r="J1480" s="8" t="inlineStr">
        <is>
          <t>E-05-02</t>
        </is>
      </c>
      <c r="K1480" s="8" t="inlineStr"/>
      <c r="L1480" s="10" t="n">
        <v>0</v>
      </c>
      <c r="M1480" s="10" t="n">
        <v>0</v>
      </c>
      <c r="N1480" s="10" t="n">
        <v>31</v>
      </c>
      <c r="O1480" s="8" t="inlineStr">
        <is>
          <t>DEL</t>
        </is>
      </c>
      <c r="P1480" s="8" t="inlineStr">
        <is>
          <t>IMPORTANT</t>
        </is>
      </c>
      <c r="Q1480" s="8" t="inlineStr">
        <is>
          <t>WHAP</t>
        </is>
      </c>
      <c r="R1480" s="8" t="inlineStr">
        <is>
          <t>OUI</t>
        </is>
      </c>
      <c r="S1480" s="8" t="inlineStr">
        <is>
          <t>31/08/2026 02:59</t>
        </is>
      </c>
    </row>
    <row r="1481">
      <c r="A1481" s="7" t="inlineStr">
        <is>
          <t>WHAP-1477</t>
        </is>
      </c>
      <c r="B1481" s="7" t="inlineStr">
        <is>
          <t>ELC-1477</t>
        </is>
      </c>
      <c r="C1481" s="7" t="inlineStr">
        <is>
          <t>capteur inclinaison — transmission</t>
        </is>
      </c>
      <c r="D1481" s="7" t="inlineStr">
        <is>
          <t>Électronique et capteurs</t>
        </is>
      </c>
      <c r="E1481" s="7" t="inlineStr">
        <is>
          <t>Électronique et capteurs</t>
        </is>
      </c>
      <c r="F1481" s="7" t="inlineStr">
        <is>
          <t>PIECE_VEHICULE</t>
        </is>
      </c>
      <c r="G1481" s="7" t="inlineStr">
        <is>
          <t>unité</t>
        </is>
      </c>
      <c r="H1481" s="7" t="inlineStr">
        <is>
          <t>SMALL</t>
        </is>
      </c>
      <c r="I1481" s="7" t="n">
        <v>5</v>
      </c>
      <c r="J1481" s="7" t="inlineStr">
        <is>
          <t>A-01-02</t>
        </is>
      </c>
      <c r="K1481" s="7" t="inlineStr"/>
      <c r="L1481" s="9" t="n">
        <v>0</v>
      </c>
      <c r="M1481" s="9" t="n">
        <v>0</v>
      </c>
      <c r="N1481" s="9" t="n">
        <v>25</v>
      </c>
      <c r="O1481" s="7" t="inlineStr">
        <is>
          <t>MAG</t>
        </is>
      </c>
      <c r="P1481" s="7" t="inlineStr">
        <is>
          <t>IMPORTANT</t>
        </is>
      </c>
      <c r="Q1481" s="7" t="inlineStr">
        <is>
          <t>WHAP</t>
        </is>
      </c>
      <c r="R1481" s="7" t="inlineStr">
        <is>
          <t>OUI</t>
        </is>
      </c>
      <c r="S1481" s="7" t="inlineStr">
        <is>
          <t>31/08/2026 02:59</t>
        </is>
      </c>
    </row>
    <row r="1482">
      <c r="A1482" s="8" t="inlineStr">
        <is>
          <t>WHAP-1478</t>
        </is>
      </c>
      <c r="B1482" s="8" t="inlineStr">
        <is>
          <t>ELC-1478</t>
        </is>
      </c>
      <c r="C1482" s="8" t="inlineStr">
        <is>
          <t>capteur ouverture porte — transmission</t>
        </is>
      </c>
      <c r="D1482" s="8" t="inlineStr">
        <is>
          <t>Électronique et capteurs</t>
        </is>
      </c>
      <c r="E1482" s="8" t="inlineStr">
        <is>
          <t>Électronique et capteurs</t>
        </is>
      </c>
      <c r="F1482" s="8" t="inlineStr">
        <is>
          <t>PIECE_VEHICULE</t>
        </is>
      </c>
      <c r="G1482" s="8" t="inlineStr">
        <is>
          <t>unité</t>
        </is>
      </c>
      <c r="H1482" s="8" t="inlineStr">
        <is>
          <t>SMALL</t>
        </is>
      </c>
      <c r="I1482" s="8" t="n">
        <v>5</v>
      </c>
      <c r="J1482" s="8" t="inlineStr">
        <is>
          <t>C-06-03</t>
        </is>
      </c>
      <c r="K1482" s="8" t="inlineStr"/>
      <c r="L1482" s="10" t="n">
        <v>0</v>
      </c>
      <c r="M1482" s="10" t="n">
        <v>0</v>
      </c>
      <c r="N1482" s="10" t="n">
        <v>32</v>
      </c>
      <c r="O1482" s="8" t="inlineStr">
        <is>
          <t>MAG</t>
        </is>
      </c>
      <c r="P1482" s="8" t="inlineStr">
        <is>
          <t>IMPORTANT</t>
        </is>
      </c>
      <c r="Q1482" s="8" t="inlineStr">
        <is>
          <t>WHAP</t>
        </is>
      </c>
      <c r="R1482" s="8" t="inlineStr">
        <is>
          <t>OUI</t>
        </is>
      </c>
      <c r="S1482" s="8" t="inlineStr">
        <is>
          <t>31/08/2026 02:59</t>
        </is>
      </c>
    </row>
    <row r="1483">
      <c r="A1483" s="7" t="inlineStr">
        <is>
          <t>WHAP-1479</t>
        </is>
      </c>
      <c r="B1483" s="7" t="inlineStr">
        <is>
          <t>ELC-1479</t>
        </is>
      </c>
      <c r="C1483" s="7" t="inlineStr">
        <is>
          <t>capteur présence — transmission</t>
        </is>
      </c>
      <c r="D1483" s="7" t="inlineStr">
        <is>
          <t>Électronique et capteurs</t>
        </is>
      </c>
      <c r="E1483" s="7" t="inlineStr">
        <is>
          <t>Électronique et capteurs</t>
        </is>
      </c>
      <c r="F1483" s="7" t="inlineStr">
        <is>
          <t>PIECE_VEHICULE</t>
        </is>
      </c>
      <c r="G1483" s="7" t="inlineStr">
        <is>
          <t>unité</t>
        </is>
      </c>
      <c r="H1483" s="7" t="inlineStr">
        <is>
          <t>SMALL</t>
        </is>
      </c>
      <c r="I1483" s="7" t="n">
        <v>5</v>
      </c>
      <c r="J1483" s="7" t="inlineStr">
        <is>
          <t>C-05-01</t>
        </is>
      </c>
      <c r="K1483" s="7" t="inlineStr"/>
      <c r="L1483" s="9" t="n">
        <v>0</v>
      </c>
      <c r="M1483" s="9" t="n">
        <v>0</v>
      </c>
      <c r="N1483" s="9" t="n">
        <v>23</v>
      </c>
      <c r="O1483" s="7" t="inlineStr">
        <is>
          <t>DEL</t>
        </is>
      </c>
      <c r="P1483" s="7" t="inlineStr">
        <is>
          <t>IMPORTANT</t>
        </is>
      </c>
      <c r="Q1483" s="7" t="inlineStr">
        <is>
          <t>WHAP</t>
        </is>
      </c>
      <c r="R1483" s="7" t="inlineStr">
        <is>
          <t>OUI</t>
        </is>
      </c>
      <c r="S1483" s="7" t="inlineStr">
        <is>
          <t>31/08/2026 02:59</t>
        </is>
      </c>
    </row>
    <row r="1484">
      <c r="A1484" s="8" t="inlineStr">
        <is>
          <t>WHAP-1480</t>
        </is>
      </c>
      <c r="B1484" s="8" t="inlineStr">
        <is>
          <t>ELC-1480</t>
        </is>
      </c>
      <c r="C1484" s="8" t="inlineStr">
        <is>
          <t>capteur fumée — transmission</t>
        </is>
      </c>
      <c r="D1484" s="8" t="inlineStr">
        <is>
          <t>Électronique et capteurs</t>
        </is>
      </c>
      <c r="E1484" s="8" t="inlineStr">
        <is>
          <t>Électronique et capteurs</t>
        </is>
      </c>
      <c r="F1484" s="8" t="inlineStr">
        <is>
          <t>PIECE_VEHICULE</t>
        </is>
      </c>
      <c r="G1484" s="8" t="inlineStr">
        <is>
          <t>unité</t>
        </is>
      </c>
      <c r="H1484" s="8" t="inlineStr">
        <is>
          <t>SMALL</t>
        </is>
      </c>
      <c r="I1484" s="8" t="n">
        <v>5</v>
      </c>
      <c r="J1484" s="8" t="inlineStr">
        <is>
          <t>C-06-04</t>
        </is>
      </c>
      <c r="K1484" s="8" t="inlineStr"/>
      <c r="L1484" s="10" t="n">
        <v>0</v>
      </c>
      <c r="M1484" s="10" t="n">
        <v>0</v>
      </c>
      <c r="N1484" s="10" t="n">
        <v>25</v>
      </c>
      <c r="O1484" s="8" t="inlineStr">
        <is>
          <t>HEL</t>
        </is>
      </c>
      <c r="P1484" s="8" t="inlineStr">
        <is>
          <t>IMPORTANT</t>
        </is>
      </c>
      <c r="Q1484" s="8" t="inlineStr">
        <is>
          <t>WHAP</t>
        </is>
      </c>
      <c r="R1484" s="8" t="inlineStr">
        <is>
          <t>OUI</t>
        </is>
      </c>
      <c r="S1484" s="8" t="inlineStr">
        <is>
          <t>31/08/2026 02:59</t>
        </is>
      </c>
    </row>
    <row r="1485">
      <c r="A1485" s="7" t="inlineStr">
        <is>
          <t>WHAP-1481</t>
        </is>
      </c>
      <c r="B1485" s="7" t="inlineStr">
        <is>
          <t>ELC-1481</t>
        </is>
      </c>
      <c r="C1485" s="7" t="inlineStr">
        <is>
          <t>capteur flamme — transmission</t>
        </is>
      </c>
      <c r="D1485" s="7" t="inlineStr">
        <is>
          <t>Électronique et capteurs</t>
        </is>
      </c>
      <c r="E1485" s="7" t="inlineStr">
        <is>
          <t>Électronique et capteurs</t>
        </is>
      </c>
      <c r="F1485" s="7" t="inlineStr">
        <is>
          <t>PIECE_VEHICULE</t>
        </is>
      </c>
      <c r="G1485" s="7" t="inlineStr">
        <is>
          <t>unité</t>
        </is>
      </c>
      <c r="H1485" s="7" t="inlineStr">
        <is>
          <t>SMALL</t>
        </is>
      </c>
      <c r="I1485" s="7" t="n">
        <v>5</v>
      </c>
      <c r="J1485" s="7" t="inlineStr">
        <is>
          <t>E-03-01</t>
        </is>
      </c>
      <c r="K1485" s="7" t="inlineStr"/>
      <c r="L1485" s="9" t="n">
        <v>0</v>
      </c>
      <c r="M1485" s="9" t="n">
        <v>0</v>
      </c>
      <c r="N1485" s="9" t="n">
        <v>29</v>
      </c>
      <c r="O1485" s="7" t="inlineStr">
        <is>
          <t>HEL</t>
        </is>
      </c>
      <c r="P1485" s="7" t="inlineStr">
        <is>
          <t>IMPORTANT</t>
        </is>
      </c>
      <c r="Q1485" s="7" t="inlineStr">
        <is>
          <t>WHAP</t>
        </is>
      </c>
      <c r="R1485" s="7" t="inlineStr">
        <is>
          <t>OUI</t>
        </is>
      </c>
      <c r="S1485" s="7" t="inlineStr">
        <is>
          <t>31/08/2026 02:59</t>
        </is>
      </c>
    </row>
    <row r="1486">
      <c r="A1486" s="8" t="inlineStr">
        <is>
          <t>WHAP-1482</t>
        </is>
      </c>
      <c r="B1486" s="8" t="inlineStr">
        <is>
          <t>ELC-1482</t>
        </is>
      </c>
      <c r="C1486" s="8" t="inlineStr">
        <is>
          <t>capteur CO2 — transmission</t>
        </is>
      </c>
      <c r="D1486" s="8" t="inlineStr">
        <is>
          <t>Électronique et capteurs</t>
        </is>
      </c>
      <c r="E1486" s="8" t="inlineStr">
        <is>
          <t>Électronique et capteurs</t>
        </is>
      </c>
      <c r="F1486" s="8" t="inlineStr">
        <is>
          <t>PIECE_VEHICULE</t>
        </is>
      </c>
      <c r="G1486" s="8" t="inlineStr">
        <is>
          <t>unité</t>
        </is>
      </c>
      <c r="H1486" s="8" t="inlineStr">
        <is>
          <t>SMALL</t>
        </is>
      </c>
      <c r="I1486" s="8" t="n">
        <v>5</v>
      </c>
      <c r="J1486" s="8" t="inlineStr">
        <is>
          <t>C-05-02</t>
        </is>
      </c>
      <c r="K1486" s="8" t="inlineStr"/>
      <c r="L1486" s="10" t="n">
        <v>0</v>
      </c>
      <c r="M1486" s="10" t="n">
        <v>0</v>
      </c>
      <c r="N1486" s="10" t="n">
        <v>29</v>
      </c>
      <c r="O1486" s="8" t="inlineStr">
        <is>
          <t>DEL</t>
        </is>
      </c>
      <c r="P1486" s="8" t="inlineStr">
        <is>
          <t>IMPORTANT</t>
        </is>
      </c>
      <c r="Q1486" s="8" t="inlineStr">
        <is>
          <t>WHAP</t>
        </is>
      </c>
      <c r="R1486" s="8" t="inlineStr">
        <is>
          <t>OUI</t>
        </is>
      </c>
      <c r="S1486" s="8" t="inlineStr">
        <is>
          <t>31/08/2026 02:59</t>
        </is>
      </c>
    </row>
    <row r="1487">
      <c r="A1487" s="7" t="inlineStr">
        <is>
          <t>WHAP-1483</t>
        </is>
      </c>
      <c r="B1487" s="7" t="inlineStr">
        <is>
          <t>ELC-1483</t>
        </is>
      </c>
      <c r="C1487" s="7" t="inlineStr">
        <is>
          <t>capteur humidité — transmission</t>
        </is>
      </c>
      <c r="D1487" s="7" t="inlineStr">
        <is>
          <t>Électronique et capteurs</t>
        </is>
      </c>
      <c r="E1487" s="7" t="inlineStr">
        <is>
          <t>Électronique et capteurs</t>
        </is>
      </c>
      <c r="F1487" s="7" t="inlineStr">
        <is>
          <t>PIECE_VEHICULE</t>
        </is>
      </c>
      <c r="G1487" s="7" t="inlineStr">
        <is>
          <t>unité</t>
        </is>
      </c>
      <c r="H1487" s="7" t="inlineStr">
        <is>
          <t>SMALL</t>
        </is>
      </c>
      <c r="I1487" s="7" t="n">
        <v>5</v>
      </c>
      <c r="J1487" s="7" t="inlineStr">
        <is>
          <t>B-01-04</t>
        </is>
      </c>
      <c r="K1487" s="7" t="inlineStr"/>
      <c r="L1487" s="9" t="n">
        <v>0</v>
      </c>
      <c r="M1487" s="9" t="n">
        <v>0</v>
      </c>
      <c r="N1487" s="9" t="n">
        <v>30</v>
      </c>
      <c r="O1487" s="7" t="inlineStr">
        <is>
          <t>CTL</t>
        </is>
      </c>
      <c r="P1487" s="7" t="inlineStr">
        <is>
          <t>IMPORTANT</t>
        </is>
      </c>
      <c r="Q1487" s="7" t="inlineStr">
        <is>
          <t>WHAP</t>
        </is>
      </c>
      <c r="R1487" s="7" t="inlineStr">
        <is>
          <t>OUI</t>
        </is>
      </c>
      <c r="S1487" s="7" t="inlineStr">
        <is>
          <t>31/08/2026 02:59</t>
        </is>
      </c>
    </row>
    <row r="1488">
      <c r="A1488" s="8" t="inlineStr">
        <is>
          <t>WHAP-1484</t>
        </is>
      </c>
      <c r="B1488" s="8" t="inlineStr">
        <is>
          <t>ELC-1484</t>
        </is>
      </c>
      <c r="C1488" s="8" t="inlineStr">
        <is>
          <t>capteur vibration — transmission</t>
        </is>
      </c>
      <c r="D1488" s="8" t="inlineStr">
        <is>
          <t>Électronique et capteurs</t>
        </is>
      </c>
      <c r="E1488" s="8" t="inlineStr">
        <is>
          <t>Électronique et capteurs</t>
        </is>
      </c>
      <c r="F1488" s="8" t="inlineStr">
        <is>
          <t>PIECE_VEHICULE</t>
        </is>
      </c>
      <c r="G1488" s="8" t="inlineStr">
        <is>
          <t>unité</t>
        </is>
      </c>
      <c r="H1488" s="8" t="inlineStr">
        <is>
          <t>SMALL</t>
        </is>
      </c>
      <c r="I1488" s="8" t="n">
        <v>5</v>
      </c>
      <c r="J1488" s="8" t="inlineStr">
        <is>
          <t>E-03-02</t>
        </is>
      </c>
      <c r="K1488" s="8" t="inlineStr"/>
      <c r="L1488" s="10" t="n">
        <v>0</v>
      </c>
      <c r="M1488" s="10" t="n">
        <v>0</v>
      </c>
      <c r="N1488" s="10" t="n">
        <v>25</v>
      </c>
      <c r="O1488" s="8" t="inlineStr">
        <is>
          <t>HEL</t>
        </is>
      </c>
      <c r="P1488" s="8" t="inlineStr">
        <is>
          <t>IMPORTANT</t>
        </is>
      </c>
      <c r="Q1488" s="8" t="inlineStr">
        <is>
          <t>WHAP</t>
        </is>
      </c>
      <c r="R1488" s="8" t="inlineStr">
        <is>
          <t>OUI</t>
        </is>
      </c>
      <c r="S1488" s="8" t="inlineStr">
        <is>
          <t>31/08/2026 02:59</t>
        </is>
      </c>
    </row>
    <row r="1489">
      <c r="A1489" s="7" t="inlineStr">
        <is>
          <t>WHAP-1485</t>
        </is>
      </c>
      <c r="B1489" s="7" t="inlineStr">
        <is>
          <t>ELC-1485</t>
        </is>
      </c>
      <c r="C1489" s="7" t="inlineStr">
        <is>
          <t>antenne — transmission</t>
        </is>
      </c>
      <c r="D1489" s="7" t="inlineStr">
        <is>
          <t>Électronique et capteurs</t>
        </is>
      </c>
      <c r="E1489" s="7" t="inlineStr">
        <is>
          <t>Électronique et capteurs</t>
        </is>
      </c>
      <c r="F1489" s="7" t="inlineStr">
        <is>
          <t>PIECE_VEHICULE</t>
        </is>
      </c>
      <c r="G1489" s="7" t="inlineStr">
        <is>
          <t>unité</t>
        </is>
      </c>
      <c r="H1489" s="7" t="inlineStr">
        <is>
          <t>SMALL</t>
        </is>
      </c>
      <c r="I1489" s="7" t="n">
        <v>5</v>
      </c>
      <c r="J1489" s="7" t="inlineStr">
        <is>
          <t>E-05-01</t>
        </is>
      </c>
      <c r="K1489" s="7" t="inlineStr"/>
      <c r="L1489" s="9" t="n">
        <v>0</v>
      </c>
      <c r="M1489" s="9" t="n">
        <v>0</v>
      </c>
      <c r="N1489" s="9" t="n">
        <v>22</v>
      </c>
      <c r="O1489" s="7" t="inlineStr">
        <is>
          <t>MAG</t>
        </is>
      </c>
      <c r="P1489" s="7" t="inlineStr">
        <is>
          <t>IMPORTANT</t>
        </is>
      </c>
      <c r="Q1489" s="7" t="inlineStr">
        <is>
          <t>WHAP</t>
        </is>
      </c>
      <c r="R1489" s="7" t="inlineStr">
        <is>
          <t>OUI</t>
        </is>
      </c>
      <c r="S1489" s="7" t="inlineStr">
        <is>
          <t>31/08/2026 02:59</t>
        </is>
      </c>
    </row>
    <row r="1490">
      <c r="A1490" s="8" t="inlineStr">
        <is>
          <t>WHAP-1486</t>
        </is>
      </c>
      <c r="B1490" s="8" t="inlineStr">
        <is>
          <t>ELC-1486</t>
        </is>
      </c>
      <c r="C1490" s="8" t="inlineStr">
        <is>
          <t>module GPS — transmission</t>
        </is>
      </c>
      <c r="D1490" s="8" t="inlineStr">
        <is>
          <t>Électronique et capteurs</t>
        </is>
      </c>
      <c r="E1490" s="8" t="inlineStr">
        <is>
          <t>Électronique et capteurs</t>
        </is>
      </c>
      <c r="F1490" s="8" t="inlineStr">
        <is>
          <t>PIECE_VEHICULE</t>
        </is>
      </c>
      <c r="G1490" s="8" t="inlineStr">
        <is>
          <t>unité</t>
        </is>
      </c>
      <c r="H1490" s="8" t="inlineStr">
        <is>
          <t>SMALL</t>
        </is>
      </c>
      <c r="I1490" s="8" t="n">
        <v>5</v>
      </c>
      <c r="J1490" s="8" t="inlineStr">
        <is>
          <t>B-03-02</t>
        </is>
      </c>
      <c r="K1490" s="8" t="inlineStr"/>
      <c r="L1490" s="10" t="n">
        <v>0</v>
      </c>
      <c r="M1490" s="10" t="n">
        <v>0</v>
      </c>
      <c r="N1490" s="10" t="n">
        <v>31</v>
      </c>
      <c r="O1490" s="8" t="inlineStr">
        <is>
          <t>FAU</t>
        </is>
      </c>
      <c r="P1490" s="8" t="inlineStr">
        <is>
          <t>IMPORTANT</t>
        </is>
      </c>
      <c r="Q1490" s="8" t="inlineStr">
        <is>
          <t>WHAP</t>
        </is>
      </c>
      <c r="R1490" s="8" t="inlineStr">
        <is>
          <t>OUI</t>
        </is>
      </c>
      <c r="S1490" s="8" t="inlineStr">
        <is>
          <t>31/08/2026 02:59</t>
        </is>
      </c>
    </row>
    <row r="1491">
      <c r="A1491" s="7" t="inlineStr">
        <is>
          <t>WHAP-1487</t>
        </is>
      </c>
      <c r="B1491" s="7" t="inlineStr">
        <is>
          <t>ELC-1487</t>
        </is>
      </c>
      <c r="C1491" s="7" t="inlineStr">
        <is>
          <t>module communication — transmission</t>
        </is>
      </c>
      <c r="D1491" s="7" t="inlineStr">
        <is>
          <t>Électronique et capteurs</t>
        </is>
      </c>
      <c r="E1491" s="7" t="inlineStr">
        <is>
          <t>Électronique et capteurs</t>
        </is>
      </c>
      <c r="F1491" s="7" t="inlineStr">
        <is>
          <t>PIECE_VEHICULE</t>
        </is>
      </c>
      <c r="G1491" s="7" t="inlineStr">
        <is>
          <t>unité</t>
        </is>
      </c>
      <c r="H1491" s="7" t="inlineStr">
        <is>
          <t>SMALL</t>
        </is>
      </c>
      <c r="I1491" s="7" t="n">
        <v>5</v>
      </c>
      <c r="J1491" s="7" t="inlineStr">
        <is>
          <t>B-01-03</t>
        </is>
      </c>
      <c r="K1491" s="7" t="inlineStr"/>
      <c r="L1491" s="9" t="n">
        <v>0</v>
      </c>
      <c r="M1491" s="9" t="n">
        <v>0</v>
      </c>
      <c r="N1491" s="9" t="n">
        <v>22</v>
      </c>
      <c r="O1491" s="7" t="inlineStr">
        <is>
          <t>VAL</t>
        </is>
      </c>
      <c r="P1491" s="7" t="inlineStr">
        <is>
          <t>IMPORTANT</t>
        </is>
      </c>
      <c r="Q1491" s="7" t="inlineStr">
        <is>
          <t>WHAP</t>
        </is>
      </c>
      <c r="R1491" s="7" t="inlineStr">
        <is>
          <t>OUI</t>
        </is>
      </c>
      <c r="S1491" s="7" t="inlineStr">
        <is>
          <t>31/08/2026 02:59</t>
        </is>
      </c>
    </row>
    <row r="1492">
      <c r="A1492" s="8" t="inlineStr">
        <is>
          <t>WHAP-1488</t>
        </is>
      </c>
      <c r="B1492" s="8" t="inlineStr">
        <is>
          <t>ELC-1488</t>
        </is>
      </c>
      <c r="C1492" s="8" t="inlineStr">
        <is>
          <t>écran multifonction — transmission</t>
        </is>
      </c>
      <c r="D1492" s="8" t="inlineStr">
        <is>
          <t>Électronique et capteurs</t>
        </is>
      </c>
      <c r="E1492" s="8" t="inlineStr">
        <is>
          <t>Électronique et capteurs</t>
        </is>
      </c>
      <c r="F1492" s="8" t="inlineStr">
        <is>
          <t>PIECE_VEHICULE</t>
        </is>
      </c>
      <c r="G1492" s="8" t="inlineStr">
        <is>
          <t>unité</t>
        </is>
      </c>
      <c r="H1492" s="8" t="inlineStr">
        <is>
          <t>SMALL</t>
        </is>
      </c>
      <c r="I1492" s="8" t="n">
        <v>5</v>
      </c>
      <c r="J1492" s="8" t="inlineStr">
        <is>
          <t>C-06-03</t>
        </is>
      </c>
      <c r="K1492" s="8" t="inlineStr"/>
      <c r="L1492" s="10" t="n">
        <v>0</v>
      </c>
      <c r="M1492" s="10" t="n">
        <v>0</v>
      </c>
      <c r="N1492" s="10" t="n">
        <v>26</v>
      </c>
      <c r="O1492" s="8" t="inlineStr">
        <is>
          <t>MAG</t>
        </is>
      </c>
      <c r="P1492" s="8" t="inlineStr">
        <is>
          <t>IMPORTANT</t>
        </is>
      </c>
      <c r="Q1492" s="8" t="inlineStr">
        <is>
          <t>WHAP</t>
        </is>
      </c>
      <c r="R1492" s="8" t="inlineStr">
        <is>
          <t>OUI</t>
        </is>
      </c>
      <c r="S1492" s="8" t="inlineStr">
        <is>
          <t>31/08/2026 02:59</t>
        </is>
      </c>
    </row>
    <row r="1493">
      <c r="A1493" s="7" t="inlineStr">
        <is>
          <t>WHAP-1489</t>
        </is>
      </c>
      <c r="B1493" s="7" t="inlineStr">
        <is>
          <t>ELC-1489</t>
        </is>
      </c>
      <c r="C1493" s="7" t="inlineStr">
        <is>
          <t>unité de diagnostic — transmission</t>
        </is>
      </c>
      <c r="D1493" s="7" t="inlineStr">
        <is>
          <t>Électronique et capteurs</t>
        </is>
      </c>
      <c r="E1493" s="7" t="inlineStr">
        <is>
          <t>Électronique et capteurs</t>
        </is>
      </c>
      <c r="F1493" s="7" t="inlineStr">
        <is>
          <t>PIECE_VEHICULE</t>
        </is>
      </c>
      <c r="G1493" s="7" t="inlineStr">
        <is>
          <t>unité</t>
        </is>
      </c>
      <c r="H1493" s="7" t="inlineStr">
        <is>
          <t>SMALL</t>
        </is>
      </c>
      <c r="I1493" s="7" t="n">
        <v>5</v>
      </c>
      <c r="J1493" s="7" t="inlineStr">
        <is>
          <t>E-04-01</t>
        </is>
      </c>
      <c r="K1493" s="7" t="inlineStr"/>
      <c r="L1493" s="9" t="n">
        <v>0</v>
      </c>
      <c r="M1493" s="9" t="n">
        <v>0</v>
      </c>
      <c r="N1493" s="9" t="n">
        <v>25</v>
      </c>
      <c r="O1493" s="7" t="inlineStr">
        <is>
          <t>SUM</t>
        </is>
      </c>
      <c r="P1493" s="7" t="inlineStr">
        <is>
          <t>IMPORTANT</t>
        </is>
      </c>
      <c r="Q1493" s="7" t="inlineStr">
        <is>
          <t>WHAP</t>
        </is>
      </c>
      <c r="R1493" s="7" t="inlineStr">
        <is>
          <t>OUI</t>
        </is>
      </c>
      <c r="S1493" s="7" t="inlineStr">
        <is>
          <t>31/08/2026 02:59</t>
        </is>
      </c>
    </row>
    <row r="1494">
      <c r="A1494" s="8" t="inlineStr">
        <is>
          <t>WHAP-1490</t>
        </is>
      </c>
      <c r="B1494" s="8" t="inlineStr">
        <is>
          <t>ELC-1490</t>
        </is>
      </c>
      <c r="C1494" s="8" t="inlineStr">
        <is>
          <t>connecteur CAN — transmission</t>
        </is>
      </c>
      <c r="D1494" s="8" t="inlineStr">
        <is>
          <t>Électronique et capteurs</t>
        </is>
      </c>
      <c r="E1494" s="8" t="inlineStr">
        <is>
          <t>Électronique et capteurs</t>
        </is>
      </c>
      <c r="F1494" s="8" t="inlineStr">
        <is>
          <t>PIECE_VEHICULE</t>
        </is>
      </c>
      <c r="G1494" s="8" t="inlineStr">
        <is>
          <t>unité</t>
        </is>
      </c>
      <c r="H1494" s="8" t="inlineStr">
        <is>
          <t>SMALL</t>
        </is>
      </c>
      <c r="I1494" s="8" t="n">
        <v>5</v>
      </c>
      <c r="J1494" s="8" t="inlineStr">
        <is>
          <t>A-04-01</t>
        </is>
      </c>
      <c r="K1494" s="8" t="inlineStr"/>
      <c r="L1494" s="10" t="n">
        <v>0</v>
      </c>
      <c r="M1494" s="10" t="n">
        <v>0</v>
      </c>
      <c r="N1494" s="10" t="n">
        <v>31</v>
      </c>
      <c r="O1494" s="8" t="inlineStr">
        <is>
          <t>BOS</t>
        </is>
      </c>
      <c r="P1494" s="8" t="inlineStr">
        <is>
          <t>IMPORTANT</t>
        </is>
      </c>
      <c r="Q1494" s="8" t="inlineStr">
        <is>
          <t>WHAP</t>
        </is>
      </c>
      <c r="R1494" s="8" t="inlineStr">
        <is>
          <t>OUI</t>
        </is>
      </c>
      <c r="S1494" s="8" t="inlineStr">
        <is>
          <t>31/08/2026 02:59</t>
        </is>
      </c>
    </row>
    <row r="1495">
      <c r="A1495" s="7" t="inlineStr">
        <is>
          <t>WHAP-1491</t>
        </is>
      </c>
      <c r="B1495" s="7" t="inlineStr">
        <is>
          <t>ELC-1491</t>
        </is>
      </c>
      <c r="C1495" s="7" t="inlineStr">
        <is>
          <t>terminaison CAN — transmission</t>
        </is>
      </c>
      <c r="D1495" s="7" t="inlineStr">
        <is>
          <t>Électronique et capteurs</t>
        </is>
      </c>
      <c r="E1495" s="7" t="inlineStr">
        <is>
          <t>Électronique et capteurs</t>
        </is>
      </c>
      <c r="F1495" s="7" t="inlineStr">
        <is>
          <t>PIECE_VEHICULE</t>
        </is>
      </c>
      <c r="G1495" s="7" t="inlineStr">
        <is>
          <t>unité</t>
        </is>
      </c>
      <c r="H1495" s="7" t="inlineStr">
        <is>
          <t>SMALL</t>
        </is>
      </c>
      <c r="I1495" s="7" t="n">
        <v>5</v>
      </c>
      <c r="J1495" s="7" t="inlineStr">
        <is>
          <t>C-03-02</t>
        </is>
      </c>
      <c r="K1495" s="7" t="inlineStr"/>
      <c r="L1495" s="9" t="n">
        <v>0</v>
      </c>
      <c r="M1495" s="9" t="n">
        <v>0</v>
      </c>
      <c r="N1495" s="9" t="n">
        <v>28</v>
      </c>
      <c r="O1495" s="7" t="inlineStr">
        <is>
          <t>DEL</t>
        </is>
      </c>
      <c r="P1495" s="7" t="inlineStr">
        <is>
          <t>IMPORTANT</t>
        </is>
      </c>
      <c r="Q1495" s="7" t="inlineStr">
        <is>
          <t>WHAP</t>
        </is>
      </c>
      <c r="R1495" s="7" t="inlineStr">
        <is>
          <t>OUI</t>
        </is>
      </c>
      <c r="S1495" s="7" t="inlineStr">
        <is>
          <t>31/08/2026 02:59</t>
        </is>
      </c>
    </row>
    <row r="1496">
      <c r="A1496" s="8" t="inlineStr">
        <is>
          <t>WHAP-1492</t>
        </is>
      </c>
      <c r="B1496" s="8" t="inlineStr">
        <is>
          <t>ELC-1492</t>
        </is>
      </c>
      <c r="C1496" s="8" t="inlineStr">
        <is>
          <t>câble CAN — transmission</t>
        </is>
      </c>
      <c r="D1496" s="8" t="inlineStr">
        <is>
          <t>Électronique et capteurs</t>
        </is>
      </c>
      <c r="E1496" s="8" t="inlineStr">
        <is>
          <t>Électronique et capteurs</t>
        </is>
      </c>
      <c r="F1496" s="8" t="inlineStr">
        <is>
          <t>PIECE_VEHICULE</t>
        </is>
      </c>
      <c r="G1496" s="8" t="inlineStr">
        <is>
          <t>unité</t>
        </is>
      </c>
      <c r="H1496" s="8" t="inlineStr">
        <is>
          <t>SMALL</t>
        </is>
      </c>
      <c r="I1496" s="8" t="n">
        <v>5</v>
      </c>
      <c r="J1496" s="8" t="inlineStr">
        <is>
          <t>D-02-03</t>
        </is>
      </c>
      <c r="K1496" s="8" t="inlineStr"/>
      <c r="L1496" s="10" t="n">
        <v>0</v>
      </c>
      <c r="M1496" s="10" t="n">
        <v>0</v>
      </c>
      <c r="N1496" s="10" t="n">
        <v>28</v>
      </c>
      <c r="O1496" s="8" t="inlineStr">
        <is>
          <t>FAU</t>
        </is>
      </c>
      <c r="P1496" s="8" t="inlineStr">
        <is>
          <t>IMPORTANT</t>
        </is>
      </c>
      <c r="Q1496" s="8" t="inlineStr">
        <is>
          <t>WHAP</t>
        </is>
      </c>
      <c r="R1496" s="8" t="inlineStr">
        <is>
          <t>OUI</t>
        </is>
      </c>
      <c r="S1496" s="8" t="inlineStr">
        <is>
          <t>31/08/2026 02:59</t>
        </is>
      </c>
    </row>
    <row r="1497">
      <c r="A1497" s="7" t="inlineStr">
        <is>
          <t>WHAP-1493</t>
        </is>
      </c>
      <c r="B1497" s="7" t="inlineStr">
        <is>
          <t>ELC-1493</t>
        </is>
      </c>
      <c r="C1497" s="7" t="inlineStr">
        <is>
          <t>boîtier électronique — transmission</t>
        </is>
      </c>
      <c r="D1497" s="7" t="inlineStr">
        <is>
          <t>Électronique et capteurs</t>
        </is>
      </c>
      <c r="E1497" s="7" t="inlineStr">
        <is>
          <t>Électronique et capteurs</t>
        </is>
      </c>
      <c r="F1497" s="7" t="inlineStr">
        <is>
          <t>PIECE_VEHICULE</t>
        </is>
      </c>
      <c r="G1497" s="7" t="inlineStr">
        <is>
          <t>unité</t>
        </is>
      </c>
      <c r="H1497" s="7" t="inlineStr">
        <is>
          <t>SMALL</t>
        </is>
      </c>
      <c r="I1497" s="7" t="n">
        <v>5</v>
      </c>
      <c r="J1497" s="7" t="inlineStr">
        <is>
          <t>B-03-03</t>
        </is>
      </c>
      <c r="K1497" s="7" t="inlineStr"/>
      <c r="L1497" s="9" t="n">
        <v>0</v>
      </c>
      <c r="M1497" s="9" t="n">
        <v>0</v>
      </c>
      <c r="N1497" s="9" t="n">
        <v>24</v>
      </c>
      <c r="O1497" s="7" t="inlineStr">
        <is>
          <t>FAU</t>
        </is>
      </c>
      <c r="P1497" s="7" t="inlineStr">
        <is>
          <t>IMPORTANT</t>
        </is>
      </c>
      <c r="Q1497" s="7" t="inlineStr">
        <is>
          <t>WHAP</t>
        </is>
      </c>
      <c r="R1497" s="7" t="inlineStr">
        <is>
          <t>OUI</t>
        </is>
      </c>
      <c r="S1497" s="7" t="inlineStr">
        <is>
          <t>31/08/2026 02:59</t>
        </is>
      </c>
    </row>
    <row r="1498">
      <c r="A1498" s="8" t="inlineStr">
        <is>
          <t>WHAP-1494</t>
        </is>
      </c>
      <c r="B1498" s="8" t="inlineStr">
        <is>
          <t>ELC-1494</t>
        </is>
      </c>
      <c r="C1498" s="8" t="inlineStr">
        <is>
          <t>calculateur moteur — châssis</t>
        </is>
      </c>
      <c r="D1498" s="8" t="inlineStr">
        <is>
          <t>Électronique et capteurs</t>
        </is>
      </c>
      <c r="E1498" s="8" t="inlineStr">
        <is>
          <t>Électronique et capteurs</t>
        </is>
      </c>
      <c r="F1498" s="8" t="inlineStr">
        <is>
          <t>PIECE_VEHICULE</t>
        </is>
      </c>
      <c r="G1498" s="8" t="inlineStr">
        <is>
          <t>unité</t>
        </is>
      </c>
      <c r="H1498" s="8" t="inlineStr">
        <is>
          <t>SMALL</t>
        </is>
      </c>
      <c r="I1498" s="8" t="n">
        <v>5</v>
      </c>
      <c r="J1498" s="8" t="inlineStr">
        <is>
          <t>D-04-01</t>
        </is>
      </c>
      <c r="K1498" s="8" t="inlineStr"/>
      <c r="L1498" s="10" t="n">
        <v>0</v>
      </c>
      <c r="M1498" s="10" t="n">
        <v>0</v>
      </c>
      <c r="N1498" s="10" t="n">
        <v>31</v>
      </c>
      <c r="O1498" s="8" t="inlineStr">
        <is>
          <t>YZK</t>
        </is>
      </c>
      <c r="P1498" s="8" t="inlineStr">
        <is>
          <t>IMPORTANT</t>
        </is>
      </c>
      <c r="Q1498" s="8" t="inlineStr">
        <is>
          <t>WHAP</t>
        </is>
      </c>
      <c r="R1498" s="8" t="inlineStr">
        <is>
          <t>OUI</t>
        </is>
      </c>
      <c r="S1498" s="8" t="inlineStr">
        <is>
          <t>31/08/2026 02:59</t>
        </is>
      </c>
    </row>
    <row r="1499">
      <c r="A1499" s="7" t="inlineStr">
        <is>
          <t>WHAP-1495</t>
        </is>
      </c>
      <c r="B1499" s="7" t="inlineStr">
        <is>
          <t>ELC-1495</t>
        </is>
      </c>
      <c r="C1499" s="7" t="inlineStr">
        <is>
          <t>calculateur transmission — châssis</t>
        </is>
      </c>
      <c r="D1499" s="7" t="inlineStr">
        <is>
          <t>Électronique et capteurs</t>
        </is>
      </c>
      <c r="E1499" s="7" t="inlineStr">
        <is>
          <t>Électronique et capteurs</t>
        </is>
      </c>
      <c r="F1499" s="7" t="inlineStr">
        <is>
          <t>PIECE_VEHICULE</t>
        </is>
      </c>
      <c r="G1499" s="7" t="inlineStr">
        <is>
          <t>unité</t>
        </is>
      </c>
      <c r="H1499" s="7" t="inlineStr">
        <is>
          <t>SMALL</t>
        </is>
      </c>
      <c r="I1499" s="7" t="n">
        <v>5</v>
      </c>
      <c r="J1499" s="7" t="inlineStr">
        <is>
          <t>B-06-04</t>
        </is>
      </c>
      <c r="K1499" s="7" t="inlineStr"/>
      <c r="L1499" s="9" t="n">
        <v>0</v>
      </c>
      <c r="M1499" s="9" t="n">
        <v>0</v>
      </c>
      <c r="N1499" s="9" t="n">
        <v>22</v>
      </c>
      <c r="O1499" s="7" t="inlineStr">
        <is>
          <t>FAU</t>
        </is>
      </c>
      <c r="P1499" s="7" t="inlineStr">
        <is>
          <t>IMPORTANT</t>
        </is>
      </c>
      <c r="Q1499" s="7" t="inlineStr">
        <is>
          <t>WHAP</t>
        </is>
      </c>
      <c r="R1499" s="7" t="inlineStr">
        <is>
          <t>OUI</t>
        </is>
      </c>
      <c r="S1499" s="7" t="inlineStr">
        <is>
          <t>31/08/2026 02:59</t>
        </is>
      </c>
    </row>
    <row r="1500">
      <c r="A1500" s="8" t="inlineStr">
        <is>
          <t>WHAP-1496</t>
        </is>
      </c>
      <c r="B1500" s="8" t="inlineStr">
        <is>
          <t>ELC-1496</t>
        </is>
      </c>
      <c r="C1500" s="8" t="inlineStr">
        <is>
          <t>calculateur ABS — châssis</t>
        </is>
      </c>
      <c r="D1500" s="8" t="inlineStr">
        <is>
          <t>Électronique et capteurs</t>
        </is>
      </c>
      <c r="E1500" s="8" t="inlineStr">
        <is>
          <t>Électronique et capteurs</t>
        </is>
      </c>
      <c r="F1500" s="8" t="inlineStr">
        <is>
          <t>PIECE_VEHICULE</t>
        </is>
      </c>
      <c r="G1500" s="8" t="inlineStr">
        <is>
          <t>unité</t>
        </is>
      </c>
      <c r="H1500" s="8" t="inlineStr">
        <is>
          <t>SMALL</t>
        </is>
      </c>
      <c r="I1500" s="8" t="n">
        <v>5</v>
      </c>
      <c r="J1500" s="8" t="inlineStr">
        <is>
          <t>F-06-04</t>
        </is>
      </c>
      <c r="K1500" s="8" t="inlineStr"/>
      <c r="L1500" s="10" t="n">
        <v>0</v>
      </c>
      <c r="M1500" s="10" t="n">
        <v>0</v>
      </c>
      <c r="N1500" s="10" t="n">
        <v>22</v>
      </c>
      <c r="O1500" s="8" t="inlineStr">
        <is>
          <t>YZK</t>
        </is>
      </c>
      <c r="P1500" s="8" t="inlineStr">
        <is>
          <t>IMPORTANT</t>
        </is>
      </c>
      <c r="Q1500" s="8" t="inlineStr">
        <is>
          <t>WHAP</t>
        </is>
      </c>
      <c r="R1500" s="8" t="inlineStr">
        <is>
          <t>OUI</t>
        </is>
      </c>
      <c r="S1500" s="8" t="inlineStr">
        <is>
          <t>31/08/2026 02:59</t>
        </is>
      </c>
    </row>
    <row r="1501">
      <c r="A1501" s="7" t="inlineStr">
        <is>
          <t>WHAP-1497</t>
        </is>
      </c>
      <c r="B1501" s="7" t="inlineStr">
        <is>
          <t>ELC-1497</t>
        </is>
      </c>
      <c r="C1501" s="7" t="inlineStr">
        <is>
          <t>calculateur CTIS — châssis</t>
        </is>
      </c>
      <c r="D1501" s="7" t="inlineStr">
        <is>
          <t>Électronique et capteurs</t>
        </is>
      </c>
      <c r="E1501" s="7" t="inlineStr">
        <is>
          <t>Électronique et capteurs</t>
        </is>
      </c>
      <c r="F1501" s="7" t="inlineStr">
        <is>
          <t>PIECE_VEHICULE</t>
        </is>
      </c>
      <c r="G1501" s="7" t="inlineStr">
        <is>
          <t>unité</t>
        </is>
      </c>
      <c r="H1501" s="7" t="inlineStr">
        <is>
          <t>SMALL</t>
        </is>
      </c>
      <c r="I1501" s="7" t="n">
        <v>5</v>
      </c>
      <c r="J1501" s="7" t="inlineStr">
        <is>
          <t>F-06-03</t>
        </is>
      </c>
      <c r="K1501" s="7" t="inlineStr"/>
      <c r="L1501" s="9" t="n">
        <v>0</v>
      </c>
      <c r="M1501" s="9" t="n">
        <v>0</v>
      </c>
      <c r="N1501" s="9" t="n">
        <v>31</v>
      </c>
      <c r="O1501" s="7" t="inlineStr">
        <is>
          <t>SKF</t>
        </is>
      </c>
      <c r="P1501" s="7" t="inlineStr">
        <is>
          <t>IMPORTANT</t>
        </is>
      </c>
      <c r="Q1501" s="7" t="inlineStr">
        <is>
          <t>WHAP</t>
        </is>
      </c>
      <c r="R1501" s="7" t="inlineStr">
        <is>
          <t>OUI</t>
        </is>
      </c>
      <c r="S1501" s="7" t="inlineStr">
        <is>
          <t>31/08/2026 02:59</t>
        </is>
      </c>
    </row>
    <row r="1502">
      <c r="A1502" s="8" t="inlineStr">
        <is>
          <t>WHAP-1498</t>
        </is>
      </c>
      <c r="B1502" s="8" t="inlineStr">
        <is>
          <t>ELC-1498</t>
        </is>
      </c>
      <c r="C1502" s="8" t="inlineStr">
        <is>
          <t>unité de contrôle véhicule — châssis</t>
        </is>
      </c>
      <c r="D1502" s="8" t="inlineStr">
        <is>
          <t>Électronique et capteurs</t>
        </is>
      </c>
      <c r="E1502" s="8" t="inlineStr">
        <is>
          <t>Électronique et capteurs</t>
        </is>
      </c>
      <c r="F1502" s="8" t="inlineStr">
        <is>
          <t>PIECE_VEHICULE</t>
        </is>
      </c>
      <c r="G1502" s="8" t="inlineStr">
        <is>
          <t>unité</t>
        </is>
      </c>
      <c r="H1502" s="8" t="inlineStr">
        <is>
          <t>SMALL</t>
        </is>
      </c>
      <c r="I1502" s="8" t="n">
        <v>5</v>
      </c>
      <c r="J1502" s="8" t="inlineStr">
        <is>
          <t>F-02-04</t>
        </is>
      </c>
      <c r="K1502" s="8" t="inlineStr"/>
      <c r="L1502" s="10" t="n">
        <v>0</v>
      </c>
      <c r="M1502" s="10" t="n">
        <v>0</v>
      </c>
      <c r="N1502" s="10" t="n">
        <v>31</v>
      </c>
      <c r="O1502" s="8" t="inlineStr">
        <is>
          <t>VAL</t>
        </is>
      </c>
      <c r="P1502" s="8" t="inlineStr">
        <is>
          <t>IMPORTANT</t>
        </is>
      </c>
      <c r="Q1502" s="8" t="inlineStr">
        <is>
          <t>WHAP</t>
        </is>
      </c>
      <c r="R1502" s="8" t="inlineStr">
        <is>
          <t>OUI</t>
        </is>
      </c>
      <c r="S1502" s="8" t="inlineStr">
        <is>
          <t>31/08/2026 02:59</t>
        </is>
      </c>
    </row>
    <row r="1503">
      <c r="A1503" s="7" t="inlineStr">
        <is>
          <t>WHAP-1499</t>
        </is>
      </c>
      <c r="B1503" s="7" t="inlineStr">
        <is>
          <t>ELC-1499</t>
        </is>
      </c>
      <c r="C1503" s="7" t="inlineStr">
        <is>
          <t>module I/O — châssis</t>
        </is>
      </c>
      <c r="D1503" s="7" t="inlineStr">
        <is>
          <t>Électronique et capteurs</t>
        </is>
      </c>
      <c r="E1503" s="7" t="inlineStr">
        <is>
          <t>Électronique et capteurs</t>
        </is>
      </c>
      <c r="F1503" s="7" t="inlineStr">
        <is>
          <t>PIECE_VEHICULE</t>
        </is>
      </c>
      <c r="G1503" s="7" t="inlineStr">
        <is>
          <t>unité</t>
        </is>
      </c>
      <c r="H1503" s="7" t="inlineStr">
        <is>
          <t>SMALL</t>
        </is>
      </c>
      <c r="I1503" s="7" t="n">
        <v>5</v>
      </c>
      <c r="J1503" s="7" t="inlineStr">
        <is>
          <t>E-04-03</t>
        </is>
      </c>
      <c r="K1503" s="7" t="inlineStr"/>
      <c r="L1503" s="9" t="n">
        <v>0</v>
      </c>
      <c r="M1503" s="9" t="n">
        <v>0</v>
      </c>
      <c r="N1503" s="9" t="n">
        <v>28</v>
      </c>
      <c r="O1503" s="7" t="inlineStr">
        <is>
          <t>MAG</t>
        </is>
      </c>
      <c r="P1503" s="7" t="inlineStr">
        <is>
          <t>IMPORTANT</t>
        </is>
      </c>
      <c r="Q1503" s="7" t="inlineStr">
        <is>
          <t>WHAP</t>
        </is>
      </c>
      <c r="R1503" s="7" t="inlineStr">
        <is>
          <t>OUI</t>
        </is>
      </c>
      <c r="S1503" s="7" t="inlineStr">
        <is>
          <t>31/08/2026 02:59</t>
        </is>
      </c>
    </row>
    <row r="1504">
      <c r="A1504" s="8" t="inlineStr">
        <is>
          <t>WHAP-1500</t>
        </is>
      </c>
      <c r="B1504" s="8" t="inlineStr">
        <is>
          <t>ELC-1500</t>
        </is>
      </c>
      <c r="C1504" s="8" t="inlineStr">
        <is>
          <t>capteur température — châssis</t>
        </is>
      </c>
      <c r="D1504" s="8" t="inlineStr">
        <is>
          <t>Électronique et capteurs</t>
        </is>
      </c>
      <c r="E1504" s="8" t="inlineStr">
        <is>
          <t>Électronique et capteurs</t>
        </is>
      </c>
      <c r="F1504" s="8" t="inlineStr">
        <is>
          <t>PIECE_VEHICULE</t>
        </is>
      </c>
      <c r="G1504" s="8" t="inlineStr">
        <is>
          <t>unité</t>
        </is>
      </c>
      <c r="H1504" s="8" t="inlineStr">
        <is>
          <t>SMALL</t>
        </is>
      </c>
      <c r="I1504" s="8" t="n">
        <v>5</v>
      </c>
      <c r="J1504" s="8" t="inlineStr">
        <is>
          <t>C-04-01</t>
        </is>
      </c>
      <c r="K1504" s="8" t="inlineStr"/>
      <c r="L1504" s="10" t="n">
        <v>0</v>
      </c>
      <c r="M1504" s="10" t="n">
        <v>0</v>
      </c>
      <c r="N1504" s="10" t="n">
        <v>29</v>
      </c>
      <c r="O1504" s="8" t="inlineStr">
        <is>
          <t>DEL</t>
        </is>
      </c>
      <c r="P1504" s="8" t="inlineStr">
        <is>
          <t>IMPORTANT</t>
        </is>
      </c>
      <c r="Q1504" s="8" t="inlineStr">
        <is>
          <t>WHAP</t>
        </is>
      </c>
      <c r="R1504" s="8" t="inlineStr">
        <is>
          <t>OUI</t>
        </is>
      </c>
      <c r="S1504" s="8" t="inlineStr">
        <is>
          <t>31/08/2026 02:59</t>
        </is>
      </c>
    </row>
    <row r="1505">
      <c r="A1505" s="7" t="inlineStr">
        <is>
          <t>WHAP-1501</t>
        </is>
      </c>
      <c r="B1505" s="7" t="inlineStr">
        <is>
          <t>ELC-1501</t>
        </is>
      </c>
      <c r="C1505" s="7" t="inlineStr">
        <is>
          <t>capteur pression — châssis</t>
        </is>
      </c>
      <c r="D1505" s="7" t="inlineStr">
        <is>
          <t>Électronique et capteurs</t>
        </is>
      </c>
      <c r="E1505" s="7" t="inlineStr">
        <is>
          <t>Électronique et capteurs</t>
        </is>
      </c>
      <c r="F1505" s="7" t="inlineStr">
        <is>
          <t>PIECE_VEHICULE</t>
        </is>
      </c>
      <c r="G1505" s="7" t="inlineStr">
        <is>
          <t>unité</t>
        </is>
      </c>
      <c r="H1505" s="7" t="inlineStr">
        <is>
          <t>SMALL</t>
        </is>
      </c>
      <c r="I1505" s="7" t="n">
        <v>5</v>
      </c>
      <c r="J1505" s="7" t="inlineStr">
        <is>
          <t>E-04-02</t>
        </is>
      </c>
      <c r="K1505" s="7" t="inlineStr"/>
      <c r="L1505" s="9" t="n">
        <v>0</v>
      </c>
      <c r="M1505" s="9" t="n">
        <v>0</v>
      </c>
      <c r="N1505" s="9" t="n">
        <v>22</v>
      </c>
      <c r="O1505" s="7" t="inlineStr">
        <is>
          <t>SUM</t>
        </is>
      </c>
      <c r="P1505" s="7" t="inlineStr">
        <is>
          <t>IMPORTANT</t>
        </is>
      </c>
      <c r="Q1505" s="7" t="inlineStr">
        <is>
          <t>WHAP</t>
        </is>
      </c>
      <c r="R1505" s="7" t="inlineStr">
        <is>
          <t>OUI</t>
        </is>
      </c>
      <c r="S1505" s="7" t="inlineStr">
        <is>
          <t>31/08/2026 02:59</t>
        </is>
      </c>
    </row>
    <row r="1506">
      <c r="A1506" s="8" t="inlineStr">
        <is>
          <t>WHAP-1502</t>
        </is>
      </c>
      <c r="B1506" s="8" t="inlineStr">
        <is>
          <t>ELC-1502</t>
        </is>
      </c>
      <c r="C1506" s="8" t="inlineStr">
        <is>
          <t>capteur vitesse — châssis</t>
        </is>
      </c>
      <c r="D1506" s="8" t="inlineStr">
        <is>
          <t>Électronique et capteurs</t>
        </is>
      </c>
      <c r="E1506" s="8" t="inlineStr">
        <is>
          <t>Électronique et capteurs</t>
        </is>
      </c>
      <c r="F1506" s="8" t="inlineStr">
        <is>
          <t>PIECE_VEHICULE</t>
        </is>
      </c>
      <c r="G1506" s="8" t="inlineStr">
        <is>
          <t>unité</t>
        </is>
      </c>
      <c r="H1506" s="8" t="inlineStr">
        <is>
          <t>SMALL</t>
        </is>
      </c>
      <c r="I1506" s="8" t="n">
        <v>5</v>
      </c>
      <c r="J1506" s="8" t="inlineStr">
        <is>
          <t>A-06-03</t>
        </is>
      </c>
      <c r="K1506" s="8" t="inlineStr"/>
      <c r="L1506" s="10" t="n">
        <v>0</v>
      </c>
      <c r="M1506" s="10" t="n">
        <v>0</v>
      </c>
      <c r="N1506" s="10" t="n">
        <v>24</v>
      </c>
      <c r="O1506" s="8" t="inlineStr">
        <is>
          <t>SUM</t>
        </is>
      </c>
      <c r="P1506" s="8" t="inlineStr">
        <is>
          <t>IMPORTANT</t>
        </is>
      </c>
      <c r="Q1506" s="8" t="inlineStr">
        <is>
          <t>WHAP</t>
        </is>
      </c>
      <c r="R1506" s="8" t="inlineStr">
        <is>
          <t>OUI</t>
        </is>
      </c>
      <c r="S1506" s="8" t="inlineStr">
        <is>
          <t>31/08/2026 02:59</t>
        </is>
      </c>
    </row>
    <row r="1507">
      <c r="A1507" s="7" t="inlineStr">
        <is>
          <t>WHAP-1503</t>
        </is>
      </c>
      <c r="B1507" s="7" t="inlineStr">
        <is>
          <t>ELC-1503</t>
        </is>
      </c>
      <c r="C1507" s="7" t="inlineStr">
        <is>
          <t>capteur position — châssis</t>
        </is>
      </c>
      <c r="D1507" s="7" t="inlineStr">
        <is>
          <t>Électronique et capteurs</t>
        </is>
      </c>
      <c r="E1507" s="7" t="inlineStr">
        <is>
          <t>Électronique et capteurs</t>
        </is>
      </c>
      <c r="F1507" s="7" t="inlineStr">
        <is>
          <t>PIECE_VEHICULE</t>
        </is>
      </c>
      <c r="G1507" s="7" t="inlineStr">
        <is>
          <t>unité</t>
        </is>
      </c>
      <c r="H1507" s="7" t="inlineStr">
        <is>
          <t>SMALL</t>
        </is>
      </c>
      <c r="I1507" s="7" t="n">
        <v>5</v>
      </c>
      <c r="J1507" s="7" t="inlineStr">
        <is>
          <t>C-01-01</t>
        </is>
      </c>
      <c r="K1507" s="7" t="inlineStr"/>
      <c r="L1507" s="9" t="n">
        <v>0</v>
      </c>
      <c r="M1507" s="9" t="n">
        <v>0</v>
      </c>
      <c r="N1507" s="9" t="n">
        <v>30</v>
      </c>
      <c r="O1507" s="7" t="inlineStr">
        <is>
          <t>HEL</t>
        </is>
      </c>
      <c r="P1507" s="7" t="inlineStr">
        <is>
          <t>IMPORTANT</t>
        </is>
      </c>
      <c r="Q1507" s="7" t="inlineStr">
        <is>
          <t>WHAP</t>
        </is>
      </c>
      <c r="R1507" s="7" t="inlineStr">
        <is>
          <t>OUI</t>
        </is>
      </c>
      <c r="S1507" s="7" t="inlineStr">
        <is>
          <t>31/08/2026 02:59</t>
        </is>
      </c>
    </row>
    <row r="1508">
      <c r="A1508" s="8" t="inlineStr">
        <is>
          <t>WHAP-1504</t>
        </is>
      </c>
      <c r="B1508" s="8" t="inlineStr">
        <is>
          <t>ELC-1504</t>
        </is>
      </c>
      <c r="C1508" s="8" t="inlineStr">
        <is>
          <t>capteur niveau — châssis</t>
        </is>
      </c>
      <c r="D1508" s="8" t="inlineStr">
        <is>
          <t>Électronique et capteurs</t>
        </is>
      </c>
      <c r="E1508" s="8" t="inlineStr">
        <is>
          <t>Électronique et capteurs</t>
        </is>
      </c>
      <c r="F1508" s="8" t="inlineStr">
        <is>
          <t>PIECE_VEHICULE</t>
        </is>
      </c>
      <c r="G1508" s="8" t="inlineStr">
        <is>
          <t>unité</t>
        </is>
      </c>
      <c r="H1508" s="8" t="inlineStr">
        <is>
          <t>SMALL</t>
        </is>
      </c>
      <c r="I1508" s="8" t="n">
        <v>5</v>
      </c>
      <c r="J1508" s="8" t="inlineStr">
        <is>
          <t>E-01-01</t>
        </is>
      </c>
      <c r="K1508" s="8" t="inlineStr"/>
      <c r="L1508" s="10" t="n">
        <v>0</v>
      </c>
      <c r="M1508" s="10" t="n">
        <v>0</v>
      </c>
      <c r="N1508" s="10" t="n">
        <v>22</v>
      </c>
      <c r="O1508" s="8" t="inlineStr">
        <is>
          <t>HEL</t>
        </is>
      </c>
      <c r="P1508" s="8" t="inlineStr">
        <is>
          <t>IMPORTANT</t>
        </is>
      </c>
      <c r="Q1508" s="8" t="inlineStr">
        <is>
          <t>WHAP</t>
        </is>
      </c>
      <c r="R1508" s="8" t="inlineStr">
        <is>
          <t>OUI</t>
        </is>
      </c>
      <c r="S1508" s="8" t="inlineStr">
        <is>
          <t>31/08/2026 02:59</t>
        </is>
      </c>
    </row>
    <row r="1509">
      <c r="A1509" s="7" t="inlineStr">
        <is>
          <t>WHAP-1505</t>
        </is>
      </c>
      <c r="B1509" s="7" t="inlineStr">
        <is>
          <t>ELC-1505</t>
        </is>
      </c>
      <c r="C1509" s="7" t="inlineStr">
        <is>
          <t>capteur débit — châssis</t>
        </is>
      </c>
      <c r="D1509" s="7" t="inlineStr">
        <is>
          <t>Électronique et capteurs</t>
        </is>
      </c>
      <c r="E1509" s="7" t="inlineStr">
        <is>
          <t>Électronique et capteurs</t>
        </is>
      </c>
      <c r="F1509" s="7" t="inlineStr">
        <is>
          <t>PIECE_VEHICULE</t>
        </is>
      </c>
      <c r="G1509" s="7" t="inlineStr">
        <is>
          <t>unité</t>
        </is>
      </c>
      <c r="H1509" s="7" t="inlineStr">
        <is>
          <t>SMALL</t>
        </is>
      </c>
      <c r="I1509" s="7" t="n">
        <v>5</v>
      </c>
      <c r="J1509" s="7" t="inlineStr">
        <is>
          <t>E-06-02</t>
        </is>
      </c>
      <c r="K1509" s="7" t="inlineStr"/>
      <c r="L1509" s="9" t="n">
        <v>0</v>
      </c>
      <c r="M1509" s="9" t="n">
        <v>0</v>
      </c>
      <c r="N1509" s="9" t="n">
        <v>28</v>
      </c>
      <c r="O1509" s="7" t="inlineStr">
        <is>
          <t>BOS</t>
        </is>
      </c>
      <c r="P1509" s="7" t="inlineStr">
        <is>
          <t>IMPORTANT</t>
        </is>
      </c>
      <c r="Q1509" s="7" t="inlineStr">
        <is>
          <t>WHAP</t>
        </is>
      </c>
      <c r="R1509" s="7" t="inlineStr">
        <is>
          <t>OUI</t>
        </is>
      </c>
      <c r="S1509" s="7" t="inlineStr">
        <is>
          <t>31/08/2026 02:59</t>
        </is>
      </c>
    </row>
    <row r="1510">
      <c r="A1510" s="8" t="inlineStr">
        <is>
          <t>WHAP-1506</t>
        </is>
      </c>
      <c r="B1510" s="8" t="inlineStr">
        <is>
          <t>ELC-1506</t>
        </is>
      </c>
      <c r="C1510" s="8" t="inlineStr">
        <is>
          <t>capteur accélération — châssis</t>
        </is>
      </c>
      <c r="D1510" s="8" t="inlineStr">
        <is>
          <t>Électronique et capteurs</t>
        </is>
      </c>
      <c r="E1510" s="8" t="inlineStr">
        <is>
          <t>Électronique et capteurs</t>
        </is>
      </c>
      <c r="F1510" s="8" t="inlineStr">
        <is>
          <t>PIECE_VEHICULE</t>
        </is>
      </c>
      <c r="G1510" s="8" t="inlineStr">
        <is>
          <t>unité</t>
        </is>
      </c>
      <c r="H1510" s="8" t="inlineStr">
        <is>
          <t>SMALL</t>
        </is>
      </c>
      <c r="I1510" s="8" t="n">
        <v>5</v>
      </c>
      <c r="J1510" s="8" t="inlineStr">
        <is>
          <t>B-02-03</t>
        </is>
      </c>
      <c r="K1510" s="8" t="inlineStr"/>
      <c r="L1510" s="10" t="n">
        <v>0</v>
      </c>
      <c r="M1510" s="10" t="n">
        <v>0</v>
      </c>
      <c r="N1510" s="10" t="n">
        <v>30</v>
      </c>
      <c r="O1510" s="8" t="inlineStr">
        <is>
          <t>VAL</t>
        </is>
      </c>
      <c r="P1510" s="8" t="inlineStr">
        <is>
          <t>IMPORTANT</t>
        </is>
      </c>
      <c r="Q1510" s="8" t="inlineStr">
        <is>
          <t>WHAP</t>
        </is>
      </c>
      <c r="R1510" s="8" t="inlineStr">
        <is>
          <t>OUI</t>
        </is>
      </c>
      <c r="S1510" s="8" t="inlineStr">
        <is>
          <t>31/08/2026 02:59</t>
        </is>
      </c>
    </row>
    <row r="1511">
      <c r="A1511" s="7" t="inlineStr">
        <is>
          <t>WHAP-1507</t>
        </is>
      </c>
      <c r="B1511" s="7" t="inlineStr">
        <is>
          <t>ELC-1507</t>
        </is>
      </c>
      <c r="C1511" s="7" t="inlineStr">
        <is>
          <t>capteur inclinaison — châssis</t>
        </is>
      </c>
      <c r="D1511" s="7" t="inlineStr">
        <is>
          <t>Électronique et capteurs</t>
        </is>
      </c>
      <c r="E1511" s="7" t="inlineStr">
        <is>
          <t>Électronique et capteurs</t>
        </is>
      </c>
      <c r="F1511" s="7" t="inlineStr">
        <is>
          <t>PIECE_VEHICULE</t>
        </is>
      </c>
      <c r="G1511" s="7" t="inlineStr">
        <is>
          <t>unité</t>
        </is>
      </c>
      <c r="H1511" s="7" t="inlineStr">
        <is>
          <t>SMALL</t>
        </is>
      </c>
      <c r="I1511" s="7" t="n">
        <v>5</v>
      </c>
      <c r="J1511" s="7" t="inlineStr">
        <is>
          <t>F-05-02</t>
        </is>
      </c>
      <c r="K1511" s="7" t="inlineStr"/>
      <c r="L1511" s="9" t="n">
        <v>0</v>
      </c>
      <c r="M1511" s="9" t="n">
        <v>0</v>
      </c>
      <c r="N1511" s="9" t="n">
        <v>26</v>
      </c>
      <c r="O1511" s="7" t="inlineStr">
        <is>
          <t>SKF</t>
        </is>
      </c>
      <c r="P1511" s="7" t="inlineStr">
        <is>
          <t>IMPORTANT</t>
        </is>
      </c>
      <c r="Q1511" s="7" t="inlineStr">
        <is>
          <t>WHAP</t>
        </is>
      </c>
      <c r="R1511" s="7" t="inlineStr">
        <is>
          <t>OUI</t>
        </is>
      </c>
      <c r="S1511" s="7" t="inlineStr">
        <is>
          <t>31/08/2026 02:59</t>
        </is>
      </c>
    </row>
    <row r="1512">
      <c r="A1512" s="8" t="inlineStr">
        <is>
          <t>WHAP-1508</t>
        </is>
      </c>
      <c r="B1512" s="8" t="inlineStr">
        <is>
          <t>ELC-1508</t>
        </is>
      </c>
      <c r="C1512" s="8" t="inlineStr">
        <is>
          <t>capteur ouverture porte — châssis</t>
        </is>
      </c>
      <c r="D1512" s="8" t="inlineStr">
        <is>
          <t>Électronique et capteurs</t>
        </is>
      </c>
      <c r="E1512" s="8" t="inlineStr">
        <is>
          <t>Électronique et capteurs</t>
        </is>
      </c>
      <c r="F1512" s="8" t="inlineStr">
        <is>
          <t>PIECE_VEHICULE</t>
        </is>
      </c>
      <c r="G1512" s="8" t="inlineStr">
        <is>
          <t>unité</t>
        </is>
      </c>
      <c r="H1512" s="8" t="inlineStr">
        <is>
          <t>SMALL</t>
        </is>
      </c>
      <c r="I1512" s="8" t="n">
        <v>5</v>
      </c>
      <c r="J1512" s="8" t="inlineStr">
        <is>
          <t>B-04-04</t>
        </is>
      </c>
      <c r="K1512" s="8" t="inlineStr"/>
      <c r="L1512" s="10" t="n">
        <v>0</v>
      </c>
      <c r="M1512" s="10" t="n">
        <v>0</v>
      </c>
      <c r="N1512" s="10" t="n">
        <v>24</v>
      </c>
      <c r="O1512" s="8" t="inlineStr">
        <is>
          <t>CTL</t>
        </is>
      </c>
      <c r="P1512" s="8" t="inlineStr">
        <is>
          <t>IMPORTANT</t>
        </is>
      </c>
      <c r="Q1512" s="8" t="inlineStr">
        <is>
          <t>WHAP</t>
        </is>
      </c>
      <c r="R1512" s="8" t="inlineStr">
        <is>
          <t>OUI</t>
        </is>
      </c>
      <c r="S1512" s="8" t="inlineStr">
        <is>
          <t>31/08/2026 02:59</t>
        </is>
      </c>
    </row>
    <row r="1513">
      <c r="A1513" s="7" t="inlineStr">
        <is>
          <t>WHAP-1509</t>
        </is>
      </c>
      <c r="B1513" s="7" t="inlineStr">
        <is>
          <t>ELC-1509</t>
        </is>
      </c>
      <c r="C1513" s="7" t="inlineStr">
        <is>
          <t>capteur présence — châssis</t>
        </is>
      </c>
      <c r="D1513" s="7" t="inlineStr">
        <is>
          <t>Électronique et capteurs</t>
        </is>
      </c>
      <c r="E1513" s="7" t="inlineStr">
        <is>
          <t>Électronique et capteurs</t>
        </is>
      </c>
      <c r="F1513" s="7" t="inlineStr">
        <is>
          <t>PIECE_VEHICULE</t>
        </is>
      </c>
      <c r="G1513" s="7" t="inlineStr">
        <is>
          <t>unité</t>
        </is>
      </c>
      <c r="H1513" s="7" t="inlineStr">
        <is>
          <t>SMALL</t>
        </is>
      </c>
      <c r="I1513" s="7" t="n">
        <v>5</v>
      </c>
      <c r="J1513" s="7" t="inlineStr">
        <is>
          <t>F-06-02</t>
        </is>
      </c>
      <c r="K1513" s="7" t="inlineStr"/>
      <c r="L1513" s="9" t="n">
        <v>0</v>
      </c>
      <c r="M1513" s="9" t="n">
        <v>0</v>
      </c>
      <c r="N1513" s="9" t="n">
        <v>28</v>
      </c>
      <c r="O1513" s="7" t="inlineStr">
        <is>
          <t>FAU</t>
        </is>
      </c>
      <c r="P1513" s="7" t="inlineStr">
        <is>
          <t>IMPORTANT</t>
        </is>
      </c>
      <c r="Q1513" s="7" t="inlineStr">
        <is>
          <t>WHAP</t>
        </is>
      </c>
      <c r="R1513" s="7" t="inlineStr">
        <is>
          <t>OUI</t>
        </is>
      </c>
      <c r="S1513" s="7" t="inlineStr">
        <is>
          <t>31/08/2026 02:59</t>
        </is>
      </c>
    </row>
    <row r="1514">
      <c r="A1514" s="8" t="inlineStr">
        <is>
          <t>WHAP-1510</t>
        </is>
      </c>
      <c r="B1514" s="8" t="inlineStr">
        <is>
          <t>ELC-1510</t>
        </is>
      </c>
      <c r="C1514" s="8" t="inlineStr">
        <is>
          <t>capteur fumée — châssis</t>
        </is>
      </c>
      <c r="D1514" s="8" t="inlineStr">
        <is>
          <t>Électronique et capteurs</t>
        </is>
      </c>
      <c r="E1514" s="8" t="inlineStr">
        <is>
          <t>Électronique et capteurs</t>
        </is>
      </c>
      <c r="F1514" s="8" t="inlineStr">
        <is>
          <t>PIECE_VEHICULE</t>
        </is>
      </c>
      <c r="G1514" s="8" t="inlineStr">
        <is>
          <t>unité</t>
        </is>
      </c>
      <c r="H1514" s="8" t="inlineStr">
        <is>
          <t>SMALL</t>
        </is>
      </c>
      <c r="I1514" s="8" t="n">
        <v>5</v>
      </c>
      <c r="J1514" s="8" t="inlineStr">
        <is>
          <t>E-02-01</t>
        </is>
      </c>
      <c r="K1514" s="8" t="inlineStr"/>
      <c r="L1514" s="10" t="n">
        <v>0</v>
      </c>
      <c r="M1514" s="10" t="n">
        <v>0</v>
      </c>
      <c r="N1514" s="10" t="n">
        <v>28</v>
      </c>
      <c r="O1514" s="8" t="inlineStr">
        <is>
          <t>SUM</t>
        </is>
      </c>
      <c r="P1514" s="8" t="inlineStr">
        <is>
          <t>IMPORTANT</t>
        </is>
      </c>
      <c r="Q1514" s="8" t="inlineStr">
        <is>
          <t>WHAP</t>
        </is>
      </c>
      <c r="R1514" s="8" t="inlineStr">
        <is>
          <t>OUI</t>
        </is>
      </c>
      <c r="S1514" s="8" t="inlineStr">
        <is>
          <t>31/08/2026 02:59</t>
        </is>
      </c>
    </row>
    <row r="1515">
      <c r="A1515" s="7" t="inlineStr">
        <is>
          <t>WHAP-1511</t>
        </is>
      </c>
      <c r="B1515" s="7" t="inlineStr">
        <is>
          <t>ELC-1511</t>
        </is>
      </c>
      <c r="C1515" s="7" t="inlineStr">
        <is>
          <t>capteur flamme — châssis</t>
        </is>
      </c>
      <c r="D1515" s="7" t="inlineStr">
        <is>
          <t>Électronique et capteurs</t>
        </is>
      </c>
      <c r="E1515" s="7" t="inlineStr">
        <is>
          <t>Électronique et capteurs</t>
        </is>
      </c>
      <c r="F1515" s="7" t="inlineStr">
        <is>
          <t>PIECE_VEHICULE</t>
        </is>
      </c>
      <c r="G1515" s="7" t="inlineStr">
        <is>
          <t>unité</t>
        </is>
      </c>
      <c r="H1515" s="7" t="inlineStr">
        <is>
          <t>SMALL</t>
        </is>
      </c>
      <c r="I1515" s="7" t="n">
        <v>5</v>
      </c>
      <c r="J1515" s="7" t="inlineStr">
        <is>
          <t>B-03-02</t>
        </is>
      </c>
      <c r="K1515" s="7" t="inlineStr"/>
      <c r="L1515" s="9" t="n">
        <v>0</v>
      </c>
      <c r="M1515" s="9" t="n">
        <v>0</v>
      </c>
      <c r="N1515" s="9" t="n">
        <v>32</v>
      </c>
      <c r="O1515" s="7" t="inlineStr">
        <is>
          <t>SKF</t>
        </is>
      </c>
      <c r="P1515" s="7" t="inlineStr">
        <is>
          <t>IMPORTANT</t>
        </is>
      </c>
      <c r="Q1515" s="7" t="inlineStr">
        <is>
          <t>WHAP</t>
        </is>
      </c>
      <c r="R1515" s="7" t="inlineStr">
        <is>
          <t>OUI</t>
        </is>
      </c>
      <c r="S1515" s="7" t="inlineStr">
        <is>
          <t>31/08/2026 02:59</t>
        </is>
      </c>
    </row>
    <row r="1516">
      <c r="A1516" s="8" t="inlineStr">
        <is>
          <t>WHAP-1512</t>
        </is>
      </c>
      <c r="B1516" s="8" t="inlineStr">
        <is>
          <t>ELC-1512</t>
        </is>
      </c>
      <c r="C1516" s="8" t="inlineStr">
        <is>
          <t>capteur CO2 — châssis</t>
        </is>
      </c>
      <c r="D1516" s="8" t="inlineStr">
        <is>
          <t>Électronique et capteurs</t>
        </is>
      </c>
      <c r="E1516" s="8" t="inlineStr">
        <is>
          <t>Électronique et capteurs</t>
        </is>
      </c>
      <c r="F1516" s="8" t="inlineStr">
        <is>
          <t>PIECE_VEHICULE</t>
        </is>
      </c>
      <c r="G1516" s="8" t="inlineStr">
        <is>
          <t>unité</t>
        </is>
      </c>
      <c r="H1516" s="8" t="inlineStr">
        <is>
          <t>SMALL</t>
        </is>
      </c>
      <c r="I1516" s="8" t="n">
        <v>5</v>
      </c>
      <c r="J1516" s="8" t="inlineStr">
        <is>
          <t>B-01-04</t>
        </is>
      </c>
      <c r="K1516" s="8" t="inlineStr"/>
      <c r="L1516" s="10" t="n">
        <v>0</v>
      </c>
      <c r="M1516" s="10" t="n">
        <v>0</v>
      </c>
      <c r="N1516" s="10" t="n">
        <v>22</v>
      </c>
      <c r="O1516" s="8" t="inlineStr">
        <is>
          <t>YZK</t>
        </is>
      </c>
      <c r="P1516" s="8" t="inlineStr">
        <is>
          <t>IMPORTANT</t>
        </is>
      </c>
      <c r="Q1516" s="8" t="inlineStr">
        <is>
          <t>WHAP</t>
        </is>
      </c>
      <c r="R1516" s="8" t="inlineStr">
        <is>
          <t>OUI</t>
        </is>
      </c>
      <c r="S1516" s="8" t="inlineStr">
        <is>
          <t>31/08/2026 02:59</t>
        </is>
      </c>
    </row>
    <row r="1517">
      <c r="A1517" s="7" t="inlineStr">
        <is>
          <t>WHAP-1513</t>
        </is>
      </c>
      <c r="B1517" s="7" t="inlineStr">
        <is>
          <t>ELC-1513</t>
        </is>
      </c>
      <c r="C1517" s="7" t="inlineStr">
        <is>
          <t>capteur humidité — châssis</t>
        </is>
      </c>
      <c r="D1517" s="7" t="inlineStr">
        <is>
          <t>Électronique et capteurs</t>
        </is>
      </c>
      <c r="E1517" s="7" t="inlineStr">
        <is>
          <t>Électronique et capteurs</t>
        </is>
      </c>
      <c r="F1517" s="7" t="inlineStr">
        <is>
          <t>PIECE_VEHICULE</t>
        </is>
      </c>
      <c r="G1517" s="7" t="inlineStr">
        <is>
          <t>unité</t>
        </is>
      </c>
      <c r="H1517" s="7" t="inlineStr">
        <is>
          <t>SMALL</t>
        </is>
      </c>
      <c r="I1517" s="7" t="n">
        <v>5</v>
      </c>
      <c r="J1517" s="7" t="inlineStr">
        <is>
          <t>F-05-01</t>
        </is>
      </c>
      <c r="K1517" s="7" t="inlineStr"/>
      <c r="L1517" s="9" t="n">
        <v>0</v>
      </c>
      <c r="M1517" s="9" t="n">
        <v>0</v>
      </c>
      <c r="N1517" s="9" t="n">
        <v>32</v>
      </c>
      <c r="O1517" s="7" t="inlineStr">
        <is>
          <t>YZK</t>
        </is>
      </c>
      <c r="P1517" s="7" t="inlineStr">
        <is>
          <t>IMPORTANT</t>
        </is>
      </c>
      <c r="Q1517" s="7" t="inlineStr">
        <is>
          <t>WHAP</t>
        </is>
      </c>
      <c r="R1517" s="7" t="inlineStr">
        <is>
          <t>OUI</t>
        </is>
      </c>
      <c r="S1517" s="7" t="inlineStr">
        <is>
          <t>31/08/2026 02:59</t>
        </is>
      </c>
    </row>
    <row r="1518">
      <c r="A1518" s="8" t="inlineStr">
        <is>
          <t>WHAP-1514</t>
        </is>
      </c>
      <c r="B1518" s="8" t="inlineStr">
        <is>
          <t>ELC-1514</t>
        </is>
      </c>
      <c r="C1518" s="8" t="inlineStr">
        <is>
          <t>capteur vibration — châssis</t>
        </is>
      </c>
      <c r="D1518" s="8" t="inlineStr">
        <is>
          <t>Électronique et capteurs</t>
        </is>
      </c>
      <c r="E1518" s="8" t="inlineStr">
        <is>
          <t>Électronique et capteurs</t>
        </is>
      </c>
      <c r="F1518" s="8" t="inlineStr">
        <is>
          <t>PIECE_VEHICULE</t>
        </is>
      </c>
      <c r="G1518" s="8" t="inlineStr">
        <is>
          <t>unité</t>
        </is>
      </c>
      <c r="H1518" s="8" t="inlineStr">
        <is>
          <t>SMALL</t>
        </is>
      </c>
      <c r="I1518" s="8" t="n">
        <v>5</v>
      </c>
      <c r="J1518" s="8" t="inlineStr">
        <is>
          <t>E-06-04</t>
        </is>
      </c>
      <c r="K1518" s="8" t="inlineStr"/>
      <c r="L1518" s="10" t="n">
        <v>0</v>
      </c>
      <c r="M1518" s="10" t="n">
        <v>0</v>
      </c>
      <c r="N1518" s="10" t="n">
        <v>26</v>
      </c>
      <c r="O1518" s="8" t="inlineStr">
        <is>
          <t>BOS</t>
        </is>
      </c>
      <c r="P1518" s="8" t="inlineStr">
        <is>
          <t>IMPORTANT</t>
        </is>
      </c>
      <c r="Q1518" s="8" t="inlineStr">
        <is>
          <t>WHAP</t>
        </is>
      </c>
      <c r="R1518" s="8" t="inlineStr">
        <is>
          <t>OUI</t>
        </is>
      </c>
      <c r="S1518" s="8" t="inlineStr">
        <is>
          <t>31/08/2026 02:59</t>
        </is>
      </c>
    </row>
    <row r="1519">
      <c r="A1519" s="7" t="inlineStr">
        <is>
          <t>WHAP-1515</t>
        </is>
      </c>
      <c r="B1519" s="7" t="inlineStr">
        <is>
          <t>ELC-1515</t>
        </is>
      </c>
      <c r="C1519" s="7" t="inlineStr">
        <is>
          <t>antenne — châssis</t>
        </is>
      </c>
      <c r="D1519" s="7" t="inlineStr">
        <is>
          <t>Électronique et capteurs</t>
        </is>
      </c>
      <c r="E1519" s="7" t="inlineStr">
        <is>
          <t>Électronique et capteurs</t>
        </is>
      </c>
      <c r="F1519" s="7" t="inlineStr">
        <is>
          <t>PIECE_VEHICULE</t>
        </is>
      </c>
      <c r="G1519" s="7" t="inlineStr">
        <is>
          <t>unité</t>
        </is>
      </c>
      <c r="H1519" s="7" t="inlineStr">
        <is>
          <t>SMALL</t>
        </is>
      </c>
      <c r="I1519" s="7" t="n">
        <v>5</v>
      </c>
      <c r="J1519" s="7" t="inlineStr">
        <is>
          <t>D-06-04</t>
        </is>
      </c>
      <c r="K1519" s="7" t="inlineStr"/>
      <c r="L1519" s="9" t="n">
        <v>0</v>
      </c>
      <c r="M1519" s="9" t="n">
        <v>0</v>
      </c>
      <c r="N1519" s="9" t="n">
        <v>27</v>
      </c>
      <c r="O1519" s="7" t="inlineStr">
        <is>
          <t>CTL</t>
        </is>
      </c>
      <c r="P1519" s="7" t="inlineStr">
        <is>
          <t>IMPORTANT</t>
        </is>
      </c>
      <c r="Q1519" s="7" t="inlineStr">
        <is>
          <t>WHAP</t>
        </is>
      </c>
      <c r="R1519" s="7" t="inlineStr">
        <is>
          <t>OUI</t>
        </is>
      </c>
      <c r="S1519" s="7" t="inlineStr">
        <is>
          <t>31/08/2026 02:59</t>
        </is>
      </c>
    </row>
    <row r="1520">
      <c r="A1520" s="8" t="inlineStr">
        <is>
          <t>WHAP-1516</t>
        </is>
      </c>
      <c r="B1520" s="8" t="inlineStr">
        <is>
          <t>ELC-1516</t>
        </is>
      </c>
      <c r="C1520" s="8" t="inlineStr">
        <is>
          <t>module GPS — châssis</t>
        </is>
      </c>
      <c r="D1520" s="8" t="inlineStr">
        <is>
          <t>Électronique et capteurs</t>
        </is>
      </c>
      <c r="E1520" s="8" t="inlineStr">
        <is>
          <t>Électronique et capteurs</t>
        </is>
      </c>
      <c r="F1520" s="8" t="inlineStr">
        <is>
          <t>PIECE_VEHICULE</t>
        </is>
      </c>
      <c r="G1520" s="8" t="inlineStr">
        <is>
          <t>unité</t>
        </is>
      </c>
      <c r="H1520" s="8" t="inlineStr">
        <is>
          <t>SMALL</t>
        </is>
      </c>
      <c r="I1520" s="8" t="n">
        <v>5</v>
      </c>
      <c r="J1520" s="8" t="inlineStr">
        <is>
          <t>C-02-04</t>
        </is>
      </c>
      <c r="K1520" s="8" t="inlineStr"/>
      <c r="L1520" s="10" t="n">
        <v>0</v>
      </c>
      <c r="M1520" s="10" t="n">
        <v>0</v>
      </c>
      <c r="N1520" s="10" t="n">
        <v>31</v>
      </c>
      <c r="O1520" s="8" t="inlineStr">
        <is>
          <t>DEL</t>
        </is>
      </c>
      <c r="P1520" s="8" t="inlineStr">
        <is>
          <t>IMPORTANT</t>
        </is>
      </c>
      <c r="Q1520" s="8" t="inlineStr">
        <is>
          <t>WHAP</t>
        </is>
      </c>
      <c r="R1520" s="8" t="inlineStr">
        <is>
          <t>OUI</t>
        </is>
      </c>
      <c r="S1520" s="8" t="inlineStr">
        <is>
          <t>31/08/2026 02:59</t>
        </is>
      </c>
    </row>
    <row r="1521">
      <c r="A1521" s="7" t="inlineStr">
        <is>
          <t>WHAP-1517</t>
        </is>
      </c>
      <c r="B1521" s="7" t="inlineStr">
        <is>
          <t>ELC-1517</t>
        </is>
      </c>
      <c r="C1521" s="7" t="inlineStr">
        <is>
          <t>module communication — châssis</t>
        </is>
      </c>
      <c r="D1521" s="7" t="inlineStr">
        <is>
          <t>Électronique et capteurs</t>
        </is>
      </c>
      <c r="E1521" s="7" t="inlineStr">
        <is>
          <t>Électronique et capteurs</t>
        </is>
      </c>
      <c r="F1521" s="7" t="inlineStr">
        <is>
          <t>PIECE_VEHICULE</t>
        </is>
      </c>
      <c r="G1521" s="7" t="inlineStr">
        <is>
          <t>unité</t>
        </is>
      </c>
      <c r="H1521" s="7" t="inlineStr">
        <is>
          <t>SMALL</t>
        </is>
      </c>
      <c r="I1521" s="7" t="n">
        <v>5</v>
      </c>
      <c r="J1521" s="7" t="inlineStr">
        <is>
          <t>E-01-02</t>
        </is>
      </c>
      <c r="K1521" s="7" t="inlineStr"/>
      <c r="L1521" s="9" t="n">
        <v>0</v>
      </c>
      <c r="M1521" s="9" t="n">
        <v>0</v>
      </c>
      <c r="N1521" s="9" t="n">
        <v>22</v>
      </c>
      <c r="O1521" s="7" t="inlineStr">
        <is>
          <t>HEL</t>
        </is>
      </c>
      <c r="P1521" s="7" t="inlineStr">
        <is>
          <t>IMPORTANT</t>
        </is>
      </c>
      <c r="Q1521" s="7" t="inlineStr">
        <is>
          <t>WHAP</t>
        </is>
      </c>
      <c r="R1521" s="7" t="inlineStr">
        <is>
          <t>OUI</t>
        </is>
      </c>
      <c r="S1521" s="7" t="inlineStr">
        <is>
          <t>31/08/2026 02:59</t>
        </is>
      </c>
    </row>
    <row r="1522">
      <c r="A1522" s="8" t="inlineStr">
        <is>
          <t>WHAP-1518</t>
        </is>
      </c>
      <c r="B1522" s="8" t="inlineStr">
        <is>
          <t>ELC-1518</t>
        </is>
      </c>
      <c r="C1522" s="8" t="inlineStr">
        <is>
          <t>écran multifonction — châssis</t>
        </is>
      </c>
      <c r="D1522" s="8" t="inlineStr">
        <is>
          <t>Électronique et capteurs</t>
        </is>
      </c>
      <c r="E1522" s="8" t="inlineStr">
        <is>
          <t>Électronique et capteurs</t>
        </is>
      </c>
      <c r="F1522" s="8" t="inlineStr">
        <is>
          <t>PIECE_VEHICULE</t>
        </is>
      </c>
      <c r="G1522" s="8" t="inlineStr">
        <is>
          <t>unité</t>
        </is>
      </c>
      <c r="H1522" s="8" t="inlineStr">
        <is>
          <t>SMALL</t>
        </is>
      </c>
      <c r="I1522" s="8" t="n">
        <v>5</v>
      </c>
      <c r="J1522" s="8" t="inlineStr">
        <is>
          <t>D-04-02</t>
        </is>
      </c>
      <c r="K1522" s="8" t="inlineStr"/>
      <c r="L1522" s="10" t="n">
        <v>0</v>
      </c>
      <c r="M1522" s="10" t="n">
        <v>0</v>
      </c>
      <c r="N1522" s="10" t="n">
        <v>28</v>
      </c>
      <c r="O1522" s="8" t="inlineStr">
        <is>
          <t>VAL</t>
        </is>
      </c>
      <c r="P1522" s="8" t="inlineStr">
        <is>
          <t>IMPORTANT</t>
        </is>
      </c>
      <c r="Q1522" s="8" t="inlineStr">
        <is>
          <t>WHAP</t>
        </is>
      </c>
      <c r="R1522" s="8" t="inlineStr">
        <is>
          <t>OUI</t>
        </is>
      </c>
      <c r="S1522" s="8" t="inlineStr">
        <is>
          <t>31/08/2026 02:59</t>
        </is>
      </c>
    </row>
    <row r="1523">
      <c r="A1523" s="7" t="inlineStr">
        <is>
          <t>WHAP-1519</t>
        </is>
      </c>
      <c r="B1523" s="7" t="inlineStr">
        <is>
          <t>ELC-1519</t>
        </is>
      </c>
      <c r="C1523" s="7" t="inlineStr">
        <is>
          <t>unité de diagnostic — châssis</t>
        </is>
      </c>
      <c r="D1523" s="7" t="inlineStr">
        <is>
          <t>Électronique et capteurs</t>
        </is>
      </c>
      <c r="E1523" s="7" t="inlineStr">
        <is>
          <t>Électronique et capteurs</t>
        </is>
      </c>
      <c r="F1523" s="7" t="inlineStr">
        <is>
          <t>PIECE_VEHICULE</t>
        </is>
      </c>
      <c r="G1523" s="7" t="inlineStr">
        <is>
          <t>unité</t>
        </is>
      </c>
      <c r="H1523" s="7" t="inlineStr">
        <is>
          <t>SMALL</t>
        </is>
      </c>
      <c r="I1523" s="7" t="n">
        <v>5</v>
      </c>
      <c r="J1523" s="7" t="inlineStr">
        <is>
          <t>A-06-03</t>
        </is>
      </c>
      <c r="K1523" s="7" t="inlineStr"/>
      <c r="L1523" s="9" t="n">
        <v>0</v>
      </c>
      <c r="M1523" s="9" t="n">
        <v>0</v>
      </c>
      <c r="N1523" s="9" t="n">
        <v>30</v>
      </c>
      <c r="O1523" s="7" t="inlineStr">
        <is>
          <t>SUM</t>
        </is>
      </c>
      <c r="P1523" s="7" t="inlineStr">
        <is>
          <t>IMPORTANT</t>
        </is>
      </c>
      <c r="Q1523" s="7" t="inlineStr">
        <is>
          <t>WHAP</t>
        </is>
      </c>
      <c r="R1523" s="7" t="inlineStr">
        <is>
          <t>OUI</t>
        </is>
      </c>
      <c r="S1523" s="7" t="inlineStr">
        <is>
          <t>31/08/2026 02:59</t>
        </is>
      </c>
    </row>
    <row r="1524">
      <c r="A1524" s="8" t="inlineStr">
        <is>
          <t>WHAP-1520</t>
        </is>
      </c>
      <c r="B1524" s="8" t="inlineStr">
        <is>
          <t>ELC-1520</t>
        </is>
      </c>
      <c r="C1524" s="8" t="inlineStr">
        <is>
          <t>connecteur CAN — châssis</t>
        </is>
      </c>
      <c r="D1524" s="8" t="inlineStr">
        <is>
          <t>Électronique et capteurs</t>
        </is>
      </c>
      <c r="E1524" s="8" t="inlineStr">
        <is>
          <t>Électronique et capteurs</t>
        </is>
      </c>
      <c r="F1524" s="8" t="inlineStr">
        <is>
          <t>PIECE_VEHICULE</t>
        </is>
      </c>
      <c r="G1524" s="8" t="inlineStr">
        <is>
          <t>unité</t>
        </is>
      </c>
      <c r="H1524" s="8" t="inlineStr">
        <is>
          <t>SMALL</t>
        </is>
      </c>
      <c r="I1524" s="8" t="n">
        <v>5</v>
      </c>
      <c r="J1524" s="8" t="inlineStr">
        <is>
          <t>E-06-03</t>
        </is>
      </c>
      <c r="K1524" s="8" t="inlineStr"/>
      <c r="L1524" s="10" t="n">
        <v>0</v>
      </c>
      <c r="M1524" s="10" t="n">
        <v>0</v>
      </c>
      <c r="N1524" s="10" t="n">
        <v>29</v>
      </c>
      <c r="O1524" s="8" t="inlineStr">
        <is>
          <t>DEL</t>
        </is>
      </c>
      <c r="P1524" s="8" t="inlineStr">
        <is>
          <t>IMPORTANT</t>
        </is>
      </c>
      <c r="Q1524" s="8" t="inlineStr">
        <is>
          <t>WHAP</t>
        </is>
      </c>
      <c r="R1524" s="8" t="inlineStr">
        <is>
          <t>OUI</t>
        </is>
      </c>
      <c r="S1524" s="8" t="inlineStr">
        <is>
          <t>31/08/2026 02:59</t>
        </is>
      </c>
    </row>
    <row r="1525">
      <c r="A1525" s="7" t="inlineStr">
        <is>
          <t>WHAP-1521</t>
        </is>
      </c>
      <c r="B1525" s="7" t="inlineStr">
        <is>
          <t>ELC-1521</t>
        </is>
      </c>
      <c r="C1525" s="7" t="inlineStr">
        <is>
          <t>terminaison CAN — châssis</t>
        </is>
      </c>
      <c r="D1525" s="7" t="inlineStr">
        <is>
          <t>Électronique et capteurs</t>
        </is>
      </c>
      <c r="E1525" s="7" t="inlineStr">
        <is>
          <t>Électronique et capteurs</t>
        </is>
      </c>
      <c r="F1525" s="7" t="inlineStr">
        <is>
          <t>PIECE_VEHICULE</t>
        </is>
      </c>
      <c r="G1525" s="7" t="inlineStr">
        <is>
          <t>unité</t>
        </is>
      </c>
      <c r="H1525" s="7" t="inlineStr">
        <is>
          <t>SMALL</t>
        </is>
      </c>
      <c r="I1525" s="7" t="n">
        <v>5</v>
      </c>
      <c r="J1525" s="7" t="inlineStr">
        <is>
          <t>E-05-04</t>
        </is>
      </c>
      <c r="K1525" s="7" t="inlineStr"/>
      <c r="L1525" s="9" t="n">
        <v>0</v>
      </c>
      <c r="M1525" s="9" t="n">
        <v>0</v>
      </c>
      <c r="N1525" s="9" t="n">
        <v>25</v>
      </c>
      <c r="O1525" s="7" t="inlineStr">
        <is>
          <t>HEL</t>
        </is>
      </c>
      <c r="P1525" s="7" t="inlineStr">
        <is>
          <t>IMPORTANT</t>
        </is>
      </c>
      <c r="Q1525" s="7" t="inlineStr">
        <is>
          <t>WHAP</t>
        </is>
      </c>
      <c r="R1525" s="7" t="inlineStr">
        <is>
          <t>OUI</t>
        </is>
      </c>
      <c r="S1525" s="7" t="inlineStr">
        <is>
          <t>31/08/2026 02:59</t>
        </is>
      </c>
    </row>
    <row r="1526">
      <c r="A1526" s="8" t="inlineStr">
        <is>
          <t>WHAP-1522</t>
        </is>
      </c>
      <c r="B1526" s="8" t="inlineStr">
        <is>
          <t>ELC-1522</t>
        </is>
      </c>
      <c r="C1526" s="8" t="inlineStr">
        <is>
          <t>câble CAN — châssis</t>
        </is>
      </c>
      <c r="D1526" s="8" t="inlineStr">
        <is>
          <t>Électronique et capteurs</t>
        </is>
      </c>
      <c r="E1526" s="8" t="inlineStr">
        <is>
          <t>Électronique et capteurs</t>
        </is>
      </c>
      <c r="F1526" s="8" t="inlineStr">
        <is>
          <t>PIECE_VEHICULE</t>
        </is>
      </c>
      <c r="G1526" s="8" t="inlineStr">
        <is>
          <t>unité</t>
        </is>
      </c>
      <c r="H1526" s="8" t="inlineStr">
        <is>
          <t>SMALL</t>
        </is>
      </c>
      <c r="I1526" s="8" t="n">
        <v>5</v>
      </c>
      <c r="J1526" s="8" t="inlineStr">
        <is>
          <t>F-04-02</t>
        </is>
      </c>
      <c r="K1526" s="8" t="inlineStr"/>
      <c r="L1526" s="10" t="n">
        <v>0</v>
      </c>
      <c r="M1526" s="10" t="n">
        <v>0</v>
      </c>
      <c r="N1526" s="10" t="n">
        <v>24</v>
      </c>
      <c r="O1526" s="8" t="inlineStr">
        <is>
          <t>YZK</t>
        </is>
      </c>
      <c r="P1526" s="8" t="inlineStr">
        <is>
          <t>IMPORTANT</t>
        </is>
      </c>
      <c r="Q1526" s="8" t="inlineStr">
        <is>
          <t>WHAP</t>
        </is>
      </c>
      <c r="R1526" s="8" t="inlineStr">
        <is>
          <t>OUI</t>
        </is>
      </c>
      <c r="S1526" s="8" t="inlineStr">
        <is>
          <t>31/08/2026 02:59</t>
        </is>
      </c>
    </row>
    <row r="1527">
      <c r="A1527" s="7" t="inlineStr">
        <is>
          <t>WHAP-1523</t>
        </is>
      </c>
      <c r="B1527" s="7" t="inlineStr">
        <is>
          <t>ELC-1523</t>
        </is>
      </c>
      <c r="C1527" s="7" t="inlineStr">
        <is>
          <t>boîtier électronique — châssis</t>
        </is>
      </c>
      <c r="D1527" s="7" t="inlineStr">
        <is>
          <t>Électronique et capteurs</t>
        </is>
      </c>
      <c r="E1527" s="7" t="inlineStr">
        <is>
          <t>Électronique et capteurs</t>
        </is>
      </c>
      <c r="F1527" s="7" t="inlineStr">
        <is>
          <t>PIECE_VEHICULE</t>
        </is>
      </c>
      <c r="G1527" s="7" t="inlineStr">
        <is>
          <t>unité</t>
        </is>
      </c>
      <c r="H1527" s="7" t="inlineStr">
        <is>
          <t>SMALL</t>
        </is>
      </c>
      <c r="I1527" s="7" t="n">
        <v>5</v>
      </c>
      <c r="J1527" s="7" t="inlineStr">
        <is>
          <t>F-06-02</t>
        </is>
      </c>
      <c r="K1527" s="7" t="inlineStr"/>
      <c r="L1527" s="9" t="n">
        <v>0</v>
      </c>
      <c r="M1527" s="9" t="n">
        <v>0</v>
      </c>
      <c r="N1527" s="9" t="n">
        <v>32</v>
      </c>
      <c r="O1527" s="7" t="inlineStr">
        <is>
          <t>SKF</t>
        </is>
      </c>
      <c r="P1527" s="7" t="inlineStr">
        <is>
          <t>IMPORTANT</t>
        </is>
      </c>
      <c r="Q1527" s="7" t="inlineStr">
        <is>
          <t>WHAP</t>
        </is>
      </c>
      <c r="R1527" s="7" t="inlineStr">
        <is>
          <t>OUI</t>
        </is>
      </c>
      <c r="S1527" s="7" t="inlineStr">
        <is>
          <t>31/08/2026 02:59</t>
        </is>
      </c>
    </row>
    <row r="1528">
      <c r="A1528" s="8" t="inlineStr">
        <is>
          <t>WHAP-1524</t>
        </is>
      </c>
      <c r="B1528" s="8" t="inlineStr">
        <is>
          <t>ELC-1524</t>
        </is>
      </c>
      <c r="C1528" s="8" t="inlineStr">
        <is>
          <t>calculateur moteur — habitacle</t>
        </is>
      </c>
      <c r="D1528" s="8" t="inlineStr">
        <is>
          <t>Électronique et capteurs</t>
        </is>
      </c>
      <c r="E1528" s="8" t="inlineStr">
        <is>
          <t>Électronique et capteurs</t>
        </is>
      </c>
      <c r="F1528" s="8" t="inlineStr">
        <is>
          <t>PIECE_VEHICULE</t>
        </is>
      </c>
      <c r="G1528" s="8" t="inlineStr">
        <is>
          <t>unité</t>
        </is>
      </c>
      <c r="H1528" s="8" t="inlineStr">
        <is>
          <t>SMALL</t>
        </is>
      </c>
      <c r="I1528" s="8" t="n">
        <v>5</v>
      </c>
      <c r="J1528" s="8" t="inlineStr">
        <is>
          <t>C-01-01</t>
        </is>
      </c>
      <c r="K1528" s="8" t="inlineStr"/>
      <c r="L1528" s="10" t="n">
        <v>0</v>
      </c>
      <c r="M1528" s="10" t="n">
        <v>0</v>
      </c>
      <c r="N1528" s="10" t="n">
        <v>30</v>
      </c>
      <c r="O1528" s="8" t="inlineStr">
        <is>
          <t>BOS</t>
        </is>
      </c>
      <c r="P1528" s="8" t="inlineStr">
        <is>
          <t>IMPORTANT</t>
        </is>
      </c>
      <c r="Q1528" s="8" t="inlineStr">
        <is>
          <t>WHAP</t>
        </is>
      </c>
      <c r="R1528" s="8" t="inlineStr">
        <is>
          <t>OUI</t>
        </is>
      </c>
      <c r="S1528" s="8" t="inlineStr">
        <is>
          <t>31/08/2026 02:59</t>
        </is>
      </c>
    </row>
    <row r="1529">
      <c r="A1529" s="7" t="inlineStr">
        <is>
          <t>WHAP-1525</t>
        </is>
      </c>
      <c r="B1529" s="7" t="inlineStr">
        <is>
          <t>ELC-1525</t>
        </is>
      </c>
      <c r="C1529" s="7" t="inlineStr">
        <is>
          <t>calculateur transmission — habitacle</t>
        </is>
      </c>
      <c r="D1529" s="7" t="inlineStr">
        <is>
          <t>Électronique et capteurs</t>
        </is>
      </c>
      <c r="E1529" s="7" t="inlineStr">
        <is>
          <t>Électronique et capteurs</t>
        </is>
      </c>
      <c r="F1529" s="7" t="inlineStr">
        <is>
          <t>PIECE_VEHICULE</t>
        </is>
      </c>
      <c r="G1529" s="7" t="inlineStr">
        <is>
          <t>unité</t>
        </is>
      </c>
      <c r="H1529" s="7" t="inlineStr">
        <is>
          <t>SMALL</t>
        </is>
      </c>
      <c r="I1529" s="7" t="n">
        <v>5</v>
      </c>
      <c r="J1529" s="7" t="inlineStr">
        <is>
          <t>F-02-01</t>
        </is>
      </c>
      <c r="K1529" s="7" t="inlineStr"/>
      <c r="L1529" s="9" t="n">
        <v>0</v>
      </c>
      <c r="M1529" s="9" t="n">
        <v>0</v>
      </c>
      <c r="N1529" s="9" t="n">
        <v>30</v>
      </c>
      <c r="O1529" s="7" t="inlineStr">
        <is>
          <t>VAL</t>
        </is>
      </c>
      <c r="P1529" s="7" t="inlineStr">
        <is>
          <t>IMPORTANT</t>
        </is>
      </c>
      <c r="Q1529" s="7" t="inlineStr">
        <is>
          <t>WHAP</t>
        </is>
      </c>
      <c r="R1529" s="7" t="inlineStr">
        <is>
          <t>OUI</t>
        </is>
      </c>
      <c r="S1529" s="7" t="inlineStr">
        <is>
          <t>31/08/2026 02:59</t>
        </is>
      </c>
    </row>
    <row r="1530">
      <c r="A1530" s="8" t="inlineStr">
        <is>
          <t>WHAP-1526</t>
        </is>
      </c>
      <c r="B1530" s="8" t="inlineStr">
        <is>
          <t>ELC-1526</t>
        </is>
      </c>
      <c r="C1530" s="8" t="inlineStr">
        <is>
          <t>calculateur ABS — habitacle</t>
        </is>
      </c>
      <c r="D1530" s="8" t="inlineStr">
        <is>
          <t>Électronique et capteurs</t>
        </is>
      </c>
      <c r="E1530" s="8" t="inlineStr">
        <is>
          <t>Électronique et capteurs</t>
        </is>
      </c>
      <c r="F1530" s="8" t="inlineStr">
        <is>
          <t>PIECE_VEHICULE</t>
        </is>
      </c>
      <c r="G1530" s="8" t="inlineStr">
        <is>
          <t>unité</t>
        </is>
      </c>
      <c r="H1530" s="8" t="inlineStr">
        <is>
          <t>SMALL</t>
        </is>
      </c>
      <c r="I1530" s="8" t="n">
        <v>5</v>
      </c>
      <c r="J1530" s="8" t="inlineStr">
        <is>
          <t>B-03-03</t>
        </is>
      </c>
      <c r="K1530" s="8" t="inlineStr"/>
      <c r="L1530" s="10" t="n">
        <v>0</v>
      </c>
      <c r="M1530" s="10" t="n">
        <v>0</v>
      </c>
      <c r="N1530" s="10" t="n">
        <v>24</v>
      </c>
      <c r="O1530" s="8" t="inlineStr">
        <is>
          <t>VAL</t>
        </is>
      </c>
      <c r="P1530" s="8" t="inlineStr">
        <is>
          <t>IMPORTANT</t>
        </is>
      </c>
      <c r="Q1530" s="8" t="inlineStr">
        <is>
          <t>WHAP</t>
        </is>
      </c>
      <c r="R1530" s="8" t="inlineStr">
        <is>
          <t>OUI</t>
        </is>
      </c>
      <c r="S1530" s="8" t="inlineStr">
        <is>
          <t>31/08/2026 02:59</t>
        </is>
      </c>
    </row>
    <row r="1531">
      <c r="A1531" s="7" t="inlineStr">
        <is>
          <t>WHAP-1527</t>
        </is>
      </c>
      <c r="B1531" s="7" t="inlineStr">
        <is>
          <t>ELC-1527</t>
        </is>
      </c>
      <c r="C1531" s="7" t="inlineStr">
        <is>
          <t>calculateur CTIS — habitacle</t>
        </is>
      </c>
      <c r="D1531" s="7" t="inlineStr">
        <is>
          <t>Électronique et capteurs</t>
        </is>
      </c>
      <c r="E1531" s="7" t="inlineStr">
        <is>
          <t>Électronique et capteurs</t>
        </is>
      </c>
      <c r="F1531" s="7" t="inlineStr">
        <is>
          <t>PIECE_VEHICULE</t>
        </is>
      </c>
      <c r="G1531" s="7" t="inlineStr">
        <is>
          <t>unité</t>
        </is>
      </c>
      <c r="H1531" s="7" t="inlineStr">
        <is>
          <t>SMALL</t>
        </is>
      </c>
      <c r="I1531" s="7" t="n">
        <v>5</v>
      </c>
      <c r="J1531" s="7" t="inlineStr">
        <is>
          <t>C-01-02</t>
        </is>
      </c>
      <c r="K1531" s="7" t="inlineStr"/>
      <c r="L1531" s="9" t="n">
        <v>0</v>
      </c>
      <c r="M1531" s="9" t="n">
        <v>0</v>
      </c>
      <c r="N1531" s="9" t="n">
        <v>27</v>
      </c>
      <c r="O1531" s="7" t="inlineStr">
        <is>
          <t>MAG</t>
        </is>
      </c>
      <c r="P1531" s="7" t="inlineStr">
        <is>
          <t>IMPORTANT</t>
        </is>
      </c>
      <c r="Q1531" s="7" t="inlineStr">
        <is>
          <t>WHAP</t>
        </is>
      </c>
      <c r="R1531" s="7" t="inlineStr">
        <is>
          <t>OUI</t>
        </is>
      </c>
      <c r="S1531" s="7" t="inlineStr">
        <is>
          <t>31/08/2026 02:59</t>
        </is>
      </c>
    </row>
    <row r="1532">
      <c r="A1532" s="8" t="inlineStr">
        <is>
          <t>WHAP-1528</t>
        </is>
      </c>
      <c r="B1532" s="8" t="inlineStr">
        <is>
          <t>ELC-1528</t>
        </is>
      </c>
      <c r="C1532" s="8" t="inlineStr">
        <is>
          <t>unité de contrôle véhicule — habitacle</t>
        </is>
      </c>
      <c r="D1532" s="8" t="inlineStr">
        <is>
          <t>Électronique et capteurs</t>
        </is>
      </c>
      <c r="E1532" s="8" t="inlineStr">
        <is>
          <t>Électronique et capteurs</t>
        </is>
      </c>
      <c r="F1532" s="8" t="inlineStr">
        <is>
          <t>PIECE_VEHICULE</t>
        </is>
      </c>
      <c r="G1532" s="8" t="inlineStr">
        <is>
          <t>unité</t>
        </is>
      </c>
      <c r="H1532" s="8" t="inlineStr">
        <is>
          <t>SMALL</t>
        </is>
      </c>
      <c r="I1532" s="8" t="n">
        <v>5</v>
      </c>
      <c r="J1532" s="8" t="inlineStr">
        <is>
          <t>D-03-04</t>
        </is>
      </c>
      <c r="K1532" s="8" t="inlineStr"/>
      <c r="L1532" s="10" t="n">
        <v>0</v>
      </c>
      <c r="M1532" s="10" t="n">
        <v>0</v>
      </c>
      <c r="N1532" s="10" t="n">
        <v>22</v>
      </c>
      <c r="O1532" s="8" t="inlineStr">
        <is>
          <t>YZK</t>
        </is>
      </c>
      <c r="P1532" s="8" t="inlineStr">
        <is>
          <t>IMPORTANT</t>
        </is>
      </c>
      <c r="Q1532" s="8" t="inlineStr">
        <is>
          <t>WHAP</t>
        </is>
      </c>
      <c r="R1532" s="8" t="inlineStr">
        <is>
          <t>OUI</t>
        </is>
      </c>
      <c r="S1532" s="8" t="inlineStr">
        <is>
          <t>31/08/2026 02:59</t>
        </is>
      </c>
    </row>
    <row r="1533">
      <c r="A1533" s="7" t="inlineStr">
        <is>
          <t>WHAP-1529</t>
        </is>
      </c>
      <c r="B1533" s="7" t="inlineStr">
        <is>
          <t>ELC-1529</t>
        </is>
      </c>
      <c r="C1533" s="7" t="inlineStr">
        <is>
          <t>module I/O — habitacle</t>
        </is>
      </c>
      <c r="D1533" s="7" t="inlineStr">
        <is>
          <t>Électronique et capteurs</t>
        </is>
      </c>
      <c r="E1533" s="7" t="inlineStr">
        <is>
          <t>Électronique et capteurs</t>
        </is>
      </c>
      <c r="F1533" s="7" t="inlineStr">
        <is>
          <t>PIECE_VEHICULE</t>
        </is>
      </c>
      <c r="G1533" s="7" t="inlineStr">
        <is>
          <t>unité</t>
        </is>
      </c>
      <c r="H1533" s="7" t="inlineStr">
        <is>
          <t>SMALL</t>
        </is>
      </c>
      <c r="I1533" s="7" t="n">
        <v>5</v>
      </c>
      <c r="J1533" s="7" t="inlineStr">
        <is>
          <t>F-03-04</t>
        </is>
      </c>
      <c r="K1533" s="7" t="inlineStr"/>
      <c r="L1533" s="9" t="n">
        <v>0</v>
      </c>
      <c r="M1533" s="9" t="n">
        <v>0</v>
      </c>
      <c r="N1533" s="9" t="n">
        <v>28</v>
      </c>
      <c r="O1533" s="7" t="inlineStr">
        <is>
          <t>YZK</t>
        </is>
      </c>
      <c r="P1533" s="7" t="inlineStr">
        <is>
          <t>IMPORTANT</t>
        </is>
      </c>
      <c r="Q1533" s="7" t="inlineStr">
        <is>
          <t>WHAP</t>
        </is>
      </c>
      <c r="R1533" s="7" t="inlineStr">
        <is>
          <t>OUI</t>
        </is>
      </c>
      <c r="S1533" s="7" t="inlineStr">
        <is>
          <t>31/08/2026 02:59</t>
        </is>
      </c>
    </row>
    <row r="1534">
      <c r="A1534" s="8" t="inlineStr">
        <is>
          <t>WHAP-1530</t>
        </is>
      </c>
      <c r="B1534" s="8" t="inlineStr">
        <is>
          <t>ELC-1530</t>
        </is>
      </c>
      <c r="C1534" s="8" t="inlineStr">
        <is>
          <t>capteur température — habitacle</t>
        </is>
      </c>
      <c r="D1534" s="8" t="inlineStr">
        <is>
          <t>Électronique et capteurs</t>
        </is>
      </c>
      <c r="E1534" s="8" t="inlineStr">
        <is>
          <t>Électronique et capteurs</t>
        </is>
      </c>
      <c r="F1534" s="8" t="inlineStr">
        <is>
          <t>PIECE_VEHICULE</t>
        </is>
      </c>
      <c r="G1534" s="8" t="inlineStr">
        <is>
          <t>unité</t>
        </is>
      </c>
      <c r="H1534" s="8" t="inlineStr">
        <is>
          <t>SMALL</t>
        </is>
      </c>
      <c r="I1534" s="8" t="n">
        <v>5</v>
      </c>
      <c r="J1534" s="8" t="inlineStr">
        <is>
          <t>A-05-03</t>
        </is>
      </c>
      <c r="K1534" s="8" t="inlineStr"/>
      <c r="L1534" s="10" t="n">
        <v>0</v>
      </c>
      <c r="M1534" s="10" t="n">
        <v>0</v>
      </c>
      <c r="N1534" s="10" t="n">
        <v>32</v>
      </c>
      <c r="O1534" s="8" t="inlineStr">
        <is>
          <t>SUM</t>
        </is>
      </c>
      <c r="P1534" s="8" t="inlineStr">
        <is>
          <t>IMPORTANT</t>
        </is>
      </c>
      <c r="Q1534" s="8" t="inlineStr">
        <is>
          <t>WHAP</t>
        </is>
      </c>
      <c r="R1534" s="8" t="inlineStr">
        <is>
          <t>OUI</t>
        </is>
      </c>
      <c r="S1534" s="8" t="inlineStr">
        <is>
          <t>31/08/2026 02:59</t>
        </is>
      </c>
    </row>
    <row r="1535">
      <c r="A1535" s="7" t="inlineStr">
        <is>
          <t>WHAP-1531</t>
        </is>
      </c>
      <c r="B1535" s="7" t="inlineStr">
        <is>
          <t>ELC-1531</t>
        </is>
      </c>
      <c r="C1535" s="7" t="inlineStr">
        <is>
          <t>capteur pression — habitacle</t>
        </is>
      </c>
      <c r="D1535" s="7" t="inlineStr">
        <is>
          <t>Électronique et capteurs</t>
        </is>
      </c>
      <c r="E1535" s="7" t="inlineStr">
        <is>
          <t>Électronique et capteurs</t>
        </is>
      </c>
      <c r="F1535" s="7" t="inlineStr">
        <is>
          <t>PIECE_VEHICULE</t>
        </is>
      </c>
      <c r="G1535" s="7" t="inlineStr">
        <is>
          <t>unité</t>
        </is>
      </c>
      <c r="H1535" s="7" t="inlineStr">
        <is>
          <t>SMALL</t>
        </is>
      </c>
      <c r="I1535" s="7" t="n">
        <v>5</v>
      </c>
      <c r="J1535" s="7" t="inlineStr">
        <is>
          <t>E-01-04</t>
        </is>
      </c>
      <c r="K1535" s="7" t="inlineStr"/>
      <c r="L1535" s="9" t="n">
        <v>0</v>
      </c>
      <c r="M1535" s="9" t="n">
        <v>0</v>
      </c>
      <c r="N1535" s="9" t="n">
        <v>28</v>
      </c>
      <c r="O1535" s="7" t="inlineStr">
        <is>
          <t>SUM</t>
        </is>
      </c>
      <c r="P1535" s="7" t="inlineStr">
        <is>
          <t>IMPORTANT</t>
        </is>
      </c>
      <c r="Q1535" s="7" t="inlineStr">
        <is>
          <t>WHAP</t>
        </is>
      </c>
      <c r="R1535" s="7" t="inlineStr">
        <is>
          <t>OUI</t>
        </is>
      </c>
      <c r="S1535" s="7" t="inlineStr">
        <is>
          <t>31/08/2026 02:59</t>
        </is>
      </c>
    </row>
    <row r="1536">
      <c r="A1536" s="8" t="inlineStr">
        <is>
          <t>WHAP-1532</t>
        </is>
      </c>
      <c r="B1536" s="8" t="inlineStr">
        <is>
          <t>ELC-1532</t>
        </is>
      </c>
      <c r="C1536" s="8" t="inlineStr">
        <is>
          <t>capteur vitesse — habitacle</t>
        </is>
      </c>
      <c r="D1536" s="8" t="inlineStr">
        <is>
          <t>Électronique et capteurs</t>
        </is>
      </c>
      <c r="E1536" s="8" t="inlineStr">
        <is>
          <t>Électronique et capteurs</t>
        </is>
      </c>
      <c r="F1536" s="8" t="inlineStr">
        <is>
          <t>PIECE_VEHICULE</t>
        </is>
      </c>
      <c r="G1536" s="8" t="inlineStr">
        <is>
          <t>unité</t>
        </is>
      </c>
      <c r="H1536" s="8" t="inlineStr">
        <is>
          <t>SMALL</t>
        </is>
      </c>
      <c r="I1536" s="8" t="n">
        <v>5</v>
      </c>
      <c r="J1536" s="8" t="inlineStr">
        <is>
          <t>F-01-01</t>
        </is>
      </c>
      <c r="K1536" s="8" t="inlineStr"/>
      <c r="L1536" s="10" t="n">
        <v>0</v>
      </c>
      <c r="M1536" s="10" t="n">
        <v>0</v>
      </c>
      <c r="N1536" s="10" t="n">
        <v>24</v>
      </c>
      <c r="O1536" s="8" t="inlineStr">
        <is>
          <t>VAL</t>
        </is>
      </c>
      <c r="P1536" s="8" t="inlineStr">
        <is>
          <t>IMPORTANT</t>
        </is>
      </c>
      <c r="Q1536" s="8" t="inlineStr">
        <is>
          <t>WHAP</t>
        </is>
      </c>
      <c r="R1536" s="8" t="inlineStr">
        <is>
          <t>OUI</t>
        </is>
      </c>
      <c r="S1536" s="8" t="inlineStr">
        <is>
          <t>31/08/2026 02:59</t>
        </is>
      </c>
    </row>
    <row r="1537">
      <c r="A1537" s="7" t="inlineStr">
        <is>
          <t>WHAP-1533</t>
        </is>
      </c>
      <c r="B1537" s="7" t="inlineStr">
        <is>
          <t>ELC-1533</t>
        </is>
      </c>
      <c r="C1537" s="7" t="inlineStr">
        <is>
          <t>capteur position — habitacle</t>
        </is>
      </c>
      <c r="D1537" s="7" t="inlineStr">
        <is>
          <t>Électronique et capteurs</t>
        </is>
      </c>
      <c r="E1537" s="7" t="inlineStr">
        <is>
          <t>Électronique et capteurs</t>
        </is>
      </c>
      <c r="F1537" s="7" t="inlineStr">
        <is>
          <t>PIECE_VEHICULE</t>
        </is>
      </c>
      <c r="G1537" s="7" t="inlineStr">
        <is>
          <t>unité</t>
        </is>
      </c>
      <c r="H1537" s="7" t="inlineStr">
        <is>
          <t>SMALL</t>
        </is>
      </c>
      <c r="I1537" s="7" t="n">
        <v>5</v>
      </c>
      <c r="J1537" s="7" t="inlineStr">
        <is>
          <t>C-01-03</t>
        </is>
      </c>
      <c r="K1537" s="7" t="inlineStr"/>
      <c r="L1537" s="9" t="n">
        <v>0</v>
      </c>
      <c r="M1537" s="9" t="n">
        <v>0</v>
      </c>
      <c r="N1537" s="9" t="n">
        <v>26</v>
      </c>
      <c r="O1537" s="7" t="inlineStr">
        <is>
          <t>MAG</t>
        </is>
      </c>
      <c r="P1537" s="7" t="inlineStr">
        <is>
          <t>IMPORTANT</t>
        </is>
      </c>
      <c r="Q1537" s="7" t="inlineStr">
        <is>
          <t>WHAP</t>
        </is>
      </c>
      <c r="R1537" s="7" t="inlineStr">
        <is>
          <t>OUI</t>
        </is>
      </c>
      <c r="S1537" s="7" t="inlineStr">
        <is>
          <t>31/08/2026 02:59</t>
        </is>
      </c>
    </row>
    <row r="1538">
      <c r="A1538" s="8" t="inlineStr">
        <is>
          <t>WHAP-1534</t>
        </is>
      </c>
      <c r="B1538" s="8" t="inlineStr">
        <is>
          <t>ELC-1534</t>
        </is>
      </c>
      <c r="C1538" s="8" t="inlineStr">
        <is>
          <t>capteur niveau — habitacle</t>
        </is>
      </c>
      <c r="D1538" s="8" t="inlineStr">
        <is>
          <t>Électronique et capteurs</t>
        </is>
      </c>
      <c r="E1538" s="8" t="inlineStr">
        <is>
          <t>Électronique et capteurs</t>
        </is>
      </c>
      <c r="F1538" s="8" t="inlineStr">
        <is>
          <t>PIECE_VEHICULE</t>
        </is>
      </c>
      <c r="G1538" s="8" t="inlineStr">
        <is>
          <t>unité</t>
        </is>
      </c>
      <c r="H1538" s="8" t="inlineStr">
        <is>
          <t>SMALL</t>
        </is>
      </c>
      <c r="I1538" s="8" t="n">
        <v>5</v>
      </c>
      <c r="J1538" s="8" t="inlineStr">
        <is>
          <t>B-03-04</t>
        </is>
      </c>
      <c r="K1538" s="8" t="inlineStr"/>
      <c r="L1538" s="10" t="n">
        <v>0</v>
      </c>
      <c r="M1538" s="10" t="n">
        <v>0</v>
      </c>
      <c r="N1538" s="10" t="n">
        <v>25</v>
      </c>
      <c r="O1538" s="8" t="inlineStr">
        <is>
          <t>YZK</t>
        </is>
      </c>
      <c r="P1538" s="8" t="inlineStr">
        <is>
          <t>IMPORTANT</t>
        </is>
      </c>
      <c r="Q1538" s="8" t="inlineStr">
        <is>
          <t>WHAP</t>
        </is>
      </c>
      <c r="R1538" s="8" t="inlineStr">
        <is>
          <t>OUI</t>
        </is>
      </c>
      <c r="S1538" s="8" t="inlineStr">
        <is>
          <t>31/08/2026 02:59</t>
        </is>
      </c>
    </row>
    <row r="1539">
      <c r="A1539" s="7" t="inlineStr">
        <is>
          <t>WHAP-1535</t>
        </is>
      </c>
      <c r="B1539" s="7" t="inlineStr">
        <is>
          <t>ELC-1535</t>
        </is>
      </c>
      <c r="C1539" s="7" t="inlineStr">
        <is>
          <t>capteur débit — habitacle</t>
        </is>
      </c>
      <c r="D1539" s="7" t="inlineStr">
        <is>
          <t>Électronique et capteurs</t>
        </is>
      </c>
      <c r="E1539" s="7" t="inlineStr">
        <is>
          <t>Électronique et capteurs</t>
        </is>
      </c>
      <c r="F1539" s="7" t="inlineStr">
        <is>
          <t>PIECE_VEHICULE</t>
        </is>
      </c>
      <c r="G1539" s="7" t="inlineStr">
        <is>
          <t>unité</t>
        </is>
      </c>
      <c r="H1539" s="7" t="inlineStr">
        <is>
          <t>SMALL</t>
        </is>
      </c>
      <c r="I1539" s="7" t="n">
        <v>5</v>
      </c>
      <c r="J1539" s="7" t="inlineStr">
        <is>
          <t>D-04-01</t>
        </is>
      </c>
      <c r="K1539" s="7" t="inlineStr"/>
      <c r="L1539" s="9" t="n">
        <v>0</v>
      </c>
      <c r="M1539" s="9" t="n">
        <v>0</v>
      </c>
      <c r="N1539" s="9" t="n">
        <v>26</v>
      </c>
      <c r="O1539" s="7" t="inlineStr">
        <is>
          <t>VAL</t>
        </is>
      </c>
      <c r="P1539" s="7" t="inlineStr">
        <is>
          <t>IMPORTANT</t>
        </is>
      </c>
      <c r="Q1539" s="7" t="inlineStr">
        <is>
          <t>WHAP</t>
        </is>
      </c>
      <c r="R1539" s="7" t="inlineStr">
        <is>
          <t>OUI</t>
        </is>
      </c>
      <c r="S1539" s="7" t="inlineStr">
        <is>
          <t>31/08/2026 02:59</t>
        </is>
      </c>
    </row>
    <row r="1540">
      <c r="A1540" s="8" t="inlineStr">
        <is>
          <t>WHAP-1536</t>
        </is>
      </c>
      <c r="B1540" s="8" t="inlineStr">
        <is>
          <t>ELC-1536</t>
        </is>
      </c>
      <c r="C1540" s="8" t="inlineStr">
        <is>
          <t>capteur accélération — habitacle</t>
        </is>
      </c>
      <c r="D1540" s="8" t="inlineStr">
        <is>
          <t>Électronique et capteurs</t>
        </is>
      </c>
      <c r="E1540" s="8" t="inlineStr">
        <is>
          <t>Électronique et capteurs</t>
        </is>
      </c>
      <c r="F1540" s="8" t="inlineStr">
        <is>
          <t>PIECE_VEHICULE</t>
        </is>
      </c>
      <c r="G1540" s="8" t="inlineStr">
        <is>
          <t>unité</t>
        </is>
      </c>
      <c r="H1540" s="8" t="inlineStr">
        <is>
          <t>SMALL</t>
        </is>
      </c>
      <c r="I1540" s="8" t="n">
        <v>5</v>
      </c>
      <c r="J1540" s="8" t="inlineStr">
        <is>
          <t>F-06-04</t>
        </is>
      </c>
      <c r="K1540" s="8" t="inlineStr"/>
      <c r="L1540" s="10" t="n">
        <v>0</v>
      </c>
      <c r="M1540" s="10" t="n">
        <v>0</v>
      </c>
      <c r="N1540" s="10" t="n">
        <v>31</v>
      </c>
      <c r="O1540" s="8" t="inlineStr">
        <is>
          <t>FAU</t>
        </is>
      </c>
      <c r="P1540" s="8" t="inlineStr">
        <is>
          <t>IMPORTANT</t>
        </is>
      </c>
      <c r="Q1540" s="8" t="inlineStr">
        <is>
          <t>WHAP</t>
        </is>
      </c>
      <c r="R1540" s="8" t="inlineStr">
        <is>
          <t>OUI</t>
        </is>
      </c>
      <c r="S1540" s="8" t="inlineStr">
        <is>
          <t>31/08/2026 02:59</t>
        </is>
      </c>
    </row>
    <row r="1541">
      <c r="A1541" s="7" t="inlineStr">
        <is>
          <t>WHAP-1537</t>
        </is>
      </c>
      <c r="B1541" s="7" t="inlineStr">
        <is>
          <t>ELC-1537</t>
        </is>
      </c>
      <c r="C1541" s="7" t="inlineStr">
        <is>
          <t>capteur inclinaison — habitacle</t>
        </is>
      </c>
      <c r="D1541" s="7" t="inlineStr">
        <is>
          <t>Électronique et capteurs</t>
        </is>
      </c>
      <c r="E1541" s="7" t="inlineStr">
        <is>
          <t>Électronique et capteurs</t>
        </is>
      </c>
      <c r="F1541" s="7" t="inlineStr">
        <is>
          <t>PIECE_VEHICULE</t>
        </is>
      </c>
      <c r="G1541" s="7" t="inlineStr">
        <is>
          <t>unité</t>
        </is>
      </c>
      <c r="H1541" s="7" t="inlineStr">
        <is>
          <t>SMALL</t>
        </is>
      </c>
      <c r="I1541" s="7" t="n">
        <v>5</v>
      </c>
      <c r="J1541" s="7" t="inlineStr">
        <is>
          <t>B-04-01</t>
        </is>
      </c>
      <c r="K1541" s="7" t="inlineStr"/>
      <c r="L1541" s="9" t="n">
        <v>0</v>
      </c>
      <c r="M1541" s="9" t="n">
        <v>0</v>
      </c>
      <c r="N1541" s="9" t="n">
        <v>24</v>
      </c>
      <c r="O1541" s="7" t="inlineStr">
        <is>
          <t>FAU</t>
        </is>
      </c>
      <c r="P1541" s="7" t="inlineStr">
        <is>
          <t>IMPORTANT</t>
        </is>
      </c>
      <c r="Q1541" s="7" t="inlineStr">
        <is>
          <t>WHAP</t>
        </is>
      </c>
      <c r="R1541" s="7" t="inlineStr">
        <is>
          <t>OUI</t>
        </is>
      </c>
      <c r="S1541" s="7" t="inlineStr">
        <is>
          <t>31/08/2026 02:59</t>
        </is>
      </c>
    </row>
    <row r="1542">
      <c r="A1542" s="8" t="inlineStr">
        <is>
          <t>WHAP-1538</t>
        </is>
      </c>
      <c r="B1542" s="8" t="inlineStr">
        <is>
          <t>ELC-1538</t>
        </is>
      </c>
      <c r="C1542" s="8" t="inlineStr">
        <is>
          <t>capteur ouverture porte — habitacle</t>
        </is>
      </c>
      <c r="D1542" s="8" t="inlineStr">
        <is>
          <t>Électronique et capteurs</t>
        </is>
      </c>
      <c r="E1542" s="8" t="inlineStr">
        <is>
          <t>Électronique et capteurs</t>
        </is>
      </c>
      <c r="F1542" s="8" t="inlineStr">
        <is>
          <t>PIECE_VEHICULE</t>
        </is>
      </c>
      <c r="G1542" s="8" t="inlineStr">
        <is>
          <t>unité</t>
        </is>
      </c>
      <c r="H1542" s="8" t="inlineStr">
        <is>
          <t>SMALL</t>
        </is>
      </c>
      <c r="I1542" s="8" t="n">
        <v>5</v>
      </c>
      <c r="J1542" s="8" t="inlineStr">
        <is>
          <t>C-03-01</t>
        </is>
      </c>
      <c r="K1542" s="8" t="inlineStr"/>
      <c r="L1542" s="10" t="n">
        <v>0</v>
      </c>
      <c r="M1542" s="10" t="n">
        <v>0</v>
      </c>
      <c r="N1542" s="10" t="n">
        <v>23</v>
      </c>
      <c r="O1542" s="8" t="inlineStr">
        <is>
          <t>HEL</t>
        </is>
      </c>
      <c r="P1542" s="8" t="inlineStr">
        <is>
          <t>IMPORTANT</t>
        </is>
      </c>
      <c r="Q1542" s="8" t="inlineStr">
        <is>
          <t>WHAP</t>
        </is>
      </c>
      <c r="R1542" s="8" t="inlineStr">
        <is>
          <t>OUI</t>
        </is>
      </c>
      <c r="S1542" s="8" t="inlineStr">
        <is>
          <t>31/08/2026 02:59</t>
        </is>
      </c>
    </row>
    <row r="1543">
      <c r="A1543" s="7" t="inlineStr">
        <is>
          <t>WHAP-1539</t>
        </is>
      </c>
      <c r="B1543" s="7" t="inlineStr">
        <is>
          <t>ELC-1539</t>
        </is>
      </c>
      <c r="C1543" s="7" t="inlineStr">
        <is>
          <t>capteur présence — habitacle</t>
        </is>
      </c>
      <c r="D1543" s="7" t="inlineStr">
        <is>
          <t>Électronique et capteurs</t>
        </is>
      </c>
      <c r="E1543" s="7" t="inlineStr">
        <is>
          <t>Électronique et capteurs</t>
        </is>
      </c>
      <c r="F1543" s="7" t="inlineStr">
        <is>
          <t>PIECE_VEHICULE</t>
        </is>
      </c>
      <c r="G1543" s="7" t="inlineStr">
        <is>
          <t>unité</t>
        </is>
      </c>
      <c r="H1543" s="7" t="inlineStr">
        <is>
          <t>SMALL</t>
        </is>
      </c>
      <c r="I1543" s="7" t="n">
        <v>5</v>
      </c>
      <c r="J1543" s="7" t="inlineStr">
        <is>
          <t>D-06-04</t>
        </is>
      </c>
      <c r="K1543" s="7" t="inlineStr"/>
      <c r="L1543" s="9" t="n">
        <v>0</v>
      </c>
      <c r="M1543" s="9" t="n">
        <v>0</v>
      </c>
      <c r="N1543" s="9" t="n">
        <v>29</v>
      </c>
      <c r="O1543" s="7" t="inlineStr">
        <is>
          <t>CTL</t>
        </is>
      </c>
      <c r="P1543" s="7" t="inlineStr">
        <is>
          <t>IMPORTANT</t>
        </is>
      </c>
      <c r="Q1543" s="7" t="inlineStr">
        <is>
          <t>WHAP</t>
        </is>
      </c>
      <c r="R1543" s="7" t="inlineStr">
        <is>
          <t>OUI</t>
        </is>
      </c>
      <c r="S1543" s="7" t="inlineStr">
        <is>
          <t>31/08/2026 02:59</t>
        </is>
      </c>
    </row>
    <row r="1544">
      <c r="A1544" s="8" t="inlineStr">
        <is>
          <t>WHAP-1540</t>
        </is>
      </c>
      <c r="B1544" s="8" t="inlineStr">
        <is>
          <t>ELC-1540</t>
        </is>
      </c>
      <c r="C1544" s="8" t="inlineStr">
        <is>
          <t>capteur fumée — habitacle</t>
        </is>
      </c>
      <c r="D1544" s="8" t="inlineStr">
        <is>
          <t>Électronique et capteurs</t>
        </is>
      </c>
      <c r="E1544" s="8" t="inlineStr">
        <is>
          <t>Électronique et capteurs</t>
        </is>
      </c>
      <c r="F1544" s="8" t="inlineStr">
        <is>
          <t>PIECE_VEHICULE</t>
        </is>
      </c>
      <c r="G1544" s="8" t="inlineStr">
        <is>
          <t>unité</t>
        </is>
      </c>
      <c r="H1544" s="8" t="inlineStr">
        <is>
          <t>SMALL</t>
        </is>
      </c>
      <c r="I1544" s="8" t="n">
        <v>5</v>
      </c>
      <c r="J1544" s="8" t="inlineStr">
        <is>
          <t>B-06-03</t>
        </is>
      </c>
      <c r="K1544" s="8" t="inlineStr"/>
      <c r="L1544" s="10" t="n">
        <v>0</v>
      </c>
      <c r="M1544" s="10" t="n">
        <v>0</v>
      </c>
      <c r="N1544" s="10" t="n">
        <v>30</v>
      </c>
      <c r="O1544" s="8" t="inlineStr">
        <is>
          <t>FAU</t>
        </is>
      </c>
      <c r="P1544" s="8" t="inlineStr">
        <is>
          <t>IMPORTANT</t>
        </is>
      </c>
      <c r="Q1544" s="8" t="inlineStr">
        <is>
          <t>WHAP</t>
        </is>
      </c>
      <c r="R1544" s="8" t="inlineStr">
        <is>
          <t>OUI</t>
        </is>
      </c>
      <c r="S1544" s="8" t="inlineStr">
        <is>
          <t>31/08/2026 02:59</t>
        </is>
      </c>
    </row>
    <row r="1545">
      <c r="A1545" s="7" t="inlineStr">
        <is>
          <t>WHAP-1541</t>
        </is>
      </c>
      <c r="B1545" s="7" t="inlineStr">
        <is>
          <t>ELC-1541</t>
        </is>
      </c>
      <c r="C1545" s="7" t="inlineStr">
        <is>
          <t>capteur flamme — habitacle</t>
        </is>
      </c>
      <c r="D1545" s="7" t="inlineStr">
        <is>
          <t>Électronique et capteurs</t>
        </is>
      </c>
      <c r="E1545" s="7" t="inlineStr">
        <is>
          <t>Électronique et capteurs</t>
        </is>
      </c>
      <c r="F1545" s="7" t="inlineStr">
        <is>
          <t>PIECE_VEHICULE</t>
        </is>
      </c>
      <c r="G1545" s="7" t="inlineStr">
        <is>
          <t>unité</t>
        </is>
      </c>
      <c r="H1545" s="7" t="inlineStr">
        <is>
          <t>SMALL</t>
        </is>
      </c>
      <c r="I1545" s="7" t="n">
        <v>5</v>
      </c>
      <c r="J1545" s="7" t="inlineStr">
        <is>
          <t>E-04-02</t>
        </is>
      </c>
      <c r="K1545" s="7" t="inlineStr"/>
      <c r="L1545" s="9" t="n">
        <v>0</v>
      </c>
      <c r="M1545" s="9" t="n">
        <v>0</v>
      </c>
      <c r="N1545" s="9" t="n">
        <v>31</v>
      </c>
      <c r="O1545" s="7" t="inlineStr">
        <is>
          <t>MAG</t>
        </is>
      </c>
      <c r="P1545" s="7" t="inlineStr">
        <is>
          <t>IMPORTANT</t>
        </is>
      </c>
      <c r="Q1545" s="7" t="inlineStr">
        <is>
          <t>WHAP</t>
        </is>
      </c>
      <c r="R1545" s="7" t="inlineStr">
        <is>
          <t>OUI</t>
        </is>
      </c>
      <c r="S1545" s="7" t="inlineStr">
        <is>
          <t>31/08/2026 02:59</t>
        </is>
      </c>
    </row>
    <row r="1546">
      <c r="A1546" s="8" t="inlineStr">
        <is>
          <t>WHAP-1542</t>
        </is>
      </c>
      <c r="B1546" s="8" t="inlineStr">
        <is>
          <t>ELC-1542</t>
        </is>
      </c>
      <c r="C1546" s="8" t="inlineStr">
        <is>
          <t>capteur CO2 — habitacle</t>
        </is>
      </c>
      <c r="D1546" s="8" t="inlineStr">
        <is>
          <t>Électronique et capteurs</t>
        </is>
      </c>
      <c r="E1546" s="8" t="inlineStr">
        <is>
          <t>Électronique et capteurs</t>
        </is>
      </c>
      <c r="F1546" s="8" t="inlineStr">
        <is>
          <t>PIECE_VEHICULE</t>
        </is>
      </c>
      <c r="G1546" s="8" t="inlineStr">
        <is>
          <t>unité</t>
        </is>
      </c>
      <c r="H1546" s="8" t="inlineStr">
        <is>
          <t>SMALL</t>
        </is>
      </c>
      <c r="I1546" s="8" t="n">
        <v>5</v>
      </c>
      <c r="J1546" s="8" t="inlineStr">
        <is>
          <t>B-06-01</t>
        </is>
      </c>
      <c r="K1546" s="8" t="inlineStr"/>
      <c r="L1546" s="10" t="n">
        <v>0</v>
      </c>
      <c r="M1546" s="10" t="n">
        <v>0</v>
      </c>
      <c r="N1546" s="10" t="n">
        <v>25</v>
      </c>
      <c r="O1546" s="8" t="inlineStr">
        <is>
          <t>FAU</t>
        </is>
      </c>
      <c r="P1546" s="8" t="inlineStr">
        <is>
          <t>IMPORTANT</t>
        </is>
      </c>
      <c r="Q1546" s="8" t="inlineStr">
        <is>
          <t>WHAP</t>
        </is>
      </c>
      <c r="R1546" s="8" t="inlineStr">
        <is>
          <t>OUI</t>
        </is>
      </c>
      <c r="S1546" s="8" t="inlineStr">
        <is>
          <t>31/08/2026 02:59</t>
        </is>
      </c>
    </row>
    <row r="1547">
      <c r="A1547" s="7" t="inlineStr">
        <is>
          <t>WHAP-1543</t>
        </is>
      </c>
      <c r="B1547" s="7" t="inlineStr">
        <is>
          <t>ELC-1543</t>
        </is>
      </c>
      <c r="C1547" s="7" t="inlineStr">
        <is>
          <t>capteur humidité — habitacle</t>
        </is>
      </c>
      <c r="D1547" s="7" t="inlineStr">
        <is>
          <t>Électronique et capteurs</t>
        </is>
      </c>
      <c r="E1547" s="7" t="inlineStr">
        <is>
          <t>Électronique et capteurs</t>
        </is>
      </c>
      <c r="F1547" s="7" t="inlineStr">
        <is>
          <t>PIECE_VEHICULE</t>
        </is>
      </c>
      <c r="G1547" s="7" t="inlineStr">
        <is>
          <t>unité</t>
        </is>
      </c>
      <c r="H1547" s="7" t="inlineStr">
        <is>
          <t>SMALL</t>
        </is>
      </c>
      <c r="I1547" s="7" t="n">
        <v>5</v>
      </c>
      <c r="J1547" s="7" t="inlineStr">
        <is>
          <t>F-02-02</t>
        </is>
      </c>
      <c r="K1547" s="7" t="inlineStr"/>
      <c r="L1547" s="9" t="n">
        <v>0</v>
      </c>
      <c r="M1547" s="9" t="n">
        <v>0</v>
      </c>
      <c r="N1547" s="9" t="n">
        <v>29</v>
      </c>
      <c r="O1547" s="7" t="inlineStr">
        <is>
          <t>VAL</t>
        </is>
      </c>
      <c r="P1547" s="7" t="inlineStr">
        <is>
          <t>IMPORTANT</t>
        </is>
      </c>
      <c r="Q1547" s="7" t="inlineStr">
        <is>
          <t>WHAP</t>
        </is>
      </c>
      <c r="R1547" s="7" t="inlineStr">
        <is>
          <t>OUI</t>
        </is>
      </c>
      <c r="S1547" s="7" t="inlineStr">
        <is>
          <t>31/08/2026 02:59</t>
        </is>
      </c>
    </row>
    <row r="1548">
      <c r="A1548" s="8" t="inlineStr">
        <is>
          <t>WHAP-1544</t>
        </is>
      </c>
      <c r="B1548" s="8" t="inlineStr">
        <is>
          <t>ELC-1544</t>
        </is>
      </c>
      <c r="C1548" s="8" t="inlineStr">
        <is>
          <t>capteur vibration — habitacle</t>
        </is>
      </c>
      <c r="D1548" s="8" t="inlineStr">
        <is>
          <t>Électronique et capteurs</t>
        </is>
      </c>
      <c r="E1548" s="8" t="inlineStr">
        <is>
          <t>Électronique et capteurs</t>
        </is>
      </c>
      <c r="F1548" s="8" t="inlineStr">
        <is>
          <t>PIECE_VEHICULE</t>
        </is>
      </c>
      <c r="G1548" s="8" t="inlineStr">
        <is>
          <t>unité</t>
        </is>
      </c>
      <c r="H1548" s="8" t="inlineStr">
        <is>
          <t>SMALL</t>
        </is>
      </c>
      <c r="I1548" s="8" t="n">
        <v>5</v>
      </c>
      <c r="J1548" s="8" t="inlineStr">
        <is>
          <t>F-02-03</t>
        </is>
      </c>
      <c r="K1548" s="8" t="inlineStr"/>
      <c r="L1548" s="10" t="n">
        <v>0</v>
      </c>
      <c r="M1548" s="10" t="n">
        <v>0</v>
      </c>
      <c r="N1548" s="10" t="n">
        <v>23</v>
      </c>
      <c r="O1548" s="8" t="inlineStr">
        <is>
          <t>FAU</t>
        </is>
      </c>
      <c r="P1548" s="8" t="inlineStr">
        <is>
          <t>IMPORTANT</t>
        </is>
      </c>
      <c r="Q1548" s="8" t="inlineStr">
        <is>
          <t>WHAP</t>
        </is>
      </c>
      <c r="R1548" s="8" t="inlineStr">
        <is>
          <t>OUI</t>
        </is>
      </c>
      <c r="S1548" s="8" t="inlineStr">
        <is>
          <t>31/08/2026 02:59</t>
        </is>
      </c>
    </row>
    <row r="1549">
      <c r="A1549" s="7" t="inlineStr">
        <is>
          <t>WHAP-1545</t>
        </is>
      </c>
      <c r="B1549" s="7" t="inlineStr">
        <is>
          <t>ELC-1545</t>
        </is>
      </c>
      <c r="C1549" s="7" t="inlineStr">
        <is>
          <t>antenne — habitacle</t>
        </is>
      </c>
      <c r="D1549" s="7" t="inlineStr">
        <is>
          <t>Électronique et capteurs</t>
        </is>
      </c>
      <c r="E1549" s="7" t="inlineStr">
        <is>
          <t>Électronique et capteurs</t>
        </is>
      </c>
      <c r="F1549" s="7" t="inlineStr">
        <is>
          <t>PIECE_VEHICULE</t>
        </is>
      </c>
      <c r="G1549" s="7" t="inlineStr">
        <is>
          <t>unité</t>
        </is>
      </c>
      <c r="H1549" s="7" t="inlineStr">
        <is>
          <t>SMALL</t>
        </is>
      </c>
      <c r="I1549" s="7" t="n">
        <v>5</v>
      </c>
      <c r="J1549" s="7" t="inlineStr">
        <is>
          <t>C-06-04</t>
        </is>
      </c>
      <c r="K1549" s="7" t="inlineStr"/>
      <c r="L1549" s="9" t="n">
        <v>0</v>
      </c>
      <c r="M1549" s="9" t="n">
        <v>0</v>
      </c>
      <c r="N1549" s="9" t="n">
        <v>23</v>
      </c>
      <c r="O1549" s="7" t="inlineStr">
        <is>
          <t>HEL</t>
        </is>
      </c>
      <c r="P1549" s="7" t="inlineStr">
        <is>
          <t>IMPORTANT</t>
        </is>
      </c>
      <c r="Q1549" s="7" t="inlineStr">
        <is>
          <t>WHAP</t>
        </is>
      </c>
      <c r="R1549" s="7" t="inlineStr">
        <is>
          <t>OUI</t>
        </is>
      </c>
      <c r="S1549" s="7" t="inlineStr">
        <is>
          <t>31/08/2026 02:59</t>
        </is>
      </c>
    </row>
    <row r="1550">
      <c r="A1550" s="8" t="inlineStr">
        <is>
          <t>WHAP-1546</t>
        </is>
      </c>
      <c r="B1550" s="8" t="inlineStr">
        <is>
          <t>ELC-1546</t>
        </is>
      </c>
      <c r="C1550" s="8" t="inlineStr">
        <is>
          <t>module GPS — habitacle</t>
        </is>
      </c>
      <c r="D1550" s="8" t="inlineStr">
        <is>
          <t>Électronique et capteurs</t>
        </is>
      </c>
      <c r="E1550" s="8" t="inlineStr">
        <is>
          <t>Électronique et capteurs</t>
        </is>
      </c>
      <c r="F1550" s="8" t="inlineStr">
        <is>
          <t>PIECE_VEHICULE</t>
        </is>
      </c>
      <c r="G1550" s="8" t="inlineStr">
        <is>
          <t>unité</t>
        </is>
      </c>
      <c r="H1550" s="8" t="inlineStr">
        <is>
          <t>SMALL</t>
        </is>
      </c>
      <c r="I1550" s="8" t="n">
        <v>5</v>
      </c>
      <c r="J1550" s="8" t="inlineStr">
        <is>
          <t>F-01-01</t>
        </is>
      </c>
      <c r="K1550" s="8" t="inlineStr"/>
      <c r="L1550" s="10" t="n">
        <v>0</v>
      </c>
      <c r="M1550" s="10" t="n">
        <v>0</v>
      </c>
      <c r="N1550" s="10" t="n">
        <v>31</v>
      </c>
      <c r="O1550" s="8" t="inlineStr">
        <is>
          <t>CTL</t>
        </is>
      </c>
      <c r="P1550" s="8" t="inlineStr">
        <is>
          <t>IMPORTANT</t>
        </is>
      </c>
      <c r="Q1550" s="8" t="inlineStr">
        <is>
          <t>WHAP</t>
        </is>
      </c>
      <c r="R1550" s="8" t="inlineStr">
        <is>
          <t>OUI</t>
        </is>
      </c>
      <c r="S1550" s="8" t="inlineStr">
        <is>
          <t>31/08/2026 02:59</t>
        </is>
      </c>
    </row>
    <row r="1551">
      <c r="A1551" s="7" t="inlineStr">
        <is>
          <t>WHAP-1547</t>
        </is>
      </c>
      <c r="B1551" s="7" t="inlineStr">
        <is>
          <t>ELC-1547</t>
        </is>
      </c>
      <c r="C1551" s="7" t="inlineStr">
        <is>
          <t>module communication — habitacle</t>
        </is>
      </c>
      <c r="D1551" s="7" t="inlineStr">
        <is>
          <t>Électronique et capteurs</t>
        </is>
      </c>
      <c r="E1551" s="7" t="inlineStr">
        <is>
          <t>Électronique et capteurs</t>
        </is>
      </c>
      <c r="F1551" s="7" t="inlineStr">
        <is>
          <t>PIECE_VEHICULE</t>
        </is>
      </c>
      <c r="G1551" s="7" t="inlineStr">
        <is>
          <t>unité</t>
        </is>
      </c>
      <c r="H1551" s="7" t="inlineStr">
        <is>
          <t>SMALL</t>
        </is>
      </c>
      <c r="I1551" s="7" t="n">
        <v>5</v>
      </c>
      <c r="J1551" s="7" t="inlineStr">
        <is>
          <t>B-06-04</t>
        </is>
      </c>
      <c r="K1551" s="7" t="inlineStr"/>
      <c r="L1551" s="9" t="n">
        <v>0</v>
      </c>
      <c r="M1551" s="9" t="n">
        <v>0</v>
      </c>
      <c r="N1551" s="9" t="n">
        <v>27</v>
      </c>
      <c r="O1551" s="7" t="inlineStr">
        <is>
          <t>SKF</t>
        </is>
      </c>
      <c r="P1551" s="7" t="inlineStr">
        <is>
          <t>IMPORTANT</t>
        </is>
      </c>
      <c r="Q1551" s="7" t="inlineStr">
        <is>
          <t>WHAP</t>
        </is>
      </c>
      <c r="R1551" s="7" t="inlineStr">
        <is>
          <t>OUI</t>
        </is>
      </c>
      <c r="S1551" s="7" t="inlineStr">
        <is>
          <t>31/08/2026 02:59</t>
        </is>
      </c>
    </row>
    <row r="1552">
      <c r="A1552" s="8" t="inlineStr">
        <is>
          <t>WHAP-1548</t>
        </is>
      </c>
      <c r="B1552" s="8" t="inlineStr">
        <is>
          <t>ELC-1548</t>
        </is>
      </c>
      <c r="C1552" s="8" t="inlineStr">
        <is>
          <t>écran multifonction — habitacle</t>
        </is>
      </c>
      <c r="D1552" s="8" t="inlineStr">
        <is>
          <t>Électronique et capteurs</t>
        </is>
      </c>
      <c r="E1552" s="8" t="inlineStr">
        <is>
          <t>Électronique et capteurs</t>
        </is>
      </c>
      <c r="F1552" s="8" t="inlineStr">
        <is>
          <t>PIECE_VEHICULE</t>
        </is>
      </c>
      <c r="G1552" s="8" t="inlineStr">
        <is>
          <t>unité</t>
        </is>
      </c>
      <c r="H1552" s="8" t="inlineStr">
        <is>
          <t>SMALL</t>
        </is>
      </c>
      <c r="I1552" s="8" t="n">
        <v>5</v>
      </c>
      <c r="J1552" s="8" t="inlineStr">
        <is>
          <t>E-05-03</t>
        </is>
      </c>
      <c r="K1552" s="8" t="inlineStr"/>
      <c r="L1552" s="10" t="n">
        <v>0</v>
      </c>
      <c r="M1552" s="10" t="n">
        <v>0</v>
      </c>
      <c r="N1552" s="10" t="n">
        <v>26</v>
      </c>
      <c r="O1552" s="8" t="inlineStr">
        <is>
          <t>DEL</t>
        </is>
      </c>
      <c r="P1552" s="8" t="inlineStr">
        <is>
          <t>IMPORTANT</t>
        </is>
      </c>
      <c r="Q1552" s="8" t="inlineStr">
        <is>
          <t>WHAP</t>
        </is>
      </c>
      <c r="R1552" s="8" t="inlineStr">
        <is>
          <t>OUI</t>
        </is>
      </c>
      <c r="S1552" s="8" t="inlineStr">
        <is>
          <t>31/08/2026 02:59</t>
        </is>
      </c>
    </row>
    <row r="1553">
      <c r="A1553" s="7" t="inlineStr">
        <is>
          <t>WHAP-1549</t>
        </is>
      </c>
      <c r="B1553" s="7" t="inlineStr">
        <is>
          <t>ELC-1549</t>
        </is>
      </c>
      <c r="C1553" s="7" t="inlineStr">
        <is>
          <t>unité de diagnostic — habitacle</t>
        </is>
      </c>
      <c r="D1553" s="7" t="inlineStr">
        <is>
          <t>Électronique et capteurs</t>
        </is>
      </c>
      <c r="E1553" s="7" t="inlineStr">
        <is>
          <t>Électronique et capteurs</t>
        </is>
      </c>
      <c r="F1553" s="7" t="inlineStr">
        <is>
          <t>PIECE_VEHICULE</t>
        </is>
      </c>
      <c r="G1553" s="7" t="inlineStr">
        <is>
          <t>unité</t>
        </is>
      </c>
      <c r="H1553" s="7" t="inlineStr">
        <is>
          <t>SMALL</t>
        </is>
      </c>
      <c r="I1553" s="7" t="n">
        <v>5</v>
      </c>
      <c r="J1553" s="7" t="inlineStr">
        <is>
          <t>A-03-03</t>
        </is>
      </c>
      <c r="K1553" s="7" t="inlineStr"/>
      <c r="L1553" s="9" t="n">
        <v>0</v>
      </c>
      <c r="M1553" s="9" t="n">
        <v>0</v>
      </c>
      <c r="N1553" s="9" t="n">
        <v>27</v>
      </c>
      <c r="O1553" s="7" t="inlineStr">
        <is>
          <t>SUM</t>
        </is>
      </c>
      <c r="P1553" s="7" t="inlineStr">
        <is>
          <t>IMPORTANT</t>
        </is>
      </c>
      <c r="Q1553" s="7" t="inlineStr">
        <is>
          <t>WHAP</t>
        </is>
      </c>
      <c r="R1553" s="7" t="inlineStr">
        <is>
          <t>OUI</t>
        </is>
      </c>
      <c r="S1553" s="7" t="inlineStr">
        <is>
          <t>31/08/2026 02:59</t>
        </is>
      </c>
    </row>
    <row r="1554">
      <c r="A1554" s="8" t="inlineStr">
        <is>
          <t>WHAP-1550</t>
        </is>
      </c>
      <c r="B1554" s="8" t="inlineStr">
        <is>
          <t>ELC-1550</t>
        </is>
      </c>
      <c r="C1554" s="8" t="inlineStr">
        <is>
          <t>connecteur CAN — habitacle</t>
        </is>
      </c>
      <c r="D1554" s="8" t="inlineStr">
        <is>
          <t>Électronique et capteurs</t>
        </is>
      </c>
      <c r="E1554" s="8" t="inlineStr">
        <is>
          <t>Électronique et capteurs</t>
        </is>
      </c>
      <c r="F1554" s="8" t="inlineStr">
        <is>
          <t>PIECE_VEHICULE</t>
        </is>
      </c>
      <c r="G1554" s="8" t="inlineStr">
        <is>
          <t>unité</t>
        </is>
      </c>
      <c r="H1554" s="8" t="inlineStr">
        <is>
          <t>SMALL</t>
        </is>
      </c>
      <c r="I1554" s="8" t="n">
        <v>5</v>
      </c>
      <c r="J1554" s="8" t="inlineStr">
        <is>
          <t>A-03-02</t>
        </is>
      </c>
      <c r="K1554" s="8" t="inlineStr"/>
      <c r="L1554" s="10" t="n">
        <v>0</v>
      </c>
      <c r="M1554" s="10" t="n">
        <v>0</v>
      </c>
      <c r="N1554" s="10" t="n">
        <v>23</v>
      </c>
      <c r="O1554" s="8" t="inlineStr">
        <is>
          <t>MAG</t>
        </is>
      </c>
      <c r="P1554" s="8" t="inlineStr">
        <is>
          <t>IMPORTANT</t>
        </is>
      </c>
      <c r="Q1554" s="8" t="inlineStr">
        <is>
          <t>WHAP</t>
        </is>
      </c>
      <c r="R1554" s="8" t="inlineStr">
        <is>
          <t>OUI</t>
        </is>
      </c>
      <c r="S1554" s="8" t="inlineStr">
        <is>
          <t>31/08/2026 02:59</t>
        </is>
      </c>
    </row>
    <row r="1555">
      <c r="A1555" s="7" t="inlineStr">
        <is>
          <t>WHAP-1551</t>
        </is>
      </c>
      <c r="B1555" s="7" t="inlineStr">
        <is>
          <t>ELC-1551</t>
        </is>
      </c>
      <c r="C1555" s="7" t="inlineStr">
        <is>
          <t>terminaison CAN — habitacle</t>
        </is>
      </c>
      <c r="D1555" s="7" t="inlineStr">
        <is>
          <t>Électronique et capteurs</t>
        </is>
      </c>
      <c r="E1555" s="7" t="inlineStr">
        <is>
          <t>Électronique et capteurs</t>
        </is>
      </c>
      <c r="F1555" s="7" t="inlineStr">
        <is>
          <t>PIECE_VEHICULE</t>
        </is>
      </c>
      <c r="G1555" s="7" t="inlineStr">
        <is>
          <t>unité</t>
        </is>
      </c>
      <c r="H1555" s="7" t="inlineStr">
        <is>
          <t>SMALL</t>
        </is>
      </c>
      <c r="I1555" s="7" t="n">
        <v>5</v>
      </c>
      <c r="J1555" s="7" t="inlineStr">
        <is>
          <t>B-04-03</t>
        </is>
      </c>
      <c r="K1555" s="7" t="inlineStr"/>
      <c r="L1555" s="9" t="n">
        <v>0</v>
      </c>
      <c r="M1555" s="9" t="n">
        <v>0</v>
      </c>
      <c r="N1555" s="9" t="n">
        <v>31</v>
      </c>
      <c r="O1555" s="7" t="inlineStr">
        <is>
          <t>CTL</t>
        </is>
      </c>
      <c r="P1555" s="7" t="inlineStr">
        <is>
          <t>IMPORTANT</t>
        </is>
      </c>
      <c r="Q1555" s="7" t="inlineStr">
        <is>
          <t>WHAP</t>
        </is>
      </c>
      <c r="R1555" s="7" t="inlineStr">
        <is>
          <t>OUI</t>
        </is>
      </c>
      <c r="S1555" s="7" t="inlineStr">
        <is>
          <t>31/08/2026 02:59</t>
        </is>
      </c>
    </row>
    <row r="1556">
      <c r="A1556" s="8" t="inlineStr">
        <is>
          <t>WHAP-1552</t>
        </is>
      </c>
      <c r="B1556" s="8" t="inlineStr">
        <is>
          <t>ELC-1552</t>
        </is>
      </c>
      <c r="C1556" s="8" t="inlineStr">
        <is>
          <t>câble CAN — habitacle</t>
        </is>
      </c>
      <c r="D1556" s="8" t="inlineStr">
        <is>
          <t>Électronique et capteurs</t>
        </is>
      </c>
      <c r="E1556" s="8" t="inlineStr">
        <is>
          <t>Électronique et capteurs</t>
        </is>
      </c>
      <c r="F1556" s="8" t="inlineStr">
        <is>
          <t>PIECE_VEHICULE</t>
        </is>
      </c>
      <c r="G1556" s="8" t="inlineStr">
        <is>
          <t>unité</t>
        </is>
      </c>
      <c r="H1556" s="8" t="inlineStr">
        <is>
          <t>SMALL</t>
        </is>
      </c>
      <c r="I1556" s="8" t="n">
        <v>5</v>
      </c>
      <c r="J1556" s="8" t="inlineStr">
        <is>
          <t>A-04-02</t>
        </is>
      </c>
      <c r="K1556" s="8" t="inlineStr"/>
      <c r="L1556" s="10" t="n">
        <v>0</v>
      </c>
      <c r="M1556" s="10" t="n">
        <v>0</v>
      </c>
      <c r="N1556" s="10" t="n">
        <v>31</v>
      </c>
      <c r="O1556" s="8" t="inlineStr">
        <is>
          <t>SUM</t>
        </is>
      </c>
      <c r="P1556" s="8" t="inlineStr">
        <is>
          <t>IMPORTANT</t>
        </is>
      </c>
      <c r="Q1556" s="8" t="inlineStr">
        <is>
          <t>WHAP</t>
        </is>
      </c>
      <c r="R1556" s="8" t="inlineStr">
        <is>
          <t>OUI</t>
        </is>
      </c>
      <c r="S1556" s="8" t="inlineStr">
        <is>
          <t>31/08/2026 02:59</t>
        </is>
      </c>
    </row>
    <row r="1557">
      <c r="A1557" s="7" t="inlineStr">
        <is>
          <t>WHAP-1553</t>
        </is>
      </c>
      <c r="B1557" s="7" t="inlineStr">
        <is>
          <t>ELC-1553</t>
        </is>
      </c>
      <c r="C1557" s="7" t="inlineStr">
        <is>
          <t>boîtier électronique — habitacle</t>
        </is>
      </c>
      <c r="D1557" s="7" t="inlineStr">
        <is>
          <t>Électronique et capteurs</t>
        </is>
      </c>
      <c r="E1557" s="7" t="inlineStr">
        <is>
          <t>Électronique et capteurs</t>
        </is>
      </c>
      <c r="F1557" s="7" t="inlineStr">
        <is>
          <t>PIECE_VEHICULE</t>
        </is>
      </c>
      <c r="G1557" s="7" t="inlineStr">
        <is>
          <t>unité</t>
        </is>
      </c>
      <c r="H1557" s="7" t="inlineStr">
        <is>
          <t>SMALL</t>
        </is>
      </c>
      <c r="I1557" s="7" t="n">
        <v>5</v>
      </c>
      <c r="J1557" s="7" t="inlineStr">
        <is>
          <t>B-02-01</t>
        </is>
      </c>
      <c r="K1557" s="7" t="inlineStr"/>
      <c r="L1557" s="9" t="n">
        <v>0</v>
      </c>
      <c r="M1557" s="9" t="n">
        <v>0</v>
      </c>
      <c r="N1557" s="9" t="n">
        <v>23</v>
      </c>
      <c r="O1557" s="7" t="inlineStr">
        <is>
          <t>FAU</t>
        </is>
      </c>
      <c r="P1557" s="7" t="inlineStr">
        <is>
          <t>IMPORTANT</t>
        </is>
      </c>
      <c r="Q1557" s="7" t="inlineStr">
        <is>
          <t>WHAP</t>
        </is>
      </c>
      <c r="R1557" s="7" t="inlineStr">
        <is>
          <t>OUI</t>
        </is>
      </c>
      <c r="S1557" s="7" t="inlineStr">
        <is>
          <t>31/08/2026 02:59</t>
        </is>
      </c>
    </row>
    <row r="1558">
      <c r="A1558" s="8" t="inlineStr">
        <is>
          <t>WHAP-1554</t>
        </is>
      </c>
      <c r="B1558" s="8" t="inlineStr">
        <is>
          <t>MOT-1554</t>
        </is>
      </c>
      <c r="C1558" s="8" t="inlineStr">
        <is>
          <t>ensemble de bloc moteur</t>
        </is>
      </c>
      <c r="D1558" s="8" t="inlineStr">
        <is>
          <t>Moteur</t>
        </is>
      </c>
      <c r="E1558" s="8" t="inlineStr">
        <is>
          <t>Moteur</t>
        </is>
      </c>
      <c r="F1558" s="8" t="inlineStr">
        <is>
          <t>PIECE_VEHICULE</t>
        </is>
      </c>
      <c r="G1558" s="8" t="inlineStr">
        <is>
          <t>unité</t>
        </is>
      </c>
      <c r="H1558" s="8" t="inlineStr">
        <is>
          <t>LARGE</t>
        </is>
      </c>
      <c r="I1558" s="8" t="n">
        <v>0</v>
      </c>
      <c r="J1558" s="8" t="inlineStr">
        <is>
          <t>D-01-02</t>
        </is>
      </c>
      <c r="K1558" s="8" t="inlineStr"/>
      <c r="L1558" s="10" t="n">
        <v>0</v>
      </c>
      <c r="M1558" s="10" t="n">
        <v>0</v>
      </c>
      <c r="N1558" s="10" t="n">
        <v>11</v>
      </c>
      <c r="O1558" s="8" t="inlineStr">
        <is>
          <t>SKF</t>
        </is>
      </c>
      <c r="P1558" s="8" t="inlineStr">
        <is>
          <t>CRITIQUE</t>
        </is>
      </c>
      <c r="Q1558" s="8" t="inlineStr">
        <is>
          <t>WHAP</t>
        </is>
      </c>
      <c r="R1558" s="8" t="inlineStr">
        <is>
          <t>OUI</t>
        </is>
      </c>
      <c r="S1558" s="8" t="inlineStr">
        <is>
          <t>31/08/2026 02:59</t>
        </is>
      </c>
    </row>
    <row r="1559">
      <c r="A1559" s="7" t="inlineStr">
        <is>
          <t>WHAP-1555</t>
        </is>
      </c>
      <c r="B1559" s="7" t="inlineStr">
        <is>
          <t>MOT-1555</t>
        </is>
      </c>
      <c r="C1559" s="7" t="inlineStr">
        <is>
          <t>kit de bloc moteur</t>
        </is>
      </c>
      <c r="D1559" s="7" t="inlineStr">
        <is>
          <t>Moteur</t>
        </is>
      </c>
      <c r="E1559" s="7" t="inlineStr">
        <is>
          <t>Moteur</t>
        </is>
      </c>
      <c r="F1559" s="7" t="inlineStr">
        <is>
          <t>PIECE_VEHICULE</t>
        </is>
      </c>
      <c r="G1559" s="7" t="inlineStr">
        <is>
          <t>unité</t>
        </is>
      </c>
      <c r="H1559" s="7" t="inlineStr">
        <is>
          <t>LARGE</t>
        </is>
      </c>
      <c r="I1559" s="7" t="n">
        <v>0</v>
      </c>
      <c r="J1559" s="7" t="inlineStr">
        <is>
          <t>A-02-03</t>
        </is>
      </c>
      <c r="K1559" s="7" t="inlineStr"/>
      <c r="L1559" s="9" t="n">
        <v>0</v>
      </c>
      <c r="M1559" s="9" t="n">
        <v>0</v>
      </c>
      <c r="N1559" s="9" t="n">
        <v>15</v>
      </c>
      <c r="O1559" s="7" t="inlineStr">
        <is>
          <t>SUM</t>
        </is>
      </c>
      <c r="P1559" s="7" t="inlineStr">
        <is>
          <t>CRITIQUE</t>
        </is>
      </c>
      <c r="Q1559" s="7" t="inlineStr">
        <is>
          <t>WHAP</t>
        </is>
      </c>
      <c r="R1559" s="7" t="inlineStr">
        <is>
          <t>OUI</t>
        </is>
      </c>
      <c r="S1559" s="7" t="inlineStr">
        <is>
          <t>31/08/2026 02:59</t>
        </is>
      </c>
    </row>
    <row r="1560">
      <c r="A1560" s="8" t="inlineStr">
        <is>
          <t>WHAP-1556</t>
        </is>
      </c>
      <c r="B1560" s="8" t="inlineStr">
        <is>
          <t>MOT-1556</t>
        </is>
      </c>
      <c r="C1560" s="8" t="inlineStr">
        <is>
          <t>support de bloc moteur</t>
        </is>
      </c>
      <c r="D1560" s="8" t="inlineStr">
        <is>
          <t>Moteur</t>
        </is>
      </c>
      <c r="E1560" s="8" t="inlineStr">
        <is>
          <t>Moteur</t>
        </is>
      </c>
      <c r="F1560" s="8" t="inlineStr">
        <is>
          <t>PIECE_VEHICULE</t>
        </is>
      </c>
      <c r="G1560" s="8" t="inlineStr">
        <is>
          <t>unité</t>
        </is>
      </c>
      <c r="H1560" s="8" t="inlineStr">
        <is>
          <t>LARGE</t>
        </is>
      </c>
      <c r="I1560" s="8" t="n">
        <v>0</v>
      </c>
      <c r="J1560" s="8" t="inlineStr">
        <is>
          <t>A-04-04</t>
        </is>
      </c>
      <c r="K1560" s="8" t="inlineStr"/>
      <c r="L1560" s="10" t="n">
        <v>0</v>
      </c>
      <c r="M1560" s="10" t="n">
        <v>0</v>
      </c>
      <c r="N1560" s="10" t="n">
        <v>11</v>
      </c>
      <c r="O1560" s="8" t="inlineStr">
        <is>
          <t>SUM</t>
        </is>
      </c>
      <c r="P1560" s="8" t="inlineStr">
        <is>
          <t>CRITIQUE</t>
        </is>
      </c>
      <c r="Q1560" s="8" t="inlineStr">
        <is>
          <t>WHAP</t>
        </is>
      </c>
      <c r="R1560" s="8" t="inlineStr">
        <is>
          <t>OUI</t>
        </is>
      </c>
      <c r="S1560" s="8" t="inlineStr">
        <is>
          <t>31/08/2026 02:59</t>
        </is>
      </c>
    </row>
    <row r="1561">
      <c r="A1561" s="7" t="inlineStr">
        <is>
          <t>WHAP-1557</t>
        </is>
      </c>
      <c r="B1561" s="7" t="inlineStr">
        <is>
          <t>MOT-1557</t>
        </is>
      </c>
      <c r="C1561" s="7" t="inlineStr">
        <is>
          <t>boîtier de bloc moteur</t>
        </is>
      </c>
      <c r="D1561" s="7" t="inlineStr">
        <is>
          <t>Moteur</t>
        </is>
      </c>
      <c r="E1561" s="7" t="inlineStr">
        <is>
          <t>Moteur</t>
        </is>
      </c>
      <c r="F1561" s="7" t="inlineStr">
        <is>
          <t>PIECE_VEHICULE</t>
        </is>
      </c>
      <c r="G1561" s="7" t="inlineStr">
        <is>
          <t>unité</t>
        </is>
      </c>
      <c r="H1561" s="7" t="inlineStr">
        <is>
          <t>LARGE</t>
        </is>
      </c>
      <c r="I1561" s="7" t="n">
        <v>0</v>
      </c>
      <c r="J1561" s="7" t="inlineStr">
        <is>
          <t>A-02-01</t>
        </is>
      </c>
      <c r="K1561" s="7" t="inlineStr"/>
      <c r="L1561" s="9" t="n">
        <v>0</v>
      </c>
      <c r="M1561" s="9" t="n">
        <v>0</v>
      </c>
      <c r="N1561" s="9" t="n">
        <v>19</v>
      </c>
      <c r="O1561" s="7" t="inlineStr">
        <is>
          <t>SUM</t>
        </is>
      </c>
      <c r="P1561" s="7" t="inlineStr">
        <is>
          <t>CRITIQUE</t>
        </is>
      </c>
      <c r="Q1561" s="7" t="inlineStr">
        <is>
          <t>WHAP</t>
        </is>
      </c>
      <c r="R1561" s="7" t="inlineStr">
        <is>
          <t>OUI</t>
        </is>
      </c>
      <c r="S1561" s="7" t="inlineStr">
        <is>
          <t>31/08/2026 02:59</t>
        </is>
      </c>
    </row>
    <row r="1562">
      <c r="A1562" s="8" t="inlineStr">
        <is>
          <t>WHAP-1558</t>
        </is>
      </c>
      <c r="B1562" s="8" t="inlineStr">
        <is>
          <t>MOT-1558</t>
        </is>
      </c>
      <c r="C1562" s="8" t="inlineStr">
        <is>
          <t>module de bloc moteur</t>
        </is>
      </c>
      <c r="D1562" s="8" t="inlineStr">
        <is>
          <t>Moteur</t>
        </is>
      </c>
      <c r="E1562" s="8" t="inlineStr">
        <is>
          <t>Moteur</t>
        </is>
      </c>
      <c r="F1562" s="8" t="inlineStr">
        <is>
          <t>PIECE_VEHICULE</t>
        </is>
      </c>
      <c r="G1562" s="8" t="inlineStr">
        <is>
          <t>unité</t>
        </is>
      </c>
      <c r="H1562" s="8" t="inlineStr">
        <is>
          <t>LARGE</t>
        </is>
      </c>
      <c r="I1562" s="8" t="n">
        <v>0</v>
      </c>
      <c r="J1562" s="8" t="inlineStr">
        <is>
          <t>C-03-01</t>
        </is>
      </c>
      <c r="K1562" s="8" t="inlineStr"/>
      <c r="L1562" s="10" t="n">
        <v>0</v>
      </c>
      <c r="M1562" s="10" t="n">
        <v>0</v>
      </c>
      <c r="N1562" s="10" t="n">
        <v>16</v>
      </c>
      <c r="O1562" s="8" t="inlineStr">
        <is>
          <t>MAG</t>
        </is>
      </c>
      <c r="P1562" s="8" t="inlineStr">
        <is>
          <t>CRITIQUE</t>
        </is>
      </c>
      <c r="Q1562" s="8" t="inlineStr">
        <is>
          <t>WHAP</t>
        </is>
      </c>
      <c r="R1562" s="8" t="inlineStr">
        <is>
          <t>OUI</t>
        </is>
      </c>
      <c r="S1562" s="8" t="inlineStr">
        <is>
          <t>31/08/2026 02:59</t>
        </is>
      </c>
    </row>
    <row r="1563">
      <c r="A1563" s="7" t="inlineStr">
        <is>
          <t>WHAP-1559</t>
        </is>
      </c>
      <c r="B1563" s="7" t="inlineStr">
        <is>
          <t>MOT-1559</t>
        </is>
      </c>
      <c r="C1563" s="7" t="inlineStr">
        <is>
          <t>câblage de bloc moteur</t>
        </is>
      </c>
      <c r="D1563" s="7" t="inlineStr">
        <is>
          <t>Moteur</t>
        </is>
      </c>
      <c r="E1563" s="7" t="inlineStr">
        <is>
          <t>Moteur</t>
        </is>
      </c>
      <c r="F1563" s="7" t="inlineStr">
        <is>
          <t>PIECE_VEHICULE</t>
        </is>
      </c>
      <c r="G1563" s="7" t="inlineStr">
        <is>
          <t>unité</t>
        </is>
      </c>
      <c r="H1563" s="7" t="inlineStr">
        <is>
          <t>LARGE</t>
        </is>
      </c>
      <c r="I1563" s="7" t="n">
        <v>0</v>
      </c>
      <c r="J1563" s="7" t="inlineStr">
        <is>
          <t>A-03-03</t>
        </is>
      </c>
      <c r="K1563" s="7" t="inlineStr"/>
      <c r="L1563" s="9" t="n">
        <v>0</v>
      </c>
      <c r="M1563" s="9" t="n">
        <v>0</v>
      </c>
      <c r="N1563" s="9" t="n">
        <v>16</v>
      </c>
      <c r="O1563" s="7" t="inlineStr">
        <is>
          <t>SUM</t>
        </is>
      </c>
      <c r="P1563" s="7" t="inlineStr">
        <is>
          <t>CRITIQUE</t>
        </is>
      </c>
      <c r="Q1563" s="7" t="inlineStr">
        <is>
          <t>WHAP</t>
        </is>
      </c>
      <c r="R1563" s="7" t="inlineStr">
        <is>
          <t>OUI</t>
        </is>
      </c>
      <c r="S1563" s="7" t="inlineStr">
        <is>
          <t>31/08/2026 02:59</t>
        </is>
      </c>
    </row>
    <row r="1564">
      <c r="A1564" s="8" t="inlineStr">
        <is>
          <t>WHAP-1560</t>
        </is>
      </c>
      <c r="B1564" s="8" t="inlineStr">
        <is>
          <t>MOT-1560</t>
        </is>
      </c>
      <c r="C1564" s="8" t="inlineStr">
        <is>
          <t>connecteur de bloc moteur</t>
        </is>
      </c>
      <c r="D1564" s="8" t="inlineStr">
        <is>
          <t>Moteur</t>
        </is>
      </c>
      <c r="E1564" s="8" t="inlineStr">
        <is>
          <t>Moteur</t>
        </is>
      </c>
      <c r="F1564" s="8" t="inlineStr">
        <is>
          <t>PIECE_VEHICULE</t>
        </is>
      </c>
      <c r="G1564" s="8" t="inlineStr">
        <is>
          <t>unité</t>
        </is>
      </c>
      <c r="H1564" s="8" t="inlineStr">
        <is>
          <t>LARGE</t>
        </is>
      </c>
      <c r="I1564" s="8" t="n">
        <v>0</v>
      </c>
      <c r="J1564" s="8" t="inlineStr">
        <is>
          <t>C-03-04</t>
        </is>
      </c>
      <c r="K1564" s="8" t="inlineStr"/>
      <c r="L1564" s="10" t="n">
        <v>0</v>
      </c>
      <c r="M1564" s="10" t="n">
        <v>0</v>
      </c>
      <c r="N1564" s="10" t="n">
        <v>20</v>
      </c>
      <c r="O1564" s="8" t="inlineStr">
        <is>
          <t>BOS</t>
        </is>
      </c>
      <c r="P1564" s="8" t="inlineStr">
        <is>
          <t>CRITIQUE</t>
        </is>
      </c>
      <c r="Q1564" s="8" t="inlineStr">
        <is>
          <t>WHAP</t>
        </is>
      </c>
      <c r="R1564" s="8" t="inlineStr">
        <is>
          <t>OUI</t>
        </is>
      </c>
      <c r="S1564" s="8" t="inlineStr">
        <is>
          <t>31/08/2026 02:59</t>
        </is>
      </c>
    </row>
    <row r="1565">
      <c r="A1565" s="7" t="inlineStr">
        <is>
          <t>WHAP-1561</t>
        </is>
      </c>
      <c r="B1565" s="7" t="inlineStr">
        <is>
          <t>MOT-1561</t>
        </is>
      </c>
      <c r="C1565" s="7" t="inlineStr">
        <is>
          <t>joint de bloc moteur</t>
        </is>
      </c>
      <c r="D1565" s="7" t="inlineStr">
        <is>
          <t>Moteur</t>
        </is>
      </c>
      <c r="E1565" s="7" t="inlineStr">
        <is>
          <t>Moteur</t>
        </is>
      </c>
      <c r="F1565" s="7" t="inlineStr">
        <is>
          <t>PIECE_VEHICULE</t>
        </is>
      </c>
      <c r="G1565" s="7" t="inlineStr">
        <is>
          <t>unité</t>
        </is>
      </c>
      <c r="H1565" s="7" t="inlineStr">
        <is>
          <t>LARGE</t>
        </is>
      </c>
      <c r="I1565" s="7" t="n">
        <v>0</v>
      </c>
      <c r="J1565" s="7" t="inlineStr">
        <is>
          <t>C-01-03</t>
        </is>
      </c>
      <c r="K1565" s="7" t="inlineStr"/>
      <c r="L1565" s="9" t="n">
        <v>0</v>
      </c>
      <c r="M1565" s="9" t="n">
        <v>0</v>
      </c>
      <c r="N1565" s="9" t="n">
        <v>20</v>
      </c>
      <c r="O1565" s="7" t="inlineStr">
        <is>
          <t>MAG</t>
        </is>
      </c>
      <c r="P1565" s="7" t="inlineStr">
        <is>
          <t>CRITIQUE</t>
        </is>
      </c>
      <c r="Q1565" s="7" t="inlineStr">
        <is>
          <t>WHAP</t>
        </is>
      </c>
      <c r="R1565" s="7" t="inlineStr">
        <is>
          <t>OUI</t>
        </is>
      </c>
      <c r="S1565" s="7" t="inlineStr">
        <is>
          <t>31/08/2026 02:59</t>
        </is>
      </c>
    </row>
    <row r="1566">
      <c r="A1566" s="8" t="inlineStr">
        <is>
          <t>WHAP-1562</t>
        </is>
      </c>
      <c r="B1566" s="8" t="inlineStr">
        <is>
          <t>MOT-1562</t>
        </is>
      </c>
      <c r="C1566" s="8" t="inlineStr">
        <is>
          <t>fixation de bloc moteur</t>
        </is>
      </c>
      <c r="D1566" s="8" t="inlineStr">
        <is>
          <t>Moteur</t>
        </is>
      </c>
      <c r="E1566" s="8" t="inlineStr">
        <is>
          <t>Moteur</t>
        </is>
      </c>
      <c r="F1566" s="8" t="inlineStr">
        <is>
          <t>PIECE_VEHICULE</t>
        </is>
      </c>
      <c r="G1566" s="8" t="inlineStr">
        <is>
          <t>unité</t>
        </is>
      </c>
      <c r="H1566" s="8" t="inlineStr">
        <is>
          <t>LARGE</t>
        </is>
      </c>
      <c r="I1566" s="8" t="n">
        <v>0</v>
      </c>
      <c r="J1566" s="8" t="inlineStr">
        <is>
          <t>F-05-01</t>
        </is>
      </c>
      <c r="K1566" s="8" t="inlineStr"/>
      <c r="L1566" s="10" t="n">
        <v>0</v>
      </c>
      <c r="M1566" s="10" t="n">
        <v>0</v>
      </c>
      <c r="N1566" s="10" t="n">
        <v>17</v>
      </c>
      <c r="O1566" s="8" t="inlineStr">
        <is>
          <t>CTL</t>
        </is>
      </c>
      <c r="P1566" s="8" t="inlineStr">
        <is>
          <t>CRITIQUE</t>
        </is>
      </c>
      <c r="Q1566" s="8" t="inlineStr">
        <is>
          <t>WHAP</t>
        </is>
      </c>
      <c r="R1566" s="8" t="inlineStr">
        <is>
          <t>OUI</t>
        </is>
      </c>
      <c r="S1566" s="8" t="inlineStr">
        <is>
          <t>31/08/2026 02:59</t>
        </is>
      </c>
    </row>
    <row r="1567">
      <c r="A1567" s="7" t="inlineStr">
        <is>
          <t>WHAP-1563</t>
        </is>
      </c>
      <c r="B1567" s="7" t="inlineStr">
        <is>
          <t>MOT-1563</t>
        </is>
      </c>
      <c r="C1567" s="7" t="inlineStr">
        <is>
          <t>protection de bloc moteur</t>
        </is>
      </c>
      <c r="D1567" s="7" t="inlineStr">
        <is>
          <t>Moteur</t>
        </is>
      </c>
      <c r="E1567" s="7" t="inlineStr">
        <is>
          <t>Moteur</t>
        </is>
      </c>
      <c r="F1567" s="7" t="inlineStr">
        <is>
          <t>PIECE_VEHICULE</t>
        </is>
      </c>
      <c r="G1567" s="7" t="inlineStr">
        <is>
          <t>unité</t>
        </is>
      </c>
      <c r="H1567" s="7" t="inlineStr">
        <is>
          <t>LARGE</t>
        </is>
      </c>
      <c r="I1567" s="7" t="n">
        <v>0</v>
      </c>
      <c r="J1567" s="7" t="inlineStr">
        <is>
          <t>A-06-03</t>
        </is>
      </c>
      <c r="K1567" s="7" t="inlineStr"/>
      <c r="L1567" s="9" t="n">
        <v>0</v>
      </c>
      <c r="M1567" s="9" t="n">
        <v>0</v>
      </c>
      <c r="N1567" s="9" t="n">
        <v>20</v>
      </c>
      <c r="O1567" s="7" t="inlineStr">
        <is>
          <t>HEL</t>
        </is>
      </c>
      <c r="P1567" s="7" t="inlineStr">
        <is>
          <t>CRITIQUE</t>
        </is>
      </c>
      <c r="Q1567" s="7" t="inlineStr">
        <is>
          <t>WHAP</t>
        </is>
      </c>
      <c r="R1567" s="7" t="inlineStr">
        <is>
          <t>OUI</t>
        </is>
      </c>
      <c r="S1567" s="7" t="inlineStr">
        <is>
          <t>31/08/2026 02:59</t>
        </is>
      </c>
    </row>
    <row r="1568">
      <c r="A1568" s="8" t="inlineStr">
        <is>
          <t>WHAP-1564</t>
        </is>
      </c>
      <c r="B1568" s="8" t="inlineStr">
        <is>
          <t>MOT-1564</t>
        </is>
      </c>
      <c r="C1568" s="8" t="inlineStr">
        <is>
          <t>capteur de bloc moteur</t>
        </is>
      </c>
      <c r="D1568" s="8" t="inlineStr">
        <is>
          <t>Moteur</t>
        </is>
      </c>
      <c r="E1568" s="8" t="inlineStr">
        <is>
          <t>Moteur</t>
        </is>
      </c>
      <c r="F1568" s="8" t="inlineStr">
        <is>
          <t>PIECE_VEHICULE</t>
        </is>
      </c>
      <c r="G1568" s="8" t="inlineStr">
        <is>
          <t>unité</t>
        </is>
      </c>
      <c r="H1568" s="8" t="inlineStr">
        <is>
          <t>LARGE</t>
        </is>
      </c>
      <c r="I1568" s="8" t="n">
        <v>0</v>
      </c>
      <c r="J1568" s="8" t="inlineStr">
        <is>
          <t>A-05-01</t>
        </is>
      </c>
      <c r="K1568" s="8" t="inlineStr"/>
      <c r="L1568" s="10" t="n">
        <v>0</v>
      </c>
      <c r="M1568" s="10" t="n">
        <v>0</v>
      </c>
      <c r="N1568" s="10" t="n">
        <v>10</v>
      </c>
      <c r="O1568" s="8" t="inlineStr">
        <is>
          <t>DEL</t>
        </is>
      </c>
      <c r="P1568" s="8" t="inlineStr">
        <is>
          <t>CRITIQUE</t>
        </is>
      </c>
      <c r="Q1568" s="8" t="inlineStr">
        <is>
          <t>WHAP</t>
        </is>
      </c>
      <c r="R1568" s="8" t="inlineStr">
        <is>
          <t>OUI</t>
        </is>
      </c>
      <c r="S1568" s="8" t="inlineStr">
        <is>
          <t>31/08/2026 02:59</t>
        </is>
      </c>
    </row>
    <row r="1569">
      <c r="A1569" s="7" t="inlineStr">
        <is>
          <t>WHAP-1565</t>
        </is>
      </c>
      <c r="B1569" s="7" t="inlineStr">
        <is>
          <t>MOT-1565</t>
        </is>
      </c>
      <c r="C1569" s="7" t="inlineStr">
        <is>
          <t>actionneur de bloc moteur</t>
        </is>
      </c>
      <c r="D1569" s="7" t="inlineStr">
        <is>
          <t>Moteur</t>
        </is>
      </c>
      <c r="E1569" s="7" t="inlineStr">
        <is>
          <t>Moteur</t>
        </is>
      </c>
      <c r="F1569" s="7" t="inlineStr">
        <is>
          <t>PIECE_VEHICULE</t>
        </is>
      </c>
      <c r="G1569" s="7" t="inlineStr">
        <is>
          <t>unité</t>
        </is>
      </c>
      <c r="H1569" s="7" t="inlineStr">
        <is>
          <t>LARGE</t>
        </is>
      </c>
      <c r="I1569" s="7" t="n">
        <v>0</v>
      </c>
      <c r="J1569" s="7" t="inlineStr">
        <is>
          <t>C-02-02</t>
        </is>
      </c>
      <c r="K1569" s="7" t="inlineStr"/>
      <c r="L1569" s="9" t="n">
        <v>0</v>
      </c>
      <c r="M1569" s="9" t="n">
        <v>0</v>
      </c>
      <c r="N1569" s="9" t="n">
        <v>11</v>
      </c>
      <c r="O1569" s="7" t="inlineStr">
        <is>
          <t>MAG</t>
        </is>
      </c>
      <c r="P1569" s="7" t="inlineStr">
        <is>
          <t>CRITIQUE</t>
        </is>
      </c>
      <c r="Q1569" s="7" t="inlineStr">
        <is>
          <t>WHAP</t>
        </is>
      </c>
      <c r="R1569" s="7" t="inlineStr">
        <is>
          <t>OUI</t>
        </is>
      </c>
      <c r="S1569" s="7" t="inlineStr">
        <is>
          <t>31/08/2026 02:59</t>
        </is>
      </c>
    </row>
    <row r="1570">
      <c r="A1570" s="8" t="inlineStr">
        <is>
          <t>WHAP-1566</t>
        </is>
      </c>
      <c r="B1570" s="8" t="inlineStr">
        <is>
          <t>MOT-1566</t>
        </is>
      </c>
      <c r="C1570" s="8" t="inlineStr">
        <is>
          <t>raccord de bloc moteur</t>
        </is>
      </c>
      <c r="D1570" s="8" t="inlineStr">
        <is>
          <t>Moteur</t>
        </is>
      </c>
      <c r="E1570" s="8" t="inlineStr">
        <is>
          <t>Moteur</t>
        </is>
      </c>
      <c r="F1570" s="8" t="inlineStr">
        <is>
          <t>PIECE_VEHICULE</t>
        </is>
      </c>
      <c r="G1570" s="8" t="inlineStr">
        <is>
          <t>unité</t>
        </is>
      </c>
      <c r="H1570" s="8" t="inlineStr">
        <is>
          <t>LARGE</t>
        </is>
      </c>
      <c r="I1570" s="8" t="n">
        <v>0</v>
      </c>
      <c r="J1570" s="8" t="inlineStr">
        <is>
          <t>C-04-03</t>
        </is>
      </c>
      <c r="K1570" s="8" t="inlineStr"/>
      <c r="L1570" s="10" t="n">
        <v>0</v>
      </c>
      <c r="M1570" s="10" t="n">
        <v>0</v>
      </c>
      <c r="N1570" s="10" t="n">
        <v>13</v>
      </c>
      <c r="O1570" s="8" t="inlineStr">
        <is>
          <t>DEL</t>
        </is>
      </c>
      <c r="P1570" s="8" t="inlineStr">
        <is>
          <t>CRITIQUE</t>
        </is>
      </c>
      <c r="Q1570" s="8" t="inlineStr">
        <is>
          <t>WHAP</t>
        </is>
      </c>
      <c r="R1570" s="8" t="inlineStr">
        <is>
          <t>OUI</t>
        </is>
      </c>
      <c r="S1570" s="8" t="inlineStr">
        <is>
          <t>31/08/2026 02:59</t>
        </is>
      </c>
    </row>
    <row r="1571">
      <c r="A1571" s="7" t="inlineStr">
        <is>
          <t>WHAP-1567</t>
        </is>
      </c>
      <c r="B1571" s="7" t="inlineStr">
        <is>
          <t>MOT-1567</t>
        </is>
      </c>
      <c r="C1571" s="7" t="inlineStr">
        <is>
          <t>plaque de bloc moteur</t>
        </is>
      </c>
      <c r="D1571" s="7" t="inlineStr">
        <is>
          <t>Moteur</t>
        </is>
      </c>
      <c r="E1571" s="7" t="inlineStr">
        <is>
          <t>Moteur</t>
        </is>
      </c>
      <c r="F1571" s="7" t="inlineStr">
        <is>
          <t>PIECE_VEHICULE</t>
        </is>
      </c>
      <c r="G1571" s="7" t="inlineStr">
        <is>
          <t>unité</t>
        </is>
      </c>
      <c r="H1571" s="7" t="inlineStr">
        <is>
          <t>LARGE</t>
        </is>
      </c>
      <c r="I1571" s="7" t="n">
        <v>0</v>
      </c>
      <c r="J1571" s="7" t="inlineStr">
        <is>
          <t>C-05-01</t>
        </is>
      </c>
      <c r="K1571" s="7" t="inlineStr"/>
      <c r="L1571" s="9" t="n">
        <v>0</v>
      </c>
      <c r="M1571" s="9" t="n">
        <v>0</v>
      </c>
      <c r="N1571" s="9" t="n">
        <v>15</v>
      </c>
      <c r="O1571" s="7" t="inlineStr">
        <is>
          <t>SUM</t>
        </is>
      </c>
      <c r="P1571" s="7" t="inlineStr">
        <is>
          <t>CRITIQUE</t>
        </is>
      </c>
      <c r="Q1571" s="7" t="inlineStr">
        <is>
          <t>WHAP</t>
        </is>
      </c>
      <c r="R1571" s="7" t="inlineStr">
        <is>
          <t>OUI</t>
        </is>
      </c>
      <c r="S1571" s="7" t="inlineStr">
        <is>
          <t>31/08/2026 02:59</t>
        </is>
      </c>
    </row>
    <row r="1572">
      <c r="A1572" s="8" t="inlineStr">
        <is>
          <t>WHAP-1568</t>
        </is>
      </c>
      <c r="B1572" s="8" t="inlineStr">
        <is>
          <t>MOT-1568</t>
        </is>
      </c>
      <c r="C1572" s="8" t="inlineStr">
        <is>
          <t>couvercle de bloc moteur</t>
        </is>
      </c>
      <c r="D1572" s="8" t="inlineStr">
        <is>
          <t>Moteur</t>
        </is>
      </c>
      <c r="E1572" s="8" t="inlineStr">
        <is>
          <t>Moteur</t>
        </is>
      </c>
      <c r="F1572" s="8" t="inlineStr">
        <is>
          <t>PIECE_VEHICULE</t>
        </is>
      </c>
      <c r="G1572" s="8" t="inlineStr">
        <is>
          <t>unité</t>
        </is>
      </c>
      <c r="H1572" s="8" t="inlineStr">
        <is>
          <t>LARGE</t>
        </is>
      </c>
      <c r="I1572" s="8" t="n">
        <v>0</v>
      </c>
      <c r="J1572" s="8" t="inlineStr">
        <is>
          <t>A-01-04</t>
        </is>
      </c>
      <c r="K1572" s="8" t="inlineStr"/>
      <c r="L1572" s="10" t="n">
        <v>0</v>
      </c>
      <c r="M1572" s="10" t="n">
        <v>0</v>
      </c>
      <c r="N1572" s="10" t="n">
        <v>14</v>
      </c>
      <c r="O1572" s="8" t="inlineStr">
        <is>
          <t>BOS</t>
        </is>
      </c>
      <c r="P1572" s="8" t="inlineStr">
        <is>
          <t>CRITIQUE</t>
        </is>
      </c>
      <c r="Q1572" s="8" t="inlineStr">
        <is>
          <t>WHAP</t>
        </is>
      </c>
      <c r="R1572" s="8" t="inlineStr">
        <is>
          <t>OUI</t>
        </is>
      </c>
      <c r="S1572" s="8" t="inlineStr">
        <is>
          <t>31/08/2026 02:59</t>
        </is>
      </c>
    </row>
    <row r="1573">
      <c r="A1573" s="7" t="inlineStr">
        <is>
          <t>WHAP-1569</t>
        </is>
      </c>
      <c r="B1573" s="7" t="inlineStr">
        <is>
          <t>MOT-1569</t>
        </is>
      </c>
      <c r="C1573" s="7" t="inlineStr">
        <is>
          <t>bague de bloc moteur</t>
        </is>
      </c>
      <c r="D1573" s="7" t="inlineStr">
        <is>
          <t>Moteur</t>
        </is>
      </c>
      <c r="E1573" s="7" t="inlineStr">
        <is>
          <t>Moteur</t>
        </is>
      </c>
      <c r="F1573" s="7" t="inlineStr">
        <is>
          <t>PIECE_VEHICULE</t>
        </is>
      </c>
      <c r="G1573" s="7" t="inlineStr">
        <is>
          <t>unité</t>
        </is>
      </c>
      <c r="H1573" s="7" t="inlineStr">
        <is>
          <t>LARGE</t>
        </is>
      </c>
      <c r="I1573" s="7" t="n">
        <v>0</v>
      </c>
      <c r="J1573" s="7" t="inlineStr">
        <is>
          <t>E-04-02</t>
        </is>
      </c>
      <c r="K1573" s="7" t="inlineStr"/>
      <c r="L1573" s="9" t="n">
        <v>0</v>
      </c>
      <c r="M1573" s="9" t="n">
        <v>0</v>
      </c>
      <c r="N1573" s="9" t="n">
        <v>15</v>
      </c>
      <c r="O1573" s="7" t="inlineStr">
        <is>
          <t>MAG</t>
        </is>
      </c>
      <c r="P1573" s="7" t="inlineStr">
        <is>
          <t>CRITIQUE</t>
        </is>
      </c>
      <c r="Q1573" s="7" t="inlineStr">
        <is>
          <t>WHAP</t>
        </is>
      </c>
      <c r="R1573" s="7" t="inlineStr">
        <is>
          <t>OUI</t>
        </is>
      </c>
      <c r="S1573" s="7" t="inlineStr">
        <is>
          <t>31/08/2026 02:59</t>
        </is>
      </c>
    </row>
    <row r="1574">
      <c r="A1574" s="8" t="inlineStr">
        <is>
          <t>WHAP-1570</t>
        </is>
      </c>
      <c r="B1574" s="8" t="inlineStr">
        <is>
          <t>MOT-1570</t>
        </is>
      </c>
      <c r="C1574" s="8" t="inlineStr">
        <is>
          <t>entretoise de bloc moteur</t>
        </is>
      </c>
      <c r="D1574" s="8" t="inlineStr">
        <is>
          <t>Moteur</t>
        </is>
      </c>
      <c r="E1574" s="8" t="inlineStr">
        <is>
          <t>Moteur</t>
        </is>
      </c>
      <c r="F1574" s="8" t="inlineStr">
        <is>
          <t>PIECE_VEHICULE</t>
        </is>
      </c>
      <c r="G1574" s="8" t="inlineStr">
        <is>
          <t>unité</t>
        </is>
      </c>
      <c r="H1574" s="8" t="inlineStr">
        <is>
          <t>LARGE</t>
        </is>
      </c>
      <c r="I1574" s="8" t="n">
        <v>0</v>
      </c>
      <c r="J1574" s="8" t="inlineStr">
        <is>
          <t>F-06-02</t>
        </is>
      </c>
      <c r="K1574" s="8" t="inlineStr"/>
      <c r="L1574" s="10" t="n">
        <v>0</v>
      </c>
      <c r="M1574" s="10" t="n">
        <v>0</v>
      </c>
      <c r="N1574" s="10" t="n">
        <v>13</v>
      </c>
      <c r="O1574" s="8" t="inlineStr">
        <is>
          <t>SKF</t>
        </is>
      </c>
      <c r="P1574" s="8" t="inlineStr">
        <is>
          <t>CRITIQUE</t>
        </is>
      </c>
      <c r="Q1574" s="8" t="inlineStr">
        <is>
          <t>WHAP</t>
        </is>
      </c>
      <c r="R1574" s="8" t="inlineStr">
        <is>
          <t>OUI</t>
        </is>
      </c>
      <c r="S1574" s="8" t="inlineStr">
        <is>
          <t>31/08/2026 02:59</t>
        </is>
      </c>
    </row>
    <row r="1575">
      <c r="A1575" s="7" t="inlineStr">
        <is>
          <t>WHAP-1571</t>
        </is>
      </c>
      <c r="B1575" s="7" t="inlineStr">
        <is>
          <t>MOT-1571</t>
        </is>
      </c>
      <c r="C1575" s="7" t="inlineStr">
        <is>
          <t>axe de bloc moteur</t>
        </is>
      </c>
      <c r="D1575" s="7" t="inlineStr">
        <is>
          <t>Moteur</t>
        </is>
      </c>
      <c r="E1575" s="7" t="inlineStr">
        <is>
          <t>Moteur</t>
        </is>
      </c>
      <c r="F1575" s="7" t="inlineStr">
        <is>
          <t>PIECE_VEHICULE</t>
        </is>
      </c>
      <c r="G1575" s="7" t="inlineStr">
        <is>
          <t>unité</t>
        </is>
      </c>
      <c r="H1575" s="7" t="inlineStr">
        <is>
          <t>LARGE</t>
        </is>
      </c>
      <c r="I1575" s="7" t="n">
        <v>0</v>
      </c>
      <c r="J1575" s="7" t="inlineStr">
        <is>
          <t>F-05-02</t>
        </is>
      </c>
      <c r="K1575" s="7" t="inlineStr"/>
      <c r="L1575" s="9" t="n">
        <v>0</v>
      </c>
      <c r="M1575" s="9" t="n">
        <v>0</v>
      </c>
      <c r="N1575" s="9" t="n">
        <v>16</v>
      </c>
      <c r="O1575" s="7" t="inlineStr">
        <is>
          <t>CTL</t>
        </is>
      </c>
      <c r="P1575" s="7" t="inlineStr">
        <is>
          <t>CRITIQUE</t>
        </is>
      </c>
      <c r="Q1575" s="7" t="inlineStr">
        <is>
          <t>WHAP</t>
        </is>
      </c>
      <c r="R1575" s="7" t="inlineStr">
        <is>
          <t>OUI</t>
        </is>
      </c>
      <c r="S1575" s="7" t="inlineStr">
        <is>
          <t>31/08/2026 02:59</t>
        </is>
      </c>
    </row>
    <row r="1576">
      <c r="A1576" s="8" t="inlineStr">
        <is>
          <t>WHAP-1572</t>
        </is>
      </c>
      <c r="B1576" s="8" t="inlineStr">
        <is>
          <t>MOT-1572</t>
        </is>
      </c>
      <c r="C1576" s="8" t="inlineStr">
        <is>
          <t>poulie de bloc moteur</t>
        </is>
      </c>
      <c r="D1576" s="8" t="inlineStr">
        <is>
          <t>Moteur</t>
        </is>
      </c>
      <c r="E1576" s="8" t="inlineStr">
        <is>
          <t>Moteur</t>
        </is>
      </c>
      <c r="F1576" s="8" t="inlineStr">
        <is>
          <t>PIECE_VEHICULE</t>
        </is>
      </c>
      <c r="G1576" s="8" t="inlineStr">
        <is>
          <t>unité</t>
        </is>
      </c>
      <c r="H1576" s="8" t="inlineStr">
        <is>
          <t>LARGE</t>
        </is>
      </c>
      <c r="I1576" s="8" t="n">
        <v>0</v>
      </c>
      <c r="J1576" s="8" t="inlineStr">
        <is>
          <t>E-05-02</t>
        </is>
      </c>
      <c r="K1576" s="8" t="inlineStr"/>
      <c r="L1576" s="10" t="n">
        <v>0</v>
      </c>
      <c r="M1576" s="10" t="n">
        <v>0</v>
      </c>
      <c r="N1576" s="10" t="n">
        <v>10</v>
      </c>
      <c r="O1576" s="8" t="inlineStr">
        <is>
          <t>DEL</t>
        </is>
      </c>
      <c r="P1576" s="8" t="inlineStr">
        <is>
          <t>CRITIQUE</t>
        </is>
      </c>
      <c r="Q1576" s="8" t="inlineStr">
        <is>
          <t>WHAP</t>
        </is>
      </c>
      <c r="R1576" s="8" t="inlineStr">
        <is>
          <t>OUI</t>
        </is>
      </c>
      <c r="S1576" s="8" t="inlineStr">
        <is>
          <t>31/08/2026 02:59</t>
        </is>
      </c>
    </row>
    <row r="1577">
      <c r="A1577" s="7" t="inlineStr">
        <is>
          <t>WHAP-1573</t>
        </is>
      </c>
      <c r="B1577" s="7" t="inlineStr">
        <is>
          <t>MOT-1573</t>
        </is>
      </c>
      <c r="C1577" s="7" t="inlineStr">
        <is>
          <t>pignon de bloc moteur</t>
        </is>
      </c>
      <c r="D1577" s="7" t="inlineStr">
        <is>
          <t>Moteur</t>
        </is>
      </c>
      <c r="E1577" s="7" t="inlineStr">
        <is>
          <t>Moteur</t>
        </is>
      </c>
      <c r="F1577" s="7" t="inlineStr">
        <is>
          <t>PIECE_VEHICULE</t>
        </is>
      </c>
      <c r="G1577" s="7" t="inlineStr">
        <is>
          <t>unité</t>
        </is>
      </c>
      <c r="H1577" s="7" t="inlineStr">
        <is>
          <t>LARGE</t>
        </is>
      </c>
      <c r="I1577" s="7" t="n">
        <v>0</v>
      </c>
      <c r="J1577" s="7" t="inlineStr">
        <is>
          <t>B-03-03</t>
        </is>
      </c>
      <c r="K1577" s="7" t="inlineStr"/>
      <c r="L1577" s="9" t="n">
        <v>0</v>
      </c>
      <c r="M1577" s="9" t="n">
        <v>0</v>
      </c>
      <c r="N1577" s="9" t="n">
        <v>14</v>
      </c>
      <c r="O1577" s="7" t="inlineStr">
        <is>
          <t>FAU</t>
        </is>
      </c>
      <c r="P1577" s="7" t="inlineStr">
        <is>
          <t>CRITIQUE</t>
        </is>
      </c>
      <c r="Q1577" s="7" t="inlineStr">
        <is>
          <t>WHAP</t>
        </is>
      </c>
      <c r="R1577" s="7" t="inlineStr">
        <is>
          <t>OUI</t>
        </is>
      </c>
      <c r="S1577" s="7" t="inlineStr">
        <is>
          <t>31/08/2026 02:59</t>
        </is>
      </c>
    </row>
    <row r="1578">
      <c r="A1578" s="8" t="inlineStr">
        <is>
          <t>WHAP-1574</t>
        </is>
      </c>
      <c r="B1578" s="8" t="inlineStr">
        <is>
          <t>MOT-1574</t>
        </is>
      </c>
      <c r="C1578" s="8" t="inlineStr">
        <is>
          <t>ensemble de culasse</t>
        </is>
      </c>
      <c r="D1578" s="8" t="inlineStr">
        <is>
          <t>Moteur</t>
        </is>
      </c>
      <c r="E1578" s="8" t="inlineStr">
        <is>
          <t>Moteur</t>
        </is>
      </c>
      <c r="F1578" s="8" t="inlineStr">
        <is>
          <t>PIECE_VEHICULE</t>
        </is>
      </c>
      <c r="G1578" s="8" t="inlineStr">
        <is>
          <t>unité</t>
        </is>
      </c>
      <c r="H1578" s="8" t="inlineStr">
        <is>
          <t>LARGE</t>
        </is>
      </c>
      <c r="I1578" s="8" t="n">
        <v>0</v>
      </c>
      <c r="J1578" s="8" t="inlineStr">
        <is>
          <t>A-06-02</t>
        </is>
      </c>
      <c r="K1578" s="8" t="inlineStr"/>
      <c r="L1578" s="10" t="n">
        <v>0</v>
      </c>
      <c r="M1578" s="10" t="n">
        <v>0</v>
      </c>
      <c r="N1578" s="10" t="n">
        <v>20</v>
      </c>
      <c r="O1578" s="8" t="inlineStr">
        <is>
          <t>DEL</t>
        </is>
      </c>
      <c r="P1578" s="8" t="inlineStr">
        <is>
          <t>CRITIQUE</t>
        </is>
      </c>
      <c r="Q1578" s="8" t="inlineStr">
        <is>
          <t>WHAP</t>
        </is>
      </c>
      <c r="R1578" s="8" t="inlineStr">
        <is>
          <t>OUI</t>
        </is>
      </c>
      <c r="S1578" s="8" t="inlineStr">
        <is>
          <t>31/08/2026 02:59</t>
        </is>
      </c>
    </row>
    <row r="1579">
      <c r="A1579" s="7" t="inlineStr">
        <is>
          <t>WHAP-1575</t>
        </is>
      </c>
      <c r="B1579" s="7" t="inlineStr">
        <is>
          <t>MOT-1575</t>
        </is>
      </c>
      <c r="C1579" s="7" t="inlineStr">
        <is>
          <t>kit de culasse</t>
        </is>
      </c>
      <c r="D1579" s="7" t="inlineStr">
        <is>
          <t>Moteur</t>
        </is>
      </c>
      <c r="E1579" s="7" t="inlineStr">
        <is>
          <t>Moteur</t>
        </is>
      </c>
      <c r="F1579" s="7" t="inlineStr">
        <is>
          <t>PIECE_VEHICULE</t>
        </is>
      </c>
      <c r="G1579" s="7" t="inlineStr">
        <is>
          <t>unité</t>
        </is>
      </c>
      <c r="H1579" s="7" t="inlineStr">
        <is>
          <t>LARGE</t>
        </is>
      </c>
      <c r="I1579" s="7" t="n">
        <v>0</v>
      </c>
      <c r="J1579" s="7" t="inlineStr">
        <is>
          <t>F-04-04</t>
        </is>
      </c>
      <c r="K1579" s="7" t="inlineStr"/>
      <c r="L1579" s="9" t="n">
        <v>0</v>
      </c>
      <c r="M1579" s="9" t="n">
        <v>0</v>
      </c>
      <c r="N1579" s="9" t="n">
        <v>20</v>
      </c>
      <c r="O1579" s="7" t="inlineStr">
        <is>
          <t>YZK</t>
        </is>
      </c>
      <c r="P1579" s="7" t="inlineStr">
        <is>
          <t>CRITIQUE</t>
        </is>
      </c>
      <c r="Q1579" s="7" t="inlineStr">
        <is>
          <t>WHAP</t>
        </is>
      </c>
      <c r="R1579" s="7" t="inlineStr">
        <is>
          <t>OUI</t>
        </is>
      </c>
      <c r="S1579" s="7" t="inlineStr">
        <is>
          <t>31/08/2026 02:59</t>
        </is>
      </c>
    </row>
    <row r="1580">
      <c r="A1580" s="8" t="inlineStr">
        <is>
          <t>WHAP-1576</t>
        </is>
      </c>
      <c r="B1580" s="8" t="inlineStr">
        <is>
          <t>MOT-1576</t>
        </is>
      </c>
      <c r="C1580" s="8" t="inlineStr">
        <is>
          <t>support de culasse</t>
        </is>
      </c>
      <c r="D1580" s="8" t="inlineStr">
        <is>
          <t>Moteur</t>
        </is>
      </c>
      <c r="E1580" s="8" t="inlineStr">
        <is>
          <t>Moteur</t>
        </is>
      </c>
      <c r="F1580" s="8" t="inlineStr">
        <is>
          <t>PIECE_VEHICULE</t>
        </is>
      </c>
      <c r="G1580" s="8" t="inlineStr">
        <is>
          <t>unité</t>
        </is>
      </c>
      <c r="H1580" s="8" t="inlineStr">
        <is>
          <t>LARGE</t>
        </is>
      </c>
      <c r="I1580" s="8" t="n">
        <v>0</v>
      </c>
      <c r="J1580" s="8" t="inlineStr">
        <is>
          <t>B-03-02</t>
        </is>
      </c>
      <c r="K1580" s="8" t="inlineStr"/>
      <c r="L1580" s="10" t="n">
        <v>0</v>
      </c>
      <c r="M1580" s="10" t="n">
        <v>0</v>
      </c>
      <c r="N1580" s="10" t="n">
        <v>15</v>
      </c>
      <c r="O1580" s="8" t="inlineStr">
        <is>
          <t>SKF</t>
        </is>
      </c>
      <c r="P1580" s="8" t="inlineStr">
        <is>
          <t>CRITIQUE</t>
        </is>
      </c>
      <c r="Q1580" s="8" t="inlineStr">
        <is>
          <t>WHAP</t>
        </is>
      </c>
      <c r="R1580" s="8" t="inlineStr">
        <is>
          <t>OUI</t>
        </is>
      </c>
      <c r="S1580" s="8" t="inlineStr">
        <is>
          <t>31/08/2026 02:59</t>
        </is>
      </c>
    </row>
    <row r="1581">
      <c r="A1581" s="7" t="inlineStr">
        <is>
          <t>WHAP-1577</t>
        </is>
      </c>
      <c r="B1581" s="7" t="inlineStr">
        <is>
          <t>MOT-1577</t>
        </is>
      </c>
      <c r="C1581" s="7" t="inlineStr">
        <is>
          <t>boîtier de culasse</t>
        </is>
      </c>
      <c r="D1581" s="7" t="inlineStr">
        <is>
          <t>Moteur</t>
        </is>
      </c>
      <c r="E1581" s="7" t="inlineStr">
        <is>
          <t>Moteur</t>
        </is>
      </c>
      <c r="F1581" s="7" t="inlineStr">
        <is>
          <t>PIECE_VEHICULE</t>
        </is>
      </c>
      <c r="G1581" s="7" t="inlineStr">
        <is>
          <t>unité</t>
        </is>
      </c>
      <c r="H1581" s="7" t="inlineStr">
        <is>
          <t>LARGE</t>
        </is>
      </c>
      <c r="I1581" s="7" t="n">
        <v>0</v>
      </c>
      <c r="J1581" s="7" t="inlineStr">
        <is>
          <t>E-03-03</t>
        </is>
      </c>
      <c r="K1581" s="7" t="inlineStr"/>
      <c r="L1581" s="9" t="n">
        <v>0</v>
      </c>
      <c r="M1581" s="9" t="n">
        <v>0</v>
      </c>
      <c r="N1581" s="9" t="n">
        <v>18</v>
      </c>
      <c r="O1581" s="7" t="inlineStr">
        <is>
          <t>HEL</t>
        </is>
      </c>
      <c r="P1581" s="7" t="inlineStr">
        <is>
          <t>CRITIQUE</t>
        </is>
      </c>
      <c r="Q1581" s="7" t="inlineStr">
        <is>
          <t>WHAP</t>
        </is>
      </c>
      <c r="R1581" s="7" t="inlineStr">
        <is>
          <t>OUI</t>
        </is>
      </c>
      <c r="S1581" s="7" t="inlineStr">
        <is>
          <t>31/08/2026 02:59</t>
        </is>
      </c>
    </row>
    <row r="1582">
      <c r="A1582" s="8" t="inlineStr">
        <is>
          <t>WHAP-1578</t>
        </is>
      </c>
      <c r="B1582" s="8" t="inlineStr">
        <is>
          <t>MOT-1578</t>
        </is>
      </c>
      <c r="C1582" s="8" t="inlineStr">
        <is>
          <t>module de culasse</t>
        </is>
      </c>
      <c r="D1582" s="8" t="inlineStr">
        <is>
          <t>Moteur</t>
        </is>
      </c>
      <c r="E1582" s="8" t="inlineStr">
        <is>
          <t>Moteur</t>
        </is>
      </c>
      <c r="F1582" s="8" t="inlineStr">
        <is>
          <t>PIECE_VEHICULE</t>
        </is>
      </c>
      <c r="G1582" s="8" t="inlineStr">
        <is>
          <t>unité</t>
        </is>
      </c>
      <c r="H1582" s="8" t="inlineStr">
        <is>
          <t>LARGE</t>
        </is>
      </c>
      <c r="I1582" s="8" t="n">
        <v>0</v>
      </c>
      <c r="J1582" s="8" t="inlineStr">
        <is>
          <t>F-05-04</t>
        </is>
      </c>
      <c r="K1582" s="8" t="inlineStr"/>
      <c r="L1582" s="10" t="n">
        <v>0</v>
      </c>
      <c r="M1582" s="10" t="n">
        <v>0</v>
      </c>
      <c r="N1582" s="10" t="n">
        <v>20</v>
      </c>
      <c r="O1582" s="8" t="inlineStr">
        <is>
          <t>VAL</t>
        </is>
      </c>
      <c r="P1582" s="8" t="inlineStr">
        <is>
          <t>CRITIQUE</t>
        </is>
      </c>
      <c r="Q1582" s="8" t="inlineStr">
        <is>
          <t>WHAP</t>
        </is>
      </c>
      <c r="R1582" s="8" t="inlineStr">
        <is>
          <t>OUI</t>
        </is>
      </c>
      <c r="S1582" s="8" t="inlineStr">
        <is>
          <t>31/08/2026 02:59</t>
        </is>
      </c>
    </row>
    <row r="1583">
      <c r="A1583" s="7" t="inlineStr">
        <is>
          <t>WHAP-1579</t>
        </is>
      </c>
      <c r="B1583" s="7" t="inlineStr">
        <is>
          <t>MOT-1579</t>
        </is>
      </c>
      <c r="C1583" s="7" t="inlineStr">
        <is>
          <t>câblage de culasse</t>
        </is>
      </c>
      <c r="D1583" s="7" t="inlineStr">
        <is>
          <t>Moteur</t>
        </is>
      </c>
      <c r="E1583" s="7" t="inlineStr">
        <is>
          <t>Moteur</t>
        </is>
      </c>
      <c r="F1583" s="7" t="inlineStr">
        <is>
          <t>PIECE_VEHICULE</t>
        </is>
      </c>
      <c r="G1583" s="7" t="inlineStr">
        <is>
          <t>unité</t>
        </is>
      </c>
      <c r="H1583" s="7" t="inlineStr">
        <is>
          <t>LARGE</t>
        </is>
      </c>
      <c r="I1583" s="7" t="n">
        <v>0</v>
      </c>
      <c r="J1583" s="7" t="inlineStr">
        <is>
          <t>D-05-03</t>
        </is>
      </c>
      <c r="K1583" s="7" t="inlineStr"/>
      <c r="L1583" s="9" t="n">
        <v>0</v>
      </c>
      <c r="M1583" s="9" t="n">
        <v>0</v>
      </c>
      <c r="N1583" s="9" t="n">
        <v>14</v>
      </c>
      <c r="O1583" s="7" t="inlineStr">
        <is>
          <t>VAL</t>
        </is>
      </c>
      <c r="P1583" s="7" t="inlineStr">
        <is>
          <t>CRITIQUE</t>
        </is>
      </c>
      <c r="Q1583" s="7" t="inlineStr">
        <is>
          <t>WHAP</t>
        </is>
      </c>
      <c r="R1583" s="7" t="inlineStr">
        <is>
          <t>OUI</t>
        </is>
      </c>
      <c r="S1583" s="7" t="inlineStr">
        <is>
          <t>31/08/2026 02:59</t>
        </is>
      </c>
    </row>
    <row r="1584">
      <c r="A1584" s="8" t="inlineStr">
        <is>
          <t>WHAP-1580</t>
        </is>
      </c>
      <c r="B1584" s="8" t="inlineStr">
        <is>
          <t>MOT-1580</t>
        </is>
      </c>
      <c r="C1584" s="8" t="inlineStr">
        <is>
          <t>connecteur de culasse</t>
        </is>
      </c>
      <c r="D1584" s="8" t="inlineStr">
        <is>
          <t>Moteur</t>
        </is>
      </c>
      <c r="E1584" s="8" t="inlineStr">
        <is>
          <t>Moteur</t>
        </is>
      </c>
      <c r="F1584" s="8" t="inlineStr">
        <is>
          <t>PIECE_VEHICULE</t>
        </is>
      </c>
      <c r="G1584" s="8" t="inlineStr">
        <is>
          <t>unité</t>
        </is>
      </c>
      <c r="H1584" s="8" t="inlineStr">
        <is>
          <t>LARGE</t>
        </is>
      </c>
      <c r="I1584" s="8" t="n">
        <v>0</v>
      </c>
      <c r="J1584" s="8" t="inlineStr">
        <is>
          <t>C-03-01</t>
        </is>
      </c>
      <c r="K1584" s="8" t="inlineStr"/>
      <c r="L1584" s="10" t="n">
        <v>0</v>
      </c>
      <c r="M1584" s="10" t="n">
        <v>0</v>
      </c>
      <c r="N1584" s="10" t="n">
        <v>12</v>
      </c>
      <c r="O1584" s="8" t="inlineStr">
        <is>
          <t>MAG</t>
        </is>
      </c>
      <c r="P1584" s="8" t="inlineStr">
        <is>
          <t>CRITIQUE</t>
        </is>
      </c>
      <c r="Q1584" s="8" t="inlineStr">
        <is>
          <t>WHAP</t>
        </is>
      </c>
      <c r="R1584" s="8" t="inlineStr">
        <is>
          <t>OUI</t>
        </is>
      </c>
      <c r="S1584" s="8" t="inlineStr">
        <is>
          <t>31/08/2026 02:59</t>
        </is>
      </c>
    </row>
    <row r="1585">
      <c r="A1585" s="7" t="inlineStr">
        <is>
          <t>WHAP-1581</t>
        </is>
      </c>
      <c r="B1585" s="7" t="inlineStr">
        <is>
          <t>MOT-1581</t>
        </is>
      </c>
      <c r="C1585" s="7" t="inlineStr">
        <is>
          <t>fixation de culasse</t>
        </is>
      </c>
      <c r="D1585" s="7" t="inlineStr">
        <is>
          <t>Moteur</t>
        </is>
      </c>
      <c r="E1585" s="7" t="inlineStr">
        <is>
          <t>Moteur</t>
        </is>
      </c>
      <c r="F1585" s="7" t="inlineStr">
        <is>
          <t>PIECE_VEHICULE</t>
        </is>
      </c>
      <c r="G1585" s="7" t="inlineStr">
        <is>
          <t>unité</t>
        </is>
      </c>
      <c r="H1585" s="7" t="inlineStr">
        <is>
          <t>LARGE</t>
        </is>
      </c>
      <c r="I1585" s="7" t="n">
        <v>0</v>
      </c>
      <c r="J1585" s="7" t="inlineStr">
        <is>
          <t>E-03-02</t>
        </is>
      </c>
      <c r="K1585" s="7" t="inlineStr"/>
      <c r="L1585" s="9" t="n">
        <v>0</v>
      </c>
      <c r="M1585" s="9" t="n">
        <v>0</v>
      </c>
      <c r="N1585" s="9" t="n">
        <v>15</v>
      </c>
      <c r="O1585" s="7" t="inlineStr">
        <is>
          <t>BOS</t>
        </is>
      </c>
      <c r="P1585" s="7" t="inlineStr">
        <is>
          <t>CRITIQUE</t>
        </is>
      </c>
      <c r="Q1585" s="7" t="inlineStr">
        <is>
          <t>WHAP</t>
        </is>
      </c>
      <c r="R1585" s="7" t="inlineStr">
        <is>
          <t>OUI</t>
        </is>
      </c>
      <c r="S1585" s="7" t="inlineStr">
        <is>
          <t>31/08/2026 02:59</t>
        </is>
      </c>
    </row>
    <row r="1586">
      <c r="A1586" s="8" t="inlineStr">
        <is>
          <t>WHAP-1582</t>
        </is>
      </c>
      <c r="B1586" s="8" t="inlineStr">
        <is>
          <t>MOT-1582</t>
        </is>
      </c>
      <c r="C1586" s="8" t="inlineStr">
        <is>
          <t>protection de culasse</t>
        </is>
      </c>
      <c r="D1586" s="8" t="inlineStr">
        <is>
          <t>Moteur</t>
        </is>
      </c>
      <c r="E1586" s="8" t="inlineStr">
        <is>
          <t>Moteur</t>
        </is>
      </c>
      <c r="F1586" s="8" t="inlineStr">
        <is>
          <t>PIECE_VEHICULE</t>
        </is>
      </c>
      <c r="G1586" s="8" t="inlineStr">
        <is>
          <t>unité</t>
        </is>
      </c>
      <c r="H1586" s="8" t="inlineStr">
        <is>
          <t>LARGE</t>
        </is>
      </c>
      <c r="I1586" s="8" t="n">
        <v>0</v>
      </c>
      <c r="J1586" s="8" t="inlineStr">
        <is>
          <t>F-01-02</t>
        </is>
      </c>
      <c r="K1586" s="8" t="inlineStr"/>
      <c r="L1586" s="10" t="n">
        <v>0</v>
      </c>
      <c r="M1586" s="10" t="n">
        <v>0</v>
      </c>
      <c r="N1586" s="10" t="n">
        <v>18</v>
      </c>
      <c r="O1586" s="8" t="inlineStr">
        <is>
          <t>SKF</t>
        </is>
      </c>
      <c r="P1586" s="8" t="inlineStr">
        <is>
          <t>CRITIQUE</t>
        </is>
      </c>
      <c r="Q1586" s="8" t="inlineStr">
        <is>
          <t>WHAP</t>
        </is>
      </c>
      <c r="R1586" s="8" t="inlineStr">
        <is>
          <t>OUI</t>
        </is>
      </c>
      <c r="S1586" s="8" t="inlineStr">
        <is>
          <t>31/08/2026 02:59</t>
        </is>
      </c>
    </row>
    <row r="1587">
      <c r="A1587" s="7" t="inlineStr">
        <is>
          <t>WHAP-1583</t>
        </is>
      </c>
      <c r="B1587" s="7" t="inlineStr">
        <is>
          <t>MOT-1583</t>
        </is>
      </c>
      <c r="C1587" s="7" t="inlineStr">
        <is>
          <t>capteur de culasse</t>
        </is>
      </c>
      <c r="D1587" s="7" t="inlineStr">
        <is>
          <t>Moteur</t>
        </is>
      </c>
      <c r="E1587" s="7" t="inlineStr">
        <is>
          <t>Moteur</t>
        </is>
      </c>
      <c r="F1587" s="7" t="inlineStr">
        <is>
          <t>PIECE_VEHICULE</t>
        </is>
      </c>
      <c r="G1587" s="7" t="inlineStr">
        <is>
          <t>unité</t>
        </is>
      </c>
      <c r="H1587" s="7" t="inlineStr">
        <is>
          <t>LARGE</t>
        </is>
      </c>
      <c r="I1587" s="7" t="n">
        <v>0</v>
      </c>
      <c r="J1587" s="7" t="inlineStr">
        <is>
          <t>F-05-02</t>
        </is>
      </c>
      <c r="K1587" s="7" t="inlineStr"/>
      <c r="L1587" s="9" t="n">
        <v>0</v>
      </c>
      <c r="M1587" s="9" t="n">
        <v>0</v>
      </c>
      <c r="N1587" s="9" t="n">
        <v>19</v>
      </c>
      <c r="O1587" s="7" t="inlineStr">
        <is>
          <t>VAL</t>
        </is>
      </c>
      <c r="P1587" s="7" t="inlineStr">
        <is>
          <t>CRITIQUE</t>
        </is>
      </c>
      <c r="Q1587" s="7" t="inlineStr">
        <is>
          <t>WHAP</t>
        </is>
      </c>
      <c r="R1587" s="7" t="inlineStr">
        <is>
          <t>OUI</t>
        </is>
      </c>
      <c r="S1587" s="7" t="inlineStr">
        <is>
          <t>31/08/2026 02:59</t>
        </is>
      </c>
    </row>
    <row r="1588">
      <c r="A1588" s="8" t="inlineStr">
        <is>
          <t>WHAP-1584</t>
        </is>
      </c>
      <c r="B1588" s="8" t="inlineStr">
        <is>
          <t>MOT-1584</t>
        </is>
      </c>
      <c r="C1588" s="8" t="inlineStr">
        <is>
          <t>actionneur de culasse</t>
        </is>
      </c>
      <c r="D1588" s="8" t="inlineStr">
        <is>
          <t>Moteur</t>
        </is>
      </c>
      <c r="E1588" s="8" t="inlineStr">
        <is>
          <t>Moteur</t>
        </is>
      </c>
      <c r="F1588" s="8" t="inlineStr">
        <is>
          <t>PIECE_VEHICULE</t>
        </is>
      </c>
      <c r="G1588" s="8" t="inlineStr">
        <is>
          <t>unité</t>
        </is>
      </c>
      <c r="H1588" s="8" t="inlineStr">
        <is>
          <t>LARGE</t>
        </is>
      </c>
      <c r="I1588" s="8" t="n">
        <v>0</v>
      </c>
      <c r="J1588" s="8" t="inlineStr">
        <is>
          <t>A-03-03</t>
        </is>
      </c>
      <c r="K1588" s="8" t="inlineStr"/>
      <c r="L1588" s="10" t="n">
        <v>0</v>
      </c>
      <c r="M1588" s="10" t="n">
        <v>0</v>
      </c>
      <c r="N1588" s="10" t="n">
        <v>18</v>
      </c>
      <c r="O1588" s="8" t="inlineStr">
        <is>
          <t>HEL</t>
        </is>
      </c>
      <c r="P1588" s="8" t="inlineStr">
        <is>
          <t>CRITIQUE</t>
        </is>
      </c>
      <c r="Q1588" s="8" t="inlineStr">
        <is>
          <t>WHAP</t>
        </is>
      </c>
      <c r="R1588" s="8" t="inlineStr">
        <is>
          <t>OUI</t>
        </is>
      </c>
      <c r="S1588" s="8" t="inlineStr">
        <is>
          <t>31/08/2026 02:59</t>
        </is>
      </c>
    </row>
    <row r="1589">
      <c r="A1589" s="7" t="inlineStr">
        <is>
          <t>WHAP-1585</t>
        </is>
      </c>
      <c r="B1589" s="7" t="inlineStr">
        <is>
          <t>MOT-1585</t>
        </is>
      </c>
      <c r="C1589" s="7" t="inlineStr">
        <is>
          <t>raccord de culasse</t>
        </is>
      </c>
      <c r="D1589" s="7" t="inlineStr">
        <is>
          <t>Moteur</t>
        </is>
      </c>
      <c r="E1589" s="7" t="inlineStr">
        <is>
          <t>Moteur</t>
        </is>
      </c>
      <c r="F1589" s="7" t="inlineStr">
        <is>
          <t>PIECE_VEHICULE</t>
        </is>
      </c>
      <c r="G1589" s="7" t="inlineStr">
        <is>
          <t>unité</t>
        </is>
      </c>
      <c r="H1589" s="7" t="inlineStr">
        <is>
          <t>LARGE</t>
        </is>
      </c>
      <c r="I1589" s="7" t="n">
        <v>0</v>
      </c>
      <c r="J1589" s="7" t="inlineStr">
        <is>
          <t>E-04-02</t>
        </is>
      </c>
      <c r="K1589" s="7" t="inlineStr"/>
      <c r="L1589" s="9" t="n">
        <v>0</v>
      </c>
      <c r="M1589" s="9" t="n">
        <v>0</v>
      </c>
      <c r="N1589" s="9" t="n">
        <v>11</v>
      </c>
      <c r="O1589" s="7" t="inlineStr">
        <is>
          <t>BOS</t>
        </is>
      </c>
      <c r="P1589" s="7" t="inlineStr">
        <is>
          <t>CRITIQUE</t>
        </is>
      </c>
      <c r="Q1589" s="7" t="inlineStr">
        <is>
          <t>WHAP</t>
        </is>
      </c>
      <c r="R1589" s="7" t="inlineStr">
        <is>
          <t>OUI</t>
        </is>
      </c>
      <c r="S1589" s="7" t="inlineStr">
        <is>
          <t>31/08/2026 02:59</t>
        </is>
      </c>
    </row>
    <row r="1590">
      <c r="A1590" s="8" t="inlineStr">
        <is>
          <t>WHAP-1586</t>
        </is>
      </c>
      <c r="B1590" s="8" t="inlineStr">
        <is>
          <t>MOT-1586</t>
        </is>
      </c>
      <c r="C1590" s="8" t="inlineStr">
        <is>
          <t>plaque de culasse</t>
        </is>
      </c>
      <c r="D1590" s="8" t="inlineStr">
        <is>
          <t>Moteur</t>
        </is>
      </c>
      <c r="E1590" s="8" t="inlineStr">
        <is>
          <t>Moteur</t>
        </is>
      </c>
      <c r="F1590" s="8" t="inlineStr">
        <is>
          <t>PIECE_VEHICULE</t>
        </is>
      </c>
      <c r="G1590" s="8" t="inlineStr">
        <is>
          <t>unité</t>
        </is>
      </c>
      <c r="H1590" s="8" t="inlineStr">
        <is>
          <t>LARGE</t>
        </is>
      </c>
      <c r="I1590" s="8" t="n">
        <v>0</v>
      </c>
      <c r="J1590" s="8" t="inlineStr">
        <is>
          <t>F-04-03</t>
        </is>
      </c>
      <c r="K1590" s="8" t="inlineStr"/>
      <c r="L1590" s="10" t="n">
        <v>0</v>
      </c>
      <c r="M1590" s="10" t="n">
        <v>0</v>
      </c>
      <c r="N1590" s="10" t="n">
        <v>12</v>
      </c>
      <c r="O1590" s="8" t="inlineStr">
        <is>
          <t>CTL</t>
        </is>
      </c>
      <c r="P1590" s="8" t="inlineStr">
        <is>
          <t>CRITIQUE</t>
        </is>
      </c>
      <c r="Q1590" s="8" t="inlineStr">
        <is>
          <t>WHAP</t>
        </is>
      </c>
      <c r="R1590" s="8" t="inlineStr">
        <is>
          <t>OUI</t>
        </is>
      </c>
      <c r="S1590" s="8" t="inlineStr">
        <is>
          <t>31/08/2026 02:59</t>
        </is>
      </c>
    </row>
    <row r="1591">
      <c r="A1591" s="7" t="inlineStr">
        <is>
          <t>WHAP-1587</t>
        </is>
      </c>
      <c r="B1591" s="7" t="inlineStr">
        <is>
          <t>MOT-1587</t>
        </is>
      </c>
      <c r="C1591" s="7" t="inlineStr">
        <is>
          <t>couvercle de culasse</t>
        </is>
      </c>
      <c r="D1591" s="7" t="inlineStr">
        <is>
          <t>Moteur</t>
        </is>
      </c>
      <c r="E1591" s="7" t="inlineStr">
        <is>
          <t>Moteur</t>
        </is>
      </c>
      <c r="F1591" s="7" t="inlineStr">
        <is>
          <t>PIECE_VEHICULE</t>
        </is>
      </c>
      <c r="G1591" s="7" t="inlineStr">
        <is>
          <t>unité</t>
        </is>
      </c>
      <c r="H1591" s="7" t="inlineStr">
        <is>
          <t>LARGE</t>
        </is>
      </c>
      <c r="I1591" s="7" t="n">
        <v>0</v>
      </c>
      <c r="J1591" s="7" t="inlineStr">
        <is>
          <t>C-03-01</t>
        </is>
      </c>
      <c r="K1591" s="7" t="inlineStr"/>
      <c r="L1591" s="9" t="n">
        <v>0</v>
      </c>
      <c r="M1591" s="9" t="n">
        <v>0</v>
      </c>
      <c r="N1591" s="9" t="n">
        <v>13</v>
      </c>
      <c r="O1591" s="7" t="inlineStr">
        <is>
          <t>SUM</t>
        </is>
      </c>
      <c r="P1591" s="7" t="inlineStr">
        <is>
          <t>CRITIQUE</t>
        </is>
      </c>
      <c r="Q1591" s="7" t="inlineStr">
        <is>
          <t>WHAP</t>
        </is>
      </c>
      <c r="R1591" s="7" t="inlineStr">
        <is>
          <t>OUI</t>
        </is>
      </c>
      <c r="S1591" s="7" t="inlineStr">
        <is>
          <t>31/08/2026 02:59</t>
        </is>
      </c>
    </row>
    <row r="1592">
      <c r="A1592" s="8" t="inlineStr">
        <is>
          <t>WHAP-1588</t>
        </is>
      </c>
      <c r="B1592" s="8" t="inlineStr">
        <is>
          <t>MOT-1588</t>
        </is>
      </c>
      <c r="C1592" s="8" t="inlineStr">
        <is>
          <t>bague de culasse</t>
        </is>
      </c>
      <c r="D1592" s="8" t="inlineStr">
        <is>
          <t>Moteur</t>
        </is>
      </c>
      <c r="E1592" s="8" t="inlineStr">
        <is>
          <t>Moteur</t>
        </is>
      </c>
      <c r="F1592" s="8" t="inlineStr">
        <is>
          <t>PIECE_VEHICULE</t>
        </is>
      </c>
      <c r="G1592" s="8" t="inlineStr">
        <is>
          <t>unité</t>
        </is>
      </c>
      <c r="H1592" s="8" t="inlineStr">
        <is>
          <t>LARGE</t>
        </is>
      </c>
      <c r="I1592" s="8" t="n">
        <v>0</v>
      </c>
      <c r="J1592" s="8" t="inlineStr">
        <is>
          <t>D-01-01</t>
        </is>
      </c>
      <c r="K1592" s="8" t="inlineStr"/>
      <c r="L1592" s="10" t="n">
        <v>0</v>
      </c>
      <c r="M1592" s="10" t="n">
        <v>0</v>
      </c>
      <c r="N1592" s="10" t="n">
        <v>15</v>
      </c>
      <c r="O1592" s="8" t="inlineStr">
        <is>
          <t>CTL</t>
        </is>
      </c>
      <c r="P1592" s="8" t="inlineStr">
        <is>
          <t>CRITIQUE</t>
        </is>
      </c>
      <c r="Q1592" s="8" t="inlineStr">
        <is>
          <t>WHAP</t>
        </is>
      </c>
      <c r="R1592" s="8" t="inlineStr">
        <is>
          <t>OUI</t>
        </is>
      </c>
      <c r="S1592" s="8" t="inlineStr">
        <is>
          <t>31/08/2026 02:59</t>
        </is>
      </c>
    </row>
    <row r="1593">
      <c r="A1593" s="7" t="inlineStr">
        <is>
          <t>WHAP-1589</t>
        </is>
      </c>
      <c r="B1593" s="7" t="inlineStr">
        <is>
          <t>MOT-1589</t>
        </is>
      </c>
      <c r="C1593" s="7" t="inlineStr">
        <is>
          <t>entretoise de culasse</t>
        </is>
      </c>
      <c r="D1593" s="7" t="inlineStr">
        <is>
          <t>Moteur</t>
        </is>
      </c>
      <c r="E1593" s="7" t="inlineStr">
        <is>
          <t>Moteur</t>
        </is>
      </c>
      <c r="F1593" s="7" t="inlineStr">
        <is>
          <t>PIECE_VEHICULE</t>
        </is>
      </c>
      <c r="G1593" s="7" t="inlineStr">
        <is>
          <t>unité</t>
        </is>
      </c>
      <c r="H1593" s="7" t="inlineStr">
        <is>
          <t>LARGE</t>
        </is>
      </c>
      <c r="I1593" s="7" t="n">
        <v>0</v>
      </c>
      <c r="J1593" s="7" t="inlineStr">
        <is>
          <t>F-02-02</t>
        </is>
      </c>
      <c r="K1593" s="7" t="inlineStr"/>
      <c r="L1593" s="9" t="n">
        <v>0</v>
      </c>
      <c r="M1593" s="9" t="n">
        <v>0</v>
      </c>
      <c r="N1593" s="9" t="n">
        <v>20</v>
      </c>
      <c r="O1593" s="7" t="inlineStr">
        <is>
          <t>FAU</t>
        </is>
      </c>
      <c r="P1593" s="7" t="inlineStr">
        <is>
          <t>CRITIQUE</t>
        </is>
      </c>
      <c r="Q1593" s="7" t="inlineStr">
        <is>
          <t>WHAP</t>
        </is>
      </c>
      <c r="R1593" s="7" t="inlineStr">
        <is>
          <t>OUI</t>
        </is>
      </c>
      <c r="S1593" s="7" t="inlineStr">
        <is>
          <t>31/08/2026 02:59</t>
        </is>
      </c>
    </row>
    <row r="1594">
      <c r="A1594" s="8" t="inlineStr">
        <is>
          <t>WHAP-1590</t>
        </is>
      </c>
      <c r="B1594" s="8" t="inlineStr">
        <is>
          <t>MOT-1590</t>
        </is>
      </c>
      <c r="C1594" s="8" t="inlineStr">
        <is>
          <t>axe de culasse</t>
        </is>
      </c>
      <c r="D1594" s="8" t="inlineStr">
        <is>
          <t>Moteur</t>
        </is>
      </c>
      <c r="E1594" s="8" t="inlineStr">
        <is>
          <t>Moteur</t>
        </is>
      </c>
      <c r="F1594" s="8" t="inlineStr">
        <is>
          <t>PIECE_VEHICULE</t>
        </is>
      </c>
      <c r="G1594" s="8" t="inlineStr">
        <is>
          <t>unité</t>
        </is>
      </c>
      <c r="H1594" s="8" t="inlineStr">
        <is>
          <t>LARGE</t>
        </is>
      </c>
      <c r="I1594" s="8" t="n">
        <v>0</v>
      </c>
      <c r="J1594" s="8" t="inlineStr">
        <is>
          <t>C-04-03</t>
        </is>
      </c>
      <c r="K1594" s="8" t="inlineStr"/>
      <c r="L1594" s="10" t="n">
        <v>0</v>
      </c>
      <c r="M1594" s="10" t="n">
        <v>0</v>
      </c>
      <c r="N1594" s="10" t="n">
        <v>20</v>
      </c>
      <c r="O1594" s="8" t="inlineStr">
        <is>
          <t>BOS</t>
        </is>
      </c>
      <c r="P1594" s="8" t="inlineStr">
        <is>
          <t>CRITIQUE</t>
        </is>
      </c>
      <c r="Q1594" s="8" t="inlineStr">
        <is>
          <t>WHAP</t>
        </is>
      </c>
      <c r="R1594" s="8" t="inlineStr">
        <is>
          <t>OUI</t>
        </is>
      </c>
      <c r="S1594" s="8" t="inlineStr">
        <is>
          <t>31/08/2026 02:59</t>
        </is>
      </c>
    </row>
    <row r="1595">
      <c r="A1595" s="7" t="inlineStr">
        <is>
          <t>WHAP-1591</t>
        </is>
      </c>
      <c r="B1595" s="7" t="inlineStr">
        <is>
          <t>MOT-1591</t>
        </is>
      </c>
      <c r="C1595" s="7" t="inlineStr">
        <is>
          <t>poulie de culasse</t>
        </is>
      </c>
      <c r="D1595" s="7" t="inlineStr">
        <is>
          <t>Moteur</t>
        </is>
      </c>
      <c r="E1595" s="7" t="inlineStr">
        <is>
          <t>Moteur</t>
        </is>
      </c>
      <c r="F1595" s="7" t="inlineStr">
        <is>
          <t>PIECE_VEHICULE</t>
        </is>
      </c>
      <c r="G1595" s="7" t="inlineStr">
        <is>
          <t>unité</t>
        </is>
      </c>
      <c r="H1595" s="7" t="inlineStr">
        <is>
          <t>LARGE</t>
        </is>
      </c>
      <c r="I1595" s="7" t="n">
        <v>0</v>
      </c>
      <c r="J1595" s="7" t="inlineStr">
        <is>
          <t>E-01-03</t>
        </is>
      </c>
      <c r="K1595" s="7" t="inlineStr"/>
      <c r="L1595" s="9" t="n">
        <v>0</v>
      </c>
      <c r="M1595" s="9" t="n">
        <v>0</v>
      </c>
      <c r="N1595" s="9" t="n">
        <v>10</v>
      </c>
      <c r="O1595" s="7" t="inlineStr">
        <is>
          <t>DEL</t>
        </is>
      </c>
      <c r="P1595" s="7" t="inlineStr">
        <is>
          <t>CRITIQUE</t>
        </is>
      </c>
      <c r="Q1595" s="7" t="inlineStr">
        <is>
          <t>WHAP</t>
        </is>
      </c>
      <c r="R1595" s="7" t="inlineStr">
        <is>
          <t>OUI</t>
        </is>
      </c>
      <c r="S1595" s="7" t="inlineStr">
        <is>
          <t>31/08/2026 02:59</t>
        </is>
      </c>
    </row>
    <row r="1596">
      <c r="A1596" s="8" t="inlineStr">
        <is>
          <t>WHAP-1592</t>
        </is>
      </c>
      <c r="B1596" s="8" t="inlineStr">
        <is>
          <t>MOT-1592</t>
        </is>
      </c>
      <c r="C1596" s="8" t="inlineStr">
        <is>
          <t>pignon de culasse</t>
        </is>
      </c>
      <c r="D1596" s="8" t="inlineStr">
        <is>
          <t>Moteur</t>
        </is>
      </c>
      <c r="E1596" s="8" t="inlineStr">
        <is>
          <t>Moteur</t>
        </is>
      </c>
      <c r="F1596" s="8" t="inlineStr">
        <is>
          <t>PIECE_VEHICULE</t>
        </is>
      </c>
      <c r="G1596" s="8" t="inlineStr">
        <is>
          <t>unité</t>
        </is>
      </c>
      <c r="H1596" s="8" t="inlineStr">
        <is>
          <t>LARGE</t>
        </is>
      </c>
      <c r="I1596" s="8" t="n">
        <v>0</v>
      </c>
      <c r="J1596" s="8" t="inlineStr">
        <is>
          <t>A-04-01</t>
        </is>
      </c>
      <c r="K1596" s="8" t="inlineStr"/>
      <c r="L1596" s="10" t="n">
        <v>0</v>
      </c>
      <c r="M1596" s="10" t="n">
        <v>0</v>
      </c>
      <c r="N1596" s="10" t="n">
        <v>12</v>
      </c>
      <c r="O1596" s="8" t="inlineStr">
        <is>
          <t>BOS</t>
        </is>
      </c>
      <c r="P1596" s="8" t="inlineStr">
        <is>
          <t>CRITIQUE</t>
        </is>
      </c>
      <c r="Q1596" s="8" t="inlineStr">
        <is>
          <t>WHAP</t>
        </is>
      </c>
      <c r="R1596" s="8" t="inlineStr">
        <is>
          <t>OUI</t>
        </is>
      </c>
      <c r="S1596" s="8" t="inlineStr">
        <is>
          <t>31/08/2026 02:59</t>
        </is>
      </c>
    </row>
    <row r="1597">
      <c r="A1597" s="7" t="inlineStr">
        <is>
          <t>WHAP-1593</t>
        </is>
      </c>
      <c r="B1597" s="7" t="inlineStr">
        <is>
          <t>MOT-1593</t>
        </is>
      </c>
      <c r="C1597" s="7" t="inlineStr">
        <is>
          <t>ensemble de joint de culasse</t>
        </is>
      </c>
      <c r="D1597" s="7" t="inlineStr">
        <is>
          <t>Moteur</t>
        </is>
      </c>
      <c r="E1597" s="7" t="inlineStr">
        <is>
          <t>Moteur</t>
        </is>
      </c>
      <c r="F1597" s="7" t="inlineStr">
        <is>
          <t>PIECE_VEHICULE</t>
        </is>
      </c>
      <c r="G1597" s="7" t="inlineStr">
        <is>
          <t>unité</t>
        </is>
      </c>
      <c r="H1597" s="7" t="inlineStr">
        <is>
          <t>LARGE</t>
        </is>
      </c>
      <c r="I1597" s="7" t="n">
        <v>0</v>
      </c>
      <c r="J1597" s="7" t="inlineStr">
        <is>
          <t>D-02-04</t>
        </is>
      </c>
      <c r="K1597" s="7" t="inlineStr"/>
      <c r="L1597" s="9" t="n">
        <v>0</v>
      </c>
      <c r="M1597" s="9" t="n">
        <v>0</v>
      </c>
      <c r="N1597" s="9" t="n">
        <v>13</v>
      </c>
      <c r="O1597" s="7" t="inlineStr">
        <is>
          <t>YZK</t>
        </is>
      </c>
      <c r="P1597" s="7" t="inlineStr">
        <is>
          <t>CRITIQUE</t>
        </is>
      </c>
      <c r="Q1597" s="7" t="inlineStr">
        <is>
          <t>WHAP</t>
        </is>
      </c>
      <c r="R1597" s="7" t="inlineStr">
        <is>
          <t>OUI</t>
        </is>
      </c>
      <c r="S1597" s="7" t="inlineStr">
        <is>
          <t>31/08/2026 02:59</t>
        </is>
      </c>
    </row>
    <row r="1598">
      <c r="A1598" s="8" t="inlineStr">
        <is>
          <t>WHAP-1594</t>
        </is>
      </c>
      <c r="B1598" s="8" t="inlineStr">
        <is>
          <t>MOT-1594</t>
        </is>
      </c>
      <c r="C1598" s="8" t="inlineStr">
        <is>
          <t>kit de joint de culasse</t>
        </is>
      </c>
      <c r="D1598" s="8" t="inlineStr">
        <is>
          <t>Moteur</t>
        </is>
      </c>
      <c r="E1598" s="8" t="inlineStr">
        <is>
          <t>Moteur</t>
        </is>
      </c>
      <c r="F1598" s="8" t="inlineStr">
        <is>
          <t>PIECE_VEHICULE</t>
        </is>
      </c>
      <c r="G1598" s="8" t="inlineStr">
        <is>
          <t>unité</t>
        </is>
      </c>
      <c r="H1598" s="8" t="inlineStr">
        <is>
          <t>LARGE</t>
        </is>
      </c>
      <c r="I1598" s="8" t="n">
        <v>0</v>
      </c>
      <c r="J1598" s="8" t="inlineStr">
        <is>
          <t>E-01-02</t>
        </is>
      </c>
      <c r="K1598" s="8" t="inlineStr"/>
      <c r="L1598" s="10" t="n">
        <v>0</v>
      </c>
      <c r="M1598" s="10" t="n">
        <v>0</v>
      </c>
      <c r="N1598" s="10" t="n">
        <v>20</v>
      </c>
      <c r="O1598" s="8" t="inlineStr">
        <is>
          <t>HEL</t>
        </is>
      </c>
      <c r="P1598" s="8" t="inlineStr">
        <is>
          <t>CRITIQUE</t>
        </is>
      </c>
      <c r="Q1598" s="8" t="inlineStr">
        <is>
          <t>WHAP</t>
        </is>
      </c>
      <c r="R1598" s="8" t="inlineStr">
        <is>
          <t>OUI</t>
        </is>
      </c>
      <c r="S1598" s="8" t="inlineStr">
        <is>
          <t>31/08/2026 02:59</t>
        </is>
      </c>
    </row>
    <row r="1599">
      <c r="A1599" s="7" t="inlineStr">
        <is>
          <t>WHAP-1595</t>
        </is>
      </c>
      <c r="B1599" s="7" t="inlineStr">
        <is>
          <t>MOT-1595</t>
        </is>
      </c>
      <c r="C1599" s="7" t="inlineStr">
        <is>
          <t>support de joint de culasse</t>
        </is>
      </c>
      <c r="D1599" s="7" t="inlineStr">
        <is>
          <t>Moteur</t>
        </is>
      </c>
      <c r="E1599" s="7" t="inlineStr">
        <is>
          <t>Moteur</t>
        </is>
      </c>
      <c r="F1599" s="7" t="inlineStr">
        <is>
          <t>PIECE_VEHICULE</t>
        </is>
      </c>
      <c r="G1599" s="7" t="inlineStr">
        <is>
          <t>unité</t>
        </is>
      </c>
      <c r="H1599" s="7" t="inlineStr">
        <is>
          <t>LARGE</t>
        </is>
      </c>
      <c r="I1599" s="7" t="n">
        <v>0</v>
      </c>
      <c r="J1599" s="7" t="inlineStr">
        <is>
          <t>A-03-02</t>
        </is>
      </c>
      <c r="K1599" s="7" t="inlineStr"/>
      <c r="L1599" s="9" t="n">
        <v>0</v>
      </c>
      <c r="M1599" s="9" t="n">
        <v>0</v>
      </c>
      <c r="N1599" s="9" t="n">
        <v>14</v>
      </c>
      <c r="O1599" s="7" t="inlineStr">
        <is>
          <t>HEL</t>
        </is>
      </c>
      <c r="P1599" s="7" t="inlineStr">
        <is>
          <t>CRITIQUE</t>
        </is>
      </c>
      <c r="Q1599" s="7" t="inlineStr">
        <is>
          <t>WHAP</t>
        </is>
      </c>
      <c r="R1599" s="7" t="inlineStr">
        <is>
          <t>OUI</t>
        </is>
      </c>
      <c r="S1599" s="7" t="inlineStr">
        <is>
          <t>31/08/2026 02:59</t>
        </is>
      </c>
    </row>
    <row r="1600">
      <c r="A1600" s="8" t="inlineStr">
        <is>
          <t>WHAP-1596</t>
        </is>
      </c>
      <c r="B1600" s="8" t="inlineStr">
        <is>
          <t>MOT-1596</t>
        </is>
      </c>
      <c r="C1600" s="8" t="inlineStr">
        <is>
          <t>boîtier de joint de culasse</t>
        </is>
      </c>
      <c r="D1600" s="8" t="inlineStr">
        <is>
          <t>Moteur</t>
        </is>
      </c>
      <c r="E1600" s="8" t="inlineStr">
        <is>
          <t>Moteur</t>
        </is>
      </c>
      <c r="F1600" s="8" t="inlineStr">
        <is>
          <t>PIECE_VEHICULE</t>
        </is>
      </c>
      <c r="G1600" s="8" t="inlineStr">
        <is>
          <t>unité</t>
        </is>
      </c>
      <c r="H1600" s="8" t="inlineStr">
        <is>
          <t>LARGE</t>
        </is>
      </c>
      <c r="I1600" s="8" t="n">
        <v>0</v>
      </c>
      <c r="J1600" s="8" t="inlineStr">
        <is>
          <t>D-03-02</t>
        </is>
      </c>
      <c r="K1600" s="8" t="inlineStr"/>
      <c r="L1600" s="10" t="n">
        <v>0</v>
      </c>
      <c r="M1600" s="10" t="n">
        <v>0</v>
      </c>
      <c r="N1600" s="10" t="n">
        <v>13</v>
      </c>
      <c r="O1600" s="8" t="inlineStr">
        <is>
          <t>YZK</t>
        </is>
      </c>
      <c r="P1600" s="8" t="inlineStr">
        <is>
          <t>CRITIQUE</t>
        </is>
      </c>
      <c r="Q1600" s="8" t="inlineStr">
        <is>
          <t>WHAP</t>
        </is>
      </c>
      <c r="R1600" s="8" t="inlineStr">
        <is>
          <t>OUI</t>
        </is>
      </c>
      <c r="S1600" s="8" t="inlineStr">
        <is>
          <t>31/08/2026 02:59</t>
        </is>
      </c>
    </row>
    <row r="1601">
      <c r="A1601" s="7" t="inlineStr">
        <is>
          <t>WHAP-1597</t>
        </is>
      </c>
      <c r="B1601" s="7" t="inlineStr">
        <is>
          <t>MOT-1597</t>
        </is>
      </c>
      <c r="C1601" s="7" t="inlineStr">
        <is>
          <t>module de joint de culasse</t>
        </is>
      </c>
      <c r="D1601" s="7" t="inlineStr">
        <is>
          <t>Moteur</t>
        </is>
      </c>
      <c r="E1601" s="7" t="inlineStr">
        <is>
          <t>Moteur</t>
        </is>
      </c>
      <c r="F1601" s="7" t="inlineStr">
        <is>
          <t>PIECE_VEHICULE</t>
        </is>
      </c>
      <c r="G1601" s="7" t="inlineStr">
        <is>
          <t>unité</t>
        </is>
      </c>
      <c r="H1601" s="7" t="inlineStr">
        <is>
          <t>LARGE</t>
        </is>
      </c>
      <c r="I1601" s="7" t="n">
        <v>0</v>
      </c>
      <c r="J1601" s="7" t="inlineStr">
        <is>
          <t>A-01-01</t>
        </is>
      </c>
      <c r="K1601" s="7" t="inlineStr"/>
      <c r="L1601" s="9" t="n">
        <v>0</v>
      </c>
      <c r="M1601" s="9" t="n">
        <v>0</v>
      </c>
      <c r="N1601" s="9" t="n">
        <v>20</v>
      </c>
      <c r="O1601" s="7" t="inlineStr">
        <is>
          <t>SUM</t>
        </is>
      </c>
      <c r="P1601" s="7" t="inlineStr">
        <is>
          <t>CRITIQUE</t>
        </is>
      </c>
      <c r="Q1601" s="7" t="inlineStr">
        <is>
          <t>WHAP</t>
        </is>
      </c>
      <c r="R1601" s="7" t="inlineStr">
        <is>
          <t>OUI</t>
        </is>
      </c>
      <c r="S1601" s="7" t="inlineStr">
        <is>
          <t>31/08/2026 02:59</t>
        </is>
      </c>
    </row>
    <row r="1602">
      <c r="A1602" s="8" t="inlineStr">
        <is>
          <t>WHAP-1598</t>
        </is>
      </c>
      <c r="B1602" s="8" t="inlineStr">
        <is>
          <t>MOT-1598</t>
        </is>
      </c>
      <c r="C1602" s="8" t="inlineStr">
        <is>
          <t>câblage de joint de culasse</t>
        </is>
      </c>
      <c r="D1602" s="8" t="inlineStr">
        <is>
          <t>Moteur</t>
        </is>
      </c>
      <c r="E1602" s="8" t="inlineStr">
        <is>
          <t>Moteur</t>
        </is>
      </c>
      <c r="F1602" s="8" t="inlineStr">
        <is>
          <t>PIECE_VEHICULE</t>
        </is>
      </c>
      <c r="G1602" s="8" t="inlineStr">
        <is>
          <t>unité</t>
        </is>
      </c>
      <c r="H1602" s="8" t="inlineStr">
        <is>
          <t>LARGE</t>
        </is>
      </c>
      <c r="I1602" s="8" t="n">
        <v>0</v>
      </c>
      <c r="J1602" s="8" t="inlineStr">
        <is>
          <t>C-04-04</t>
        </is>
      </c>
      <c r="K1602" s="8" t="inlineStr"/>
      <c r="L1602" s="10" t="n">
        <v>0</v>
      </c>
      <c r="M1602" s="10" t="n">
        <v>0</v>
      </c>
      <c r="N1602" s="10" t="n">
        <v>12</v>
      </c>
      <c r="O1602" s="8" t="inlineStr">
        <is>
          <t>SUM</t>
        </is>
      </c>
      <c r="P1602" s="8" t="inlineStr">
        <is>
          <t>CRITIQUE</t>
        </is>
      </c>
      <c r="Q1602" s="8" t="inlineStr">
        <is>
          <t>WHAP</t>
        </is>
      </c>
      <c r="R1602" s="8" t="inlineStr">
        <is>
          <t>OUI</t>
        </is>
      </c>
      <c r="S1602" s="8" t="inlineStr">
        <is>
          <t>31/08/2026 02:59</t>
        </is>
      </c>
    </row>
    <row r="1603">
      <c r="A1603" s="7" t="inlineStr">
        <is>
          <t>WHAP-1599</t>
        </is>
      </c>
      <c r="B1603" s="7" t="inlineStr">
        <is>
          <t>MOT-1599</t>
        </is>
      </c>
      <c r="C1603" s="7" t="inlineStr">
        <is>
          <t>connecteur de joint de culasse</t>
        </is>
      </c>
      <c r="D1603" s="7" t="inlineStr">
        <is>
          <t>Moteur</t>
        </is>
      </c>
      <c r="E1603" s="7" t="inlineStr">
        <is>
          <t>Moteur</t>
        </is>
      </c>
      <c r="F1603" s="7" t="inlineStr">
        <is>
          <t>PIECE_VEHICULE</t>
        </is>
      </c>
      <c r="G1603" s="7" t="inlineStr">
        <is>
          <t>unité</t>
        </is>
      </c>
      <c r="H1603" s="7" t="inlineStr">
        <is>
          <t>LARGE</t>
        </is>
      </c>
      <c r="I1603" s="7" t="n">
        <v>0</v>
      </c>
      <c r="J1603" s="7" t="inlineStr">
        <is>
          <t>A-03-02</t>
        </is>
      </c>
      <c r="K1603" s="7" t="inlineStr"/>
      <c r="L1603" s="9" t="n">
        <v>0</v>
      </c>
      <c r="M1603" s="9" t="n">
        <v>0</v>
      </c>
      <c r="N1603" s="9" t="n">
        <v>10</v>
      </c>
      <c r="O1603" s="7" t="inlineStr">
        <is>
          <t>DEL</t>
        </is>
      </c>
      <c r="P1603" s="7" t="inlineStr">
        <is>
          <t>CRITIQUE</t>
        </is>
      </c>
      <c r="Q1603" s="7" t="inlineStr">
        <is>
          <t>WHAP</t>
        </is>
      </c>
      <c r="R1603" s="7" t="inlineStr">
        <is>
          <t>OUI</t>
        </is>
      </c>
      <c r="S1603" s="7" t="inlineStr">
        <is>
          <t>31/08/2026 02:59</t>
        </is>
      </c>
    </row>
    <row r="1604">
      <c r="A1604" s="8" t="inlineStr">
        <is>
          <t>WHAP-1600</t>
        </is>
      </c>
      <c r="B1604" s="8" t="inlineStr">
        <is>
          <t>MOT-1600</t>
        </is>
      </c>
      <c r="C1604" s="8" t="inlineStr">
        <is>
          <t>joint de joint de culasse</t>
        </is>
      </c>
      <c r="D1604" s="8" t="inlineStr">
        <is>
          <t>Moteur</t>
        </is>
      </c>
      <c r="E1604" s="8" t="inlineStr">
        <is>
          <t>Moteur</t>
        </is>
      </c>
      <c r="F1604" s="8" t="inlineStr">
        <is>
          <t>PIECE_VEHICULE</t>
        </is>
      </c>
      <c r="G1604" s="8" t="inlineStr">
        <is>
          <t>unité</t>
        </is>
      </c>
      <c r="H1604" s="8" t="inlineStr">
        <is>
          <t>LARGE</t>
        </is>
      </c>
      <c r="I1604" s="8" t="n">
        <v>0</v>
      </c>
      <c r="J1604" s="8" t="inlineStr">
        <is>
          <t>C-04-02</t>
        </is>
      </c>
      <c r="K1604" s="8" t="inlineStr"/>
      <c r="L1604" s="10" t="n">
        <v>0</v>
      </c>
      <c r="M1604" s="10" t="n">
        <v>0</v>
      </c>
      <c r="N1604" s="10" t="n">
        <v>11</v>
      </c>
      <c r="O1604" s="8" t="inlineStr">
        <is>
          <t>MAG</t>
        </is>
      </c>
      <c r="P1604" s="8" t="inlineStr">
        <is>
          <t>CRITIQUE</t>
        </is>
      </c>
      <c r="Q1604" s="8" t="inlineStr">
        <is>
          <t>WHAP</t>
        </is>
      </c>
      <c r="R1604" s="8" t="inlineStr">
        <is>
          <t>OUI</t>
        </is>
      </c>
      <c r="S1604" s="8" t="inlineStr">
        <is>
          <t>31/08/2026 02:59</t>
        </is>
      </c>
    </row>
    <row r="1605">
      <c r="A1605" s="7" t="inlineStr">
        <is>
          <t>WHAP-1601</t>
        </is>
      </c>
      <c r="B1605" s="7" t="inlineStr">
        <is>
          <t>MOT-1601</t>
        </is>
      </c>
      <c r="C1605" s="7" t="inlineStr">
        <is>
          <t>fixation de joint de culasse</t>
        </is>
      </c>
      <c r="D1605" s="7" t="inlineStr">
        <is>
          <t>Moteur</t>
        </is>
      </c>
      <c r="E1605" s="7" t="inlineStr">
        <is>
          <t>Moteur</t>
        </is>
      </c>
      <c r="F1605" s="7" t="inlineStr">
        <is>
          <t>PIECE_VEHICULE</t>
        </is>
      </c>
      <c r="G1605" s="7" t="inlineStr">
        <is>
          <t>unité</t>
        </is>
      </c>
      <c r="H1605" s="7" t="inlineStr">
        <is>
          <t>LARGE</t>
        </is>
      </c>
      <c r="I1605" s="7" t="n">
        <v>0</v>
      </c>
      <c r="J1605" s="7" t="inlineStr">
        <is>
          <t>A-02-01</t>
        </is>
      </c>
      <c r="K1605" s="7" t="inlineStr"/>
      <c r="L1605" s="9" t="n">
        <v>0</v>
      </c>
      <c r="M1605" s="9" t="n">
        <v>0</v>
      </c>
      <c r="N1605" s="9" t="n">
        <v>16</v>
      </c>
      <c r="O1605" s="7" t="inlineStr">
        <is>
          <t>SUM</t>
        </is>
      </c>
      <c r="P1605" s="7" t="inlineStr">
        <is>
          <t>CRITIQUE</t>
        </is>
      </c>
      <c r="Q1605" s="7" t="inlineStr">
        <is>
          <t>WHAP</t>
        </is>
      </c>
      <c r="R1605" s="7" t="inlineStr">
        <is>
          <t>OUI</t>
        </is>
      </c>
      <c r="S1605" s="7" t="inlineStr">
        <is>
          <t>31/08/2026 02:59</t>
        </is>
      </c>
    </row>
    <row r="1606">
      <c r="A1606" s="8" t="inlineStr">
        <is>
          <t>WHAP-1602</t>
        </is>
      </c>
      <c r="B1606" s="8" t="inlineStr">
        <is>
          <t>MOT-1602</t>
        </is>
      </c>
      <c r="C1606" s="8" t="inlineStr">
        <is>
          <t>protection de joint de culasse</t>
        </is>
      </c>
      <c r="D1606" s="8" t="inlineStr">
        <is>
          <t>Moteur</t>
        </is>
      </c>
      <c r="E1606" s="8" t="inlineStr">
        <is>
          <t>Moteur</t>
        </is>
      </c>
      <c r="F1606" s="8" t="inlineStr">
        <is>
          <t>PIECE_VEHICULE</t>
        </is>
      </c>
      <c r="G1606" s="8" t="inlineStr">
        <is>
          <t>unité</t>
        </is>
      </c>
      <c r="H1606" s="8" t="inlineStr">
        <is>
          <t>LARGE</t>
        </is>
      </c>
      <c r="I1606" s="8" t="n">
        <v>0</v>
      </c>
      <c r="J1606" s="8" t="inlineStr">
        <is>
          <t>D-03-03</t>
        </is>
      </c>
      <c r="K1606" s="8" t="inlineStr"/>
      <c r="L1606" s="10" t="n">
        <v>0</v>
      </c>
      <c r="M1606" s="10" t="n">
        <v>0</v>
      </c>
      <c r="N1606" s="10" t="n">
        <v>16</v>
      </c>
      <c r="O1606" s="8" t="inlineStr">
        <is>
          <t>VAL</t>
        </is>
      </c>
      <c r="P1606" s="8" t="inlineStr">
        <is>
          <t>CRITIQUE</t>
        </is>
      </c>
      <c r="Q1606" s="8" t="inlineStr">
        <is>
          <t>WHAP</t>
        </is>
      </c>
      <c r="R1606" s="8" t="inlineStr">
        <is>
          <t>OUI</t>
        </is>
      </c>
      <c r="S1606" s="8" t="inlineStr">
        <is>
          <t>31/08/2026 02:59</t>
        </is>
      </c>
    </row>
    <row r="1607">
      <c r="A1607" s="7" t="inlineStr">
        <is>
          <t>WHAP-1603</t>
        </is>
      </c>
      <c r="B1607" s="7" t="inlineStr">
        <is>
          <t>MOT-1603</t>
        </is>
      </c>
      <c r="C1607" s="7" t="inlineStr">
        <is>
          <t>capteur de joint de culasse</t>
        </is>
      </c>
      <c r="D1607" s="7" t="inlineStr">
        <is>
          <t>Moteur</t>
        </is>
      </c>
      <c r="E1607" s="7" t="inlineStr">
        <is>
          <t>Moteur</t>
        </is>
      </c>
      <c r="F1607" s="7" t="inlineStr">
        <is>
          <t>PIECE_VEHICULE</t>
        </is>
      </c>
      <c r="G1607" s="7" t="inlineStr">
        <is>
          <t>unité</t>
        </is>
      </c>
      <c r="H1607" s="7" t="inlineStr">
        <is>
          <t>LARGE</t>
        </is>
      </c>
      <c r="I1607" s="7" t="n">
        <v>0</v>
      </c>
      <c r="J1607" s="7" t="inlineStr">
        <is>
          <t>D-04-04</t>
        </is>
      </c>
      <c r="K1607" s="7" t="inlineStr"/>
      <c r="L1607" s="9" t="n">
        <v>0</v>
      </c>
      <c r="M1607" s="9" t="n">
        <v>0</v>
      </c>
      <c r="N1607" s="9" t="n">
        <v>16</v>
      </c>
      <c r="O1607" s="7" t="inlineStr">
        <is>
          <t>SKF</t>
        </is>
      </c>
      <c r="P1607" s="7" t="inlineStr">
        <is>
          <t>CRITIQUE</t>
        </is>
      </c>
      <c r="Q1607" s="7" t="inlineStr">
        <is>
          <t>WHAP</t>
        </is>
      </c>
      <c r="R1607" s="7" t="inlineStr">
        <is>
          <t>OUI</t>
        </is>
      </c>
      <c r="S1607" s="7" t="inlineStr">
        <is>
          <t>31/08/2026 02:59</t>
        </is>
      </c>
    </row>
    <row r="1608">
      <c r="A1608" s="8" t="inlineStr">
        <is>
          <t>WHAP-1604</t>
        </is>
      </c>
      <c r="B1608" s="8" t="inlineStr">
        <is>
          <t>MOT-1604</t>
        </is>
      </c>
      <c r="C1608" s="8" t="inlineStr">
        <is>
          <t>actionneur de joint de culasse</t>
        </is>
      </c>
      <c r="D1608" s="8" t="inlineStr">
        <is>
          <t>Moteur</t>
        </is>
      </c>
      <c r="E1608" s="8" t="inlineStr">
        <is>
          <t>Moteur</t>
        </is>
      </c>
      <c r="F1608" s="8" t="inlineStr">
        <is>
          <t>PIECE_VEHICULE</t>
        </is>
      </c>
      <c r="G1608" s="8" t="inlineStr">
        <is>
          <t>unité</t>
        </is>
      </c>
      <c r="H1608" s="8" t="inlineStr">
        <is>
          <t>LARGE</t>
        </is>
      </c>
      <c r="I1608" s="8" t="n">
        <v>0</v>
      </c>
      <c r="J1608" s="8" t="inlineStr">
        <is>
          <t>D-04-04</t>
        </is>
      </c>
      <c r="K1608" s="8" t="inlineStr"/>
      <c r="L1608" s="10" t="n">
        <v>0</v>
      </c>
      <c r="M1608" s="10" t="n">
        <v>0</v>
      </c>
      <c r="N1608" s="10" t="n">
        <v>19</v>
      </c>
      <c r="O1608" s="8" t="inlineStr">
        <is>
          <t>YZK</t>
        </is>
      </c>
      <c r="P1608" s="8" t="inlineStr">
        <is>
          <t>CRITIQUE</t>
        </is>
      </c>
      <c r="Q1608" s="8" t="inlineStr">
        <is>
          <t>WHAP</t>
        </is>
      </c>
      <c r="R1608" s="8" t="inlineStr">
        <is>
          <t>OUI</t>
        </is>
      </c>
      <c r="S1608" s="8" t="inlineStr">
        <is>
          <t>31/08/2026 02:59</t>
        </is>
      </c>
    </row>
    <row r="1609">
      <c r="A1609" s="7" t="inlineStr">
        <is>
          <t>WHAP-1605</t>
        </is>
      </c>
      <c r="B1609" s="7" t="inlineStr">
        <is>
          <t>MOT-1605</t>
        </is>
      </c>
      <c r="C1609" s="7" t="inlineStr">
        <is>
          <t>raccord de joint de culasse</t>
        </is>
      </c>
      <c r="D1609" s="7" t="inlineStr">
        <is>
          <t>Moteur</t>
        </is>
      </c>
      <c r="E1609" s="7" t="inlineStr">
        <is>
          <t>Moteur</t>
        </is>
      </c>
      <c r="F1609" s="7" t="inlineStr">
        <is>
          <t>PIECE_VEHICULE</t>
        </is>
      </c>
      <c r="G1609" s="7" t="inlineStr">
        <is>
          <t>unité</t>
        </is>
      </c>
      <c r="H1609" s="7" t="inlineStr">
        <is>
          <t>LARGE</t>
        </is>
      </c>
      <c r="I1609" s="7" t="n">
        <v>0</v>
      </c>
      <c r="J1609" s="7" t="inlineStr">
        <is>
          <t>F-04-02</t>
        </is>
      </c>
      <c r="K1609" s="7" t="inlineStr"/>
      <c r="L1609" s="9" t="n">
        <v>0</v>
      </c>
      <c r="M1609" s="9" t="n">
        <v>0</v>
      </c>
      <c r="N1609" s="9" t="n">
        <v>16</v>
      </c>
      <c r="O1609" s="7" t="inlineStr">
        <is>
          <t>YZK</t>
        </is>
      </c>
      <c r="P1609" s="7" t="inlineStr">
        <is>
          <t>CRITIQUE</t>
        </is>
      </c>
      <c r="Q1609" s="7" t="inlineStr">
        <is>
          <t>WHAP</t>
        </is>
      </c>
      <c r="R1609" s="7" t="inlineStr">
        <is>
          <t>OUI</t>
        </is>
      </c>
      <c r="S1609" s="7" t="inlineStr">
        <is>
          <t>31/08/2026 02:59</t>
        </is>
      </c>
    </row>
    <row r="1610">
      <c r="A1610" s="8" t="inlineStr">
        <is>
          <t>WHAP-1606</t>
        </is>
      </c>
      <c r="B1610" s="8" t="inlineStr">
        <is>
          <t>MOT-1606</t>
        </is>
      </c>
      <c r="C1610" s="8" t="inlineStr">
        <is>
          <t>plaque de joint de culasse</t>
        </is>
      </c>
      <c r="D1610" s="8" t="inlineStr">
        <is>
          <t>Moteur</t>
        </is>
      </c>
      <c r="E1610" s="8" t="inlineStr">
        <is>
          <t>Moteur</t>
        </is>
      </c>
      <c r="F1610" s="8" t="inlineStr">
        <is>
          <t>PIECE_VEHICULE</t>
        </is>
      </c>
      <c r="G1610" s="8" t="inlineStr">
        <is>
          <t>unité</t>
        </is>
      </c>
      <c r="H1610" s="8" t="inlineStr">
        <is>
          <t>LARGE</t>
        </is>
      </c>
      <c r="I1610" s="8" t="n">
        <v>0</v>
      </c>
      <c r="J1610" s="8" t="inlineStr">
        <is>
          <t>D-02-01</t>
        </is>
      </c>
      <c r="K1610" s="8" t="inlineStr"/>
      <c r="L1610" s="10" t="n">
        <v>0</v>
      </c>
      <c r="M1610" s="10" t="n">
        <v>0</v>
      </c>
      <c r="N1610" s="10" t="n">
        <v>11</v>
      </c>
      <c r="O1610" s="8" t="inlineStr">
        <is>
          <t>CTL</t>
        </is>
      </c>
      <c r="P1610" s="8" t="inlineStr">
        <is>
          <t>CRITIQUE</t>
        </is>
      </c>
      <c r="Q1610" s="8" t="inlineStr">
        <is>
          <t>WHAP</t>
        </is>
      </c>
      <c r="R1610" s="8" t="inlineStr">
        <is>
          <t>OUI</t>
        </is>
      </c>
      <c r="S1610" s="8" t="inlineStr">
        <is>
          <t>31/08/2026 02:59</t>
        </is>
      </c>
    </row>
    <row r="1611">
      <c r="A1611" s="7" t="inlineStr">
        <is>
          <t>WHAP-1607</t>
        </is>
      </c>
      <c r="B1611" s="7" t="inlineStr">
        <is>
          <t>MOT-1607</t>
        </is>
      </c>
      <c r="C1611" s="7" t="inlineStr">
        <is>
          <t>couvercle de joint de culasse</t>
        </is>
      </c>
      <c r="D1611" s="7" t="inlineStr">
        <is>
          <t>Moteur</t>
        </is>
      </c>
      <c r="E1611" s="7" t="inlineStr">
        <is>
          <t>Moteur</t>
        </is>
      </c>
      <c r="F1611" s="7" t="inlineStr">
        <is>
          <t>PIECE_VEHICULE</t>
        </is>
      </c>
      <c r="G1611" s="7" t="inlineStr">
        <is>
          <t>unité</t>
        </is>
      </c>
      <c r="H1611" s="7" t="inlineStr">
        <is>
          <t>LARGE</t>
        </is>
      </c>
      <c r="I1611" s="7" t="n">
        <v>0</v>
      </c>
      <c r="J1611" s="7" t="inlineStr">
        <is>
          <t>A-02-03</t>
        </is>
      </c>
      <c r="K1611" s="7" t="inlineStr"/>
      <c r="L1611" s="9" t="n">
        <v>0</v>
      </c>
      <c r="M1611" s="9" t="n">
        <v>0</v>
      </c>
      <c r="N1611" s="9" t="n">
        <v>14</v>
      </c>
      <c r="O1611" s="7" t="inlineStr">
        <is>
          <t>BOS</t>
        </is>
      </c>
      <c r="P1611" s="7" t="inlineStr">
        <is>
          <t>CRITIQUE</t>
        </is>
      </c>
      <c r="Q1611" s="7" t="inlineStr">
        <is>
          <t>WHAP</t>
        </is>
      </c>
      <c r="R1611" s="7" t="inlineStr">
        <is>
          <t>OUI</t>
        </is>
      </c>
      <c r="S1611" s="7" t="inlineStr">
        <is>
          <t>31/08/2026 02:59</t>
        </is>
      </c>
    </row>
    <row r="1612">
      <c r="A1612" s="8" t="inlineStr">
        <is>
          <t>WHAP-1608</t>
        </is>
      </c>
      <c r="B1612" s="8" t="inlineStr">
        <is>
          <t>MOT-1608</t>
        </is>
      </c>
      <c r="C1612" s="8" t="inlineStr">
        <is>
          <t>bague de joint de culasse</t>
        </is>
      </c>
      <c r="D1612" s="8" t="inlineStr">
        <is>
          <t>Moteur</t>
        </is>
      </c>
      <c r="E1612" s="8" t="inlineStr">
        <is>
          <t>Moteur</t>
        </is>
      </c>
      <c r="F1612" s="8" t="inlineStr">
        <is>
          <t>PIECE_VEHICULE</t>
        </is>
      </c>
      <c r="G1612" s="8" t="inlineStr">
        <is>
          <t>unité</t>
        </is>
      </c>
      <c r="H1612" s="8" t="inlineStr">
        <is>
          <t>LARGE</t>
        </is>
      </c>
      <c r="I1612" s="8" t="n">
        <v>0</v>
      </c>
      <c r="J1612" s="8" t="inlineStr">
        <is>
          <t>F-03-04</t>
        </is>
      </c>
      <c r="K1612" s="8" t="inlineStr"/>
      <c r="L1612" s="10" t="n">
        <v>0</v>
      </c>
      <c r="M1612" s="10" t="n">
        <v>0</v>
      </c>
      <c r="N1612" s="10" t="n">
        <v>20</v>
      </c>
      <c r="O1612" s="8" t="inlineStr">
        <is>
          <t>YZK</t>
        </is>
      </c>
      <c r="P1612" s="8" t="inlineStr">
        <is>
          <t>CRITIQUE</t>
        </is>
      </c>
      <c r="Q1612" s="8" t="inlineStr">
        <is>
          <t>WHAP</t>
        </is>
      </c>
      <c r="R1612" s="8" t="inlineStr">
        <is>
          <t>OUI</t>
        </is>
      </c>
      <c r="S1612" s="8" t="inlineStr">
        <is>
          <t>31/08/2026 02:59</t>
        </is>
      </c>
    </row>
    <row r="1613">
      <c r="A1613" s="7" t="inlineStr">
        <is>
          <t>WHAP-1609</t>
        </is>
      </c>
      <c r="B1613" s="7" t="inlineStr">
        <is>
          <t>MOT-1609</t>
        </is>
      </c>
      <c r="C1613" s="7" t="inlineStr">
        <is>
          <t>entretoise de joint de culasse</t>
        </is>
      </c>
      <c r="D1613" s="7" t="inlineStr">
        <is>
          <t>Moteur</t>
        </is>
      </c>
      <c r="E1613" s="7" t="inlineStr">
        <is>
          <t>Moteur</t>
        </is>
      </c>
      <c r="F1613" s="7" t="inlineStr">
        <is>
          <t>PIECE_VEHICULE</t>
        </is>
      </c>
      <c r="G1613" s="7" t="inlineStr">
        <is>
          <t>unité</t>
        </is>
      </c>
      <c r="H1613" s="7" t="inlineStr">
        <is>
          <t>LARGE</t>
        </is>
      </c>
      <c r="I1613" s="7" t="n">
        <v>0</v>
      </c>
      <c r="J1613" s="7" t="inlineStr">
        <is>
          <t>D-05-01</t>
        </is>
      </c>
      <c r="K1613" s="7" t="inlineStr"/>
      <c r="L1613" s="9" t="n">
        <v>0</v>
      </c>
      <c r="M1613" s="9" t="n">
        <v>0</v>
      </c>
      <c r="N1613" s="9" t="n">
        <v>13</v>
      </c>
      <c r="O1613" s="7" t="inlineStr">
        <is>
          <t>VAL</t>
        </is>
      </c>
      <c r="P1613" s="7" t="inlineStr">
        <is>
          <t>CRITIQUE</t>
        </is>
      </c>
      <c r="Q1613" s="7" t="inlineStr">
        <is>
          <t>WHAP</t>
        </is>
      </c>
      <c r="R1613" s="7" t="inlineStr">
        <is>
          <t>OUI</t>
        </is>
      </c>
      <c r="S1613" s="7" t="inlineStr">
        <is>
          <t>31/08/2026 02:59</t>
        </is>
      </c>
    </row>
    <row r="1614">
      <c r="A1614" s="8" t="inlineStr">
        <is>
          <t>WHAP-1610</t>
        </is>
      </c>
      <c r="B1614" s="8" t="inlineStr">
        <is>
          <t>MOT-1610</t>
        </is>
      </c>
      <c r="C1614" s="8" t="inlineStr">
        <is>
          <t>axe de joint de culasse</t>
        </is>
      </c>
      <c r="D1614" s="8" t="inlineStr">
        <is>
          <t>Moteur</t>
        </is>
      </c>
      <c r="E1614" s="8" t="inlineStr">
        <is>
          <t>Moteur</t>
        </is>
      </c>
      <c r="F1614" s="8" t="inlineStr">
        <is>
          <t>PIECE_VEHICULE</t>
        </is>
      </c>
      <c r="G1614" s="8" t="inlineStr">
        <is>
          <t>unité</t>
        </is>
      </c>
      <c r="H1614" s="8" t="inlineStr">
        <is>
          <t>LARGE</t>
        </is>
      </c>
      <c r="I1614" s="8" t="n">
        <v>0</v>
      </c>
      <c r="J1614" s="8" t="inlineStr">
        <is>
          <t>F-06-04</t>
        </is>
      </c>
      <c r="K1614" s="8" t="inlineStr"/>
      <c r="L1614" s="10" t="n">
        <v>0</v>
      </c>
      <c r="M1614" s="10" t="n">
        <v>0</v>
      </c>
      <c r="N1614" s="10" t="n">
        <v>12</v>
      </c>
      <c r="O1614" s="8" t="inlineStr">
        <is>
          <t>FAU</t>
        </is>
      </c>
      <c r="P1614" s="8" t="inlineStr">
        <is>
          <t>CRITIQUE</t>
        </is>
      </c>
      <c r="Q1614" s="8" t="inlineStr">
        <is>
          <t>WHAP</t>
        </is>
      </c>
      <c r="R1614" s="8" t="inlineStr">
        <is>
          <t>OUI</t>
        </is>
      </c>
      <c r="S1614" s="8" t="inlineStr">
        <is>
          <t>31/08/2026 02:59</t>
        </is>
      </c>
    </row>
    <row r="1615">
      <c r="A1615" s="7" t="inlineStr">
        <is>
          <t>WHAP-1611</t>
        </is>
      </c>
      <c r="B1615" s="7" t="inlineStr">
        <is>
          <t>MOT-1611</t>
        </is>
      </c>
      <c r="C1615" s="7" t="inlineStr">
        <is>
          <t>poulie de joint de culasse</t>
        </is>
      </c>
      <c r="D1615" s="7" t="inlineStr">
        <is>
          <t>Moteur</t>
        </is>
      </c>
      <c r="E1615" s="7" t="inlineStr">
        <is>
          <t>Moteur</t>
        </is>
      </c>
      <c r="F1615" s="7" t="inlineStr">
        <is>
          <t>PIECE_VEHICULE</t>
        </is>
      </c>
      <c r="G1615" s="7" t="inlineStr">
        <is>
          <t>unité</t>
        </is>
      </c>
      <c r="H1615" s="7" t="inlineStr">
        <is>
          <t>LARGE</t>
        </is>
      </c>
      <c r="I1615" s="7" t="n">
        <v>0</v>
      </c>
      <c r="J1615" s="7" t="inlineStr">
        <is>
          <t>E-05-02</t>
        </is>
      </c>
      <c r="K1615" s="7" t="inlineStr"/>
      <c r="L1615" s="9" t="n">
        <v>0</v>
      </c>
      <c r="M1615" s="9" t="n">
        <v>0</v>
      </c>
      <c r="N1615" s="9" t="n">
        <v>10</v>
      </c>
      <c r="O1615" s="7" t="inlineStr">
        <is>
          <t>HEL</t>
        </is>
      </c>
      <c r="P1615" s="7" t="inlineStr">
        <is>
          <t>CRITIQUE</t>
        </is>
      </c>
      <c r="Q1615" s="7" t="inlineStr">
        <is>
          <t>WHAP</t>
        </is>
      </c>
      <c r="R1615" s="7" t="inlineStr">
        <is>
          <t>OUI</t>
        </is>
      </c>
      <c r="S1615" s="7" t="inlineStr">
        <is>
          <t>31/08/2026 02:59</t>
        </is>
      </c>
    </row>
    <row r="1616">
      <c r="A1616" s="8" t="inlineStr">
        <is>
          <t>WHAP-1612</t>
        </is>
      </c>
      <c r="B1616" s="8" t="inlineStr">
        <is>
          <t>MOT-1612</t>
        </is>
      </c>
      <c r="C1616" s="8" t="inlineStr">
        <is>
          <t>pignon de joint de culasse</t>
        </is>
      </c>
      <c r="D1616" s="8" t="inlineStr">
        <is>
          <t>Moteur</t>
        </is>
      </c>
      <c r="E1616" s="8" t="inlineStr">
        <is>
          <t>Moteur</t>
        </is>
      </c>
      <c r="F1616" s="8" t="inlineStr">
        <is>
          <t>PIECE_VEHICULE</t>
        </is>
      </c>
      <c r="G1616" s="8" t="inlineStr">
        <is>
          <t>unité</t>
        </is>
      </c>
      <c r="H1616" s="8" t="inlineStr">
        <is>
          <t>LARGE</t>
        </is>
      </c>
      <c r="I1616" s="8" t="n">
        <v>0</v>
      </c>
      <c r="J1616" s="8" t="inlineStr">
        <is>
          <t>A-05-02</t>
        </is>
      </c>
      <c r="K1616" s="8" t="inlineStr"/>
      <c r="L1616" s="10" t="n">
        <v>0</v>
      </c>
      <c r="M1616" s="10" t="n">
        <v>0</v>
      </c>
      <c r="N1616" s="10" t="n">
        <v>20</v>
      </c>
      <c r="O1616" s="8" t="inlineStr">
        <is>
          <t>SUM</t>
        </is>
      </c>
      <c r="P1616" s="8" t="inlineStr">
        <is>
          <t>CRITIQUE</t>
        </is>
      </c>
      <c r="Q1616" s="8" t="inlineStr">
        <is>
          <t>WHAP</t>
        </is>
      </c>
      <c r="R1616" s="8" t="inlineStr">
        <is>
          <t>OUI</t>
        </is>
      </c>
      <c r="S1616" s="8" t="inlineStr">
        <is>
          <t>31/08/2026 02:59</t>
        </is>
      </c>
    </row>
    <row r="1617">
      <c r="A1617" s="7" t="inlineStr">
        <is>
          <t>WHAP-1613</t>
        </is>
      </c>
      <c r="B1617" s="7" t="inlineStr">
        <is>
          <t>MOT-1613</t>
        </is>
      </c>
      <c r="C1617" s="7" t="inlineStr">
        <is>
          <t>ensemble de cache-culbuteurs</t>
        </is>
      </c>
      <c r="D1617" s="7" t="inlineStr">
        <is>
          <t>Moteur</t>
        </is>
      </c>
      <c r="E1617" s="7" t="inlineStr">
        <is>
          <t>Moteur</t>
        </is>
      </c>
      <c r="F1617" s="7" t="inlineStr">
        <is>
          <t>PIECE_VEHICULE</t>
        </is>
      </c>
      <c r="G1617" s="7" t="inlineStr">
        <is>
          <t>unité</t>
        </is>
      </c>
      <c r="H1617" s="7" t="inlineStr">
        <is>
          <t>LARGE</t>
        </is>
      </c>
      <c r="I1617" s="7" t="n">
        <v>0</v>
      </c>
      <c r="J1617" s="7" t="inlineStr">
        <is>
          <t>F-05-03</t>
        </is>
      </c>
      <c r="K1617" s="7" t="inlineStr"/>
      <c r="L1617" s="9" t="n">
        <v>0</v>
      </c>
      <c r="M1617" s="9" t="n">
        <v>0</v>
      </c>
      <c r="N1617" s="9" t="n">
        <v>17</v>
      </c>
      <c r="O1617" s="7" t="inlineStr">
        <is>
          <t>FAU</t>
        </is>
      </c>
      <c r="P1617" s="7" t="inlineStr">
        <is>
          <t>CRITIQUE</t>
        </is>
      </c>
      <c r="Q1617" s="7" t="inlineStr">
        <is>
          <t>WHAP</t>
        </is>
      </c>
      <c r="R1617" s="7" t="inlineStr">
        <is>
          <t>OUI</t>
        </is>
      </c>
      <c r="S1617" s="7" t="inlineStr">
        <is>
          <t>31/08/2026 02:59</t>
        </is>
      </c>
    </row>
    <row r="1618">
      <c r="A1618" s="8" t="inlineStr">
        <is>
          <t>WHAP-1614</t>
        </is>
      </c>
      <c r="B1618" s="8" t="inlineStr">
        <is>
          <t>MOT-1614</t>
        </is>
      </c>
      <c r="C1618" s="8" t="inlineStr">
        <is>
          <t>kit de cache-culbuteurs</t>
        </is>
      </c>
      <c r="D1618" s="8" t="inlineStr">
        <is>
          <t>Moteur</t>
        </is>
      </c>
      <c r="E1618" s="8" t="inlineStr">
        <is>
          <t>Moteur</t>
        </is>
      </c>
      <c r="F1618" s="8" t="inlineStr">
        <is>
          <t>PIECE_VEHICULE</t>
        </is>
      </c>
      <c r="G1618" s="8" t="inlineStr">
        <is>
          <t>unité</t>
        </is>
      </c>
      <c r="H1618" s="8" t="inlineStr">
        <is>
          <t>LARGE</t>
        </is>
      </c>
      <c r="I1618" s="8" t="n">
        <v>0</v>
      </c>
      <c r="J1618" s="8" t="inlineStr">
        <is>
          <t>D-04-02</t>
        </is>
      </c>
      <c r="K1618" s="8" t="inlineStr"/>
      <c r="L1618" s="10" t="n">
        <v>0</v>
      </c>
      <c r="M1618" s="10" t="n">
        <v>0</v>
      </c>
      <c r="N1618" s="10" t="n">
        <v>15</v>
      </c>
      <c r="O1618" s="8" t="inlineStr">
        <is>
          <t>SKF</t>
        </is>
      </c>
      <c r="P1618" s="8" t="inlineStr">
        <is>
          <t>CRITIQUE</t>
        </is>
      </c>
      <c r="Q1618" s="8" t="inlineStr">
        <is>
          <t>WHAP</t>
        </is>
      </c>
      <c r="R1618" s="8" t="inlineStr">
        <is>
          <t>OUI</t>
        </is>
      </c>
      <c r="S1618" s="8" t="inlineStr">
        <is>
          <t>31/08/2026 02:59</t>
        </is>
      </c>
    </row>
    <row r="1619">
      <c r="A1619" s="7" t="inlineStr">
        <is>
          <t>WHAP-1615</t>
        </is>
      </c>
      <c r="B1619" s="7" t="inlineStr">
        <is>
          <t>MOT-1615</t>
        </is>
      </c>
      <c r="C1619" s="7" t="inlineStr">
        <is>
          <t>support de cache-culbuteurs</t>
        </is>
      </c>
      <c r="D1619" s="7" t="inlineStr">
        <is>
          <t>Moteur</t>
        </is>
      </c>
      <c r="E1619" s="7" t="inlineStr">
        <is>
          <t>Moteur</t>
        </is>
      </c>
      <c r="F1619" s="7" t="inlineStr">
        <is>
          <t>PIECE_VEHICULE</t>
        </is>
      </c>
      <c r="G1619" s="7" t="inlineStr">
        <is>
          <t>unité</t>
        </is>
      </c>
      <c r="H1619" s="7" t="inlineStr">
        <is>
          <t>LARGE</t>
        </is>
      </c>
      <c r="I1619" s="7" t="n">
        <v>0</v>
      </c>
      <c r="J1619" s="7" t="inlineStr">
        <is>
          <t>B-01-01</t>
        </is>
      </c>
      <c r="K1619" s="7" t="inlineStr"/>
      <c r="L1619" s="9" t="n">
        <v>0</v>
      </c>
      <c r="M1619" s="9" t="n">
        <v>0</v>
      </c>
      <c r="N1619" s="9" t="n">
        <v>13</v>
      </c>
      <c r="O1619" s="7" t="inlineStr">
        <is>
          <t>FAU</t>
        </is>
      </c>
      <c r="P1619" s="7" t="inlineStr">
        <is>
          <t>CRITIQUE</t>
        </is>
      </c>
      <c r="Q1619" s="7" t="inlineStr">
        <is>
          <t>WHAP</t>
        </is>
      </c>
      <c r="R1619" s="7" t="inlineStr">
        <is>
          <t>OUI</t>
        </is>
      </c>
      <c r="S1619" s="7" t="inlineStr">
        <is>
          <t>31/08/2026 02:59</t>
        </is>
      </c>
    </row>
    <row r="1620">
      <c r="A1620" s="8" t="inlineStr">
        <is>
          <t>WHAP-1616</t>
        </is>
      </c>
      <c r="B1620" s="8" t="inlineStr">
        <is>
          <t>MOT-1616</t>
        </is>
      </c>
      <c r="C1620" s="8" t="inlineStr">
        <is>
          <t>boîtier de cache-culbuteurs</t>
        </is>
      </c>
      <c r="D1620" s="8" t="inlineStr">
        <is>
          <t>Moteur</t>
        </is>
      </c>
      <c r="E1620" s="8" t="inlineStr">
        <is>
          <t>Moteur</t>
        </is>
      </c>
      <c r="F1620" s="8" t="inlineStr">
        <is>
          <t>PIECE_VEHICULE</t>
        </is>
      </c>
      <c r="G1620" s="8" t="inlineStr">
        <is>
          <t>unité</t>
        </is>
      </c>
      <c r="H1620" s="8" t="inlineStr">
        <is>
          <t>LARGE</t>
        </is>
      </c>
      <c r="I1620" s="8" t="n">
        <v>0</v>
      </c>
      <c r="J1620" s="8" t="inlineStr">
        <is>
          <t>B-04-01</t>
        </is>
      </c>
      <c r="K1620" s="8" t="inlineStr"/>
      <c r="L1620" s="10" t="n">
        <v>0</v>
      </c>
      <c r="M1620" s="10" t="n">
        <v>0</v>
      </c>
      <c r="N1620" s="10" t="n">
        <v>19</v>
      </c>
      <c r="O1620" s="8" t="inlineStr">
        <is>
          <t>YZK</t>
        </is>
      </c>
      <c r="P1620" s="8" t="inlineStr">
        <is>
          <t>CRITIQUE</t>
        </is>
      </c>
      <c r="Q1620" s="8" t="inlineStr">
        <is>
          <t>WHAP</t>
        </is>
      </c>
      <c r="R1620" s="8" t="inlineStr">
        <is>
          <t>OUI</t>
        </is>
      </c>
      <c r="S1620" s="8" t="inlineStr">
        <is>
          <t>31/08/2026 02:59</t>
        </is>
      </c>
    </row>
    <row r="1621">
      <c r="A1621" s="7" t="inlineStr">
        <is>
          <t>WHAP-1617</t>
        </is>
      </c>
      <c r="B1621" s="7" t="inlineStr">
        <is>
          <t>MOT-1617</t>
        </is>
      </c>
      <c r="C1621" s="7" t="inlineStr">
        <is>
          <t>module de cache-culbuteurs</t>
        </is>
      </c>
      <c r="D1621" s="7" t="inlineStr">
        <is>
          <t>Moteur</t>
        </is>
      </c>
      <c r="E1621" s="7" t="inlineStr">
        <is>
          <t>Moteur</t>
        </is>
      </c>
      <c r="F1621" s="7" t="inlineStr">
        <is>
          <t>PIECE_VEHICULE</t>
        </is>
      </c>
      <c r="G1621" s="7" t="inlineStr">
        <is>
          <t>unité</t>
        </is>
      </c>
      <c r="H1621" s="7" t="inlineStr">
        <is>
          <t>LARGE</t>
        </is>
      </c>
      <c r="I1621" s="7" t="n">
        <v>0</v>
      </c>
      <c r="J1621" s="7" t="inlineStr">
        <is>
          <t>F-01-03</t>
        </is>
      </c>
      <c r="K1621" s="7" t="inlineStr"/>
      <c r="L1621" s="9" t="n">
        <v>0</v>
      </c>
      <c r="M1621" s="9" t="n">
        <v>0</v>
      </c>
      <c r="N1621" s="9" t="n">
        <v>12</v>
      </c>
      <c r="O1621" s="7" t="inlineStr">
        <is>
          <t>FAU</t>
        </is>
      </c>
      <c r="P1621" s="7" t="inlineStr">
        <is>
          <t>CRITIQUE</t>
        </is>
      </c>
      <c r="Q1621" s="7" t="inlineStr">
        <is>
          <t>WHAP</t>
        </is>
      </c>
      <c r="R1621" s="7" t="inlineStr">
        <is>
          <t>OUI</t>
        </is>
      </c>
      <c r="S1621" s="7" t="inlineStr">
        <is>
          <t>31/08/2026 02:59</t>
        </is>
      </c>
    </row>
    <row r="1622">
      <c r="A1622" s="8" t="inlineStr">
        <is>
          <t>WHAP-1618</t>
        </is>
      </c>
      <c r="B1622" s="8" t="inlineStr">
        <is>
          <t>MOT-1618</t>
        </is>
      </c>
      <c r="C1622" s="8" t="inlineStr">
        <is>
          <t>câblage de cache-culbuteurs</t>
        </is>
      </c>
      <c r="D1622" s="8" t="inlineStr">
        <is>
          <t>Moteur</t>
        </is>
      </c>
      <c r="E1622" s="8" t="inlineStr">
        <is>
          <t>Moteur</t>
        </is>
      </c>
      <c r="F1622" s="8" t="inlineStr">
        <is>
          <t>PIECE_VEHICULE</t>
        </is>
      </c>
      <c r="G1622" s="8" t="inlineStr">
        <is>
          <t>unité</t>
        </is>
      </c>
      <c r="H1622" s="8" t="inlineStr">
        <is>
          <t>LARGE</t>
        </is>
      </c>
      <c r="I1622" s="8" t="n">
        <v>0</v>
      </c>
      <c r="J1622" s="8" t="inlineStr">
        <is>
          <t>F-06-01</t>
        </is>
      </c>
      <c r="K1622" s="8" t="inlineStr"/>
      <c r="L1622" s="10" t="n">
        <v>0</v>
      </c>
      <c r="M1622" s="10" t="n">
        <v>0</v>
      </c>
      <c r="N1622" s="10" t="n">
        <v>13</v>
      </c>
      <c r="O1622" s="8" t="inlineStr">
        <is>
          <t>VAL</t>
        </is>
      </c>
      <c r="P1622" s="8" t="inlineStr">
        <is>
          <t>CRITIQUE</t>
        </is>
      </c>
      <c r="Q1622" s="8" t="inlineStr">
        <is>
          <t>WHAP</t>
        </is>
      </c>
      <c r="R1622" s="8" t="inlineStr">
        <is>
          <t>OUI</t>
        </is>
      </c>
      <c r="S1622" s="8" t="inlineStr">
        <is>
          <t>31/08/2026 02:59</t>
        </is>
      </c>
    </row>
    <row r="1623">
      <c r="A1623" s="7" t="inlineStr">
        <is>
          <t>WHAP-1619</t>
        </is>
      </c>
      <c r="B1623" s="7" t="inlineStr">
        <is>
          <t>MOT-1619</t>
        </is>
      </c>
      <c r="C1623" s="7" t="inlineStr">
        <is>
          <t>connecteur de cache-culbuteurs</t>
        </is>
      </c>
      <c r="D1623" s="7" t="inlineStr">
        <is>
          <t>Moteur</t>
        </is>
      </c>
      <c r="E1623" s="7" t="inlineStr">
        <is>
          <t>Moteur</t>
        </is>
      </c>
      <c r="F1623" s="7" t="inlineStr">
        <is>
          <t>PIECE_VEHICULE</t>
        </is>
      </c>
      <c r="G1623" s="7" t="inlineStr">
        <is>
          <t>unité</t>
        </is>
      </c>
      <c r="H1623" s="7" t="inlineStr">
        <is>
          <t>LARGE</t>
        </is>
      </c>
      <c r="I1623" s="7" t="n">
        <v>0</v>
      </c>
      <c r="J1623" s="7" t="inlineStr">
        <is>
          <t>F-03-01</t>
        </is>
      </c>
      <c r="K1623" s="7" t="inlineStr"/>
      <c r="L1623" s="9" t="n">
        <v>0</v>
      </c>
      <c r="M1623" s="9" t="n">
        <v>0</v>
      </c>
      <c r="N1623" s="9" t="n">
        <v>12</v>
      </c>
      <c r="O1623" s="7" t="inlineStr">
        <is>
          <t>FAU</t>
        </is>
      </c>
      <c r="P1623" s="7" t="inlineStr">
        <is>
          <t>CRITIQUE</t>
        </is>
      </c>
      <c r="Q1623" s="7" t="inlineStr">
        <is>
          <t>WHAP</t>
        </is>
      </c>
      <c r="R1623" s="7" t="inlineStr">
        <is>
          <t>OUI</t>
        </is>
      </c>
      <c r="S1623" s="7" t="inlineStr">
        <is>
          <t>31/08/2026 02:59</t>
        </is>
      </c>
    </row>
    <row r="1624">
      <c r="A1624" s="8" t="inlineStr">
        <is>
          <t>WHAP-1620</t>
        </is>
      </c>
      <c r="B1624" s="8" t="inlineStr">
        <is>
          <t>MOT-1620</t>
        </is>
      </c>
      <c r="C1624" s="8" t="inlineStr">
        <is>
          <t>joint de cache-culbuteurs</t>
        </is>
      </c>
      <c r="D1624" s="8" t="inlineStr">
        <is>
          <t>Moteur</t>
        </is>
      </c>
      <c r="E1624" s="8" t="inlineStr">
        <is>
          <t>Moteur</t>
        </is>
      </c>
      <c r="F1624" s="8" t="inlineStr">
        <is>
          <t>PIECE_VEHICULE</t>
        </is>
      </c>
      <c r="G1624" s="8" t="inlineStr">
        <is>
          <t>unité</t>
        </is>
      </c>
      <c r="H1624" s="8" t="inlineStr">
        <is>
          <t>LARGE</t>
        </is>
      </c>
      <c r="I1624" s="8" t="n">
        <v>0</v>
      </c>
      <c r="J1624" s="8" t="inlineStr">
        <is>
          <t>D-02-02</t>
        </is>
      </c>
      <c r="K1624" s="8" t="inlineStr"/>
      <c r="L1624" s="10" t="n">
        <v>0</v>
      </c>
      <c r="M1624" s="10" t="n">
        <v>0</v>
      </c>
      <c r="N1624" s="10" t="n">
        <v>11</v>
      </c>
      <c r="O1624" s="8" t="inlineStr">
        <is>
          <t>FAU</t>
        </is>
      </c>
      <c r="P1624" s="8" t="inlineStr">
        <is>
          <t>CRITIQUE</t>
        </is>
      </c>
      <c r="Q1624" s="8" t="inlineStr">
        <is>
          <t>WHAP</t>
        </is>
      </c>
      <c r="R1624" s="8" t="inlineStr">
        <is>
          <t>OUI</t>
        </is>
      </c>
      <c r="S1624" s="8" t="inlineStr">
        <is>
          <t>31/08/2026 02:59</t>
        </is>
      </c>
    </row>
    <row r="1625">
      <c r="A1625" s="7" t="inlineStr">
        <is>
          <t>WHAP-1621</t>
        </is>
      </c>
      <c r="B1625" s="7" t="inlineStr">
        <is>
          <t>MOT-1621</t>
        </is>
      </c>
      <c r="C1625" s="7" t="inlineStr">
        <is>
          <t>fixation de cache-culbuteurs</t>
        </is>
      </c>
      <c r="D1625" s="7" t="inlineStr">
        <is>
          <t>Moteur</t>
        </is>
      </c>
      <c r="E1625" s="7" t="inlineStr">
        <is>
          <t>Moteur</t>
        </is>
      </c>
      <c r="F1625" s="7" t="inlineStr">
        <is>
          <t>PIECE_VEHICULE</t>
        </is>
      </c>
      <c r="G1625" s="7" t="inlineStr">
        <is>
          <t>unité</t>
        </is>
      </c>
      <c r="H1625" s="7" t="inlineStr">
        <is>
          <t>LARGE</t>
        </is>
      </c>
      <c r="I1625" s="7" t="n">
        <v>0</v>
      </c>
      <c r="J1625" s="7" t="inlineStr">
        <is>
          <t>C-05-04</t>
        </is>
      </c>
      <c r="K1625" s="7" t="inlineStr"/>
      <c r="L1625" s="9" t="n">
        <v>0</v>
      </c>
      <c r="M1625" s="9" t="n">
        <v>0</v>
      </c>
      <c r="N1625" s="9" t="n">
        <v>14</v>
      </c>
      <c r="O1625" s="7" t="inlineStr">
        <is>
          <t>MAG</t>
        </is>
      </c>
      <c r="P1625" s="7" t="inlineStr">
        <is>
          <t>CRITIQUE</t>
        </is>
      </c>
      <c r="Q1625" s="7" t="inlineStr">
        <is>
          <t>WHAP</t>
        </is>
      </c>
      <c r="R1625" s="7" t="inlineStr">
        <is>
          <t>OUI</t>
        </is>
      </c>
      <c r="S1625" s="7" t="inlineStr">
        <is>
          <t>31/08/2026 02:59</t>
        </is>
      </c>
    </row>
    <row r="1626">
      <c r="A1626" s="8" t="inlineStr">
        <is>
          <t>WHAP-1622</t>
        </is>
      </c>
      <c r="B1626" s="8" t="inlineStr">
        <is>
          <t>MOT-1622</t>
        </is>
      </c>
      <c r="C1626" s="8" t="inlineStr">
        <is>
          <t>protection de cache-culbuteurs</t>
        </is>
      </c>
      <c r="D1626" s="8" t="inlineStr">
        <is>
          <t>Moteur</t>
        </is>
      </c>
      <c r="E1626" s="8" t="inlineStr">
        <is>
          <t>Moteur</t>
        </is>
      </c>
      <c r="F1626" s="8" t="inlineStr">
        <is>
          <t>PIECE_VEHICULE</t>
        </is>
      </c>
      <c r="G1626" s="8" t="inlineStr">
        <is>
          <t>unité</t>
        </is>
      </c>
      <c r="H1626" s="8" t="inlineStr">
        <is>
          <t>LARGE</t>
        </is>
      </c>
      <c r="I1626" s="8" t="n">
        <v>0</v>
      </c>
      <c r="J1626" s="8" t="inlineStr">
        <is>
          <t>F-06-03</t>
        </is>
      </c>
      <c r="K1626" s="8" t="inlineStr"/>
      <c r="L1626" s="10" t="n">
        <v>0</v>
      </c>
      <c r="M1626" s="10" t="n">
        <v>0</v>
      </c>
      <c r="N1626" s="10" t="n">
        <v>10</v>
      </c>
      <c r="O1626" s="8" t="inlineStr">
        <is>
          <t>FAU</t>
        </is>
      </c>
      <c r="P1626" s="8" t="inlineStr">
        <is>
          <t>CRITIQUE</t>
        </is>
      </c>
      <c r="Q1626" s="8" t="inlineStr">
        <is>
          <t>WHAP</t>
        </is>
      </c>
      <c r="R1626" s="8" t="inlineStr">
        <is>
          <t>OUI</t>
        </is>
      </c>
      <c r="S1626" s="8" t="inlineStr">
        <is>
          <t>31/08/2026 02:59</t>
        </is>
      </c>
    </row>
    <row r="1627">
      <c r="A1627" s="7" t="inlineStr">
        <is>
          <t>WHAP-1623</t>
        </is>
      </c>
      <c r="B1627" s="7" t="inlineStr">
        <is>
          <t>MOT-1623</t>
        </is>
      </c>
      <c r="C1627" s="7" t="inlineStr">
        <is>
          <t>capteur de cache-culbuteurs</t>
        </is>
      </c>
      <c r="D1627" s="7" t="inlineStr">
        <is>
          <t>Moteur</t>
        </is>
      </c>
      <c r="E1627" s="7" t="inlineStr">
        <is>
          <t>Moteur</t>
        </is>
      </c>
      <c r="F1627" s="7" t="inlineStr">
        <is>
          <t>PIECE_VEHICULE</t>
        </is>
      </c>
      <c r="G1627" s="7" t="inlineStr">
        <is>
          <t>unité</t>
        </is>
      </c>
      <c r="H1627" s="7" t="inlineStr">
        <is>
          <t>LARGE</t>
        </is>
      </c>
      <c r="I1627" s="7" t="n">
        <v>0</v>
      </c>
      <c r="J1627" s="7" t="inlineStr">
        <is>
          <t>C-05-01</t>
        </is>
      </c>
      <c r="K1627" s="7" t="inlineStr"/>
      <c r="L1627" s="9" t="n">
        <v>0</v>
      </c>
      <c r="M1627" s="9" t="n">
        <v>0</v>
      </c>
      <c r="N1627" s="9" t="n">
        <v>16</v>
      </c>
      <c r="O1627" s="7" t="inlineStr">
        <is>
          <t>SUM</t>
        </is>
      </c>
      <c r="P1627" s="7" t="inlineStr">
        <is>
          <t>CRITIQUE</t>
        </is>
      </c>
      <c r="Q1627" s="7" t="inlineStr">
        <is>
          <t>WHAP</t>
        </is>
      </c>
      <c r="R1627" s="7" t="inlineStr">
        <is>
          <t>OUI</t>
        </is>
      </c>
      <c r="S1627" s="7" t="inlineStr">
        <is>
          <t>31/08/2026 02:59</t>
        </is>
      </c>
    </row>
    <row r="1628">
      <c r="A1628" s="8" t="inlineStr">
        <is>
          <t>WHAP-1624</t>
        </is>
      </c>
      <c r="B1628" s="8" t="inlineStr">
        <is>
          <t>MOT-1624</t>
        </is>
      </c>
      <c r="C1628" s="8" t="inlineStr">
        <is>
          <t>actionneur de cache-culbuteurs</t>
        </is>
      </c>
      <c r="D1628" s="8" t="inlineStr">
        <is>
          <t>Moteur</t>
        </is>
      </c>
      <c r="E1628" s="8" t="inlineStr">
        <is>
          <t>Moteur</t>
        </is>
      </c>
      <c r="F1628" s="8" t="inlineStr">
        <is>
          <t>PIECE_VEHICULE</t>
        </is>
      </c>
      <c r="G1628" s="8" t="inlineStr">
        <is>
          <t>unité</t>
        </is>
      </c>
      <c r="H1628" s="8" t="inlineStr">
        <is>
          <t>LARGE</t>
        </is>
      </c>
      <c r="I1628" s="8" t="n">
        <v>0</v>
      </c>
      <c r="J1628" s="8" t="inlineStr">
        <is>
          <t>D-03-02</t>
        </is>
      </c>
      <c r="K1628" s="8" t="inlineStr"/>
      <c r="L1628" s="10" t="n">
        <v>0</v>
      </c>
      <c r="M1628" s="10" t="n">
        <v>0</v>
      </c>
      <c r="N1628" s="10" t="n">
        <v>17</v>
      </c>
      <c r="O1628" s="8" t="inlineStr">
        <is>
          <t>SKF</t>
        </is>
      </c>
      <c r="P1628" s="8" t="inlineStr">
        <is>
          <t>CRITIQUE</t>
        </is>
      </c>
      <c r="Q1628" s="8" t="inlineStr">
        <is>
          <t>WHAP</t>
        </is>
      </c>
      <c r="R1628" s="8" t="inlineStr">
        <is>
          <t>OUI</t>
        </is>
      </c>
      <c r="S1628" s="8" t="inlineStr">
        <is>
          <t>31/08/2026 02:59</t>
        </is>
      </c>
    </row>
    <row r="1629">
      <c r="A1629" s="7" t="inlineStr">
        <is>
          <t>WHAP-1625</t>
        </is>
      </c>
      <c r="B1629" s="7" t="inlineStr">
        <is>
          <t>MOT-1625</t>
        </is>
      </c>
      <c r="C1629" s="7" t="inlineStr">
        <is>
          <t>raccord de cache-culbuteurs</t>
        </is>
      </c>
      <c r="D1629" s="7" t="inlineStr">
        <is>
          <t>Moteur</t>
        </is>
      </c>
      <c r="E1629" s="7" t="inlineStr">
        <is>
          <t>Moteur</t>
        </is>
      </c>
      <c r="F1629" s="7" t="inlineStr">
        <is>
          <t>PIECE_VEHICULE</t>
        </is>
      </c>
      <c r="G1629" s="7" t="inlineStr">
        <is>
          <t>unité</t>
        </is>
      </c>
      <c r="H1629" s="7" t="inlineStr">
        <is>
          <t>LARGE</t>
        </is>
      </c>
      <c r="I1629" s="7" t="n">
        <v>0</v>
      </c>
      <c r="J1629" s="7" t="inlineStr">
        <is>
          <t>C-05-02</t>
        </is>
      </c>
      <c r="K1629" s="7" t="inlineStr"/>
      <c r="L1629" s="9" t="n">
        <v>0</v>
      </c>
      <c r="M1629" s="9" t="n">
        <v>0</v>
      </c>
      <c r="N1629" s="9" t="n">
        <v>20</v>
      </c>
      <c r="O1629" s="7" t="inlineStr">
        <is>
          <t>HEL</t>
        </is>
      </c>
      <c r="P1629" s="7" t="inlineStr">
        <is>
          <t>CRITIQUE</t>
        </is>
      </c>
      <c r="Q1629" s="7" t="inlineStr">
        <is>
          <t>WHAP</t>
        </is>
      </c>
      <c r="R1629" s="7" t="inlineStr">
        <is>
          <t>OUI</t>
        </is>
      </c>
      <c r="S1629" s="7" t="inlineStr">
        <is>
          <t>31/08/2026 02:59</t>
        </is>
      </c>
    </row>
    <row r="1630">
      <c r="A1630" s="8" t="inlineStr">
        <is>
          <t>WHAP-1626</t>
        </is>
      </c>
      <c r="B1630" s="8" t="inlineStr">
        <is>
          <t>MOT-1626</t>
        </is>
      </c>
      <c r="C1630" s="8" t="inlineStr">
        <is>
          <t>plaque de cache-culbuteurs</t>
        </is>
      </c>
      <c r="D1630" s="8" t="inlineStr">
        <is>
          <t>Moteur</t>
        </is>
      </c>
      <c r="E1630" s="8" t="inlineStr">
        <is>
          <t>Moteur</t>
        </is>
      </c>
      <c r="F1630" s="8" t="inlineStr">
        <is>
          <t>PIECE_VEHICULE</t>
        </is>
      </c>
      <c r="G1630" s="8" t="inlineStr">
        <is>
          <t>unité</t>
        </is>
      </c>
      <c r="H1630" s="8" t="inlineStr">
        <is>
          <t>LARGE</t>
        </is>
      </c>
      <c r="I1630" s="8" t="n">
        <v>0</v>
      </c>
      <c r="J1630" s="8" t="inlineStr">
        <is>
          <t>B-06-04</t>
        </is>
      </c>
      <c r="K1630" s="8" t="inlineStr"/>
      <c r="L1630" s="10" t="n">
        <v>0</v>
      </c>
      <c r="M1630" s="10" t="n">
        <v>0</v>
      </c>
      <c r="N1630" s="10" t="n">
        <v>12</v>
      </c>
      <c r="O1630" s="8" t="inlineStr">
        <is>
          <t>FAU</t>
        </is>
      </c>
      <c r="P1630" s="8" t="inlineStr">
        <is>
          <t>CRITIQUE</t>
        </is>
      </c>
      <c r="Q1630" s="8" t="inlineStr">
        <is>
          <t>WHAP</t>
        </is>
      </c>
      <c r="R1630" s="8" t="inlineStr">
        <is>
          <t>OUI</t>
        </is>
      </c>
      <c r="S1630" s="8" t="inlineStr">
        <is>
          <t>31/08/2026 02:59</t>
        </is>
      </c>
    </row>
    <row r="1631">
      <c r="A1631" s="7" t="inlineStr">
        <is>
          <t>WHAP-1627</t>
        </is>
      </c>
      <c r="B1631" s="7" t="inlineStr">
        <is>
          <t>MOT-1627</t>
        </is>
      </c>
      <c r="C1631" s="7" t="inlineStr">
        <is>
          <t>couvercle de cache-culbuteurs</t>
        </is>
      </c>
      <c r="D1631" s="7" t="inlineStr">
        <is>
          <t>Moteur</t>
        </is>
      </c>
      <c r="E1631" s="7" t="inlineStr">
        <is>
          <t>Moteur</t>
        </is>
      </c>
      <c r="F1631" s="7" t="inlineStr">
        <is>
          <t>PIECE_VEHICULE</t>
        </is>
      </c>
      <c r="G1631" s="7" t="inlineStr">
        <is>
          <t>unité</t>
        </is>
      </c>
      <c r="H1631" s="7" t="inlineStr">
        <is>
          <t>LARGE</t>
        </is>
      </c>
      <c r="I1631" s="7" t="n">
        <v>0</v>
      </c>
      <c r="J1631" s="7" t="inlineStr">
        <is>
          <t>C-06-03</t>
        </is>
      </c>
      <c r="K1631" s="7" t="inlineStr"/>
      <c r="L1631" s="9" t="n">
        <v>0</v>
      </c>
      <c r="M1631" s="9" t="n">
        <v>0</v>
      </c>
      <c r="N1631" s="9" t="n">
        <v>15</v>
      </c>
      <c r="O1631" s="7" t="inlineStr">
        <is>
          <t>DEL</t>
        </is>
      </c>
      <c r="P1631" s="7" t="inlineStr">
        <is>
          <t>CRITIQUE</t>
        </is>
      </c>
      <c r="Q1631" s="7" t="inlineStr">
        <is>
          <t>WHAP</t>
        </is>
      </c>
      <c r="R1631" s="7" t="inlineStr">
        <is>
          <t>OUI</t>
        </is>
      </c>
      <c r="S1631" s="7" t="inlineStr">
        <is>
          <t>31/08/2026 02:59</t>
        </is>
      </c>
    </row>
    <row r="1632">
      <c r="A1632" s="8" t="inlineStr">
        <is>
          <t>WHAP-1628</t>
        </is>
      </c>
      <c r="B1632" s="8" t="inlineStr">
        <is>
          <t>MOT-1628</t>
        </is>
      </c>
      <c r="C1632" s="8" t="inlineStr">
        <is>
          <t>bague de cache-culbuteurs</t>
        </is>
      </c>
      <c r="D1632" s="8" t="inlineStr">
        <is>
          <t>Moteur</t>
        </is>
      </c>
      <c r="E1632" s="8" t="inlineStr">
        <is>
          <t>Moteur</t>
        </is>
      </c>
      <c r="F1632" s="8" t="inlineStr">
        <is>
          <t>PIECE_VEHICULE</t>
        </is>
      </c>
      <c r="G1632" s="8" t="inlineStr">
        <is>
          <t>unité</t>
        </is>
      </c>
      <c r="H1632" s="8" t="inlineStr">
        <is>
          <t>LARGE</t>
        </is>
      </c>
      <c r="I1632" s="8" t="n">
        <v>0</v>
      </c>
      <c r="J1632" s="8" t="inlineStr">
        <is>
          <t>C-01-01</t>
        </is>
      </c>
      <c r="K1632" s="8" t="inlineStr"/>
      <c r="L1632" s="10" t="n">
        <v>0</v>
      </c>
      <c r="M1632" s="10" t="n">
        <v>0</v>
      </c>
      <c r="N1632" s="10" t="n">
        <v>13</v>
      </c>
      <c r="O1632" s="8" t="inlineStr">
        <is>
          <t>HEL</t>
        </is>
      </c>
      <c r="P1632" s="8" t="inlineStr">
        <is>
          <t>CRITIQUE</t>
        </is>
      </c>
      <c r="Q1632" s="8" t="inlineStr">
        <is>
          <t>WHAP</t>
        </is>
      </c>
      <c r="R1632" s="8" t="inlineStr">
        <is>
          <t>OUI</t>
        </is>
      </c>
      <c r="S1632" s="8" t="inlineStr">
        <is>
          <t>31/08/2026 02:59</t>
        </is>
      </c>
    </row>
    <row r="1633">
      <c r="A1633" s="7" t="inlineStr">
        <is>
          <t>WHAP-1629</t>
        </is>
      </c>
      <c r="B1633" s="7" t="inlineStr">
        <is>
          <t>MOT-1629</t>
        </is>
      </c>
      <c r="C1633" s="7" t="inlineStr">
        <is>
          <t>entretoise de cache-culbuteurs</t>
        </is>
      </c>
      <c r="D1633" s="7" t="inlineStr">
        <is>
          <t>Moteur</t>
        </is>
      </c>
      <c r="E1633" s="7" t="inlineStr">
        <is>
          <t>Moteur</t>
        </is>
      </c>
      <c r="F1633" s="7" t="inlineStr">
        <is>
          <t>PIECE_VEHICULE</t>
        </is>
      </c>
      <c r="G1633" s="7" t="inlineStr">
        <is>
          <t>unité</t>
        </is>
      </c>
      <c r="H1633" s="7" t="inlineStr">
        <is>
          <t>LARGE</t>
        </is>
      </c>
      <c r="I1633" s="7" t="n">
        <v>0</v>
      </c>
      <c r="J1633" s="7" t="inlineStr">
        <is>
          <t>C-05-03</t>
        </is>
      </c>
      <c r="K1633" s="7" t="inlineStr"/>
      <c r="L1633" s="9" t="n">
        <v>0</v>
      </c>
      <c r="M1633" s="9" t="n">
        <v>0</v>
      </c>
      <c r="N1633" s="9" t="n">
        <v>13</v>
      </c>
      <c r="O1633" s="7" t="inlineStr">
        <is>
          <t>BOS</t>
        </is>
      </c>
      <c r="P1633" s="7" t="inlineStr">
        <is>
          <t>CRITIQUE</t>
        </is>
      </c>
      <c r="Q1633" s="7" t="inlineStr">
        <is>
          <t>WHAP</t>
        </is>
      </c>
      <c r="R1633" s="7" t="inlineStr">
        <is>
          <t>OUI</t>
        </is>
      </c>
      <c r="S1633" s="7" t="inlineStr">
        <is>
          <t>31/08/2026 02:59</t>
        </is>
      </c>
    </row>
    <row r="1634">
      <c r="A1634" s="8" t="inlineStr">
        <is>
          <t>WHAP-1630</t>
        </is>
      </c>
      <c r="B1634" s="8" t="inlineStr">
        <is>
          <t>MOT-1630</t>
        </is>
      </c>
      <c r="C1634" s="8" t="inlineStr">
        <is>
          <t>axe de cache-culbuteurs</t>
        </is>
      </c>
      <c r="D1634" s="8" t="inlineStr">
        <is>
          <t>Moteur</t>
        </is>
      </c>
      <c r="E1634" s="8" t="inlineStr">
        <is>
          <t>Moteur</t>
        </is>
      </c>
      <c r="F1634" s="8" t="inlineStr">
        <is>
          <t>PIECE_VEHICULE</t>
        </is>
      </c>
      <c r="G1634" s="8" t="inlineStr">
        <is>
          <t>unité</t>
        </is>
      </c>
      <c r="H1634" s="8" t="inlineStr">
        <is>
          <t>LARGE</t>
        </is>
      </c>
      <c r="I1634" s="8" t="n">
        <v>0</v>
      </c>
      <c r="J1634" s="8" t="inlineStr">
        <is>
          <t>C-06-03</t>
        </is>
      </c>
      <c r="K1634" s="8" t="inlineStr"/>
      <c r="L1634" s="10" t="n">
        <v>0</v>
      </c>
      <c r="M1634" s="10" t="n">
        <v>0</v>
      </c>
      <c r="N1634" s="10" t="n">
        <v>20</v>
      </c>
      <c r="O1634" s="8" t="inlineStr">
        <is>
          <t>DEL</t>
        </is>
      </c>
      <c r="P1634" s="8" t="inlineStr">
        <is>
          <t>CRITIQUE</t>
        </is>
      </c>
      <c r="Q1634" s="8" t="inlineStr">
        <is>
          <t>WHAP</t>
        </is>
      </c>
      <c r="R1634" s="8" t="inlineStr">
        <is>
          <t>OUI</t>
        </is>
      </c>
      <c r="S1634" s="8" t="inlineStr">
        <is>
          <t>31/08/2026 02:59</t>
        </is>
      </c>
    </row>
    <row r="1635">
      <c r="A1635" s="7" t="inlineStr">
        <is>
          <t>WHAP-1631</t>
        </is>
      </c>
      <c r="B1635" s="7" t="inlineStr">
        <is>
          <t>MOT-1631</t>
        </is>
      </c>
      <c r="C1635" s="7" t="inlineStr">
        <is>
          <t>poulie de cache-culbuteurs</t>
        </is>
      </c>
      <c r="D1635" s="7" t="inlineStr">
        <is>
          <t>Moteur</t>
        </is>
      </c>
      <c r="E1635" s="7" t="inlineStr">
        <is>
          <t>Moteur</t>
        </is>
      </c>
      <c r="F1635" s="7" t="inlineStr">
        <is>
          <t>PIECE_VEHICULE</t>
        </is>
      </c>
      <c r="G1635" s="7" t="inlineStr">
        <is>
          <t>unité</t>
        </is>
      </c>
      <c r="H1635" s="7" t="inlineStr">
        <is>
          <t>LARGE</t>
        </is>
      </c>
      <c r="I1635" s="7" t="n">
        <v>0</v>
      </c>
      <c r="J1635" s="7" t="inlineStr">
        <is>
          <t>D-05-01</t>
        </is>
      </c>
      <c r="K1635" s="7" t="inlineStr"/>
      <c r="L1635" s="9" t="n">
        <v>0</v>
      </c>
      <c r="M1635" s="9" t="n">
        <v>0</v>
      </c>
      <c r="N1635" s="9" t="n">
        <v>12</v>
      </c>
      <c r="O1635" s="7" t="inlineStr">
        <is>
          <t>CTL</t>
        </is>
      </c>
      <c r="P1635" s="7" t="inlineStr">
        <is>
          <t>CRITIQUE</t>
        </is>
      </c>
      <c r="Q1635" s="7" t="inlineStr">
        <is>
          <t>WHAP</t>
        </is>
      </c>
      <c r="R1635" s="7" t="inlineStr">
        <is>
          <t>OUI</t>
        </is>
      </c>
      <c r="S1635" s="7" t="inlineStr">
        <is>
          <t>31/08/2026 02:59</t>
        </is>
      </c>
    </row>
    <row r="1636">
      <c r="A1636" s="8" t="inlineStr">
        <is>
          <t>WHAP-1632</t>
        </is>
      </c>
      <c r="B1636" s="8" t="inlineStr">
        <is>
          <t>MOT-1632</t>
        </is>
      </c>
      <c r="C1636" s="8" t="inlineStr">
        <is>
          <t>pignon de cache-culbuteurs</t>
        </is>
      </c>
      <c r="D1636" s="8" t="inlineStr">
        <is>
          <t>Moteur</t>
        </is>
      </c>
      <c r="E1636" s="8" t="inlineStr">
        <is>
          <t>Moteur</t>
        </is>
      </c>
      <c r="F1636" s="8" t="inlineStr">
        <is>
          <t>PIECE_VEHICULE</t>
        </is>
      </c>
      <c r="G1636" s="8" t="inlineStr">
        <is>
          <t>unité</t>
        </is>
      </c>
      <c r="H1636" s="8" t="inlineStr">
        <is>
          <t>LARGE</t>
        </is>
      </c>
      <c r="I1636" s="8" t="n">
        <v>0</v>
      </c>
      <c r="J1636" s="8" t="inlineStr">
        <is>
          <t>E-05-01</t>
        </is>
      </c>
      <c r="K1636" s="8" t="inlineStr"/>
      <c r="L1636" s="10" t="n">
        <v>0</v>
      </c>
      <c r="M1636" s="10" t="n">
        <v>0</v>
      </c>
      <c r="N1636" s="10" t="n">
        <v>14</v>
      </c>
      <c r="O1636" s="8" t="inlineStr">
        <is>
          <t>HEL</t>
        </is>
      </c>
      <c r="P1636" s="8" t="inlineStr">
        <is>
          <t>CRITIQUE</t>
        </is>
      </c>
      <c r="Q1636" s="8" t="inlineStr">
        <is>
          <t>WHAP</t>
        </is>
      </c>
      <c r="R1636" s="8" t="inlineStr">
        <is>
          <t>OUI</t>
        </is>
      </c>
      <c r="S1636" s="8" t="inlineStr">
        <is>
          <t>31/08/2026 02:59</t>
        </is>
      </c>
    </row>
    <row r="1637">
      <c r="A1637" s="7" t="inlineStr">
        <is>
          <t>WHAP-1633</t>
        </is>
      </c>
      <c r="B1637" s="7" t="inlineStr">
        <is>
          <t>MOT-1633</t>
        </is>
      </c>
      <c r="C1637" s="7" t="inlineStr">
        <is>
          <t>ensemble de couvre-culasse</t>
        </is>
      </c>
      <c r="D1637" s="7" t="inlineStr">
        <is>
          <t>Moteur</t>
        </is>
      </c>
      <c r="E1637" s="7" t="inlineStr">
        <is>
          <t>Moteur</t>
        </is>
      </c>
      <c r="F1637" s="7" t="inlineStr">
        <is>
          <t>PIECE_VEHICULE</t>
        </is>
      </c>
      <c r="G1637" s="7" t="inlineStr">
        <is>
          <t>unité</t>
        </is>
      </c>
      <c r="H1637" s="7" t="inlineStr">
        <is>
          <t>LARGE</t>
        </is>
      </c>
      <c r="I1637" s="7" t="n">
        <v>0</v>
      </c>
      <c r="J1637" s="7" t="inlineStr">
        <is>
          <t>B-02-03</t>
        </is>
      </c>
      <c r="K1637" s="7" t="inlineStr"/>
      <c r="L1637" s="9" t="n">
        <v>0</v>
      </c>
      <c r="M1637" s="9" t="n">
        <v>0</v>
      </c>
      <c r="N1637" s="9" t="n">
        <v>18</v>
      </c>
      <c r="O1637" s="7" t="inlineStr">
        <is>
          <t>SKF</t>
        </is>
      </c>
      <c r="P1637" s="7" t="inlineStr">
        <is>
          <t>CRITIQUE</t>
        </is>
      </c>
      <c r="Q1637" s="7" t="inlineStr">
        <is>
          <t>WHAP</t>
        </is>
      </c>
      <c r="R1637" s="7" t="inlineStr">
        <is>
          <t>OUI</t>
        </is>
      </c>
      <c r="S1637" s="7" t="inlineStr">
        <is>
          <t>31/08/2026 02:59</t>
        </is>
      </c>
    </row>
    <row r="1638">
      <c r="A1638" s="8" t="inlineStr">
        <is>
          <t>WHAP-1634</t>
        </is>
      </c>
      <c r="B1638" s="8" t="inlineStr">
        <is>
          <t>MOT-1634</t>
        </is>
      </c>
      <c r="C1638" s="8" t="inlineStr">
        <is>
          <t>kit de couvre-culasse</t>
        </is>
      </c>
      <c r="D1638" s="8" t="inlineStr">
        <is>
          <t>Moteur</t>
        </is>
      </c>
      <c r="E1638" s="8" t="inlineStr">
        <is>
          <t>Moteur</t>
        </is>
      </c>
      <c r="F1638" s="8" t="inlineStr">
        <is>
          <t>PIECE_VEHICULE</t>
        </is>
      </c>
      <c r="G1638" s="8" t="inlineStr">
        <is>
          <t>unité</t>
        </is>
      </c>
      <c r="H1638" s="8" t="inlineStr">
        <is>
          <t>LARGE</t>
        </is>
      </c>
      <c r="I1638" s="8" t="n">
        <v>0</v>
      </c>
      <c r="J1638" s="8" t="inlineStr">
        <is>
          <t>F-06-04</t>
        </is>
      </c>
      <c r="K1638" s="8" t="inlineStr"/>
      <c r="L1638" s="10" t="n">
        <v>0</v>
      </c>
      <c r="M1638" s="10" t="n">
        <v>0</v>
      </c>
      <c r="N1638" s="10" t="n">
        <v>14</v>
      </c>
      <c r="O1638" s="8" t="inlineStr">
        <is>
          <t>FAU</t>
        </is>
      </c>
      <c r="P1638" s="8" t="inlineStr">
        <is>
          <t>CRITIQUE</t>
        </is>
      </c>
      <c r="Q1638" s="8" t="inlineStr">
        <is>
          <t>WHAP</t>
        </is>
      </c>
      <c r="R1638" s="8" t="inlineStr">
        <is>
          <t>OUI</t>
        </is>
      </c>
      <c r="S1638" s="8" t="inlineStr">
        <is>
          <t>31/08/2026 02:59</t>
        </is>
      </c>
    </row>
    <row r="1639">
      <c r="A1639" s="7" t="inlineStr">
        <is>
          <t>WHAP-1635</t>
        </is>
      </c>
      <c r="B1639" s="7" t="inlineStr">
        <is>
          <t>MOT-1635</t>
        </is>
      </c>
      <c r="C1639" s="7" t="inlineStr">
        <is>
          <t>support de couvre-culasse</t>
        </is>
      </c>
      <c r="D1639" s="7" t="inlineStr">
        <is>
          <t>Moteur</t>
        </is>
      </c>
      <c r="E1639" s="7" t="inlineStr">
        <is>
          <t>Moteur</t>
        </is>
      </c>
      <c r="F1639" s="7" t="inlineStr">
        <is>
          <t>PIECE_VEHICULE</t>
        </is>
      </c>
      <c r="G1639" s="7" t="inlineStr">
        <is>
          <t>unité</t>
        </is>
      </c>
      <c r="H1639" s="7" t="inlineStr">
        <is>
          <t>LARGE</t>
        </is>
      </c>
      <c r="I1639" s="7" t="n">
        <v>0</v>
      </c>
      <c r="J1639" s="7" t="inlineStr">
        <is>
          <t>B-05-03</t>
        </is>
      </c>
      <c r="K1639" s="7" t="inlineStr"/>
      <c r="L1639" s="9" t="n">
        <v>0</v>
      </c>
      <c r="M1639" s="9" t="n">
        <v>0</v>
      </c>
      <c r="N1639" s="9" t="n">
        <v>18</v>
      </c>
      <c r="O1639" s="7" t="inlineStr">
        <is>
          <t>SKF</t>
        </is>
      </c>
      <c r="P1639" s="7" t="inlineStr">
        <is>
          <t>CRITIQUE</t>
        </is>
      </c>
      <c r="Q1639" s="7" t="inlineStr">
        <is>
          <t>WHAP</t>
        </is>
      </c>
      <c r="R1639" s="7" t="inlineStr">
        <is>
          <t>OUI</t>
        </is>
      </c>
      <c r="S1639" s="7" t="inlineStr">
        <is>
          <t>31/08/2026 02:59</t>
        </is>
      </c>
    </row>
    <row r="1640">
      <c r="A1640" s="8" t="inlineStr">
        <is>
          <t>WHAP-1636</t>
        </is>
      </c>
      <c r="B1640" s="8" t="inlineStr">
        <is>
          <t>MOT-1636</t>
        </is>
      </c>
      <c r="C1640" s="8" t="inlineStr">
        <is>
          <t>boîtier de couvre-culasse</t>
        </is>
      </c>
      <c r="D1640" s="8" t="inlineStr">
        <is>
          <t>Moteur</t>
        </is>
      </c>
      <c r="E1640" s="8" t="inlineStr">
        <is>
          <t>Moteur</t>
        </is>
      </c>
      <c r="F1640" s="8" t="inlineStr">
        <is>
          <t>PIECE_VEHICULE</t>
        </is>
      </c>
      <c r="G1640" s="8" t="inlineStr">
        <is>
          <t>unité</t>
        </is>
      </c>
      <c r="H1640" s="8" t="inlineStr">
        <is>
          <t>LARGE</t>
        </is>
      </c>
      <c r="I1640" s="8" t="n">
        <v>0</v>
      </c>
      <c r="J1640" s="8" t="inlineStr">
        <is>
          <t>C-01-03</t>
        </is>
      </c>
      <c r="K1640" s="8" t="inlineStr"/>
      <c r="L1640" s="10" t="n">
        <v>0</v>
      </c>
      <c r="M1640" s="10" t="n">
        <v>0</v>
      </c>
      <c r="N1640" s="10" t="n">
        <v>11</v>
      </c>
      <c r="O1640" s="8" t="inlineStr">
        <is>
          <t>BOS</t>
        </is>
      </c>
      <c r="P1640" s="8" t="inlineStr">
        <is>
          <t>CRITIQUE</t>
        </is>
      </c>
      <c r="Q1640" s="8" t="inlineStr">
        <is>
          <t>WHAP</t>
        </is>
      </c>
      <c r="R1640" s="8" t="inlineStr">
        <is>
          <t>OUI</t>
        </is>
      </c>
      <c r="S1640" s="8" t="inlineStr">
        <is>
          <t>31/08/2026 02:59</t>
        </is>
      </c>
    </row>
    <row r="1641">
      <c r="A1641" s="7" t="inlineStr">
        <is>
          <t>WHAP-1637</t>
        </is>
      </c>
      <c r="B1641" s="7" t="inlineStr">
        <is>
          <t>MOT-1637</t>
        </is>
      </c>
      <c r="C1641" s="7" t="inlineStr">
        <is>
          <t>module de couvre-culasse</t>
        </is>
      </c>
      <c r="D1641" s="7" t="inlineStr">
        <is>
          <t>Moteur</t>
        </is>
      </c>
      <c r="E1641" s="7" t="inlineStr">
        <is>
          <t>Moteur</t>
        </is>
      </c>
      <c r="F1641" s="7" t="inlineStr">
        <is>
          <t>PIECE_VEHICULE</t>
        </is>
      </c>
      <c r="G1641" s="7" t="inlineStr">
        <is>
          <t>unité</t>
        </is>
      </c>
      <c r="H1641" s="7" t="inlineStr">
        <is>
          <t>LARGE</t>
        </is>
      </c>
      <c r="I1641" s="7" t="n">
        <v>0</v>
      </c>
      <c r="J1641" s="7" t="inlineStr">
        <is>
          <t>D-01-02</t>
        </is>
      </c>
      <c r="K1641" s="7" t="inlineStr"/>
      <c r="L1641" s="9" t="n">
        <v>0</v>
      </c>
      <c r="M1641" s="9" t="n">
        <v>0</v>
      </c>
      <c r="N1641" s="9" t="n">
        <v>16</v>
      </c>
      <c r="O1641" s="7" t="inlineStr">
        <is>
          <t>YZK</t>
        </is>
      </c>
      <c r="P1641" s="7" t="inlineStr">
        <is>
          <t>CRITIQUE</t>
        </is>
      </c>
      <c r="Q1641" s="7" t="inlineStr">
        <is>
          <t>WHAP</t>
        </is>
      </c>
      <c r="R1641" s="7" t="inlineStr">
        <is>
          <t>OUI</t>
        </is>
      </c>
      <c r="S1641" s="7" t="inlineStr">
        <is>
          <t>31/08/2026 02:59</t>
        </is>
      </c>
    </row>
    <row r="1642">
      <c r="A1642" s="8" t="inlineStr">
        <is>
          <t>WHAP-1638</t>
        </is>
      </c>
      <c r="B1642" s="8" t="inlineStr">
        <is>
          <t>MOT-1638</t>
        </is>
      </c>
      <c r="C1642" s="8" t="inlineStr">
        <is>
          <t>câblage de couvre-culasse</t>
        </is>
      </c>
      <c r="D1642" s="8" t="inlineStr">
        <is>
          <t>Moteur</t>
        </is>
      </c>
      <c r="E1642" s="8" t="inlineStr">
        <is>
          <t>Moteur</t>
        </is>
      </c>
      <c r="F1642" s="8" t="inlineStr">
        <is>
          <t>PIECE_VEHICULE</t>
        </is>
      </c>
      <c r="G1642" s="8" t="inlineStr">
        <is>
          <t>unité</t>
        </is>
      </c>
      <c r="H1642" s="8" t="inlineStr">
        <is>
          <t>LARGE</t>
        </is>
      </c>
      <c r="I1642" s="8" t="n">
        <v>0</v>
      </c>
      <c r="J1642" s="8" t="inlineStr">
        <is>
          <t>F-04-02</t>
        </is>
      </c>
      <c r="K1642" s="8" t="inlineStr"/>
      <c r="L1642" s="10" t="n">
        <v>0</v>
      </c>
      <c r="M1642" s="10" t="n">
        <v>0</v>
      </c>
      <c r="N1642" s="10" t="n">
        <v>19</v>
      </c>
      <c r="O1642" s="8" t="inlineStr">
        <is>
          <t>SKF</t>
        </is>
      </c>
      <c r="P1642" s="8" t="inlineStr">
        <is>
          <t>CRITIQUE</t>
        </is>
      </c>
      <c r="Q1642" s="8" t="inlineStr">
        <is>
          <t>WHAP</t>
        </is>
      </c>
      <c r="R1642" s="8" t="inlineStr">
        <is>
          <t>OUI</t>
        </is>
      </c>
      <c r="S1642" s="8" t="inlineStr">
        <is>
          <t>31/08/2026 02:59</t>
        </is>
      </c>
    </row>
    <row r="1643">
      <c r="A1643" s="7" t="inlineStr">
        <is>
          <t>WHAP-1639</t>
        </is>
      </c>
      <c r="B1643" s="7" t="inlineStr">
        <is>
          <t>MOT-1639</t>
        </is>
      </c>
      <c r="C1643" s="7" t="inlineStr">
        <is>
          <t>connecteur de couvre-culasse</t>
        </is>
      </c>
      <c r="D1643" s="7" t="inlineStr">
        <is>
          <t>Moteur</t>
        </is>
      </c>
      <c r="E1643" s="7" t="inlineStr">
        <is>
          <t>Moteur</t>
        </is>
      </c>
      <c r="F1643" s="7" t="inlineStr">
        <is>
          <t>PIECE_VEHICULE</t>
        </is>
      </c>
      <c r="G1643" s="7" t="inlineStr">
        <is>
          <t>unité</t>
        </is>
      </c>
      <c r="H1643" s="7" t="inlineStr">
        <is>
          <t>LARGE</t>
        </is>
      </c>
      <c r="I1643" s="7" t="n">
        <v>0</v>
      </c>
      <c r="J1643" s="7" t="inlineStr">
        <is>
          <t>B-03-02</t>
        </is>
      </c>
      <c r="K1643" s="7" t="inlineStr"/>
      <c r="L1643" s="9" t="n">
        <v>0</v>
      </c>
      <c r="M1643" s="9" t="n">
        <v>0</v>
      </c>
      <c r="N1643" s="9" t="n">
        <v>19</v>
      </c>
      <c r="O1643" s="7" t="inlineStr">
        <is>
          <t>FAU</t>
        </is>
      </c>
      <c r="P1643" s="7" t="inlineStr">
        <is>
          <t>CRITIQUE</t>
        </is>
      </c>
      <c r="Q1643" s="7" t="inlineStr">
        <is>
          <t>WHAP</t>
        </is>
      </c>
      <c r="R1643" s="7" t="inlineStr">
        <is>
          <t>OUI</t>
        </is>
      </c>
      <c r="S1643" s="7" t="inlineStr">
        <is>
          <t>31/08/2026 02:59</t>
        </is>
      </c>
    </row>
    <row r="1644">
      <c r="A1644" s="8" t="inlineStr">
        <is>
          <t>WHAP-1640</t>
        </is>
      </c>
      <c r="B1644" s="8" t="inlineStr">
        <is>
          <t>MOT-1640</t>
        </is>
      </c>
      <c r="C1644" s="8" t="inlineStr">
        <is>
          <t>joint de couvre-culasse</t>
        </is>
      </c>
      <c r="D1644" s="8" t="inlineStr">
        <is>
          <t>Moteur</t>
        </is>
      </c>
      <c r="E1644" s="8" t="inlineStr">
        <is>
          <t>Moteur</t>
        </is>
      </c>
      <c r="F1644" s="8" t="inlineStr">
        <is>
          <t>PIECE_VEHICULE</t>
        </is>
      </c>
      <c r="G1644" s="8" t="inlineStr">
        <is>
          <t>unité</t>
        </is>
      </c>
      <c r="H1644" s="8" t="inlineStr">
        <is>
          <t>LARGE</t>
        </is>
      </c>
      <c r="I1644" s="8" t="n">
        <v>0</v>
      </c>
      <c r="J1644" s="8" t="inlineStr">
        <is>
          <t>F-05-02</t>
        </is>
      </c>
      <c r="K1644" s="8" t="inlineStr"/>
      <c r="L1644" s="10" t="n">
        <v>0</v>
      </c>
      <c r="M1644" s="10" t="n">
        <v>0</v>
      </c>
      <c r="N1644" s="10" t="n">
        <v>17</v>
      </c>
      <c r="O1644" s="8" t="inlineStr">
        <is>
          <t>CTL</t>
        </is>
      </c>
      <c r="P1644" s="8" t="inlineStr">
        <is>
          <t>CRITIQUE</t>
        </is>
      </c>
      <c r="Q1644" s="8" t="inlineStr">
        <is>
          <t>WHAP</t>
        </is>
      </c>
      <c r="R1644" s="8" t="inlineStr">
        <is>
          <t>OUI</t>
        </is>
      </c>
      <c r="S1644" s="8" t="inlineStr">
        <is>
          <t>31/08/2026 02:59</t>
        </is>
      </c>
    </row>
    <row r="1645">
      <c r="A1645" s="7" t="inlineStr">
        <is>
          <t>WHAP-1641</t>
        </is>
      </c>
      <c r="B1645" s="7" t="inlineStr">
        <is>
          <t>MOT-1641</t>
        </is>
      </c>
      <c r="C1645" s="7" t="inlineStr">
        <is>
          <t>fixation de couvre-culasse</t>
        </is>
      </c>
      <c r="D1645" s="7" t="inlineStr">
        <is>
          <t>Moteur</t>
        </is>
      </c>
      <c r="E1645" s="7" t="inlineStr">
        <is>
          <t>Moteur</t>
        </is>
      </c>
      <c r="F1645" s="7" t="inlineStr">
        <is>
          <t>PIECE_VEHICULE</t>
        </is>
      </c>
      <c r="G1645" s="7" t="inlineStr">
        <is>
          <t>unité</t>
        </is>
      </c>
      <c r="H1645" s="7" t="inlineStr">
        <is>
          <t>LARGE</t>
        </is>
      </c>
      <c r="I1645" s="7" t="n">
        <v>0</v>
      </c>
      <c r="J1645" s="7" t="inlineStr">
        <is>
          <t>C-02-04</t>
        </is>
      </c>
      <c r="K1645" s="7" t="inlineStr"/>
      <c r="L1645" s="9" t="n">
        <v>0</v>
      </c>
      <c r="M1645" s="9" t="n">
        <v>0</v>
      </c>
      <c r="N1645" s="9" t="n">
        <v>13</v>
      </c>
      <c r="O1645" s="7" t="inlineStr">
        <is>
          <t>SUM</t>
        </is>
      </c>
      <c r="P1645" s="7" t="inlineStr">
        <is>
          <t>CRITIQUE</t>
        </is>
      </c>
      <c r="Q1645" s="7" t="inlineStr">
        <is>
          <t>WHAP</t>
        </is>
      </c>
      <c r="R1645" s="7" t="inlineStr">
        <is>
          <t>OUI</t>
        </is>
      </c>
      <c r="S1645" s="7" t="inlineStr">
        <is>
          <t>31/08/2026 02:59</t>
        </is>
      </c>
    </row>
    <row r="1646">
      <c r="A1646" s="8" t="inlineStr">
        <is>
          <t>WHAP-1642</t>
        </is>
      </c>
      <c r="B1646" s="8" t="inlineStr">
        <is>
          <t>MOT-1642</t>
        </is>
      </c>
      <c r="C1646" s="8" t="inlineStr">
        <is>
          <t>protection de couvre-culasse</t>
        </is>
      </c>
      <c r="D1646" s="8" t="inlineStr">
        <is>
          <t>Moteur</t>
        </is>
      </c>
      <c r="E1646" s="8" t="inlineStr">
        <is>
          <t>Moteur</t>
        </is>
      </c>
      <c r="F1646" s="8" t="inlineStr">
        <is>
          <t>PIECE_VEHICULE</t>
        </is>
      </c>
      <c r="G1646" s="8" t="inlineStr">
        <is>
          <t>unité</t>
        </is>
      </c>
      <c r="H1646" s="8" t="inlineStr">
        <is>
          <t>LARGE</t>
        </is>
      </c>
      <c r="I1646" s="8" t="n">
        <v>0</v>
      </c>
      <c r="J1646" s="8" t="inlineStr">
        <is>
          <t>A-06-02</t>
        </is>
      </c>
      <c r="K1646" s="8" t="inlineStr"/>
      <c r="L1646" s="10" t="n">
        <v>0</v>
      </c>
      <c r="M1646" s="10" t="n">
        <v>0</v>
      </c>
      <c r="N1646" s="10" t="n">
        <v>13</v>
      </c>
      <c r="O1646" s="8" t="inlineStr">
        <is>
          <t>HEL</t>
        </is>
      </c>
      <c r="P1646" s="8" t="inlineStr">
        <is>
          <t>CRITIQUE</t>
        </is>
      </c>
      <c r="Q1646" s="8" t="inlineStr">
        <is>
          <t>WHAP</t>
        </is>
      </c>
      <c r="R1646" s="8" t="inlineStr">
        <is>
          <t>OUI</t>
        </is>
      </c>
      <c r="S1646" s="8" t="inlineStr">
        <is>
          <t>31/08/2026 02:59</t>
        </is>
      </c>
    </row>
    <row r="1647">
      <c r="A1647" s="7" t="inlineStr">
        <is>
          <t>WHAP-1643</t>
        </is>
      </c>
      <c r="B1647" s="7" t="inlineStr">
        <is>
          <t>MOT-1643</t>
        </is>
      </c>
      <c r="C1647" s="7" t="inlineStr">
        <is>
          <t>capteur de couvre-culasse</t>
        </is>
      </c>
      <c r="D1647" s="7" t="inlineStr">
        <is>
          <t>Moteur</t>
        </is>
      </c>
      <c r="E1647" s="7" t="inlineStr">
        <is>
          <t>Moteur</t>
        </is>
      </c>
      <c r="F1647" s="7" t="inlineStr">
        <is>
          <t>PIECE_VEHICULE</t>
        </is>
      </c>
      <c r="G1647" s="7" t="inlineStr">
        <is>
          <t>unité</t>
        </is>
      </c>
      <c r="H1647" s="7" t="inlineStr">
        <is>
          <t>LARGE</t>
        </is>
      </c>
      <c r="I1647" s="7" t="n">
        <v>0</v>
      </c>
      <c r="J1647" s="7" t="inlineStr">
        <is>
          <t>A-05-03</t>
        </is>
      </c>
      <c r="K1647" s="7" t="inlineStr"/>
      <c r="L1647" s="9" t="n">
        <v>0</v>
      </c>
      <c r="M1647" s="9" t="n">
        <v>0</v>
      </c>
      <c r="N1647" s="9" t="n">
        <v>10</v>
      </c>
      <c r="O1647" s="7" t="inlineStr">
        <is>
          <t>MAG</t>
        </is>
      </c>
      <c r="P1647" s="7" t="inlineStr">
        <is>
          <t>CRITIQUE</t>
        </is>
      </c>
      <c r="Q1647" s="7" t="inlineStr">
        <is>
          <t>WHAP</t>
        </is>
      </c>
      <c r="R1647" s="7" t="inlineStr">
        <is>
          <t>OUI</t>
        </is>
      </c>
      <c r="S1647" s="7" t="inlineStr">
        <is>
          <t>31/08/2026 02:59</t>
        </is>
      </c>
    </row>
    <row r="1648">
      <c r="A1648" s="8" t="inlineStr">
        <is>
          <t>WHAP-1644</t>
        </is>
      </c>
      <c r="B1648" s="8" t="inlineStr">
        <is>
          <t>MOT-1644</t>
        </is>
      </c>
      <c r="C1648" s="8" t="inlineStr">
        <is>
          <t>actionneur de couvre-culasse</t>
        </is>
      </c>
      <c r="D1648" s="8" t="inlineStr">
        <is>
          <t>Moteur</t>
        </is>
      </c>
      <c r="E1648" s="8" t="inlineStr">
        <is>
          <t>Moteur</t>
        </is>
      </c>
      <c r="F1648" s="8" t="inlineStr">
        <is>
          <t>PIECE_VEHICULE</t>
        </is>
      </c>
      <c r="G1648" s="8" t="inlineStr">
        <is>
          <t>unité</t>
        </is>
      </c>
      <c r="H1648" s="8" t="inlineStr">
        <is>
          <t>LARGE</t>
        </is>
      </c>
      <c r="I1648" s="8" t="n">
        <v>0</v>
      </c>
      <c r="J1648" s="8" t="inlineStr">
        <is>
          <t>A-01-02</t>
        </is>
      </c>
      <c r="K1648" s="8" t="inlineStr"/>
      <c r="L1648" s="10" t="n">
        <v>0</v>
      </c>
      <c r="M1648" s="10" t="n">
        <v>0</v>
      </c>
      <c r="N1648" s="10" t="n">
        <v>15</v>
      </c>
      <c r="O1648" s="8" t="inlineStr">
        <is>
          <t>DEL</t>
        </is>
      </c>
      <c r="P1648" s="8" t="inlineStr">
        <is>
          <t>CRITIQUE</t>
        </is>
      </c>
      <c r="Q1648" s="8" t="inlineStr">
        <is>
          <t>WHAP</t>
        </is>
      </c>
      <c r="R1648" s="8" t="inlineStr">
        <is>
          <t>OUI</t>
        </is>
      </c>
      <c r="S1648" s="8" t="inlineStr">
        <is>
          <t>31/08/2026 02:59</t>
        </is>
      </c>
    </row>
    <row r="1649">
      <c r="A1649" s="7" t="inlineStr">
        <is>
          <t>WHAP-1645</t>
        </is>
      </c>
      <c r="B1649" s="7" t="inlineStr">
        <is>
          <t>MOT-1645</t>
        </is>
      </c>
      <c r="C1649" s="7" t="inlineStr">
        <is>
          <t>raccord de couvre-culasse</t>
        </is>
      </c>
      <c r="D1649" s="7" t="inlineStr">
        <is>
          <t>Moteur</t>
        </is>
      </c>
      <c r="E1649" s="7" t="inlineStr">
        <is>
          <t>Moteur</t>
        </is>
      </c>
      <c r="F1649" s="7" t="inlineStr">
        <is>
          <t>PIECE_VEHICULE</t>
        </is>
      </c>
      <c r="G1649" s="7" t="inlineStr">
        <is>
          <t>unité</t>
        </is>
      </c>
      <c r="H1649" s="7" t="inlineStr">
        <is>
          <t>LARGE</t>
        </is>
      </c>
      <c r="I1649" s="7" t="n">
        <v>0</v>
      </c>
      <c r="J1649" s="7" t="inlineStr">
        <is>
          <t>B-04-01</t>
        </is>
      </c>
      <c r="K1649" s="7" t="inlineStr"/>
      <c r="L1649" s="9" t="n">
        <v>0</v>
      </c>
      <c r="M1649" s="9" t="n">
        <v>0</v>
      </c>
      <c r="N1649" s="9" t="n">
        <v>16</v>
      </c>
      <c r="O1649" s="7" t="inlineStr">
        <is>
          <t>SKF</t>
        </is>
      </c>
      <c r="P1649" s="7" t="inlineStr">
        <is>
          <t>CRITIQUE</t>
        </is>
      </c>
      <c r="Q1649" s="7" t="inlineStr">
        <is>
          <t>WHAP</t>
        </is>
      </c>
      <c r="R1649" s="7" t="inlineStr">
        <is>
          <t>OUI</t>
        </is>
      </c>
      <c r="S1649" s="7" t="inlineStr">
        <is>
          <t>31/08/2026 02:59</t>
        </is>
      </c>
    </row>
    <row r="1650">
      <c r="A1650" s="8" t="inlineStr">
        <is>
          <t>WHAP-1646</t>
        </is>
      </c>
      <c r="B1650" s="8" t="inlineStr">
        <is>
          <t>MOT-1646</t>
        </is>
      </c>
      <c r="C1650" s="8" t="inlineStr">
        <is>
          <t>plaque de couvre-culasse</t>
        </is>
      </c>
      <c r="D1650" s="8" t="inlineStr">
        <is>
          <t>Moteur</t>
        </is>
      </c>
      <c r="E1650" s="8" t="inlineStr">
        <is>
          <t>Moteur</t>
        </is>
      </c>
      <c r="F1650" s="8" t="inlineStr">
        <is>
          <t>PIECE_VEHICULE</t>
        </is>
      </c>
      <c r="G1650" s="8" t="inlineStr">
        <is>
          <t>unité</t>
        </is>
      </c>
      <c r="H1650" s="8" t="inlineStr">
        <is>
          <t>LARGE</t>
        </is>
      </c>
      <c r="I1650" s="8" t="n">
        <v>0</v>
      </c>
      <c r="J1650" s="8" t="inlineStr">
        <is>
          <t>D-06-01</t>
        </is>
      </c>
      <c r="K1650" s="8" t="inlineStr"/>
      <c r="L1650" s="10" t="n">
        <v>0</v>
      </c>
      <c r="M1650" s="10" t="n">
        <v>0</v>
      </c>
      <c r="N1650" s="10" t="n">
        <v>17</v>
      </c>
      <c r="O1650" s="8" t="inlineStr">
        <is>
          <t>SKF</t>
        </is>
      </c>
      <c r="P1650" s="8" t="inlineStr">
        <is>
          <t>CRITIQUE</t>
        </is>
      </c>
      <c r="Q1650" s="8" t="inlineStr">
        <is>
          <t>WHAP</t>
        </is>
      </c>
      <c r="R1650" s="8" t="inlineStr">
        <is>
          <t>OUI</t>
        </is>
      </c>
      <c r="S1650" s="8" t="inlineStr">
        <is>
          <t>31/08/2026 02:59</t>
        </is>
      </c>
    </row>
    <row r="1651">
      <c r="A1651" s="7" t="inlineStr">
        <is>
          <t>WHAP-1647</t>
        </is>
      </c>
      <c r="B1651" s="7" t="inlineStr">
        <is>
          <t>MOT-1647</t>
        </is>
      </c>
      <c r="C1651" s="7" t="inlineStr">
        <is>
          <t>couvercle de couvre-culasse</t>
        </is>
      </c>
      <c r="D1651" s="7" t="inlineStr">
        <is>
          <t>Moteur</t>
        </is>
      </c>
      <c r="E1651" s="7" t="inlineStr">
        <is>
          <t>Moteur</t>
        </is>
      </c>
      <c r="F1651" s="7" t="inlineStr">
        <is>
          <t>PIECE_VEHICULE</t>
        </is>
      </c>
      <c r="G1651" s="7" t="inlineStr">
        <is>
          <t>unité</t>
        </is>
      </c>
      <c r="H1651" s="7" t="inlineStr">
        <is>
          <t>LARGE</t>
        </is>
      </c>
      <c r="I1651" s="7" t="n">
        <v>0</v>
      </c>
      <c r="J1651" s="7" t="inlineStr">
        <is>
          <t>A-01-03</t>
        </is>
      </c>
      <c r="K1651" s="7" t="inlineStr"/>
      <c r="L1651" s="9" t="n">
        <v>0</v>
      </c>
      <c r="M1651" s="9" t="n">
        <v>0</v>
      </c>
      <c r="N1651" s="9" t="n">
        <v>14</v>
      </c>
      <c r="O1651" s="7" t="inlineStr">
        <is>
          <t>DEL</t>
        </is>
      </c>
      <c r="P1651" s="7" t="inlineStr">
        <is>
          <t>CRITIQUE</t>
        </is>
      </c>
      <c r="Q1651" s="7" t="inlineStr">
        <is>
          <t>WHAP</t>
        </is>
      </c>
      <c r="R1651" s="7" t="inlineStr">
        <is>
          <t>OUI</t>
        </is>
      </c>
      <c r="S1651" s="7" t="inlineStr">
        <is>
          <t>31/08/2026 02:59</t>
        </is>
      </c>
    </row>
    <row r="1652">
      <c r="A1652" s="8" t="inlineStr">
        <is>
          <t>WHAP-1648</t>
        </is>
      </c>
      <c r="B1652" s="8" t="inlineStr">
        <is>
          <t>MOT-1648</t>
        </is>
      </c>
      <c r="C1652" s="8" t="inlineStr">
        <is>
          <t>bague de couvre-culasse</t>
        </is>
      </c>
      <c r="D1652" s="8" t="inlineStr">
        <is>
          <t>Moteur</t>
        </is>
      </c>
      <c r="E1652" s="8" t="inlineStr">
        <is>
          <t>Moteur</t>
        </is>
      </c>
      <c r="F1652" s="8" t="inlineStr">
        <is>
          <t>PIECE_VEHICULE</t>
        </is>
      </c>
      <c r="G1652" s="8" t="inlineStr">
        <is>
          <t>unité</t>
        </is>
      </c>
      <c r="H1652" s="8" t="inlineStr">
        <is>
          <t>LARGE</t>
        </is>
      </c>
      <c r="I1652" s="8" t="n">
        <v>0</v>
      </c>
      <c r="J1652" s="8" t="inlineStr">
        <is>
          <t>B-01-01</t>
        </is>
      </c>
      <c r="K1652" s="8" t="inlineStr"/>
      <c r="L1652" s="10" t="n">
        <v>0</v>
      </c>
      <c r="M1652" s="10" t="n">
        <v>0</v>
      </c>
      <c r="N1652" s="10" t="n">
        <v>13</v>
      </c>
      <c r="O1652" s="8" t="inlineStr">
        <is>
          <t>VAL</t>
        </is>
      </c>
      <c r="P1652" s="8" t="inlineStr">
        <is>
          <t>CRITIQUE</t>
        </is>
      </c>
      <c r="Q1652" s="8" t="inlineStr">
        <is>
          <t>WHAP</t>
        </is>
      </c>
      <c r="R1652" s="8" t="inlineStr">
        <is>
          <t>OUI</t>
        </is>
      </c>
      <c r="S1652" s="8" t="inlineStr">
        <is>
          <t>31/08/2026 02:59</t>
        </is>
      </c>
    </row>
    <row r="1653">
      <c r="A1653" s="7" t="inlineStr">
        <is>
          <t>WHAP-1649</t>
        </is>
      </c>
      <c r="B1653" s="7" t="inlineStr">
        <is>
          <t>MOT-1649</t>
        </is>
      </c>
      <c r="C1653" s="7" t="inlineStr">
        <is>
          <t>entretoise de couvre-culasse</t>
        </is>
      </c>
      <c r="D1653" s="7" t="inlineStr">
        <is>
          <t>Moteur</t>
        </is>
      </c>
      <c r="E1653" s="7" t="inlineStr">
        <is>
          <t>Moteur</t>
        </is>
      </c>
      <c r="F1653" s="7" t="inlineStr">
        <is>
          <t>PIECE_VEHICULE</t>
        </is>
      </c>
      <c r="G1653" s="7" t="inlineStr">
        <is>
          <t>unité</t>
        </is>
      </c>
      <c r="H1653" s="7" t="inlineStr">
        <is>
          <t>LARGE</t>
        </is>
      </c>
      <c r="I1653" s="7" t="n">
        <v>0</v>
      </c>
      <c r="J1653" s="7" t="inlineStr">
        <is>
          <t>F-01-02</t>
        </is>
      </c>
      <c r="K1653" s="7" t="inlineStr"/>
      <c r="L1653" s="9" t="n">
        <v>0</v>
      </c>
      <c r="M1653" s="9" t="n">
        <v>0</v>
      </c>
      <c r="N1653" s="9" t="n">
        <v>16</v>
      </c>
      <c r="O1653" s="7" t="inlineStr">
        <is>
          <t>FAU</t>
        </is>
      </c>
      <c r="P1653" s="7" t="inlineStr">
        <is>
          <t>CRITIQUE</t>
        </is>
      </c>
      <c r="Q1653" s="7" t="inlineStr">
        <is>
          <t>WHAP</t>
        </is>
      </c>
      <c r="R1653" s="7" t="inlineStr">
        <is>
          <t>OUI</t>
        </is>
      </c>
      <c r="S1653" s="7" t="inlineStr">
        <is>
          <t>31/08/2026 02:59</t>
        </is>
      </c>
    </row>
    <row r="1654">
      <c r="A1654" s="8" t="inlineStr">
        <is>
          <t>WHAP-1650</t>
        </is>
      </c>
      <c r="B1654" s="8" t="inlineStr">
        <is>
          <t>MOT-1650</t>
        </is>
      </c>
      <c r="C1654" s="8" t="inlineStr">
        <is>
          <t>axe de couvre-culasse</t>
        </is>
      </c>
      <c r="D1654" s="8" t="inlineStr">
        <is>
          <t>Moteur</t>
        </is>
      </c>
      <c r="E1654" s="8" t="inlineStr">
        <is>
          <t>Moteur</t>
        </is>
      </c>
      <c r="F1654" s="8" t="inlineStr">
        <is>
          <t>PIECE_VEHICULE</t>
        </is>
      </c>
      <c r="G1654" s="8" t="inlineStr">
        <is>
          <t>unité</t>
        </is>
      </c>
      <c r="H1654" s="8" t="inlineStr">
        <is>
          <t>LARGE</t>
        </is>
      </c>
      <c r="I1654" s="8" t="n">
        <v>0</v>
      </c>
      <c r="J1654" s="8" t="inlineStr">
        <is>
          <t>F-02-01</t>
        </is>
      </c>
      <c r="K1654" s="8" t="inlineStr"/>
      <c r="L1654" s="10" t="n">
        <v>0</v>
      </c>
      <c r="M1654" s="10" t="n">
        <v>0</v>
      </c>
      <c r="N1654" s="10" t="n">
        <v>17</v>
      </c>
      <c r="O1654" s="8" t="inlineStr">
        <is>
          <t>SKF</t>
        </is>
      </c>
      <c r="P1654" s="8" t="inlineStr">
        <is>
          <t>CRITIQUE</t>
        </is>
      </c>
      <c r="Q1654" s="8" t="inlineStr">
        <is>
          <t>WHAP</t>
        </is>
      </c>
      <c r="R1654" s="8" t="inlineStr">
        <is>
          <t>OUI</t>
        </is>
      </c>
      <c r="S1654" s="8" t="inlineStr">
        <is>
          <t>31/08/2026 02:59</t>
        </is>
      </c>
    </row>
    <row r="1655">
      <c r="A1655" s="7" t="inlineStr">
        <is>
          <t>WHAP-1651</t>
        </is>
      </c>
      <c r="B1655" s="7" t="inlineStr">
        <is>
          <t>MOT-1651</t>
        </is>
      </c>
      <c r="C1655" s="7" t="inlineStr">
        <is>
          <t>poulie de couvre-culasse</t>
        </is>
      </c>
      <c r="D1655" s="7" t="inlineStr">
        <is>
          <t>Moteur</t>
        </is>
      </c>
      <c r="E1655" s="7" t="inlineStr">
        <is>
          <t>Moteur</t>
        </is>
      </c>
      <c r="F1655" s="7" t="inlineStr">
        <is>
          <t>PIECE_VEHICULE</t>
        </is>
      </c>
      <c r="G1655" s="7" t="inlineStr">
        <is>
          <t>unité</t>
        </is>
      </c>
      <c r="H1655" s="7" t="inlineStr">
        <is>
          <t>LARGE</t>
        </is>
      </c>
      <c r="I1655" s="7" t="n">
        <v>0</v>
      </c>
      <c r="J1655" s="7" t="inlineStr">
        <is>
          <t>D-05-03</t>
        </is>
      </c>
      <c r="K1655" s="7" t="inlineStr"/>
      <c r="L1655" s="9" t="n">
        <v>0</v>
      </c>
      <c r="M1655" s="9" t="n">
        <v>0</v>
      </c>
      <c r="N1655" s="9" t="n">
        <v>20</v>
      </c>
      <c r="O1655" s="7" t="inlineStr">
        <is>
          <t>FAU</t>
        </is>
      </c>
      <c r="P1655" s="7" t="inlineStr">
        <is>
          <t>CRITIQUE</t>
        </is>
      </c>
      <c r="Q1655" s="7" t="inlineStr">
        <is>
          <t>WHAP</t>
        </is>
      </c>
      <c r="R1655" s="7" t="inlineStr">
        <is>
          <t>OUI</t>
        </is>
      </c>
      <c r="S1655" s="7" t="inlineStr">
        <is>
          <t>31/08/2026 02:59</t>
        </is>
      </c>
    </row>
    <row r="1656">
      <c r="A1656" s="8" t="inlineStr">
        <is>
          <t>WHAP-1652</t>
        </is>
      </c>
      <c r="B1656" s="8" t="inlineStr">
        <is>
          <t>MOT-1652</t>
        </is>
      </c>
      <c r="C1656" s="8" t="inlineStr">
        <is>
          <t>pignon de couvre-culasse</t>
        </is>
      </c>
      <c r="D1656" s="8" t="inlineStr">
        <is>
          <t>Moteur</t>
        </is>
      </c>
      <c r="E1656" s="8" t="inlineStr">
        <is>
          <t>Moteur</t>
        </is>
      </c>
      <c r="F1656" s="8" t="inlineStr">
        <is>
          <t>PIECE_VEHICULE</t>
        </is>
      </c>
      <c r="G1656" s="8" t="inlineStr">
        <is>
          <t>unité</t>
        </is>
      </c>
      <c r="H1656" s="8" t="inlineStr">
        <is>
          <t>LARGE</t>
        </is>
      </c>
      <c r="I1656" s="8" t="n">
        <v>0</v>
      </c>
      <c r="J1656" s="8" t="inlineStr">
        <is>
          <t>E-06-04</t>
        </is>
      </c>
      <c r="K1656" s="8" t="inlineStr"/>
      <c r="L1656" s="10" t="n">
        <v>0</v>
      </c>
      <c r="M1656" s="10" t="n">
        <v>0</v>
      </c>
      <c r="N1656" s="10" t="n">
        <v>18</v>
      </c>
      <c r="O1656" s="8" t="inlineStr">
        <is>
          <t>MAG</t>
        </is>
      </c>
      <c r="P1656" s="8" t="inlineStr">
        <is>
          <t>CRITIQUE</t>
        </is>
      </c>
      <c r="Q1656" s="8" t="inlineStr">
        <is>
          <t>WHAP</t>
        </is>
      </c>
      <c r="R1656" s="8" t="inlineStr">
        <is>
          <t>OUI</t>
        </is>
      </c>
      <c r="S1656" s="8" t="inlineStr">
        <is>
          <t>31/08/2026 02:59</t>
        </is>
      </c>
    </row>
    <row r="1657">
      <c r="A1657" s="7" t="inlineStr">
        <is>
          <t>WHAP-1653</t>
        </is>
      </c>
      <c r="B1657" s="7" t="inlineStr">
        <is>
          <t>MOT-1653</t>
        </is>
      </c>
      <c r="C1657" s="7" t="inlineStr">
        <is>
          <t>ensemble de carter moteur</t>
        </is>
      </c>
      <c r="D1657" s="7" t="inlineStr">
        <is>
          <t>Moteur</t>
        </is>
      </c>
      <c r="E1657" s="7" t="inlineStr">
        <is>
          <t>Moteur</t>
        </is>
      </c>
      <c r="F1657" s="7" t="inlineStr">
        <is>
          <t>PIECE_VEHICULE</t>
        </is>
      </c>
      <c r="G1657" s="7" t="inlineStr">
        <is>
          <t>unité</t>
        </is>
      </c>
      <c r="H1657" s="7" t="inlineStr">
        <is>
          <t>LARGE</t>
        </is>
      </c>
      <c r="I1657" s="7" t="n">
        <v>0</v>
      </c>
      <c r="J1657" s="7" t="inlineStr">
        <is>
          <t>D-04-02</t>
        </is>
      </c>
      <c r="K1657" s="7" t="inlineStr"/>
      <c r="L1657" s="9" t="n">
        <v>0</v>
      </c>
      <c r="M1657" s="9" t="n">
        <v>0</v>
      </c>
      <c r="N1657" s="9" t="n">
        <v>19</v>
      </c>
      <c r="O1657" s="7" t="inlineStr">
        <is>
          <t>CTL</t>
        </is>
      </c>
      <c r="P1657" s="7" t="inlineStr">
        <is>
          <t>CRITIQUE</t>
        </is>
      </c>
      <c r="Q1657" s="7" t="inlineStr">
        <is>
          <t>WHAP</t>
        </is>
      </c>
      <c r="R1657" s="7" t="inlineStr">
        <is>
          <t>OUI</t>
        </is>
      </c>
      <c r="S1657" s="7" t="inlineStr">
        <is>
          <t>31/08/2026 02:59</t>
        </is>
      </c>
    </row>
    <row r="1658">
      <c r="A1658" s="8" t="inlineStr">
        <is>
          <t>WHAP-1654</t>
        </is>
      </c>
      <c r="B1658" s="8" t="inlineStr">
        <is>
          <t>MOT-1654</t>
        </is>
      </c>
      <c r="C1658" s="8" t="inlineStr">
        <is>
          <t>kit de carter moteur</t>
        </is>
      </c>
      <c r="D1658" s="8" t="inlineStr">
        <is>
          <t>Moteur</t>
        </is>
      </c>
      <c r="E1658" s="8" t="inlineStr">
        <is>
          <t>Moteur</t>
        </is>
      </c>
      <c r="F1658" s="8" t="inlineStr">
        <is>
          <t>PIECE_VEHICULE</t>
        </is>
      </c>
      <c r="G1658" s="8" t="inlineStr">
        <is>
          <t>unité</t>
        </is>
      </c>
      <c r="H1658" s="8" t="inlineStr">
        <is>
          <t>LARGE</t>
        </is>
      </c>
      <c r="I1658" s="8" t="n">
        <v>0</v>
      </c>
      <c r="J1658" s="8" t="inlineStr">
        <is>
          <t>F-01-01</t>
        </is>
      </c>
      <c r="K1658" s="8" t="inlineStr"/>
      <c r="L1658" s="10" t="n">
        <v>0</v>
      </c>
      <c r="M1658" s="10" t="n">
        <v>0</v>
      </c>
      <c r="N1658" s="10" t="n">
        <v>12</v>
      </c>
      <c r="O1658" s="8" t="inlineStr">
        <is>
          <t>SKF</t>
        </is>
      </c>
      <c r="P1658" s="8" t="inlineStr">
        <is>
          <t>CRITIQUE</t>
        </is>
      </c>
      <c r="Q1658" s="8" t="inlineStr">
        <is>
          <t>WHAP</t>
        </is>
      </c>
      <c r="R1658" s="8" t="inlineStr">
        <is>
          <t>OUI</t>
        </is>
      </c>
      <c r="S1658" s="8" t="inlineStr">
        <is>
          <t>31/08/2026 02:59</t>
        </is>
      </c>
    </row>
    <row r="1659">
      <c r="A1659" s="7" t="inlineStr">
        <is>
          <t>WHAP-1655</t>
        </is>
      </c>
      <c r="B1659" s="7" t="inlineStr">
        <is>
          <t>MOT-1655</t>
        </is>
      </c>
      <c r="C1659" s="7" t="inlineStr">
        <is>
          <t>support de carter moteur</t>
        </is>
      </c>
      <c r="D1659" s="7" t="inlineStr">
        <is>
          <t>Moteur</t>
        </is>
      </c>
      <c r="E1659" s="7" t="inlineStr">
        <is>
          <t>Moteur</t>
        </is>
      </c>
      <c r="F1659" s="7" t="inlineStr">
        <is>
          <t>PIECE_VEHICULE</t>
        </is>
      </c>
      <c r="G1659" s="7" t="inlineStr">
        <is>
          <t>unité</t>
        </is>
      </c>
      <c r="H1659" s="7" t="inlineStr">
        <is>
          <t>LARGE</t>
        </is>
      </c>
      <c r="I1659" s="7" t="n">
        <v>0</v>
      </c>
      <c r="J1659" s="7" t="inlineStr">
        <is>
          <t>B-02-04</t>
        </is>
      </c>
      <c r="K1659" s="7" t="inlineStr"/>
      <c r="L1659" s="9" t="n">
        <v>0</v>
      </c>
      <c r="M1659" s="9" t="n">
        <v>0</v>
      </c>
      <c r="N1659" s="9" t="n">
        <v>16</v>
      </c>
      <c r="O1659" s="7" t="inlineStr">
        <is>
          <t>YZK</t>
        </is>
      </c>
      <c r="P1659" s="7" t="inlineStr">
        <is>
          <t>CRITIQUE</t>
        </is>
      </c>
      <c r="Q1659" s="7" t="inlineStr">
        <is>
          <t>WHAP</t>
        </is>
      </c>
      <c r="R1659" s="7" t="inlineStr">
        <is>
          <t>OUI</t>
        </is>
      </c>
      <c r="S1659" s="7" t="inlineStr">
        <is>
          <t>31/08/2026 02:59</t>
        </is>
      </c>
    </row>
    <row r="1660">
      <c r="A1660" s="8" t="inlineStr">
        <is>
          <t>WHAP-1656</t>
        </is>
      </c>
      <c r="B1660" s="8" t="inlineStr">
        <is>
          <t>MOT-1656</t>
        </is>
      </c>
      <c r="C1660" s="8" t="inlineStr">
        <is>
          <t>boîtier de carter moteur</t>
        </is>
      </c>
      <c r="D1660" s="8" t="inlineStr">
        <is>
          <t>Moteur</t>
        </is>
      </c>
      <c r="E1660" s="8" t="inlineStr">
        <is>
          <t>Moteur</t>
        </is>
      </c>
      <c r="F1660" s="8" t="inlineStr">
        <is>
          <t>PIECE_VEHICULE</t>
        </is>
      </c>
      <c r="G1660" s="8" t="inlineStr">
        <is>
          <t>unité</t>
        </is>
      </c>
      <c r="H1660" s="8" t="inlineStr">
        <is>
          <t>LARGE</t>
        </is>
      </c>
      <c r="I1660" s="8" t="n">
        <v>0</v>
      </c>
      <c r="J1660" s="8" t="inlineStr">
        <is>
          <t>A-04-03</t>
        </is>
      </c>
      <c r="K1660" s="8" t="inlineStr"/>
      <c r="L1660" s="10" t="n">
        <v>0</v>
      </c>
      <c r="M1660" s="10" t="n">
        <v>0</v>
      </c>
      <c r="N1660" s="10" t="n">
        <v>17</v>
      </c>
      <c r="O1660" s="8" t="inlineStr">
        <is>
          <t>HEL</t>
        </is>
      </c>
      <c r="P1660" s="8" t="inlineStr">
        <is>
          <t>CRITIQUE</t>
        </is>
      </c>
      <c r="Q1660" s="8" t="inlineStr">
        <is>
          <t>WHAP</t>
        </is>
      </c>
      <c r="R1660" s="8" t="inlineStr">
        <is>
          <t>OUI</t>
        </is>
      </c>
      <c r="S1660" s="8" t="inlineStr">
        <is>
          <t>31/08/2026 02:59</t>
        </is>
      </c>
    </row>
    <row r="1661">
      <c r="A1661" s="7" t="inlineStr">
        <is>
          <t>WHAP-1657</t>
        </is>
      </c>
      <c r="B1661" s="7" t="inlineStr">
        <is>
          <t>MOT-1657</t>
        </is>
      </c>
      <c r="C1661" s="7" t="inlineStr">
        <is>
          <t>module de carter moteur</t>
        </is>
      </c>
      <c r="D1661" s="7" t="inlineStr">
        <is>
          <t>Moteur</t>
        </is>
      </c>
      <c r="E1661" s="7" t="inlineStr">
        <is>
          <t>Moteur</t>
        </is>
      </c>
      <c r="F1661" s="7" t="inlineStr">
        <is>
          <t>PIECE_VEHICULE</t>
        </is>
      </c>
      <c r="G1661" s="7" t="inlineStr">
        <is>
          <t>unité</t>
        </is>
      </c>
      <c r="H1661" s="7" t="inlineStr">
        <is>
          <t>LARGE</t>
        </is>
      </c>
      <c r="I1661" s="7" t="n">
        <v>0</v>
      </c>
      <c r="J1661" s="7" t="inlineStr">
        <is>
          <t>E-04-04</t>
        </is>
      </c>
      <c r="K1661" s="7" t="inlineStr"/>
      <c r="L1661" s="9" t="n">
        <v>0</v>
      </c>
      <c r="M1661" s="9" t="n">
        <v>0</v>
      </c>
      <c r="N1661" s="9" t="n">
        <v>19</v>
      </c>
      <c r="O1661" s="7" t="inlineStr">
        <is>
          <t>SUM</t>
        </is>
      </c>
      <c r="P1661" s="7" t="inlineStr">
        <is>
          <t>CRITIQUE</t>
        </is>
      </c>
      <c r="Q1661" s="7" t="inlineStr">
        <is>
          <t>WHAP</t>
        </is>
      </c>
      <c r="R1661" s="7" t="inlineStr">
        <is>
          <t>OUI</t>
        </is>
      </c>
      <c r="S1661" s="7" t="inlineStr">
        <is>
          <t>31/08/2026 02:59</t>
        </is>
      </c>
    </row>
    <row r="1662">
      <c r="A1662" s="8" t="inlineStr">
        <is>
          <t>WHAP-1658</t>
        </is>
      </c>
      <c r="B1662" s="8" t="inlineStr">
        <is>
          <t>MOT-1658</t>
        </is>
      </c>
      <c r="C1662" s="8" t="inlineStr">
        <is>
          <t>câblage de carter moteur</t>
        </is>
      </c>
      <c r="D1662" s="8" t="inlineStr">
        <is>
          <t>Moteur</t>
        </is>
      </c>
      <c r="E1662" s="8" t="inlineStr">
        <is>
          <t>Moteur</t>
        </is>
      </c>
      <c r="F1662" s="8" t="inlineStr">
        <is>
          <t>PIECE_VEHICULE</t>
        </is>
      </c>
      <c r="G1662" s="8" t="inlineStr">
        <is>
          <t>unité</t>
        </is>
      </c>
      <c r="H1662" s="8" t="inlineStr">
        <is>
          <t>LARGE</t>
        </is>
      </c>
      <c r="I1662" s="8" t="n">
        <v>0</v>
      </c>
      <c r="J1662" s="8" t="inlineStr">
        <is>
          <t>B-03-04</t>
        </is>
      </c>
      <c r="K1662" s="8" t="inlineStr"/>
      <c r="L1662" s="10" t="n">
        <v>0</v>
      </c>
      <c r="M1662" s="10" t="n">
        <v>0</v>
      </c>
      <c r="N1662" s="10" t="n">
        <v>20</v>
      </c>
      <c r="O1662" s="8" t="inlineStr">
        <is>
          <t>VAL</t>
        </is>
      </c>
      <c r="P1662" s="8" t="inlineStr">
        <is>
          <t>CRITIQUE</t>
        </is>
      </c>
      <c r="Q1662" s="8" t="inlineStr">
        <is>
          <t>WHAP</t>
        </is>
      </c>
      <c r="R1662" s="8" t="inlineStr">
        <is>
          <t>OUI</t>
        </is>
      </c>
      <c r="S1662" s="8" t="inlineStr">
        <is>
          <t>31/08/2026 02:59</t>
        </is>
      </c>
    </row>
    <row r="1663">
      <c r="A1663" s="7" t="inlineStr">
        <is>
          <t>WHAP-1659</t>
        </is>
      </c>
      <c r="B1663" s="7" t="inlineStr">
        <is>
          <t>MOT-1659</t>
        </is>
      </c>
      <c r="C1663" s="7" t="inlineStr">
        <is>
          <t>connecteur de carter moteur</t>
        </is>
      </c>
      <c r="D1663" s="7" t="inlineStr">
        <is>
          <t>Moteur</t>
        </is>
      </c>
      <c r="E1663" s="7" t="inlineStr">
        <is>
          <t>Moteur</t>
        </is>
      </c>
      <c r="F1663" s="7" t="inlineStr">
        <is>
          <t>PIECE_VEHICULE</t>
        </is>
      </c>
      <c r="G1663" s="7" t="inlineStr">
        <is>
          <t>unité</t>
        </is>
      </c>
      <c r="H1663" s="7" t="inlineStr">
        <is>
          <t>LARGE</t>
        </is>
      </c>
      <c r="I1663" s="7" t="n">
        <v>0</v>
      </c>
      <c r="J1663" s="7" t="inlineStr">
        <is>
          <t>A-02-02</t>
        </is>
      </c>
      <c r="K1663" s="7" t="inlineStr"/>
      <c r="L1663" s="9" t="n">
        <v>0</v>
      </c>
      <c r="M1663" s="9" t="n">
        <v>0</v>
      </c>
      <c r="N1663" s="9" t="n">
        <v>16</v>
      </c>
      <c r="O1663" s="7" t="inlineStr">
        <is>
          <t>HEL</t>
        </is>
      </c>
      <c r="P1663" s="7" t="inlineStr">
        <is>
          <t>CRITIQUE</t>
        </is>
      </c>
      <c r="Q1663" s="7" t="inlineStr">
        <is>
          <t>WHAP</t>
        </is>
      </c>
      <c r="R1663" s="7" t="inlineStr">
        <is>
          <t>OUI</t>
        </is>
      </c>
      <c r="S1663" s="7" t="inlineStr">
        <is>
          <t>31/08/2026 02:59</t>
        </is>
      </c>
    </row>
    <row r="1664">
      <c r="A1664" s="8" t="inlineStr">
        <is>
          <t>WHAP-1660</t>
        </is>
      </c>
      <c r="B1664" s="8" t="inlineStr">
        <is>
          <t>MOT-1660</t>
        </is>
      </c>
      <c r="C1664" s="8" t="inlineStr">
        <is>
          <t>joint de carter moteur</t>
        </is>
      </c>
      <c r="D1664" s="8" t="inlineStr">
        <is>
          <t>Moteur</t>
        </is>
      </c>
      <c r="E1664" s="8" t="inlineStr">
        <is>
          <t>Moteur</t>
        </is>
      </c>
      <c r="F1664" s="8" t="inlineStr">
        <is>
          <t>PIECE_VEHICULE</t>
        </is>
      </c>
      <c r="G1664" s="8" t="inlineStr">
        <is>
          <t>unité</t>
        </is>
      </c>
      <c r="H1664" s="8" t="inlineStr">
        <is>
          <t>LARGE</t>
        </is>
      </c>
      <c r="I1664" s="8" t="n">
        <v>0</v>
      </c>
      <c r="J1664" s="8" t="inlineStr">
        <is>
          <t>D-03-01</t>
        </is>
      </c>
      <c r="K1664" s="8" t="inlineStr"/>
      <c r="L1664" s="10" t="n">
        <v>0</v>
      </c>
      <c r="M1664" s="10" t="n">
        <v>0</v>
      </c>
      <c r="N1664" s="10" t="n">
        <v>11</v>
      </c>
      <c r="O1664" s="8" t="inlineStr">
        <is>
          <t>YZK</t>
        </is>
      </c>
      <c r="P1664" s="8" t="inlineStr">
        <is>
          <t>CRITIQUE</t>
        </is>
      </c>
      <c r="Q1664" s="8" t="inlineStr">
        <is>
          <t>WHAP</t>
        </is>
      </c>
      <c r="R1664" s="8" t="inlineStr">
        <is>
          <t>OUI</t>
        </is>
      </c>
      <c r="S1664" s="8" t="inlineStr">
        <is>
          <t>31/08/2026 02:59</t>
        </is>
      </c>
    </row>
    <row r="1665">
      <c r="A1665" s="7" t="inlineStr">
        <is>
          <t>WHAP-1661</t>
        </is>
      </c>
      <c r="B1665" s="7" t="inlineStr">
        <is>
          <t>MOT-1661</t>
        </is>
      </c>
      <c r="C1665" s="7" t="inlineStr">
        <is>
          <t>fixation de carter moteur</t>
        </is>
      </c>
      <c r="D1665" s="7" t="inlineStr">
        <is>
          <t>Moteur</t>
        </is>
      </c>
      <c r="E1665" s="7" t="inlineStr">
        <is>
          <t>Moteur</t>
        </is>
      </c>
      <c r="F1665" s="7" t="inlineStr">
        <is>
          <t>PIECE_VEHICULE</t>
        </is>
      </c>
      <c r="G1665" s="7" t="inlineStr">
        <is>
          <t>unité</t>
        </is>
      </c>
      <c r="H1665" s="7" t="inlineStr">
        <is>
          <t>LARGE</t>
        </is>
      </c>
      <c r="I1665" s="7" t="n">
        <v>0</v>
      </c>
      <c r="J1665" s="7" t="inlineStr">
        <is>
          <t>A-01-02</t>
        </is>
      </c>
      <c r="K1665" s="7" t="inlineStr"/>
      <c r="L1665" s="9" t="n">
        <v>0</v>
      </c>
      <c r="M1665" s="9" t="n">
        <v>0</v>
      </c>
      <c r="N1665" s="9" t="n">
        <v>17</v>
      </c>
      <c r="O1665" s="7" t="inlineStr">
        <is>
          <t>DEL</t>
        </is>
      </c>
      <c r="P1665" s="7" t="inlineStr">
        <is>
          <t>CRITIQUE</t>
        </is>
      </c>
      <c r="Q1665" s="7" t="inlineStr">
        <is>
          <t>WHAP</t>
        </is>
      </c>
      <c r="R1665" s="7" t="inlineStr">
        <is>
          <t>OUI</t>
        </is>
      </c>
      <c r="S1665" s="7" t="inlineStr">
        <is>
          <t>31/08/2026 02:59</t>
        </is>
      </c>
    </row>
    <row r="1666">
      <c r="A1666" s="8" t="inlineStr">
        <is>
          <t>WHAP-1662</t>
        </is>
      </c>
      <c r="B1666" s="8" t="inlineStr">
        <is>
          <t>MOT-1662</t>
        </is>
      </c>
      <c r="C1666" s="8" t="inlineStr">
        <is>
          <t>protection de carter moteur</t>
        </is>
      </c>
      <c r="D1666" s="8" t="inlineStr">
        <is>
          <t>Moteur</t>
        </is>
      </c>
      <c r="E1666" s="8" t="inlineStr">
        <is>
          <t>Moteur</t>
        </is>
      </c>
      <c r="F1666" s="8" t="inlineStr">
        <is>
          <t>PIECE_VEHICULE</t>
        </is>
      </c>
      <c r="G1666" s="8" t="inlineStr">
        <is>
          <t>unité</t>
        </is>
      </c>
      <c r="H1666" s="8" t="inlineStr">
        <is>
          <t>LARGE</t>
        </is>
      </c>
      <c r="I1666" s="8" t="n">
        <v>0</v>
      </c>
      <c r="J1666" s="8" t="inlineStr">
        <is>
          <t>E-01-04</t>
        </is>
      </c>
      <c r="K1666" s="8" t="inlineStr"/>
      <c r="L1666" s="10" t="n">
        <v>0</v>
      </c>
      <c r="M1666" s="10" t="n">
        <v>0</v>
      </c>
      <c r="N1666" s="10" t="n">
        <v>12</v>
      </c>
      <c r="O1666" s="8" t="inlineStr">
        <is>
          <t>BOS</t>
        </is>
      </c>
      <c r="P1666" s="8" t="inlineStr">
        <is>
          <t>CRITIQUE</t>
        </is>
      </c>
      <c r="Q1666" s="8" t="inlineStr">
        <is>
          <t>WHAP</t>
        </is>
      </c>
      <c r="R1666" s="8" t="inlineStr">
        <is>
          <t>OUI</t>
        </is>
      </c>
      <c r="S1666" s="8" t="inlineStr">
        <is>
          <t>31/08/2026 02:59</t>
        </is>
      </c>
    </row>
    <row r="1667">
      <c r="A1667" s="7" t="inlineStr">
        <is>
          <t>WHAP-1663</t>
        </is>
      </c>
      <c r="B1667" s="7" t="inlineStr">
        <is>
          <t>MOT-1663</t>
        </is>
      </c>
      <c r="C1667" s="7" t="inlineStr">
        <is>
          <t>capteur de carter moteur</t>
        </is>
      </c>
      <c r="D1667" s="7" t="inlineStr">
        <is>
          <t>Moteur</t>
        </is>
      </c>
      <c r="E1667" s="7" t="inlineStr">
        <is>
          <t>Moteur</t>
        </is>
      </c>
      <c r="F1667" s="7" t="inlineStr">
        <is>
          <t>PIECE_VEHICULE</t>
        </is>
      </c>
      <c r="G1667" s="7" t="inlineStr">
        <is>
          <t>unité</t>
        </is>
      </c>
      <c r="H1667" s="7" t="inlineStr">
        <is>
          <t>LARGE</t>
        </is>
      </c>
      <c r="I1667" s="7" t="n">
        <v>0</v>
      </c>
      <c r="J1667" s="7" t="inlineStr">
        <is>
          <t>F-06-04</t>
        </is>
      </c>
      <c r="K1667" s="7" t="inlineStr"/>
      <c r="L1667" s="9" t="n">
        <v>0</v>
      </c>
      <c r="M1667" s="9" t="n">
        <v>0</v>
      </c>
      <c r="N1667" s="9" t="n">
        <v>16</v>
      </c>
      <c r="O1667" s="7" t="inlineStr">
        <is>
          <t>SKF</t>
        </is>
      </c>
      <c r="P1667" s="7" t="inlineStr">
        <is>
          <t>CRITIQUE</t>
        </is>
      </c>
      <c r="Q1667" s="7" t="inlineStr">
        <is>
          <t>WHAP</t>
        </is>
      </c>
      <c r="R1667" s="7" t="inlineStr">
        <is>
          <t>OUI</t>
        </is>
      </c>
      <c r="S1667" s="7" t="inlineStr">
        <is>
          <t>31/08/2026 02:59</t>
        </is>
      </c>
    </row>
    <row r="1668">
      <c r="A1668" s="8" t="inlineStr">
        <is>
          <t>WHAP-1664</t>
        </is>
      </c>
      <c r="B1668" s="8" t="inlineStr">
        <is>
          <t>MOT-1664</t>
        </is>
      </c>
      <c r="C1668" s="8" t="inlineStr">
        <is>
          <t>actionneur de carter moteur</t>
        </is>
      </c>
      <c r="D1668" s="8" t="inlineStr">
        <is>
          <t>Moteur</t>
        </is>
      </c>
      <c r="E1668" s="8" t="inlineStr">
        <is>
          <t>Moteur</t>
        </is>
      </c>
      <c r="F1668" s="8" t="inlineStr">
        <is>
          <t>PIECE_VEHICULE</t>
        </is>
      </c>
      <c r="G1668" s="8" t="inlineStr">
        <is>
          <t>unité</t>
        </is>
      </c>
      <c r="H1668" s="8" t="inlineStr">
        <is>
          <t>LARGE</t>
        </is>
      </c>
      <c r="I1668" s="8" t="n">
        <v>0</v>
      </c>
      <c r="J1668" s="8" t="inlineStr">
        <is>
          <t>C-06-02</t>
        </is>
      </c>
      <c r="K1668" s="8" t="inlineStr"/>
      <c r="L1668" s="10" t="n">
        <v>0</v>
      </c>
      <c r="M1668" s="10" t="n">
        <v>0</v>
      </c>
      <c r="N1668" s="10" t="n">
        <v>15</v>
      </c>
      <c r="O1668" s="8" t="inlineStr">
        <is>
          <t>SUM</t>
        </is>
      </c>
      <c r="P1668" s="8" t="inlineStr">
        <is>
          <t>CRITIQUE</t>
        </is>
      </c>
      <c r="Q1668" s="8" t="inlineStr">
        <is>
          <t>WHAP</t>
        </is>
      </c>
      <c r="R1668" s="8" t="inlineStr">
        <is>
          <t>OUI</t>
        </is>
      </c>
      <c r="S1668" s="8" t="inlineStr">
        <is>
          <t>31/08/2026 02:59</t>
        </is>
      </c>
    </row>
    <row r="1669">
      <c r="A1669" s="7" t="inlineStr">
        <is>
          <t>WHAP-1665</t>
        </is>
      </c>
      <c r="B1669" s="7" t="inlineStr">
        <is>
          <t>MOT-1665</t>
        </is>
      </c>
      <c r="C1669" s="7" t="inlineStr">
        <is>
          <t>raccord de carter moteur</t>
        </is>
      </c>
      <c r="D1669" s="7" t="inlineStr">
        <is>
          <t>Moteur</t>
        </is>
      </c>
      <c r="E1669" s="7" t="inlineStr">
        <is>
          <t>Moteur</t>
        </is>
      </c>
      <c r="F1669" s="7" t="inlineStr">
        <is>
          <t>PIECE_VEHICULE</t>
        </is>
      </c>
      <c r="G1669" s="7" t="inlineStr">
        <is>
          <t>unité</t>
        </is>
      </c>
      <c r="H1669" s="7" t="inlineStr">
        <is>
          <t>LARGE</t>
        </is>
      </c>
      <c r="I1669" s="7" t="n">
        <v>0</v>
      </c>
      <c r="J1669" s="7" t="inlineStr">
        <is>
          <t>D-04-02</t>
        </is>
      </c>
      <c r="K1669" s="7" t="inlineStr"/>
      <c r="L1669" s="9" t="n">
        <v>0</v>
      </c>
      <c r="M1669" s="9" t="n">
        <v>0</v>
      </c>
      <c r="N1669" s="9" t="n">
        <v>10</v>
      </c>
      <c r="O1669" s="7" t="inlineStr">
        <is>
          <t>CTL</t>
        </is>
      </c>
      <c r="P1669" s="7" t="inlineStr">
        <is>
          <t>CRITIQUE</t>
        </is>
      </c>
      <c r="Q1669" s="7" t="inlineStr">
        <is>
          <t>WHAP</t>
        </is>
      </c>
      <c r="R1669" s="7" t="inlineStr">
        <is>
          <t>OUI</t>
        </is>
      </c>
      <c r="S1669" s="7" t="inlineStr">
        <is>
          <t>31/08/2026 02:59</t>
        </is>
      </c>
    </row>
    <row r="1670">
      <c r="A1670" s="8" t="inlineStr">
        <is>
          <t>WHAP-1666</t>
        </is>
      </c>
      <c r="B1670" s="8" t="inlineStr">
        <is>
          <t>MOT-1666</t>
        </is>
      </c>
      <c r="C1670" s="8" t="inlineStr">
        <is>
          <t>plaque de carter moteur</t>
        </is>
      </c>
      <c r="D1670" s="8" t="inlineStr">
        <is>
          <t>Moteur</t>
        </is>
      </c>
      <c r="E1670" s="8" t="inlineStr">
        <is>
          <t>Moteur</t>
        </is>
      </c>
      <c r="F1670" s="8" t="inlineStr">
        <is>
          <t>PIECE_VEHICULE</t>
        </is>
      </c>
      <c r="G1670" s="8" t="inlineStr">
        <is>
          <t>unité</t>
        </is>
      </c>
      <c r="H1670" s="8" t="inlineStr">
        <is>
          <t>LARGE</t>
        </is>
      </c>
      <c r="I1670" s="8" t="n">
        <v>0</v>
      </c>
      <c r="J1670" s="8" t="inlineStr">
        <is>
          <t>B-06-03</t>
        </is>
      </c>
      <c r="K1670" s="8" t="inlineStr"/>
      <c r="L1670" s="10" t="n">
        <v>0</v>
      </c>
      <c r="M1670" s="10" t="n">
        <v>0</v>
      </c>
      <c r="N1670" s="10" t="n">
        <v>10</v>
      </c>
      <c r="O1670" s="8" t="inlineStr">
        <is>
          <t>VAL</t>
        </is>
      </c>
      <c r="P1670" s="8" t="inlineStr">
        <is>
          <t>CRITIQUE</t>
        </is>
      </c>
      <c r="Q1670" s="8" t="inlineStr">
        <is>
          <t>WHAP</t>
        </is>
      </c>
      <c r="R1670" s="8" t="inlineStr">
        <is>
          <t>OUI</t>
        </is>
      </c>
      <c r="S1670" s="8" t="inlineStr">
        <is>
          <t>31/08/2026 02:59</t>
        </is>
      </c>
    </row>
    <row r="1671">
      <c r="A1671" s="7" t="inlineStr">
        <is>
          <t>WHAP-1667</t>
        </is>
      </c>
      <c r="B1671" s="7" t="inlineStr">
        <is>
          <t>MOT-1667</t>
        </is>
      </c>
      <c r="C1671" s="7" t="inlineStr">
        <is>
          <t>couvercle de carter moteur</t>
        </is>
      </c>
      <c r="D1671" s="7" t="inlineStr">
        <is>
          <t>Moteur</t>
        </is>
      </c>
      <c r="E1671" s="7" t="inlineStr">
        <is>
          <t>Moteur</t>
        </is>
      </c>
      <c r="F1671" s="7" t="inlineStr">
        <is>
          <t>PIECE_VEHICULE</t>
        </is>
      </c>
      <c r="G1671" s="7" t="inlineStr">
        <is>
          <t>unité</t>
        </is>
      </c>
      <c r="H1671" s="7" t="inlineStr">
        <is>
          <t>LARGE</t>
        </is>
      </c>
      <c r="I1671" s="7" t="n">
        <v>0</v>
      </c>
      <c r="J1671" s="7" t="inlineStr">
        <is>
          <t>A-06-01</t>
        </is>
      </c>
      <c r="K1671" s="7" t="inlineStr"/>
      <c r="L1671" s="9" t="n">
        <v>0</v>
      </c>
      <c r="M1671" s="9" t="n">
        <v>0</v>
      </c>
      <c r="N1671" s="9" t="n">
        <v>11</v>
      </c>
      <c r="O1671" s="7" t="inlineStr">
        <is>
          <t>MAG</t>
        </is>
      </c>
      <c r="P1671" s="7" t="inlineStr">
        <is>
          <t>CRITIQUE</t>
        </is>
      </c>
      <c r="Q1671" s="7" t="inlineStr">
        <is>
          <t>WHAP</t>
        </is>
      </c>
      <c r="R1671" s="7" t="inlineStr">
        <is>
          <t>OUI</t>
        </is>
      </c>
      <c r="S1671" s="7" t="inlineStr">
        <is>
          <t>31/08/2026 02:59</t>
        </is>
      </c>
    </row>
    <row r="1672">
      <c r="A1672" s="8" t="inlineStr">
        <is>
          <t>WHAP-1668</t>
        </is>
      </c>
      <c r="B1672" s="8" t="inlineStr">
        <is>
          <t>MOT-1668</t>
        </is>
      </c>
      <c r="C1672" s="8" t="inlineStr">
        <is>
          <t>bague de carter moteur</t>
        </is>
      </c>
      <c r="D1672" s="8" t="inlineStr">
        <is>
          <t>Moteur</t>
        </is>
      </c>
      <c r="E1672" s="8" t="inlineStr">
        <is>
          <t>Moteur</t>
        </is>
      </c>
      <c r="F1672" s="8" t="inlineStr">
        <is>
          <t>PIECE_VEHICULE</t>
        </is>
      </c>
      <c r="G1672" s="8" t="inlineStr">
        <is>
          <t>unité</t>
        </is>
      </c>
      <c r="H1672" s="8" t="inlineStr">
        <is>
          <t>LARGE</t>
        </is>
      </c>
      <c r="I1672" s="8" t="n">
        <v>0</v>
      </c>
      <c r="J1672" s="8" t="inlineStr">
        <is>
          <t>B-06-01</t>
        </is>
      </c>
      <c r="K1672" s="8" t="inlineStr"/>
      <c r="L1672" s="10" t="n">
        <v>0</v>
      </c>
      <c r="M1672" s="10" t="n">
        <v>0</v>
      </c>
      <c r="N1672" s="10" t="n">
        <v>11</v>
      </c>
      <c r="O1672" s="8" t="inlineStr">
        <is>
          <t>CTL</t>
        </is>
      </c>
      <c r="P1672" s="8" t="inlineStr">
        <is>
          <t>CRITIQUE</t>
        </is>
      </c>
      <c r="Q1672" s="8" t="inlineStr">
        <is>
          <t>WHAP</t>
        </is>
      </c>
      <c r="R1672" s="8" t="inlineStr">
        <is>
          <t>OUI</t>
        </is>
      </c>
      <c r="S1672" s="8" t="inlineStr">
        <is>
          <t>31/08/2026 02:59</t>
        </is>
      </c>
    </row>
    <row r="1673">
      <c r="A1673" s="7" t="inlineStr">
        <is>
          <t>WHAP-1669</t>
        </is>
      </c>
      <c r="B1673" s="7" t="inlineStr">
        <is>
          <t>MOT-1669</t>
        </is>
      </c>
      <c r="C1673" s="7" t="inlineStr">
        <is>
          <t>entretoise de carter moteur</t>
        </is>
      </c>
      <c r="D1673" s="7" t="inlineStr">
        <is>
          <t>Moteur</t>
        </is>
      </c>
      <c r="E1673" s="7" t="inlineStr">
        <is>
          <t>Moteur</t>
        </is>
      </c>
      <c r="F1673" s="7" t="inlineStr">
        <is>
          <t>PIECE_VEHICULE</t>
        </is>
      </c>
      <c r="G1673" s="7" t="inlineStr">
        <is>
          <t>unité</t>
        </is>
      </c>
      <c r="H1673" s="7" t="inlineStr">
        <is>
          <t>LARGE</t>
        </is>
      </c>
      <c r="I1673" s="7" t="n">
        <v>0</v>
      </c>
      <c r="J1673" s="7" t="inlineStr">
        <is>
          <t>D-01-02</t>
        </is>
      </c>
      <c r="K1673" s="7" t="inlineStr"/>
      <c r="L1673" s="9" t="n">
        <v>0</v>
      </c>
      <c r="M1673" s="9" t="n">
        <v>0</v>
      </c>
      <c r="N1673" s="9" t="n">
        <v>18</v>
      </c>
      <c r="O1673" s="7" t="inlineStr">
        <is>
          <t>YZK</t>
        </is>
      </c>
      <c r="P1673" s="7" t="inlineStr">
        <is>
          <t>CRITIQUE</t>
        </is>
      </c>
      <c r="Q1673" s="7" t="inlineStr">
        <is>
          <t>WHAP</t>
        </is>
      </c>
      <c r="R1673" s="7" t="inlineStr">
        <is>
          <t>OUI</t>
        </is>
      </c>
      <c r="S1673" s="7" t="inlineStr">
        <is>
          <t>31/08/2026 02:59</t>
        </is>
      </c>
    </row>
    <row r="1674">
      <c r="A1674" s="8" t="inlineStr">
        <is>
          <t>WHAP-1670</t>
        </is>
      </c>
      <c r="B1674" s="8" t="inlineStr">
        <is>
          <t>MOT-1670</t>
        </is>
      </c>
      <c r="C1674" s="8" t="inlineStr">
        <is>
          <t>axe de carter moteur</t>
        </is>
      </c>
      <c r="D1674" s="8" t="inlineStr">
        <is>
          <t>Moteur</t>
        </is>
      </c>
      <c r="E1674" s="8" t="inlineStr">
        <is>
          <t>Moteur</t>
        </is>
      </c>
      <c r="F1674" s="8" t="inlineStr">
        <is>
          <t>PIECE_VEHICULE</t>
        </is>
      </c>
      <c r="G1674" s="8" t="inlineStr">
        <is>
          <t>unité</t>
        </is>
      </c>
      <c r="H1674" s="8" t="inlineStr">
        <is>
          <t>LARGE</t>
        </is>
      </c>
      <c r="I1674" s="8" t="n">
        <v>0</v>
      </c>
      <c r="J1674" s="8" t="inlineStr">
        <is>
          <t>F-06-03</t>
        </is>
      </c>
      <c r="K1674" s="8" t="inlineStr"/>
      <c r="L1674" s="10" t="n">
        <v>0</v>
      </c>
      <c r="M1674" s="10" t="n">
        <v>0</v>
      </c>
      <c r="N1674" s="10" t="n">
        <v>17</v>
      </c>
      <c r="O1674" s="8" t="inlineStr">
        <is>
          <t>FAU</t>
        </is>
      </c>
      <c r="P1674" s="8" t="inlineStr">
        <is>
          <t>CRITIQUE</t>
        </is>
      </c>
      <c r="Q1674" s="8" t="inlineStr">
        <is>
          <t>WHAP</t>
        </is>
      </c>
      <c r="R1674" s="8" t="inlineStr">
        <is>
          <t>OUI</t>
        </is>
      </c>
      <c r="S1674" s="8" t="inlineStr">
        <is>
          <t>31/08/2026 02:59</t>
        </is>
      </c>
    </row>
    <row r="1675">
      <c r="A1675" s="7" t="inlineStr">
        <is>
          <t>WHAP-1671</t>
        </is>
      </c>
      <c r="B1675" s="7" t="inlineStr">
        <is>
          <t>MOT-1671</t>
        </is>
      </c>
      <c r="C1675" s="7" t="inlineStr">
        <is>
          <t>poulie de carter moteur</t>
        </is>
      </c>
      <c r="D1675" s="7" t="inlineStr">
        <is>
          <t>Moteur</t>
        </is>
      </c>
      <c r="E1675" s="7" t="inlineStr">
        <is>
          <t>Moteur</t>
        </is>
      </c>
      <c r="F1675" s="7" t="inlineStr">
        <is>
          <t>PIECE_VEHICULE</t>
        </is>
      </c>
      <c r="G1675" s="7" t="inlineStr">
        <is>
          <t>unité</t>
        </is>
      </c>
      <c r="H1675" s="7" t="inlineStr">
        <is>
          <t>LARGE</t>
        </is>
      </c>
      <c r="I1675" s="7" t="n">
        <v>0</v>
      </c>
      <c r="J1675" s="7" t="inlineStr">
        <is>
          <t>A-01-04</t>
        </is>
      </c>
      <c r="K1675" s="7" t="inlineStr"/>
      <c r="L1675" s="9" t="n">
        <v>0</v>
      </c>
      <c r="M1675" s="9" t="n">
        <v>0</v>
      </c>
      <c r="N1675" s="9" t="n">
        <v>14</v>
      </c>
      <c r="O1675" s="7" t="inlineStr">
        <is>
          <t>MAG</t>
        </is>
      </c>
      <c r="P1675" s="7" t="inlineStr">
        <is>
          <t>CRITIQUE</t>
        </is>
      </c>
      <c r="Q1675" s="7" t="inlineStr">
        <is>
          <t>WHAP</t>
        </is>
      </c>
      <c r="R1675" s="7" t="inlineStr">
        <is>
          <t>OUI</t>
        </is>
      </c>
      <c r="S1675" s="7" t="inlineStr">
        <is>
          <t>31/08/2026 02:59</t>
        </is>
      </c>
    </row>
    <row r="1676">
      <c r="A1676" s="8" t="inlineStr">
        <is>
          <t>WHAP-1672</t>
        </is>
      </c>
      <c r="B1676" s="8" t="inlineStr">
        <is>
          <t>MOT-1672</t>
        </is>
      </c>
      <c r="C1676" s="8" t="inlineStr">
        <is>
          <t>pignon de carter moteur</t>
        </is>
      </c>
      <c r="D1676" s="8" t="inlineStr">
        <is>
          <t>Moteur</t>
        </is>
      </c>
      <c r="E1676" s="8" t="inlineStr">
        <is>
          <t>Moteur</t>
        </is>
      </c>
      <c r="F1676" s="8" t="inlineStr">
        <is>
          <t>PIECE_VEHICULE</t>
        </is>
      </c>
      <c r="G1676" s="8" t="inlineStr">
        <is>
          <t>unité</t>
        </is>
      </c>
      <c r="H1676" s="8" t="inlineStr">
        <is>
          <t>LARGE</t>
        </is>
      </c>
      <c r="I1676" s="8" t="n">
        <v>0</v>
      </c>
      <c r="J1676" s="8" t="inlineStr">
        <is>
          <t>B-03-01</t>
        </is>
      </c>
      <c r="K1676" s="8" t="inlineStr"/>
      <c r="L1676" s="10" t="n">
        <v>0</v>
      </c>
      <c r="M1676" s="10" t="n">
        <v>0</v>
      </c>
      <c r="N1676" s="10" t="n">
        <v>10</v>
      </c>
      <c r="O1676" s="8" t="inlineStr">
        <is>
          <t>SKF</t>
        </is>
      </c>
      <c r="P1676" s="8" t="inlineStr">
        <is>
          <t>CRITIQUE</t>
        </is>
      </c>
      <c r="Q1676" s="8" t="inlineStr">
        <is>
          <t>WHAP</t>
        </is>
      </c>
      <c r="R1676" s="8" t="inlineStr">
        <is>
          <t>OUI</t>
        </is>
      </c>
      <c r="S1676" s="8" t="inlineStr">
        <is>
          <t>31/08/2026 02:59</t>
        </is>
      </c>
    </row>
    <row r="1677">
      <c r="A1677" s="7" t="inlineStr">
        <is>
          <t>WHAP-1673</t>
        </is>
      </c>
      <c r="B1677" s="7" t="inlineStr">
        <is>
          <t>MOT-1673</t>
        </is>
      </c>
      <c r="C1677" s="7" t="inlineStr">
        <is>
          <t>ensemble de carter d'huile</t>
        </is>
      </c>
      <c r="D1677" s="7" t="inlineStr">
        <is>
          <t>Moteur</t>
        </is>
      </c>
      <c r="E1677" s="7" t="inlineStr">
        <is>
          <t>Moteur</t>
        </is>
      </c>
      <c r="F1677" s="7" t="inlineStr">
        <is>
          <t>PIECE_VEHICULE</t>
        </is>
      </c>
      <c r="G1677" s="7" t="inlineStr">
        <is>
          <t>unité</t>
        </is>
      </c>
      <c r="H1677" s="7" t="inlineStr">
        <is>
          <t>LARGE</t>
        </is>
      </c>
      <c r="I1677" s="7" t="n">
        <v>0</v>
      </c>
      <c r="J1677" s="7" t="inlineStr">
        <is>
          <t>D-01-02</t>
        </is>
      </c>
      <c r="K1677" s="7" t="inlineStr"/>
      <c r="L1677" s="9" t="n">
        <v>0</v>
      </c>
      <c r="M1677" s="9" t="n">
        <v>0</v>
      </c>
      <c r="N1677" s="9" t="n">
        <v>17</v>
      </c>
      <c r="O1677" s="7" t="inlineStr">
        <is>
          <t>YZK</t>
        </is>
      </c>
      <c r="P1677" s="7" t="inlineStr">
        <is>
          <t>CRITIQUE</t>
        </is>
      </c>
      <c r="Q1677" s="7" t="inlineStr">
        <is>
          <t>WHAP</t>
        </is>
      </c>
      <c r="R1677" s="7" t="inlineStr">
        <is>
          <t>OUI</t>
        </is>
      </c>
      <c r="S1677" s="7" t="inlineStr">
        <is>
          <t>31/08/2026 02:59</t>
        </is>
      </c>
    </row>
    <row r="1678">
      <c r="A1678" s="8" t="inlineStr">
        <is>
          <t>WHAP-1674</t>
        </is>
      </c>
      <c r="B1678" s="8" t="inlineStr">
        <is>
          <t>MOT-1674</t>
        </is>
      </c>
      <c r="C1678" s="8" t="inlineStr">
        <is>
          <t>kit de carter d'huile</t>
        </is>
      </c>
      <c r="D1678" s="8" t="inlineStr">
        <is>
          <t>Moteur</t>
        </is>
      </c>
      <c r="E1678" s="8" t="inlineStr">
        <is>
          <t>Moteur</t>
        </is>
      </c>
      <c r="F1678" s="8" t="inlineStr">
        <is>
          <t>PIECE_VEHICULE</t>
        </is>
      </c>
      <c r="G1678" s="8" t="inlineStr">
        <is>
          <t>unité</t>
        </is>
      </c>
      <c r="H1678" s="8" t="inlineStr">
        <is>
          <t>LARGE</t>
        </is>
      </c>
      <c r="I1678" s="8" t="n">
        <v>0</v>
      </c>
      <c r="J1678" s="8" t="inlineStr">
        <is>
          <t>C-04-03</t>
        </is>
      </c>
      <c r="K1678" s="8" t="inlineStr"/>
      <c r="L1678" s="10" t="n">
        <v>0</v>
      </c>
      <c r="M1678" s="10" t="n">
        <v>0</v>
      </c>
      <c r="N1678" s="10" t="n">
        <v>16</v>
      </c>
      <c r="O1678" s="8" t="inlineStr">
        <is>
          <t>SUM</t>
        </is>
      </c>
      <c r="P1678" s="8" t="inlineStr">
        <is>
          <t>CRITIQUE</t>
        </is>
      </c>
      <c r="Q1678" s="8" t="inlineStr">
        <is>
          <t>WHAP</t>
        </is>
      </c>
      <c r="R1678" s="8" t="inlineStr">
        <is>
          <t>OUI</t>
        </is>
      </c>
      <c r="S1678" s="8" t="inlineStr">
        <is>
          <t>31/08/2026 02:59</t>
        </is>
      </c>
    </row>
    <row r="1679">
      <c r="A1679" s="7" t="inlineStr">
        <is>
          <t>WHAP-1675</t>
        </is>
      </c>
      <c r="B1679" s="7" t="inlineStr">
        <is>
          <t>MOT-1675</t>
        </is>
      </c>
      <c r="C1679" s="7" t="inlineStr">
        <is>
          <t>support de carter d'huile</t>
        </is>
      </c>
      <c r="D1679" s="7" t="inlineStr">
        <is>
          <t>Moteur</t>
        </is>
      </c>
      <c r="E1679" s="7" t="inlineStr">
        <is>
          <t>Moteur</t>
        </is>
      </c>
      <c r="F1679" s="7" t="inlineStr">
        <is>
          <t>PIECE_VEHICULE</t>
        </is>
      </c>
      <c r="G1679" s="7" t="inlineStr">
        <is>
          <t>unité</t>
        </is>
      </c>
      <c r="H1679" s="7" t="inlineStr">
        <is>
          <t>LARGE</t>
        </is>
      </c>
      <c r="I1679" s="7" t="n">
        <v>0</v>
      </c>
      <c r="J1679" s="7" t="inlineStr">
        <is>
          <t>B-05-04</t>
        </is>
      </c>
      <c r="K1679" s="7" t="inlineStr"/>
      <c r="L1679" s="9" t="n">
        <v>0</v>
      </c>
      <c r="M1679" s="9" t="n">
        <v>0</v>
      </c>
      <c r="N1679" s="9" t="n">
        <v>13</v>
      </c>
      <c r="O1679" s="7" t="inlineStr">
        <is>
          <t>YZK</t>
        </is>
      </c>
      <c r="P1679" s="7" t="inlineStr">
        <is>
          <t>CRITIQUE</t>
        </is>
      </c>
      <c r="Q1679" s="7" t="inlineStr">
        <is>
          <t>WHAP</t>
        </is>
      </c>
      <c r="R1679" s="7" t="inlineStr">
        <is>
          <t>OUI</t>
        </is>
      </c>
      <c r="S1679" s="7" t="inlineStr">
        <is>
          <t>31/08/2026 02:59</t>
        </is>
      </c>
    </row>
    <row r="1680">
      <c r="A1680" s="8" t="inlineStr">
        <is>
          <t>WHAP-1676</t>
        </is>
      </c>
      <c r="B1680" s="8" t="inlineStr">
        <is>
          <t>MOT-1676</t>
        </is>
      </c>
      <c r="C1680" s="8" t="inlineStr">
        <is>
          <t>boîtier de carter d'huile</t>
        </is>
      </c>
      <c r="D1680" s="8" t="inlineStr">
        <is>
          <t>Moteur</t>
        </is>
      </c>
      <c r="E1680" s="8" t="inlineStr">
        <is>
          <t>Moteur</t>
        </is>
      </c>
      <c r="F1680" s="8" t="inlineStr">
        <is>
          <t>PIECE_VEHICULE</t>
        </is>
      </c>
      <c r="G1680" s="8" t="inlineStr">
        <is>
          <t>unité</t>
        </is>
      </c>
      <c r="H1680" s="8" t="inlineStr">
        <is>
          <t>LARGE</t>
        </is>
      </c>
      <c r="I1680" s="8" t="n">
        <v>0</v>
      </c>
      <c r="J1680" s="8" t="inlineStr">
        <is>
          <t>C-06-03</t>
        </is>
      </c>
      <c r="K1680" s="8" t="inlineStr"/>
      <c r="L1680" s="10" t="n">
        <v>0</v>
      </c>
      <c r="M1680" s="10" t="n">
        <v>0</v>
      </c>
      <c r="N1680" s="10" t="n">
        <v>11</v>
      </c>
      <c r="O1680" s="8" t="inlineStr">
        <is>
          <t>BOS</t>
        </is>
      </c>
      <c r="P1680" s="8" t="inlineStr">
        <is>
          <t>CRITIQUE</t>
        </is>
      </c>
      <c r="Q1680" s="8" t="inlineStr">
        <is>
          <t>WHAP</t>
        </is>
      </c>
      <c r="R1680" s="8" t="inlineStr">
        <is>
          <t>OUI</t>
        </is>
      </c>
      <c r="S1680" s="8" t="inlineStr">
        <is>
          <t>31/08/2026 02:59</t>
        </is>
      </c>
    </row>
    <row r="1681">
      <c r="A1681" s="7" t="inlineStr">
        <is>
          <t>WHAP-1677</t>
        </is>
      </c>
      <c r="B1681" s="7" t="inlineStr">
        <is>
          <t>MOT-1677</t>
        </is>
      </c>
      <c r="C1681" s="7" t="inlineStr">
        <is>
          <t>module de carter d'huile</t>
        </is>
      </c>
      <c r="D1681" s="7" t="inlineStr">
        <is>
          <t>Moteur</t>
        </is>
      </c>
      <c r="E1681" s="7" t="inlineStr">
        <is>
          <t>Moteur</t>
        </is>
      </c>
      <c r="F1681" s="7" t="inlineStr">
        <is>
          <t>PIECE_VEHICULE</t>
        </is>
      </c>
      <c r="G1681" s="7" t="inlineStr">
        <is>
          <t>unité</t>
        </is>
      </c>
      <c r="H1681" s="7" t="inlineStr">
        <is>
          <t>LARGE</t>
        </is>
      </c>
      <c r="I1681" s="7" t="n">
        <v>0</v>
      </c>
      <c r="J1681" s="7" t="inlineStr">
        <is>
          <t>A-06-02</t>
        </is>
      </c>
      <c r="K1681" s="7" t="inlineStr"/>
      <c r="L1681" s="9" t="n">
        <v>0</v>
      </c>
      <c r="M1681" s="9" t="n">
        <v>0</v>
      </c>
      <c r="N1681" s="9" t="n">
        <v>17</v>
      </c>
      <c r="O1681" s="7" t="inlineStr">
        <is>
          <t>SUM</t>
        </is>
      </c>
      <c r="P1681" s="7" t="inlineStr">
        <is>
          <t>CRITIQUE</t>
        </is>
      </c>
      <c r="Q1681" s="7" t="inlineStr">
        <is>
          <t>WHAP</t>
        </is>
      </c>
      <c r="R1681" s="7" t="inlineStr">
        <is>
          <t>OUI</t>
        </is>
      </c>
      <c r="S1681" s="7" t="inlineStr">
        <is>
          <t>31/08/2026 02:59</t>
        </is>
      </c>
    </row>
    <row r="1682">
      <c r="A1682" s="8" t="inlineStr">
        <is>
          <t>WHAP-1678</t>
        </is>
      </c>
      <c r="B1682" s="8" t="inlineStr">
        <is>
          <t>MOT-1678</t>
        </is>
      </c>
      <c r="C1682" s="8" t="inlineStr">
        <is>
          <t>câblage de carter d'huile</t>
        </is>
      </c>
      <c r="D1682" s="8" t="inlineStr">
        <is>
          <t>Moteur</t>
        </is>
      </c>
      <c r="E1682" s="8" t="inlineStr">
        <is>
          <t>Moteur</t>
        </is>
      </c>
      <c r="F1682" s="8" t="inlineStr">
        <is>
          <t>PIECE_VEHICULE</t>
        </is>
      </c>
      <c r="G1682" s="8" t="inlineStr">
        <is>
          <t>unité</t>
        </is>
      </c>
      <c r="H1682" s="8" t="inlineStr">
        <is>
          <t>LARGE</t>
        </is>
      </c>
      <c r="I1682" s="8" t="n">
        <v>0</v>
      </c>
      <c r="J1682" s="8" t="inlineStr">
        <is>
          <t>D-05-01</t>
        </is>
      </c>
      <c r="K1682" s="8" t="inlineStr"/>
      <c r="L1682" s="10" t="n">
        <v>0</v>
      </c>
      <c r="M1682" s="10" t="n">
        <v>0</v>
      </c>
      <c r="N1682" s="10" t="n">
        <v>15</v>
      </c>
      <c r="O1682" s="8" t="inlineStr">
        <is>
          <t>YZK</t>
        </is>
      </c>
      <c r="P1682" s="8" t="inlineStr">
        <is>
          <t>CRITIQUE</t>
        </is>
      </c>
      <c r="Q1682" s="8" t="inlineStr">
        <is>
          <t>WHAP</t>
        </is>
      </c>
      <c r="R1682" s="8" t="inlineStr">
        <is>
          <t>OUI</t>
        </is>
      </c>
      <c r="S1682" s="8" t="inlineStr">
        <is>
          <t>31/08/2026 02:59</t>
        </is>
      </c>
    </row>
    <row r="1683">
      <c r="A1683" s="7" t="inlineStr">
        <is>
          <t>WHAP-1679</t>
        </is>
      </c>
      <c r="B1683" s="7" t="inlineStr">
        <is>
          <t>MOT-1679</t>
        </is>
      </c>
      <c r="C1683" s="7" t="inlineStr">
        <is>
          <t>connecteur de carter d'huile</t>
        </is>
      </c>
      <c r="D1683" s="7" t="inlineStr">
        <is>
          <t>Moteur</t>
        </is>
      </c>
      <c r="E1683" s="7" t="inlineStr">
        <is>
          <t>Moteur</t>
        </is>
      </c>
      <c r="F1683" s="7" t="inlineStr">
        <is>
          <t>PIECE_VEHICULE</t>
        </is>
      </c>
      <c r="G1683" s="7" t="inlineStr">
        <is>
          <t>unité</t>
        </is>
      </c>
      <c r="H1683" s="7" t="inlineStr">
        <is>
          <t>LARGE</t>
        </is>
      </c>
      <c r="I1683" s="7" t="n">
        <v>0</v>
      </c>
      <c r="J1683" s="7" t="inlineStr">
        <is>
          <t>A-06-04</t>
        </is>
      </c>
      <c r="K1683" s="7" t="inlineStr"/>
      <c r="L1683" s="9" t="n">
        <v>0</v>
      </c>
      <c r="M1683" s="9" t="n">
        <v>0</v>
      </c>
      <c r="N1683" s="9" t="n">
        <v>11</v>
      </c>
      <c r="O1683" s="7" t="inlineStr">
        <is>
          <t>SUM</t>
        </is>
      </c>
      <c r="P1683" s="7" t="inlineStr">
        <is>
          <t>CRITIQUE</t>
        </is>
      </c>
      <c r="Q1683" s="7" t="inlineStr">
        <is>
          <t>WHAP</t>
        </is>
      </c>
      <c r="R1683" s="7" t="inlineStr">
        <is>
          <t>OUI</t>
        </is>
      </c>
      <c r="S1683" s="7" t="inlineStr">
        <is>
          <t>31/08/2026 02:59</t>
        </is>
      </c>
    </row>
    <row r="1684">
      <c r="A1684" s="8" t="inlineStr">
        <is>
          <t>WHAP-1680</t>
        </is>
      </c>
      <c r="B1684" s="8" t="inlineStr">
        <is>
          <t>MOT-1680</t>
        </is>
      </c>
      <c r="C1684" s="8" t="inlineStr">
        <is>
          <t>joint de carter d'huile</t>
        </is>
      </c>
      <c r="D1684" s="8" t="inlineStr">
        <is>
          <t>Moteur</t>
        </is>
      </c>
      <c r="E1684" s="8" t="inlineStr">
        <is>
          <t>Moteur</t>
        </is>
      </c>
      <c r="F1684" s="8" t="inlineStr">
        <is>
          <t>PIECE_VEHICULE</t>
        </is>
      </c>
      <c r="G1684" s="8" t="inlineStr">
        <is>
          <t>unité</t>
        </is>
      </c>
      <c r="H1684" s="8" t="inlineStr">
        <is>
          <t>LARGE</t>
        </is>
      </c>
      <c r="I1684" s="8" t="n">
        <v>0</v>
      </c>
      <c r="J1684" s="8" t="inlineStr">
        <is>
          <t>A-01-03</t>
        </is>
      </c>
      <c r="K1684" s="8" t="inlineStr"/>
      <c r="L1684" s="10" t="n">
        <v>0</v>
      </c>
      <c r="M1684" s="10" t="n">
        <v>0</v>
      </c>
      <c r="N1684" s="10" t="n">
        <v>20</v>
      </c>
      <c r="O1684" s="8" t="inlineStr">
        <is>
          <t>HEL</t>
        </is>
      </c>
      <c r="P1684" s="8" t="inlineStr">
        <is>
          <t>CRITIQUE</t>
        </is>
      </c>
      <c r="Q1684" s="8" t="inlineStr">
        <is>
          <t>WHAP</t>
        </is>
      </c>
      <c r="R1684" s="8" t="inlineStr">
        <is>
          <t>OUI</t>
        </is>
      </c>
      <c r="S1684" s="8" t="inlineStr">
        <is>
          <t>31/08/2026 02:59</t>
        </is>
      </c>
    </row>
    <row r="1685">
      <c r="A1685" s="7" t="inlineStr">
        <is>
          <t>WHAP-1681</t>
        </is>
      </c>
      <c r="B1685" s="7" t="inlineStr">
        <is>
          <t>MOT-1681</t>
        </is>
      </c>
      <c r="C1685" s="7" t="inlineStr">
        <is>
          <t>fixation de carter d'huile</t>
        </is>
      </c>
      <c r="D1685" s="7" t="inlineStr">
        <is>
          <t>Moteur</t>
        </is>
      </c>
      <c r="E1685" s="7" t="inlineStr">
        <is>
          <t>Moteur</t>
        </is>
      </c>
      <c r="F1685" s="7" t="inlineStr">
        <is>
          <t>PIECE_VEHICULE</t>
        </is>
      </c>
      <c r="G1685" s="7" t="inlineStr">
        <is>
          <t>unité</t>
        </is>
      </c>
      <c r="H1685" s="7" t="inlineStr">
        <is>
          <t>LARGE</t>
        </is>
      </c>
      <c r="I1685" s="7" t="n">
        <v>0</v>
      </c>
      <c r="J1685" s="7" t="inlineStr">
        <is>
          <t>D-05-02</t>
        </is>
      </c>
      <c r="K1685" s="7" t="inlineStr"/>
      <c r="L1685" s="9" t="n">
        <v>0</v>
      </c>
      <c r="M1685" s="9" t="n">
        <v>0</v>
      </c>
      <c r="N1685" s="9" t="n">
        <v>18</v>
      </c>
      <c r="O1685" s="7" t="inlineStr">
        <is>
          <t>VAL</t>
        </is>
      </c>
      <c r="P1685" s="7" t="inlineStr">
        <is>
          <t>CRITIQUE</t>
        </is>
      </c>
      <c r="Q1685" s="7" t="inlineStr">
        <is>
          <t>WHAP</t>
        </is>
      </c>
      <c r="R1685" s="7" t="inlineStr">
        <is>
          <t>OUI</t>
        </is>
      </c>
      <c r="S1685" s="7" t="inlineStr">
        <is>
          <t>31/08/2026 02:59</t>
        </is>
      </c>
    </row>
    <row r="1686">
      <c r="A1686" s="8" t="inlineStr">
        <is>
          <t>WHAP-1682</t>
        </is>
      </c>
      <c r="B1686" s="8" t="inlineStr">
        <is>
          <t>MOT-1682</t>
        </is>
      </c>
      <c r="C1686" s="8" t="inlineStr">
        <is>
          <t>protection de carter d'huile</t>
        </is>
      </c>
      <c r="D1686" s="8" t="inlineStr">
        <is>
          <t>Moteur</t>
        </is>
      </c>
      <c r="E1686" s="8" t="inlineStr">
        <is>
          <t>Moteur</t>
        </is>
      </c>
      <c r="F1686" s="8" t="inlineStr">
        <is>
          <t>PIECE_VEHICULE</t>
        </is>
      </c>
      <c r="G1686" s="8" t="inlineStr">
        <is>
          <t>unité</t>
        </is>
      </c>
      <c r="H1686" s="8" t="inlineStr">
        <is>
          <t>LARGE</t>
        </is>
      </c>
      <c r="I1686" s="8" t="n">
        <v>0</v>
      </c>
      <c r="J1686" s="8" t="inlineStr">
        <is>
          <t>D-02-01</t>
        </is>
      </c>
      <c r="K1686" s="8" t="inlineStr"/>
      <c r="L1686" s="10" t="n">
        <v>0</v>
      </c>
      <c r="M1686" s="10" t="n">
        <v>0</v>
      </c>
      <c r="N1686" s="10" t="n">
        <v>17</v>
      </c>
      <c r="O1686" s="8" t="inlineStr">
        <is>
          <t>SKF</t>
        </is>
      </c>
      <c r="P1686" s="8" t="inlineStr">
        <is>
          <t>CRITIQUE</t>
        </is>
      </c>
      <c r="Q1686" s="8" t="inlineStr">
        <is>
          <t>WHAP</t>
        </is>
      </c>
      <c r="R1686" s="8" t="inlineStr">
        <is>
          <t>OUI</t>
        </is>
      </c>
      <c r="S1686" s="8" t="inlineStr">
        <is>
          <t>31/08/2026 02:59</t>
        </is>
      </c>
    </row>
    <row r="1687">
      <c r="A1687" s="7" t="inlineStr">
        <is>
          <t>WHAP-1683</t>
        </is>
      </c>
      <c r="B1687" s="7" t="inlineStr">
        <is>
          <t>MOT-1683</t>
        </is>
      </c>
      <c r="C1687" s="7" t="inlineStr">
        <is>
          <t>capteur de carter d'huile</t>
        </is>
      </c>
      <c r="D1687" s="7" t="inlineStr">
        <is>
          <t>Moteur</t>
        </is>
      </c>
      <c r="E1687" s="7" t="inlineStr">
        <is>
          <t>Moteur</t>
        </is>
      </c>
      <c r="F1687" s="7" t="inlineStr">
        <is>
          <t>PIECE_VEHICULE</t>
        </is>
      </c>
      <c r="G1687" s="7" t="inlineStr">
        <is>
          <t>unité</t>
        </is>
      </c>
      <c r="H1687" s="7" t="inlineStr">
        <is>
          <t>LARGE</t>
        </is>
      </c>
      <c r="I1687" s="7" t="n">
        <v>0</v>
      </c>
      <c r="J1687" s="7" t="inlineStr">
        <is>
          <t>A-03-04</t>
        </is>
      </c>
      <c r="K1687" s="7" t="inlineStr"/>
      <c r="L1687" s="9" t="n">
        <v>0</v>
      </c>
      <c r="M1687" s="9" t="n">
        <v>0</v>
      </c>
      <c r="N1687" s="9" t="n">
        <v>13</v>
      </c>
      <c r="O1687" s="7" t="inlineStr">
        <is>
          <t>BOS</t>
        </is>
      </c>
      <c r="P1687" s="7" t="inlineStr">
        <is>
          <t>CRITIQUE</t>
        </is>
      </c>
      <c r="Q1687" s="7" t="inlineStr">
        <is>
          <t>WHAP</t>
        </is>
      </c>
      <c r="R1687" s="7" t="inlineStr">
        <is>
          <t>OUI</t>
        </is>
      </c>
      <c r="S1687" s="7" t="inlineStr">
        <is>
          <t>31/08/2026 02:59</t>
        </is>
      </c>
    </row>
    <row r="1688">
      <c r="A1688" s="8" t="inlineStr">
        <is>
          <t>WHAP-1684</t>
        </is>
      </c>
      <c r="B1688" s="8" t="inlineStr">
        <is>
          <t>MOT-1684</t>
        </is>
      </c>
      <c r="C1688" s="8" t="inlineStr">
        <is>
          <t>actionneur de carter d'huile</t>
        </is>
      </c>
      <c r="D1688" s="8" t="inlineStr">
        <is>
          <t>Moteur</t>
        </is>
      </c>
      <c r="E1688" s="8" t="inlineStr">
        <is>
          <t>Moteur</t>
        </is>
      </c>
      <c r="F1688" s="8" t="inlineStr">
        <is>
          <t>PIECE_VEHICULE</t>
        </is>
      </c>
      <c r="G1688" s="8" t="inlineStr">
        <is>
          <t>unité</t>
        </is>
      </c>
      <c r="H1688" s="8" t="inlineStr">
        <is>
          <t>LARGE</t>
        </is>
      </c>
      <c r="I1688" s="8" t="n">
        <v>0</v>
      </c>
      <c r="J1688" s="8" t="inlineStr">
        <is>
          <t>D-02-03</t>
        </is>
      </c>
      <c r="K1688" s="8" t="inlineStr"/>
      <c r="L1688" s="10" t="n">
        <v>0</v>
      </c>
      <c r="M1688" s="10" t="n">
        <v>0</v>
      </c>
      <c r="N1688" s="10" t="n">
        <v>10</v>
      </c>
      <c r="O1688" s="8" t="inlineStr">
        <is>
          <t>VAL</t>
        </is>
      </c>
      <c r="P1688" s="8" t="inlineStr">
        <is>
          <t>CRITIQUE</t>
        </is>
      </c>
      <c r="Q1688" s="8" t="inlineStr">
        <is>
          <t>WHAP</t>
        </is>
      </c>
      <c r="R1688" s="8" t="inlineStr">
        <is>
          <t>OUI</t>
        </is>
      </c>
      <c r="S1688" s="8" t="inlineStr">
        <is>
          <t>31/08/2026 02:59</t>
        </is>
      </c>
    </row>
    <row r="1689">
      <c r="A1689" s="7" t="inlineStr">
        <is>
          <t>WHAP-1685</t>
        </is>
      </c>
      <c r="B1689" s="7" t="inlineStr">
        <is>
          <t>MOT-1685</t>
        </is>
      </c>
      <c r="C1689" s="7" t="inlineStr">
        <is>
          <t>raccord de carter d'huile</t>
        </is>
      </c>
      <c r="D1689" s="7" t="inlineStr">
        <is>
          <t>Moteur</t>
        </is>
      </c>
      <c r="E1689" s="7" t="inlineStr">
        <is>
          <t>Moteur</t>
        </is>
      </c>
      <c r="F1689" s="7" t="inlineStr">
        <is>
          <t>PIECE_VEHICULE</t>
        </is>
      </c>
      <c r="G1689" s="7" t="inlineStr">
        <is>
          <t>unité</t>
        </is>
      </c>
      <c r="H1689" s="7" t="inlineStr">
        <is>
          <t>LARGE</t>
        </is>
      </c>
      <c r="I1689" s="7" t="n">
        <v>0</v>
      </c>
      <c r="J1689" s="7" t="inlineStr">
        <is>
          <t>F-05-02</t>
        </is>
      </c>
      <c r="K1689" s="7" t="inlineStr"/>
      <c r="L1689" s="9" t="n">
        <v>0</v>
      </c>
      <c r="M1689" s="9" t="n">
        <v>0</v>
      </c>
      <c r="N1689" s="9" t="n">
        <v>13</v>
      </c>
      <c r="O1689" s="7" t="inlineStr">
        <is>
          <t>YZK</t>
        </is>
      </c>
      <c r="P1689" s="7" t="inlineStr">
        <is>
          <t>CRITIQUE</t>
        </is>
      </c>
      <c r="Q1689" s="7" t="inlineStr">
        <is>
          <t>WHAP</t>
        </is>
      </c>
      <c r="R1689" s="7" t="inlineStr">
        <is>
          <t>OUI</t>
        </is>
      </c>
      <c r="S1689" s="7" t="inlineStr">
        <is>
          <t>31/08/2026 02:59</t>
        </is>
      </c>
    </row>
    <row r="1690">
      <c r="A1690" s="8" t="inlineStr">
        <is>
          <t>WHAP-1686</t>
        </is>
      </c>
      <c r="B1690" s="8" t="inlineStr">
        <is>
          <t>MOT-1686</t>
        </is>
      </c>
      <c r="C1690" s="8" t="inlineStr">
        <is>
          <t>plaque de carter d'huile</t>
        </is>
      </c>
      <c r="D1690" s="8" t="inlineStr">
        <is>
          <t>Moteur</t>
        </is>
      </c>
      <c r="E1690" s="8" t="inlineStr">
        <is>
          <t>Moteur</t>
        </is>
      </c>
      <c r="F1690" s="8" t="inlineStr">
        <is>
          <t>PIECE_VEHICULE</t>
        </is>
      </c>
      <c r="G1690" s="8" t="inlineStr">
        <is>
          <t>unité</t>
        </is>
      </c>
      <c r="H1690" s="8" t="inlineStr">
        <is>
          <t>LARGE</t>
        </is>
      </c>
      <c r="I1690" s="8" t="n">
        <v>0</v>
      </c>
      <c r="J1690" s="8" t="inlineStr">
        <is>
          <t>F-06-01</t>
        </is>
      </c>
      <c r="K1690" s="8" t="inlineStr"/>
      <c r="L1690" s="10" t="n">
        <v>0</v>
      </c>
      <c r="M1690" s="10" t="n">
        <v>0</v>
      </c>
      <c r="N1690" s="10" t="n">
        <v>18</v>
      </c>
      <c r="O1690" s="8" t="inlineStr">
        <is>
          <t>VAL</t>
        </is>
      </c>
      <c r="P1690" s="8" t="inlineStr">
        <is>
          <t>CRITIQUE</t>
        </is>
      </c>
      <c r="Q1690" s="8" t="inlineStr">
        <is>
          <t>WHAP</t>
        </is>
      </c>
      <c r="R1690" s="8" t="inlineStr">
        <is>
          <t>OUI</t>
        </is>
      </c>
      <c r="S1690" s="8" t="inlineStr">
        <is>
          <t>31/08/2026 02:59</t>
        </is>
      </c>
    </row>
    <row r="1691">
      <c r="A1691" s="7" t="inlineStr">
        <is>
          <t>WHAP-1687</t>
        </is>
      </c>
      <c r="B1691" s="7" t="inlineStr">
        <is>
          <t>MOT-1687</t>
        </is>
      </c>
      <c r="C1691" s="7" t="inlineStr">
        <is>
          <t>couvercle de carter d'huile</t>
        </is>
      </c>
      <c r="D1691" s="7" t="inlineStr">
        <is>
          <t>Moteur</t>
        </is>
      </c>
      <c r="E1691" s="7" t="inlineStr">
        <is>
          <t>Moteur</t>
        </is>
      </c>
      <c r="F1691" s="7" t="inlineStr">
        <is>
          <t>PIECE_VEHICULE</t>
        </is>
      </c>
      <c r="G1691" s="7" t="inlineStr">
        <is>
          <t>unité</t>
        </is>
      </c>
      <c r="H1691" s="7" t="inlineStr">
        <is>
          <t>LARGE</t>
        </is>
      </c>
      <c r="I1691" s="7" t="n">
        <v>0</v>
      </c>
      <c r="J1691" s="7" t="inlineStr">
        <is>
          <t>D-04-03</t>
        </is>
      </c>
      <c r="K1691" s="7" t="inlineStr"/>
      <c r="L1691" s="9" t="n">
        <v>0</v>
      </c>
      <c r="M1691" s="9" t="n">
        <v>0</v>
      </c>
      <c r="N1691" s="9" t="n">
        <v>18</v>
      </c>
      <c r="O1691" s="7" t="inlineStr">
        <is>
          <t>CTL</t>
        </is>
      </c>
      <c r="P1691" s="7" t="inlineStr">
        <is>
          <t>CRITIQUE</t>
        </is>
      </c>
      <c r="Q1691" s="7" t="inlineStr">
        <is>
          <t>WHAP</t>
        </is>
      </c>
      <c r="R1691" s="7" t="inlineStr">
        <is>
          <t>OUI</t>
        </is>
      </c>
      <c r="S1691" s="7" t="inlineStr">
        <is>
          <t>31/08/2026 02:59</t>
        </is>
      </c>
    </row>
    <row r="1692">
      <c r="A1692" s="8" t="inlineStr">
        <is>
          <t>WHAP-1688</t>
        </is>
      </c>
      <c r="B1692" s="8" t="inlineStr">
        <is>
          <t>MOT-1688</t>
        </is>
      </c>
      <c r="C1692" s="8" t="inlineStr">
        <is>
          <t>bague de carter d'huile</t>
        </is>
      </c>
      <c r="D1692" s="8" t="inlineStr">
        <is>
          <t>Moteur</t>
        </is>
      </c>
      <c r="E1692" s="8" t="inlineStr">
        <is>
          <t>Moteur</t>
        </is>
      </c>
      <c r="F1692" s="8" t="inlineStr">
        <is>
          <t>PIECE_VEHICULE</t>
        </is>
      </c>
      <c r="G1692" s="8" t="inlineStr">
        <is>
          <t>unité</t>
        </is>
      </c>
      <c r="H1692" s="8" t="inlineStr">
        <is>
          <t>LARGE</t>
        </is>
      </c>
      <c r="I1692" s="8" t="n">
        <v>0</v>
      </c>
      <c r="J1692" s="8" t="inlineStr">
        <is>
          <t>A-04-03</t>
        </is>
      </c>
      <c r="K1692" s="8" t="inlineStr"/>
      <c r="L1692" s="10" t="n">
        <v>0</v>
      </c>
      <c r="M1692" s="10" t="n">
        <v>0</v>
      </c>
      <c r="N1692" s="10" t="n">
        <v>20</v>
      </c>
      <c r="O1692" s="8" t="inlineStr">
        <is>
          <t>BOS</t>
        </is>
      </c>
      <c r="P1692" s="8" t="inlineStr">
        <is>
          <t>CRITIQUE</t>
        </is>
      </c>
      <c r="Q1692" s="8" t="inlineStr">
        <is>
          <t>WHAP</t>
        </is>
      </c>
      <c r="R1692" s="8" t="inlineStr">
        <is>
          <t>OUI</t>
        </is>
      </c>
      <c r="S1692" s="8" t="inlineStr">
        <is>
          <t>31/08/2026 02:59</t>
        </is>
      </c>
    </row>
    <row r="1693">
      <c r="A1693" s="7" t="inlineStr">
        <is>
          <t>WHAP-1689</t>
        </is>
      </c>
      <c r="B1693" s="7" t="inlineStr">
        <is>
          <t>MOT-1689</t>
        </is>
      </c>
      <c r="C1693" s="7" t="inlineStr">
        <is>
          <t>entretoise de carter d'huile</t>
        </is>
      </c>
      <c r="D1693" s="7" t="inlineStr">
        <is>
          <t>Moteur</t>
        </is>
      </c>
      <c r="E1693" s="7" t="inlineStr">
        <is>
          <t>Moteur</t>
        </is>
      </c>
      <c r="F1693" s="7" t="inlineStr">
        <is>
          <t>PIECE_VEHICULE</t>
        </is>
      </c>
      <c r="G1693" s="7" t="inlineStr">
        <is>
          <t>unité</t>
        </is>
      </c>
      <c r="H1693" s="7" t="inlineStr">
        <is>
          <t>LARGE</t>
        </is>
      </c>
      <c r="I1693" s="7" t="n">
        <v>0</v>
      </c>
      <c r="J1693" s="7" t="inlineStr">
        <is>
          <t>B-02-01</t>
        </is>
      </c>
      <c r="K1693" s="7" t="inlineStr"/>
      <c r="L1693" s="9" t="n">
        <v>0</v>
      </c>
      <c r="M1693" s="9" t="n">
        <v>0</v>
      </c>
      <c r="N1693" s="9" t="n">
        <v>10</v>
      </c>
      <c r="O1693" s="7" t="inlineStr">
        <is>
          <t>SKF</t>
        </is>
      </c>
      <c r="P1693" s="7" t="inlineStr">
        <is>
          <t>CRITIQUE</t>
        </is>
      </c>
      <c r="Q1693" s="7" t="inlineStr">
        <is>
          <t>WHAP</t>
        </is>
      </c>
      <c r="R1693" s="7" t="inlineStr">
        <is>
          <t>OUI</t>
        </is>
      </c>
      <c r="S1693" s="7" t="inlineStr">
        <is>
          <t>31/08/2026 02:59</t>
        </is>
      </c>
    </row>
    <row r="1694">
      <c r="A1694" s="8" t="inlineStr">
        <is>
          <t>WHAP-1690</t>
        </is>
      </c>
      <c r="B1694" s="8" t="inlineStr">
        <is>
          <t>MOT-1690</t>
        </is>
      </c>
      <c r="C1694" s="8" t="inlineStr">
        <is>
          <t>axe de carter d'huile</t>
        </is>
      </c>
      <c r="D1694" s="8" t="inlineStr">
        <is>
          <t>Moteur</t>
        </is>
      </c>
      <c r="E1694" s="8" t="inlineStr">
        <is>
          <t>Moteur</t>
        </is>
      </c>
      <c r="F1694" s="8" t="inlineStr">
        <is>
          <t>PIECE_VEHICULE</t>
        </is>
      </c>
      <c r="G1694" s="8" t="inlineStr">
        <is>
          <t>unité</t>
        </is>
      </c>
      <c r="H1694" s="8" t="inlineStr">
        <is>
          <t>LARGE</t>
        </is>
      </c>
      <c r="I1694" s="8" t="n">
        <v>0</v>
      </c>
      <c r="J1694" s="8" t="inlineStr">
        <is>
          <t>A-05-01</t>
        </is>
      </c>
      <c r="K1694" s="8" t="inlineStr"/>
      <c r="L1694" s="10" t="n">
        <v>0</v>
      </c>
      <c r="M1694" s="10" t="n">
        <v>0</v>
      </c>
      <c r="N1694" s="10" t="n">
        <v>12</v>
      </c>
      <c r="O1694" s="8" t="inlineStr">
        <is>
          <t>DEL</t>
        </is>
      </c>
      <c r="P1694" s="8" t="inlineStr">
        <is>
          <t>CRITIQUE</t>
        </is>
      </c>
      <c r="Q1694" s="8" t="inlineStr">
        <is>
          <t>WHAP</t>
        </is>
      </c>
      <c r="R1694" s="8" t="inlineStr">
        <is>
          <t>OUI</t>
        </is>
      </c>
      <c r="S1694" s="8" t="inlineStr">
        <is>
          <t>31/08/2026 02:59</t>
        </is>
      </c>
    </row>
    <row r="1695">
      <c r="A1695" s="7" t="inlineStr">
        <is>
          <t>WHAP-1691</t>
        </is>
      </c>
      <c r="B1695" s="7" t="inlineStr">
        <is>
          <t>MOT-1691</t>
        </is>
      </c>
      <c r="C1695" s="7" t="inlineStr">
        <is>
          <t>poulie de carter d'huile</t>
        </is>
      </c>
      <c r="D1695" s="7" t="inlineStr">
        <is>
          <t>Moteur</t>
        </is>
      </c>
      <c r="E1695" s="7" t="inlineStr">
        <is>
          <t>Moteur</t>
        </is>
      </c>
      <c r="F1695" s="7" t="inlineStr">
        <is>
          <t>PIECE_VEHICULE</t>
        </is>
      </c>
      <c r="G1695" s="7" t="inlineStr">
        <is>
          <t>unité</t>
        </is>
      </c>
      <c r="H1695" s="7" t="inlineStr">
        <is>
          <t>LARGE</t>
        </is>
      </c>
      <c r="I1695" s="7" t="n">
        <v>0</v>
      </c>
      <c r="J1695" s="7" t="inlineStr">
        <is>
          <t>A-04-02</t>
        </is>
      </c>
      <c r="K1695" s="7" t="inlineStr"/>
      <c r="L1695" s="9" t="n">
        <v>0</v>
      </c>
      <c r="M1695" s="9" t="n">
        <v>0</v>
      </c>
      <c r="N1695" s="9" t="n">
        <v>16</v>
      </c>
      <c r="O1695" s="7" t="inlineStr">
        <is>
          <t>SUM</t>
        </is>
      </c>
      <c r="P1695" s="7" t="inlineStr">
        <is>
          <t>CRITIQUE</t>
        </is>
      </c>
      <c r="Q1695" s="7" t="inlineStr">
        <is>
          <t>WHAP</t>
        </is>
      </c>
      <c r="R1695" s="7" t="inlineStr">
        <is>
          <t>OUI</t>
        </is>
      </c>
      <c r="S1695" s="7" t="inlineStr">
        <is>
          <t>31/08/2026 02:59</t>
        </is>
      </c>
    </row>
    <row r="1696">
      <c r="A1696" s="8" t="inlineStr">
        <is>
          <t>WHAP-1692</t>
        </is>
      </c>
      <c r="B1696" s="8" t="inlineStr">
        <is>
          <t>MOT-1692</t>
        </is>
      </c>
      <c r="C1696" s="8" t="inlineStr">
        <is>
          <t>pignon de carter d'huile</t>
        </is>
      </c>
      <c r="D1696" s="8" t="inlineStr">
        <is>
          <t>Moteur</t>
        </is>
      </c>
      <c r="E1696" s="8" t="inlineStr">
        <is>
          <t>Moteur</t>
        </is>
      </c>
      <c r="F1696" s="8" t="inlineStr">
        <is>
          <t>PIECE_VEHICULE</t>
        </is>
      </c>
      <c r="G1696" s="8" t="inlineStr">
        <is>
          <t>unité</t>
        </is>
      </c>
      <c r="H1696" s="8" t="inlineStr">
        <is>
          <t>LARGE</t>
        </is>
      </c>
      <c r="I1696" s="8" t="n">
        <v>0</v>
      </c>
      <c r="J1696" s="8" t="inlineStr">
        <is>
          <t>A-01-02</t>
        </is>
      </c>
      <c r="K1696" s="8" t="inlineStr"/>
      <c r="L1696" s="10" t="n">
        <v>0</v>
      </c>
      <c r="M1696" s="10" t="n">
        <v>0</v>
      </c>
      <c r="N1696" s="10" t="n">
        <v>10</v>
      </c>
      <c r="O1696" s="8" t="inlineStr">
        <is>
          <t>BOS</t>
        </is>
      </c>
      <c r="P1696" s="8" t="inlineStr">
        <is>
          <t>CRITIQUE</t>
        </is>
      </c>
      <c r="Q1696" s="8" t="inlineStr">
        <is>
          <t>WHAP</t>
        </is>
      </c>
      <c r="R1696" s="8" t="inlineStr">
        <is>
          <t>OUI</t>
        </is>
      </c>
      <c r="S1696" s="8" t="inlineStr">
        <is>
          <t>31/08/2026 02:59</t>
        </is>
      </c>
    </row>
    <row r="1697">
      <c r="A1697" s="7" t="inlineStr">
        <is>
          <t>WHAP-1693</t>
        </is>
      </c>
      <c r="B1697" s="7" t="inlineStr">
        <is>
          <t>MOT-1693</t>
        </is>
      </c>
      <c r="C1697" s="7" t="inlineStr">
        <is>
          <t>ensemble de vilebrequin</t>
        </is>
      </c>
      <c r="D1697" s="7" t="inlineStr">
        <is>
          <t>Moteur</t>
        </is>
      </c>
      <c r="E1697" s="7" t="inlineStr">
        <is>
          <t>Moteur</t>
        </is>
      </c>
      <c r="F1697" s="7" t="inlineStr">
        <is>
          <t>PIECE_VEHICULE</t>
        </is>
      </c>
      <c r="G1697" s="7" t="inlineStr">
        <is>
          <t>unité</t>
        </is>
      </c>
      <c r="H1697" s="7" t="inlineStr">
        <is>
          <t>LARGE</t>
        </is>
      </c>
      <c r="I1697" s="7" t="n">
        <v>0</v>
      </c>
      <c r="J1697" s="7" t="inlineStr">
        <is>
          <t>A-05-01</t>
        </is>
      </c>
      <c r="K1697" s="7" t="inlineStr"/>
      <c r="L1697" s="9" t="n">
        <v>0</v>
      </c>
      <c r="M1697" s="9" t="n">
        <v>0</v>
      </c>
      <c r="N1697" s="9" t="n">
        <v>15</v>
      </c>
      <c r="O1697" s="7" t="inlineStr">
        <is>
          <t>MAG</t>
        </is>
      </c>
      <c r="P1697" s="7" t="inlineStr">
        <is>
          <t>CRITIQUE</t>
        </is>
      </c>
      <c r="Q1697" s="7" t="inlineStr">
        <is>
          <t>WHAP</t>
        </is>
      </c>
      <c r="R1697" s="7" t="inlineStr">
        <is>
          <t>OUI</t>
        </is>
      </c>
      <c r="S1697" s="7" t="inlineStr">
        <is>
          <t>31/08/2026 02:59</t>
        </is>
      </c>
    </row>
    <row r="1698">
      <c r="A1698" s="8" t="inlineStr">
        <is>
          <t>WHAP-1694</t>
        </is>
      </c>
      <c r="B1698" s="8" t="inlineStr">
        <is>
          <t>MOT-1694</t>
        </is>
      </c>
      <c r="C1698" s="8" t="inlineStr">
        <is>
          <t>kit de vilebrequin</t>
        </is>
      </c>
      <c r="D1698" s="8" t="inlineStr">
        <is>
          <t>Moteur</t>
        </is>
      </c>
      <c r="E1698" s="8" t="inlineStr">
        <is>
          <t>Moteur</t>
        </is>
      </c>
      <c r="F1698" s="8" t="inlineStr">
        <is>
          <t>PIECE_VEHICULE</t>
        </is>
      </c>
      <c r="G1698" s="8" t="inlineStr">
        <is>
          <t>unité</t>
        </is>
      </c>
      <c r="H1698" s="8" t="inlineStr">
        <is>
          <t>LARGE</t>
        </is>
      </c>
      <c r="I1698" s="8" t="n">
        <v>0</v>
      </c>
      <c r="J1698" s="8" t="inlineStr">
        <is>
          <t>B-04-04</t>
        </is>
      </c>
      <c r="K1698" s="8" t="inlineStr"/>
      <c r="L1698" s="10" t="n">
        <v>0</v>
      </c>
      <c r="M1698" s="10" t="n">
        <v>0</v>
      </c>
      <c r="N1698" s="10" t="n">
        <v>16</v>
      </c>
      <c r="O1698" s="8" t="inlineStr">
        <is>
          <t>VAL</t>
        </is>
      </c>
      <c r="P1698" s="8" t="inlineStr">
        <is>
          <t>CRITIQUE</t>
        </is>
      </c>
      <c r="Q1698" s="8" t="inlineStr">
        <is>
          <t>WHAP</t>
        </is>
      </c>
      <c r="R1698" s="8" t="inlineStr">
        <is>
          <t>OUI</t>
        </is>
      </c>
      <c r="S1698" s="8" t="inlineStr">
        <is>
          <t>31/08/2026 02:59</t>
        </is>
      </c>
    </row>
    <row r="1699">
      <c r="A1699" s="7" t="inlineStr">
        <is>
          <t>WHAP-1695</t>
        </is>
      </c>
      <c r="B1699" s="7" t="inlineStr">
        <is>
          <t>MOT-1695</t>
        </is>
      </c>
      <c r="C1699" s="7" t="inlineStr">
        <is>
          <t>support de vilebrequin</t>
        </is>
      </c>
      <c r="D1699" s="7" t="inlineStr">
        <is>
          <t>Moteur</t>
        </is>
      </c>
      <c r="E1699" s="7" t="inlineStr">
        <is>
          <t>Moteur</t>
        </is>
      </c>
      <c r="F1699" s="7" t="inlineStr">
        <is>
          <t>PIECE_VEHICULE</t>
        </is>
      </c>
      <c r="G1699" s="7" t="inlineStr">
        <is>
          <t>unité</t>
        </is>
      </c>
      <c r="H1699" s="7" t="inlineStr">
        <is>
          <t>LARGE</t>
        </is>
      </c>
      <c r="I1699" s="7" t="n">
        <v>0</v>
      </c>
      <c r="J1699" s="7" t="inlineStr">
        <is>
          <t>B-02-01</t>
        </is>
      </c>
      <c r="K1699" s="7" t="inlineStr"/>
      <c r="L1699" s="9" t="n">
        <v>0</v>
      </c>
      <c r="M1699" s="9" t="n">
        <v>0</v>
      </c>
      <c r="N1699" s="9" t="n">
        <v>17</v>
      </c>
      <c r="O1699" s="7" t="inlineStr">
        <is>
          <t>SKF</t>
        </is>
      </c>
      <c r="P1699" s="7" t="inlineStr">
        <is>
          <t>CRITIQUE</t>
        </is>
      </c>
      <c r="Q1699" s="7" t="inlineStr">
        <is>
          <t>WHAP</t>
        </is>
      </c>
      <c r="R1699" s="7" t="inlineStr">
        <is>
          <t>OUI</t>
        </is>
      </c>
      <c r="S1699" s="7" t="inlineStr">
        <is>
          <t>31/08/2026 02:59</t>
        </is>
      </c>
    </row>
    <row r="1700">
      <c r="A1700" s="8" t="inlineStr">
        <is>
          <t>WHAP-1696</t>
        </is>
      </c>
      <c r="B1700" s="8" t="inlineStr">
        <is>
          <t>MOT-1696</t>
        </is>
      </c>
      <c r="C1700" s="8" t="inlineStr">
        <is>
          <t>boîtier de vilebrequin</t>
        </is>
      </c>
      <c r="D1700" s="8" t="inlineStr">
        <is>
          <t>Moteur</t>
        </is>
      </c>
      <c r="E1700" s="8" t="inlineStr">
        <is>
          <t>Moteur</t>
        </is>
      </c>
      <c r="F1700" s="8" t="inlineStr">
        <is>
          <t>PIECE_VEHICULE</t>
        </is>
      </c>
      <c r="G1700" s="8" t="inlineStr">
        <is>
          <t>unité</t>
        </is>
      </c>
      <c r="H1700" s="8" t="inlineStr">
        <is>
          <t>LARGE</t>
        </is>
      </c>
      <c r="I1700" s="8" t="n">
        <v>0</v>
      </c>
      <c r="J1700" s="8" t="inlineStr">
        <is>
          <t>E-01-02</t>
        </is>
      </c>
      <c r="K1700" s="8" t="inlineStr"/>
      <c r="L1700" s="10" t="n">
        <v>0</v>
      </c>
      <c r="M1700" s="10" t="n">
        <v>0</v>
      </c>
      <c r="N1700" s="10" t="n">
        <v>10</v>
      </c>
      <c r="O1700" s="8" t="inlineStr">
        <is>
          <t>HEL</t>
        </is>
      </c>
      <c r="P1700" s="8" t="inlineStr">
        <is>
          <t>CRITIQUE</t>
        </is>
      </c>
      <c r="Q1700" s="8" t="inlineStr">
        <is>
          <t>WHAP</t>
        </is>
      </c>
      <c r="R1700" s="8" t="inlineStr">
        <is>
          <t>OUI</t>
        </is>
      </c>
      <c r="S1700" s="8" t="inlineStr">
        <is>
          <t>31/08/2026 02:59</t>
        </is>
      </c>
    </row>
    <row r="1701">
      <c r="A1701" s="7" t="inlineStr">
        <is>
          <t>WHAP-1697</t>
        </is>
      </c>
      <c r="B1701" s="7" t="inlineStr">
        <is>
          <t>MOT-1697</t>
        </is>
      </c>
      <c r="C1701" s="7" t="inlineStr">
        <is>
          <t>module de vilebrequin</t>
        </is>
      </c>
      <c r="D1701" s="7" t="inlineStr">
        <is>
          <t>Moteur</t>
        </is>
      </c>
      <c r="E1701" s="7" t="inlineStr">
        <is>
          <t>Moteur</t>
        </is>
      </c>
      <c r="F1701" s="7" t="inlineStr">
        <is>
          <t>PIECE_VEHICULE</t>
        </is>
      </c>
      <c r="G1701" s="7" t="inlineStr">
        <is>
          <t>unité</t>
        </is>
      </c>
      <c r="H1701" s="7" t="inlineStr">
        <is>
          <t>LARGE</t>
        </is>
      </c>
      <c r="I1701" s="7" t="n">
        <v>0</v>
      </c>
      <c r="J1701" s="7" t="inlineStr">
        <is>
          <t>B-02-04</t>
        </is>
      </c>
      <c r="K1701" s="7" t="inlineStr"/>
      <c r="L1701" s="9" t="n">
        <v>0</v>
      </c>
      <c r="M1701" s="9" t="n">
        <v>0</v>
      </c>
      <c r="N1701" s="9" t="n">
        <v>14</v>
      </c>
      <c r="O1701" s="7" t="inlineStr">
        <is>
          <t>CTL</t>
        </is>
      </c>
      <c r="P1701" s="7" t="inlineStr">
        <is>
          <t>CRITIQUE</t>
        </is>
      </c>
      <c r="Q1701" s="7" t="inlineStr">
        <is>
          <t>WHAP</t>
        </is>
      </c>
      <c r="R1701" s="7" t="inlineStr">
        <is>
          <t>OUI</t>
        </is>
      </c>
      <c r="S1701" s="7" t="inlineStr">
        <is>
          <t>31/08/2026 02:59</t>
        </is>
      </c>
    </row>
    <row r="1702">
      <c r="A1702" s="8" t="inlineStr">
        <is>
          <t>WHAP-1698</t>
        </is>
      </c>
      <c r="B1702" s="8" t="inlineStr">
        <is>
          <t>MOT-1698</t>
        </is>
      </c>
      <c r="C1702" s="8" t="inlineStr">
        <is>
          <t>câblage de vilebrequin</t>
        </is>
      </c>
      <c r="D1702" s="8" t="inlineStr">
        <is>
          <t>Moteur</t>
        </is>
      </c>
      <c r="E1702" s="8" t="inlineStr">
        <is>
          <t>Moteur</t>
        </is>
      </c>
      <c r="F1702" s="8" t="inlineStr">
        <is>
          <t>PIECE_VEHICULE</t>
        </is>
      </c>
      <c r="G1702" s="8" t="inlineStr">
        <is>
          <t>unité</t>
        </is>
      </c>
      <c r="H1702" s="8" t="inlineStr">
        <is>
          <t>LARGE</t>
        </is>
      </c>
      <c r="I1702" s="8" t="n">
        <v>0</v>
      </c>
      <c r="J1702" s="8" t="inlineStr">
        <is>
          <t>C-04-01</t>
        </is>
      </c>
      <c r="K1702" s="8" t="inlineStr"/>
      <c r="L1702" s="10" t="n">
        <v>0</v>
      </c>
      <c r="M1702" s="10" t="n">
        <v>0</v>
      </c>
      <c r="N1702" s="10" t="n">
        <v>12</v>
      </c>
      <c r="O1702" s="8" t="inlineStr">
        <is>
          <t>BOS</t>
        </is>
      </c>
      <c r="P1702" s="8" t="inlineStr">
        <is>
          <t>CRITIQUE</t>
        </is>
      </c>
      <c r="Q1702" s="8" t="inlineStr">
        <is>
          <t>WHAP</t>
        </is>
      </c>
      <c r="R1702" s="8" t="inlineStr">
        <is>
          <t>OUI</t>
        </is>
      </c>
      <c r="S1702" s="8" t="inlineStr">
        <is>
          <t>31/08/2026 02:59</t>
        </is>
      </c>
    </row>
    <row r="1703">
      <c r="A1703" s="7" t="inlineStr">
        <is>
          <t>WHAP-1699</t>
        </is>
      </c>
      <c r="B1703" s="7" t="inlineStr">
        <is>
          <t>MOT-1699</t>
        </is>
      </c>
      <c r="C1703" s="7" t="inlineStr">
        <is>
          <t>connecteur de vilebrequin</t>
        </is>
      </c>
      <c r="D1703" s="7" t="inlineStr">
        <is>
          <t>Moteur</t>
        </is>
      </c>
      <c r="E1703" s="7" t="inlineStr">
        <is>
          <t>Moteur</t>
        </is>
      </c>
      <c r="F1703" s="7" t="inlineStr">
        <is>
          <t>PIECE_VEHICULE</t>
        </is>
      </c>
      <c r="G1703" s="7" t="inlineStr">
        <is>
          <t>unité</t>
        </is>
      </c>
      <c r="H1703" s="7" t="inlineStr">
        <is>
          <t>LARGE</t>
        </is>
      </c>
      <c r="I1703" s="7" t="n">
        <v>0</v>
      </c>
      <c r="J1703" s="7" t="inlineStr">
        <is>
          <t>F-05-04</t>
        </is>
      </c>
      <c r="K1703" s="7" t="inlineStr"/>
      <c r="L1703" s="9" t="n">
        <v>0</v>
      </c>
      <c r="M1703" s="9" t="n">
        <v>0</v>
      </c>
      <c r="N1703" s="9" t="n">
        <v>13</v>
      </c>
      <c r="O1703" s="7" t="inlineStr">
        <is>
          <t>CTL</t>
        </is>
      </c>
      <c r="P1703" s="7" t="inlineStr">
        <is>
          <t>CRITIQUE</t>
        </is>
      </c>
      <c r="Q1703" s="7" t="inlineStr">
        <is>
          <t>WHAP</t>
        </is>
      </c>
      <c r="R1703" s="7" t="inlineStr">
        <is>
          <t>OUI</t>
        </is>
      </c>
      <c r="S1703" s="7" t="inlineStr">
        <is>
          <t>31/08/2026 02:59</t>
        </is>
      </c>
    </row>
    <row r="1704">
      <c r="A1704" s="8" t="inlineStr">
        <is>
          <t>WHAP-1700</t>
        </is>
      </c>
      <c r="B1704" s="8" t="inlineStr">
        <is>
          <t>MOT-1700</t>
        </is>
      </c>
      <c r="C1704" s="8" t="inlineStr">
        <is>
          <t>joint de vilebrequin</t>
        </is>
      </c>
      <c r="D1704" s="8" t="inlineStr">
        <is>
          <t>Moteur</t>
        </is>
      </c>
      <c r="E1704" s="8" t="inlineStr">
        <is>
          <t>Moteur</t>
        </is>
      </c>
      <c r="F1704" s="8" t="inlineStr">
        <is>
          <t>PIECE_VEHICULE</t>
        </is>
      </c>
      <c r="G1704" s="8" t="inlineStr">
        <is>
          <t>unité</t>
        </is>
      </c>
      <c r="H1704" s="8" t="inlineStr">
        <is>
          <t>LARGE</t>
        </is>
      </c>
      <c r="I1704" s="8" t="n">
        <v>0</v>
      </c>
      <c r="J1704" s="8" t="inlineStr">
        <is>
          <t>E-04-02</t>
        </is>
      </c>
      <c r="K1704" s="8" t="inlineStr"/>
      <c r="L1704" s="10" t="n">
        <v>0</v>
      </c>
      <c r="M1704" s="10" t="n">
        <v>0</v>
      </c>
      <c r="N1704" s="10" t="n">
        <v>12</v>
      </c>
      <c r="O1704" s="8" t="inlineStr">
        <is>
          <t>MAG</t>
        </is>
      </c>
      <c r="P1704" s="8" t="inlineStr">
        <is>
          <t>CRITIQUE</t>
        </is>
      </c>
      <c r="Q1704" s="8" t="inlineStr">
        <is>
          <t>WHAP</t>
        </is>
      </c>
      <c r="R1704" s="8" t="inlineStr">
        <is>
          <t>OUI</t>
        </is>
      </c>
      <c r="S1704" s="8" t="inlineStr">
        <is>
          <t>31/08/2026 02:59</t>
        </is>
      </c>
    </row>
    <row r="1705">
      <c r="A1705" s="7" t="inlineStr">
        <is>
          <t>WHAP-1701</t>
        </is>
      </c>
      <c r="B1705" s="7" t="inlineStr">
        <is>
          <t>MOT-1701</t>
        </is>
      </c>
      <c r="C1705" s="7" t="inlineStr">
        <is>
          <t>fixation de vilebrequin</t>
        </is>
      </c>
      <c r="D1705" s="7" t="inlineStr">
        <is>
          <t>Moteur</t>
        </is>
      </c>
      <c r="E1705" s="7" t="inlineStr">
        <is>
          <t>Moteur</t>
        </is>
      </c>
      <c r="F1705" s="7" t="inlineStr">
        <is>
          <t>PIECE_VEHICULE</t>
        </is>
      </c>
      <c r="G1705" s="7" t="inlineStr">
        <is>
          <t>unité</t>
        </is>
      </c>
      <c r="H1705" s="7" t="inlineStr">
        <is>
          <t>LARGE</t>
        </is>
      </c>
      <c r="I1705" s="7" t="n">
        <v>0</v>
      </c>
      <c r="J1705" s="7" t="inlineStr">
        <is>
          <t>A-02-02</t>
        </is>
      </c>
      <c r="K1705" s="7" t="inlineStr"/>
      <c r="L1705" s="9" t="n">
        <v>0</v>
      </c>
      <c r="M1705" s="9" t="n">
        <v>0</v>
      </c>
      <c r="N1705" s="9" t="n">
        <v>14</v>
      </c>
      <c r="O1705" s="7" t="inlineStr">
        <is>
          <t>DEL</t>
        </is>
      </c>
      <c r="P1705" s="7" t="inlineStr">
        <is>
          <t>CRITIQUE</t>
        </is>
      </c>
      <c r="Q1705" s="7" t="inlineStr">
        <is>
          <t>WHAP</t>
        </is>
      </c>
      <c r="R1705" s="7" t="inlineStr">
        <is>
          <t>OUI</t>
        </is>
      </c>
      <c r="S1705" s="7" t="inlineStr">
        <is>
          <t>31/08/2026 02:59</t>
        </is>
      </c>
    </row>
    <row r="1706">
      <c r="A1706" s="8" t="inlineStr">
        <is>
          <t>WHAP-1702</t>
        </is>
      </c>
      <c r="B1706" s="8" t="inlineStr">
        <is>
          <t>MOT-1702</t>
        </is>
      </c>
      <c r="C1706" s="8" t="inlineStr">
        <is>
          <t>protection de vilebrequin</t>
        </is>
      </c>
      <c r="D1706" s="8" t="inlineStr">
        <is>
          <t>Moteur</t>
        </is>
      </c>
      <c r="E1706" s="8" t="inlineStr">
        <is>
          <t>Moteur</t>
        </is>
      </c>
      <c r="F1706" s="8" t="inlineStr">
        <is>
          <t>PIECE_VEHICULE</t>
        </is>
      </c>
      <c r="G1706" s="8" t="inlineStr">
        <is>
          <t>unité</t>
        </is>
      </c>
      <c r="H1706" s="8" t="inlineStr">
        <is>
          <t>LARGE</t>
        </is>
      </c>
      <c r="I1706" s="8" t="n">
        <v>0</v>
      </c>
      <c r="J1706" s="8" t="inlineStr">
        <is>
          <t>D-06-02</t>
        </is>
      </c>
      <c r="K1706" s="8" t="inlineStr"/>
      <c r="L1706" s="10" t="n">
        <v>0</v>
      </c>
      <c r="M1706" s="10" t="n">
        <v>0</v>
      </c>
      <c r="N1706" s="10" t="n">
        <v>15</v>
      </c>
      <c r="O1706" s="8" t="inlineStr">
        <is>
          <t>FAU</t>
        </is>
      </c>
      <c r="P1706" s="8" t="inlineStr">
        <is>
          <t>CRITIQUE</t>
        </is>
      </c>
      <c r="Q1706" s="8" t="inlineStr">
        <is>
          <t>WHAP</t>
        </is>
      </c>
      <c r="R1706" s="8" t="inlineStr">
        <is>
          <t>OUI</t>
        </is>
      </c>
      <c r="S1706" s="8" t="inlineStr">
        <is>
          <t>31/08/2026 02:59</t>
        </is>
      </c>
    </row>
    <row r="1707">
      <c r="A1707" s="7" t="inlineStr">
        <is>
          <t>WHAP-1703</t>
        </is>
      </c>
      <c r="B1707" s="7" t="inlineStr">
        <is>
          <t>MOT-1703</t>
        </is>
      </c>
      <c r="C1707" s="7" t="inlineStr">
        <is>
          <t>actionneur de vilebrequin</t>
        </is>
      </c>
      <c r="D1707" s="7" t="inlineStr">
        <is>
          <t>Moteur</t>
        </is>
      </c>
      <c r="E1707" s="7" t="inlineStr">
        <is>
          <t>Moteur</t>
        </is>
      </c>
      <c r="F1707" s="7" t="inlineStr">
        <is>
          <t>PIECE_VEHICULE</t>
        </is>
      </c>
      <c r="G1707" s="7" t="inlineStr">
        <is>
          <t>unité</t>
        </is>
      </c>
      <c r="H1707" s="7" t="inlineStr">
        <is>
          <t>LARGE</t>
        </is>
      </c>
      <c r="I1707" s="7" t="n">
        <v>0</v>
      </c>
      <c r="J1707" s="7" t="inlineStr">
        <is>
          <t>E-02-01</t>
        </is>
      </c>
      <c r="K1707" s="7" t="inlineStr"/>
      <c r="L1707" s="9" t="n">
        <v>0</v>
      </c>
      <c r="M1707" s="9" t="n">
        <v>0</v>
      </c>
      <c r="N1707" s="9" t="n">
        <v>16</v>
      </c>
      <c r="O1707" s="7" t="inlineStr">
        <is>
          <t>MAG</t>
        </is>
      </c>
      <c r="P1707" s="7" t="inlineStr">
        <is>
          <t>CRITIQUE</t>
        </is>
      </c>
      <c r="Q1707" s="7" t="inlineStr">
        <is>
          <t>WHAP</t>
        </is>
      </c>
      <c r="R1707" s="7" t="inlineStr">
        <is>
          <t>OUI</t>
        </is>
      </c>
      <c r="S1707" s="7" t="inlineStr">
        <is>
          <t>31/08/2026 02:59</t>
        </is>
      </c>
    </row>
    <row r="1708">
      <c r="A1708" s="8" t="inlineStr">
        <is>
          <t>WHAP-1704</t>
        </is>
      </c>
      <c r="B1708" s="8" t="inlineStr">
        <is>
          <t>MOT-1704</t>
        </is>
      </c>
      <c r="C1708" s="8" t="inlineStr">
        <is>
          <t>raccord de vilebrequin</t>
        </is>
      </c>
      <c r="D1708" s="8" t="inlineStr">
        <is>
          <t>Moteur</t>
        </is>
      </c>
      <c r="E1708" s="8" t="inlineStr">
        <is>
          <t>Moteur</t>
        </is>
      </c>
      <c r="F1708" s="8" t="inlineStr">
        <is>
          <t>PIECE_VEHICULE</t>
        </is>
      </c>
      <c r="G1708" s="8" t="inlineStr">
        <is>
          <t>unité</t>
        </is>
      </c>
      <c r="H1708" s="8" t="inlineStr">
        <is>
          <t>LARGE</t>
        </is>
      </c>
      <c r="I1708" s="8" t="n">
        <v>0</v>
      </c>
      <c r="J1708" s="8" t="inlineStr">
        <is>
          <t>E-06-01</t>
        </is>
      </c>
      <c r="K1708" s="8" t="inlineStr"/>
      <c r="L1708" s="10" t="n">
        <v>0</v>
      </c>
      <c r="M1708" s="10" t="n">
        <v>0</v>
      </c>
      <c r="N1708" s="10" t="n">
        <v>11</v>
      </c>
      <c r="O1708" s="8" t="inlineStr">
        <is>
          <t>BOS</t>
        </is>
      </c>
      <c r="P1708" s="8" t="inlineStr">
        <is>
          <t>CRITIQUE</t>
        </is>
      </c>
      <c r="Q1708" s="8" t="inlineStr">
        <is>
          <t>WHAP</t>
        </is>
      </c>
      <c r="R1708" s="8" t="inlineStr">
        <is>
          <t>OUI</t>
        </is>
      </c>
      <c r="S1708" s="8" t="inlineStr">
        <is>
          <t>31/08/2026 02:59</t>
        </is>
      </c>
    </row>
    <row r="1709">
      <c r="A1709" s="7" t="inlineStr">
        <is>
          <t>WHAP-1705</t>
        </is>
      </c>
      <c r="B1709" s="7" t="inlineStr">
        <is>
          <t>MOT-1705</t>
        </is>
      </c>
      <c r="C1709" s="7" t="inlineStr">
        <is>
          <t>plaque de vilebrequin</t>
        </is>
      </c>
      <c r="D1709" s="7" t="inlineStr">
        <is>
          <t>Moteur</t>
        </is>
      </c>
      <c r="E1709" s="7" t="inlineStr">
        <is>
          <t>Moteur</t>
        </is>
      </c>
      <c r="F1709" s="7" t="inlineStr">
        <is>
          <t>PIECE_VEHICULE</t>
        </is>
      </c>
      <c r="G1709" s="7" t="inlineStr">
        <is>
          <t>unité</t>
        </is>
      </c>
      <c r="H1709" s="7" t="inlineStr">
        <is>
          <t>LARGE</t>
        </is>
      </c>
      <c r="I1709" s="7" t="n">
        <v>0</v>
      </c>
      <c r="J1709" s="7" t="inlineStr">
        <is>
          <t>A-06-04</t>
        </is>
      </c>
      <c r="K1709" s="7" t="inlineStr"/>
      <c r="L1709" s="9" t="n">
        <v>0</v>
      </c>
      <c r="M1709" s="9" t="n">
        <v>0</v>
      </c>
      <c r="N1709" s="9" t="n">
        <v>13</v>
      </c>
      <c r="O1709" s="7" t="inlineStr">
        <is>
          <t>MAG</t>
        </is>
      </c>
      <c r="P1709" s="7" t="inlineStr">
        <is>
          <t>CRITIQUE</t>
        </is>
      </c>
      <c r="Q1709" s="7" t="inlineStr">
        <is>
          <t>WHAP</t>
        </is>
      </c>
      <c r="R1709" s="7" t="inlineStr">
        <is>
          <t>OUI</t>
        </is>
      </c>
      <c r="S1709" s="7" t="inlineStr">
        <is>
          <t>31/08/2026 02:59</t>
        </is>
      </c>
    </row>
    <row r="1710">
      <c r="A1710" s="8" t="inlineStr">
        <is>
          <t>WHAP-1706</t>
        </is>
      </c>
      <c r="B1710" s="8" t="inlineStr">
        <is>
          <t>MOT-1706</t>
        </is>
      </c>
      <c r="C1710" s="8" t="inlineStr">
        <is>
          <t>couvercle de vilebrequin</t>
        </is>
      </c>
      <c r="D1710" s="8" t="inlineStr">
        <is>
          <t>Moteur</t>
        </is>
      </c>
      <c r="E1710" s="8" t="inlineStr">
        <is>
          <t>Moteur</t>
        </is>
      </c>
      <c r="F1710" s="8" t="inlineStr">
        <is>
          <t>PIECE_VEHICULE</t>
        </is>
      </c>
      <c r="G1710" s="8" t="inlineStr">
        <is>
          <t>unité</t>
        </is>
      </c>
      <c r="H1710" s="8" t="inlineStr">
        <is>
          <t>LARGE</t>
        </is>
      </c>
      <c r="I1710" s="8" t="n">
        <v>0</v>
      </c>
      <c r="J1710" s="8" t="inlineStr">
        <is>
          <t>C-06-02</t>
        </is>
      </c>
      <c r="K1710" s="8" t="inlineStr"/>
      <c r="L1710" s="10" t="n">
        <v>0</v>
      </c>
      <c r="M1710" s="10" t="n">
        <v>0</v>
      </c>
      <c r="N1710" s="10" t="n">
        <v>14</v>
      </c>
      <c r="O1710" s="8" t="inlineStr">
        <is>
          <t>BOS</t>
        </is>
      </c>
      <c r="P1710" s="8" t="inlineStr">
        <is>
          <t>CRITIQUE</t>
        </is>
      </c>
      <c r="Q1710" s="8" t="inlineStr">
        <is>
          <t>WHAP</t>
        </is>
      </c>
      <c r="R1710" s="8" t="inlineStr">
        <is>
          <t>OUI</t>
        </is>
      </c>
      <c r="S1710" s="8" t="inlineStr">
        <is>
          <t>31/08/2026 02:59</t>
        </is>
      </c>
    </row>
    <row r="1711">
      <c r="A1711" s="7" t="inlineStr">
        <is>
          <t>WHAP-1707</t>
        </is>
      </c>
      <c r="B1711" s="7" t="inlineStr">
        <is>
          <t>MOT-1707</t>
        </is>
      </c>
      <c r="C1711" s="7" t="inlineStr">
        <is>
          <t>bague de vilebrequin</t>
        </is>
      </c>
      <c r="D1711" s="7" t="inlineStr">
        <is>
          <t>Moteur</t>
        </is>
      </c>
      <c r="E1711" s="7" t="inlineStr">
        <is>
          <t>Moteur</t>
        </is>
      </c>
      <c r="F1711" s="7" t="inlineStr">
        <is>
          <t>PIECE_VEHICULE</t>
        </is>
      </c>
      <c r="G1711" s="7" t="inlineStr">
        <is>
          <t>unité</t>
        </is>
      </c>
      <c r="H1711" s="7" t="inlineStr">
        <is>
          <t>LARGE</t>
        </is>
      </c>
      <c r="I1711" s="7" t="n">
        <v>0</v>
      </c>
      <c r="J1711" s="7" t="inlineStr">
        <is>
          <t>E-03-03</t>
        </is>
      </c>
      <c r="K1711" s="7" t="inlineStr"/>
      <c r="L1711" s="9" t="n">
        <v>0</v>
      </c>
      <c r="M1711" s="9" t="n">
        <v>0</v>
      </c>
      <c r="N1711" s="9" t="n">
        <v>14</v>
      </c>
      <c r="O1711" s="7" t="inlineStr">
        <is>
          <t>SUM</t>
        </is>
      </c>
      <c r="P1711" s="7" t="inlineStr">
        <is>
          <t>CRITIQUE</t>
        </is>
      </c>
      <c r="Q1711" s="7" t="inlineStr">
        <is>
          <t>WHAP</t>
        </is>
      </c>
      <c r="R1711" s="7" t="inlineStr">
        <is>
          <t>OUI</t>
        </is>
      </c>
      <c r="S1711" s="7" t="inlineStr">
        <is>
          <t>31/08/2026 02:59</t>
        </is>
      </c>
    </row>
    <row r="1712">
      <c r="A1712" s="8" t="inlineStr">
        <is>
          <t>WHAP-1708</t>
        </is>
      </c>
      <c r="B1712" s="8" t="inlineStr">
        <is>
          <t>MOT-1708</t>
        </is>
      </c>
      <c r="C1712" s="8" t="inlineStr">
        <is>
          <t>entretoise de vilebrequin</t>
        </is>
      </c>
      <c r="D1712" s="8" t="inlineStr">
        <is>
          <t>Moteur</t>
        </is>
      </c>
      <c r="E1712" s="8" t="inlineStr">
        <is>
          <t>Moteur</t>
        </is>
      </c>
      <c r="F1712" s="8" t="inlineStr">
        <is>
          <t>PIECE_VEHICULE</t>
        </is>
      </c>
      <c r="G1712" s="8" t="inlineStr">
        <is>
          <t>unité</t>
        </is>
      </c>
      <c r="H1712" s="8" t="inlineStr">
        <is>
          <t>LARGE</t>
        </is>
      </c>
      <c r="I1712" s="8" t="n">
        <v>0</v>
      </c>
      <c r="J1712" s="8" t="inlineStr">
        <is>
          <t>A-01-03</t>
        </is>
      </c>
      <c r="K1712" s="8" t="inlineStr"/>
      <c r="L1712" s="10" t="n">
        <v>0</v>
      </c>
      <c r="M1712" s="10" t="n">
        <v>0</v>
      </c>
      <c r="N1712" s="10" t="n">
        <v>18</v>
      </c>
      <c r="O1712" s="8" t="inlineStr">
        <is>
          <t>HEL</t>
        </is>
      </c>
      <c r="P1712" s="8" t="inlineStr">
        <is>
          <t>CRITIQUE</t>
        </is>
      </c>
      <c r="Q1712" s="8" t="inlineStr">
        <is>
          <t>WHAP</t>
        </is>
      </c>
      <c r="R1712" s="8" t="inlineStr">
        <is>
          <t>OUI</t>
        </is>
      </c>
      <c r="S1712" s="8" t="inlineStr">
        <is>
          <t>31/08/2026 02:59</t>
        </is>
      </c>
    </row>
    <row r="1713">
      <c r="A1713" s="7" t="inlineStr">
        <is>
          <t>WHAP-1709</t>
        </is>
      </c>
      <c r="B1713" s="7" t="inlineStr">
        <is>
          <t>MOT-1709</t>
        </is>
      </c>
      <c r="C1713" s="7" t="inlineStr">
        <is>
          <t>axe de vilebrequin</t>
        </is>
      </c>
      <c r="D1713" s="7" t="inlineStr">
        <is>
          <t>Moteur</t>
        </is>
      </c>
      <c r="E1713" s="7" t="inlineStr">
        <is>
          <t>Moteur</t>
        </is>
      </c>
      <c r="F1713" s="7" t="inlineStr">
        <is>
          <t>PIECE_VEHICULE</t>
        </is>
      </c>
      <c r="G1713" s="7" t="inlineStr">
        <is>
          <t>unité</t>
        </is>
      </c>
      <c r="H1713" s="7" t="inlineStr">
        <is>
          <t>LARGE</t>
        </is>
      </c>
      <c r="I1713" s="7" t="n">
        <v>0</v>
      </c>
      <c r="J1713" s="7" t="inlineStr">
        <is>
          <t>C-06-02</t>
        </is>
      </c>
      <c r="K1713" s="7" t="inlineStr"/>
      <c r="L1713" s="9" t="n">
        <v>0</v>
      </c>
      <c r="M1713" s="9" t="n">
        <v>0</v>
      </c>
      <c r="N1713" s="9" t="n">
        <v>20</v>
      </c>
      <c r="O1713" s="7" t="inlineStr">
        <is>
          <t>HEL</t>
        </is>
      </c>
      <c r="P1713" s="7" t="inlineStr">
        <is>
          <t>CRITIQUE</t>
        </is>
      </c>
      <c r="Q1713" s="7" t="inlineStr">
        <is>
          <t>WHAP</t>
        </is>
      </c>
      <c r="R1713" s="7" t="inlineStr">
        <is>
          <t>OUI</t>
        </is>
      </c>
      <c r="S1713" s="7" t="inlineStr">
        <is>
          <t>31/08/2026 02:59</t>
        </is>
      </c>
    </row>
    <row r="1714">
      <c r="A1714" s="8" t="inlineStr">
        <is>
          <t>WHAP-1710</t>
        </is>
      </c>
      <c r="B1714" s="8" t="inlineStr">
        <is>
          <t>MOT-1710</t>
        </is>
      </c>
      <c r="C1714" s="8" t="inlineStr">
        <is>
          <t>poulie de vilebrequin</t>
        </is>
      </c>
      <c r="D1714" s="8" t="inlineStr">
        <is>
          <t>Moteur</t>
        </is>
      </c>
      <c r="E1714" s="8" t="inlineStr">
        <is>
          <t>Moteur</t>
        </is>
      </c>
      <c r="F1714" s="8" t="inlineStr">
        <is>
          <t>PIECE_VEHICULE</t>
        </is>
      </c>
      <c r="G1714" s="8" t="inlineStr">
        <is>
          <t>unité</t>
        </is>
      </c>
      <c r="H1714" s="8" t="inlineStr">
        <is>
          <t>LARGE</t>
        </is>
      </c>
      <c r="I1714" s="8" t="n">
        <v>0</v>
      </c>
      <c r="J1714" s="8" t="inlineStr">
        <is>
          <t>F-01-02</t>
        </is>
      </c>
      <c r="K1714" s="8" t="inlineStr"/>
      <c r="L1714" s="10" t="n">
        <v>0</v>
      </c>
      <c r="M1714" s="10" t="n">
        <v>0</v>
      </c>
      <c r="N1714" s="10" t="n">
        <v>20</v>
      </c>
      <c r="O1714" s="8" t="inlineStr">
        <is>
          <t>CTL</t>
        </is>
      </c>
      <c r="P1714" s="8" t="inlineStr">
        <is>
          <t>CRITIQUE</t>
        </is>
      </c>
      <c r="Q1714" s="8" t="inlineStr">
        <is>
          <t>WHAP</t>
        </is>
      </c>
      <c r="R1714" s="8" t="inlineStr">
        <is>
          <t>OUI</t>
        </is>
      </c>
      <c r="S1714" s="8" t="inlineStr">
        <is>
          <t>31/08/2026 02:59</t>
        </is>
      </c>
    </row>
    <row r="1715">
      <c r="A1715" s="7" t="inlineStr">
        <is>
          <t>WHAP-1711</t>
        </is>
      </c>
      <c r="B1715" s="7" t="inlineStr">
        <is>
          <t>MOT-1711</t>
        </is>
      </c>
      <c r="C1715" s="7" t="inlineStr">
        <is>
          <t>pignon de vilebrequin</t>
        </is>
      </c>
      <c r="D1715" s="7" t="inlineStr">
        <is>
          <t>Moteur</t>
        </is>
      </c>
      <c r="E1715" s="7" t="inlineStr">
        <is>
          <t>Moteur</t>
        </is>
      </c>
      <c r="F1715" s="7" t="inlineStr">
        <is>
          <t>PIECE_VEHICULE</t>
        </is>
      </c>
      <c r="G1715" s="7" t="inlineStr">
        <is>
          <t>unité</t>
        </is>
      </c>
      <c r="H1715" s="7" t="inlineStr">
        <is>
          <t>LARGE</t>
        </is>
      </c>
      <c r="I1715" s="7" t="n">
        <v>0</v>
      </c>
      <c r="J1715" s="7" t="inlineStr">
        <is>
          <t>B-01-01</t>
        </is>
      </c>
      <c r="K1715" s="7" t="inlineStr"/>
      <c r="L1715" s="9" t="n">
        <v>0</v>
      </c>
      <c r="M1715" s="9" t="n">
        <v>0</v>
      </c>
      <c r="N1715" s="9" t="n">
        <v>11</v>
      </c>
      <c r="O1715" s="7" t="inlineStr">
        <is>
          <t>SKF</t>
        </is>
      </c>
      <c r="P1715" s="7" t="inlineStr">
        <is>
          <t>CRITIQUE</t>
        </is>
      </c>
      <c r="Q1715" s="7" t="inlineStr">
        <is>
          <t>WHAP</t>
        </is>
      </c>
      <c r="R1715" s="7" t="inlineStr">
        <is>
          <t>OUI</t>
        </is>
      </c>
      <c r="S1715" s="7" t="inlineStr">
        <is>
          <t>31/08/2026 02:59</t>
        </is>
      </c>
    </row>
    <row r="1716">
      <c r="A1716" s="8" t="inlineStr">
        <is>
          <t>WHAP-1712</t>
        </is>
      </c>
      <c r="B1716" s="8" t="inlineStr">
        <is>
          <t>MOT-1712</t>
        </is>
      </c>
      <c r="C1716" s="8" t="inlineStr">
        <is>
          <t>ensemble de palier principal</t>
        </is>
      </c>
      <c r="D1716" s="8" t="inlineStr">
        <is>
          <t>Moteur</t>
        </is>
      </c>
      <c r="E1716" s="8" t="inlineStr">
        <is>
          <t>Moteur</t>
        </is>
      </c>
      <c r="F1716" s="8" t="inlineStr">
        <is>
          <t>PIECE_VEHICULE</t>
        </is>
      </c>
      <c r="G1716" s="8" t="inlineStr">
        <is>
          <t>unité</t>
        </is>
      </c>
      <c r="H1716" s="8" t="inlineStr">
        <is>
          <t>LARGE</t>
        </is>
      </c>
      <c r="I1716" s="8" t="n">
        <v>0</v>
      </c>
      <c r="J1716" s="8" t="inlineStr">
        <is>
          <t>E-04-03</t>
        </is>
      </c>
      <c r="K1716" s="8" t="inlineStr"/>
      <c r="L1716" s="10" t="n">
        <v>0</v>
      </c>
      <c r="M1716" s="10" t="n">
        <v>0</v>
      </c>
      <c r="N1716" s="10" t="n">
        <v>19</v>
      </c>
      <c r="O1716" s="8" t="inlineStr">
        <is>
          <t>BOS</t>
        </is>
      </c>
      <c r="P1716" s="8" t="inlineStr">
        <is>
          <t>CRITIQUE</t>
        </is>
      </c>
      <c r="Q1716" s="8" t="inlineStr">
        <is>
          <t>WHAP</t>
        </is>
      </c>
      <c r="R1716" s="8" t="inlineStr">
        <is>
          <t>OUI</t>
        </is>
      </c>
      <c r="S1716" s="8" t="inlineStr">
        <is>
          <t>31/08/2026 02:59</t>
        </is>
      </c>
    </row>
    <row r="1717">
      <c r="A1717" s="7" t="inlineStr">
        <is>
          <t>WHAP-1713</t>
        </is>
      </c>
      <c r="B1717" s="7" t="inlineStr">
        <is>
          <t>MOT-1713</t>
        </is>
      </c>
      <c r="C1717" s="7" t="inlineStr">
        <is>
          <t>kit de palier principal</t>
        </is>
      </c>
      <c r="D1717" s="7" t="inlineStr">
        <is>
          <t>Moteur</t>
        </is>
      </c>
      <c r="E1717" s="7" t="inlineStr">
        <is>
          <t>Moteur</t>
        </is>
      </c>
      <c r="F1717" s="7" t="inlineStr">
        <is>
          <t>PIECE_VEHICULE</t>
        </is>
      </c>
      <c r="G1717" s="7" t="inlineStr">
        <is>
          <t>unité</t>
        </is>
      </c>
      <c r="H1717" s="7" t="inlineStr">
        <is>
          <t>LARGE</t>
        </is>
      </c>
      <c r="I1717" s="7" t="n">
        <v>0</v>
      </c>
      <c r="J1717" s="7" t="inlineStr">
        <is>
          <t>F-05-03</t>
        </is>
      </c>
      <c r="K1717" s="7" t="inlineStr"/>
      <c r="L1717" s="9" t="n">
        <v>0</v>
      </c>
      <c r="M1717" s="9" t="n">
        <v>0</v>
      </c>
      <c r="N1717" s="9" t="n">
        <v>13</v>
      </c>
      <c r="O1717" s="7" t="inlineStr">
        <is>
          <t>YZK</t>
        </is>
      </c>
      <c r="P1717" s="7" t="inlineStr">
        <is>
          <t>CRITIQUE</t>
        </is>
      </c>
      <c r="Q1717" s="7" t="inlineStr">
        <is>
          <t>WHAP</t>
        </is>
      </c>
      <c r="R1717" s="7" t="inlineStr">
        <is>
          <t>OUI</t>
        </is>
      </c>
      <c r="S1717" s="7" t="inlineStr">
        <is>
          <t>31/08/2026 02:59</t>
        </is>
      </c>
    </row>
    <row r="1718">
      <c r="A1718" s="8" t="inlineStr">
        <is>
          <t>WHAP-1714</t>
        </is>
      </c>
      <c r="B1718" s="8" t="inlineStr">
        <is>
          <t>MOT-1714</t>
        </is>
      </c>
      <c r="C1718" s="8" t="inlineStr">
        <is>
          <t>support de palier principal</t>
        </is>
      </c>
      <c r="D1718" s="8" t="inlineStr">
        <is>
          <t>Moteur</t>
        </is>
      </c>
      <c r="E1718" s="8" t="inlineStr">
        <is>
          <t>Moteur</t>
        </is>
      </c>
      <c r="F1718" s="8" t="inlineStr">
        <is>
          <t>PIECE_VEHICULE</t>
        </is>
      </c>
      <c r="G1718" s="8" t="inlineStr">
        <is>
          <t>unité</t>
        </is>
      </c>
      <c r="H1718" s="8" t="inlineStr">
        <is>
          <t>LARGE</t>
        </is>
      </c>
      <c r="I1718" s="8" t="n">
        <v>0</v>
      </c>
      <c r="J1718" s="8" t="inlineStr">
        <is>
          <t>B-04-04</t>
        </is>
      </c>
      <c r="K1718" s="8" t="inlineStr"/>
      <c r="L1718" s="10" t="n">
        <v>0</v>
      </c>
      <c r="M1718" s="10" t="n">
        <v>0</v>
      </c>
      <c r="N1718" s="10" t="n">
        <v>18</v>
      </c>
      <c r="O1718" s="8" t="inlineStr">
        <is>
          <t>CTL</t>
        </is>
      </c>
      <c r="P1718" s="8" t="inlineStr">
        <is>
          <t>CRITIQUE</t>
        </is>
      </c>
      <c r="Q1718" s="8" t="inlineStr">
        <is>
          <t>WHAP</t>
        </is>
      </c>
      <c r="R1718" s="8" t="inlineStr">
        <is>
          <t>OUI</t>
        </is>
      </c>
      <c r="S1718" s="8" t="inlineStr">
        <is>
          <t>31/08/2026 02:59</t>
        </is>
      </c>
    </row>
    <row r="1719">
      <c r="A1719" s="7" t="inlineStr">
        <is>
          <t>WHAP-1715</t>
        </is>
      </c>
      <c r="B1719" s="7" t="inlineStr">
        <is>
          <t>MOT-1715</t>
        </is>
      </c>
      <c r="C1719" s="7" t="inlineStr">
        <is>
          <t>boîtier de palier principal</t>
        </is>
      </c>
      <c r="D1719" s="7" t="inlineStr">
        <is>
          <t>Moteur</t>
        </is>
      </c>
      <c r="E1719" s="7" t="inlineStr">
        <is>
          <t>Moteur</t>
        </is>
      </c>
      <c r="F1719" s="7" t="inlineStr">
        <is>
          <t>PIECE_VEHICULE</t>
        </is>
      </c>
      <c r="G1719" s="7" t="inlineStr">
        <is>
          <t>unité</t>
        </is>
      </c>
      <c r="H1719" s="7" t="inlineStr">
        <is>
          <t>LARGE</t>
        </is>
      </c>
      <c r="I1719" s="7" t="n">
        <v>0</v>
      </c>
      <c r="J1719" s="7" t="inlineStr">
        <is>
          <t>F-05-02</t>
        </is>
      </c>
      <c r="K1719" s="7" t="inlineStr"/>
      <c r="L1719" s="9" t="n">
        <v>0</v>
      </c>
      <c r="M1719" s="9" t="n">
        <v>0</v>
      </c>
      <c r="N1719" s="9" t="n">
        <v>10</v>
      </c>
      <c r="O1719" s="7" t="inlineStr">
        <is>
          <t>CTL</t>
        </is>
      </c>
      <c r="P1719" s="7" t="inlineStr">
        <is>
          <t>CRITIQUE</t>
        </is>
      </c>
      <c r="Q1719" s="7" t="inlineStr">
        <is>
          <t>WHAP</t>
        </is>
      </c>
      <c r="R1719" s="7" t="inlineStr">
        <is>
          <t>OUI</t>
        </is>
      </c>
      <c r="S1719" s="7" t="inlineStr">
        <is>
          <t>31/08/2026 02:59</t>
        </is>
      </c>
    </row>
    <row r="1720">
      <c r="A1720" s="8" t="inlineStr">
        <is>
          <t>WHAP-1716</t>
        </is>
      </c>
      <c r="B1720" s="8" t="inlineStr">
        <is>
          <t>MOT-1716</t>
        </is>
      </c>
      <c r="C1720" s="8" t="inlineStr">
        <is>
          <t>module de palier principal</t>
        </is>
      </c>
      <c r="D1720" s="8" t="inlineStr">
        <is>
          <t>Moteur</t>
        </is>
      </c>
      <c r="E1720" s="8" t="inlineStr">
        <is>
          <t>Moteur</t>
        </is>
      </c>
      <c r="F1720" s="8" t="inlineStr">
        <is>
          <t>PIECE_VEHICULE</t>
        </is>
      </c>
      <c r="G1720" s="8" t="inlineStr">
        <is>
          <t>unité</t>
        </is>
      </c>
      <c r="H1720" s="8" t="inlineStr">
        <is>
          <t>LARGE</t>
        </is>
      </c>
      <c r="I1720" s="8" t="n">
        <v>0</v>
      </c>
      <c r="J1720" s="8" t="inlineStr">
        <is>
          <t>E-04-02</t>
        </is>
      </c>
      <c r="K1720" s="8" t="inlineStr"/>
      <c r="L1720" s="10" t="n">
        <v>0</v>
      </c>
      <c r="M1720" s="10" t="n">
        <v>0</v>
      </c>
      <c r="N1720" s="10" t="n">
        <v>20</v>
      </c>
      <c r="O1720" s="8" t="inlineStr">
        <is>
          <t>SUM</t>
        </is>
      </c>
      <c r="P1720" s="8" t="inlineStr">
        <is>
          <t>CRITIQUE</t>
        </is>
      </c>
      <c r="Q1720" s="8" t="inlineStr">
        <is>
          <t>WHAP</t>
        </is>
      </c>
      <c r="R1720" s="8" t="inlineStr">
        <is>
          <t>OUI</t>
        </is>
      </c>
      <c r="S1720" s="8" t="inlineStr">
        <is>
          <t>31/08/2026 02:59</t>
        </is>
      </c>
    </row>
    <row r="1721">
      <c r="A1721" s="7" t="inlineStr">
        <is>
          <t>WHAP-1717</t>
        </is>
      </c>
      <c r="B1721" s="7" t="inlineStr">
        <is>
          <t>MOT-1717</t>
        </is>
      </c>
      <c r="C1721" s="7" t="inlineStr">
        <is>
          <t>câblage de palier principal</t>
        </is>
      </c>
      <c r="D1721" s="7" t="inlineStr">
        <is>
          <t>Moteur</t>
        </is>
      </c>
      <c r="E1721" s="7" t="inlineStr">
        <is>
          <t>Moteur</t>
        </is>
      </c>
      <c r="F1721" s="7" t="inlineStr">
        <is>
          <t>PIECE_VEHICULE</t>
        </is>
      </c>
      <c r="G1721" s="7" t="inlineStr">
        <is>
          <t>unité</t>
        </is>
      </c>
      <c r="H1721" s="7" t="inlineStr">
        <is>
          <t>LARGE</t>
        </is>
      </c>
      <c r="I1721" s="7" t="n">
        <v>0</v>
      </c>
      <c r="J1721" s="7" t="inlineStr">
        <is>
          <t>D-01-03</t>
        </is>
      </c>
      <c r="K1721" s="7" t="inlineStr"/>
      <c r="L1721" s="9" t="n">
        <v>0</v>
      </c>
      <c r="M1721" s="9" t="n">
        <v>0</v>
      </c>
      <c r="N1721" s="9" t="n">
        <v>12</v>
      </c>
      <c r="O1721" s="7" t="inlineStr">
        <is>
          <t>YZK</t>
        </is>
      </c>
      <c r="P1721" s="7" t="inlineStr">
        <is>
          <t>CRITIQUE</t>
        </is>
      </c>
      <c r="Q1721" s="7" t="inlineStr">
        <is>
          <t>WHAP</t>
        </is>
      </c>
      <c r="R1721" s="7" t="inlineStr">
        <is>
          <t>OUI</t>
        </is>
      </c>
      <c r="S1721" s="7" t="inlineStr">
        <is>
          <t>31/08/2026 02:59</t>
        </is>
      </c>
    </row>
    <row r="1722">
      <c r="A1722" s="8" t="inlineStr">
        <is>
          <t>WHAP-1718</t>
        </is>
      </c>
      <c r="B1722" s="8" t="inlineStr">
        <is>
          <t>MOT-1718</t>
        </is>
      </c>
      <c r="C1722" s="8" t="inlineStr">
        <is>
          <t>connecteur de palier principal</t>
        </is>
      </c>
      <c r="D1722" s="8" t="inlineStr">
        <is>
          <t>Moteur</t>
        </is>
      </c>
      <c r="E1722" s="8" t="inlineStr">
        <is>
          <t>Moteur</t>
        </is>
      </c>
      <c r="F1722" s="8" t="inlineStr">
        <is>
          <t>PIECE_VEHICULE</t>
        </is>
      </c>
      <c r="G1722" s="8" t="inlineStr">
        <is>
          <t>unité</t>
        </is>
      </c>
      <c r="H1722" s="8" t="inlineStr">
        <is>
          <t>LARGE</t>
        </is>
      </c>
      <c r="I1722" s="8" t="n">
        <v>0</v>
      </c>
      <c r="J1722" s="8" t="inlineStr">
        <is>
          <t>C-02-02</t>
        </is>
      </c>
      <c r="K1722" s="8" t="inlineStr"/>
      <c r="L1722" s="10" t="n">
        <v>0</v>
      </c>
      <c r="M1722" s="10" t="n">
        <v>0</v>
      </c>
      <c r="N1722" s="10" t="n">
        <v>13</v>
      </c>
      <c r="O1722" s="8" t="inlineStr">
        <is>
          <t>DEL</t>
        </is>
      </c>
      <c r="P1722" s="8" t="inlineStr">
        <is>
          <t>CRITIQUE</t>
        </is>
      </c>
      <c r="Q1722" s="8" t="inlineStr">
        <is>
          <t>WHAP</t>
        </is>
      </c>
      <c r="R1722" s="8" t="inlineStr">
        <is>
          <t>OUI</t>
        </is>
      </c>
      <c r="S1722" s="8" t="inlineStr">
        <is>
          <t>31/08/2026 02:59</t>
        </is>
      </c>
    </row>
    <row r="1723">
      <c r="A1723" s="7" t="inlineStr">
        <is>
          <t>WHAP-1719</t>
        </is>
      </c>
      <c r="B1723" s="7" t="inlineStr">
        <is>
          <t>MOT-1719</t>
        </is>
      </c>
      <c r="C1723" s="7" t="inlineStr">
        <is>
          <t>joint de palier principal</t>
        </is>
      </c>
      <c r="D1723" s="7" t="inlineStr">
        <is>
          <t>Moteur</t>
        </is>
      </c>
      <c r="E1723" s="7" t="inlineStr">
        <is>
          <t>Moteur</t>
        </is>
      </c>
      <c r="F1723" s="7" t="inlineStr">
        <is>
          <t>PIECE_VEHICULE</t>
        </is>
      </c>
      <c r="G1723" s="7" t="inlineStr">
        <is>
          <t>unité</t>
        </is>
      </c>
      <c r="H1723" s="7" t="inlineStr">
        <is>
          <t>LARGE</t>
        </is>
      </c>
      <c r="I1723" s="7" t="n">
        <v>0</v>
      </c>
      <c r="J1723" s="7" t="inlineStr">
        <is>
          <t>A-02-03</t>
        </is>
      </c>
      <c r="K1723" s="7" t="inlineStr"/>
      <c r="L1723" s="9" t="n">
        <v>0</v>
      </c>
      <c r="M1723" s="9" t="n">
        <v>0</v>
      </c>
      <c r="N1723" s="9" t="n">
        <v>18</v>
      </c>
      <c r="O1723" s="7" t="inlineStr">
        <is>
          <t>DEL</t>
        </is>
      </c>
      <c r="P1723" s="7" t="inlineStr">
        <is>
          <t>CRITIQUE</t>
        </is>
      </c>
      <c r="Q1723" s="7" t="inlineStr">
        <is>
          <t>WHAP</t>
        </is>
      </c>
      <c r="R1723" s="7" t="inlineStr">
        <is>
          <t>OUI</t>
        </is>
      </c>
      <c r="S1723" s="7" t="inlineStr">
        <is>
          <t>31/08/2026 02:59</t>
        </is>
      </c>
    </row>
    <row r="1724">
      <c r="A1724" s="8" t="inlineStr">
        <is>
          <t>WHAP-1720</t>
        </is>
      </c>
      <c r="B1724" s="8" t="inlineStr">
        <is>
          <t>MOT-1720</t>
        </is>
      </c>
      <c r="C1724" s="8" t="inlineStr">
        <is>
          <t>fixation de palier principal</t>
        </is>
      </c>
      <c r="D1724" s="8" t="inlineStr">
        <is>
          <t>Moteur</t>
        </is>
      </c>
      <c r="E1724" s="8" t="inlineStr">
        <is>
          <t>Moteur</t>
        </is>
      </c>
      <c r="F1724" s="8" t="inlineStr">
        <is>
          <t>PIECE_VEHICULE</t>
        </is>
      </c>
      <c r="G1724" s="8" t="inlineStr">
        <is>
          <t>unité</t>
        </is>
      </c>
      <c r="H1724" s="8" t="inlineStr">
        <is>
          <t>LARGE</t>
        </is>
      </c>
      <c r="I1724" s="8" t="n">
        <v>0</v>
      </c>
      <c r="J1724" s="8" t="inlineStr">
        <is>
          <t>D-02-04</t>
        </is>
      </c>
      <c r="K1724" s="8" t="inlineStr"/>
      <c r="L1724" s="10" t="n">
        <v>0</v>
      </c>
      <c r="M1724" s="10" t="n">
        <v>0</v>
      </c>
      <c r="N1724" s="10" t="n">
        <v>18</v>
      </c>
      <c r="O1724" s="8" t="inlineStr">
        <is>
          <t>YZK</t>
        </is>
      </c>
      <c r="P1724" s="8" t="inlineStr">
        <is>
          <t>CRITIQUE</t>
        </is>
      </c>
      <c r="Q1724" s="8" t="inlineStr">
        <is>
          <t>WHAP</t>
        </is>
      </c>
      <c r="R1724" s="8" t="inlineStr">
        <is>
          <t>OUI</t>
        </is>
      </c>
      <c r="S1724" s="8" t="inlineStr">
        <is>
          <t>31/08/2026 02:59</t>
        </is>
      </c>
    </row>
    <row r="1725">
      <c r="A1725" s="7" t="inlineStr">
        <is>
          <t>WHAP-1721</t>
        </is>
      </c>
      <c r="B1725" s="7" t="inlineStr">
        <is>
          <t>MOT-1721</t>
        </is>
      </c>
      <c r="C1725" s="7" t="inlineStr">
        <is>
          <t>protection de palier principal</t>
        </is>
      </c>
      <c r="D1725" s="7" t="inlineStr">
        <is>
          <t>Moteur</t>
        </is>
      </c>
      <c r="E1725" s="7" t="inlineStr">
        <is>
          <t>Moteur</t>
        </is>
      </c>
      <c r="F1725" s="7" t="inlineStr">
        <is>
          <t>PIECE_VEHICULE</t>
        </is>
      </c>
      <c r="G1725" s="7" t="inlineStr">
        <is>
          <t>unité</t>
        </is>
      </c>
      <c r="H1725" s="7" t="inlineStr">
        <is>
          <t>LARGE</t>
        </is>
      </c>
      <c r="I1725" s="7" t="n">
        <v>0</v>
      </c>
      <c r="J1725" s="7" t="inlineStr">
        <is>
          <t>B-03-04</t>
        </is>
      </c>
      <c r="K1725" s="7" t="inlineStr"/>
      <c r="L1725" s="9" t="n">
        <v>0</v>
      </c>
      <c r="M1725" s="9" t="n">
        <v>0</v>
      </c>
      <c r="N1725" s="9" t="n">
        <v>19</v>
      </c>
      <c r="O1725" s="7" t="inlineStr">
        <is>
          <t>SKF</t>
        </is>
      </c>
      <c r="P1725" s="7" t="inlineStr">
        <is>
          <t>CRITIQUE</t>
        </is>
      </c>
      <c r="Q1725" s="7" t="inlineStr">
        <is>
          <t>WHAP</t>
        </is>
      </c>
      <c r="R1725" s="7" t="inlineStr">
        <is>
          <t>OUI</t>
        </is>
      </c>
      <c r="S1725" s="7" t="inlineStr">
        <is>
          <t>31/08/2026 02:59</t>
        </is>
      </c>
    </row>
    <row r="1726">
      <c r="A1726" s="8" t="inlineStr">
        <is>
          <t>WHAP-1722</t>
        </is>
      </c>
      <c r="B1726" s="8" t="inlineStr">
        <is>
          <t>MOT-1722</t>
        </is>
      </c>
      <c r="C1726" s="8" t="inlineStr">
        <is>
          <t>capteur de palier principal</t>
        </is>
      </c>
      <c r="D1726" s="8" t="inlineStr">
        <is>
          <t>Moteur</t>
        </is>
      </c>
      <c r="E1726" s="8" t="inlineStr">
        <is>
          <t>Moteur</t>
        </is>
      </c>
      <c r="F1726" s="8" t="inlineStr">
        <is>
          <t>PIECE_VEHICULE</t>
        </is>
      </c>
      <c r="G1726" s="8" t="inlineStr">
        <is>
          <t>unité</t>
        </is>
      </c>
      <c r="H1726" s="8" t="inlineStr">
        <is>
          <t>LARGE</t>
        </is>
      </c>
      <c r="I1726" s="8" t="n">
        <v>0</v>
      </c>
      <c r="J1726" s="8" t="inlineStr">
        <is>
          <t>A-05-03</t>
        </is>
      </c>
      <c r="K1726" s="8" t="inlineStr"/>
      <c r="L1726" s="10" t="n">
        <v>0</v>
      </c>
      <c r="M1726" s="10" t="n">
        <v>0</v>
      </c>
      <c r="N1726" s="10" t="n">
        <v>16</v>
      </c>
      <c r="O1726" s="8" t="inlineStr">
        <is>
          <t>MAG</t>
        </is>
      </c>
      <c r="P1726" s="8" t="inlineStr">
        <is>
          <t>CRITIQUE</t>
        </is>
      </c>
      <c r="Q1726" s="8" t="inlineStr">
        <is>
          <t>WHAP</t>
        </is>
      </c>
      <c r="R1726" s="8" t="inlineStr">
        <is>
          <t>OUI</t>
        </is>
      </c>
      <c r="S1726" s="8" t="inlineStr">
        <is>
          <t>31/08/2026 02:59</t>
        </is>
      </c>
    </row>
    <row r="1727">
      <c r="A1727" s="7" t="inlineStr">
        <is>
          <t>WHAP-1723</t>
        </is>
      </c>
      <c r="B1727" s="7" t="inlineStr">
        <is>
          <t>MOT-1723</t>
        </is>
      </c>
      <c r="C1727" s="7" t="inlineStr">
        <is>
          <t>actionneur de palier principal</t>
        </is>
      </c>
      <c r="D1727" s="7" t="inlineStr">
        <is>
          <t>Moteur</t>
        </is>
      </c>
      <c r="E1727" s="7" t="inlineStr">
        <is>
          <t>Moteur</t>
        </is>
      </c>
      <c r="F1727" s="7" t="inlineStr">
        <is>
          <t>PIECE_VEHICULE</t>
        </is>
      </c>
      <c r="G1727" s="7" t="inlineStr">
        <is>
          <t>unité</t>
        </is>
      </c>
      <c r="H1727" s="7" t="inlineStr">
        <is>
          <t>LARGE</t>
        </is>
      </c>
      <c r="I1727" s="7" t="n">
        <v>0</v>
      </c>
      <c r="J1727" s="7" t="inlineStr">
        <is>
          <t>C-05-03</t>
        </is>
      </c>
      <c r="K1727" s="7" t="inlineStr"/>
      <c r="L1727" s="9" t="n">
        <v>0</v>
      </c>
      <c r="M1727" s="9" t="n">
        <v>0</v>
      </c>
      <c r="N1727" s="9" t="n">
        <v>14</v>
      </c>
      <c r="O1727" s="7" t="inlineStr">
        <is>
          <t>HEL</t>
        </is>
      </c>
      <c r="P1727" s="7" t="inlineStr">
        <is>
          <t>CRITIQUE</t>
        </is>
      </c>
      <c r="Q1727" s="7" t="inlineStr">
        <is>
          <t>WHAP</t>
        </is>
      </c>
      <c r="R1727" s="7" t="inlineStr">
        <is>
          <t>OUI</t>
        </is>
      </c>
      <c r="S1727" s="7" t="inlineStr">
        <is>
          <t>31/08/2026 02:59</t>
        </is>
      </c>
    </row>
    <row r="1728">
      <c r="A1728" s="8" t="inlineStr">
        <is>
          <t>WHAP-1724</t>
        </is>
      </c>
      <c r="B1728" s="8" t="inlineStr">
        <is>
          <t>MOT-1724</t>
        </is>
      </c>
      <c r="C1728" s="8" t="inlineStr">
        <is>
          <t>raccord de palier principal</t>
        </is>
      </c>
      <c r="D1728" s="8" t="inlineStr">
        <is>
          <t>Moteur</t>
        </is>
      </c>
      <c r="E1728" s="8" t="inlineStr">
        <is>
          <t>Moteur</t>
        </is>
      </c>
      <c r="F1728" s="8" t="inlineStr">
        <is>
          <t>PIECE_VEHICULE</t>
        </is>
      </c>
      <c r="G1728" s="8" t="inlineStr">
        <is>
          <t>unité</t>
        </is>
      </c>
      <c r="H1728" s="8" t="inlineStr">
        <is>
          <t>LARGE</t>
        </is>
      </c>
      <c r="I1728" s="8" t="n">
        <v>0</v>
      </c>
      <c r="J1728" s="8" t="inlineStr">
        <is>
          <t>B-02-01</t>
        </is>
      </c>
      <c r="K1728" s="8" t="inlineStr"/>
      <c r="L1728" s="10" t="n">
        <v>0</v>
      </c>
      <c r="M1728" s="10" t="n">
        <v>0</v>
      </c>
      <c r="N1728" s="10" t="n">
        <v>18</v>
      </c>
      <c r="O1728" s="8" t="inlineStr">
        <is>
          <t>FAU</t>
        </is>
      </c>
      <c r="P1728" s="8" t="inlineStr">
        <is>
          <t>CRITIQUE</t>
        </is>
      </c>
      <c r="Q1728" s="8" t="inlineStr">
        <is>
          <t>WHAP</t>
        </is>
      </c>
      <c r="R1728" s="8" t="inlineStr">
        <is>
          <t>OUI</t>
        </is>
      </c>
      <c r="S1728" s="8" t="inlineStr">
        <is>
          <t>31/08/2026 02:59</t>
        </is>
      </c>
    </row>
    <row r="1729">
      <c r="A1729" s="7" t="inlineStr">
        <is>
          <t>WHAP-1725</t>
        </is>
      </c>
      <c r="B1729" s="7" t="inlineStr">
        <is>
          <t>MOT-1725</t>
        </is>
      </c>
      <c r="C1729" s="7" t="inlineStr">
        <is>
          <t>plaque de palier principal</t>
        </is>
      </c>
      <c r="D1729" s="7" t="inlineStr">
        <is>
          <t>Moteur</t>
        </is>
      </c>
      <c r="E1729" s="7" t="inlineStr">
        <is>
          <t>Moteur</t>
        </is>
      </c>
      <c r="F1729" s="7" t="inlineStr">
        <is>
          <t>PIECE_VEHICULE</t>
        </is>
      </c>
      <c r="G1729" s="7" t="inlineStr">
        <is>
          <t>unité</t>
        </is>
      </c>
      <c r="H1729" s="7" t="inlineStr">
        <is>
          <t>LARGE</t>
        </is>
      </c>
      <c r="I1729" s="7" t="n">
        <v>0</v>
      </c>
      <c r="J1729" s="7" t="inlineStr">
        <is>
          <t>B-03-01</t>
        </is>
      </c>
      <c r="K1729" s="7" t="inlineStr"/>
      <c r="L1729" s="9" t="n">
        <v>0</v>
      </c>
      <c r="M1729" s="9" t="n">
        <v>0</v>
      </c>
      <c r="N1729" s="9" t="n">
        <v>18</v>
      </c>
      <c r="O1729" s="7" t="inlineStr">
        <is>
          <t>YZK</t>
        </is>
      </c>
      <c r="P1729" s="7" t="inlineStr">
        <is>
          <t>CRITIQUE</t>
        </is>
      </c>
      <c r="Q1729" s="7" t="inlineStr">
        <is>
          <t>WHAP</t>
        </is>
      </c>
      <c r="R1729" s="7" t="inlineStr">
        <is>
          <t>OUI</t>
        </is>
      </c>
      <c r="S1729" s="7" t="inlineStr">
        <is>
          <t>31/08/2026 02:59</t>
        </is>
      </c>
    </row>
    <row r="1730">
      <c r="A1730" s="8" t="inlineStr">
        <is>
          <t>WHAP-1726</t>
        </is>
      </c>
      <c r="B1730" s="8" t="inlineStr">
        <is>
          <t>MOT-1726</t>
        </is>
      </c>
      <c r="C1730" s="8" t="inlineStr">
        <is>
          <t>couvercle de palier principal</t>
        </is>
      </c>
      <c r="D1730" s="8" t="inlineStr">
        <is>
          <t>Moteur</t>
        </is>
      </c>
      <c r="E1730" s="8" t="inlineStr">
        <is>
          <t>Moteur</t>
        </is>
      </c>
      <c r="F1730" s="8" t="inlineStr">
        <is>
          <t>PIECE_VEHICULE</t>
        </is>
      </c>
      <c r="G1730" s="8" t="inlineStr">
        <is>
          <t>unité</t>
        </is>
      </c>
      <c r="H1730" s="8" t="inlineStr">
        <is>
          <t>LARGE</t>
        </is>
      </c>
      <c r="I1730" s="8" t="n">
        <v>0</v>
      </c>
      <c r="J1730" s="8" t="inlineStr">
        <is>
          <t>B-04-03</t>
        </is>
      </c>
      <c r="K1730" s="8" t="inlineStr"/>
      <c r="L1730" s="10" t="n">
        <v>0</v>
      </c>
      <c r="M1730" s="10" t="n">
        <v>0</v>
      </c>
      <c r="N1730" s="10" t="n">
        <v>16</v>
      </c>
      <c r="O1730" s="8" t="inlineStr">
        <is>
          <t>CTL</t>
        </is>
      </c>
      <c r="P1730" s="8" t="inlineStr">
        <is>
          <t>CRITIQUE</t>
        </is>
      </c>
      <c r="Q1730" s="8" t="inlineStr">
        <is>
          <t>WHAP</t>
        </is>
      </c>
      <c r="R1730" s="8" t="inlineStr">
        <is>
          <t>OUI</t>
        </is>
      </c>
      <c r="S1730" s="8" t="inlineStr">
        <is>
          <t>31/08/2026 02:59</t>
        </is>
      </c>
    </row>
    <row r="1731">
      <c r="A1731" s="7" t="inlineStr">
        <is>
          <t>WHAP-1727</t>
        </is>
      </c>
      <c r="B1731" s="7" t="inlineStr">
        <is>
          <t>MOT-1727</t>
        </is>
      </c>
      <c r="C1731" s="7" t="inlineStr">
        <is>
          <t>bague de palier principal</t>
        </is>
      </c>
      <c r="D1731" s="7" t="inlineStr">
        <is>
          <t>Moteur</t>
        </is>
      </c>
      <c r="E1731" s="7" t="inlineStr">
        <is>
          <t>Moteur</t>
        </is>
      </c>
      <c r="F1731" s="7" t="inlineStr">
        <is>
          <t>PIECE_VEHICULE</t>
        </is>
      </c>
      <c r="G1731" s="7" t="inlineStr">
        <is>
          <t>unité</t>
        </is>
      </c>
      <c r="H1731" s="7" t="inlineStr">
        <is>
          <t>LARGE</t>
        </is>
      </c>
      <c r="I1731" s="7" t="n">
        <v>0</v>
      </c>
      <c r="J1731" s="7" t="inlineStr">
        <is>
          <t>D-05-01</t>
        </is>
      </c>
      <c r="K1731" s="7" t="inlineStr"/>
      <c r="L1731" s="9" t="n">
        <v>0</v>
      </c>
      <c r="M1731" s="9" t="n">
        <v>0</v>
      </c>
      <c r="N1731" s="9" t="n">
        <v>18</v>
      </c>
      <c r="O1731" s="7" t="inlineStr">
        <is>
          <t>YZK</t>
        </is>
      </c>
      <c r="P1731" s="7" t="inlineStr">
        <is>
          <t>CRITIQUE</t>
        </is>
      </c>
      <c r="Q1731" s="7" t="inlineStr">
        <is>
          <t>WHAP</t>
        </is>
      </c>
      <c r="R1731" s="7" t="inlineStr">
        <is>
          <t>OUI</t>
        </is>
      </c>
      <c r="S1731" s="7" t="inlineStr">
        <is>
          <t>31/08/2026 02:59</t>
        </is>
      </c>
    </row>
    <row r="1732">
      <c r="A1732" s="8" t="inlineStr">
        <is>
          <t>WHAP-1728</t>
        </is>
      </c>
      <c r="B1732" s="8" t="inlineStr">
        <is>
          <t>MOT-1728</t>
        </is>
      </c>
      <c r="C1732" s="8" t="inlineStr">
        <is>
          <t>entretoise de palier principal</t>
        </is>
      </c>
      <c r="D1732" s="8" t="inlineStr">
        <is>
          <t>Moteur</t>
        </is>
      </c>
      <c r="E1732" s="8" t="inlineStr">
        <is>
          <t>Moteur</t>
        </is>
      </c>
      <c r="F1732" s="8" t="inlineStr">
        <is>
          <t>PIECE_VEHICULE</t>
        </is>
      </c>
      <c r="G1732" s="8" t="inlineStr">
        <is>
          <t>unité</t>
        </is>
      </c>
      <c r="H1732" s="8" t="inlineStr">
        <is>
          <t>LARGE</t>
        </is>
      </c>
      <c r="I1732" s="8" t="n">
        <v>0</v>
      </c>
      <c r="J1732" s="8" t="inlineStr">
        <is>
          <t>D-04-01</t>
        </is>
      </c>
      <c r="K1732" s="8" t="inlineStr"/>
      <c r="L1732" s="10" t="n">
        <v>0</v>
      </c>
      <c r="M1732" s="10" t="n">
        <v>0</v>
      </c>
      <c r="N1732" s="10" t="n">
        <v>15</v>
      </c>
      <c r="O1732" s="8" t="inlineStr">
        <is>
          <t>SKF</t>
        </is>
      </c>
      <c r="P1732" s="8" t="inlineStr">
        <is>
          <t>CRITIQUE</t>
        </is>
      </c>
      <c r="Q1732" s="8" t="inlineStr">
        <is>
          <t>WHAP</t>
        </is>
      </c>
      <c r="R1732" s="8" t="inlineStr">
        <is>
          <t>OUI</t>
        </is>
      </c>
      <c r="S1732" s="8" t="inlineStr">
        <is>
          <t>31/08/2026 02:59</t>
        </is>
      </c>
    </row>
    <row r="1733">
      <c r="A1733" s="7" t="inlineStr">
        <is>
          <t>WHAP-1729</t>
        </is>
      </c>
      <c r="B1733" s="7" t="inlineStr">
        <is>
          <t>MOT-1729</t>
        </is>
      </c>
      <c r="C1733" s="7" t="inlineStr">
        <is>
          <t>axe de palier principal</t>
        </is>
      </c>
      <c r="D1733" s="7" t="inlineStr">
        <is>
          <t>Moteur</t>
        </is>
      </c>
      <c r="E1733" s="7" t="inlineStr">
        <is>
          <t>Moteur</t>
        </is>
      </c>
      <c r="F1733" s="7" t="inlineStr">
        <is>
          <t>PIECE_VEHICULE</t>
        </is>
      </c>
      <c r="G1733" s="7" t="inlineStr">
        <is>
          <t>unité</t>
        </is>
      </c>
      <c r="H1733" s="7" t="inlineStr">
        <is>
          <t>LARGE</t>
        </is>
      </c>
      <c r="I1733" s="7" t="n">
        <v>0</v>
      </c>
      <c r="J1733" s="7" t="inlineStr">
        <is>
          <t>A-03-04</t>
        </is>
      </c>
      <c r="K1733" s="7" t="inlineStr"/>
      <c r="L1733" s="9" t="n">
        <v>0</v>
      </c>
      <c r="M1733" s="9" t="n">
        <v>0</v>
      </c>
      <c r="N1733" s="9" t="n">
        <v>14</v>
      </c>
      <c r="O1733" s="7" t="inlineStr">
        <is>
          <t>BOS</t>
        </is>
      </c>
      <c r="P1733" s="7" t="inlineStr">
        <is>
          <t>CRITIQUE</t>
        </is>
      </c>
      <c r="Q1733" s="7" t="inlineStr">
        <is>
          <t>WHAP</t>
        </is>
      </c>
      <c r="R1733" s="7" t="inlineStr">
        <is>
          <t>OUI</t>
        </is>
      </c>
      <c r="S1733" s="7" t="inlineStr">
        <is>
          <t>31/08/2026 02:59</t>
        </is>
      </c>
    </row>
    <row r="1734">
      <c r="A1734" s="8" t="inlineStr">
        <is>
          <t>WHAP-1730</t>
        </is>
      </c>
      <c r="B1734" s="8" t="inlineStr">
        <is>
          <t>MOT-1730</t>
        </is>
      </c>
      <c r="C1734" s="8" t="inlineStr">
        <is>
          <t>poulie de palier principal</t>
        </is>
      </c>
      <c r="D1734" s="8" t="inlineStr">
        <is>
          <t>Moteur</t>
        </is>
      </c>
      <c r="E1734" s="8" t="inlineStr">
        <is>
          <t>Moteur</t>
        </is>
      </c>
      <c r="F1734" s="8" t="inlineStr">
        <is>
          <t>PIECE_VEHICULE</t>
        </is>
      </c>
      <c r="G1734" s="8" t="inlineStr">
        <is>
          <t>unité</t>
        </is>
      </c>
      <c r="H1734" s="8" t="inlineStr">
        <is>
          <t>LARGE</t>
        </is>
      </c>
      <c r="I1734" s="8" t="n">
        <v>0</v>
      </c>
      <c r="J1734" s="8" t="inlineStr">
        <is>
          <t>B-06-04</t>
        </is>
      </c>
      <c r="K1734" s="8" t="inlineStr"/>
      <c r="L1734" s="10" t="n">
        <v>0</v>
      </c>
      <c r="M1734" s="10" t="n">
        <v>0</v>
      </c>
      <c r="N1734" s="10" t="n">
        <v>14</v>
      </c>
      <c r="O1734" s="8" t="inlineStr">
        <is>
          <t>VAL</t>
        </is>
      </c>
      <c r="P1734" s="8" t="inlineStr">
        <is>
          <t>CRITIQUE</t>
        </is>
      </c>
      <c r="Q1734" s="8" t="inlineStr">
        <is>
          <t>WHAP</t>
        </is>
      </c>
      <c r="R1734" s="8" t="inlineStr">
        <is>
          <t>OUI</t>
        </is>
      </c>
      <c r="S1734" s="8" t="inlineStr">
        <is>
          <t>31/08/2026 02:59</t>
        </is>
      </c>
    </row>
    <row r="1735">
      <c r="A1735" s="7" t="inlineStr">
        <is>
          <t>WHAP-1731</t>
        </is>
      </c>
      <c r="B1735" s="7" t="inlineStr">
        <is>
          <t>MOT-1731</t>
        </is>
      </c>
      <c r="C1735" s="7" t="inlineStr">
        <is>
          <t>pignon de palier principal</t>
        </is>
      </c>
      <c r="D1735" s="7" t="inlineStr">
        <is>
          <t>Moteur</t>
        </is>
      </c>
      <c r="E1735" s="7" t="inlineStr">
        <is>
          <t>Moteur</t>
        </is>
      </c>
      <c r="F1735" s="7" t="inlineStr">
        <is>
          <t>PIECE_VEHICULE</t>
        </is>
      </c>
      <c r="G1735" s="7" t="inlineStr">
        <is>
          <t>unité</t>
        </is>
      </c>
      <c r="H1735" s="7" t="inlineStr">
        <is>
          <t>LARGE</t>
        </is>
      </c>
      <c r="I1735" s="7" t="n">
        <v>0</v>
      </c>
      <c r="J1735" s="7" t="inlineStr">
        <is>
          <t>B-06-04</t>
        </is>
      </c>
      <c r="K1735" s="7" t="inlineStr"/>
      <c r="L1735" s="9" t="n">
        <v>0</v>
      </c>
      <c r="M1735" s="9" t="n">
        <v>0</v>
      </c>
      <c r="N1735" s="9" t="n">
        <v>10</v>
      </c>
      <c r="O1735" s="7" t="inlineStr">
        <is>
          <t>VAL</t>
        </is>
      </c>
      <c r="P1735" s="7" t="inlineStr">
        <is>
          <t>CRITIQUE</t>
        </is>
      </c>
      <c r="Q1735" s="7" t="inlineStr">
        <is>
          <t>WHAP</t>
        </is>
      </c>
      <c r="R1735" s="7" t="inlineStr">
        <is>
          <t>OUI</t>
        </is>
      </c>
      <c r="S1735" s="7" t="inlineStr">
        <is>
          <t>31/08/2026 02:59</t>
        </is>
      </c>
    </row>
    <row r="1736">
      <c r="A1736" s="8" t="inlineStr">
        <is>
          <t>WHAP-1732</t>
        </is>
      </c>
      <c r="B1736" s="8" t="inlineStr">
        <is>
          <t>MOT-1732</t>
        </is>
      </c>
      <c r="C1736" s="8" t="inlineStr">
        <is>
          <t>ensemble de coussinet de vilebrequin</t>
        </is>
      </c>
      <c r="D1736" s="8" t="inlineStr">
        <is>
          <t>Moteur</t>
        </is>
      </c>
      <c r="E1736" s="8" t="inlineStr">
        <is>
          <t>Moteur</t>
        </is>
      </c>
      <c r="F1736" s="8" t="inlineStr">
        <is>
          <t>PIECE_VEHICULE</t>
        </is>
      </c>
      <c r="G1736" s="8" t="inlineStr">
        <is>
          <t>unité</t>
        </is>
      </c>
      <c r="H1736" s="8" t="inlineStr">
        <is>
          <t>LARGE</t>
        </is>
      </c>
      <c r="I1736" s="8" t="n">
        <v>0</v>
      </c>
      <c r="J1736" s="8" t="inlineStr">
        <is>
          <t>A-03-04</t>
        </is>
      </c>
      <c r="K1736" s="8" t="inlineStr"/>
      <c r="L1736" s="10" t="n">
        <v>0</v>
      </c>
      <c r="M1736" s="10" t="n">
        <v>0</v>
      </c>
      <c r="N1736" s="10" t="n">
        <v>10</v>
      </c>
      <c r="O1736" s="8" t="inlineStr">
        <is>
          <t>MAG</t>
        </is>
      </c>
      <c r="P1736" s="8" t="inlineStr">
        <is>
          <t>CRITIQUE</t>
        </is>
      </c>
      <c r="Q1736" s="8" t="inlineStr">
        <is>
          <t>WHAP</t>
        </is>
      </c>
      <c r="R1736" s="8" t="inlineStr">
        <is>
          <t>OUI</t>
        </is>
      </c>
      <c r="S1736" s="8" t="inlineStr">
        <is>
          <t>31/08/2026 02:59</t>
        </is>
      </c>
    </row>
    <row r="1737">
      <c r="A1737" s="7" t="inlineStr">
        <is>
          <t>WHAP-1733</t>
        </is>
      </c>
      <c r="B1737" s="7" t="inlineStr">
        <is>
          <t>MOT-1733</t>
        </is>
      </c>
      <c r="C1737" s="7" t="inlineStr">
        <is>
          <t>kit de coussinet de vilebrequin</t>
        </is>
      </c>
      <c r="D1737" s="7" t="inlineStr">
        <is>
          <t>Moteur</t>
        </is>
      </c>
      <c r="E1737" s="7" t="inlineStr">
        <is>
          <t>Moteur</t>
        </is>
      </c>
      <c r="F1737" s="7" t="inlineStr">
        <is>
          <t>PIECE_VEHICULE</t>
        </is>
      </c>
      <c r="G1737" s="7" t="inlineStr">
        <is>
          <t>unité</t>
        </is>
      </c>
      <c r="H1737" s="7" t="inlineStr">
        <is>
          <t>LARGE</t>
        </is>
      </c>
      <c r="I1737" s="7" t="n">
        <v>0</v>
      </c>
      <c r="J1737" s="7" t="inlineStr">
        <is>
          <t>D-06-04</t>
        </is>
      </c>
      <c r="K1737" s="7" t="inlineStr"/>
      <c r="L1737" s="9" t="n">
        <v>0</v>
      </c>
      <c r="M1737" s="9" t="n">
        <v>0</v>
      </c>
      <c r="N1737" s="9" t="n">
        <v>14</v>
      </c>
      <c r="O1737" s="7" t="inlineStr">
        <is>
          <t>VAL</t>
        </is>
      </c>
      <c r="P1737" s="7" t="inlineStr">
        <is>
          <t>CRITIQUE</t>
        </is>
      </c>
      <c r="Q1737" s="7" t="inlineStr">
        <is>
          <t>WHAP</t>
        </is>
      </c>
      <c r="R1737" s="7" t="inlineStr">
        <is>
          <t>OUI</t>
        </is>
      </c>
      <c r="S1737" s="7" t="inlineStr">
        <is>
          <t>31/08/2026 02:59</t>
        </is>
      </c>
    </row>
    <row r="1738">
      <c r="A1738" s="8" t="inlineStr">
        <is>
          <t>WHAP-1734</t>
        </is>
      </c>
      <c r="B1738" s="8" t="inlineStr">
        <is>
          <t>MOT-1734</t>
        </is>
      </c>
      <c r="C1738" s="8" t="inlineStr">
        <is>
          <t>support de coussinet de vilebrequin</t>
        </is>
      </c>
      <c r="D1738" s="8" t="inlineStr">
        <is>
          <t>Moteur</t>
        </is>
      </c>
      <c r="E1738" s="8" t="inlineStr">
        <is>
          <t>Moteur</t>
        </is>
      </c>
      <c r="F1738" s="8" t="inlineStr">
        <is>
          <t>PIECE_VEHICULE</t>
        </is>
      </c>
      <c r="G1738" s="8" t="inlineStr">
        <is>
          <t>unité</t>
        </is>
      </c>
      <c r="H1738" s="8" t="inlineStr">
        <is>
          <t>LARGE</t>
        </is>
      </c>
      <c r="I1738" s="8" t="n">
        <v>0</v>
      </c>
      <c r="J1738" s="8" t="inlineStr">
        <is>
          <t>D-04-02</t>
        </is>
      </c>
      <c r="K1738" s="8" t="inlineStr"/>
      <c r="L1738" s="10" t="n">
        <v>0</v>
      </c>
      <c r="M1738" s="10" t="n">
        <v>0</v>
      </c>
      <c r="N1738" s="10" t="n">
        <v>11</v>
      </c>
      <c r="O1738" s="8" t="inlineStr">
        <is>
          <t>FAU</t>
        </is>
      </c>
      <c r="P1738" s="8" t="inlineStr">
        <is>
          <t>CRITIQUE</t>
        </is>
      </c>
      <c r="Q1738" s="8" t="inlineStr">
        <is>
          <t>WHAP</t>
        </is>
      </c>
      <c r="R1738" s="8" t="inlineStr">
        <is>
          <t>OUI</t>
        </is>
      </c>
      <c r="S1738" s="8" t="inlineStr">
        <is>
          <t>31/08/2026 02:59</t>
        </is>
      </c>
    </row>
    <row r="1739">
      <c r="A1739" s="7" t="inlineStr">
        <is>
          <t>WHAP-1735</t>
        </is>
      </c>
      <c r="B1739" s="7" t="inlineStr">
        <is>
          <t>MOT-1735</t>
        </is>
      </c>
      <c r="C1739" s="7" t="inlineStr">
        <is>
          <t>boîtier de coussinet de vilebrequin</t>
        </is>
      </c>
      <c r="D1739" s="7" t="inlineStr">
        <is>
          <t>Moteur</t>
        </is>
      </c>
      <c r="E1739" s="7" t="inlineStr">
        <is>
          <t>Moteur</t>
        </is>
      </c>
      <c r="F1739" s="7" t="inlineStr">
        <is>
          <t>PIECE_VEHICULE</t>
        </is>
      </c>
      <c r="G1739" s="7" t="inlineStr">
        <is>
          <t>unité</t>
        </is>
      </c>
      <c r="H1739" s="7" t="inlineStr">
        <is>
          <t>LARGE</t>
        </is>
      </c>
      <c r="I1739" s="7" t="n">
        <v>0</v>
      </c>
      <c r="J1739" s="7" t="inlineStr">
        <is>
          <t>A-02-01</t>
        </is>
      </c>
      <c r="K1739" s="7" t="inlineStr"/>
      <c r="L1739" s="9" t="n">
        <v>0</v>
      </c>
      <c r="M1739" s="9" t="n">
        <v>0</v>
      </c>
      <c r="N1739" s="9" t="n">
        <v>14</v>
      </c>
      <c r="O1739" s="7" t="inlineStr">
        <is>
          <t>HEL</t>
        </is>
      </c>
      <c r="P1739" s="7" t="inlineStr">
        <is>
          <t>CRITIQUE</t>
        </is>
      </c>
      <c r="Q1739" s="7" t="inlineStr">
        <is>
          <t>WHAP</t>
        </is>
      </c>
      <c r="R1739" s="7" t="inlineStr">
        <is>
          <t>OUI</t>
        </is>
      </c>
      <c r="S1739" s="7" t="inlineStr">
        <is>
          <t>31/08/2026 02:59</t>
        </is>
      </c>
    </row>
    <row r="1740">
      <c r="A1740" s="8" t="inlineStr">
        <is>
          <t>WHAP-1736</t>
        </is>
      </c>
      <c r="B1740" s="8" t="inlineStr">
        <is>
          <t>MOT-1736</t>
        </is>
      </c>
      <c r="C1740" s="8" t="inlineStr">
        <is>
          <t>module de coussinet de vilebrequin</t>
        </is>
      </c>
      <c r="D1740" s="8" t="inlineStr">
        <is>
          <t>Moteur</t>
        </is>
      </c>
      <c r="E1740" s="8" t="inlineStr">
        <is>
          <t>Moteur</t>
        </is>
      </c>
      <c r="F1740" s="8" t="inlineStr">
        <is>
          <t>PIECE_VEHICULE</t>
        </is>
      </c>
      <c r="G1740" s="8" t="inlineStr">
        <is>
          <t>unité</t>
        </is>
      </c>
      <c r="H1740" s="8" t="inlineStr">
        <is>
          <t>LARGE</t>
        </is>
      </c>
      <c r="I1740" s="8" t="n">
        <v>0</v>
      </c>
      <c r="J1740" s="8" t="inlineStr">
        <is>
          <t>B-06-02</t>
        </is>
      </c>
      <c r="K1740" s="8" t="inlineStr"/>
      <c r="L1740" s="10" t="n">
        <v>0</v>
      </c>
      <c r="M1740" s="10" t="n">
        <v>0</v>
      </c>
      <c r="N1740" s="10" t="n">
        <v>12</v>
      </c>
      <c r="O1740" s="8" t="inlineStr">
        <is>
          <t>SKF</t>
        </is>
      </c>
      <c r="P1740" s="8" t="inlineStr">
        <is>
          <t>CRITIQUE</t>
        </is>
      </c>
      <c r="Q1740" s="8" t="inlineStr">
        <is>
          <t>WHAP</t>
        </is>
      </c>
      <c r="R1740" s="8" t="inlineStr">
        <is>
          <t>OUI</t>
        </is>
      </c>
      <c r="S1740" s="8" t="inlineStr">
        <is>
          <t>31/08/2026 02:59</t>
        </is>
      </c>
    </row>
    <row r="1741">
      <c r="A1741" s="7" t="inlineStr">
        <is>
          <t>WHAP-1737</t>
        </is>
      </c>
      <c r="B1741" s="7" t="inlineStr">
        <is>
          <t>MOT-1737</t>
        </is>
      </c>
      <c r="C1741" s="7" t="inlineStr">
        <is>
          <t>câblage de coussinet de vilebrequin</t>
        </is>
      </c>
      <c r="D1741" s="7" t="inlineStr">
        <is>
          <t>Moteur</t>
        </is>
      </c>
      <c r="E1741" s="7" t="inlineStr">
        <is>
          <t>Moteur</t>
        </is>
      </c>
      <c r="F1741" s="7" t="inlineStr">
        <is>
          <t>PIECE_VEHICULE</t>
        </is>
      </c>
      <c r="G1741" s="7" t="inlineStr">
        <is>
          <t>unité</t>
        </is>
      </c>
      <c r="H1741" s="7" t="inlineStr">
        <is>
          <t>LARGE</t>
        </is>
      </c>
      <c r="I1741" s="7" t="n">
        <v>0</v>
      </c>
      <c r="J1741" s="7" t="inlineStr">
        <is>
          <t>F-06-01</t>
        </is>
      </c>
      <c r="K1741" s="7" t="inlineStr"/>
      <c r="L1741" s="9" t="n">
        <v>0</v>
      </c>
      <c r="M1741" s="9" t="n">
        <v>0</v>
      </c>
      <c r="N1741" s="9" t="n">
        <v>17</v>
      </c>
      <c r="O1741" s="7" t="inlineStr">
        <is>
          <t>CTL</t>
        </is>
      </c>
      <c r="P1741" s="7" t="inlineStr">
        <is>
          <t>CRITIQUE</t>
        </is>
      </c>
      <c r="Q1741" s="7" t="inlineStr">
        <is>
          <t>WHAP</t>
        </is>
      </c>
      <c r="R1741" s="7" t="inlineStr">
        <is>
          <t>OUI</t>
        </is>
      </c>
      <c r="S1741" s="7" t="inlineStr">
        <is>
          <t>31/08/2026 02:59</t>
        </is>
      </c>
    </row>
    <row r="1742">
      <c r="A1742" s="8" t="inlineStr">
        <is>
          <t>WHAP-1738</t>
        </is>
      </c>
      <c r="B1742" s="8" t="inlineStr">
        <is>
          <t>MOT-1738</t>
        </is>
      </c>
      <c r="C1742" s="8" t="inlineStr">
        <is>
          <t>connecteur de coussinet de vilebrequin</t>
        </is>
      </c>
      <c r="D1742" s="8" t="inlineStr">
        <is>
          <t>Moteur</t>
        </is>
      </c>
      <c r="E1742" s="8" t="inlineStr">
        <is>
          <t>Moteur</t>
        </is>
      </c>
      <c r="F1742" s="8" t="inlineStr">
        <is>
          <t>PIECE_VEHICULE</t>
        </is>
      </c>
      <c r="G1742" s="8" t="inlineStr">
        <is>
          <t>unité</t>
        </is>
      </c>
      <c r="H1742" s="8" t="inlineStr">
        <is>
          <t>LARGE</t>
        </is>
      </c>
      <c r="I1742" s="8" t="n">
        <v>0</v>
      </c>
      <c r="J1742" s="8" t="inlineStr">
        <is>
          <t>F-06-01</t>
        </is>
      </c>
      <c r="K1742" s="8" t="inlineStr"/>
      <c r="L1742" s="10" t="n">
        <v>0</v>
      </c>
      <c r="M1742" s="10" t="n">
        <v>0</v>
      </c>
      <c r="N1742" s="10" t="n">
        <v>16</v>
      </c>
      <c r="O1742" s="8" t="inlineStr">
        <is>
          <t>VAL</t>
        </is>
      </c>
      <c r="P1742" s="8" t="inlineStr">
        <is>
          <t>CRITIQUE</t>
        </is>
      </c>
      <c r="Q1742" s="8" t="inlineStr">
        <is>
          <t>WHAP</t>
        </is>
      </c>
      <c r="R1742" s="8" t="inlineStr">
        <is>
          <t>OUI</t>
        </is>
      </c>
      <c r="S1742" s="8" t="inlineStr">
        <is>
          <t>31/08/2026 02:59</t>
        </is>
      </c>
    </row>
    <row r="1743">
      <c r="A1743" s="7" t="inlineStr">
        <is>
          <t>WHAP-1739</t>
        </is>
      </c>
      <c r="B1743" s="7" t="inlineStr">
        <is>
          <t>MOT-1739</t>
        </is>
      </c>
      <c r="C1743" s="7" t="inlineStr">
        <is>
          <t>joint de coussinet de vilebrequin</t>
        </is>
      </c>
      <c r="D1743" s="7" t="inlineStr">
        <is>
          <t>Moteur</t>
        </is>
      </c>
      <c r="E1743" s="7" t="inlineStr">
        <is>
          <t>Moteur</t>
        </is>
      </c>
      <c r="F1743" s="7" t="inlineStr">
        <is>
          <t>PIECE_VEHICULE</t>
        </is>
      </c>
      <c r="G1743" s="7" t="inlineStr">
        <is>
          <t>unité</t>
        </is>
      </c>
      <c r="H1743" s="7" t="inlineStr">
        <is>
          <t>LARGE</t>
        </is>
      </c>
      <c r="I1743" s="7" t="n">
        <v>0</v>
      </c>
      <c r="J1743" s="7" t="inlineStr">
        <is>
          <t>A-04-01</t>
        </is>
      </c>
      <c r="K1743" s="7" t="inlineStr"/>
      <c r="L1743" s="9" t="n">
        <v>0</v>
      </c>
      <c r="M1743" s="9" t="n">
        <v>0</v>
      </c>
      <c r="N1743" s="9" t="n">
        <v>12</v>
      </c>
      <c r="O1743" s="7" t="inlineStr">
        <is>
          <t>HEL</t>
        </is>
      </c>
      <c r="P1743" s="7" t="inlineStr">
        <is>
          <t>CRITIQUE</t>
        </is>
      </c>
      <c r="Q1743" s="7" t="inlineStr">
        <is>
          <t>WHAP</t>
        </is>
      </c>
      <c r="R1743" s="7" t="inlineStr">
        <is>
          <t>OUI</t>
        </is>
      </c>
      <c r="S1743" s="7" t="inlineStr">
        <is>
          <t>31/08/2026 02:59</t>
        </is>
      </c>
    </row>
    <row r="1744">
      <c r="A1744" s="8" t="inlineStr">
        <is>
          <t>WHAP-1740</t>
        </is>
      </c>
      <c r="B1744" s="8" t="inlineStr">
        <is>
          <t>MOT-1740</t>
        </is>
      </c>
      <c r="C1744" s="8" t="inlineStr">
        <is>
          <t>fixation de coussinet de vilebrequin</t>
        </is>
      </c>
      <c r="D1744" s="8" t="inlineStr">
        <is>
          <t>Moteur</t>
        </is>
      </c>
      <c r="E1744" s="8" t="inlineStr">
        <is>
          <t>Moteur</t>
        </is>
      </c>
      <c r="F1744" s="8" t="inlineStr">
        <is>
          <t>PIECE_VEHICULE</t>
        </is>
      </c>
      <c r="G1744" s="8" t="inlineStr">
        <is>
          <t>unité</t>
        </is>
      </c>
      <c r="H1744" s="8" t="inlineStr">
        <is>
          <t>LARGE</t>
        </is>
      </c>
      <c r="I1744" s="8" t="n">
        <v>0</v>
      </c>
      <c r="J1744" s="8" t="inlineStr">
        <is>
          <t>C-04-01</t>
        </is>
      </c>
      <c r="K1744" s="8" t="inlineStr"/>
      <c r="L1744" s="10" t="n">
        <v>0</v>
      </c>
      <c r="M1744" s="10" t="n">
        <v>0</v>
      </c>
      <c r="N1744" s="10" t="n">
        <v>20</v>
      </c>
      <c r="O1744" s="8" t="inlineStr">
        <is>
          <t>SUM</t>
        </is>
      </c>
      <c r="P1744" s="8" t="inlineStr">
        <is>
          <t>CRITIQUE</t>
        </is>
      </c>
      <c r="Q1744" s="8" t="inlineStr">
        <is>
          <t>WHAP</t>
        </is>
      </c>
      <c r="R1744" s="8" t="inlineStr">
        <is>
          <t>OUI</t>
        </is>
      </c>
      <c r="S1744" s="8" t="inlineStr">
        <is>
          <t>31/08/2026 02:59</t>
        </is>
      </c>
    </row>
    <row r="1745">
      <c r="A1745" s="7" t="inlineStr">
        <is>
          <t>WHAP-1741</t>
        </is>
      </c>
      <c r="B1745" s="7" t="inlineStr">
        <is>
          <t>MOT-1741</t>
        </is>
      </c>
      <c r="C1745" s="7" t="inlineStr">
        <is>
          <t>protection de coussinet de vilebrequin</t>
        </is>
      </c>
      <c r="D1745" s="7" t="inlineStr">
        <is>
          <t>Moteur</t>
        </is>
      </c>
      <c r="E1745" s="7" t="inlineStr">
        <is>
          <t>Moteur</t>
        </is>
      </c>
      <c r="F1745" s="7" t="inlineStr">
        <is>
          <t>PIECE_VEHICULE</t>
        </is>
      </c>
      <c r="G1745" s="7" t="inlineStr">
        <is>
          <t>unité</t>
        </is>
      </c>
      <c r="H1745" s="7" t="inlineStr">
        <is>
          <t>LARGE</t>
        </is>
      </c>
      <c r="I1745" s="7" t="n">
        <v>0</v>
      </c>
      <c r="J1745" s="7" t="inlineStr">
        <is>
          <t>A-03-03</t>
        </is>
      </c>
      <c r="K1745" s="7" t="inlineStr"/>
      <c r="L1745" s="9" t="n">
        <v>0</v>
      </c>
      <c r="M1745" s="9" t="n">
        <v>0</v>
      </c>
      <c r="N1745" s="9" t="n">
        <v>12</v>
      </c>
      <c r="O1745" s="7" t="inlineStr">
        <is>
          <t>DEL</t>
        </is>
      </c>
      <c r="P1745" s="7" t="inlineStr">
        <is>
          <t>CRITIQUE</t>
        </is>
      </c>
      <c r="Q1745" s="7" t="inlineStr">
        <is>
          <t>WHAP</t>
        </is>
      </c>
      <c r="R1745" s="7" t="inlineStr">
        <is>
          <t>OUI</t>
        </is>
      </c>
      <c r="S1745" s="7" t="inlineStr">
        <is>
          <t>31/08/2026 02:59</t>
        </is>
      </c>
    </row>
    <row r="1746">
      <c r="A1746" s="8" t="inlineStr">
        <is>
          <t>WHAP-1742</t>
        </is>
      </c>
      <c r="B1746" s="8" t="inlineStr">
        <is>
          <t>MOT-1742</t>
        </is>
      </c>
      <c r="C1746" s="8" t="inlineStr">
        <is>
          <t>capteur de coussinet de vilebrequin</t>
        </is>
      </c>
      <c r="D1746" s="8" t="inlineStr">
        <is>
          <t>Moteur</t>
        </is>
      </c>
      <c r="E1746" s="8" t="inlineStr">
        <is>
          <t>Moteur</t>
        </is>
      </c>
      <c r="F1746" s="8" t="inlineStr">
        <is>
          <t>PIECE_VEHICULE</t>
        </is>
      </c>
      <c r="G1746" s="8" t="inlineStr">
        <is>
          <t>unité</t>
        </is>
      </c>
      <c r="H1746" s="8" t="inlineStr">
        <is>
          <t>LARGE</t>
        </is>
      </c>
      <c r="I1746" s="8" t="n">
        <v>0</v>
      </c>
      <c r="J1746" s="8" t="inlineStr">
        <is>
          <t>A-02-02</t>
        </is>
      </c>
      <c r="K1746" s="8" t="inlineStr"/>
      <c r="L1746" s="10" t="n">
        <v>0</v>
      </c>
      <c r="M1746" s="10" t="n">
        <v>0</v>
      </c>
      <c r="N1746" s="10" t="n">
        <v>14</v>
      </c>
      <c r="O1746" s="8" t="inlineStr">
        <is>
          <t>MAG</t>
        </is>
      </c>
      <c r="P1746" s="8" t="inlineStr">
        <is>
          <t>CRITIQUE</t>
        </is>
      </c>
      <c r="Q1746" s="8" t="inlineStr">
        <is>
          <t>WHAP</t>
        </is>
      </c>
      <c r="R1746" s="8" t="inlineStr">
        <is>
          <t>OUI</t>
        </is>
      </c>
      <c r="S1746" s="8" t="inlineStr">
        <is>
          <t>31/08/2026 02:59</t>
        </is>
      </c>
    </row>
    <row r="1747">
      <c r="A1747" s="7" t="inlineStr">
        <is>
          <t>WHAP-1743</t>
        </is>
      </c>
      <c r="B1747" s="7" t="inlineStr">
        <is>
          <t>MOT-1743</t>
        </is>
      </c>
      <c r="C1747" s="7" t="inlineStr">
        <is>
          <t>actionneur de coussinet de vilebrequin</t>
        </is>
      </c>
      <c r="D1747" s="7" t="inlineStr">
        <is>
          <t>Moteur</t>
        </is>
      </c>
      <c r="E1747" s="7" t="inlineStr">
        <is>
          <t>Moteur</t>
        </is>
      </c>
      <c r="F1747" s="7" t="inlineStr">
        <is>
          <t>PIECE_VEHICULE</t>
        </is>
      </c>
      <c r="G1747" s="7" t="inlineStr">
        <is>
          <t>unité</t>
        </is>
      </c>
      <c r="H1747" s="7" t="inlineStr">
        <is>
          <t>LARGE</t>
        </is>
      </c>
      <c r="I1747" s="7" t="n">
        <v>0</v>
      </c>
      <c r="J1747" s="7" t="inlineStr">
        <is>
          <t>B-02-04</t>
        </is>
      </c>
      <c r="K1747" s="7" t="inlineStr"/>
      <c r="L1747" s="9" t="n">
        <v>0</v>
      </c>
      <c r="M1747" s="9" t="n">
        <v>0</v>
      </c>
      <c r="N1747" s="9" t="n">
        <v>18</v>
      </c>
      <c r="O1747" s="7" t="inlineStr">
        <is>
          <t>YZK</t>
        </is>
      </c>
      <c r="P1747" s="7" t="inlineStr">
        <is>
          <t>CRITIQUE</t>
        </is>
      </c>
      <c r="Q1747" s="7" t="inlineStr">
        <is>
          <t>WHAP</t>
        </is>
      </c>
      <c r="R1747" s="7" t="inlineStr">
        <is>
          <t>OUI</t>
        </is>
      </c>
      <c r="S1747" s="7" t="inlineStr">
        <is>
          <t>31/08/2026 02:59</t>
        </is>
      </c>
    </row>
    <row r="1748">
      <c r="A1748" s="8" t="inlineStr">
        <is>
          <t>WHAP-1744</t>
        </is>
      </c>
      <c r="B1748" s="8" t="inlineStr">
        <is>
          <t>MOT-1744</t>
        </is>
      </c>
      <c r="C1748" s="8" t="inlineStr">
        <is>
          <t>raccord de coussinet de vilebrequin</t>
        </is>
      </c>
      <c r="D1748" s="8" t="inlineStr">
        <is>
          <t>Moteur</t>
        </is>
      </c>
      <c r="E1748" s="8" t="inlineStr">
        <is>
          <t>Moteur</t>
        </is>
      </c>
      <c r="F1748" s="8" t="inlineStr">
        <is>
          <t>PIECE_VEHICULE</t>
        </is>
      </c>
      <c r="G1748" s="8" t="inlineStr">
        <is>
          <t>unité</t>
        </is>
      </c>
      <c r="H1748" s="8" t="inlineStr">
        <is>
          <t>LARGE</t>
        </is>
      </c>
      <c r="I1748" s="8" t="n">
        <v>0</v>
      </c>
      <c r="J1748" s="8" t="inlineStr">
        <is>
          <t>E-05-03</t>
        </is>
      </c>
      <c r="K1748" s="8" t="inlineStr"/>
      <c r="L1748" s="10" t="n">
        <v>0</v>
      </c>
      <c r="M1748" s="10" t="n">
        <v>0</v>
      </c>
      <c r="N1748" s="10" t="n">
        <v>17</v>
      </c>
      <c r="O1748" s="8" t="inlineStr">
        <is>
          <t>SUM</t>
        </is>
      </c>
      <c r="P1748" s="8" t="inlineStr">
        <is>
          <t>CRITIQUE</t>
        </is>
      </c>
      <c r="Q1748" s="8" t="inlineStr">
        <is>
          <t>WHAP</t>
        </is>
      </c>
      <c r="R1748" s="8" t="inlineStr">
        <is>
          <t>OUI</t>
        </is>
      </c>
      <c r="S1748" s="8" t="inlineStr">
        <is>
          <t>31/08/2026 02:59</t>
        </is>
      </c>
    </row>
    <row r="1749">
      <c r="A1749" s="7" t="inlineStr">
        <is>
          <t>WHAP-1745</t>
        </is>
      </c>
      <c r="B1749" s="7" t="inlineStr">
        <is>
          <t>MOT-1745</t>
        </is>
      </c>
      <c r="C1749" s="7" t="inlineStr">
        <is>
          <t>plaque de coussinet de vilebrequin</t>
        </is>
      </c>
      <c r="D1749" s="7" t="inlineStr">
        <is>
          <t>Moteur</t>
        </is>
      </c>
      <c r="E1749" s="7" t="inlineStr">
        <is>
          <t>Moteur</t>
        </is>
      </c>
      <c r="F1749" s="7" t="inlineStr">
        <is>
          <t>PIECE_VEHICULE</t>
        </is>
      </c>
      <c r="G1749" s="7" t="inlineStr">
        <is>
          <t>unité</t>
        </is>
      </c>
      <c r="H1749" s="7" t="inlineStr">
        <is>
          <t>LARGE</t>
        </is>
      </c>
      <c r="I1749" s="7" t="n">
        <v>0</v>
      </c>
      <c r="J1749" s="7" t="inlineStr">
        <is>
          <t>B-04-04</t>
        </is>
      </c>
      <c r="K1749" s="7" t="inlineStr"/>
      <c r="L1749" s="9" t="n">
        <v>0</v>
      </c>
      <c r="M1749" s="9" t="n">
        <v>0</v>
      </c>
      <c r="N1749" s="9" t="n">
        <v>18</v>
      </c>
      <c r="O1749" s="7" t="inlineStr">
        <is>
          <t>VAL</t>
        </is>
      </c>
      <c r="P1749" s="7" t="inlineStr">
        <is>
          <t>CRITIQUE</t>
        </is>
      </c>
      <c r="Q1749" s="7" t="inlineStr">
        <is>
          <t>WHAP</t>
        </is>
      </c>
      <c r="R1749" s="7" t="inlineStr">
        <is>
          <t>OUI</t>
        </is>
      </c>
      <c r="S1749" s="7" t="inlineStr">
        <is>
          <t>31/08/2026 02:59</t>
        </is>
      </c>
    </row>
    <row r="1750">
      <c r="A1750" s="8" t="inlineStr">
        <is>
          <t>WHAP-1746</t>
        </is>
      </c>
      <c r="B1750" s="8" t="inlineStr">
        <is>
          <t>MOT-1746</t>
        </is>
      </c>
      <c r="C1750" s="8" t="inlineStr">
        <is>
          <t>couvercle de coussinet de vilebrequin</t>
        </is>
      </c>
      <c r="D1750" s="8" t="inlineStr">
        <is>
          <t>Moteur</t>
        </is>
      </c>
      <c r="E1750" s="8" t="inlineStr">
        <is>
          <t>Moteur</t>
        </is>
      </c>
      <c r="F1750" s="8" t="inlineStr">
        <is>
          <t>PIECE_VEHICULE</t>
        </is>
      </c>
      <c r="G1750" s="8" t="inlineStr">
        <is>
          <t>unité</t>
        </is>
      </c>
      <c r="H1750" s="8" t="inlineStr">
        <is>
          <t>LARGE</t>
        </is>
      </c>
      <c r="I1750" s="8" t="n">
        <v>0</v>
      </c>
      <c r="J1750" s="8" t="inlineStr">
        <is>
          <t>C-06-04</t>
        </is>
      </c>
      <c r="K1750" s="8" t="inlineStr"/>
      <c r="L1750" s="10" t="n">
        <v>0</v>
      </c>
      <c r="M1750" s="10" t="n">
        <v>0</v>
      </c>
      <c r="N1750" s="10" t="n">
        <v>18</v>
      </c>
      <c r="O1750" s="8" t="inlineStr">
        <is>
          <t>HEL</t>
        </is>
      </c>
      <c r="P1750" s="8" t="inlineStr">
        <is>
          <t>CRITIQUE</t>
        </is>
      </c>
      <c r="Q1750" s="8" t="inlineStr">
        <is>
          <t>WHAP</t>
        </is>
      </c>
      <c r="R1750" s="8" t="inlineStr">
        <is>
          <t>OUI</t>
        </is>
      </c>
      <c r="S1750" s="8" t="inlineStr">
        <is>
          <t>31/08/2026 02:59</t>
        </is>
      </c>
    </row>
    <row r="1751">
      <c r="A1751" s="7" t="inlineStr">
        <is>
          <t>WHAP-1747</t>
        </is>
      </c>
      <c r="B1751" s="7" t="inlineStr">
        <is>
          <t>MOT-1747</t>
        </is>
      </c>
      <c r="C1751" s="7" t="inlineStr">
        <is>
          <t>bague de coussinet de vilebrequin</t>
        </is>
      </c>
      <c r="D1751" s="7" t="inlineStr">
        <is>
          <t>Moteur</t>
        </is>
      </c>
      <c r="E1751" s="7" t="inlineStr">
        <is>
          <t>Moteur</t>
        </is>
      </c>
      <c r="F1751" s="7" t="inlineStr">
        <is>
          <t>PIECE_VEHICULE</t>
        </is>
      </c>
      <c r="G1751" s="7" t="inlineStr">
        <is>
          <t>unité</t>
        </is>
      </c>
      <c r="H1751" s="7" t="inlineStr">
        <is>
          <t>LARGE</t>
        </is>
      </c>
      <c r="I1751" s="7" t="n">
        <v>0</v>
      </c>
      <c r="J1751" s="7" t="inlineStr">
        <is>
          <t>D-04-03</t>
        </is>
      </c>
      <c r="K1751" s="7" t="inlineStr"/>
      <c r="L1751" s="9" t="n">
        <v>0</v>
      </c>
      <c r="M1751" s="9" t="n">
        <v>0</v>
      </c>
      <c r="N1751" s="9" t="n">
        <v>20</v>
      </c>
      <c r="O1751" s="7" t="inlineStr">
        <is>
          <t>FAU</t>
        </is>
      </c>
      <c r="P1751" s="7" t="inlineStr">
        <is>
          <t>CRITIQUE</t>
        </is>
      </c>
      <c r="Q1751" s="7" t="inlineStr">
        <is>
          <t>WHAP</t>
        </is>
      </c>
      <c r="R1751" s="7" t="inlineStr">
        <is>
          <t>OUI</t>
        </is>
      </c>
      <c r="S1751" s="7" t="inlineStr">
        <is>
          <t>31/08/2026 02:59</t>
        </is>
      </c>
    </row>
    <row r="1752">
      <c r="A1752" s="8" t="inlineStr">
        <is>
          <t>WHAP-1748</t>
        </is>
      </c>
      <c r="B1752" s="8" t="inlineStr">
        <is>
          <t>MOT-1748</t>
        </is>
      </c>
      <c r="C1752" s="8" t="inlineStr">
        <is>
          <t>entretoise de coussinet de vilebrequin</t>
        </is>
      </c>
      <c r="D1752" s="8" t="inlineStr">
        <is>
          <t>Moteur</t>
        </is>
      </c>
      <c r="E1752" s="8" t="inlineStr">
        <is>
          <t>Moteur</t>
        </is>
      </c>
      <c r="F1752" s="8" t="inlineStr">
        <is>
          <t>PIECE_VEHICULE</t>
        </is>
      </c>
      <c r="G1752" s="8" t="inlineStr">
        <is>
          <t>unité</t>
        </is>
      </c>
      <c r="H1752" s="8" t="inlineStr">
        <is>
          <t>LARGE</t>
        </is>
      </c>
      <c r="I1752" s="8" t="n">
        <v>0</v>
      </c>
      <c r="J1752" s="8" t="inlineStr">
        <is>
          <t>C-02-02</t>
        </is>
      </c>
      <c r="K1752" s="8" t="inlineStr"/>
      <c r="L1752" s="10" t="n">
        <v>0</v>
      </c>
      <c r="M1752" s="10" t="n">
        <v>0</v>
      </c>
      <c r="N1752" s="10" t="n">
        <v>19</v>
      </c>
      <c r="O1752" s="8" t="inlineStr">
        <is>
          <t>DEL</t>
        </is>
      </c>
      <c r="P1752" s="8" t="inlineStr">
        <is>
          <t>CRITIQUE</t>
        </is>
      </c>
      <c r="Q1752" s="8" t="inlineStr">
        <is>
          <t>WHAP</t>
        </is>
      </c>
      <c r="R1752" s="8" t="inlineStr">
        <is>
          <t>OUI</t>
        </is>
      </c>
      <c r="S1752" s="8" t="inlineStr">
        <is>
          <t>31/08/2026 02:59</t>
        </is>
      </c>
    </row>
    <row r="1753">
      <c r="A1753" s="7" t="inlineStr">
        <is>
          <t>WHAP-1749</t>
        </is>
      </c>
      <c r="B1753" s="7" t="inlineStr">
        <is>
          <t>MOT-1749</t>
        </is>
      </c>
      <c r="C1753" s="7" t="inlineStr">
        <is>
          <t>axe de coussinet de vilebrequin</t>
        </is>
      </c>
      <c r="D1753" s="7" t="inlineStr">
        <is>
          <t>Moteur</t>
        </is>
      </c>
      <c r="E1753" s="7" t="inlineStr">
        <is>
          <t>Moteur</t>
        </is>
      </c>
      <c r="F1753" s="7" t="inlineStr">
        <is>
          <t>PIECE_VEHICULE</t>
        </is>
      </c>
      <c r="G1753" s="7" t="inlineStr">
        <is>
          <t>unité</t>
        </is>
      </c>
      <c r="H1753" s="7" t="inlineStr">
        <is>
          <t>LARGE</t>
        </is>
      </c>
      <c r="I1753" s="7" t="n">
        <v>0</v>
      </c>
      <c r="J1753" s="7" t="inlineStr">
        <is>
          <t>E-05-04</t>
        </is>
      </c>
      <c r="K1753" s="7" t="inlineStr"/>
      <c r="L1753" s="9" t="n">
        <v>0</v>
      </c>
      <c r="M1753" s="9" t="n">
        <v>0</v>
      </c>
      <c r="N1753" s="9" t="n">
        <v>16</v>
      </c>
      <c r="O1753" s="7" t="inlineStr">
        <is>
          <t>SUM</t>
        </is>
      </c>
      <c r="P1753" s="7" t="inlineStr">
        <is>
          <t>CRITIQUE</t>
        </is>
      </c>
      <c r="Q1753" s="7" t="inlineStr">
        <is>
          <t>WHAP</t>
        </is>
      </c>
      <c r="R1753" s="7" t="inlineStr">
        <is>
          <t>OUI</t>
        </is>
      </c>
      <c r="S1753" s="7" t="inlineStr">
        <is>
          <t>31/08/2026 02:59</t>
        </is>
      </c>
    </row>
    <row r="1754">
      <c r="A1754" s="8" t="inlineStr">
        <is>
          <t>WHAP-1750</t>
        </is>
      </c>
      <c r="B1754" s="8" t="inlineStr">
        <is>
          <t>MOT-1750</t>
        </is>
      </c>
      <c r="C1754" s="8" t="inlineStr">
        <is>
          <t>poulie de coussinet de vilebrequin</t>
        </is>
      </c>
      <c r="D1754" s="8" t="inlineStr">
        <is>
          <t>Moteur</t>
        </is>
      </c>
      <c r="E1754" s="8" t="inlineStr">
        <is>
          <t>Moteur</t>
        </is>
      </c>
      <c r="F1754" s="8" t="inlineStr">
        <is>
          <t>PIECE_VEHICULE</t>
        </is>
      </c>
      <c r="G1754" s="8" t="inlineStr">
        <is>
          <t>unité</t>
        </is>
      </c>
      <c r="H1754" s="8" t="inlineStr">
        <is>
          <t>LARGE</t>
        </is>
      </c>
      <c r="I1754" s="8" t="n">
        <v>0</v>
      </c>
      <c r="J1754" s="8" t="inlineStr">
        <is>
          <t>D-06-01</t>
        </is>
      </c>
      <c r="K1754" s="8" t="inlineStr"/>
      <c r="L1754" s="10" t="n">
        <v>0</v>
      </c>
      <c r="M1754" s="10" t="n">
        <v>0</v>
      </c>
      <c r="N1754" s="10" t="n">
        <v>12</v>
      </c>
      <c r="O1754" s="8" t="inlineStr">
        <is>
          <t>SKF</t>
        </is>
      </c>
      <c r="P1754" s="8" t="inlineStr">
        <is>
          <t>CRITIQUE</t>
        </is>
      </c>
      <c r="Q1754" s="8" t="inlineStr">
        <is>
          <t>WHAP</t>
        </is>
      </c>
      <c r="R1754" s="8" t="inlineStr">
        <is>
          <t>OUI</t>
        </is>
      </c>
      <c r="S1754" s="8" t="inlineStr">
        <is>
          <t>31/08/2026 02:59</t>
        </is>
      </c>
    </row>
    <row r="1755">
      <c r="A1755" s="7" t="inlineStr">
        <is>
          <t>WHAP-1751</t>
        </is>
      </c>
      <c r="B1755" s="7" t="inlineStr">
        <is>
          <t>MOT-1751</t>
        </is>
      </c>
      <c r="C1755" s="7" t="inlineStr">
        <is>
          <t>pignon de coussinet de vilebrequin</t>
        </is>
      </c>
      <c r="D1755" s="7" t="inlineStr">
        <is>
          <t>Moteur</t>
        </is>
      </c>
      <c r="E1755" s="7" t="inlineStr">
        <is>
          <t>Moteur</t>
        </is>
      </c>
      <c r="F1755" s="7" t="inlineStr">
        <is>
          <t>PIECE_VEHICULE</t>
        </is>
      </c>
      <c r="G1755" s="7" t="inlineStr">
        <is>
          <t>unité</t>
        </is>
      </c>
      <c r="H1755" s="7" t="inlineStr">
        <is>
          <t>LARGE</t>
        </is>
      </c>
      <c r="I1755" s="7" t="n">
        <v>0</v>
      </c>
      <c r="J1755" s="7" t="inlineStr">
        <is>
          <t>F-02-03</t>
        </is>
      </c>
      <c r="K1755" s="7" t="inlineStr"/>
      <c r="L1755" s="9" t="n">
        <v>0</v>
      </c>
      <c r="M1755" s="9" t="n">
        <v>0</v>
      </c>
      <c r="N1755" s="9" t="n">
        <v>12</v>
      </c>
      <c r="O1755" s="7" t="inlineStr">
        <is>
          <t>FAU</t>
        </is>
      </c>
      <c r="P1755" s="7" t="inlineStr">
        <is>
          <t>CRITIQUE</t>
        </is>
      </c>
      <c r="Q1755" s="7" t="inlineStr">
        <is>
          <t>WHAP</t>
        </is>
      </c>
      <c r="R1755" s="7" t="inlineStr">
        <is>
          <t>OUI</t>
        </is>
      </c>
      <c r="S1755" s="7" t="inlineStr">
        <is>
          <t>31/08/2026 02:59</t>
        </is>
      </c>
    </row>
    <row r="1756">
      <c r="A1756" s="8" t="inlineStr">
        <is>
          <t>WHAP-1752</t>
        </is>
      </c>
      <c r="B1756" s="8" t="inlineStr">
        <is>
          <t>MOT-1752</t>
        </is>
      </c>
      <c r="C1756" s="8" t="inlineStr">
        <is>
          <t>ensemble de bielle</t>
        </is>
      </c>
      <c r="D1756" s="8" t="inlineStr">
        <is>
          <t>Moteur</t>
        </is>
      </c>
      <c r="E1756" s="8" t="inlineStr">
        <is>
          <t>Moteur</t>
        </is>
      </c>
      <c r="F1756" s="8" t="inlineStr">
        <is>
          <t>PIECE_VEHICULE</t>
        </is>
      </c>
      <c r="G1756" s="8" t="inlineStr">
        <is>
          <t>unité</t>
        </is>
      </c>
      <c r="H1756" s="8" t="inlineStr">
        <is>
          <t>LARGE</t>
        </is>
      </c>
      <c r="I1756" s="8" t="n">
        <v>0</v>
      </c>
      <c r="J1756" s="8" t="inlineStr">
        <is>
          <t>A-06-03</t>
        </is>
      </c>
      <c r="K1756" s="8" t="inlineStr"/>
      <c r="L1756" s="10" t="n">
        <v>0</v>
      </c>
      <c r="M1756" s="10" t="n">
        <v>0</v>
      </c>
      <c r="N1756" s="10" t="n">
        <v>13</v>
      </c>
      <c r="O1756" s="8" t="inlineStr">
        <is>
          <t>SUM</t>
        </is>
      </c>
      <c r="P1756" s="8" t="inlineStr">
        <is>
          <t>CRITIQUE</t>
        </is>
      </c>
      <c r="Q1756" s="8" t="inlineStr">
        <is>
          <t>WHAP</t>
        </is>
      </c>
      <c r="R1756" s="8" t="inlineStr">
        <is>
          <t>OUI</t>
        </is>
      </c>
      <c r="S1756" s="8" t="inlineStr">
        <is>
          <t>31/08/2026 02:59</t>
        </is>
      </c>
    </row>
    <row r="1757">
      <c r="A1757" s="7" t="inlineStr">
        <is>
          <t>WHAP-1753</t>
        </is>
      </c>
      <c r="B1757" s="7" t="inlineStr">
        <is>
          <t>MOT-1753</t>
        </is>
      </c>
      <c r="C1757" s="7" t="inlineStr">
        <is>
          <t>kit de bielle</t>
        </is>
      </c>
      <c r="D1757" s="7" t="inlineStr">
        <is>
          <t>Moteur</t>
        </is>
      </c>
      <c r="E1757" s="7" t="inlineStr">
        <is>
          <t>Moteur</t>
        </is>
      </c>
      <c r="F1757" s="7" t="inlineStr">
        <is>
          <t>PIECE_VEHICULE</t>
        </is>
      </c>
      <c r="G1757" s="7" t="inlineStr">
        <is>
          <t>unité</t>
        </is>
      </c>
      <c r="H1757" s="7" t="inlineStr">
        <is>
          <t>LARGE</t>
        </is>
      </c>
      <c r="I1757" s="7" t="n">
        <v>0</v>
      </c>
      <c r="J1757" s="7" t="inlineStr">
        <is>
          <t>E-02-04</t>
        </is>
      </c>
      <c r="K1757" s="7" t="inlineStr"/>
      <c r="L1757" s="9" t="n">
        <v>0</v>
      </c>
      <c r="M1757" s="9" t="n">
        <v>0</v>
      </c>
      <c r="N1757" s="9" t="n">
        <v>12</v>
      </c>
      <c r="O1757" s="7" t="inlineStr">
        <is>
          <t>HEL</t>
        </is>
      </c>
      <c r="P1757" s="7" t="inlineStr">
        <is>
          <t>CRITIQUE</t>
        </is>
      </c>
      <c r="Q1757" s="7" t="inlineStr">
        <is>
          <t>WHAP</t>
        </is>
      </c>
      <c r="R1757" s="7" t="inlineStr">
        <is>
          <t>OUI</t>
        </is>
      </c>
      <c r="S1757" s="7" t="inlineStr">
        <is>
          <t>31/08/2026 02:59</t>
        </is>
      </c>
    </row>
    <row r="1758">
      <c r="A1758" s="8" t="inlineStr">
        <is>
          <t>WHAP-1754</t>
        </is>
      </c>
      <c r="B1758" s="8" t="inlineStr">
        <is>
          <t>MOT-1754</t>
        </is>
      </c>
      <c r="C1758" s="8" t="inlineStr">
        <is>
          <t>support de bielle</t>
        </is>
      </c>
      <c r="D1758" s="8" t="inlineStr">
        <is>
          <t>Moteur</t>
        </is>
      </c>
      <c r="E1758" s="8" t="inlineStr">
        <is>
          <t>Moteur</t>
        </is>
      </c>
      <c r="F1758" s="8" t="inlineStr">
        <is>
          <t>PIECE_VEHICULE</t>
        </is>
      </c>
      <c r="G1758" s="8" t="inlineStr">
        <is>
          <t>unité</t>
        </is>
      </c>
      <c r="H1758" s="8" t="inlineStr">
        <is>
          <t>LARGE</t>
        </is>
      </c>
      <c r="I1758" s="8" t="n">
        <v>0</v>
      </c>
      <c r="J1758" s="8" t="inlineStr">
        <is>
          <t>A-01-04</t>
        </is>
      </c>
      <c r="K1758" s="8" t="inlineStr"/>
      <c r="L1758" s="10" t="n">
        <v>0</v>
      </c>
      <c r="M1758" s="10" t="n">
        <v>0</v>
      </c>
      <c r="N1758" s="10" t="n">
        <v>13</v>
      </c>
      <c r="O1758" s="8" t="inlineStr">
        <is>
          <t>DEL</t>
        </is>
      </c>
      <c r="P1758" s="8" t="inlineStr">
        <is>
          <t>CRITIQUE</t>
        </is>
      </c>
      <c r="Q1758" s="8" t="inlineStr">
        <is>
          <t>WHAP</t>
        </is>
      </c>
      <c r="R1758" s="8" t="inlineStr">
        <is>
          <t>OUI</t>
        </is>
      </c>
      <c r="S1758" s="8" t="inlineStr">
        <is>
          <t>31/08/2026 02:59</t>
        </is>
      </c>
    </row>
    <row r="1759">
      <c r="A1759" s="7" t="inlineStr">
        <is>
          <t>WHAP-1755</t>
        </is>
      </c>
      <c r="B1759" s="7" t="inlineStr">
        <is>
          <t>MOT-1755</t>
        </is>
      </c>
      <c r="C1759" s="7" t="inlineStr">
        <is>
          <t>boîtier de bielle</t>
        </is>
      </c>
      <c r="D1759" s="7" t="inlineStr">
        <is>
          <t>Moteur</t>
        </is>
      </c>
      <c r="E1759" s="7" t="inlineStr">
        <is>
          <t>Moteur</t>
        </is>
      </c>
      <c r="F1759" s="7" t="inlineStr">
        <is>
          <t>PIECE_VEHICULE</t>
        </is>
      </c>
      <c r="G1759" s="7" t="inlineStr">
        <is>
          <t>unité</t>
        </is>
      </c>
      <c r="H1759" s="7" t="inlineStr">
        <is>
          <t>LARGE</t>
        </is>
      </c>
      <c r="I1759" s="7" t="n">
        <v>0</v>
      </c>
      <c r="J1759" s="7" t="inlineStr">
        <is>
          <t>A-04-04</t>
        </is>
      </c>
      <c r="K1759" s="7" t="inlineStr"/>
      <c r="L1759" s="9" t="n">
        <v>0</v>
      </c>
      <c r="M1759" s="9" t="n">
        <v>0</v>
      </c>
      <c r="N1759" s="9" t="n">
        <v>12</v>
      </c>
      <c r="O1759" s="7" t="inlineStr">
        <is>
          <t>DEL</t>
        </is>
      </c>
      <c r="P1759" s="7" t="inlineStr">
        <is>
          <t>CRITIQUE</t>
        </is>
      </c>
      <c r="Q1759" s="7" t="inlineStr">
        <is>
          <t>WHAP</t>
        </is>
      </c>
      <c r="R1759" s="7" t="inlineStr">
        <is>
          <t>OUI</t>
        </is>
      </c>
      <c r="S1759" s="7" t="inlineStr">
        <is>
          <t>31/08/2026 02:59</t>
        </is>
      </c>
    </row>
    <row r="1760">
      <c r="A1760" s="8" t="inlineStr">
        <is>
          <t>WHAP-1756</t>
        </is>
      </c>
      <c r="B1760" s="8" t="inlineStr">
        <is>
          <t>MOT-1756</t>
        </is>
      </c>
      <c r="C1760" s="8" t="inlineStr">
        <is>
          <t>module de bielle</t>
        </is>
      </c>
      <c r="D1760" s="8" t="inlineStr">
        <is>
          <t>Moteur</t>
        </is>
      </c>
      <c r="E1760" s="8" t="inlineStr">
        <is>
          <t>Moteur</t>
        </is>
      </c>
      <c r="F1760" s="8" t="inlineStr">
        <is>
          <t>PIECE_VEHICULE</t>
        </is>
      </c>
      <c r="G1760" s="8" t="inlineStr">
        <is>
          <t>unité</t>
        </is>
      </c>
      <c r="H1760" s="8" t="inlineStr">
        <is>
          <t>LARGE</t>
        </is>
      </c>
      <c r="I1760" s="8" t="n">
        <v>0</v>
      </c>
      <c r="J1760" s="8" t="inlineStr">
        <is>
          <t>E-01-01</t>
        </is>
      </c>
      <c r="K1760" s="8" t="inlineStr"/>
      <c r="L1760" s="10" t="n">
        <v>0</v>
      </c>
      <c r="M1760" s="10" t="n">
        <v>0</v>
      </c>
      <c r="N1760" s="10" t="n">
        <v>19</v>
      </c>
      <c r="O1760" s="8" t="inlineStr">
        <is>
          <t>BOS</t>
        </is>
      </c>
      <c r="P1760" s="8" t="inlineStr">
        <is>
          <t>CRITIQUE</t>
        </is>
      </c>
      <c r="Q1760" s="8" t="inlineStr">
        <is>
          <t>WHAP</t>
        </is>
      </c>
      <c r="R1760" s="8" t="inlineStr">
        <is>
          <t>OUI</t>
        </is>
      </c>
      <c r="S1760" s="8" t="inlineStr">
        <is>
          <t>31/08/2026 02:59</t>
        </is>
      </c>
    </row>
    <row r="1761">
      <c r="A1761" s="7" t="inlineStr">
        <is>
          <t>WHAP-1757</t>
        </is>
      </c>
      <c r="B1761" s="7" t="inlineStr">
        <is>
          <t>MOT-1757</t>
        </is>
      </c>
      <c r="C1761" s="7" t="inlineStr">
        <is>
          <t>câblage de bielle</t>
        </is>
      </c>
      <c r="D1761" s="7" t="inlineStr">
        <is>
          <t>Moteur</t>
        </is>
      </c>
      <c r="E1761" s="7" t="inlineStr">
        <is>
          <t>Moteur</t>
        </is>
      </c>
      <c r="F1761" s="7" t="inlineStr">
        <is>
          <t>PIECE_VEHICULE</t>
        </is>
      </c>
      <c r="G1761" s="7" t="inlineStr">
        <is>
          <t>unité</t>
        </is>
      </c>
      <c r="H1761" s="7" t="inlineStr">
        <is>
          <t>LARGE</t>
        </is>
      </c>
      <c r="I1761" s="7" t="n">
        <v>0</v>
      </c>
      <c r="J1761" s="7" t="inlineStr">
        <is>
          <t>C-05-04</t>
        </is>
      </c>
      <c r="K1761" s="7" t="inlineStr"/>
      <c r="L1761" s="9" t="n">
        <v>0</v>
      </c>
      <c r="M1761" s="9" t="n">
        <v>0</v>
      </c>
      <c r="N1761" s="9" t="n">
        <v>14</v>
      </c>
      <c r="O1761" s="7" t="inlineStr">
        <is>
          <t>BOS</t>
        </is>
      </c>
      <c r="P1761" s="7" t="inlineStr">
        <is>
          <t>CRITIQUE</t>
        </is>
      </c>
      <c r="Q1761" s="7" t="inlineStr">
        <is>
          <t>WHAP</t>
        </is>
      </c>
      <c r="R1761" s="7" t="inlineStr">
        <is>
          <t>OUI</t>
        </is>
      </c>
      <c r="S1761" s="7" t="inlineStr">
        <is>
          <t>31/08/2026 02:59</t>
        </is>
      </c>
    </row>
    <row r="1762">
      <c r="A1762" s="8" t="inlineStr">
        <is>
          <t>WHAP-1758</t>
        </is>
      </c>
      <c r="B1762" s="8" t="inlineStr">
        <is>
          <t>MOT-1758</t>
        </is>
      </c>
      <c r="C1762" s="8" t="inlineStr">
        <is>
          <t>connecteur de bielle</t>
        </is>
      </c>
      <c r="D1762" s="8" t="inlineStr">
        <is>
          <t>Moteur</t>
        </is>
      </c>
      <c r="E1762" s="8" t="inlineStr">
        <is>
          <t>Moteur</t>
        </is>
      </c>
      <c r="F1762" s="8" t="inlineStr">
        <is>
          <t>PIECE_VEHICULE</t>
        </is>
      </c>
      <c r="G1762" s="8" t="inlineStr">
        <is>
          <t>unité</t>
        </is>
      </c>
      <c r="H1762" s="8" t="inlineStr">
        <is>
          <t>LARGE</t>
        </is>
      </c>
      <c r="I1762" s="8" t="n">
        <v>0</v>
      </c>
      <c r="J1762" s="8" t="inlineStr">
        <is>
          <t>B-02-04</t>
        </is>
      </c>
      <c r="K1762" s="8" t="inlineStr"/>
      <c r="L1762" s="10" t="n">
        <v>0</v>
      </c>
      <c r="M1762" s="10" t="n">
        <v>0</v>
      </c>
      <c r="N1762" s="10" t="n">
        <v>15</v>
      </c>
      <c r="O1762" s="8" t="inlineStr">
        <is>
          <t>VAL</t>
        </is>
      </c>
      <c r="P1762" s="8" t="inlineStr">
        <is>
          <t>CRITIQUE</t>
        </is>
      </c>
      <c r="Q1762" s="8" t="inlineStr">
        <is>
          <t>WHAP</t>
        </is>
      </c>
      <c r="R1762" s="8" t="inlineStr">
        <is>
          <t>OUI</t>
        </is>
      </c>
      <c r="S1762" s="8" t="inlineStr">
        <is>
          <t>31/08/2026 02:59</t>
        </is>
      </c>
    </row>
    <row r="1763">
      <c r="A1763" s="7" t="inlineStr">
        <is>
          <t>WHAP-1759</t>
        </is>
      </c>
      <c r="B1763" s="7" t="inlineStr">
        <is>
          <t>MOT-1759</t>
        </is>
      </c>
      <c r="C1763" s="7" t="inlineStr">
        <is>
          <t>joint de bielle</t>
        </is>
      </c>
      <c r="D1763" s="7" t="inlineStr">
        <is>
          <t>Moteur</t>
        </is>
      </c>
      <c r="E1763" s="7" t="inlineStr">
        <is>
          <t>Moteur</t>
        </is>
      </c>
      <c r="F1763" s="7" t="inlineStr">
        <is>
          <t>PIECE_VEHICULE</t>
        </is>
      </c>
      <c r="G1763" s="7" t="inlineStr">
        <is>
          <t>unité</t>
        </is>
      </c>
      <c r="H1763" s="7" t="inlineStr">
        <is>
          <t>LARGE</t>
        </is>
      </c>
      <c r="I1763" s="7" t="n">
        <v>0</v>
      </c>
      <c r="J1763" s="7" t="inlineStr">
        <is>
          <t>F-03-04</t>
        </is>
      </c>
      <c r="K1763" s="7" t="inlineStr"/>
      <c r="L1763" s="9" t="n">
        <v>0</v>
      </c>
      <c r="M1763" s="9" t="n">
        <v>0</v>
      </c>
      <c r="N1763" s="9" t="n">
        <v>14</v>
      </c>
      <c r="O1763" s="7" t="inlineStr">
        <is>
          <t>FAU</t>
        </is>
      </c>
      <c r="P1763" s="7" t="inlineStr">
        <is>
          <t>CRITIQUE</t>
        </is>
      </c>
      <c r="Q1763" s="7" t="inlineStr">
        <is>
          <t>WHAP</t>
        </is>
      </c>
      <c r="R1763" s="7" t="inlineStr">
        <is>
          <t>OUI</t>
        </is>
      </c>
      <c r="S1763" s="7" t="inlineStr">
        <is>
          <t>31/08/2026 02:59</t>
        </is>
      </c>
    </row>
    <row r="1764">
      <c r="A1764" s="8" t="inlineStr">
        <is>
          <t>WHAP-1760</t>
        </is>
      </c>
      <c r="B1764" s="8" t="inlineStr">
        <is>
          <t>MOT-1760</t>
        </is>
      </c>
      <c r="C1764" s="8" t="inlineStr">
        <is>
          <t>fixation de bielle</t>
        </is>
      </c>
      <c r="D1764" s="8" t="inlineStr">
        <is>
          <t>Moteur</t>
        </is>
      </c>
      <c r="E1764" s="8" t="inlineStr">
        <is>
          <t>Moteur</t>
        </is>
      </c>
      <c r="F1764" s="8" t="inlineStr">
        <is>
          <t>PIECE_VEHICULE</t>
        </is>
      </c>
      <c r="G1764" s="8" t="inlineStr">
        <is>
          <t>unité</t>
        </is>
      </c>
      <c r="H1764" s="8" t="inlineStr">
        <is>
          <t>LARGE</t>
        </is>
      </c>
      <c r="I1764" s="8" t="n">
        <v>0</v>
      </c>
      <c r="J1764" s="8" t="inlineStr">
        <is>
          <t>C-02-02</t>
        </is>
      </c>
      <c r="K1764" s="8" t="inlineStr"/>
      <c r="L1764" s="10" t="n">
        <v>0</v>
      </c>
      <c r="M1764" s="10" t="n">
        <v>0</v>
      </c>
      <c r="N1764" s="10" t="n">
        <v>15</v>
      </c>
      <c r="O1764" s="8" t="inlineStr">
        <is>
          <t>SUM</t>
        </is>
      </c>
      <c r="P1764" s="8" t="inlineStr">
        <is>
          <t>CRITIQUE</t>
        </is>
      </c>
      <c r="Q1764" s="8" t="inlineStr">
        <is>
          <t>WHAP</t>
        </is>
      </c>
      <c r="R1764" s="8" t="inlineStr">
        <is>
          <t>OUI</t>
        </is>
      </c>
      <c r="S1764" s="8" t="inlineStr">
        <is>
          <t>31/08/2026 02:59</t>
        </is>
      </c>
    </row>
    <row r="1765">
      <c r="A1765" s="7" t="inlineStr">
        <is>
          <t>WHAP-1761</t>
        </is>
      </c>
      <c r="B1765" s="7" t="inlineStr">
        <is>
          <t>MOT-1761</t>
        </is>
      </c>
      <c r="C1765" s="7" t="inlineStr">
        <is>
          <t>protection de bielle</t>
        </is>
      </c>
      <c r="D1765" s="7" t="inlineStr">
        <is>
          <t>Moteur</t>
        </is>
      </c>
      <c r="E1765" s="7" t="inlineStr">
        <is>
          <t>Moteur</t>
        </is>
      </c>
      <c r="F1765" s="7" t="inlineStr">
        <is>
          <t>PIECE_VEHICULE</t>
        </is>
      </c>
      <c r="G1765" s="7" t="inlineStr">
        <is>
          <t>unité</t>
        </is>
      </c>
      <c r="H1765" s="7" t="inlineStr">
        <is>
          <t>LARGE</t>
        </is>
      </c>
      <c r="I1765" s="7" t="n">
        <v>0</v>
      </c>
      <c r="J1765" s="7" t="inlineStr">
        <is>
          <t>D-03-04</t>
        </is>
      </c>
      <c r="K1765" s="7" t="inlineStr"/>
      <c r="L1765" s="9" t="n">
        <v>0</v>
      </c>
      <c r="M1765" s="9" t="n">
        <v>0</v>
      </c>
      <c r="N1765" s="9" t="n">
        <v>15</v>
      </c>
      <c r="O1765" s="7" t="inlineStr">
        <is>
          <t>SKF</t>
        </is>
      </c>
      <c r="P1765" s="7" t="inlineStr">
        <is>
          <t>CRITIQUE</t>
        </is>
      </c>
      <c r="Q1765" s="7" t="inlineStr">
        <is>
          <t>WHAP</t>
        </is>
      </c>
      <c r="R1765" s="7" t="inlineStr">
        <is>
          <t>OUI</t>
        </is>
      </c>
      <c r="S1765" s="7" t="inlineStr">
        <is>
          <t>31/08/2026 02:59</t>
        </is>
      </c>
    </row>
    <row r="1766">
      <c r="A1766" s="8" t="inlineStr">
        <is>
          <t>WHAP-1762</t>
        </is>
      </c>
      <c r="B1766" s="8" t="inlineStr">
        <is>
          <t>MOT-1762</t>
        </is>
      </c>
      <c r="C1766" s="8" t="inlineStr">
        <is>
          <t>capteur de bielle</t>
        </is>
      </c>
      <c r="D1766" s="8" t="inlineStr">
        <is>
          <t>Moteur</t>
        </is>
      </c>
      <c r="E1766" s="8" t="inlineStr">
        <is>
          <t>Moteur</t>
        </is>
      </c>
      <c r="F1766" s="8" t="inlineStr">
        <is>
          <t>PIECE_VEHICULE</t>
        </is>
      </c>
      <c r="G1766" s="8" t="inlineStr">
        <is>
          <t>unité</t>
        </is>
      </c>
      <c r="H1766" s="8" t="inlineStr">
        <is>
          <t>LARGE</t>
        </is>
      </c>
      <c r="I1766" s="8" t="n">
        <v>0</v>
      </c>
      <c r="J1766" s="8" t="inlineStr">
        <is>
          <t>B-03-04</t>
        </is>
      </c>
      <c r="K1766" s="8" t="inlineStr"/>
      <c r="L1766" s="10" t="n">
        <v>0</v>
      </c>
      <c r="M1766" s="10" t="n">
        <v>0</v>
      </c>
      <c r="N1766" s="10" t="n">
        <v>20</v>
      </c>
      <c r="O1766" s="8" t="inlineStr">
        <is>
          <t>CTL</t>
        </is>
      </c>
      <c r="P1766" s="8" t="inlineStr">
        <is>
          <t>CRITIQUE</t>
        </is>
      </c>
      <c r="Q1766" s="8" t="inlineStr">
        <is>
          <t>WHAP</t>
        </is>
      </c>
      <c r="R1766" s="8" t="inlineStr">
        <is>
          <t>OUI</t>
        </is>
      </c>
      <c r="S1766" s="8" t="inlineStr">
        <is>
          <t>31/08/2026 02:59</t>
        </is>
      </c>
    </row>
    <row r="1767">
      <c r="A1767" s="7" t="inlineStr">
        <is>
          <t>WHAP-1763</t>
        </is>
      </c>
      <c r="B1767" s="7" t="inlineStr">
        <is>
          <t>MOT-1763</t>
        </is>
      </c>
      <c r="C1767" s="7" t="inlineStr">
        <is>
          <t>actionneur de bielle</t>
        </is>
      </c>
      <c r="D1767" s="7" t="inlineStr">
        <is>
          <t>Moteur</t>
        </is>
      </c>
      <c r="E1767" s="7" t="inlineStr">
        <is>
          <t>Moteur</t>
        </is>
      </c>
      <c r="F1767" s="7" t="inlineStr">
        <is>
          <t>PIECE_VEHICULE</t>
        </is>
      </c>
      <c r="G1767" s="7" t="inlineStr">
        <is>
          <t>unité</t>
        </is>
      </c>
      <c r="H1767" s="7" t="inlineStr">
        <is>
          <t>LARGE</t>
        </is>
      </c>
      <c r="I1767" s="7" t="n">
        <v>0</v>
      </c>
      <c r="J1767" s="7" t="inlineStr">
        <is>
          <t>B-01-03</t>
        </is>
      </c>
      <c r="K1767" s="7" t="inlineStr"/>
      <c r="L1767" s="9" t="n">
        <v>0</v>
      </c>
      <c r="M1767" s="9" t="n">
        <v>0</v>
      </c>
      <c r="N1767" s="9" t="n">
        <v>19</v>
      </c>
      <c r="O1767" s="7" t="inlineStr">
        <is>
          <t>FAU</t>
        </is>
      </c>
      <c r="P1767" s="7" t="inlineStr">
        <is>
          <t>CRITIQUE</t>
        </is>
      </c>
      <c r="Q1767" s="7" t="inlineStr">
        <is>
          <t>WHAP</t>
        </is>
      </c>
      <c r="R1767" s="7" t="inlineStr">
        <is>
          <t>OUI</t>
        </is>
      </c>
      <c r="S1767" s="7" t="inlineStr">
        <is>
          <t>31/08/2026 02:59</t>
        </is>
      </c>
    </row>
    <row r="1768">
      <c r="A1768" s="8" t="inlineStr">
        <is>
          <t>WHAP-1764</t>
        </is>
      </c>
      <c r="B1768" s="8" t="inlineStr">
        <is>
          <t>MOT-1764</t>
        </is>
      </c>
      <c r="C1768" s="8" t="inlineStr">
        <is>
          <t>raccord de bielle</t>
        </is>
      </c>
      <c r="D1768" s="8" t="inlineStr">
        <is>
          <t>Moteur</t>
        </is>
      </c>
      <c r="E1768" s="8" t="inlineStr">
        <is>
          <t>Moteur</t>
        </is>
      </c>
      <c r="F1768" s="8" t="inlineStr">
        <is>
          <t>PIECE_VEHICULE</t>
        </is>
      </c>
      <c r="G1768" s="8" t="inlineStr">
        <is>
          <t>unité</t>
        </is>
      </c>
      <c r="H1768" s="8" t="inlineStr">
        <is>
          <t>LARGE</t>
        </is>
      </c>
      <c r="I1768" s="8" t="n">
        <v>0</v>
      </c>
      <c r="J1768" s="8" t="inlineStr">
        <is>
          <t>A-01-01</t>
        </is>
      </c>
      <c r="K1768" s="8" t="inlineStr"/>
      <c r="L1768" s="10" t="n">
        <v>0</v>
      </c>
      <c r="M1768" s="10" t="n">
        <v>0</v>
      </c>
      <c r="N1768" s="10" t="n">
        <v>20</v>
      </c>
      <c r="O1768" s="8" t="inlineStr">
        <is>
          <t>BOS</t>
        </is>
      </c>
      <c r="P1768" s="8" t="inlineStr">
        <is>
          <t>CRITIQUE</t>
        </is>
      </c>
      <c r="Q1768" s="8" t="inlineStr">
        <is>
          <t>WHAP</t>
        </is>
      </c>
      <c r="R1768" s="8" t="inlineStr">
        <is>
          <t>OUI</t>
        </is>
      </c>
      <c r="S1768" s="8" t="inlineStr">
        <is>
          <t>31/08/2026 02:59</t>
        </is>
      </c>
    </row>
    <row r="1769">
      <c r="A1769" s="7" t="inlineStr">
        <is>
          <t>WHAP-1765</t>
        </is>
      </c>
      <c r="B1769" s="7" t="inlineStr">
        <is>
          <t>MOT-1765</t>
        </is>
      </c>
      <c r="C1769" s="7" t="inlineStr">
        <is>
          <t>plaque de bielle</t>
        </is>
      </c>
      <c r="D1769" s="7" t="inlineStr">
        <is>
          <t>Moteur</t>
        </is>
      </c>
      <c r="E1769" s="7" t="inlineStr">
        <is>
          <t>Moteur</t>
        </is>
      </c>
      <c r="F1769" s="7" t="inlineStr">
        <is>
          <t>PIECE_VEHICULE</t>
        </is>
      </c>
      <c r="G1769" s="7" t="inlineStr">
        <is>
          <t>unité</t>
        </is>
      </c>
      <c r="H1769" s="7" t="inlineStr">
        <is>
          <t>LARGE</t>
        </is>
      </c>
      <c r="I1769" s="7" t="n">
        <v>0</v>
      </c>
      <c r="J1769" s="7" t="inlineStr">
        <is>
          <t>E-03-04</t>
        </is>
      </c>
      <c r="K1769" s="7" t="inlineStr"/>
      <c r="L1769" s="9" t="n">
        <v>0</v>
      </c>
      <c r="M1769" s="9" t="n">
        <v>0</v>
      </c>
      <c r="N1769" s="9" t="n">
        <v>20</v>
      </c>
      <c r="O1769" s="7" t="inlineStr">
        <is>
          <t>DEL</t>
        </is>
      </c>
      <c r="P1769" s="7" t="inlineStr">
        <is>
          <t>CRITIQUE</t>
        </is>
      </c>
      <c r="Q1769" s="7" t="inlineStr">
        <is>
          <t>WHAP</t>
        </is>
      </c>
      <c r="R1769" s="7" t="inlineStr">
        <is>
          <t>OUI</t>
        </is>
      </c>
      <c r="S1769" s="7" t="inlineStr">
        <is>
          <t>31/08/2026 02:59</t>
        </is>
      </c>
    </row>
    <row r="1770">
      <c r="A1770" s="8" t="inlineStr">
        <is>
          <t>WHAP-1766</t>
        </is>
      </c>
      <c r="B1770" s="8" t="inlineStr">
        <is>
          <t>MOT-1766</t>
        </is>
      </c>
      <c r="C1770" s="8" t="inlineStr">
        <is>
          <t>couvercle de bielle</t>
        </is>
      </c>
      <c r="D1770" s="8" t="inlineStr">
        <is>
          <t>Moteur</t>
        </is>
      </c>
      <c r="E1770" s="8" t="inlineStr">
        <is>
          <t>Moteur</t>
        </is>
      </c>
      <c r="F1770" s="8" t="inlineStr">
        <is>
          <t>PIECE_VEHICULE</t>
        </is>
      </c>
      <c r="G1770" s="8" t="inlineStr">
        <is>
          <t>unité</t>
        </is>
      </c>
      <c r="H1770" s="8" t="inlineStr">
        <is>
          <t>LARGE</t>
        </is>
      </c>
      <c r="I1770" s="8" t="n">
        <v>0</v>
      </c>
      <c r="J1770" s="8" t="inlineStr">
        <is>
          <t>D-06-03</t>
        </is>
      </c>
      <c r="K1770" s="8" t="inlineStr"/>
      <c r="L1770" s="10" t="n">
        <v>0</v>
      </c>
      <c r="M1770" s="10" t="n">
        <v>0</v>
      </c>
      <c r="N1770" s="10" t="n">
        <v>14</v>
      </c>
      <c r="O1770" s="8" t="inlineStr">
        <is>
          <t>YZK</t>
        </is>
      </c>
      <c r="P1770" s="8" t="inlineStr">
        <is>
          <t>CRITIQUE</t>
        </is>
      </c>
      <c r="Q1770" s="8" t="inlineStr">
        <is>
          <t>WHAP</t>
        </is>
      </c>
      <c r="R1770" s="8" t="inlineStr">
        <is>
          <t>OUI</t>
        </is>
      </c>
      <c r="S1770" s="8" t="inlineStr">
        <is>
          <t>31/08/2026 02:59</t>
        </is>
      </c>
    </row>
    <row r="1771">
      <c r="A1771" s="7" t="inlineStr">
        <is>
          <t>WHAP-1767</t>
        </is>
      </c>
      <c r="B1771" s="7" t="inlineStr">
        <is>
          <t>MOT-1767</t>
        </is>
      </c>
      <c r="C1771" s="7" t="inlineStr">
        <is>
          <t>bague de bielle</t>
        </is>
      </c>
      <c r="D1771" s="7" t="inlineStr">
        <is>
          <t>Moteur</t>
        </is>
      </c>
      <c r="E1771" s="7" t="inlineStr">
        <is>
          <t>Moteur</t>
        </is>
      </c>
      <c r="F1771" s="7" t="inlineStr">
        <is>
          <t>PIECE_VEHICULE</t>
        </is>
      </c>
      <c r="G1771" s="7" t="inlineStr">
        <is>
          <t>unité</t>
        </is>
      </c>
      <c r="H1771" s="7" t="inlineStr">
        <is>
          <t>LARGE</t>
        </is>
      </c>
      <c r="I1771" s="7" t="n">
        <v>0</v>
      </c>
      <c r="J1771" s="7" t="inlineStr">
        <is>
          <t>E-06-04</t>
        </is>
      </c>
      <c r="K1771" s="7" t="inlineStr"/>
      <c r="L1771" s="9" t="n">
        <v>0</v>
      </c>
      <c r="M1771" s="9" t="n">
        <v>0</v>
      </c>
      <c r="N1771" s="9" t="n">
        <v>10</v>
      </c>
      <c r="O1771" s="7" t="inlineStr">
        <is>
          <t>SUM</t>
        </is>
      </c>
      <c r="P1771" s="7" t="inlineStr">
        <is>
          <t>CRITIQUE</t>
        </is>
      </c>
      <c r="Q1771" s="7" t="inlineStr">
        <is>
          <t>WHAP</t>
        </is>
      </c>
      <c r="R1771" s="7" t="inlineStr">
        <is>
          <t>OUI</t>
        </is>
      </c>
      <c r="S1771" s="7" t="inlineStr">
        <is>
          <t>31/08/2026 02:59</t>
        </is>
      </c>
    </row>
    <row r="1772">
      <c r="A1772" s="8" t="inlineStr">
        <is>
          <t>WHAP-1768</t>
        </is>
      </c>
      <c r="B1772" s="8" t="inlineStr">
        <is>
          <t>MOT-1768</t>
        </is>
      </c>
      <c r="C1772" s="8" t="inlineStr">
        <is>
          <t>entretoise de bielle</t>
        </is>
      </c>
      <c r="D1772" s="8" t="inlineStr">
        <is>
          <t>Moteur</t>
        </is>
      </c>
      <c r="E1772" s="8" t="inlineStr">
        <is>
          <t>Moteur</t>
        </is>
      </c>
      <c r="F1772" s="8" t="inlineStr">
        <is>
          <t>PIECE_VEHICULE</t>
        </is>
      </c>
      <c r="G1772" s="8" t="inlineStr">
        <is>
          <t>unité</t>
        </is>
      </c>
      <c r="H1772" s="8" t="inlineStr">
        <is>
          <t>LARGE</t>
        </is>
      </c>
      <c r="I1772" s="8" t="n">
        <v>0</v>
      </c>
      <c r="J1772" s="8" t="inlineStr">
        <is>
          <t>B-01-04</t>
        </is>
      </c>
      <c r="K1772" s="8" t="inlineStr"/>
      <c r="L1772" s="10" t="n">
        <v>0</v>
      </c>
      <c r="M1772" s="10" t="n">
        <v>0</v>
      </c>
      <c r="N1772" s="10" t="n">
        <v>20</v>
      </c>
      <c r="O1772" s="8" t="inlineStr">
        <is>
          <t>CTL</t>
        </is>
      </c>
      <c r="P1772" s="8" t="inlineStr">
        <is>
          <t>CRITIQUE</t>
        </is>
      </c>
      <c r="Q1772" s="8" t="inlineStr">
        <is>
          <t>WHAP</t>
        </is>
      </c>
      <c r="R1772" s="8" t="inlineStr">
        <is>
          <t>OUI</t>
        </is>
      </c>
      <c r="S1772" s="8" t="inlineStr">
        <is>
          <t>31/08/2026 02:59</t>
        </is>
      </c>
    </row>
    <row r="1773">
      <c r="A1773" s="7" t="inlineStr">
        <is>
          <t>WHAP-1769</t>
        </is>
      </c>
      <c r="B1773" s="7" t="inlineStr">
        <is>
          <t>MOT-1769</t>
        </is>
      </c>
      <c r="C1773" s="7" t="inlineStr">
        <is>
          <t>axe de bielle</t>
        </is>
      </c>
      <c r="D1773" s="7" t="inlineStr">
        <is>
          <t>Moteur</t>
        </is>
      </c>
      <c r="E1773" s="7" t="inlineStr">
        <is>
          <t>Moteur</t>
        </is>
      </c>
      <c r="F1773" s="7" t="inlineStr">
        <is>
          <t>PIECE_VEHICULE</t>
        </is>
      </c>
      <c r="G1773" s="7" t="inlineStr">
        <is>
          <t>unité</t>
        </is>
      </c>
      <c r="H1773" s="7" t="inlineStr">
        <is>
          <t>LARGE</t>
        </is>
      </c>
      <c r="I1773" s="7" t="n">
        <v>0</v>
      </c>
      <c r="J1773" s="7" t="inlineStr">
        <is>
          <t>C-06-03</t>
        </is>
      </c>
      <c r="K1773" s="7" t="inlineStr"/>
      <c r="L1773" s="9" t="n">
        <v>0</v>
      </c>
      <c r="M1773" s="9" t="n">
        <v>0</v>
      </c>
      <c r="N1773" s="9" t="n">
        <v>11</v>
      </c>
      <c r="O1773" s="7" t="inlineStr">
        <is>
          <t>HEL</t>
        </is>
      </c>
      <c r="P1773" s="7" t="inlineStr">
        <is>
          <t>CRITIQUE</t>
        </is>
      </c>
      <c r="Q1773" s="7" t="inlineStr">
        <is>
          <t>WHAP</t>
        </is>
      </c>
      <c r="R1773" s="7" t="inlineStr">
        <is>
          <t>OUI</t>
        </is>
      </c>
      <c r="S1773" s="7" t="inlineStr">
        <is>
          <t>31/08/2026 02:59</t>
        </is>
      </c>
    </row>
    <row r="1774">
      <c r="A1774" s="8" t="inlineStr">
        <is>
          <t>WHAP-1770</t>
        </is>
      </c>
      <c r="B1774" s="8" t="inlineStr">
        <is>
          <t>MOT-1770</t>
        </is>
      </c>
      <c r="C1774" s="8" t="inlineStr">
        <is>
          <t>poulie de bielle</t>
        </is>
      </c>
      <c r="D1774" s="8" t="inlineStr">
        <is>
          <t>Moteur</t>
        </is>
      </c>
      <c r="E1774" s="8" t="inlineStr">
        <is>
          <t>Moteur</t>
        </is>
      </c>
      <c r="F1774" s="8" t="inlineStr">
        <is>
          <t>PIECE_VEHICULE</t>
        </is>
      </c>
      <c r="G1774" s="8" t="inlineStr">
        <is>
          <t>unité</t>
        </is>
      </c>
      <c r="H1774" s="8" t="inlineStr">
        <is>
          <t>LARGE</t>
        </is>
      </c>
      <c r="I1774" s="8" t="n">
        <v>0</v>
      </c>
      <c r="J1774" s="8" t="inlineStr">
        <is>
          <t>B-06-04</t>
        </is>
      </c>
      <c r="K1774" s="8" t="inlineStr"/>
      <c r="L1774" s="10" t="n">
        <v>0</v>
      </c>
      <c r="M1774" s="10" t="n">
        <v>0</v>
      </c>
      <c r="N1774" s="10" t="n">
        <v>11</v>
      </c>
      <c r="O1774" s="8" t="inlineStr">
        <is>
          <t>YZK</t>
        </is>
      </c>
      <c r="P1774" s="8" t="inlineStr">
        <is>
          <t>CRITIQUE</t>
        </is>
      </c>
      <c r="Q1774" s="8" t="inlineStr">
        <is>
          <t>WHAP</t>
        </is>
      </c>
      <c r="R1774" s="8" t="inlineStr">
        <is>
          <t>OUI</t>
        </is>
      </c>
      <c r="S1774" s="8" t="inlineStr">
        <is>
          <t>31/08/2026 02:59</t>
        </is>
      </c>
    </row>
    <row r="1775">
      <c r="A1775" s="7" t="inlineStr">
        <is>
          <t>WHAP-1771</t>
        </is>
      </c>
      <c r="B1775" s="7" t="inlineStr">
        <is>
          <t>MOT-1771</t>
        </is>
      </c>
      <c r="C1775" s="7" t="inlineStr">
        <is>
          <t>pignon de bielle</t>
        </is>
      </c>
      <c r="D1775" s="7" t="inlineStr">
        <is>
          <t>Moteur</t>
        </is>
      </c>
      <c r="E1775" s="7" t="inlineStr">
        <is>
          <t>Moteur</t>
        </is>
      </c>
      <c r="F1775" s="7" t="inlineStr">
        <is>
          <t>PIECE_VEHICULE</t>
        </is>
      </c>
      <c r="G1775" s="7" t="inlineStr">
        <is>
          <t>unité</t>
        </is>
      </c>
      <c r="H1775" s="7" t="inlineStr">
        <is>
          <t>LARGE</t>
        </is>
      </c>
      <c r="I1775" s="7" t="n">
        <v>0</v>
      </c>
      <c r="J1775" s="7" t="inlineStr">
        <is>
          <t>F-05-04</t>
        </is>
      </c>
      <c r="K1775" s="7" t="inlineStr"/>
      <c r="L1775" s="9" t="n">
        <v>0</v>
      </c>
      <c r="M1775" s="9" t="n">
        <v>0</v>
      </c>
      <c r="N1775" s="9" t="n">
        <v>12</v>
      </c>
      <c r="O1775" s="7" t="inlineStr">
        <is>
          <t>FAU</t>
        </is>
      </c>
      <c r="P1775" s="7" t="inlineStr">
        <is>
          <t>CRITIQUE</t>
        </is>
      </c>
      <c r="Q1775" s="7" t="inlineStr">
        <is>
          <t>WHAP</t>
        </is>
      </c>
      <c r="R1775" s="7" t="inlineStr">
        <is>
          <t>OUI</t>
        </is>
      </c>
      <c r="S1775" s="7" t="inlineStr">
        <is>
          <t>31/08/2026 02:59</t>
        </is>
      </c>
    </row>
    <row r="1776">
      <c r="A1776" s="8" t="inlineStr">
        <is>
          <t>WHAP-1772</t>
        </is>
      </c>
      <c r="B1776" s="8" t="inlineStr">
        <is>
          <t>MOT-1772</t>
        </is>
      </c>
      <c r="C1776" s="8" t="inlineStr">
        <is>
          <t>ensemble de coussinet de bielle</t>
        </is>
      </c>
      <c r="D1776" s="8" t="inlineStr">
        <is>
          <t>Moteur</t>
        </is>
      </c>
      <c r="E1776" s="8" t="inlineStr">
        <is>
          <t>Moteur</t>
        </is>
      </c>
      <c r="F1776" s="8" t="inlineStr">
        <is>
          <t>PIECE_VEHICULE</t>
        </is>
      </c>
      <c r="G1776" s="8" t="inlineStr">
        <is>
          <t>unité</t>
        </is>
      </c>
      <c r="H1776" s="8" t="inlineStr">
        <is>
          <t>LARGE</t>
        </is>
      </c>
      <c r="I1776" s="8" t="n">
        <v>0</v>
      </c>
      <c r="J1776" s="8" t="inlineStr">
        <is>
          <t>C-01-01</t>
        </is>
      </c>
      <c r="K1776" s="8" t="inlineStr"/>
      <c r="L1776" s="10" t="n">
        <v>0</v>
      </c>
      <c r="M1776" s="10" t="n">
        <v>0</v>
      </c>
      <c r="N1776" s="10" t="n">
        <v>13</v>
      </c>
      <c r="O1776" s="8" t="inlineStr">
        <is>
          <t>MAG</t>
        </is>
      </c>
      <c r="P1776" s="8" t="inlineStr">
        <is>
          <t>CRITIQUE</t>
        </is>
      </c>
      <c r="Q1776" s="8" t="inlineStr">
        <is>
          <t>WHAP</t>
        </is>
      </c>
      <c r="R1776" s="8" t="inlineStr">
        <is>
          <t>OUI</t>
        </is>
      </c>
      <c r="S1776" s="8" t="inlineStr">
        <is>
          <t>31/08/2026 02:59</t>
        </is>
      </c>
    </row>
    <row r="1777">
      <c r="A1777" s="7" t="inlineStr">
        <is>
          <t>WHAP-1773</t>
        </is>
      </c>
      <c r="B1777" s="7" t="inlineStr">
        <is>
          <t>MOT-1773</t>
        </is>
      </c>
      <c r="C1777" s="7" t="inlineStr">
        <is>
          <t>kit de coussinet de bielle</t>
        </is>
      </c>
      <c r="D1777" s="7" t="inlineStr">
        <is>
          <t>Moteur</t>
        </is>
      </c>
      <c r="E1777" s="7" t="inlineStr">
        <is>
          <t>Moteur</t>
        </is>
      </c>
      <c r="F1777" s="7" t="inlineStr">
        <is>
          <t>PIECE_VEHICULE</t>
        </is>
      </c>
      <c r="G1777" s="7" t="inlineStr">
        <is>
          <t>unité</t>
        </is>
      </c>
      <c r="H1777" s="7" t="inlineStr">
        <is>
          <t>LARGE</t>
        </is>
      </c>
      <c r="I1777" s="7" t="n">
        <v>0</v>
      </c>
      <c r="J1777" s="7" t="inlineStr">
        <is>
          <t>F-04-02</t>
        </is>
      </c>
      <c r="K1777" s="7" t="inlineStr"/>
      <c r="L1777" s="9" t="n">
        <v>0</v>
      </c>
      <c r="M1777" s="9" t="n">
        <v>0</v>
      </c>
      <c r="N1777" s="9" t="n">
        <v>11</v>
      </c>
      <c r="O1777" s="7" t="inlineStr">
        <is>
          <t>YZK</t>
        </is>
      </c>
      <c r="P1777" s="7" t="inlineStr">
        <is>
          <t>CRITIQUE</t>
        </is>
      </c>
      <c r="Q1777" s="7" t="inlineStr">
        <is>
          <t>WHAP</t>
        </is>
      </c>
      <c r="R1777" s="7" t="inlineStr">
        <is>
          <t>OUI</t>
        </is>
      </c>
      <c r="S1777" s="7" t="inlineStr">
        <is>
          <t>31/08/2026 02:59</t>
        </is>
      </c>
    </row>
    <row r="1778">
      <c r="A1778" s="8" t="inlineStr">
        <is>
          <t>WHAP-1774</t>
        </is>
      </c>
      <c r="B1778" s="8" t="inlineStr">
        <is>
          <t>MOT-1774</t>
        </is>
      </c>
      <c r="C1778" s="8" t="inlineStr">
        <is>
          <t>support de coussinet de bielle</t>
        </is>
      </c>
      <c r="D1778" s="8" t="inlineStr">
        <is>
          <t>Moteur</t>
        </is>
      </c>
      <c r="E1778" s="8" t="inlineStr">
        <is>
          <t>Moteur</t>
        </is>
      </c>
      <c r="F1778" s="8" t="inlineStr">
        <is>
          <t>PIECE_VEHICULE</t>
        </is>
      </c>
      <c r="G1778" s="8" t="inlineStr">
        <is>
          <t>unité</t>
        </is>
      </c>
      <c r="H1778" s="8" t="inlineStr">
        <is>
          <t>LARGE</t>
        </is>
      </c>
      <c r="I1778" s="8" t="n">
        <v>0</v>
      </c>
      <c r="J1778" s="8" t="inlineStr">
        <is>
          <t>B-02-03</t>
        </is>
      </c>
      <c r="K1778" s="8" t="inlineStr"/>
      <c r="L1778" s="10" t="n">
        <v>0</v>
      </c>
      <c r="M1778" s="10" t="n">
        <v>0</v>
      </c>
      <c r="N1778" s="10" t="n">
        <v>10</v>
      </c>
      <c r="O1778" s="8" t="inlineStr">
        <is>
          <t>SKF</t>
        </is>
      </c>
      <c r="P1778" s="8" t="inlineStr">
        <is>
          <t>CRITIQUE</t>
        </is>
      </c>
      <c r="Q1778" s="8" t="inlineStr">
        <is>
          <t>WHAP</t>
        </is>
      </c>
      <c r="R1778" s="8" t="inlineStr">
        <is>
          <t>OUI</t>
        </is>
      </c>
      <c r="S1778" s="8" t="inlineStr">
        <is>
          <t>31/08/2026 02:59</t>
        </is>
      </c>
    </row>
    <row r="1779">
      <c r="A1779" s="7" t="inlineStr">
        <is>
          <t>WHAP-1775</t>
        </is>
      </c>
      <c r="B1779" s="7" t="inlineStr">
        <is>
          <t>MOT-1775</t>
        </is>
      </c>
      <c r="C1779" s="7" t="inlineStr">
        <is>
          <t>boîtier de coussinet de bielle</t>
        </is>
      </c>
      <c r="D1779" s="7" t="inlineStr">
        <is>
          <t>Moteur</t>
        </is>
      </c>
      <c r="E1779" s="7" t="inlineStr">
        <is>
          <t>Moteur</t>
        </is>
      </c>
      <c r="F1779" s="7" t="inlineStr">
        <is>
          <t>PIECE_VEHICULE</t>
        </is>
      </c>
      <c r="G1779" s="7" t="inlineStr">
        <is>
          <t>unité</t>
        </is>
      </c>
      <c r="H1779" s="7" t="inlineStr">
        <is>
          <t>LARGE</t>
        </is>
      </c>
      <c r="I1779" s="7" t="n">
        <v>0</v>
      </c>
      <c r="J1779" s="7" t="inlineStr">
        <is>
          <t>B-04-01</t>
        </is>
      </c>
      <c r="K1779" s="7" t="inlineStr"/>
      <c r="L1779" s="9" t="n">
        <v>0</v>
      </c>
      <c r="M1779" s="9" t="n">
        <v>0</v>
      </c>
      <c r="N1779" s="9" t="n">
        <v>16</v>
      </c>
      <c r="O1779" s="7" t="inlineStr">
        <is>
          <t>CTL</t>
        </is>
      </c>
      <c r="P1779" s="7" t="inlineStr">
        <is>
          <t>CRITIQUE</t>
        </is>
      </c>
      <c r="Q1779" s="7" t="inlineStr">
        <is>
          <t>WHAP</t>
        </is>
      </c>
      <c r="R1779" s="7" t="inlineStr">
        <is>
          <t>OUI</t>
        </is>
      </c>
      <c r="S1779" s="7" t="inlineStr">
        <is>
          <t>31/08/2026 02:59</t>
        </is>
      </c>
    </row>
    <row r="1780">
      <c r="A1780" s="8" t="inlineStr">
        <is>
          <t>WHAP-1776</t>
        </is>
      </c>
      <c r="B1780" s="8" t="inlineStr">
        <is>
          <t>MOT-1776</t>
        </is>
      </c>
      <c r="C1780" s="8" t="inlineStr">
        <is>
          <t>module de coussinet de bielle</t>
        </is>
      </c>
      <c r="D1780" s="8" t="inlineStr">
        <is>
          <t>Moteur</t>
        </is>
      </c>
      <c r="E1780" s="8" t="inlineStr">
        <is>
          <t>Moteur</t>
        </is>
      </c>
      <c r="F1780" s="8" t="inlineStr">
        <is>
          <t>PIECE_VEHICULE</t>
        </is>
      </c>
      <c r="G1780" s="8" t="inlineStr">
        <is>
          <t>unité</t>
        </is>
      </c>
      <c r="H1780" s="8" t="inlineStr">
        <is>
          <t>LARGE</t>
        </is>
      </c>
      <c r="I1780" s="8" t="n">
        <v>0</v>
      </c>
      <c r="J1780" s="8" t="inlineStr">
        <is>
          <t>D-05-03</t>
        </is>
      </c>
      <c r="K1780" s="8" t="inlineStr"/>
      <c r="L1780" s="10" t="n">
        <v>0</v>
      </c>
      <c r="M1780" s="10" t="n">
        <v>0</v>
      </c>
      <c r="N1780" s="10" t="n">
        <v>20</v>
      </c>
      <c r="O1780" s="8" t="inlineStr">
        <is>
          <t>FAU</t>
        </is>
      </c>
      <c r="P1780" s="8" t="inlineStr">
        <is>
          <t>CRITIQUE</t>
        </is>
      </c>
      <c r="Q1780" s="8" t="inlineStr">
        <is>
          <t>WHAP</t>
        </is>
      </c>
      <c r="R1780" s="8" t="inlineStr">
        <is>
          <t>OUI</t>
        </is>
      </c>
      <c r="S1780" s="8" t="inlineStr">
        <is>
          <t>31/08/2026 02:59</t>
        </is>
      </c>
    </row>
    <row r="1781">
      <c r="A1781" s="7" t="inlineStr">
        <is>
          <t>WHAP-1777</t>
        </is>
      </c>
      <c r="B1781" s="7" t="inlineStr">
        <is>
          <t>MOT-1777</t>
        </is>
      </c>
      <c r="C1781" s="7" t="inlineStr">
        <is>
          <t>câblage de coussinet de bielle</t>
        </is>
      </c>
      <c r="D1781" s="7" t="inlineStr">
        <is>
          <t>Moteur</t>
        </is>
      </c>
      <c r="E1781" s="7" t="inlineStr">
        <is>
          <t>Moteur</t>
        </is>
      </c>
      <c r="F1781" s="7" t="inlineStr">
        <is>
          <t>PIECE_VEHICULE</t>
        </is>
      </c>
      <c r="G1781" s="7" t="inlineStr">
        <is>
          <t>unité</t>
        </is>
      </c>
      <c r="H1781" s="7" t="inlineStr">
        <is>
          <t>LARGE</t>
        </is>
      </c>
      <c r="I1781" s="7" t="n">
        <v>0</v>
      </c>
      <c r="J1781" s="7" t="inlineStr">
        <is>
          <t>D-06-03</t>
        </is>
      </c>
      <c r="K1781" s="7" t="inlineStr"/>
      <c r="L1781" s="9" t="n">
        <v>0</v>
      </c>
      <c r="M1781" s="9" t="n">
        <v>0</v>
      </c>
      <c r="N1781" s="9" t="n">
        <v>12</v>
      </c>
      <c r="O1781" s="7" t="inlineStr">
        <is>
          <t>YZK</t>
        </is>
      </c>
      <c r="P1781" s="7" t="inlineStr">
        <is>
          <t>CRITIQUE</t>
        </is>
      </c>
      <c r="Q1781" s="7" t="inlineStr">
        <is>
          <t>WHAP</t>
        </is>
      </c>
      <c r="R1781" s="7" t="inlineStr">
        <is>
          <t>OUI</t>
        </is>
      </c>
      <c r="S1781" s="7" t="inlineStr">
        <is>
          <t>31/08/2026 02:59</t>
        </is>
      </c>
    </row>
    <row r="1782">
      <c r="A1782" s="8" t="inlineStr">
        <is>
          <t>WHAP-1778</t>
        </is>
      </c>
      <c r="B1782" s="8" t="inlineStr">
        <is>
          <t>MOT-1778</t>
        </is>
      </c>
      <c r="C1782" s="8" t="inlineStr">
        <is>
          <t>connecteur de coussinet de bielle</t>
        </is>
      </c>
      <c r="D1782" s="8" t="inlineStr">
        <is>
          <t>Moteur</t>
        </is>
      </c>
      <c r="E1782" s="8" t="inlineStr">
        <is>
          <t>Moteur</t>
        </is>
      </c>
      <c r="F1782" s="8" t="inlineStr">
        <is>
          <t>PIECE_VEHICULE</t>
        </is>
      </c>
      <c r="G1782" s="8" t="inlineStr">
        <is>
          <t>unité</t>
        </is>
      </c>
      <c r="H1782" s="8" t="inlineStr">
        <is>
          <t>LARGE</t>
        </is>
      </c>
      <c r="I1782" s="8" t="n">
        <v>0</v>
      </c>
      <c r="J1782" s="8" t="inlineStr">
        <is>
          <t>C-02-01</t>
        </is>
      </c>
      <c r="K1782" s="8" t="inlineStr"/>
      <c r="L1782" s="10" t="n">
        <v>0</v>
      </c>
      <c r="M1782" s="10" t="n">
        <v>0</v>
      </c>
      <c r="N1782" s="10" t="n">
        <v>18</v>
      </c>
      <c r="O1782" s="8" t="inlineStr">
        <is>
          <t>MAG</t>
        </is>
      </c>
      <c r="P1782" s="8" t="inlineStr">
        <is>
          <t>CRITIQUE</t>
        </is>
      </c>
      <c r="Q1782" s="8" t="inlineStr">
        <is>
          <t>WHAP</t>
        </is>
      </c>
      <c r="R1782" s="8" t="inlineStr">
        <is>
          <t>OUI</t>
        </is>
      </c>
      <c r="S1782" s="8" t="inlineStr">
        <is>
          <t>31/08/2026 02:59</t>
        </is>
      </c>
    </row>
    <row r="1783">
      <c r="A1783" s="7" t="inlineStr">
        <is>
          <t>WHAP-1779</t>
        </is>
      </c>
      <c r="B1783" s="7" t="inlineStr">
        <is>
          <t>MOT-1779</t>
        </is>
      </c>
      <c r="C1783" s="7" t="inlineStr">
        <is>
          <t>joint de coussinet de bielle</t>
        </is>
      </c>
      <c r="D1783" s="7" t="inlineStr">
        <is>
          <t>Moteur</t>
        </is>
      </c>
      <c r="E1783" s="7" t="inlineStr">
        <is>
          <t>Moteur</t>
        </is>
      </c>
      <c r="F1783" s="7" t="inlineStr">
        <is>
          <t>PIECE_VEHICULE</t>
        </is>
      </c>
      <c r="G1783" s="7" t="inlineStr">
        <is>
          <t>unité</t>
        </is>
      </c>
      <c r="H1783" s="7" t="inlineStr">
        <is>
          <t>LARGE</t>
        </is>
      </c>
      <c r="I1783" s="7" t="n">
        <v>0</v>
      </c>
      <c r="J1783" s="7" t="inlineStr">
        <is>
          <t>A-03-03</t>
        </is>
      </c>
      <c r="K1783" s="7" t="inlineStr"/>
      <c r="L1783" s="9" t="n">
        <v>0</v>
      </c>
      <c r="M1783" s="9" t="n">
        <v>0</v>
      </c>
      <c r="N1783" s="9" t="n">
        <v>15</v>
      </c>
      <c r="O1783" s="7" t="inlineStr">
        <is>
          <t>BOS</t>
        </is>
      </c>
      <c r="P1783" s="7" t="inlineStr">
        <is>
          <t>CRITIQUE</t>
        </is>
      </c>
      <c r="Q1783" s="7" t="inlineStr">
        <is>
          <t>WHAP</t>
        </is>
      </c>
      <c r="R1783" s="7" t="inlineStr">
        <is>
          <t>OUI</t>
        </is>
      </c>
      <c r="S1783" s="7" t="inlineStr">
        <is>
          <t>31/08/2026 02:59</t>
        </is>
      </c>
    </row>
    <row r="1784">
      <c r="A1784" s="8" t="inlineStr">
        <is>
          <t>WHAP-1780</t>
        </is>
      </c>
      <c r="B1784" s="8" t="inlineStr">
        <is>
          <t>MOT-1780</t>
        </is>
      </c>
      <c r="C1784" s="8" t="inlineStr">
        <is>
          <t>fixation de coussinet de bielle</t>
        </is>
      </c>
      <c r="D1784" s="8" t="inlineStr">
        <is>
          <t>Moteur</t>
        </is>
      </c>
      <c r="E1784" s="8" t="inlineStr">
        <is>
          <t>Moteur</t>
        </is>
      </c>
      <c r="F1784" s="8" t="inlineStr">
        <is>
          <t>PIECE_VEHICULE</t>
        </is>
      </c>
      <c r="G1784" s="8" t="inlineStr">
        <is>
          <t>unité</t>
        </is>
      </c>
      <c r="H1784" s="8" t="inlineStr">
        <is>
          <t>LARGE</t>
        </is>
      </c>
      <c r="I1784" s="8" t="n">
        <v>0</v>
      </c>
      <c r="J1784" s="8" t="inlineStr">
        <is>
          <t>F-05-02</t>
        </is>
      </c>
      <c r="K1784" s="8" t="inlineStr"/>
      <c r="L1784" s="10" t="n">
        <v>0</v>
      </c>
      <c r="M1784" s="10" t="n">
        <v>0</v>
      </c>
      <c r="N1784" s="10" t="n">
        <v>13</v>
      </c>
      <c r="O1784" s="8" t="inlineStr">
        <is>
          <t>YZK</t>
        </is>
      </c>
      <c r="P1784" s="8" t="inlineStr">
        <is>
          <t>CRITIQUE</t>
        </is>
      </c>
      <c r="Q1784" s="8" t="inlineStr">
        <is>
          <t>WHAP</t>
        </is>
      </c>
      <c r="R1784" s="8" t="inlineStr">
        <is>
          <t>OUI</t>
        </is>
      </c>
      <c r="S1784" s="8" t="inlineStr">
        <is>
          <t>31/08/2026 02:59</t>
        </is>
      </c>
    </row>
    <row r="1785">
      <c r="A1785" s="7" t="inlineStr">
        <is>
          <t>WHAP-1781</t>
        </is>
      </c>
      <c r="B1785" s="7" t="inlineStr">
        <is>
          <t>MOT-1781</t>
        </is>
      </c>
      <c r="C1785" s="7" t="inlineStr">
        <is>
          <t>protection de coussinet de bielle</t>
        </is>
      </c>
      <c r="D1785" s="7" t="inlineStr">
        <is>
          <t>Moteur</t>
        </is>
      </c>
      <c r="E1785" s="7" t="inlineStr">
        <is>
          <t>Moteur</t>
        </is>
      </c>
      <c r="F1785" s="7" t="inlineStr">
        <is>
          <t>PIECE_VEHICULE</t>
        </is>
      </c>
      <c r="G1785" s="7" t="inlineStr">
        <is>
          <t>unité</t>
        </is>
      </c>
      <c r="H1785" s="7" t="inlineStr">
        <is>
          <t>LARGE</t>
        </is>
      </c>
      <c r="I1785" s="7" t="n">
        <v>0</v>
      </c>
      <c r="J1785" s="7" t="inlineStr">
        <is>
          <t>E-02-02</t>
        </is>
      </c>
      <c r="K1785" s="7" t="inlineStr"/>
      <c r="L1785" s="9" t="n">
        <v>0</v>
      </c>
      <c r="M1785" s="9" t="n">
        <v>0</v>
      </c>
      <c r="N1785" s="9" t="n">
        <v>19</v>
      </c>
      <c r="O1785" s="7" t="inlineStr">
        <is>
          <t>MAG</t>
        </is>
      </c>
      <c r="P1785" s="7" t="inlineStr">
        <is>
          <t>CRITIQUE</t>
        </is>
      </c>
      <c r="Q1785" s="7" t="inlineStr">
        <is>
          <t>WHAP</t>
        </is>
      </c>
      <c r="R1785" s="7" t="inlineStr">
        <is>
          <t>OUI</t>
        </is>
      </c>
      <c r="S1785" s="7" t="inlineStr">
        <is>
          <t>31/08/2026 02:59</t>
        </is>
      </c>
    </row>
    <row r="1786">
      <c r="A1786" s="8" t="inlineStr">
        <is>
          <t>WHAP-1782</t>
        </is>
      </c>
      <c r="B1786" s="8" t="inlineStr">
        <is>
          <t>MOT-1782</t>
        </is>
      </c>
      <c r="C1786" s="8" t="inlineStr">
        <is>
          <t>capteur de coussinet de bielle</t>
        </is>
      </c>
      <c r="D1786" s="8" t="inlineStr">
        <is>
          <t>Moteur</t>
        </is>
      </c>
      <c r="E1786" s="8" t="inlineStr">
        <is>
          <t>Moteur</t>
        </is>
      </c>
      <c r="F1786" s="8" t="inlineStr">
        <is>
          <t>PIECE_VEHICULE</t>
        </is>
      </c>
      <c r="G1786" s="8" t="inlineStr">
        <is>
          <t>unité</t>
        </is>
      </c>
      <c r="H1786" s="8" t="inlineStr">
        <is>
          <t>LARGE</t>
        </is>
      </c>
      <c r="I1786" s="8" t="n">
        <v>0</v>
      </c>
      <c r="J1786" s="8" t="inlineStr">
        <is>
          <t>F-03-02</t>
        </is>
      </c>
      <c r="K1786" s="8" t="inlineStr"/>
      <c r="L1786" s="10" t="n">
        <v>0</v>
      </c>
      <c r="M1786" s="10" t="n">
        <v>0</v>
      </c>
      <c r="N1786" s="10" t="n">
        <v>19</v>
      </c>
      <c r="O1786" s="8" t="inlineStr">
        <is>
          <t>FAU</t>
        </is>
      </c>
      <c r="P1786" s="8" t="inlineStr">
        <is>
          <t>CRITIQUE</t>
        </is>
      </c>
      <c r="Q1786" s="8" t="inlineStr">
        <is>
          <t>WHAP</t>
        </is>
      </c>
      <c r="R1786" s="8" t="inlineStr">
        <is>
          <t>OUI</t>
        </is>
      </c>
      <c r="S1786" s="8" t="inlineStr">
        <is>
          <t>31/08/2026 02:59</t>
        </is>
      </c>
    </row>
    <row r="1787">
      <c r="A1787" s="7" t="inlineStr">
        <is>
          <t>WHAP-1783</t>
        </is>
      </c>
      <c r="B1787" s="7" t="inlineStr">
        <is>
          <t>MOT-1783</t>
        </is>
      </c>
      <c r="C1787" s="7" t="inlineStr">
        <is>
          <t>actionneur de coussinet de bielle</t>
        </is>
      </c>
      <c r="D1787" s="7" t="inlineStr">
        <is>
          <t>Moteur</t>
        </is>
      </c>
      <c r="E1787" s="7" t="inlineStr">
        <is>
          <t>Moteur</t>
        </is>
      </c>
      <c r="F1787" s="7" t="inlineStr">
        <is>
          <t>PIECE_VEHICULE</t>
        </is>
      </c>
      <c r="G1787" s="7" t="inlineStr">
        <is>
          <t>unité</t>
        </is>
      </c>
      <c r="H1787" s="7" t="inlineStr">
        <is>
          <t>LARGE</t>
        </is>
      </c>
      <c r="I1787" s="7" t="n">
        <v>0</v>
      </c>
      <c r="J1787" s="7" t="inlineStr">
        <is>
          <t>F-04-02</t>
        </is>
      </c>
      <c r="K1787" s="7" t="inlineStr"/>
      <c r="L1787" s="9" t="n">
        <v>0</v>
      </c>
      <c r="M1787" s="9" t="n">
        <v>0</v>
      </c>
      <c r="N1787" s="9" t="n">
        <v>19</v>
      </c>
      <c r="O1787" s="7" t="inlineStr">
        <is>
          <t>CTL</t>
        </is>
      </c>
      <c r="P1787" s="7" t="inlineStr">
        <is>
          <t>CRITIQUE</t>
        </is>
      </c>
      <c r="Q1787" s="7" t="inlineStr">
        <is>
          <t>WHAP</t>
        </is>
      </c>
      <c r="R1787" s="7" t="inlineStr">
        <is>
          <t>OUI</t>
        </is>
      </c>
      <c r="S1787" s="7" t="inlineStr">
        <is>
          <t>31/08/2026 02:59</t>
        </is>
      </c>
    </row>
    <row r="1788">
      <c r="A1788" s="8" t="inlineStr">
        <is>
          <t>WHAP-1784</t>
        </is>
      </c>
      <c r="B1788" s="8" t="inlineStr">
        <is>
          <t>MOT-1784</t>
        </is>
      </c>
      <c r="C1788" s="8" t="inlineStr">
        <is>
          <t>raccord de coussinet de bielle</t>
        </is>
      </c>
      <c r="D1788" s="8" t="inlineStr">
        <is>
          <t>Moteur</t>
        </is>
      </c>
      <c r="E1788" s="8" t="inlineStr">
        <is>
          <t>Moteur</t>
        </is>
      </c>
      <c r="F1788" s="8" t="inlineStr">
        <is>
          <t>PIECE_VEHICULE</t>
        </is>
      </c>
      <c r="G1788" s="8" t="inlineStr">
        <is>
          <t>unité</t>
        </is>
      </c>
      <c r="H1788" s="8" t="inlineStr">
        <is>
          <t>LARGE</t>
        </is>
      </c>
      <c r="I1788" s="8" t="n">
        <v>0</v>
      </c>
      <c r="J1788" s="8" t="inlineStr">
        <is>
          <t>E-04-02</t>
        </is>
      </c>
      <c r="K1788" s="8" t="inlineStr"/>
      <c r="L1788" s="10" t="n">
        <v>0</v>
      </c>
      <c r="M1788" s="10" t="n">
        <v>0</v>
      </c>
      <c r="N1788" s="10" t="n">
        <v>20</v>
      </c>
      <c r="O1788" s="8" t="inlineStr">
        <is>
          <t>HEL</t>
        </is>
      </c>
      <c r="P1788" s="8" t="inlineStr">
        <is>
          <t>CRITIQUE</t>
        </is>
      </c>
      <c r="Q1788" s="8" t="inlineStr">
        <is>
          <t>WHAP</t>
        </is>
      </c>
      <c r="R1788" s="8" t="inlineStr">
        <is>
          <t>OUI</t>
        </is>
      </c>
      <c r="S1788" s="8" t="inlineStr">
        <is>
          <t>31/08/2026 02:59</t>
        </is>
      </c>
    </row>
    <row r="1789">
      <c r="A1789" s="7" t="inlineStr">
        <is>
          <t>WHAP-1785</t>
        </is>
      </c>
      <c r="B1789" s="7" t="inlineStr">
        <is>
          <t>MOT-1785</t>
        </is>
      </c>
      <c r="C1789" s="7" t="inlineStr">
        <is>
          <t>plaque de coussinet de bielle</t>
        </is>
      </c>
      <c r="D1789" s="7" t="inlineStr">
        <is>
          <t>Moteur</t>
        </is>
      </c>
      <c r="E1789" s="7" t="inlineStr">
        <is>
          <t>Moteur</t>
        </is>
      </c>
      <c r="F1789" s="7" t="inlineStr">
        <is>
          <t>PIECE_VEHICULE</t>
        </is>
      </c>
      <c r="G1789" s="7" t="inlineStr">
        <is>
          <t>unité</t>
        </is>
      </c>
      <c r="H1789" s="7" t="inlineStr">
        <is>
          <t>LARGE</t>
        </is>
      </c>
      <c r="I1789" s="7" t="n">
        <v>0</v>
      </c>
      <c r="J1789" s="7" t="inlineStr">
        <is>
          <t>C-05-01</t>
        </is>
      </c>
      <c r="K1789" s="7" t="inlineStr"/>
      <c r="L1789" s="9" t="n">
        <v>0</v>
      </c>
      <c r="M1789" s="9" t="n">
        <v>0</v>
      </c>
      <c r="N1789" s="9" t="n">
        <v>12</v>
      </c>
      <c r="O1789" s="7" t="inlineStr">
        <is>
          <t>MAG</t>
        </is>
      </c>
      <c r="P1789" s="7" t="inlineStr">
        <is>
          <t>CRITIQUE</t>
        </is>
      </c>
      <c r="Q1789" s="7" t="inlineStr">
        <is>
          <t>WHAP</t>
        </is>
      </c>
      <c r="R1789" s="7" t="inlineStr">
        <is>
          <t>OUI</t>
        </is>
      </c>
      <c r="S1789" s="7" t="inlineStr">
        <is>
          <t>31/08/2026 02:59</t>
        </is>
      </c>
    </row>
    <row r="1790">
      <c r="A1790" s="8" t="inlineStr">
        <is>
          <t>WHAP-1786</t>
        </is>
      </c>
      <c r="B1790" s="8" t="inlineStr">
        <is>
          <t>MOT-1786</t>
        </is>
      </c>
      <c r="C1790" s="8" t="inlineStr">
        <is>
          <t>couvercle de coussinet de bielle</t>
        </is>
      </c>
      <c r="D1790" s="8" t="inlineStr">
        <is>
          <t>Moteur</t>
        </is>
      </c>
      <c r="E1790" s="8" t="inlineStr">
        <is>
          <t>Moteur</t>
        </is>
      </c>
      <c r="F1790" s="8" t="inlineStr">
        <is>
          <t>PIECE_VEHICULE</t>
        </is>
      </c>
      <c r="G1790" s="8" t="inlineStr">
        <is>
          <t>unité</t>
        </is>
      </c>
      <c r="H1790" s="8" t="inlineStr">
        <is>
          <t>LARGE</t>
        </is>
      </c>
      <c r="I1790" s="8" t="n">
        <v>0</v>
      </c>
      <c r="J1790" s="8" t="inlineStr">
        <is>
          <t>B-01-03</t>
        </is>
      </c>
      <c r="K1790" s="8" t="inlineStr"/>
      <c r="L1790" s="10" t="n">
        <v>0</v>
      </c>
      <c r="M1790" s="10" t="n">
        <v>0</v>
      </c>
      <c r="N1790" s="10" t="n">
        <v>15</v>
      </c>
      <c r="O1790" s="8" t="inlineStr">
        <is>
          <t>YZK</t>
        </is>
      </c>
      <c r="P1790" s="8" t="inlineStr">
        <is>
          <t>CRITIQUE</t>
        </is>
      </c>
      <c r="Q1790" s="8" t="inlineStr">
        <is>
          <t>WHAP</t>
        </is>
      </c>
      <c r="R1790" s="8" t="inlineStr">
        <is>
          <t>OUI</t>
        </is>
      </c>
      <c r="S1790" s="8" t="inlineStr">
        <is>
          <t>31/08/2026 02:59</t>
        </is>
      </c>
    </row>
    <row r="1791">
      <c r="A1791" s="7" t="inlineStr">
        <is>
          <t>WHAP-1787</t>
        </is>
      </c>
      <c r="B1791" s="7" t="inlineStr">
        <is>
          <t>MOT-1787</t>
        </is>
      </c>
      <c r="C1791" s="7" t="inlineStr">
        <is>
          <t>bague de coussinet de bielle</t>
        </is>
      </c>
      <c r="D1791" s="7" t="inlineStr">
        <is>
          <t>Moteur</t>
        </is>
      </c>
      <c r="E1791" s="7" t="inlineStr">
        <is>
          <t>Moteur</t>
        </is>
      </c>
      <c r="F1791" s="7" t="inlineStr">
        <is>
          <t>PIECE_VEHICULE</t>
        </is>
      </c>
      <c r="G1791" s="7" t="inlineStr">
        <is>
          <t>unité</t>
        </is>
      </c>
      <c r="H1791" s="7" t="inlineStr">
        <is>
          <t>LARGE</t>
        </is>
      </c>
      <c r="I1791" s="7" t="n">
        <v>0</v>
      </c>
      <c r="J1791" s="7" t="inlineStr">
        <is>
          <t>F-04-04</t>
        </is>
      </c>
      <c r="K1791" s="7" t="inlineStr"/>
      <c r="L1791" s="9" t="n">
        <v>0</v>
      </c>
      <c r="M1791" s="9" t="n">
        <v>0</v>
      </c>
      <c r="N1791" s="9" t="n">
        <v>10</v>
      </c>
      <c r="O1791" s="7" t="inlineStr">
        <is>
          <t>VAL</t>
        </is>
      </c>
      <c r="P1791" s="7" t="inlineStr">
        <is>
          <t>CRITIQUE</t>
        </is>
      </c>
      <c r="Q1791" s="7" t="inlineStr">
        <is>
          <t>WHAP</t>
        </is>
      </c>
      <c r="R1791" s="7" t="inlineStr">
        <is>
          <t>OUI</t>
        </is>
      </c>
      <c r="S1791" s="7" t="inlineStr">
        <is>
          <t>31/08/2026 02:59</t>
        </is>
      </c>
    </row>
    <row r="1792">
      <c r="A1792" s="8" t="inlineStr">
        <is>
          <t>WHAP-1788</t>
        </is>
      </c>
      <c r="B1792" s="8" t="inlineStr">
        <is>
          <t>MOT-1788</t>
        </is>
      </c>
      <c r="C1792" s="8" t="inlineStr">
        <is>
          <t>entretoise de coussinet de bielle</t>
        </is>
      </c>
      <c r="D1792" s="8" t="inlineStr">
        <is>
          <t>Moteur</t>
        </is>
      </c>
      <c r="E1792" s="8" t="inlineStr">
        <is>
          <t>Moteur</t>
        </is>
      </c>
      <c r="F1792" s="8" t="inlineStr">
        <is>
          <t>PIECE_VEHICULE</t>
        </is>
      </c>
      <c r="G1792" s="8" t="inlineStr">
        <is>
          <t>unité</t>
        </is>
      </c>
      <c r="H1792" s="8" t="inlineStr">
        <is>
          <t>LARGE</t>
        </is>
      </c>
      <c r="I1792" s="8" t="n">
        <v>0</v>
      </c>
      <c r="J1792" s="8" t="inlineStr">
        <is>
          <t>B-03-01</t>
        </is>
      </c>
      <c r="K1792" s="8" t="inlineStr"/>
      <c r="L1792" s="10" t="n">
        <v>0</v>
      </c>
      <c r="M1792" s="10" t="n">
        <v>0</v>
      </c>
      <c r="N1792" s="10" t="n">
        <v>19</v>
      </c>
      <c r="O1792" s="8" t="inlineStr">
        <is>
          <t>VAL</t>
        </is>
      </c>
      <c r="P1792" s="8" t="inlineStr">
        <is>
          <t>CRITIQUE</t>
        </is>
      </c>
      <c r="Q1792" s="8" t="inlineStr">
        <is>
          <t>WHAP</t>
        </is>
      </c>
      <c r="R1792" s="8" t="inlineStr">
        <is>
          <t>OUI</t>
        </is>
      </c>
      <c r="S1792" s="8" t="inlineStr">
        <is>
          <t>31/08/2026 02:59</t>
        </is>
      </c>
    </row>
    <row r="1793">
      <c r="A1793" s="7" t="inlineStr">
        <is>
          <t>WHAP-1789</t>
        </is>
      </c>
      <c r="B1793" s="7" t="inlineStr">
        <is>
          <t>MOT-1789</t>
        </is>
      </c>
      <c r="C1793" s="7" t="inlineStr">
        <is>
          <t>axe de coussinet de bielle</t>
        </is>
      </c>
      <c r="D1793" s="7" t="inlineStr">
        <is>
          <t>Moteur</t>
        </is>
      </c>
      <c r="E1793" s="7" t="inlineStr">
        <is>
          <t>Moteur</t>
        </is>
      </c>
      <c r="F1793" s="7" t="inlineStr">
        <is>
          <t>PIECE_VEHICULE</t>
        </is>
      </c>
      <c r="G1793" s="7" t="inlineStr">
        <is>
          <t>unité</t>
        </is>
      </c>
      <c r="H1793" s="7" t="inlineStr">
        <is>
          <t>LARGE</t>
        </is>
      </c>
      <c r="I1793" s="7" t="n">
        <v>0</v>
      </c>
      <c r="J1793" s="7" t="inlineStr">
        <is>
          <t>D-04-01</t>
        </is>
      </c>
      <c r="K1793" s="7" t="inlineStr"/>
      <c r="L1793" s="9" t="n">
        <v>0</v>
      </c>
      <c r="M1793" s="9" t="n">
        <v>0</v>
      </c>
      <c r="N1793" s="9" t="n">
        <v>19</v>
      </c>
      <c r="O1793" s="7" t="inlineStr">
        <is>
          <t>VAL</t>
        </is>
      </c>
      <c r="P1793" s="7" t="inlineStr">
        <is>
          <t>CRITIQUE</t>
        </is>
      </c>
      <c r="Q1793" s="7" t="inlineStr">
        <is>
          <t>WHAP</t>
        </is>
      </c>
      <c r="R1793" s="7" t="inlineStr">
        <is>
          <t>OUI</t>
        </is>
      </c>
      <c r="S1793" s="7" t="inlineStr">
        <is>
          <t>31/08/2026 02:59</t>
        </is>
      </c>
    </row>
    <row r="1794">
      <c r="A1794" s="8" t="inlineStr">
        <is>
          <t>WHAP-1790</t>
        </is>
      </c>
      <c r="B1794" s="8" t="inlineStr">
        <is>
          <t>MOT-1790</t>
        </is>
      </c>
      <c r="C1794" s="8" t="inlineStr">
        <is>
          <t>poulie de coussinet de bielle</t>
        </is>
      </c>
      <c r="D1794" s="8" t="inlineStr">
        <is>
          <t>Moteur</t>
        </is>
      </c>
      <c r="E1794" s="8" t="inlineStr">
        <is>
          <t>Moteur</t>
        </is>
      </c>
      <c r="F1794" s="8" t="inlineStr">
        <is>
          <t>PIECE_VEHICULE</t>
        </is>
      </c>
      <c r="G1794" s="8" t="inlineStr">
        <is>
          <t>unité</t>
        </is>
      </c>
      <c r="H1794" s="8" t="inlineStr">
        <is>
          <t>LARGE</t>
        </is>
      </c>
      <c r="I1794" s="8" t="n">
        <v>0</v>
      </c>
      <c r="J1794" s="8" t="inlineStr">
        <is>
          <t>B-04-03</t>
        </is>
      </c>
      <c r="K1794" s="8" t="inlineStr"/>
      <c r="L1794" s="10" t="n">
        <v>0</v>
      </c>
      <c r="M1794" s="10" t="n">
        <v>0</v>
      </c>
      <c r="N1794" s="10" t="n">
        <v>10</v>
      </c>
      <c r="O1794" s="8" t="inlineStr">
        <is>
          <t>VAL</t>
        </is>
      </c>
      <c r="P1794" s="8" t="inlineStr">
        <is>
          <t>CRITIQUE</t>
        </is>
      </c>
      <c r="Q1794" s="8" t="inlineStr">
        <is>
          <t>WHAP</t>
        </is>
      </c>
      <c r="R1794" s="8" t="inlineStr">
        <is>
          <t>OUI</t>
        </is>
      </c>
      <c r="S1794" s="8" t="inlineStr">
        <is>
          <t>31/08/2026 02:59</t>
        </is>
      </c>
    </row>
    <row r="1795">
      <c r="A1795" s="7" t="inlineStr">
        <is>
          <t>WHAP-1791</t>
        </is>
      </c>
      <c r="B1795" s="7" t="inlineStr">
        <is>
          <t>MOT-1791</t>
        </is>
      </c>
      <c r="C1795" s="7" t="inlineStr">
        <is>
          <t>pignon de coussinet de bielle</t>
        </is>
      </c>
      <c r="D1795" s="7" t="inlineStr">
        <is>
          <t>Moteur</t>
        </is>
      </c>
      <c r="E1795" s="7" t="inlineStr">
        <is>
          <t>Moteur</t>
        </is>
      </c>
      <c r="F1795" s="7" t="inlineStr">
        <is>
          <t>PIECE_VEHICULE</t>
        </is>
      </c>
      <c r="G1795" s="7" t="inlineStr">
        <is>
          <t>unité</t>
        </is>
      </c>
      <c r="H1795" s="7" t="inlineStr">
        <is>
          <t>LARGE</t>
        </is>
      </c>
      <c r="I1795" s="7" t="n">
        <v>0</v>
      </c>
      <c r="J1795" s="7" t="inlineStr">
        <is>
          <t>F-04-04</t>
        </is>
      </c>
      <c r="K1795" s="7" t="inlineStr"/>
      <c r="L1795" s="9" t="n">
        <v>0</v>
      </c>
      <c r="M1795" s="9" t="n">
        <v>0</v>
      </c>
      <c r="N1795" s="9" t="n">
        <v>13</v>
      </c>
      <c r="O1795" s="7" t="inlineStr">
        <is>
          <t>VAL</t>
        </is>
      </c>
      <c r="P1795" s="7" t="inlineStr">
        <is>
          <t>CRITIQUE</t>
        </is>
      </c>
      <c r="Q1795" s="7" t="inlineStr">
        <is>
          <t>WHAP</t>
        </is>
      </c>
      <c r="R1795" s="7" t="inlineStr">
        <is>
          <t>OUI</t>
        </is>
      </c>
      <c r="S1795" s="7" t="inlineStr">
        <is>
          <t>31/08/2026 02:59</t>
        </is>
      </c>
    </row>
    <row r="1796">
      <c r="A1796" s="8" t="inlineStr">
        <is>
          <t>WHAP-1792</t>
        </is>
      </c>
      <c r="B1796" s="8" t="inlineStr">
        <is>
          <t>MOT-1792</t>
        </is>
      </c>
      <c r="C1796" s="8" t="inlineStr">
        <is>
          <t>ensemble de piston</t>
        </is>
      </c>
      <c r="D1796" s="8" t="inlineStr">
        <is>
          <t>Moteur</t>
        </is>
      </c>
      <c r="E1796" s="8" t="inlineStr">
        <is>
          <t>Moteur</t>
        </is>
      </c>
      <c r="F1796" s="8" t="inlineStr">
        <is>
          <t>PIECE_VEHICULE</t>
        </is>
      </c>
      <c r="G1796" s="8" t="inlineStr">
        <is>
          <t>unité</t>
        </is>
      </c>
      <c r="H1796" s="8" t="inlineStr">
        <is>
          <t>LARGE</t>
        </is>
      </c>
      <c r="I1796" s="8" t="n">
        <v>0</v>
      </c>
      <c r="J1796" s="8" t="inlineStr">
        <is>
          <t>B-06-01</t>
        </is>
      </c>
      <c r="K1796" s="8" t="inlineStr"/>
      <c r="L1796" s="10" t="n">
        <v>0</v>
      </c>
      <c r="M1796" s="10" t="n">
        <v>0</v>
      </c>
      <c r="N1796" s="10" t="n">
        <v>14</v>
      </c>
      <c r="O1796" s="8" t="inlineStr">
        <is>
          <t>CTL</t>
        </is>
      </c>
      <c r="P1796" s="8" t="inlineStr">
        <is>
          <t>CRITIQUE</t>
        </is>
      </c>
      <c r="Q1796" s="8" t="inlineStr">
        <is>
          <t>WHAP</t>
        </is>
      </c>
      <c r="R1796" s="8" t="inlineStr">
        <is>
          <t>OUI</t>
        </is>
      </c>
      <c r="S1796" s="8" t="inlineStr">
        <is>
          <t>31/08/2026 02:59</t>
        </is>
      </c>
    </row>
    <row r="1797">
      <c r="A1797" s="7" t="inlineStr">
        <is>
          <t>WHAP-1793</t>
        </is>
      </c>
      <c r="B1797" s="7" t="inlineStr">
        <is>
          <t>MOT-1793</t>
        </is>
      </c>
      <c r="C1797" s="7" t="inlineStr">
        <is>
          <t>kit de piston</t>
        </is>
      </c>
      <c r="D1797" s="7" t="inlineStr">
        <is>
          <t>Moteur</t>
        </is>
      </c>
      <c r="E1797" s="7" t="inlineStr">
        <is>
          <t>Moteur</t>
        </is>
      </c>
      <c r="F1797" s="7" t="inlineStr">
        <is>
          <t>PIECE_VEHICULE</t>
        </is>
      </c>
      <c r="G1797" s="7" t="inlineStr">
        <is>
          <t>unité</t>
        </is>
      </c>
      <c r="H1797" s="7" t="inlineStr">
        <is>
          <t>LARGE</t>
        </is>
      </c>
      <c r="I1797" s="7" t="n">
        <v>0</v>
      </c>
      <c r="J1797" s="7" t="inlineStr">
        <is>
          <t>E-06-02</t>
        </is>
      </c>
      <c r="K1797" s="7" t="inlineStr"/>
      <c r="L1797" s="9" t="n">
        <v>0</v>
      </c>
      <c r="M1797" s="9" t="n">
        <v>0</v>
      </c>
      <c r="N1797" s="9" t="n">
        <v>17</v>
      </c>
      <c r="O1797" s="7" t="inlineStr">
        <is>
          <t>BOS</t>
        </is>
      </c>
      <c r="P1797" s="7" t="inlineStr">
        <is>
          <t>CRITIQUE</t>
        </is>
      </c>
      <c r="Q1797" s="7" t="inlineStr">
        <is>
          <t>WHAP</t>
        </is>
      </c>
      <c r="R1797" s="7" t="inlineStr">
        <is>
          <t>OUI</t>
        </is>
      </c>
      <c r="S1797" s="7" t="inlineStr">
        <is>
          <t>31/08/2026 02:59</t>
        </is>
      </c>
    </row>
    <row r="1798">
      <c r="A1798" s="8" t="inlineStr">
        <is>
          <t>WHAP-1794</t>
        </is>
      </c>
      <c r="B1798" s="8" t="inlineStr">
        <is>
          <t>MOT-1794</t>
        </is>
      </c>
      <c r="C1798" s="8" t="inlineStr">
        <is>
          <t>support de piston</t>
        </is>
      </c>
      <c r="D1798" s="8" t="inlineStr">
        <is>
          <t>Moteur</t>
        </is>
      </c>
      <c r="E1798" s="8" t="inlineStr">
        <is>
          <t>Moteur</t>
        </is>
      </c>
      <c r="F1798" s="8" t="inlineStr">
        <is>
          <t>PIECE_VEHICULE</t>
        </is>
      </c>
      <c r="G1798" s="8" t="inlineStr">
        <is>
          <t>unité</t>
        </is>
      </c>
      <c r="H1798" s="8" t="inlineStr">
        <is>
          <t>LARGE</t>
        </is>
      </c>
      <c r="I1798" s="8" t="n">
        <v>0</v>
      </c>
      <c r="J1798" s="8" t="inlineStr">
        <is>
          <t>C-03-04</t>
        </is>
      </c>
      <c r="K1798" s="8" t="inlineStr"/>
      <c r="L1798" s="10" t="n">
        <v>0</v>
      </c>
      <c r="M1798" s="10" t="n">
        <v>0</v>
      </c>
      <c r="N1798" s="10" t="n">
        <v>13</v>
      </c>
      <c r="O1798" s="8" t="inlineStr">
        <is>
          <t>DEL</t>
        </is>
      </c>
      <c r="P1798" s="8" t="inlineStr">
        <is>
          <t>CRITIQUE</t>
        </is>
      </c>
      <c r="Q1798" s="8" t="inlineStr">
        <is>
          <t>WHAP</t>
        </is>
      </c>
      <c r="R1798" s="8" t="inlineStr">
        <is>
          <t>OUI</t>
        </is>
      </c>
      <c r="S1798" s="8" t="inlineStr">
        <is>
          <t>31/08/2026 02:59</t>
        </is>
      </c>
    </row>
    <row r="1799">
      <c r="A1799" s="7" t="inlineStr">
        <is>
          <t>WHAP-1795</t>
        </is>
      </c>
      <c r="B1799" s="7" t="inlineStr">
        <is>
          <t>MOT-1795</t>
        </is>
      </c>
      <c r="C1799" s="7" t="inlineStr">
        <is>
          <t>boîtier de piston</t>
        </is>
      </c>
      <c r="D1799" s="7" t="inlineStr">
        <is>
          <t>Moteur</t>
        </is>
      </c>
      <c r="E1799" s="7" t="inlineStr">
        <is>
          <t>Moteur</t>
        </is>
      </c>
      <c r="F1799" s="7" t="inlineStr">
        <is>
          <t>PIECE_VEHICULE</t>
        </is>
      </c>
      <c r="G1799" s="7" t="inlineStr">
        <is>
          <t>unité</t>
        </is>
      </c>
      <c r="H1799" s="7" t="inlineStr">
        <is>
          <t>LARGE</t>
        </is>
      </c>
      <c r="I1799" s="7" t="n">
        <v>0</v>
      </c>
      <c r="J1799" s="7" t="inlineStr">
        <is>
          <t>A-06-01</t>
        </is>
      </c>
      <c r="K1799" s="7" t="inlineStr"/>
      <c r="L1799" s="9" t="n">
        <v>0</v>
      </c>
      <c r="M1799" s="9" t="n">
        <v>0</v>
      </c>
      <c r="N1799" s="9" t="n">
        <v>10</v>
      </c>
      <c r="O1799" s="7" t="inlineStr">
        <is>
          <t>SUM</t>
        </is>
      </c>
      <c r="P1799" s="7" t="inlineStr">
        <is>
          <t>CRITIQUE</t>
        </is>
      </c>
      <c r="Q1799" s="7" t="inlineStr">
        <is>
          <t>WHAP</t>
        </is>
      </c>
      <c r="R1799" s="7" t="inlineStr">
        <is>
          <t>OUI</t>
        </is>
      </c>
      <c r="S1799" s="7" t="inlineStr">
        <is>
          <t>31/08/2026 02:59</t>
        </is>
      </c>
    </row>
    <row r="1800">
      <c r="A1800" s="8" t="inlineStr">
        <is>
          <t>WHAP-1796</t>
        </is>
      </c>
      <c r="B1800" s="8" t="inlineStr">
        <is>
          <t>MOT-1796</t>
        </is>
      </c>
      <c r="C1800" s="8" t="inlineStr">
        <is>
          <t>module de piston</t>
        </is>
      </c>
      <c r="D1800" s="8" t="inlineStr">
        <is>
          <t>Moteur</t>
        </is>
      </c>
      <c r="E1800" s="8" t="inlineStr">
        <is>
          <t>Moteur</t>
        </is>
      </c>
      <c r="F1800" s="8" t="inlineStr">
        <is>
          <t>PIECE_VEHICULE</t>
        </is>
      </c>
      <c r="G1800" s="8" t="inlineStr">
        <is>
          <t>unité</t>
        </is>
      </c>
      <c r="H1800" s="8" t="inlineStr">
        <is>
          <t>LARGE</t>
        </is>
      </c>
      <c r="I1800" s="8" t="n">
        <v>0</v>
      </c>
      <c r="J1800" s="8" t="inlineStr">
        <is>
          <t>A-06-04</t>
        </is>
      </c>
      <c r="K1800" s="8" t="inlineStr"/>
      <c r="L1800" s="10" t="n">
        <v>0</v>
      </c>
      <c r="M1800" s="10" t="n">
        <v>0</v>
      </c>
      <c r="N1800" s="10" t="n">
        <v>10</v>
      </c>
      <c r="O1800" s="8" t="inlineStr">
        <is>
          <t>MAG</t>
        </is>
      </c>
      <c r="P1800" s="8" t="inlineStr">
        <is>
          <t>CRITIQUE</t>
        </is>
      </c>
      <c r="Q1800" s="8" t="inlineStr">
        <is>
          <t>WHAP</t>
        </is>
      </c>
      <c r="R1800" s="8" t="inlineStr">
        <is>
          <t>OUI</t>
        </is>
      </c>
      <c r="S1800" s="8" t="inlineStr">
        <is>
          <t>31/08/2026 02:59</t>
        </is>
      </c>
    </row>
    <row r="1801">
      <c r="A1801" s="7" t="inlineStr">
        <is>
          <t>WHAP-1797</t>
        </is>
      </c>
      <c r="B1801" s="7" t="inlineStr">
        <is>
          <t>MOT-1797</t>
        </is>
      </c>
      <c r="C1801" s="7" t="inlineStr">
        <is>
          <t>câblage de piston</t>
        </is>
      </c>
      <c r="D1801" s="7" t="inlineStr">
        <is>
          <t>Moteur</t>
        </is>
      </c>
      <c r="E1801" s="7" t="inlineStr">
        <is>
          <t>Moteur</t>
        </is>
      </c>
      <c r="F1801" s="7" t="inlineStr">
        <is>
          <t>PIECE_VEHICULE</t>
        </is>
      </c>
      <c r="G1801" s="7" t="inlineStr">
        <is>
          <t>unité</t>
        </is>
      </c>
      <c r="H1801" s="7" t="inlineStr">
        <is>
          <t>LARGE</t>
        </is>
      </c>
      <c r="I1801" s="7" t="n">
        <v>0</v>
      </c>
      <c r="J1801" s="7" t="inlineStr">
        <is>
          <t>C-06-03</t>
        </is>
      </c>
      <c r="K1801" s="7" t="inlineStr"/>
      <c r="L1801" s="9" t="n">
        <v>0</v>
      </c>
      <c r="M1801" s="9" t="n">
        <v>0</v>
      </c>
      <c r="N1801" s="9" t="n">
        <v>14</v>
      </c>
      <c r="O1801" s="7" t="inlineStr">
        <is>
          <t>DEL</t>
        </is>
      </c>
      <c r="P1801" s="7" t="inlineStr">
        <is>
          <t>CRITIQUE</t>
        </is>
      </c>
      <c r="Q1801" s="7" t="inlineStr">
        <is>
          <t>WHAP</t>
        </is>
      </c>
      <c r="R1801" s="7" t="inlineStr">
        <is>
          <t>OUI</t>
        </is>
      </c>
      <c r="S1801" s="7" t="inlineStr">
        <is>
          <t>31/08/2026 02:59</t>
        </is>
      </c>
    </row>
    <row r="1802">
      <c r="A1802" s="8" t="inlineStr">
        <is>
          <t>WHAP-1798</t>
        </is>
      </c>
      <c r="B1802" s="8" t="inlineStr">
        <is>
          <t>MOT-1798</t>
        </is>
      </c>
      <c r="C1802" s="8" t="inlineStr">
        <is>
          <t>connecteur de piston</t>
        </is>
      </c>
      <c r="D1802" s="8" t="inlineStr">
        <is>
          <t>Moteur</t>
        </is>
      </c>
      <c r="E1802" s="8" t="inlineStr">
        <is>
          <t>Moteur</t>
        </is>
      </c>
      <c r="F1802" s="8" t="inlineStr">
        <is>
          <t>PIECE_VEHICULE</t>
        </is>
      </c>
      <c r="G1802" s="8" t="inlineStr">
        <is>
          <t>unité</t>
        </is>
      </c>
      <c r="H1802" s="8" t="inlineStr">
        <is>
          <t>LARGE</t>
        </is>
      </c>
      <c r="I1802" s="8" t="n">
        <v>0</v>
      </c>
      <c r="J1802" s="8" t="inlineStr">
        <is>
          <t>D-06-03</t>
        </is>
      </c>
      <c r="K1802" s="8" t="inlineStr"/>
      <c r="L1802" s="10" t="n">
        <v>0</v>
      </c>
      <c r="M1802" s="10" t="n">
        <v>0</v>
      </c>
      <c r="N1802" s="10" t="n">
        <v>14</v>
      </c>
      <c r="O1802" s="8" t="inlineStr">
        <is>
          <t>YZK</t>
        </is>
      </c>
      <c r="P1802" s="8" t="inlineStr">
        <is>
          <t>CRITIQUE</t>
        </is>
      </c>
      <c r="Q1802" s="8" t="inlineStr">
        <is>
          <t>WHAP</t>
        </is>
      </c>
      <c r="R1802" s="8" t="inlineStr">
        <is>
          <t>OUI</t>
        </is>
      </c>
      <c r="S1802" s="8" t="inlineStr">
        <is>
          <t>31/08/2026 02:59</t>
        </is>
      </c>
    </row>
    <row r="1803">
      <c r="A1803" s="7" t="inlineStr">
        <is>
          <t>WHAP-1799</t>
        </is>
      </c>
      <c r="B1803" s="7" t="inlineStr">
        <is>
          <t>MOT-1799</t>
        </is>
      </c>
      <c r="C1803" s="7" t="inlineStr">
        <is>
          <t>joint de piston</t>
        </is>
      </c>
      <c r="D1803" s="7" t="inlineStr">
        <is>
          <t>Moteur</t>
        </is>
      </c>
      <c r="E1803" s="7" t="inlineStr">
        <is>
          <t>Moteur</t>
        </is>
      </c>
      <c r="F1803" s="7" t="inlineStr">
        <is>
          <t>PIECE_VEHICULE</t>
        </is>
      </c>
      <c r="G1803" s="7" t="inlineStr">
        <is>
          <t>unité</t>
        </is>
      </c>
      <c r="H1803" s="7" t="inlineStr">
        <is>
          <t>LARGE</t>
        </is>
      </c>
      <c r="I1803" s="7" t="n">
        <v>0</v>
      </c>
      <c r="J1803" s="7" t="inlineStr">
        <is>
          <t>B-02-04</t>
        </is>
      </c>
      <c r="K1803" s="7" t="inlineStr"/>
      <c r="L1803" s="9" t="n">
        <v>0</v>
      </c>
      <c r="M1803" s="9" t="n">
        <v>0</v>
      </c>
      <c r="N1803" s="9" t="n">
        <v>18</v>
      </c>
      <c r="O1803" s="7" t="inlineStr">
        <is>
          <t>VAL</t>
        </is>
      </c>
      <c r="P1803" s="7" t="inlineStr">
        <is>
          <t>CRITIQUE</t>
        </is>
      </c>
      <c r="Q1803" s="7" t="inlineStr">
        <is>
          <t>WHAP</t>
        </is>
      </c>
      <c r="R1803" s="7" t="inlineStr">
        <is>
          <t>OUI</t>
        </is>
      </c>
      <c r="S1803" s="7" t="inlineStr">
        <is>
          <t>31/08/2026 02:59</t>
        </is>
      </c>
    </row>
    <row r="1804">
      <c r="A1804" s="8" t="inlineStr">
        <is>
          <t>WHAP-1800</t>
        </is>
      </c>
      <c r="B1804" s="8" t="inlineStr">
        <is>
          <t>MOT-1800</t>
        </is>
      </c>
      <c r="C1804" s="8" t="inlineStr">
        <is>
          <t>fixation de piston</t>
        </is>
      </c>
      <c r="D1804" s="8" t="inlineStr">
        <is>
          <t>Moteur</t>
        </is>
      </c>
      <c r="E1804" s="8" t="inlineStr">
        <is>
          <t>Moteur</t>
        </is>
      </c>
      <c r="F1804" s="8" t="inlineStr">
        <is>
          <t>PIECE_VEHICULE</t>
        </is>
      </c>
      <c r="G1804" s="8" t="inlineStr">
        <is>
          <t>unité</t>
        </is>
      </c>
      <c r="H1804" s="8" t="inlineStr">
        <is>
          <t>LARGE</t>
        </is>
      </c>
      <c r="I1804" s="8" t="n">
        <v>0</v>
      </c>
      <c r="J1804" s="8" t="inlineStr">
        <is>
          <t>A-03-02</t>
        </is>
      </c>
      <c r="K1804" s="8" t="inlineStr"/>
      <c r="L1804" s="10" t="n">
        <v>0</v>
      </c>
      <c r="M1804" s="10" t="n">
        <v>0</v>
      </c>
      <c r="N1804" s="10" t="n">
        <v>15</v>
      </c>
      <c r="O1804" s="8" t="inlineStr">
        <is>
          <t>MAG</t>
        </is>
      </c>
      <c r="P1804" s="8" t="inlineStr">
        <is>
          <t>CRITIQUE</t>
        </is>
      </c>
      <c r="Q1804" s="8" t="inlineStr">
        <is>
          <t>WHAP</t>
        </is>
      </c>
      <c r="R1804" s="8" t="inlineStr">
        <is>
          <t>OUI</t>
        </is>
      </c>
      <c r="S1804" s="8" t="inlineStr">
        <is>
          <t>31/08/2026 02:59</t>
        </is>
      </c>
    </row>
    <row r="1805">
      <c r="A1805" s="7" t="inlineStr">
        <is>
          <t>WHAP-1801</t>
        </is>
      </c>
      <c r="B1805" s="7" t="inlineStr">
        <is>
          <t>MOT-1801</t>
        </is>
      </c>
      <c r="C1805" s="7" t="inlineStr">
        <is>
          <t>protection de piston</t>
        </is>
      </c>
      <c r="D1805" s="7" t="inlineStr">
        <is>
          <t>Moteur</t>
        </is>
      </c>
      <c r="E1805" s="7" t="inlineStr">
        <is>
          <t>Moteur</t>
        </is>
      </c>
      <c r="F1805" s="7" t="inlineStr">
        <is>
          <t>PIECE_VEHICULE</t>
        </is>
      </c>
      <c r="G1805" s="7" t="inlineStr">
        <is>
          <t>unité</t>
        </is>
      </c>
      <c r="H1805" s="7" t="inlineStr">
        <is>
          <t>LARGE</t>
        </is>
      </c>
      <c r="I1805" s="7" t="n">
        <v>0</v>
      </c>
      <c r="J1805" s="7" t="inlineStr">
        <is>
          <t>B-03-01</t>
        </is>
      </c>
      <c r="K1805" s="7" t="inlineStr"/>
      <c r="L1805" s="9" t="n">
        <v>0</v>
      </c>
      <c r="M1805" s="9" t="n">
        <v>0</v>
      </c>
      <c r="N1805" s="9" t="n">
        <v>12</v>
      </c>
      <c r="O1805" s="7" t="inlineStr">
        <is>
          <t>FAU</t>
        </is>
      </c>
      <c r="P1805" s="7" t="inlineStr">
        <is>
          <t>CRITIQUE</t>
        </is>
      </c>
      <c r="Q1805" s="7" t="inlineStr">
        <is>
          <t>WHAP</t>
        </is>
      </c>
      <c r="R1805" s="7" t="inlineStr">
        <is>
          <t>OUI</t>
        </is>
      </c>
      <c r="S1805" s="7" t="inlineStr">
        <is>
          <t>31/08/2026 02:59</t>
        </is>
      </c>
    </row>
    <row r="1806">
      <c r="A1806" s="8" t="inlineStr">
        <is>
          <t>WHAP-1802</t>
        </is>
      </c>
      <c r="B1806" s="8" t="inlineStr">
        <is>
          <t>MOT-1802</t>
        </is>
      </c>
      <c r="C1806" s="8" t="inlineStr">
        <is>
          <t>capteur de piston</t>
        </is>
      </c>
      <c r="D1806" s="8" t="inlineStr">
        <is>
          <t>Moteur</t>
        </is>
      </c>
      <c r="E1806" s="8" t="inlineStr">
        <is>
          <t>Moteur</t>
        </is>
      </c>
      <c r="F1806" s="8" t="inlineStr">
        <is>
          <t>PIECE_VEHICULE</t>
        </is>
      </c>
      <c r="G1806" s="8" t="inlineStr">
        <is>
          <t>unité</t>
        </is>
      </c>
      <c r="H1806" s="8" t="inlineStr">
        <is>
          <t>LARGE</t>
        </is>
      </c>
      <c r="I1806" s="8" t="n">
        <v>0</v>
      </c>
      <c r="J1806" s="8" t="inlineStr">
        <is>
          <t>D-04-01</t>
        </is>
      </c>
      <c r="K1806" s="8" t="inlineStr"/>
      <c r="L1806" s="10" t="n">
        <v>0</v>
      </c>
      <c r="M1806" s="10" t="n">
        <v>0</v>
      </c>
      <c r="N1806" s="10" t="n">
        <v>15</v>
      </c>
      <c r="O1806" s="8" t="inlineStr">
        <is>
          <t>VAL</t>
        </is>
      </c>
      <c r="P1806" s="8" t="inlineStr">
        <is>
          <t>CRITIQUE</t>
        </is>
      </c>
      <c r="Q1806" s="8" t="inlineStr">
        <is>
          <t>WHAP</t>
        </is>
      </c>
      <c r="R1806" s="8" t="inlineStr">
        <is>
          <t>OUI</t>
        </is>
      </c>
      <c r="S1806" s="8" t="inlineStr">
        <is>
          <t>31/08/2026 02:59</t>
        </is>
      </c>
    </row>
    <row r="1807">
      <c r="A1807" s="7" t="inlineStr">
        <is>
          <t>WHAP-1803</t>
        </is>
      </c>
      <c r="B1807" s="7" t="inlineStr">
        <is>
          <t>MOT-1803</t>
        </is>
      </c>
      <c r="C1807" s="7" t="inlineStr">
        <is>
          <t>actionneur de piston</t>
        </is>
      </c>
      <c r="D1807" s="7" t="inlineStr">
        <is>
          <t>Moteur</t>
        </is>
      </c>
      <c r="E1807" s="7" t="inlineStr">
        <is>
          <t>Moteur</t>
        </is>
      </c>
      <c r="F1807" s="7" t="inlineStr">
        <is>
          <t>PIECE_VEHICULE</t>
        </is>
      </c>
      <c r="G1807" s="7" t="inlineStr">
        <is>
          <t>unité</t>
        </is>
      </c>
      <c r="H1807" s="7" t="inlineStr">
        <is>
          <t>LARGE</t>
        </is>
      </c>
      <c r="I1807" s="7" t="n">
        <v>0</v>
      </c>
      <c r="J1807" s="7" t="inlineStr">
        <is>
          <t>C-03-01</t>
        </is>
      </c>
      <c r="K1807" s="7" t="inlineStr"/>
      <c r="L1807" s="9" t="n">
        <v>0</v>
      </c>
      <c r="M1807" s="9" t="n">
        <v>0</v>
      </c>
      <c r="N1807" s="9" t="n">
        <v>18</v>
      </c>
      <c r="O1807" s="7" t="inlineStr">
        <is>
          <t>SUM</t>
        </is>
      </c>
      <c r="P1807" s="7" t="inlineStr">
        <is>
          <t>CRITIQUE</t>
        </is>
      </c>
      <c r="Q1807" s="7" t="inlineStr">
        <is>
          <t>WHAP</t>
        </is>
      </c>
      <c r="R1807" s="7" t="inlineStr">
        <is>
          <t>OUI</t>
        </is>
      </c>
      <c r="S1807" s="7" t="inlineStr">
        <is>
          <t>31/08/2026 02:59</t>
        </is>
      </c>
    </row>
    <row r="1808">
      <c r="A1808" s="8" t="inlineStr">
        <is>
          <t>WHAP-1804</t>
        </is>
      </c>
      <c r="B1808" s="8" t="inlineStr">
        <is>
          <t>MOT-1804</t>
        </is>
      </c>
      <c r="C1808" s="8" t="inlineStr">
        <is>
          <t>raccord de piston</t>
        </is>
      </c>
      <c r="D1808" s="8" t="inlineStr">
        <is>
          <t>Moteur</t>
        </is>
      </c>
      <c r="E1808" s="8" t="inlineStr">
        <is>
          <t>Moteur</t>
        </is>
      </c>
      <c r="F1808" s="8" t="inlineStr">
        <is>
          <t>PIECE_VEHICULE</t>
        </is>
      </c>
      <c r="G1808" s="8" t="inlineStr">
        <is>
          <t>unité</t>
        </is>
      </c>
      <c r="H1808" s="8" t="inlineStr">
        <is>
          <t>LARGE</t>
        </is>
      </c>
      <c r="I1808" s="8" t="n">
        <v>0</v>
      </c>
      <c r="J1808" s="8" t="inlineStr">
        <is>
          <t>F-03-02</t>
        </is>
      </c>
      <c r="K1808" s="8" t="inlineStr"/>
      <c r="L1808" s="10" t="n">
        <v>0</v>
      </c>
      <c r="M1808" s="10" t="n">
        <v>0</v>
      </c>
      <c r="N1808" s="10" t="n">
        <v>17</v>
      </c>
      <c r="O1808" s="8" t="inlineStr">
        <is>
          <t>FAU</t>
        </is>
      </c>
      <c r="P1808" s="8" t="inlineStr">
        <is>
          <t>CRITIQUE</t>
        </is>
      </c>
      <c r="Q1808" s="8" t="inlineStr">
        <is>
          <t>WHAP</t>
        </is>
      </c>
      <c r="R1808" s="8" t="inlineStr">
        <is>
          <t>OUI</t>
        </is>
      </c>
      <c r="S1808" s="8" t="inlineStr">
        <is>
          <t>31/08/2026 02:59</t>
        </is>
      </c>
    </row>
    <row r="1809">
      <c r="A1809" s="7" t="inlineStr">
        <is>
          <t>WHAP-1805</t>
        </is>
      </c>
      <c r="B1809" s="7" t="inlineStr">
        <is>
          <t>MOT-1805</t>
        </is>
      </c>
      <c r="C1809" s="7" t="inlineStr">
        <is>
          <t>plaque de piston</t>
        </is>
      </c>
      <c r="D1809" s="7" t="inlineStr">
        <is>
          <t>Moteur</t>
        </is>
      </c>
      <c r="E1809" s="7" t="inlineStr">
        <is>
          <t>Moteur</t>
        </is>
      </c>
      <c r="F1809" s="7" t="inlineStr">
        <is>
          <t>PIECE_VEHICULE</t>
        </is>
      </c>
      <c r="G1809" s="7" t="inlineStr">
        <is>
          <t>unité</t>
        </is>
      </c>
      <c r="H1809" s="7" t="inlineStr">
        <is>
          <t>LARGE</t>
        </is>
      </c>
      <c r="I1809" s="7" t="n">
        <v>0</v>
      </c>
      <c r="J1809" s="7" t="inlineStr">
        <is>
          <t>A-01-02</t>
        </is>
      </c>
      <c r="K1809" s="7" t="inlineStr"/>
      <c r="L1809" s="9" t="n">
        <v>0</v>
      </c>
      <c r="M1809" s="9" t="n">
        <v>0</v>
      </c>
      <c r="N1809" s="9" t="n">
        <v>14</v>
      </c>
      <c r="O1809" s="7" t="inlineStr">
        <is>
          <t>BOS</t>
        </is>
      </c>
      <c r="P1809" s="7" t="inlineStr">
        <is>
          <t>CRITIQUE</t>
        </is>
      </c>
      <c r="Q1809" s="7" t="inlineStr">
        <is>
          <t>WHAP</t>
        </is>
      </c>
      <c r="R1809" s="7" t="inlineStr">
        <is>
          <t>OUI</t>
        </is>
      </c>
      <c r="S1809" s="7" t="inlineStr">
        <is>
          <t>31/08/2026 02:59</t>
        </is>
      </c>
    </row>
    <row r="1810">
      <c r="A1810" s="8" t="inlineStr">
        <is>
          <t>WHAP-1806</t>
        </is>
      </c>
      <c r="B1810" s="8" t="inlineStr">
        <is>
          <t>MOT-1806</t>
        </is>
      </c>
      <c r="C1810" s="8" t="inlineStr">
        <is>
          <t>couvercle de piston</t>
        </is>
      </c>
      <c r="D1810" s="8" t="inlineStr">
        <is>
          <t>Moteur</t>
        </is>
      </c>
      <c r="E1810" s="8" t="inlineStr">
        <is>
          <t>Moteur</t>
        </is>
      </c>
      <c r="F1810" s="8" t="inlineStr">
        <is>
          <t>PIECE_VEHICULE</t>
        </is>
      </c>
      <c r="G1810" s="8" t="inlineStr">
        <is>
          <t>unité</t>
        </is>
      </c>
      <c r="H1810" s="8" t="inlineStr">
        <is>
          <t>LARGE</t>
        </is>
      </c>
      <c r="I1810" s="8" t="n">
        <v>0</v>
      </c>
      <c r="J1810" s="8" t="inlineStr">
        <is>
          <t>D-01-03</t>
        </is>
      </c>
      <c r="K1810" s="8" t="inlineStr"/>
      <c r="L1810" s="10" t="n">
        <v>0</v>
      </c>
      <c r="M1810" s="10" t="n">
        <v>0</v>
      </c>
      <c r="N1810" s="10" t="n">
        <v>20</v>
      </c>
      <c r="O1810" s="8" t="inlineStr">
        <is>
          <t>YZK</t>
        </is>
      </c>
      <c r="P1810" s="8" t="inlineStr">
        <is>
          <t>CRITIQUE</t>
        </is>
      </c>
      <c r="Q1810" s="8" t="inlineStr">
        <is>
          <t>WHAP</t>
        </is>
      </c>
      <c r="R1810" s="8" t="inlineStr">
        <is>
          <t>OUI</t>
        </is>
      </c>
      <c r="S1810" s="8" t="inlineStr">
        <is>
          <t>31/08/2026 02:59</t>
        </is>
      </c>
    </row>
    <row r="1811">
      <c r="A1811" s="7" t="inlineStr">
        <is>
          <t>WHAP-1807</t>
        </is>
      </c>
      <c r="B1811" s="7" t="inlineStr">
        <is>
          <t>MOT-1807</t>
        </is>
      </c>
      <c r="C1811" s="7" t="inlineStr">
        <is>
          <t>bague de piston</t>
        </is>
      </c>
      <c r="D1811" s="7" t="inlineStr">
        <is>
          <t>Moteur</t>
        </is>
      </c>
      <c r="E1811" s="7" t="inlineStr">
        <is>
          <t>Moteur</t>
        </is>
      </c>
      <c r="F1811" s="7" t="inlineStr">
        <is>
          <t>PIECE_VEHICULE</t>
        </is>
      </c>
      <c r="G1811" s="7" t="inlineStr">
        <is>
          <t>unité</t>
        </is>
      </c>
      <c r="H1811" s="7" t="inlineStr">
        <is>
          <t>LARGE</t>
        </is>
      </c>
      <c r="I1811" s="7" t="n">
        <v>0</v>
      </c>
      <c r="J1811" s="7" t="inlineStr">
        <is>
          <t>B-06-02</t>
        </is>
      </c>
      <c r="K1811" s="7" t="inlineStr"/>
      <c r="L1811" s="9" t="n">
        <v>0</v>
      </c>
      <c r="M1811" s="9" t="n">
        <v>0</v>
      </c>
      <c r="N1811" s="9" t="n">
        <v>13</v>
      </c>
      <c r="O1811" s="7" t="inlineStr">
        <is>
          <t>VAL</t>
        </is>
      </c>
      <c r="P1811" s="7" t="inlineStr">
        <is>
          <t>CRITIQUE</t>
        </is>
      </c>
      <c r="Q1811" s="7" t="inlineStr">
        <is>
          <t>WHAP</t>
        </is>
      </c>
      <c r="R1811" s="7" t="inlineStr">
        <is>
          <t>OUI</t>
        </is>
      </c>
      <c r="S1811" s="7" t="inlineStr">
        <is>
          <t>31/08/2026 02:59</t>
        </is>
      </c>
    </row>
    <row r="1812">
      <c r="A1812" s="8" t="inlineStr">
        <is>
          <t>WHAP-1808</t>
        </is>
      </c>
      <c r="B1812" s="8" t="inlineStr">
        <is>
          <t>MOT-1808</t>
        </is>
      </c>
      <c r="C1812" s="8" t="inlineStr">
        <is>
          <t>entretoise de piston</t>
        </is>
      </c>
      <c r="D1812" s="8" t="inlineStr">
        <is>
          <t>Moteur</t>
        </is>
      </c>
      <c r="E1812" s="8" t="inlineStr">
        <is>
          <t>Moteur</t>
        </is>
      </c>
      <c r="F1812" s="8" t="inlineStr">
        <is>
          <t>PIECE_VEHICULE</t>
        </is>
      </c>
      <c r="G1812" s="8" t="inlineStr">
        <is>
          <t>unité</t>
        </is>
      </c>
      <c r="H1812" s="8" t="inlineStr">
        <is>
          <t>LARGE</t>
        </is>
      </c>
      <c r="I1812" s="8" t="n">
        <v>0</v>
      </c>
      <c r="J1812" s="8" t="inlineStr">
        <is>
          <t>B-06-01</t>
        </is>
      </c>
      <c r="K1812" s="8" t="inlineStr"/>
      <c r="L1812" s="10" t="n">
        <v>0</v>
      </c>
      <c r="M1812" s="10" t="n">
        <v>0</v>
      </c>
      <c r="N1812" s="10" t="n">
        <v>12</v>
      </c>
      <c r="O1812" s="8" t="inlineStr">
        <is>
          <t>CTL</t>
        </is>
      </c>
      <c r="P1812" s="8" t="inlineStr">
        <is>
          <t>CRITIQUE</t>
        </is>
      </c>
      <c r="Q1812" s="8" t="inlineStr">
        <is>
          <t>WHAP</t>
        </is>
      </c>
      <c r="R1812" s="8" t="inlineStr">
        <is>
          <t>OUI</t>
        </is>
      </c>
      <c r="S1812" s="8" t="inlineStr">
        <is>
          <t>31/08/2026 02:59</t>
        </is>
      </c>
    </row>
    <row r="1813">
      <c r="A1813" s="7" t="inlineStr">
        <is>
          <t>WHAP-1809</t>
        </is>
      </c>
      <c r="B1813" s="7" t="inlineStr">
        <is>
          <t>MOT-1809</t>
        </is>
      </c>
      <c r="C1813" s="7" t="inlineStr">
        <is>
          <t>poulie de piston</t>
        </is>
      </c>
      <c r="D1813" s="7" t="inlineStr">
        <is>
          <t>Moteur</t>
        </is>
      </c>
      <c r="E1813" s="7" t="inlineStr">
        <is>
          <t>Moteur</t>
        </is>
      </c>
      <c r="F1813" s="7" t="inlineStr">
        <is>
          <t>PIECE_VEHICULE</t>
        </is>
      </c>
      <c r="G1813" s="7" t="inlineStr">
        <is>
          <t>unité</t>
        </is>
      </c>
      <c r="H1813" s="7" t="inlineStr">
        <is>
          <t>LARGE</t>
        </is>
      </c>
      <c r="I1813" s="7" t="n">
        <v>0</v>
      </c>
      <c r="J1813" s="7" t="inlineStr">
        <is>
          <t>C-02-04</t>
        </is>
      </c>
      <c r="K1813" s="7" t="inlineStr"/>
      <c r="L1813" s="9" t="n">
        <v>0</v>
      </c>
      <c r="M1813" s="9" t="n">
        <v>0</v>
      </c>
      <c r="N1813" s="9" t="n">
        <v>13</v>
      </c>
      <c r="O1813" s="7" t="inlineStr">
        <is>
          <t>HEL</t>
        </is>
      </c>
      <c r="P1813" s="7" t="inlineStr">
        <is>
          <t>CRITIQUE</t>
        </is>
      </c>
      <c r="Q1813" s="7" t="inlineStr">
        <is>
          <t>WHAP</t>
        </is>
      </c>
      <c r="R1813" s="7" t="inlineStr">
        <is>
          <t>OUI</t>
        </is>
      </c>
      <c r="S1813" s="7" t="inlineStr">
        <is>
          <t>31/08/2026 02:59</t>
        </is>
      </c>
    </row>
    <row r="1814">
      <c r="A1814" s="8" t="inlineStr">
        <is>
          <t>WHAP-1810</t>
        </is>
      </c>
      <c r="B1814" s="8" t="inlineStr">
        <is>
          <t>MOT-1810</t>
        </is>
      </c>
      <c r="C1814" s="8" t="inlineStr">
        <is>
          <t>pignon de piston</t>
        </is>
      </c>
      <c r="D1814" s="8" t="inlineStr">
        <is>
          <t>Moteur</t>
        </is>
      </c>
      <c r="E1814" s="8" t="inlineStr">
        <is>
          <t>Moteur</t>
        </is>
      </c>
      <c r="F1814" s="8" t="inlineStr">
        <is>
          <t>PIECE_VEHICULE</t>
        </is>
      </c>
      <c r="G1814" s="8" t="inlineStr">
        <is>
          <t>unité</t>
        </is>
      </c>
      <c r="H1814" s="8" t="inlineStr">
        <is>
          <t>LARGE</t>
        </is>
      </c>
      <c r="I1814" s="8" t="n">
        <v>0</v>
      </c>
      <c r="J1814" s="8" t="inlineStr">
        <is>
          <t>D-04-02</t>
        </is>
      </c>
      <c r="K1814" s="8" t="inlineStr"/>
      <c r="L1814" s="10" t="n">
        <v>0</v>
      </c>
      <c r="M1814" s="10" t="n">
        <v>0</v>
      </c>
      <c r="N1814" s="10" t="n">
        <v>14</v>
      </c>
      <c r="O1814" s="8" t="inlineStr">
        <is>
          <t>SKF</t>
        </is>
      </c>
      <c r="P1814" s="8" t="inlineStr">
        <is>
          <t>CRITIQUE</t>
        </is>
      </c>
      <c r="Q1814" s="8" t="inlineStr">
        <is>
          <t>WHAP</t>
        </is>
      </c>
      <c r="R1814" s="8" t="inlineStr">
        <is>
          <t>OUI</t>
        </is>
      </c>
      <c r="S1814" s="8" t="inlineStr">
        <is>
          <t>31/08/2026 02:59</t>
        </is>
      </c>
    </row>
    <row r="1815">
      <c r="A1815" s="7" t="inlineStr">
        <is>
          <t>WHAP-1811</t>
        </is>
      </c>
      <c r="B1815" s="7" t="inlineStr">
        <is>
          <t>MOT-1811</t>
        </is>
      </c>
      <c r="C1815" s="7" t="inlineStr">
        <is>
          <t>ensemble de segments de piston</t>
        </is>
      </c>
      <c r="D1815" s="7" t="inlineStr">
        <is>
          <t>Moteur</t>
        </is>
      </c>
      <c r="E1815" s="7" t="inlineStr">
        <is>
          <t>Moteur</t>
        </is>
      </c>
      <c r="F1815" s="7" t="inlineStr">
        <is>
          <t>PIECE_VEHICULE</t>
        </is>
      </c>
      <c r="G1815" s="7" t="inlineStr">
        <is>
          <t>unité</t>
        </is>
      </c>
      <c r="H1815" s="7" t="inlineStr">
        <is>
          <t>LARGE</t>
        </is>
      </c>
      <c r="I1815" s="7" t="n">
        <v>0</v>
      </c>
      <c r="J1815" s="7" t="inlineStr">
        <is>
          <t>A-01-01</t>
        </is>
      </c>
      <c r="K1815" s="7" t="inlineStr"/>
      <c r="L1815" s="9" t="n">
        <v>0</v>
      </c>
      <c r="M1815" s="9" t="n">
        <v>0</v>
      </c>
      <c r="N1815" s="9" t="n">
        <v>17</v>
      </c>
      <c r="O1815" s="7" t="inlineStr">
        <is>
          <t>DEL</t>
        </is>
      </c>
      <c r="P1815" s="7" t="inlineStr">
        <is>
          <t>CRITIQUE</t>
        </is>
      </c>
      <c r="Q1815" s="7" t="inlineStr">
        <is>
          <t>WHAP</t>
        </is>
      </c>
      <c r="R1815" s="7" t="inlineStr">
        <is>
          <t>OUI</t>
        </is>
      </c>
      <c r="S1815" s="7" t="inlineStr">
        <is>
          <t>31/08/2026 02:59</t>
        </is>
      </c>
    </row>
    <row r="1816">
      <c r="A1816" s="8" t="inlineStr">
        <is>
          <t>WHAP-1812</t>
        </is>
      </c>
      <c r="B1816" s="8" t="inlineStr">
        <is>
          <t>MOT-1812</t>
        </is>
      </c>
      <c r="C1816" s="8" t="inlineStr">
        <is>
          <t>kit de segments de piston</t>
        </is>
      </c>
      <c r="D1816" s="8" t="inlineStr">
        <is>
          <t>Moteur</t>
        </is>
      </c>
      <c r="E1816" s="8" t="inlineStr">
        <is>
          <t>Moteur</t>
        </is>
      </c>
      <c r="F1816" s="8" t="inlineStr">
        <is>
          <t>PIECE_VEHICULE</t>
        </is>
      </c>
      <c r="G1816" s="8" t="inlineStr">
        <is>
          <t>unité</t>
        </is>
      </c>
      <c r="H1816" s="8" t="inlineStr">
        <is>
          <t>LARGE</t>
        </is>
      </c>
      <c r="I1816" s="8" t="n">
        <v>0</v>
      </c>
      <c r="J1816" s="8" t="inlineStr">
        <is>
          <t>B-01-01</t>
        </is>
      </c>
      <c r="K1816" s="8" t="inlineStr"/>
      <c r="L1816" s="10" t="n">
        <v>0</v>
      </c>
      <c r="M1816" s="10" t="n">
        <v>0</v>
      </c>
      <c r="N1816" s="10" t="n">
        <v>18</v>
      </c>
      <c r="O1816" s="8" t="inlineStr">
        <is>
          <t>FAU</t>
        </is>
      </c>
      <c r="P1816" s="8" t="inlineStr">
        <is>
          <t>CRITIQUE</t>
        </is>
      </c>
      <c r="Q1816" s="8" t="inlineStr">
        <is>
          <t>WHAP</t>
        </is>
      </c>
      <c r="R1816" s="8" t="inlineStr">
        <is>
          <t>OUI</t>
        </is>
      </c>
      <c r="S1816" s="8" t="inlineStr">
        <is>
          <t>31/08/2026 02:59</t>
        </is>
      </c>
    </row>
    <row r="1817">
      <c r="A1817" s="7" t="inlineStr">
        <is>
          <t>WHAP-1813</t>
        </is>
      </c>
      <c r="B1817" s="7" t="inlineStr">
        <is>
          <t>MOT-1813</t>
        </is>
      </c>
      <c r="C1817" s="7" t="inlineStr">
        <is>
          <t>support de segments de piston</t>
        </is>
      </c>
      <c r="D1817" s="7" t="inlineStr">
        <is>
          <t>Moteur</t>
        </is>
      </c>
      <c r="E1817" s="7" t="inlineStr">
        <is>
          <t>Moteur</t>
        </is>
      </c>
      <c r="F1817" s="7" t="inlineStr">
        <is>
          <t>PIECE_VEHICULE</t>
        </is>
      </c>
      <c r="G1817" s="7" t="inlineStr">
        <is>
          <t>unité</t>
        </is>
      </c>
      <c r="H1817" s="7" t="inlineStr">
        <is>
          <t>LARGE</t>
        </is>
      </c>
      <c r="I1817" s="7" t="n">
        <v>0</v>
      </c>
      <c r="J1817" s="7" t="inlineStr">
        <is>
          <t>F-04-04</t>
        </is>
      </c>
      <c r="K1817" s="7" t="inlineStr"/>
      <c r="L1817" s="9" t="n">
        <v>0</v>
      </c>
      <c r="M1817" s="9" t="n">
        <v>0</v>
      </c>
      <c r="N1817" s="9" t="n">
        <v>19</v>
      </c>
      <c r="O1817" s="7" t="inlineStr">
        <is>
          <t>VAL</t>
        </is>
      </c>
      <c r="P1817" s="7" t="inlineStr">
        <is>
          <t>CRITIQUE</t>
        </is>
      </c>
      <c r="Q1817" s="7" t="inlineStr">
        <is>
          <t>WHAP</t>
        </is>
      </c>
      <c r="R1817" s="7" t="inlineStr">
        <is>
          <t>OUI</t>
        </is>
      </c>
      <c r="S1817" s="7" t="inlineStr">
        <is>
          <t>31/08/2026 02:59</t>
        </is>
      </c>
    </row>
    <row r="1818">
      <c r="A1818" s="8" t="inlineStr">
        <is>
          <t>WHAP-1814</t>
        </is>
      </c>
      <c r="B1818" s="8" t="inlineStr">
        <is>
          <t>MOT-1814</t>
        </is>
      </c>
      <c r="C1818" s="8" t="inlineStr">
        <is>
          <t>boîtier de segments de piston</t>
        </is>
      </c>
      <c r="D1818" s="8" t="inlineStr">
        <is>
          <t>Moteur</t>
        </is>
      </c>
      <c r="E1818" s="8" t="inlineStr">
        <is>
          <t>Moteur</t>
        </is>
      </c>
      <c r="F1818" s="8" t="inlineStr">
        <is>
          <t>PIECE_VEHICULE</t>
        </is>
      </c>
      <c r="G1818" s="8" t="inlineStr">
        <is>
          <t>unité</t>
        </is>
      </c>
      <c r="H1818" s="8" t="inlineStr">
        <is>
          <t>LARGE</t>
        </is>
      </c>
      <c r="I1818" s="8" t="n">
        <v>0</v>
      </c>
      <c r="J1818" s="8" t="inlineStr">
        <is>
          <t>A-05-03</t>
        </is>
      </c>
      <c r="K1818" s="8" t="inlineStr"/>
      <c r="L1818" s="10" t="n">
        <v>0</v>
      </c>
      <c r="M1818" s="10" t="n">
        <v>0</v>
      </c>
      <c r="N1818" s="10" t="n">
        <v>15</v>
      </c>
      <c r="O1818" s="8" t="inlineStr">
        <is>
          <t>MAG</t>
        </is>
      </c>
      <c r="P1818" s="8" t="inlineStr">
        <is>
          <t>CRITIQUE</t>
        </is>
      </c>
      <c r="Q1818" s="8" t="inlineStr">
        <is>
          <t>WHAP</t>
        </is>
      </c>
      <c r="R1818" s="8" t="inlineStr">
        <is>
          <t>OUI</t>
        </is>
      </c>
      <c r="S1818" s="8" t="inlineStr">
        <is>
          <t>31/08/2026 02:59</t>
        </is>
      </c>
    </row>
    <row r="1819">
      <c r="A1819" s="7" t="inlineStr">
        <is>
          <t>WHAP-1815</t>
        </is>
      </c>
      <c r="B1819" s="7" t="inlineStr">
        <is>
          <t>MOT-1815</t>
        </is>
      </c>
      <c r="C1819" s="7" t="inlineStr">
        <is>
          <t>module de segments de piston</t>
        </is>
      </c>
      <c r="D1819" s="7" t="inlineStr">
        <is>
          <t>Moteur</t>
        </is>
      </c>
      <c r="E1819" s="7" t="inlineStr">
        <is>
          <t>Moteur</t>
        </is>
      </c>
      <c r="F1819" s="7" t="inlineStr">
        <is>
          <t>PIECE_VEHICULE</t>
        </is>
      </c>
      <c r="G1819" s="7" t="inlineStr">
        <is>
          <t>unité</t>
        </is>
      </c>
      <c r="H1819" s="7" t="inlineStr">
        <is>
          <t>LARGE</t>
        </is>
      </c>
      <c r="I1819" s="7" t="n">
        <v>0</v>
      </c>
      <c r="J1819" s="7" t="inlineStr">
        <is>
          <t>A-05-02</t>
        </is>
      </c>
      <c r="K1819" s="7" t="inlineStr"/>
      <c r="L1819" s="9" t="n">
        <v>0</v>
      </c>
      <c r="M1819" s="9" t="n">
        <v>0</v>
      </c>
      <c r="N1819" s="9" t="n">
        <v>13</v>
      </c>
      <c r="O1819" s="7" t="inlineStr">
        <is>
          <t>MAG</t>
        </is>
      </c>
      <c r="P1819" s="7" t="inlineStr">
        <is>
          <t>CRITIQUE</t>
        </is>
      </c>
      <c r="Q1819" s="7" t="inlineStr">
        <is>
          <t>WHAP</t>
        </is>
      </c>
      <c r="R1819" s="7" t="inlineStr">
        <is>
          <t>OUI</t>
        </is>
      </c>
      <c r="S1819" s="7" t="inlineStr">
        <is>
          <t>31/08/2026 02:59</t>
        </is>
      </c>
    </row>
    <row r="1820">
      <c r="A1820" s="8" t="inlineStr">
        <is>
          <t>WHAP-1816</t>
        </is>
      </c>
      <c r="B1820" s="8" t="inlineStr">
        <is>
          <t>MOT-1816</t>
        </is>
      </c>
      <c r="C1820" s="8" t="inlineStr">
        <is>
          <t>câblage de segments de piston</t>
        </is>
      </c>
      <c r="D1820" s="8" t="inlineStr">
        <is>
          <t>Moteur</t>
        </is>
      </c>
      <c r="E1820" s="8" t="inlineStr">
        <is>
          <t>Moteur</t>
        </is>
      </c>
      <c r="F1820" s="8" t="inlineStr">
        <is>
          <t>PIECE_VEHICULE</t>
        </is>
      </c>
      <c r="G1820" s="8" t="inlineStr">
        <is>
          <t>unité</t>
        </is>
      </c>
      <c r="H1820" s="8" t="inlineStr">
        <is>
          <t>LARGE</t>
        </is>
      </c>
      <c r="I1820" s="8" t="n">
        <v>0</v>
      </c>
      <c r="J1820" s="8" t="inlineStr">
        <is>
          <t>C-05-03</t>
        </is>
      </c>
      <c r="K1820" s="8" t="inlineStr"/>
      <c r="L1820" s="10" t="n">
        <v>0</v>
      </c>
      <c r="M1820" s="10" t="n">
        <v>0</v>
      </c>
      <c r="N1820" s="10" t="n">
        <v>11</v>
      </c>
      <c r="O1820" s="8" t="inlineStr">
        <is>
          <t>BOS</t>
        </is>
      </c>
      <c r="P1820" s="8" t="inlineStr">
        <is>
          <t>CRITIQUE</t>
        </is>
      </c>
      <c r="Q1820" s="8" t="inlineStr">
        <is>
          <t>WHAP</t>
        </is>
      </c>
      <c r="R1820" s="8" t="inlineStr">
        <is>
          <t>OUI</t>
        </is>
      </c>
      <c r="S1820" s="8" t="inlineStr">
        <is>
          <t>31/08/2026 02:59</t>
        </is>
      </c>
    </row>
    <row r="1821">
      <c r="A1821" s="7" t="inlineStr">
        <is>
          <t>WHAP-1817</t>
        </is>
      </c>
      <c r="B1821" s="7" t="inlineStr">
        <is>
          <t>MOT-1817</t>
        </is>
      </c>
      <c r="C1821" s="7" t="inlineStr">
        <is>
          <t>connecteur de segments de piston</t>
        </is>
      </c>
      <c r="D1821" s="7" t="inlineStr">
        <is>
          <t>Moteur</t>
        </is>
      </c>
      <c r="E1821" s="7" t="inlineStr">
        <is>
          <t>Moteur</t>
        </is>
      </c>
      <c r="F1821" s="7" t="inlineStr">
        <is>
          <t>PIECE_VEHICULE</t>
        </is>
      </c>
      <c r="G1821" s="7" t="inlineStr">
        <is>
          <t>unité</t>
        </is>
      </c>
      <c r="H1821" s="7" t="inlineStr">
        <is>
          <t>LARGE</t>
        </is>
      </c>
      <c r="I1821" s="7" t="n">
        <v>0</v>
      </c>
      <c r="J1821" s="7" t="inlineStr">
        <is>
          <t>A-02-01</t>
        </is>
      </c>
      <c r="K1821" s="7" t="inlineStr"/>
      <c r="L1821" s="9" t="n">
        <v>0</v>
      </c>
      <c r="M1821" s="9" t="n">
        <v>0</v>
      </c>
      <c r="N1821" s="9" t="n">
        <v>18</v>
      </c>
      <c r="O1821" s="7" t="inlineStr">
        <is>
          <t>MAG</t>
        </is>
      </c>
      <c r="P1821" s="7" t="inlineStr">
        <is>
          <t>CRITIQUE</t>
        </is>
      </c>
      <c r="Q1821" s="7" t="inlineStr">
        <is>
          <t>WHAP</t>
        </is>
      </c>
      <c r="R1821" s="7" t="inlineStr">
        <is>
          <t>OUI</t>
        </is>
      </c>
      <c r="S1821" s="7" t="inlineStr">
        <is>
          <t>31/08/2026 02:59</t>
        </is>
      </c>
    </row>
    <row r="1822">
      <c r="A1822" s="8" t="inlineStr">
        <is>
          <t>WHAP-1818</t>
        </is>
      </c>
      <c r="B1822" s="8" t="inlineStr">
        <is>
          <t>MOT-1818</t>
        </is>
      </c>
      <c r="C1822" s="8" t="inlineStr">
        <is>
          <t>joint de segments de piston</t>
        </is>
      </c>
      <c r="D1822" s="8" t="inlineStr">
        <is>
          <t>Moteur</t>
        </is>
      </c>
      <c r="E1822" s="8" t="inlineStr">
        <is>
          <t>Moteur</t>
        </is>
      </c>
      <c r="F1822" s="8" t="inlineStr">
        <is>
          <t>PIECE_VEHICULE</t>
        </is>
      </c>
      <c r="G1822" s="8" t="inlineStr">
        <is>
          <t>unité</t>
        </is>
      </c>
      <c r="H1822" s="8" t="inlineStr">
        <is>
          <t>LARGE</t>
        </is>
      </c>
      <c r="I1822" s="8" t="n">
        <v>0</v>
      </c>
      <c r="J1822" s="8" t="inlineStr">
        <is>
          <t>D-06-04</t>
        </is>
      </c>
      <c r="K1822" s="8" t="inlineStr"/>
      <c r="L1822" s="10" t="n">
        <v>0</v>
      </c>
      <c r="M1822" s="10" t="n">
        <v>0</v>
      </c>
      <c r="N1822" s="10" t="n">
        <v>17</v>
      </c>
      <c r="O1822" s="8" t="inlineStr">
        <is>
          <t>YZK</t>
        </is>
      </c>
      <c r="P1822" s="8" t="inlineStr">
        <is>
          <t>CRITIQUE</t>
        </is>
      </c>
      <c r="Q1822" s="8" t="inlineStr">
        <is>
          <t>WHAP</t>
        </is>
      </c>
      <c r="R1822" s="8" t="inlineStr">
        <is>
          <t>OUI</t>
        </is>
      </c>
      <c r="S1822" s="8" t="inlineStr">
        <is>
          <t>31/08/2026 02:59</t>
        </is>
      </c>
    </row>
    <row r="1823">
      <c r="A1823" s="7" t="inlineStr">
        <is>
          <t>WHAP-1819</t>
        </is>
      </c>
      <c r="B1823" s="7" t="inlineStr">
        <is>
          <t>MOT-1819</t>
        </is>
      </c>
      <c r="C1823" s="7" t="inlineStr">
        <is>
          <t>fixation de segments de piston</t>
        </is>
      </c>
      <c r="D1823" s="7" t="inlineStr">
        <is>
          <t>Moteur</t>
        </is>
      </c>
      <c r="E1823" s="7" t="inlineStr">
        <is>
          <t>Moteur</t>
        </is>
      </c>
      <c r="F1823" s="7" t="inlineStr">
        <is>
          <t>PIECE_VEHICULE</t>
        </is>
      </c>
      <c r="G1823" s="7" t="inlineStr">
        <is>
          <t>unité</t>
        </is>
      </c>
      <c r="H1823" s="7" t="inlineStr">
        <is>
          <t>LARGE</t>
        </is>
      </c>
      <c r="I1823" s="7" t="n">
        <v>0</v>
      </c>
      <c r="J1823" s="7" t="inlineStr">
        <is>
          <t>C-05-04</t>
        </is>
      </c>
      <c r="K1823" s="7" t="inlineStr"/>
      <c r="L1823" s="9" t="n">
        <v>0</v>
      </c>
      <c r="M1823" s="9" t="n">
        <v>0</v>
      </c>
      <c r="N1823" s="9" t="n">
        <v>10</v>
      </c>
      <c r="O1823" s="7" t="inlineStr">
        <is>
          <t>HEL</t>
        </is>
      </c>
      <c r="P1823" s="7" t="inlineStr">
        <is>
          <t>CRITIQUE</t>
        </is>
      </c>
      <c r="Q1823" s="7" t="inlineStr">
        <is>
          <t>WHAP</t>
        </is>
      </c>
      <c r="R1823" s="7" t="inlineStr">
        <is>
          <t>OUI</t>
        </is>
      </c>
      <c r="S1823" s="7" t="inlineStr">
        <is>
          <t>31/08/2026 02:59</t>
        </is>
      </c>
    </row>
    <row r="1824">
      <c r="A1824" s="8" t="inlineStr">
        <is>
          <t>WHAP-1820</t>
        </is>
      </c>
      <c r="B1824" s="8" t="inlineStr">
        <is>
          <t>MOT-1820</t>
        </is>
      </c>
      <c r="C1824" s="8" t="inlineStr">
        <is>
          <t>protection de segments de piston</t>
        </is>
      </c>
      <c r="D1824" s="8" t="inlineStr">
        <is>
          <t>Moteur</t>
        </is>
      </c>
      <c r="E1824" s="8" t="inlineStr">
        <is>
          <t>Moteur</t>
        </is>
      </c>
      <c r="F1824" s="8" t="inlineStr">
        <is>
          <t>PIECE_VEHICULE</t>
        </is>
      </c>
      <c r="G1824" s="8" t="inlineStr">
        <is>
          <t>unité</t>
        </is>
      </c>
      <c r="H1824" s="8" t="inlineStr">
        <is>
          <t>LARGE</t>
        </is>
      </c>
      <c r="I1824" s="8" t="n">
        <v>0</v>
      </c>
      <c r="J1824" s="8" t="inlineStr">
        <is>
          <t>B-02-03</t>
        </is>
      </c>
      <c r="K1824" s="8" t="inlineStr"/>
      <c r="L1824" s="10" t="n">
        <v>0</v>
      </c>
      <c r="M1824" s="10" t="n">
        <v>0</v>
      </c>
      <c r="N1824" s="10" t="n">
        <v>13</v>
      </c>
      <c r="O1824" s="8" t="inlineStr">
        <is>
          <t>VAL</t>
        </is>
      </c>
      <c r="P1824" s="8" t="inlineStr">
        <is>
          <t>CRITIQUE</t>
        </is>
      </c>
      <c r="Q1824" s="8" t="inlineStr">
        <is>
          <t>WHAP</t>
        </is>
      </c>
      <c r="R1824" s="8" t="inlineStr">
        <is>
          <t>OUI</t>
        </is>
      </c>
      <c r="S1824" s="8" t="inlineStr">
        <is>
          <t>31/08/2026 02:59</t>
        </is>
      </c>
    </row>
    <row r="1825">
      <c r="A1825" s="7" t="inlineStr">
        <is>
          <t>WHAP-1821</t>
        </is>
      </c>
      <c r="B1825" s="7" t="inlineStr">
        <is>
          <t>MOT-1821</t>
        </is>
      </c>
      <c r="C1825" s="7" t="inlineStr">
        <is>
          <t>capteur de segments de piston</t>
        </is>
      </c>
      <c r="D1825" s="7" t="inlineStr">
        <is>
          <t>Moteur</t>
        </is>
      </c>
      <c r="E1825" s="7" t="inlineStr">
        <is>
          <t>Moteur</t>
        </is>
      </c>
      <c r="F1825" s="7" t="inlineStr">
        <is>
          <t>PIECE_VEHICULE</t>
        </is>
      </c>
      <c r="G1825" s="7" t="inlineStr">
        <is>
          <t>unité</t>
        </is>
      </c>
      <c r="H1825" s="7" t="inlineStr">
        <is>
          <t>LARGE</t>
        </is>
      </c>
      <c r="I1825" s="7" t="n">
        <v>0</v>
      </c>
      <c r="J1825" s="7" t="inlineStr">
        <is>
          <t>E-06-04</t>
        </is>
      </c>
      <c r="K1825" s="7" t="inlineStr"/>
      <c r="L1825" s="9" t="n">
        <v>0</v>
      </c>
      <c r="M1825" s="9" t="n">
        <v>0</v>
      </c>
      <c r="N1825" s="9" t="n">
        <v>14</v>
      </c>
      <c r="O1825" s="7" t="inlineStr">
        <is>
          <t>HEL</t>
        </is>
      </c>
      <c r="P1825" s="7" t="inlineStr">
        <is>
          <t>CRITIQUE</t>
        </is>
      </c>
      <c r="Q1825" s="7" t="inlineStr">
        <is>
          <t>WHAP</t>
        </is>
      </c>
      <c r="R1825" s="7" t="inlineStr">
        <is>
          <t>OUI</t>
        </is>
      </c>
      <c r="S1825" s="7" t="inlineStr">
        <is>
          <t>31/08/2026 02:59</t>
        </is>
      </c>
    </row>
    <row r="1826">
      <c r="A1826" s="8" t="inlineStr">
        <is>
          <t>WHAP-1822</t>
        </is>
      </c>
      <c r="B1826" s="8" t="inlineStr">
        <is>
          <t>MOT-1822</t>
        </is>
      </c>
      <c r="C1826" s="8" t="inlineStr">
        <is>
          <t>actionneur de segments de piston</t>
        </is>
      </c>
      <c r="D1826" s="8" t="inlineStr">
        <is>
          <t>Moteur</t>
        </is>
      </c>
      <c r="E1826" s="8" t="inlineStr">
        <is>
          <t>Moteur</t>
        </is>
      </c>
      <c r="F1826" s="8" t="inlineStr">
        <is>
          <t>PIECE_VEHICULE</t>
        </is>
      </c>
      <c r="G1826" s="8" t="inlineStr">
        <is>
          <t>unité</t>
        </is>
      </c>
      <c r="H1826" s="8" t="inlineStr">
        <is>
          <t>LARGE</t>
        </is>
      </c>
      <c r="I1826" s="8" t="n">
        <v>0</v>
      </c>
      <c r="J1826" s="8" t="inlineStr">
        <is>
          <t>C-05-01</t>
        </is>
      </c>
      <c r="K1826" s="8" t="inlineStr"/>
      <c r="L1826" s="10" t="n">
        <v>0</v>
      </c>
      <c r="M1826" s="10" t="n">
        <v>0</v>
      </c>
      <c r="N1826" s="10" t="n">
        <v>12</v>
      </c>
      <c r="O1826" s="8" t="inlineStr">
        <is>
          <t>DEL</t>
        </is>
      </c>
      <c r="P1826" s="8" t="inlineStr">
        <is>
          <t>CRITIQUE</t>
        </is>
      </c>
      <c r="Q1826" s="8" t="inlineStr">
        <is>
          <t>WHAP</t>
        </is>
      </c>
      <c r="R1826" s="8" t="inlineStr">
        <is>
          <t>OUI</t>
        </is>
      </c>
      <c r="S1826" s="8" t="inlineStr">
        <is>
          <t>31/08/2026 02:59</t>
        </is>
      </c>
    </row>
    <row r="1827">
      <c r="A1827" s="7" t="inlineStr">
        <is>
          <t>WHAP-1823</t>
        </is>
      </c>
      <c r="B1827" s="7" t="inlineStr">
        <is>
          <t>MOT-1823</t>
        </is>
      </c>
      <c r="C1827" s="7" t="inlineStr">
        <is>
          <t>raccord de segments de piston</t>
        </is>
      </c>
      <c r="D1827" s="7" t="inlineStr">
        <is>
          <t>Moteur</t>
        </is>
      </c>
      <c r="E1827" s="7" t="inlineStr">
        <is>
          <t>Moteur</t>
        </is>
      </c>
      <c r="F1827" s="7" t="inlineStr">
        <is>
          <t>PIECE_VEHICULE</t>
        </is>
      </c>
      <c r="G1827" s="7" t="inlineStr">
        <is>
          <t>unité</t>
        </is>
      </c>
      <c r="H1827" s="7" t="inlineStr">
        <is>
          <t>LARGE</t>
        </is>
      </c>
      <c r="I1827" s="7" t="n">
        <v>0</v>
      </c>
      <c r="J1827" s="7" t="inlineStr">
        <is>
          <t>E-05-01</t>
        </is>
      </c>
      <c r="K1827" s="7" t="inlineStr"/>
      <c r="L1827" s="9" t="n">
        <v>0</v>
      </c>
      <c r="M1827" s="9" t="n">
        <v>0</v>
      </c>
      <c r="N1827" s="9" t="n">
        <v>14</v>
      </c>
      <c r="O1827" s="7" t="inlineStr">
        <is>
          <t>HEL</t>
        </is>
      </c>
      <c r="P1827" s="7" t="inlineStr">
        <is>
          <t>CRITIQUE</t>
        </is>
      </c>
      <c r="Q1827" s="7" t="inlineStr">
        <is>
          <t>WHAP</t>
        </is>
      </c>
      <c r="R1827" s="7" t="inlineStr">
        <is>
          <t>OUI</t>
        </is>
      </c>
      <c r="S1827" s="7" t="inlineStr">
        <is>
          <t>31/08/2026 02:59</t>
        </is>
      </c>
    </row>
    <row r="1828">
      <c r="A1828" s="8" t="inlineStr">
        <is>
          <t>WHAP-1824</t>
        </is>
      </c>
      <c r="B1828" s="8" t="inlineStr">
        <is>
          <t>MOT-1824</t>
        </is>
      </c>
      <c r="C1828" s="8" t="inlineStr">
        <is>
          <t>plaque de segments de piston</t>
        </is>
      </c>
      <c r="D1828" s="8" t="inlineStr">
        <is>
          <t>Moteur</t>
        </is>
      </c>
      <c r="E1828" s="8" t="inlineStr">
        <is>
          <t>Moteur</t>
        </is>
      </c>
      <c r="F1828" s="8" t="inlineStr">
        <is>
          <t>PIECE_VEHICULE</t>
        </is>
      </c>
      <c r="G1828" s="8" t="inlineStr">
        <is>
          <t>unité</t>
        </is>
      </c>
      <c r="H1828" s="8" t="inlineStr">
        <is>
          <t>LARGE</t>
        </is>
      </c>
      <c r="I1828" s="8" t="n">
        <v>0</v>
      </c>
      <c r="J1828" s="8" t="inlineStr">
        <is>
          <t>F-05-01</t>
        </is>
      </c>
      <c r="K1828" s="8" t="inlineStr"/>
      <c r="L1828" s="10" t="n">
        <v>0</v>
      </c>
      <c r="M1828" s="10" t="n">
        <v>0</v>
      </c>
      <c r="N1828" s="10" t="n">
        <v>13</v>
      </c>
      <c r="O1828" s="8" t="inlineStr">
        <is>
          <t>CTL</t>
        </is>
      </c>
      <c r="P1828" s="8" t="inlineStr">
        <is>
          <t>CRITIQUE</t>
        </is>
      </c>
      <c r="Q1828" s="8" t="inlineStr">
        <is>
          <t>WHAP</t>
        </is>
      </c>
      <c r="R1828" s="8" t="inlineStr">
        <is>
          <t>OUI</t>
        </is>
      </c>
      <c r="S1828" s="8" t="inlineStr">
        <is>
          <t>31/08/2026 02:59</t>
        </is>
      </c>
    </row>
    <row r="1829">
      <c r="A1829" s="7" t="inlineStr">
        <is>
          <t>WHAP-1825</t>
        </is>
      </c>
      <c r="B1829" s="7" t="inlineStr">
        <is>
          <t>MOT-1825</t>
        </is>
      </c>
      <c r="C1829" s="7" t="inlineStr">
        <is>
          <t>couvercle de segments de piston</t>
        </is>
      </c>
      <c r="D1829" s="7" t="inlineStr">
        <is>
          <t>Moteur</t>
        </is>
      </c>
      <c r="E1829" s="7" t="inlineStr">
        <is>
          <t>Moteur</t>
        </is>
      </c>
      <c r="F1829" s="7" t="inlineStr">
        <is>
          <t>PIECE_VEHICULE</t>
        </is>
      </c>
      <c r="G1829" s="7" t="inlineStr">
        <is>
          <t>unité</t>
        </is>
      </c>
      <c r="H1829" s="7" t="inlineStr">
        <is>
          <t>LARGE</t>
        </is>
      </c>
      <c r="I1829" s="7" t="n">
        <v>0</v>
      </c>
      <c r="J1829" s="7" t="inlineStr">
        <is>
          <t>F-01-03</t>
        </is>
      </c>
      <c r="K1829" s="7" t="inlineStr"/>
      <c r="L1829" s="9" t="n">
        <v>0</v>
      </c>
      <c r="M1829" s="9" t="n">
        <v>0</v>
      </c>
      <c r="N1829" s="9" t="n">
        <v>10</v>
      </c>
      <c r="O1829" s="7" t="inlineStr">
        <is>
          <t>FAU</t>
        </is>
      </c>
      <c r="P1829" s="7" t="inlineStr">
        <is>
          <t>CRITIQUE</t>
        </is>
      </c>
      <c r="Q1829" s="7" t="inlineStr">
        <is>
          <t>WHAP</t>
        </is>
      </c>
      <c r="R1829" s="7" t="inlineStr">
        <is>
          <t>OUI</t>
        </is>
      </c>
      <c r="S1829" s="7" t="inlineStr">
        <is>
          <t>31/08/2026 02:59</t>
        </is>
      </c>
    </row>
    <row r="1830">
      <c r="A1830" s="8" t="inlineStr">
        <is>
          <t>WHAP-1826</t>
        </is>
      </c>
      <c r="B1830" s="8" t="inlineStr">
        <is>
          <t>MOT-1826</t>
        </is>
      </c>
      <c r="C1830" s="8" t="inlineStr">
        <is>
          <t>bague de segments de piston</t>
        </is>
      </c>
      <c r="D1830" s="8" t="inlineStr">
        <is>
          <t>Moteur</t>
        </is>
      </c>
      <c r="E1830" s="8" t="inlineStr">
        <is>
          <t>Moteur</t>
        </is>
      </c>
      <c r="F1830" s="8" t="inlineStr">
        <is>
          <t>PIECE_VEHICULE</t>
        </is>
      </c>
      <c r="G1830" s="8" t="inlineStr">
        <is>
          <t>unité</t>
        </is>
      </c>
      <c r="H1830" s="8" t="inlineStr">
        <is>
          <t>LARGE</t>
        </is>
      </c>
      <c r="I1830" s="8" t="n">
        <v>0</v>
      </c>
      <c r="J1830" s="8" t="inlineStr">
        <is>
          <t>E-01-03</t>
        </is>
      </c>
      <c r="K1830" s="8" t="inlineStr"/>
      <c r="L1830" s="10" t="n">
        <v>0</v>
      </c>
      <c r="M1830" s="10" t="n">
        <v>0</v>
      </c>
      <c r="N1830" s="10" t="n">
        <v>20</v>
      </c>
      <c r="O1830" s="8" t="inlineStr">
        <is>
          <t>MAG</t>
        </is>
      </c>
      <c r="P1830" s="8" t="inlineStr">
        <is>
          <t>CRITIQUE</t>
        </is>
      </c>
      <c r="Q1830" s="8" t="inlineStr">
        <is>
          <t>WHAP</t>
        </is>
      </c>
      <c r="R1830" s="8" t="inlineStr">
        <is>
          <t>OUI</t>
        </is>
      </c>
      <c r="S1830" s="8" t="inlineStr">
        <is>
          <t>31/08/2026 02:59</t>
        </is>
      </c>
    </row>
    <row r="1831">
      <c r="A1831" s="7" t="inlineStr">
        <is>
          <t>WHAP-1827</t>
        </is>
      </c>
      <c r="B1831" s="7" t="inlineStr">
        <is>
          <t>MOT-1827</t>
        </is>
      </c>
      <c r="C1831" s="7" t="inlineStr">
        <is>
          <t>entretoise de segments de piston</t>
        </is>
      </c>
      <c r="D1831" s="7" t="inlineStr">
        <is>
          <t>Moteur</t>
        </is>
      </c>
      <c r="E1831" s="7" t="inlineStr">
        <is>
          <t>Moteur</t>
        </is>
      </c>
      <c r="F1831" s="7" t="inlineStr">
        <is>
          <t>PIECE_VEHICULE</t>
        </is>
      </c>
      <c r="G1831" s="7" t="inlineStr">
        <is>
          <t>unité</t>
        </is>
      </c>
      <c r="H1831" s="7" t="inlineStr">
        <is>
          <t>LARGE</t>
        </is>
      </c>
      <c r="I1831" s="7" t="n">
        <v>0</v>
      </c>
      <c r="J1831" s="7" t="inlineStr">
        <is>
          <t>E-05-02</t>
        </is>
      </c>
      <c r="K1831" s="7" t="inlineStr"/>
      <c r="L1831" s="9" t="n">
        <v>0</v>
      </c>
      <c r="M1831" s="9" t="n">
        <v>0</v>
      </c>
      <c r="N1831" s="9" t="n">
        <v>10</v>
      </c>
      <c r="O1831" s="7" t="inlineStr">
        <is>
          <t>DEL</t>
        </is>
      </c>
      <c r="P1831" s="7" t="inlineStr">
        <is>
          <t>CRITIQUE</t>
        </is>
      </c>
      <c r="Q1831" s="7" t="inlineStr">
        <is>
          <t>WHAP</t>
        </is>
      </c>
      <c r="R1831" s="7" t="inlineStr">
        <is>
          <t>OUI</t>
        </is>
      </c>
      <c r="S1831" s="7" t="inlineStr">
        <is>
          <t>31/08/2026 02:59</t>
        </is>
      </c>
    </row>
    <row r="1832">
      <c r="A1832" s="8" t="inlineStr">
        <is>
          <t>WHAP-1828</t>
        </is>
      </c>
      <c r="B1832" s="8" t="inlineStr">
        <is>
          <t>MOT-1828</t>
        </is>
      </c>
      <c r="C1832" s="8" t="inlineStr">
        <is>
          <t>axe de segments de piston</t>
        </is>
      </c>
      <c r="D1832" s="8" t="inlineStr">
        <is>
          <t>Moteur</t>
        </is>
      </c>
      <c r="E1832" s="8" t="inlineStr">
        <is>
          <t>Moteur</t>
        </is>
      </c>
      <c r="F1832" s="8" t="inlineStr">
        <is>
          <t>PIECE_VEHICULE</t>
        </is>
      </c>
      <c r="G1832" s="8" t="inlineStr">
        <is>
          <t>unité</t>
        </is>
      </c>
      <c r="H1832" s="8" t="inlineStr">
        <is>
          <t>LARGE</t>
        </is>
      </c>
      <c r="I1832" s="8" t="n">
        <v>0</v>
      </c>
      <c r="J1832" s="8" t="inlineStr">
        <is>
          <t>A-06-01</t>
        </is>
      </c>
      <c r="K1832" s="8" t="inlineStr"/>
      <c r="L1832" s="10" t="n">
        <v>0</v>
      </c>
      <c r="M1832" s="10" t="n">
        <v>0</v>
      </c>
      <c r="N1832" s="10" t="n">
        <v>14</v>
      </c>
      <c r="O1832" s="8" t="inlineStr">
        <is>
          <t>MAG</t>
        </is>
      </c>
      <c r="P1832" s="8" t="inlineStr">
        <is>
          <t>CRITIQUE</t>
        </is>
      </c>
      <c r="Q1832" s="8" t="inlineStr">
        <is>
          <t>WHAP</t>
        </is>
      </c>
      <c r="R1832" s="8" t="inlineStr">
        <is>
          <t>OUI</t>
        </is>
      </c>
      <c r="S1832" s="8" t="inlineStr">
        <is>
          <t>31/08/2026 02:59</t>
        </is>
      </c>
    </row>
    <row r="1833">
      <c r="A1833" s="7" t="inlineStr">
        <is>
          <t>WHAP-1829</t>
        </is>
      </c>
      <c r="B1833" s="7" t="inlineStr">
        <is>
          <t>MOT-1829</t>
        </is>
      </c>
      <c r="C1833" s="7" t="inlineStr">
        <is>
          <t>poulie de segments de piston</t>
        </is>
      </c>
      <c r="D1833" s="7" t="inlineStr">
        <is>
          <t>Moteur</t>
        </is>
      </c>
      <c r="E1833" s="7" t="inlineStr">
        <is>
          <t>Moteur</t>
        </is>
      </c>
      <c r="F1833" s="7" t="inlineStr">
        <is>
          <t>PIECE_VEHICULE</t>
        </is>
      </c>
      <c r="G1833" s="7" t="inlineStr">
        <is>
          <t>unité</t>
        </is>
      </c>
      <c r="H1833" s="7" t="inlineStr">
        <is>
          <t>LARGE</t>
        </is>
      </c>
      <c r="I1833" s="7" t="n">
        <v>0</v>
      </c>
      <c r="J1833" s="7" t="inlineStr">
        <is>
          <t>B-02-02</t>
        </is>
      </c>
      <c r="K1833" s="7" t="inlineStr"/>
      <c r="L1833" s="9" t="n">
        <v>0</v>
      </c>
      <c r="M1833" s="9" t="n">
        <v>0</v>
      </c>
      <c r="N1833" s="9" t="n">
        <v>13</v>
      </c>
      <c r="O1833" s="7" t="inlineStr">
        <is>
          <t>YZK</t>
        </is>
      </c>
      <c r="P1833" s="7" t="inlineStr">
        <is>
          <t>CRITIQUE</t>
        </is>
      </c>
      <c r="Q1833" s="7" t="inlineStr">
        <is>
          <t>WHAP</t>
        </is>
      </c>
      <c r="R1833" s="7" t="inlineStr">
        <is>
          <t>OUI</t>
        </is>
      </c>
      <c r="S1833" s="7" t="inlineStr">
        <is>
          <t>31/08/2026 02:59</t>
        </is>
      </c>
    </row>
    <row r="1834">
      <c r="A1834" s="8" t="inlineStr">
        <is>
          <t>WHAP-1830</t>
        </is>
      </c>
      <c r="B1834" s="8" t="inlineStr">
        <is>
          <t>MOT-1830</t>
        </is>
      </c>
      <c r="C1834" s="8" t="inlineStr">
        <is>
          <t>pignon de segments de piston</t>
        </is>
      </c>
      <c r="D1834" s="8" t="inlineStr">
        <is>
          <t>Moteur</t>
        </is>
      </c>
      <c r="E1834" s="8" t="inlineStr">
        <is>
          <t>Moteur</t>
        </is>
      </c>
      <c r="F1834" s="8" t="inlineStr">
        <is>
          <t>PIECE_VEHICULE</t>
        </is>
      </c>
      <c r="G1834" s="8" t="inlineStr">
        <is>
          <t>unité</t>
        </is>
      </c>
      <c r="H1834" s="8" t="inlineStr">
        <is>
          <t>LARGE</t>
        </is>
      </c>
      <c r="I1834" s="8" t="n">
        <v>0</v>
      </c>
      <c r="J1834" s="8" t="inlineStr">
        <is>
          <t>D-04-01</t>
        </is>
      </c>
      <c r="K1834" s="8" t="inlineStr"/>
      <c r="L1834" s="10" t="n">
        <v>0</v>
      </c>
      <c r="M1834" s="10" t="n">
        <v>0</v>
      </c>
      <c r="N1834" s="10" t="n">
        <v>13</v>
      </c>
      <c r="O1834" s="8" t="inlineStr">
        <is>
          <t>CTL</t>
        </is>
      </c>
      <c r="P1834" s="8" t="inlineStr">
        <is>
          <t>CRITIQUE</t>
        </is>
      </c>
      <c r="Q1834" s="8" t="inlineStr">
        <is>
          <t>WHAP</t>
        </is>
      </c>
      <c r="R1834" s="8" t="inlineStr">
        <is>
          <t>OUI</t>
        </is>
      </c>
      <c r="S1834" s="8" t="inlineStr">
        <is>
          <t>31/08/2026 02:59</t>
        </is>
      </c>
    </row>
    <row r="1835">
      <c r="A1835" s="7" t="inlineStr">
        <is>
          <t>WHAP-1831</t>
        </is>
      </c>
      <c r="B1835" s="7" t="inlineStr">
        <is>
          <t>MOT-1831</t>
        </is>
      </c>
      <c r="C1835" s="7" t="inlineStr">
        <is>
          <t>ensemble de axe de piston</t>
        </is>
      </c>
      <c r="D1835" s="7" t="inlineStr">
        <is>
          <t>Moteur</t>
        </is>
      </c>
      <c r="E1835" s="7" t="inlineStr">
        <is>
          <t>Moteur</t>
        </is>
      </c>
      <c r="F1835" s="7" t="inlineStr">
        <is>
          <t>PIECE_VEHICULE</t>
        </is>
      </c>
      <c r="G1835" s="7" t="inlineStr">
        <is>
          <t>unité</t>
        </is>
      </c>
      <c r="H1835" s="7" t="inlineStr">
        <is>
          <t>LARGE</t>
        </is>
      </c>
      <c r="I1835" s="7" t="n">
        <v>0</v>
      </c>
      <c r="J1835" s="7" t="inlineStr">
        <is>
          <t>F-01-02</t>
        </is>
      </c>
      <c r="K1835" s="7" t="inlineStr"/>
      <c r="L1835" s="9" t="n">
        <v>0</v>
      </c>
      <c r="M1835" s="9" t="n">
        <v>0</v>
      </c>
      <c r="N1835" s="9" t="n">
        <v>12</v>
      </c>
      <c r="O1835" s="7" t="inlineStr">
        <is>
          <t>CTL</t>
        </is>
      </c>
      <c r="P1835" s="7" t="inlineStr">
        <is>
          <t>CRITIQUE</t>
        </is>
      </c>
      <c r="Q1835" s="7" t="inlineStr">
        <is>
          <t>WHAP</t>
        </is>
      </c>
      <c r="R1835" s="7" t="inlineStr">
        <is>
          <t>OUI</t>
        </is>
      </c>
      <c r="S1835" s="7" t="inlineStr">
        <is>
          <t>31/08/2026 02:59</t>
        </is>
      </c>
    </row>
    <row r="1836">
      <c r="A1836" s="8" t="inlineStr">
        <is>
          <t>WHAP-1832</t>
        </is>
      </c>
      <c r="B1836" s="8" t="inlineStr">
        <is>
          <t>MOT-1832</t>
        </is>
      </c>
      <c r="C1836" s="8" t="inlineStr">
        <is>
          <t>kit de axe de piston</t>
        </is>
      </c>
      <c r="D1836" s="8" t="inlineStr">
        <is>
          <t>Moteur</t>
        </is>
      </c>
      <c r="E1836" s="8" t="inlineStr">
        <is>
          <t>Moteur</t>
        </is>
      </c>
      <c r="F1836" s="8" t="inlineStr">
        <is>
          <t>PIECE_VEHICULE</t>
        </is>
      </c>
      <c r="G1836" s="8" t="inlineStr">
        <is>
          <t>unité</t>
        </is>
      </c>
      <c r="H1836" s="8" t="inlineStr">
        <is>
          <t>LARGE</t>
        </is>
      </c>
      <c r="I1836" s="8" t="n">
        <v>0</v>
      </c>
      <c r="J1836" s="8" t="inlineStr">
        <is>
          <t>F-06-01</t>
        </is>
      </c>
      <c r="K1836" s="8" t="inlineStr"/>
      <c r="L1836" s="10" t="n">
        <v>0</v>
      </c>
      <c r="M1836" s="10" t="n">
        <v>0</v>
      </c>
      <c r="N1836" s="10" t="n">
        <v>17</v>
      </c>
      <c r="O1836" s="8" t="inlineStr">
        <is>
          <t>SKF</t>
        </is>
      </c>
      <c r="P1836" s="8" t="inlineStr">
        <is>
          <t>CRITIQUE</t>
        </is>
      </c>
      <c r="Q1836" s="8" t="inlineStr">
        <is>
          <t>WHAP</t>
        </is>
      </c>
      <c r="R1836" s="8" t="inlineStr">
        <is>
          <t>OUI</t>
        </is>
      </c>
      <c r="S1836" s="8" t="inlineStr">
        <is>
          <t>31/08/2026 02:59</t>
        </is>
      </c>
    </row>
    <row r="1837">
      <c r="A1837" s="7" t="inlineStr">
        <is>
          <t>WHAP-1833</t>
        </is>
      </c>
      <c r="B1837" s="7" t="inlineStr">
        <is>
          <t>MOT-1833</t>
        </is>
      </c>
      <c r="C1837" s="7" t="inlineStr">
        <is>
          <t>support de axe de piston</t>
        </is>
      </c>
      <c r="D1837" s="7" t="inlineStr">
        <is>
          <t>Moteur</t>
        </is>
      </c>
      <c r="E1837" s="7" t="inlineStr">
        <is>
          <t>Moteur</t>
        </is>
      </c>
      <c r="F1837" s="7" t="inlineStr">
        <is>
          <t>PIECE_VEHICULE</t>
        </is>
      </c>
      <c r="G1837" s="7" t="inlineStr">
        <is>
          <t>unité</t>
        </is>
      </c>
      <c r="H1837" s="7" t="inlineStr">
        <is>
          <t>LARGE</t>
        </is>
      </c>
      <c r="I1837" s="7" t="n">
        <v>0</v>
      </c>
      <c r="J1837" s="7" t="inlineStr">
        <is>
          <t>E-05-03</t>
        </is>
      </c>
      <c r="K1837" s="7" t="inlineStr"/>
      <c r="L1837" s="9" t="n">
        <v>0</v>
      </c>
      <c r="M1837" s="9" t="n">
        <v>0</v>
      </c>
      <c r="N1837" s="9" t="n">
        <v>13</v>
      </c>
      <c r="O1837" s="7" t="inlineStr">
        <is>
          <t>BOS</t>
        </is>
      </c>
      <c r="P1837" s="7" t="inlineStr">
        <is>
          <t>CRITIQUE</t>
        </is>
      </c>
      <c r="Q1837" s="7" t="inlineStr">
        <is>
          <t>WHAP</t>
        </is>
      </c>
      <c r="R1837" s="7" t="inlineStr">
        <is>
          <t>OUI</t>
        </is>
      </c>
      <c r="S1837" s="7" t="inlineStr">
        <is>
          <t>31/08/2026 02:59</t>
        </is>
      </c>
    </row>
    <row r="1838">
      <c r="A1838" s="8" t="inlineStr">
        <is>
          <t>WHAP-1834</t>
        </is>
      </c>
      <c r="B1838" s="8" t="inlineStr">
        <is>
          <t>MOT-1834</t>
        </is>
      </c>
      <c r="C1838" s="8" t="inlineStr">
        <is>
          <t>boîtier de axe de piston</t>
        </is>
      </c>
      <c r="D1838" s="8" t="inlineStr">
        <is>
          <t>Moteur</t>
        </is>
      </c>
      <c r="E1838" s="8" t="inlineStr">
        <is>
          <t>Moteur</t>
        </is>
      </c>
      <c r="F1838" s="8" t="inlineStr">
        <is>
          <t>PIECE_VEHICULE</t>
        </is>
      </c>
      <c r="G1838" s="8" t="inlineStr">
        <is>
          <t>unité</t>
        </is>
      </c>
      <c r="H1838" s="8" t="inlineStr">
        <is>
          <t>LARGE</t>
        </is>
      </c>
      <c r="I1838" s="8" t="n">
        <v>0</v>
      </c>
      <c r="J1838" s="8" t="inlineStr">
        <is>
          <t>B-05-03</t>
        </is>
      </c>
      <c r="K1838" s="8" t="inlineStr"/>
      <c r="L1838" s="10" t="n">
        <v>0</v>
      </c>
      <c r="M1838" s="10" t="n">
        <v>0</v>
      </c>
      <c r="N1838" s="10" t="n">
        <v>15</v>
      </c>
      <c r="O1838" s="8" t="inlineStr">
        <is>
          <t>SKF</t>
        </is>
      </c>
      <c r="P1838" s="8" t="inlineStr">
        <is>
          <t>CRITIQUE</t>
        </is>
      </c>
      <c r="Q1838" s="8" t="inlineStr">
        <is>
          <t>WHAP</t>
        </is>
      </c>
      <c r="R1838" s="8" t="inlineStr">
        <is>
          <t>OUI</t>
        </is>
      </c>
      <c r="S1838" s="8" t="inlineStr">
        <is>
          <t>31/08/2026 02:59</t>
        </is>
      </c>
    </row>
    <row r="1839">
      <c r="A1839" s="7" t="inlineStr">
        <is>
          <t>WHAP-1835</t>
        </is>
      </c>
      <c r="B1839" s="7" t="inlineStr">
        <is>
          <t>MOT-1835</t>
        </is>
      </c>
      <c r="C1839" s="7" t="inlineStr">
        <is>
          <t>module de axe de piston</t>
        </is>
      </c>
      <c r="D1839" s="7" t="inlineStr">
        <is>
          <t>Moteur</t>
        </is>
      </c>
      <c r="E1839" s="7" t="inlineStr">
        <is>
          <t>Moteur</t>
        </is>
      </c>
      <c r="F1839" s="7" t="inlineStr">
        <is>
          <t>PIECE_VEHICULE</t>
        </is>
      </c>
      <c r="G1839" s="7" t="inlineStr">
        <is>
          <t>unité</t>
        </is>
      </c>
      <c r="H1839" s="7" t="inlineStr">
        <is>
          <t>LARGE</t>
        </is>
      </c>
      <c r="I1839" s="7" t="n">
        <v>0</v>
      </c>
      <c r="J1839" s="7" t="inlineStr">
        <is>
          <t>D-04-02</t>
        </is>
      </c>
      <c r="K1839" s="7" t="inlineStr"/>
      <c r="L1839" s="9" t="n">
        <v>0</v>
      </c>
      <c r="M1839" s="9" t="n">
        <v>0</v>
      </c>
      <c r="N1839" s="9" t="n">
        <v>13</v>
      </c>
      <c r="O1839" s="7" t="inlineStr">
        <is>
          <t>VAL</t>
        </is>
      </c>
      <c r="P1839" s="7" t="inlineStr">
        <is>
          <t>CRITIQUE</t>
        </is>
      </c>
      <c r="Q1839" s="7" t="inlineStr">
        <is>
          <t>WHAP</t>
        </is>
      </c>
      <c r="R1839" s="7" t="inlineStr">
        <is>
          <t>OUI</t>
        </is>
      </c>
      <c r="S1839" s="7" t="inlineStr">
        <is>
          <t>31/08/2026 02:59</t>
        </is>
      </c>
    </row>
    <row r="1840">
      <c r="A1840" s="8" t="inlineStr">
        <is>
          <t>WHAP-1836</t>
        </is>
      </c>
      <c r="B1840" s="8" t="inlineStr">
        <is>
          <t>MOT-1836</t>
        </is>
      </c>
      <c r="C1840" s="8" t="inlineStr">
        <is>
          <t>câblage de axe de piston</t>
        </is>
      </c>
      <c r="D1840" s="8" t="inlineStr">
        <is>
          <t>Moteur</t>
        </is>
      </c>
      <c r="E1840" s="8" t="inlineStr">
        <is>
          <t>Moteur</t>
        </is>
      </c>
      <c r="F1840" s="8" t="inlineStr">
        <is>
          <t>PIECE_VEHICULE</t>
        </is>
      </c>
      <c r="G1840" s="8" t="inlineStr">
        <is>
          <t>unité</t>
        </is>
      </c>
      <c r="H1840" s="8" t="inlineStr">
        <is>
          <t>LARGE</t>
        </is>
      </c>
      <c r="I1840" s="8" t="n">
        <v>0</v>
      </c>
      <c r="J1840" s="8" t="inlineStr">
        <is>
          <t>E-05-02</t>
        </is>
      </c>
      <c r="K1840" s="8" t="inlineStr"/>
      <c r="L1840" s="10" t="n">
        <v>0</v>
      </c>
      <c r="M1840" s="10" t="n">
        <v>0</v>
      </c>
      <c r="N1840" s="10" t="n">
        <v>17</v>
      </c>
      <c r="O1840" s="8" t="inlineStr">
        <is>
          <t>DEL</t>
        </is>
      </c>
      <c r="P1840" s="8" t="inlineStr">
        <is>
          <t>CRITIQUE</t>
        </is>
      </c>
      <c r="Q1840" s="8" t="inlineStr">
        <is>
          <t>WHAP</t>
        </is>
      </c>
      <c r="R1840" s="8" t="inlineStr">
        <is>
          <t>OUI</t>
        </is>
      </c>
      <c r="S1840" s="8" t="inlineStr">
        <is>
          <t>31/08/2026 02:59</t>
        </is>
      </c>
    </row>
    <row r="1841">
      <c r="A1841" s="7" t="inlineStr">
        <is>
          <t>WHAP-1837</t>
        </is>
      </c>
      <c r="B1841" s="7" t="inlineStr">
        <is>
          <t>MOT-1837</t>
        </is>
      </c>
      <c r="C1841" s="7" t="inlineStr">
        <is>
          <t>connecteur de axe de piston</t>
        </is>
      </c>
      <c r="D1841" s="7" t="inlineStr">
        <is>
          <t>Moteur</t>
        </is>
      </c>
      <c r="E1841" s="7" t="inlineStr">
        <is>
          <t>Moteur</t>
        </is>
      </c>
      <c r="F1841" s="7" t="inlineStr">
        <is>
          <t>PIECE_VEHICULE</t>
        </is>
      </c>
      <c r="G1841" s="7" t="inlineStr">
        <is>
          <t>unité</t>
        </is>
      </c>
      <c r="H1841" s="7" t="inlineStr">
        <is>
          <t>LARGE</t>
        </is>
      </c>
      <c r="I1841" s="7" t="n">
        <v>0</v>
      </c>
      <c r="J1841" s="7" t="inlineStr">
        <is>
          <t>C-02-02</t>
        </is>
      </c>
      <c r="K1841" s="7" t="inlineStr"/>
      <c r="L1841" s="9" t="n">
        <v>0</v>
      </c>
      <c r="M1841" s="9" t="n">
        <v>0</v>
      </c>
      <c r="N1841" s="9" t="n">
        <v>11</v>
      </c>
      <c r="O1841" s="7" t="inlineStr">
        <is>
          <t>BOS</t>
        </is>
      </c>
      <c r="P1841" s="7" t="inlineStr">
        <is>
          <t>CRITIQUE</t>
        </is>
      </c>
      <c r="Q1841" s="7" t="inlineStr">
        <is>
          <t>WHAP</t>
        </is>
      </c>
      <c r="R1841" s="7" t="inlineStr">
        <is>
          <t>OUI</t>
        </is>
      </c>
      <c r="S1841" s="7" t="inlineStr">
        <is>
          <t>31/08/2026 02:59</t>
        </is>
      </c>
    </row>
    <row r="1842">
      <c r="A1842" s="8" t="inlineStr">
        <is>
          <t>WHAP-1838</t>
        </is>
      </c>
      <c r="B1842" s="8" t="inlineStr">
        <is>
          <t>MOT-1838</t>
        </is>
      </c>
      <c r="C1842" s="8" t="inlineStr">
        <is>
          <t>joint de axe de piston</t>
        </is>
      </c>
      <c r="D1842" s="8" t="inlineStr">
        <is>
          <t>Moteur</t>
        </is>
      </c>
      <c r="E1842" s="8" t="inlineStr">
        <is>
          <t>Moteur</t>
        </is>
      </c>
      <c r="F1842" s="8" t="inlineStr">
        <is>
          <t>PIECE_VEHICULE</t>
        </is>
      </c>
      <c r="G1842" s="8" t="inlineStr">
        <is>
          <t>unité</t>
        </is>
      </c>
      <c r="H1842" s="8" t="inlineStr">
        <is>
          <t>LARGE</t>
        </is>
      </c>
      <c r="I1842" s="8" t="n">
        <v>0</v>
      </c>
      <c r="J1842" s="8" t="inlineStr">
        <is>
          <t>F-06-01</t>
        </is>
      </c>
      <c r="K1842" s="8" t="inlineStr"/>
      <c r="L1842" s="10" t="n">
        <v>0</v>
      </c>
      <c r="M1842" s="10" t="n">
        <v>0</v>
      </c>
      <c r="N1842" s="10" t="n">
        <v>18</v>
      </c>
      <c r="O1842" s="8" t="inlineStr">
        <is>
          <t>FAU</t>
        </is>
      </c>
      <c r="P1842" s="8" t="inlineStr">
        <is>
          <t>CRITIQUE</t>
        </is>
      </c>
      <c r="Q1842" s="8" t="inlineStr">
        <is>
          <t>WHAP</t>
        </is>
      </c>
      <c r="R1842" s="8" t="inlineStr">
        <is>
          <t>OUI</t>
        </is>
      </c>
      <c r="S1842" s="8" t="inlineStr">
        <is>
          <t>31/08/2026 02:59</t>
        </is>
      </c>
    </row>
    <row r="1843">
      <c r="A1843" s="7" t="inlineStr">
        <is>
          <t>WHAP-1839</t>
        </is>
      </c>
      <c r="B1843" s="7" t="inlineStr">
        <is>
          <t>MOT-1839</t>
        </is>
      </c>
      <c r="C1843" s="7" t="inlineStr">
        <is>
          <t>fixation de axe de piston</t>
        </is>
      </c>
      <c r="D1843" s="7" t="inlineStr">
        <is>
          <t>Moteur</t>
        </is>
      </c>
      <c r="E1843" s="7" t="inlineStr">
        <is>
          <t>Moteur</t>
        </is>
      </c>
      <c r="F1843" s="7" t="inlineStr">
        <is>
          <t>PIECE_VEHICULE</t>
        </is>
      </c>
      <c r="G1843" s="7" t="inlineStr">
        <is>
          <t>unité</t>
        </is>
      </c>
      <c r="H1843" s="7" t="inlineStr">
        <is>
          <t>LARGE</t>
        </is>
      </c>
      <c r="I1843" s="7" t="n">
        <v>0</v>
      </c>
      <c r="J1843" s="7" t="inlineStr">
        <is>
          <t>C-01-04</t>
        </is>
      </c>
      <c r="K1843" s="7" t="inlineStr"/>
      <c r="L1843" s="9" t="n">
        <v>0</v>
      </c>
      <c r="M1843" s="9" t="n">
        <v>0</v>
      </c>
      <c r="N1843" s="9" t="n">
        <v>15</v>
      </c>
      <c r="O1843" s="7" t="inlineStr">
        <is>
          <t>BOS</t>
        </is>
      </c>
      <c r="P1843" s="7" t="inlineStr">
        <is>
          <t>CRITIQUE</t>
        </is>
      </c>
      <c r="Q1843" s="7" t="inlineStr">
        <is>
          <t>WHAP</t>
        </is>
      </c>
      <c r="R1843" s="7" t="inlineStr">
        <is>
          <t>OUI</t>
        </is>
      </c>
      <c r="S1843" s="7" t="inlineStr">
        <is>
          <t>31/08/2026 02:59</t>
        </is>
      </c>
    </row>
    <row r="1844">
      <c r="A1844" s="8" t="inlineStr">
        <is>
          <t>WHAP-1840</t>
        </is>
      </c>
      <c r="B1844" s="8" t="inlineStr">
        <is>
          <t>MOT-1840</t>
        </is>
      </c>
      <c r="C1844" s="8" t="inlineStr">
        <is>
          <t>protection de axe de piston</t>
        </is>
      </c>
      <c r="D1844" s="8" t="inlineStr">
        <is>
          <t>Moteur</t>
        </is>
      </c>
      <c r="E1844" s="8" t="inlineStr">
        <is>
          <t>Moteur</t>
        </is>
      </c>
      <c r="F1844" s="8" t="inlineStr">
        <is>
          <t>PIECE_VEHICULE</t>
        </is>
      </c>
      <c r="G1844" s="8" t="inlineStr">
        <is>
          <t>unité</t>
        </is>
      </c>
      <c r="H1844" s="8" t="inlineStr">
        <is>
          <t>LARGE</t>
        </is>
      </c>
      <c r="I1844" s="8" t="n">
        <v>0</v>
      </c>
      <c r="J1844" s="8" t="inlineStr">
        <is>
          <t>F-06-03</t>
        </is>
      </c>
      <c r="K1844" s="8" t="inlineStr"/>
      <c r="L1844" s="10" t="n">
        <v>0</v>
      </c>
      <c r="M1844" s="10" t="n">
        <v>0</v>
      </c>
      <c r="N1844" s="10" t="n">
        <v>11</v>
      </c>
      <c r="O1844" s="8" t="inlineStr">
        <is>
          <t>CTL</t>
        </is>
      </c>
      <c r="P1844" s="8" t="inlineStr">
        <is>
          <t>CRITIQUE</t>
        </is>
      </c>
      <c r="Q1844" s="8" t="inlineStr">
        <is>
          <t>WHAP</t>
        </is>
      </c>
      <c r="R1844" s="8" t="inlineStr">
        <is>
          <t>OUI</t>
        </is>
      </c>
      <c r="S1844" s="8" t="inlineStr">
        <is>
          <t>31/08/2026 02:59</t>
        </is>
      </c>
    </row>
    <row r="1845">
      <c r="A1845" s="7" t="inlineStr">
        <is>
          <t>WHAP-1841</t>
        </is>
      </c>
      <c r="B1845" s="7" t="inlineStr">
        <is>
          <t>MOT-1841</t>
        </is>
      </c>
      <c r="C1845" s="7" t="inlineStr">
        <is>
          <t>capteur de axe de piston</t>
        </is>
      </c>
      <c r="D1845" s="7" t="inlineStr">
        <is>
          <t>Moteur</t>
        </is>
      </c>
      <c r="E1845" s="7" t="inlineStr">
        <is>
          <t>Moteur</t>
        </is>
      </c>
      <c r="F1845" s="7" t="inlineStr">
        <is>
          <t>PIECE_VEHICULE</t>
        </is>
      </c>
      <c r="G1845" s="7" t="inlineStr">
        <is>
          <t>unité</t>
        </is>
      </c>
      <c r="H1845" s="7" t="inlineStr">
        <is>
          <t>LARGE</t>
        </is>
      </c>
      <c r="I1845" s="7" t="n">
        <v>0</v>
      </c>
      <c r="J1845" s="7" t="inlineStr">
        <is>
          <t>E-04-02</t>
        </is>
      </c>
      <c r="K1845" s="7" t="inlineStr"/>
      <c r="L1845" s="9" t="n">
        <v>0</v>
      </c>
      <c r="M1845" s="9" t="n">
        <v>0</v>
      </c>
      <c r="N1845" s="9" t="n">
        <v>18</v>
      </c>
      <c r="O1845" s="7" t="inlineStr">
        <is>
          <t>HEL</t>
        </is>
      </c>
      <c r="P1845" s="7" t="inlineStr">
        <is>
          <t>CRITIQUE</t>
        </is>
      </c>
      <c r="Q1845" s="7" t="inlineStr">
        <is>
          <t>WHAP</t>
        </is>
      </c>
      <c r="R1845" s="7" t="inlineStr">
        <is>
          <t>OUI</t>
        </is>
      </c>
      <c r="S1845" s="7" t="inlineStr">
        <is>
          <t>31/08/2026 02:59</t>
        </is>
      </c>
    </row>
    <row r="1846">
      <c r="A1846" s="8" t="inlineStr">
        <is>
          <t>WHAP-1842</t>
        </is>
      </c>
      <c r="B1846" s="8" t="inlineStr">
        <is>
          <t>MOT-1842</t>
        </is>
      </c>
      <c r="C1846" s="8" t="inlineStr">
        <is>
          <t>actionneur de axe de piston</t>
        </is>
      </c>
      <c r="D1846" s="8" t="inlineStr">
        <is>
          <t>Moteur</t>
        </is>
      </c>
      <c r="E1846" s="8" t="inlineStr">
        <is>
          <t>Moteur</t>
        </is>
      </c>
      <c r="F1846" s="8" t="inlineStr">
        <is>
          <t>PIECE_VEHICULE</t>
        </is>
      </c>
      <c r="G1846" s="8" t="inlineStr">
        <is>
          <t>unité</t>
        </is>
      </c>
      <c r="H1846" s="8" t="inlineStr">
        <is>
          <t>LARGE</t>
        </is>
      </c>
      <c r="I1846" s="8" t="n">
        <v>0</v>
      </c>
      <c r="J1846" s="8" t="inlineStr">
        <is>
          <t>A-03-03</t>
        </is>
      </c>
      <c r="K1846" s="8" t="inlineStr"/>
      <c r="L1846" s="10" t="n">
        <v>0</v>
      </c>
      <c r="M1846" s="10" t="n">
        <v>0</v>
      </c>
      <c r="N1846" s="10" t="n">
        <v>16</v>
      </c>
      <c r="O1846" s="8" t="inlineStr">
        <is>
          <t>DEL</t>
        </is>
      </c>
      <c r="P1846" s="8" t="inlineStr">
        <is>
          <t>CRITIQUE</t>
        </is>
      </c>
      <c r="Q1846" s="8" t="inlineStr">
        <is>
          <t>WHAP</t>
        </is>
      </c>
      <c r="R1846" s="8" t="inlineStr">
        <is>
          <t>OUI</t>
        </is>
      </c>
      <c r="S1846" s="8" t="inlineStr">
        <is>
          <t>31/08/2026 02:59</t>
        </is>
      </c>
    </row>
    <row r="1847">
      <c r="A1847" s="7" t="inlineStr">
        <is>
          <t>WHAP-1843</t>
        </is>
      </c>
      <c r="B1847" s="7" t="inlineStr">
        <is>
          <t>MOT-1843</t>
        </is>
      </c>
      <c r="C1847" s="7" t="inlineStr">
        <is>
          <t>raccord de axe de piston</t>
        </is>
      </c>
      <c r="D1847" s="7" t="inlineStr">
        <is>
          <t>Moteur</t>
        </is>
      </c>
      <c r="E1847" s="7" t="inlineStr">
        <is>
          <t>Moteur</t>
        </is>
      </c>
      <c r="F1847" s="7" t="inlineStr">
        <is>
          <t>PIECE_VEHICULE</t>
        </is>
      </c>
      <c r="G1847" s="7" t="inlineStr">
        <is>
          <t>unité</t>
        </is>
      </c>
      <c r="H1847" s="7" t="inlineStr">
        <is>
          <t>LARGE</t>
        </is>
      </c>
      <c r="I1847" s="7" t="n">
        <v>0</v>
      </c>
      <c r="J1847" s="7" t="inlineStr">
        <is>
          <t>A-01-03</t>
        </is>
      </c>
      <c r="K1847" s="7" t="inlineStr"/>
      <c r="L1847" s="9" t="n">
        <v>0</v>
      </c>
      <c r="M1847" s="9" t="n">
        <v>0</v>
      </c>
      <c r="N1847" s="9" t="n">
        <v>16</v>
      </c>
      <c r="O1847" s="7" t="inlineStr">
        <is>
          <t>HEL</t>
        </is>
      </c>
      <c r="P1847" s="7" t="inlineStr">
        <is>
          <t>CRITIQUE</t>
        </is>
      </c>
      <c r="Q1847" s="7" t="inlineStr">
        <is>
          <t>WHAP</t>
        </is>
      </c>
      <c r="R1847" s="7" t="inlineStr">
        <is>
          <t>OUI</t>
        </is>
      </c>
      <c r="S1847" s="7" t="inlineStr">
        <is>
          <t>31/08/2026 02:59</t>
        </is>
      </c>
    </row>
    <row r="1848">
      <c r="A1848" s="8" t="inlineStr">
        <is>
          <t>WHAP-1844</t>
        </is>
      </c>
      <c r="B1848" s="8" t="inlineStr">
        <is>
          <t>MOT-1844</t>
        </is>
      </c>
      <c r="C1848" s="8" t="inlineStr">
        <is>
          <t>plaque de axe de piston</t>
        </is>
      </c>
      <c r="D1848" s="8" t="inlineStr">
        <is>
          <t>Moteur</t>
        </is>
      </c>
      <c r="E1848" s="8" t="inlineStr">
        <is>
          <t>Moteur</t>
        </is>
      </c>
      <c r="F1848" s="8" t="inlineStr">
        <is>
          <t>PIECE_VEHICULE</t>
        </is>
      </c>
      <c r="G1848" s="8" t="inlineStr">
        <is>
          <t>unité</t>
        </is>
      </c>
      <c r="H1848" s="8" t="inlineStr">
        <is>
          <t>LARGE</t>
        </is>
      </c>
      <c r="I1848" s="8" t="n">
        <v>0</v>
      </c>
      <c r="J1848" s="8" t="inlineStr">
        <is>
          <t>A-03-03</t>
        </is>
      </c>
      <c r="K1848" s="8" t="inlineStr"/>
      <c r="L1848" s="10" t="n">
        <v>0</v>
      </c>
      <c r="M1848" s="10" t="n">
        <v>0</v>
      </c>
      <c r="N1848" s="10" t="n">
        <v>10</v>
      </c>
      <c r="O1848" s="8" t="inlineStr">
        <is>
          <t>MAG</t>
        </is>
      </c>
      <c r="P1848" s="8" t="inlineStr">
        <is>
          <t>CRITIQUE</t>
        </is>
      </c>
      <c r="Q1848" s="8" t="inlineStr">
        <is>
          <t>WHAP</t>
        </is>
      </c>
      <c r="R1848" s="8" t="inlineStr">
        <is>
          <t>OUI</t>
        </is>
      </c>
      <c r="S1848" s="8" t="inlineStr">
        <is>
          <t>31/08/2026 02:59</t>
        </is>
      </c>
    </row>
    <row r="1849">
      <c r="A1849" s="7" t="inlineStr">
        <is>
          <t>WHAP-1845</t>
        </is>
      </c>
      <c r="B1849" s="7" t="inlineStr">
        <is>
          <t>MOT-1845</t>
        </is>
      </c>
      <c r="C1849" s="7" t="inlineStr">
        <is>
          <t>couvercle de axe de piston</t>
        </is>
      </c>
      <c r="D1849" s="7" t="inlineStr">
        <is>
          <t>Moteur</t>
        </is>
      </c>
      <c r="E1849" s="7" t="inlineStr">
        <is>
          <t>Moteur</t>
        </is>
      </c>
      <c r="F1849" s="7" t="inlineStr">
        <is>
          <t>PIECE_VEHICULE</t>
        </is>
      </c>
      <c r="G1849" s="7" t="inlineStr">
        <is>
          <t>unité</t>
        </is>
      </c>
      <c r="H1849" s="7" t="inlineStr">
        <is>
          <t>LARGE</t>
        </is>
      </c>
      <c r="I1849" s="7" t="n">
        <v>0</v>
      </c>
      <c r="J1849" s="7" t="inlineStr">
        <is>
          <t>C-05-03</t>
        </is>
      </c>
      <c r="K1849" s="7" t="inlineStr"/>
      <c r="L1849" s="9" t="n">
        <v>0</v>
      </c>
      <c r="M1849" s="9" t="n">
        <v>0</v>
      </c>
      <c r="N1849" s="9" t="n">
        <v>16</v>
      </c>
      <c r="O1849" s="7" t="inlineStr">
        <is>
          <t>BOS</t>
        </is>
      </c>
      <c r="P1849" s="7" t="inlineStr">
        <is>
          <t>CRITIQUE</t>
        </is>
      </c>
      <c r="Q1849" s="7" t="inlineStr">
        <is>
          <t>WHAP</t>
        </is>
      </c>
      <c r="R1849" s="7" t="inlineStr">
        <is>
          <t>OUI</t>
        </is>
      </c>
      <c r="S1849" s="7" t="inlineStr">
        <is>
          <t>31/08/2026 02:59</t>
        </is>
      </c>
    </row>
    <row r="1850">
      <c r="A1850" s="8" t="inlineStr">
        <is>
          <t>WHAP-1846</t>
        </is>
      </c>
      <c r="B1850" s="8" t="inlineStr">
        <is>
          <t>MOT-1846</t>
        </is>
      </c>
      <c r="C1850" s="8" t="inlineStr">
        <is>
          <t>bague de axe de piston</t>
        </is>
      </c>
      <c r="D1850" s="8" t="inlineStr">
        <is>
          <t>Moteur</t>
        </is>
      </c>
      <c r="E1850" s="8" t="inlineStr">
        <is>
          <t>Moteur</t>
        </is>
      </c>
      <c r="F1850" s="8" t="inlineStr">
        <is>
          <t>PIECE_VEHICULE</t>
        </is>
      </c>
      <c r="G1850" s="8" t="inlineStr">
        <is>
          <t>unité</t>
        </is>
      </c>
      <c r="H1850" s="8" t="inlineStr">
        <is>
          <t>LARGE</t>
        </is>
      </c>
      <c r="I1850" s="8" t="n">
        <v>0</v>
      </c>
      <c r="J1850" s="8" t="inlineStr">
        <is>
          <t>E-02-04</t>
        </is>
      </c>
      <c r="K1850" s="8" t="inlineStr"/>
      <c r="L1850" s="10" t="n">
        <v>0</v>
      </c>
      <c r="M1850" s="10" t="n">
        <v>0</v>
      </c>
      <c r="N1850" s="10" t="n">
        <v>14</v>
      </c>
      <c r="O1850" s="8" t="inlineStr">
        <is>
          <t>HEL</t>
        </is>
      </c>
      <c r="P1850" s="8" t="inlineStr">
        <is>
          <t>CRITIQUE</t>
        </is>
      </c>
      <c r="Q1850" s="8" t="inlineStr">
        <is>
          <t>WHAP</t>
        </is>
      </c>
      <c r="R1850" s="8" t="inlineStr">
        <is>
          <t>OUI</t>
        </is>
      </c>
      <c r="S1850" s="8" t="inlineStr">
        <is>
          <t>31/08/2026 02:59</t>
        </is>
      </c>
    </row>
    <row r="1851">
      <c r="A1851" s="7" t="inlineStr">
        <is>
          <t>WHAP-1847</t>
        </is>
      </c>
      <c r="B1851" s="7" t="inlineStr">
        <is>
          <t>MOT-1847</t>
        </is>
      </c>
      <c r="C1851" s="7" t="inlineStr">
        <is>
          <t>entretoise de axe de piston</t>
        </is>
      </c>
      <c r="D1851" s="7" t="inlineStr">
        <is>
          <t>Moteur</t>
        </is>
      </c>
      <c r="E1851" s="7" t="inlineStr">
        <is>
          <t>Moteur</t>
        </is>
      </c>
      <c r="F1851" s="7" t="inlineStr">
        <is>
          <t>PIECE_VEHICULE</t>
        </is>
      </c>
      <c r="G1851" s="7" t="inlineStr">
        <is>
          <t>unité</t>
        </is>
      </c>
      <c r="H1851" s="7" t="inlineStr">
        <is>
          <t>LARGE</t>
        </is>
      </c>
      <c r="I1851" s="7" t="n">
        <v>0</v>
      </c>
      <c r="J1851" s="7" t="inlineStr">
        <is>
          <t>D-01-02</t>
        </is>
      </c>
      <c r="K1851" s="7" t="inlineStr"/>
      <c r="L1851" s="9" t="n">
        <v>0</v>
      </c>
      <c r="M1851" s="9" t="n">
        <v>0</v>
      </c>
      <c r="N1851" s="9" t="n">
        <v>18</v>
      </c>
      <c r="O1851" s="7" t="inlineStr">
        <is>
          <t>CTL</t>
        </is>
      </c>
      <c r="P1851" s="7" t="inlineStr">
        <is>
          <t>CRITIQUE</t>
        </is>
      </c>
      <c r="Q1851" s="7" t="inlineStr">
        <is>
          <t>WHAP</t>
        </is>
      </c>
      <c r="R1851" s="7" t="inlineStr">
        <is>
          <t>OUI</t>
        </is>
      </c>
      <c r="S1851" s="7" t="inlineStr">
        <is>
          <t>31/08/2026 02:59</t>
        </is>
      </c>
    </row>
    <row r="1852">
      <c r="A1852" s="8" t="inlineStr">
        <is>
          <t>WHAP-1848</t>
        </is>
      </c>
      <c r="B1852" s="8" t="inlineStr">
        <is>
          <t>MOT-1848</t>
        </is>
      </c>
      <c r="C1852" s="8" t="inlineStr">
        <is>
          <t>axe de axe de piston</t>
        </is>
      </c>
      <c r="D1852" s="8" t="inlineStr">
        <is>
          <t>Moteur</t>
        </is>
      </c>
      <c r="E1852" s="8" t="inlineStr">
        <is>
          <t>Moteur</t>
        </is>
      </c>
      <c r="F1852" s="8" t="inlineStr">
        <is>
          <t>PIECE_VEHICULE</t>
        </is>
      </c>
      <c r="G1852" s="8" t="inlineStr">
        <is>
          <t>unité</t>
        </is>
      </c>
      <c r="H1852" s="8" t="inlineStr">
        <is>
          <t>LARGE</t>
        </is>
      </c>
      <c r="I1852" s="8" t="n">
        <v>0</v>
      </c>
      <c r="J1852" s="8" t="inlineStr">
        <is>
          <t>D-06-03</t>
        </is>
      </c>
      <c r="K1852" s="8" t="inlineStr"/>
      <c r="L1852" s="10" t="n">
        <v>0</v>
      </c>
      <c r="M1852" s="10" t="n">
        <v>0</v>
      </c>
      <c r="N1852" s="10" t="n">
        <v>19</v>
      </c>
      <c r="O1852" s="8" t="inlineStr">
        <is>
          <t>VAL</t>
        </is>
      </c>
      <c r="P1852" s="8" t="inlineStr">
        <is>
          <t>CRITIQUE</t>
        </is>
      </c>
      <c r="Q1852" s="8" t="inlineStr">
        <is>
          <t>WHAP</t>
        </is>
      </c>
      <c r="R1852" s="8" t="inlineStr">
        <is>
          <t>OUI</t>
        </is>
      </c>
      <c r="S1852" s="8" t="inlineStr">
        <is>
          <t>31/08/2026 02:59</t>
        </is>
      </c>
    </row>
    <row r="1853">
      <c r="A1853" s="7" t="inlineStr">
        <is>
          <t>WHAP-1849</t>
        </is>
      </c>
      <c r="B1853" s="7" t="inlineStr">
        <is>
          <t>MOT-1849</t>
        </is>
      </c>
      <c r="C1853" s="7" t="inlineStr">
        <is>
          <t>poulie de axe de piston</t>
        </is>
      </c>
      <c r="D1853" s="7" t="inlineStr">
        <is>
          <t>Moteur</t>
        </is>
      </c>
      <c r="E1853" s="7" t="inlineStr">
        <is>
          <t>Moteur</t>
        </is>
      </c>
      <c r="F1853" s="7" t="inlineStr">
        <is>
          <t>PIECE_VEHICULE</t>
        </is>
      </c>
      <c r="G1853" s="7" t="inlineStr">
        <is>
          <t>unité</t>
        </is>
      </c>
      <c r="H1853" s="7" t="inlineStr">
        <is>
          <t>LARGE</t>
        </is>
      </c>
      <c r="I1853" s="7" t="n">
        <v>0</v>
      </c>
      <c r="J1853" s="7" t="inlineStr">
        <is>
          <t>D-04-01</t>
        </is>
      </c>
      <c r="K1853" s="7" t="inlineStr"/>
      <c r="L1853" s="9" t="n">
        <v>0</v>
      </c>
      <c r="M1853" s="9" t="n">
        <v>0</v>
      </c>
      <c r="N1853" s="9" t="n">
        <v>20</v>
      </c>
      <c r="O1853" s="7" t="inlineStr">
        <is>
          <t>YZK</t>
        </is>
      </c>
      <c r="P1853" s="7" t="inlineStr">
        <is>
          <t>CRITIQUE</t>
        </is>
      </c>
      <c r="Q1853" s="7" t="inlineStr">
        <is>
          <t>WHAP</t>
        </is>
      </c>
      <c r="R1853" s="7" t="inlineStr">
        <is>
          <t>OUI</t>
        </is>
      </c>
      <c r="S1853" s="7" t="inlineStr">
        <is>
          <t>31/08/2026 02:59</t>
        </is>
      </c>
    </row>
    <row r="1854">
      <c r="A1854" s="8" t="inlineStr">
        <is>
          <t>WHAP-1850</t>
        </is>
      </c>
      <c r="B1854" s="8" t="inlineStr">
        <is>
          <t>MOT-1850</t>
        </is>
      </c>
      <c r="C1854" s="8" t="inlineStr">
        <is>
          <t>pignon de axe de piston</t>
        </is>
      </c>
      <c r="D1854" s="8" t="inlineStr">
        <is>
          <t>Moteur</t>
        </is>
      </c>
      <c r="E1854" s="8" t="inlineStr">
        <is>
          <t>Moteur</t>
        </is>
      </c>
      <c r="F1854" s="8" t="inlineStr">
        <is>
          <t>PIECE_VEHICULE</t>
        </is>
      </c>
      <c r="G1854" s="8" t="inlineStr">
        <is>
          <t>unité</t>
        </is>
      </c>
      <c r="H1854" s="8" t="inlineStr">
        <is>
          <t>LARGE</t>
        </is>
      </c>
      <c r="I1854" s="8" t="n">
        <v>0</v>
      </c>
      <c r="J1854" s="8" t="inlineStr">
        <is>
          <t>C-04-02</t>
        </is>
      </c>
      <c r="K1854" s="8" t="inlineStr"/>
      <c r="L1854" s="10" t="n">
        <v>0</v>
      </c>
      <c r="M1854" s="10" t="n">
        <v>0</v>
      </c>
      <c r="N1854" s="10" t="n">
        <v>15</v>
      </c>
      <c r="O1854" s="8" t="inlineStr">
        <is>
          <t>HEL</t>
        </is>
      </c>
      <c r="P1854" s="8" t="inlineStr">
        <is>
          <t>CRITIQUE</t>
        </is>
      </c>
      <c r="Q1854" s="8" t="inlineStr">
        <is>
          <t>WHAP</t>
        </is>
      </c>
      <c r="R1854" s="8" t="inlineStr">
        <is>
          <t>OUI</t>
        </is>
      </c>
      <c r="S1854" s="8" t="inlineStr">
        <is>
          <t>31/08/2026 02:59</t>
        </is>
      </c>
    </row>
    <row r="1855">
      <c r="A1855" s="7" t="inlineStr">
        <is>
          <t>WHAP-1851</t>
        </is>
      </c>
      <c r="B1855" s="7" t="inlineStr">
        <is>
          <t>MOT-1851</t>
        </is>
      </c>
      <c r="C1855" s="7" t="inlineStr">
        <is>
          <t>ensemble de chemise de cylindre</t>
        </is>
      </c>
      <c r="D1855" s="7" t="inlineStr">
        <is>
          <t>Moteur</t>
        </is>
      </c>
      <c r="E1855" s="7" t="inlineStr">
        <is>
          <t>Moteur</t>
        </is>
      </c>
      <c r="F1855" s="7" t="inlineStr">
        <is>
          <t>PIECE_VEHICULE</t>
        </is>
      </c>
      <c r="G1855" s="7" t="inlineStr">
        <is>
          <t>unité</t>
        </is>
      </c>
      <c r="H1855" s="7" t="inlineStr">
        <is>
          <t>LARGE</t>
        </is>
      </c>
      <c r="I1855" s="7" t="n">
        <v>0</v>
      </c>
      <c r="J1855" s="7" t="inlineStr">
        <is>
          <t>A-02-03</t>
        </is>
      </c>
      <c r="K1855" s="7" t="inlineStr"/>
      <c r="L1855" s="9" t="n">
        <v>0</v>
      </c>
      <c r="M1855" s="9" t="n">
        <v>0</v>
      </c>
      <c r="N1855" s="9" t="n">
        <v>16</v>
      </c>
      <c r="O1855" s="7" t="inlineStr">
        <is>
          <t>HEL</t>
        </is>
      </c>
      <c r="P1855" s="7" t="inlineStr">
        <is>
          <t>CRITIQUE</t>
        </is>
      </c>
      <c r="Q1855" s="7" t="inlineStr">
        <is>
          <t>WHAP</t>
        </is>
      </c>
      <c r="R1855" s="7" t="inlineStr">
        <is>
          <t>OUI</t>
        </is>
      </c>
      <c r="S1855" s="7" t="inlineStr">
        <is>
          <t>31/08/2026 02:59</t>
        </is>
      </c>
    </row>
    <row r="1856">
      <c r="A1856" s="8" t="inlineStr">
        <is>
          <t>WHAP-1852</t>
        </is>
      </c>
      <c r="B1856" s="8" t="inlineStr">
        <is>
          <t>MOT-1852</t>
        </is>
      </c>
      <c r="C1856" s="8" t="inlineStr">
        <is>
          <t>kit de chemise de cylindre</t>
        </is>
      </c>
      <c r="D1856" s="8" t="inlineStr">
        <is>
          <t>Moteur</t>
        </is>
      </c>
      <c r="E1856" s="8" t="inlineStr">
        <is>
          <t>Moteur</t>
        </is>
      </c>
      <c r="F1856" s="8" t="inlineStr">
        <is>
          <t>PIECE_VEHICULE</t>
        </is>
      </c>
      <c r="G1856" s="8" t="inlineStr">
        <is>
          <t>unité</t>
        </is>
      </c>
      <c r="H1856" s="8" t="inlineStr">
        <is>
          <t>LARGE</t>
        </is>
      </c>
      <c r="I1856" s="8" t="n">
        <v>0</v>
      </c>
      <c r="J1856" s="8" t="inlineStr">
        <is>
          <t>F-01-02</t>
        </is>
      </c>
      <c r="K1856" s="8" t="inlineStr"/>
      <c r="L1856" s="10" t="n">
        <v>0</v>
      </c>
      <c r="M1856" s="10" t="n">
        <v>0</v>
      </c>
      <c r="N1856" s="10" t="n">
        <v>19</v>
      </c>
      <c r="O1856" s="8" t="inlineStr">
        <is>
          <t>CTL</t>
        </is>
      </c>
      <c r="P1856" s="8" t="inlineStr">
        <is>
          <t>CRITIQUE</t>
        </is>
      </c>
      <c r="Q1856" s="8" t="inlineStr">
        <is>
          <t>WHAP</t>
        </is>
      </c>
      <c r="R1856" s="8" t="inlineStr">
        <is>
          <t>OUI</t>
        </is>
      </c>
      <c r="S1856" s="8" t="inlineStr">
        <is>
          <t>31/08/2026 02:59</t>
        </is>
      </c>
    </row>
    <row r="1857">
      <c r="A1857" s="7" t="inlineStr">
        <is>
          <t>WHAP-1853</t>
        </is>
      </c>
      <c r="B1857" s="7" t="inlineStr">
        <is>
          <t>MOT-1853</t>
        </is>
      </c>
      <c r="C1857" s="7" t="inlineStr">
        <is>
          <t>support de chemise de cylindre</t>
        </is>
      </c>
      <c r="D1857" s="7" t="inlineStr">
        <is>
          <t>Moteur</t>
        </is>
      </c>
      <c r="E1857" s="7" t="inlineStr">
        <is>
          <t>Moteur</t>
        </is>
      </c>
      <c r="F1857" s="7" t="inlineStr">
        <is>
          <t>PIECE_VEHICULE</t>
        </is>
      </c>
      <c r="G1857" s="7" t="inlineStr">
        <is>
          <t>unité</t>
        </is>
      </c>
      <c r="H1857" s="7" t="inlineStr">
        <is>
          <t>LARGE</t>
        </is>
      </c>
      <c r="I1857" s="7" t="n">
        <v>0</v>
      </c>
      <c r="J1857" s="7" t="inlineStr">
        <is>
          <t>E-06-04</t>
        </is>
      </c>
      <c r="K1857" s="7" t="inlineStr"/>
      <c r="L1857" s="9" t="n">
        <v>0</v>
      </c>
      <c r="M1857" s="9" t="n">
        <v>0</v>
      </c>
      <c r="N1857" s="9" t="n">
        <v>20</v>
      </c>
      <c r="O1857" s="7" t="inlineStr">
        <is>
          <t>MAG</t>
        </is>
      </c>
      <c r="P1857" s="7" t="inlineStr">
        <is>
          <t>CRITIQUE</t>
        </is>
      </c>
      <c r="Q1857" s="7" t="inlineStr">
        <is>
          <t>WHAP</t>
        </is>
      </c>
      <c r="R1857" s="7" t="inlineStr">
        <is>
          <t>OUI</t>
        </is>
      </c>
      <c r="S1857" s="7" t="inlineStr">
        <is>
          <t>31/08/2026 02:59</t>
        </is>
      </c>
    </row>
    <row r="1858">
      <c r="A1858" s="8" t="inlineStr">
        <is>
          <t>WHAP-1854</t>
        </is>
      </c>
      <c r="B1858" s="8" t="inlineStr">
        <is>
          <t>MOT-1854</t>
        </is>
      </c>
      <c r="C1858" s="8" t="inlineStr">
        <is>
          <t>boîtier de chemise de cylindre</t>
        </is>
      </c>
      <c r="D1858" s="8" t="inlineStr">
        <is>
          <t>Moteur</t>
        </is>
      </c>
      <c r="E1858" s="8" t="inlineStr">
        <is>
          <t>Moteur</t>
        </is>
      </c>
      <c r="F1858" s="8" t="inlineStr">
        <is>
          <t>PIECE_VEHICULE</t>
        </is>
      </c>
      <c r="G1858" s="8" t="inlineStr">
        <is>
          <t>unité</t>
        </is>
      </c>
      <c r="H1858" s="8" t="inlineStr">
        <is>
          <t>LARGE</t>
        </is>
      </c>
      <c r="I1858" s="8" t="n">
        <v>0</v>
      </c>
      <c r="J1858" s="8" t="inlineStr">
        <is>
          <t>D-05-01</t>
        </is>
      </c>
      <c r="K1858" s="8" t="inlineStr"/>
      <c r="L1858" s="10" t="n">
        <v>0</v>
      </c>
      <c r="M1858" s="10" t="n">
        <v>0</v>
      </c>
      <c r="N1858" s="10" t="n">
        <v>17</v>
      </c>
      <c r="O1858" s="8" t="inlineStr">
        <is>
          <t>CTL</t>
        </is>
      </c>
      <c r="P1858" s="8" t="inlineStr">
        <is>
          <t>CRITIQUE</t>
        </is>
      </c>
      <c r="Q1858" s="8" t="inlineStr">
        <is>
          <t>WHAP</t>
        </is>
      </c>
      <c r="R1858" s="8" t="inlineStr">
        <is>
          <t>OUI</t>
        </is>
      </c>
      <c r="S1858" s="8" t="inlineStr">
        <is>
          <t>31/08/2026 02:59</t>
        </is>
      </c>
    </row>
    <row r="1859">
      <c r="A1859" s="7" t="inlineStr">
        <is>
          <t>WHAP-1855</t>
        </is>
      </c>
      <c r="B1859" s="7" t="inlineStr">
        <is>
          <t>MOT-1855</t>
        </is>
      </c>
      <c r="C1859" s="7" t="inlineStr">
        <is>
          <t>module de chemise de cylindre</t>
        </is>
      </c>
      <c r="D1859" s="7" t="inlineStr">
        <is>
          <t>Moteur</t>
        </is>
      </c>
      <c r="E1859" s="7" t="inlineStr">
        <is>
          <t>Moteur</t>
        </is>
      </c>
      <c r="F1859" s="7" t="inlineStr">
        <is>
          <t>PIECE_VEHICULE</t>
        </is>
      </c>
      <c r="G1859" s="7" t="inlineStr">
        <is>
          <t>unité</t>
        </is>
      </c>
      <c r="H1859" s="7" t="inlineStr">
        <is>
          <t>LARGE</t>
        </is>
      </c>
      <c r="I1859" s="7" t="n">
        <v>0</v>
      </c>
      <c r="J1859" s="7" t="inlineStr">
        <is>
          <t>D-05-04</t>
        </is>
      </c>
      <c r="K1859" s="7" t="inlineStr"/>
      <c r="L1859" s="9" t="n">
        <v>0</v>
      </c>
      <c r="M1859" s="9" t="n">
        <v>0</v>
      </c>
      <c r="N1859" s="9" t="n">
        <v>19</v>
      </c>
      <c r="O1859" s="7" t="inlineStr">
        <is>
          <t>YZK</t>
        </is>
      </c>
      <c r="P1859" s="7" t="inlineStr">
        <is>
          <t>CRITIQUE</t>
        </is>
      </c>
      <c r="Q1859" s="7" t="inlineStr">
        <is>
          <t>WHAP</t>
        </is>
      </c>
      <c r="R1859" s="7" t="inlineStr">
        <is>
          <t>OUI</t>
        </is>
      </c>
      <c r="S1859" s="7" t="inlineStr">
        <is>
          <t>31/08/2026 02:59</t>
        </is>
      </c>
    </row>
    <row r="1860">
      <c r="A1860" s="8" t="inlineStr">
        <is>
          <t>WHAP-1856</t>
        </is>
      </c>
      <c r="B1860" s="8" t="inlineStr">
        <is>
          <t>MOT-1856</t>
        </is>
      </c>
      <c r="C1860" s="8" t="inlineStr">
        <is>
          <t>câblage de chemise de cylindre</t>
        </is>
      </c>
      <c r="D1860" s="8" t="inlineStr">
        <is>
          <t>Moteur</t>
        </is>
      </c>
      <c r="E1860" s="8" t="inlineStr">
        <is>
          <t>Moteur</t>
        </is>
      </c>
      <c r="F1860" s="8" t="inlineStr">
        <is>
          <t>PIECE_VEHICULE</t>
        </is>
      </c>
      <c r="G1860" s="8" t="inlineStr">
        <is>
          <t>unité</t>
        </is>
      </c>
      <c r="H1860" s="8" t="inlineStr">
        <is>
          <t>LARGE</t>
        </is>
      </c>
      <c r="I1860" s="8" t="n">
        <v>0</v>
      </c>
      <c r="J1860" s="8" t="inlineStr">
        <is>
          <t>F-06-04</t>
        </is>
      </c>
      <c r="K1860" s="8" t="inlineStr"/>
      <c r="L1860" s="10" t="n">
        <v>0</v>
      </c>
      <c r="M1860" s="10" t="n">
        <v>0</v>
      </c>
      <c r="N1860" s="10" t="n">
        <v>11</v>
      </c>
      <c r="O1860" s="8" t="inlineStr">
        <is>
          <t>CTL</t>
        </is>
      </c>
      <c r="P1860" s="8" t="inlineStr">
        <is>
          <t>CRITIQUE</t>
        </is>
      </c>
      <c r="Q1860" s="8" t="inlineStr">
        <is>
          <t>WHAP</t>
        </is>
      </c>
      <c r="R1860" s="8" t="inlineStr">
        <is>
          <t>OUI</t>
        </is>
      </c>
      <c r="S1860" s="8" t="inlineStr">
        <is>
          <t>31/08/2026 02:59</t>
        </is>
      </c>
    </row>
    <row r="1861">
      <c r="A1861" s="7" t="inlineStr">
        <is>
          <t>WHAP-1857</t>
        </is>
      </c>
      <c r="B1861" s="7" t="inlineStr">
        <is>
          <t>MOT-1857</t>
        </is>
      </c>
      <c r="C1861" s="7" t="inlineStr">
        <is>
          <t>connecteur de chemise de cylindre</t>
        </is>
      </c>
      <c r="D1861" s="7" t="inlineStr">
        <is>
          <t>Moteur</t>
        </is>
      </c>
      <c r="E1861" s="7" t="inlineStr">
        <is>
          <t>Moteur</t>
        </is>
      </c>
      <c r="F1861" s="7" t="inlineStr">
        <is>
          <t>PIECE_VEHICULE</t>
        </is>
      </c>
      <c r="G1861" s="7" t="inlineStr">
        <is>
          <t>unité</t>
        </is>
      </c>
      <c r="H1861" s="7" t="inlineStr">
        <is>
          <t>LARGE</t>
        </is>
      </c>
      <c r="I1861" s="7" t="n">
        <v>0</v>
      </c>
      <c r="J1861" s="7" t="inlineStr">
        <is>
          <t>C-03-01</t>
        </is>
      </c>
      <c r="K1861" s="7" t="inlineStr"/>
      <c r="L1861" s="9" t="n">
        <v>0</v>
      </c>
      <c r="M1861" s="9" t="n">
        <v>0</v>
      </c>
      <c r="N1861" s="9" t="n">
        <v>13</v>
      </c>
      <c r="O1861" s="7" t="inlineStr">
        <is>
          <t>BOS</t>
        </is>
      </c>
      <c r="P1861" s="7" t="inlineStr">
        <is>
          <t>CRITIQUE</t>
        </is>
      </c>
      <c r="Q1861" s="7" t="inlineStr">
        <is>
          <t>WHAP</t>
        </is>
      </c>
      <c r="R1861" s="7" t="inlineStr">
        <is>
          <t>OUI</t>
        </is>
      </c>
      <c r="S1861" s="7" t="inlineStr">
        <is>
          <t>31/08/2026 02:59</t>
        </is>
      </c>
    </row>
    <row r="1862">
      <c r="A1862" s="8" t="inlineStr">
        <is>
          <t>WHAP-1858</t>
        </is>
      </c>
      <c r="B1862" s="8" t="inlineStr">
        <is>
          <t>MOT-1858</t>
        </is>
      </c>
      <c r="C1862" s="8" t="inlineStr">
        <is>
          <t>joint de chemise de cylindre</t>
        </is>
      </c>
      <c r="D1862" s="8" t="inlineStr">
        <is>
          <t>Moteur</t>
        </is>
      </c>
      <c r="E1862" s="8" t="inlineStr">
        <is>
          <t>Moteur</t>
        </is>
      </c>
      <c r="F1862" s="8" t="inlineStr">
        <is>
          <t>PIECE_VEHICULE</t>
        </is>
      </c>
      <c r="G1862" s="8" t="inlineStr">
        <is>
          <t>unité</t>
        </is>
      </c>
      <c r="H1862" s="8" t="inlineStr">
        <is>
          <t>LARGE</t>
        </is>
      </c>
      <c r="I1862" s="8" t="n">
        <v>0</v>
      </c>
      <c r="J1862" s="8" t="inlineStr">
        <is>
          <t>B-04-02</t>
        </is>
      </c>
      <c r="K1862" s="8" t="inlineStr"/>
      <c r="L1862" s="10" t="n">
        <v>0</v>
      </c>
      <c r="M1862" s="10" t="n">
        <v>0</v>
      </c>
      <c r="N1862" s="10" t="n">
        <v>18</v>
      </c>
      <c r="O1862" s="8" t="inlineStr">
        <is>
          <t>FAU</t>
        </is>
      </c>
      <c r="P1862" s="8" t="inlineStr">
        <is>
          <t>CRITIQUE</t>
        </is>
      </c>
      <c r="Q1862" s="8" t="inlineStr">
        <is>
          <t>WHAP</t>
        </is>
      </c>
      <c r="R1862" s="8" t="inlineStr">
        <is>
          <t>OUI</t>
        </is>
      </c>
      <c r="S1862" s="8" t="inlineStr">
        <is>
          <t>31/08/2026 02:59</t>
        </is>
      </c>
    </row>
    <row r="1863">
      <c r="A1863" s="7" t="inlineStr">
        <is>
          <t>WHAP-1859</t>
        </is>
      </c>
      <c r="B1863" s="7" t="inlineStr">
        <is>
          <t>MOT-1859</t>
        </is>
      </c>
      <c r="C1863" s="7" t="inlineStr">
        <is>
          <t>fixation de chemise de cylindre</t>
        </is>
      </c>
      <c r="D1863" s="7" t="inlineStr">
        <is>
          <t>Moteur</t>
        </is>
      </c>
      <c r="E1863" s="7" t="inlineStr">
        <is>
          <t>Moteur</t>
        </is>
      </c>
      <c r="F1863" s="7" t="inlineStr">
        <is>
          <t>PIECE_VEHICULE</t>
        </is>
      </c>
      <c r="G1863" s="7" t="inlineStr">
        <is>
          <t>unité</t>
        </is>
      </c>
      <c r="H1863" s="7" t="inlineStr">
        <is>
          <t>LARGE</t>
        </is>
      </c>
      <c r="I1863" s="7" t="n">
        <v>0</v>
      </c>
      <c r="J1863" s="7" t="inlineStr">
        <is>
          <t>F-02-02</t>
        </is>
      </c>
      <c r="K1863" s="7" t="inlineStr"/>
      <c r="L1863" s="9" t="n">
        <v>0</v>
      </c>
      <c r="M1863" s="9" t="n">
        <v>0</v>
      </c>
      <c r="N1863" s="9" t="n">
        <v>11</v>
      </c>
      <c r="O1863" s="7" t="inlineStr">
        <is>
          <t>CTL</t>
        </is>
      </c>
      <c r="P1863" s="7" t="inlineStr">
        <is>
          <t>CRITIQUE</t>
        </is>
      </c>
      <c r="Q1863" s="7" t="inlineStr">
        <is>
          <t>WHAP</t>
        </is>
      </c>
      <c r="R1863" s="7" t="inlineStr">
        <is>
          <t>OUI</t>
        </is>
      </c>
      <c r="S1863" s="7" t="inlineStr">
        <is>
          <t>31/08/2026 02:59</t>
        </is>
      </c>
    </row>
    <row r="1864">
      <c r="A1864" s="8" t="inlineStr">
        <is>
          <t>WHAP-1860</t>
        </is>
      </c>
      <c r="B1864" s="8" t="inlineStr">
        <is>
          <t>MOT-1860</t>
        </is>
      </c>
      <c r="C1864" s="8" t="inlineStr">
        <is>
          <t>protection de chemise de cylindre</t>
        </is>
      </c>
      <c r="D1864" s="8" t="inlineStr">
        <is>
          <t>Moteur</t>
        </is>
      </c>
      <c r="E1864" s="8" t="inlineStr">
        <is>
          <t>Moteur</t>
        </is>
      </c>
      <c r="F1864" s="8" t="inlineStr">
        <is>
          <t>PIECE_VEHICULE</t>
        </is>
      </c>
      <c r="G1864" s="8" t="inlineStr">
        <is>
          <t>unité</t>
        </is>
      </c>
      <c r="H1864" s="8" t="inlineStr">
        <is>
          <t>LARGE</t>
        </is>
      </c>
      <c r="I1864" s="8" t="n">
        <v>0</v>
      </c>
      <c r="J1864" s="8" t="inlineStr">
        <is>
          <t>A-01-02</t>
        </is>
      </c>
      <c r="K1864" s="8" t="inlineStr"/>
      <c r="L1864" s="10" t="n">
        <v>0</v>
      </c>
      <c r="M1864" s="10" t="n">
        <v>0</v>
      </c>
      <c r="N1864" s="10" t="n">
        <v>11</v>
      </c>
      <c r="O1864" s="8" t="inlineStr">
        <is>
          <t>HEL</t>
        </is>
      </c>
      <c r="P1864" s="8" t="inlineStr">
        <is>
          <t>CRITIQUE</t>
        </is>
      </c>
      <c r="Q1864" s="8" t="inlineStr">
        <is>
          <t>WHAP</t>
        </is>
      </c>
      <c r="R1864" s="8" t="inlineStr">
        <is>
          <t>OUI</t>
        </is>
      </c>
      <c r="S1864" s="8" t="inlineStr">
        <is>
          <t>31/08/2026 02:59</t>
        </is>
      </c>
    </row>
    <row r="1865">
      <c r="A1865" s="7" t="inlineStr">
        <is>
          <t>WHAP-1861</t>
        </is>
      </c>
      <c r="B1865" s="7" t="inlineStr">
        <is>
          <t>MOT-1861</t>
        </is>
      </c>
      <c r="C1865" s="7" t="inlineStr">
        <is>
          <t>capteur de chemise de cylindre</t>
        </is>
      </c>
      <c r="D1865" s="7" t="inlineStr">
        <is>
          <t>Moteur</t>
        </is>
      </c>
      <c r="E1865" s="7" t="inlineStr">
        <is>
          <t>Moteur</t>
        </is>
      </c>
      <c r="F1865" s="7" t="inlineStr">
        <is>
          <t>PIECE_VEHICULE</t>
        </is>
      </c>
      <c r="G1865" s="7" t="inlineStr">
        <is>
          <t>unité</t>
        </is>
      </c>
      <c r="H1865" s="7" t="inlineStr">
        <is>
          <t>LARGE</t>
        </is>
      </c>
      <c r="I1865" s="7" t="n">
        <v>0</v>
      </c>
      <c r="J1865" s="7" t="inlineStr">
        <is>
          <t>D-04-04</t>
        </is>
      </c>
      <c r="K1865" s="7" t="inlineStr"/>
      <c r="L1865" s="9" t="n">
        <v>0</v>
      </c>
      <c r="M1865" s="9" t="n">
        <v>0</v>
      </c>
      <c r="N1865" s="9" t="n">
        <v>20</v>
      </c>
      <c r="O1865" s="7" t="inlineStr">
        <is>
          <t>VAL</t>
        </is>
      </c>
      <c r="P1865" s="7" t="inlineStr">
        <is>
          <t>CRITIQUE</t>
        </is>
      </c>
      <c r="Q1865" s="7" t="inlineStr">
        <is>
          <t>WHAP</t>
        </is>
      </c>
      <c r="R1865" s="7" t="inlineStr">
        <is>
          <t>OUI</t>
        </is>
      </c>
      <c r="S1865" s="7" t="inlineStr">
        <is>
          <t>31/08/2026 02:59</t>
        </is>
      </c>
    </row>
    <row r="1866">
      <c r="A1866" s="8" t="inlineStr">
        <is>
          <t>WHAP-1862</t>
        </is>
      </c>
      <c r="B1866" s="8" t="inlineStr">
        <is>
          <t>MOT-1862</t>
        </is>
      </c>
      <c r="C1866" s="8" t="inlineStr">
        <is>
          <t>actionneur de chemise de cylindre</t>
        </is>
      </c>
      <c r="D1866" s="8" t="inlineStr">
        <is>
          <t>Moteur</t>
        </is>
      </c>
      <c r="E1866" s="8" t="inlineStr">
        <is>
          <t>Moteur</t>
        </is>
      </c>
      <c r="F1866" s="8" t="inlineStr">
        <is>
          <t>PIECE_VEHICULE</t>
        </is>
      </c>
      <c r="G1866" s="8" t="inlineStr">
        <is>
          <t>unité</t>
        </is>
      </c>
      <c r="H1866" s="8" t="inlineStr">
        <is>
          <t>LARGE</t>
        </is>
      </c>
      <c r="I1866" s="8" t="n">
        <v>0</v>
      </c>
      <c r="J1866" s="8" t="inlineStr">
        <is>
          <t>D-05-02</t>
        </is>
      </c>
      <c r="K1866" s="8" t="inlineStr"/>
      <c r="L1866" s="10" t="n">
        <v>0</v>
      </c>
      <c r="M1866" s="10" t="n">
        <v>0</v>
      </c>
      <c r="N1866" s="10" t="n">
        <v>19</v>
      </c>
      <c r="O1866" s="8" t="inlineStr">
        <is>
          <t>FAU</t>
        </is>
      </c>
      <c r="P1866" s="8" t="inlineStr">
        <is>
          <t>CRITIQUE</t>
        </is>
      </c>
      <c r="Q1866" s="8" t="inlineStr">
        <is>
          <t>WHAP</t>
        </is>
      </c>
      <c r="R1866" s="8" t="inlineStr">
        <is>
          <t>OUI</t>
        </is>
      </c>
      <c r="S1866" s="8" t="inlineStr">
        <is>
          <t>31/08/2026 02:59</t>
        </is>
      </c>
    </row>
    <row r="1867">
      <c r="A1867" s="7" t="inlineStr">
        <is>
          <t>WHAP-1863</t>
        </is>
      </c>
      <c r="B1867" s="7" t="inlineStr">
        <is>
          <t>MOT-1863</t>
        </is>
      </c>
      <c r="C1867" s="7" t="inlineStr">
        <is>
          <t>raccord de chemise de cylindre</t>
        </is>
      </c>
      <c r="D1867" s="7" t="inlineStr">
        <is>
          <t>Moteur</t>
        </is>
      </c>
      <c r="E1867" s="7" t="inlineStr">
        <is>
          <t>Moteur</t>
        </is>
      </c>
      <c r="F1867" s="7" t="inlineStr">
        <is>
          <t>PIECE_VEHICULE</t>
        </is>
      </c>
      <c r="G1867" s="7" t="inlineStr">
        <is>
          <t>unité</t>
        </is>
      </c>
      <c r="H1867" s="7" t="inlineStr">
        <is>
          <t>LARGE</t>
        </is>
      </c>
      <c r="I1867" s="7" t="n">
        <v>0</v>
      </c>
      <c r="J1867" s="7" t="inlineStr">
        <is>
          <t>B-05-01</t>
        </is>
      </c>
      <c r="K1867" s="7" t="inlineStr"/>
      <c r="L1867" s="9" t="n">
        <v>0</v>
      </c>
      <c r="M1867" s="9" t="n">
        <v>0</v>
      </c>
      <c r="N1867" s="9" t="n">
        <v>11</v>
      </c>
      <c r="O1867" s="7" t="inlineStr">
        <is>
          <t>SKF</t>
        </is>
      </c>
      <c r="P1867" s="7" t="inlineStr">
        <is>
          <t>CRITIQUE</t>
        </is>
      </c>
      <c r="Q1867" s="7" t="inlineStr">
        <is>
          <t>WHAP</t>
        </is>
      </c>
      <c r="R1867" s="7" t="inlineStr">
        <is>
          <t>OUI</t>
        </is>
      </c>
      <c r="S1867" s="7" t="inlineStr">
        <is>
          <t>31/08/2026 02:59</t>
        </is>
      </c>
    </row>
    <row r="1868">
      <c r="A1868" s="8" t="inlineStr">
        <is>
          <t>WHAP-1864</t>
        </is>
      </c>
      <c r="B1868" s="8" t="inlineStr">
        <is>
          <t>MOT-1864</t>
        </is>
      </c>
      <c r="C1868" s="8" t="inlineStr">
        <is>
          <t>plaque de chemise de cylindre</t>
        </is>
      </c>
      <c r="D1868" s="8" t="inlineStr">
        <is>
          <t>Moteur</t>
        </is>
      </c>
      <c r="E1868" s="8" t="inlineStr">
        <is>
          <t>Moteur</t>
        </is>
      </c>
      <c r="F1868" s="8" t="inlineStr">
        <is>
          <t>PIECE_VEHICULE</t>
        </is>
      </c>
      <c r="G1868" s="8" t="inlineStr">
        <is>
          <t>unité</t>
        </is>
      </c>
      <c r="H1868" s="8" t="inlineStr">
        <is>
          <t>LARGE</t>
        </is>
      </c>
      <c r="I1868" s="8" t="n">
        <v>0</v>
      </c>
      <c r="J1868" s="8" t="inlineStr">
        <is>
          <t>A-03-02</t>
        </is>
      </c>
      <c r="K1868" s="8" t="inlineStr"/>
      <c r="L1868" s="10" t="n">
        <v>0</v>
      </c>
      <c r="M1868" s="10" t="n">
        <v>0</v>
      </c>
      <c r="N1868" s="10" t="n">
        <v>10</v>
      </c>
      <c r="O1868" s="8" t="inlineStr">
        <is>
          <t>SUM</t>
        </is>
      </c>
      <c r="P1868" s="8" t="inlineStr">
        <is>
          <t>CRITIQUE</t>
        </is>
      </c>
      <c r="Q1868" s="8" t="inlineStr">
        <is>
          <t>WHAP</t>
        </is>
      </c>
      <c r="R1868" s="8" t="inlineStr">
        <is>
          <t>OUI</t>
        </is>
      </c>
      <c r="S1868" s="8" t="inlineStr">
        <is>
          <t>31/08/2026 02:59</t>
        </is>
      </c>
    </row>
    <row r="1869">
      <c r="A1869" s="7" t="inlineStr">
        <is>
          <t>WHAP-1865</t>
        </is>
      </c>
      <c r="B1869" s="7" t="inlineStr">
        <is>
          <t>MOT-1865</t>
        </is>
      </c>
      <c r="C1869" s="7" t="inlineStr">
        <is>
          <t>couvercle de chemise de cylindre</t>
        </is>
      </c>
      <c r="D1869" s="7" t="inlineStr">
        <is>
          <t>Moteur</t>
        </is>
      </c>
      <c r="E1869" s="7" t="inlineStr">
        <is>
          <t>Moteur</t>
        </is>
      </c>
      <c r="F1869" s="7" t="inlineStr">
        <is>
          <t>PIECE_VEHICULE</t>
        </is>
      </c>
      <c r="G1869" s="7" t="inlineStr">
        <is>
          <t>unité</t>
        </is>
      </c>
      <c r="H1869" s="7" t="inlineStr">
        <is>
          <t>LARGE</t>
        </is>
      </c>
      <c r="I1869" s="7" t="n">
        <v>0</v>
      </c>
      <c r="J1869" s="7" t="inlineStr">
        <is>
          <t>D-06-02</t>
        </is>
      </c>
      <c r="K1869" s="7" t="inlineStr"/>
      <c r="L1869" s="9" t="n">
        <v>0</v>
      </c>
      <c r="M1869" s="9" t="n">
        <v>0</v>
      </c>
      <c r="N1869" s="9" t="n">
        <v>14</v>
      </c>
      <c r="O1869" s="7" t="inlineStr">
        <is>
          <t>FAU</t>
        </is>
      </c>
      <c r="P1869" s="7" t="inlineStr">
        <is>
          <t>CRITIQUE</t>
        </is>
      </c>
      <c r="Q1869" s="7" t="inlineStr">
        <is>
          <t>WHAP</t>
        </is>
      </c>
      <c r="R1869" s="7" t="inlineStr">
        <is>
          <t>OUI</t>
        </is>
      </c>
      <c r="S1869" s="7" t="inlineStr">
        <is>
          <t>31/08/2026 02:59</t>
        </is>
      </c>
    </row>
    <row r="1870">
      <c r="A1870" s="8" t="inlineStr">
        <is>
          <t>WHAP-1866</t>
        </is>
      </c>
      <c r="B1870" s="8" t="inlineStr">
        <is>
          <t>MOT-1866</t>
        </is>
      </c>
      <c r="C1870" s="8" t="inlineStr">
        <is>
          <t>bague de chemise de cylindre</t>
        </is>
      </c>
      <c r="D1870" s="8" t="inlineStr">
        <is>
          <t>Moteur</t>
        </is>
      </c>
      <c r="E1870" s="8" t="inlineStr">
        <is>
          <t>Moteur</t>
        </is>
      </c>
      <c r="F1870" s="8" t="inlineStr">
        <is>
          <t>PIECE_VEHICULE</t>
        </is>
      </c>
      <c r="G1870" s="8" t="inlineStr">
        <is>
          <t>unité</t>
        </is>
      </c>
      <c r="H1870" s="8" t="inlineStr">
        <is>
          <t>LARGE</t>
        </is>
      </c>
      <c r="I1870" s="8" t="n">
        <v>0</v>
      </c>
      <c r="J1870" s="8" t="inlineStr">
        <is>
          <t>E-05-02</t>
        </is>
      </c>
      <c r="K1870" s="8" t="inlineStr"/>
      <c r="L1870" s="10" t="n">
        <v>0</v>
      </c>
      <c r="M1870" s="10" t="n">
        <v>0</v>
      </c>
      <c r="N1870" s="10" t="n">
        <v>13</v>
      </c>
      <c r="O1870" s="8" t="inlineStr">
        <is>
          <t>MAG</t>
        </is>
      </c>
      <c r="P1870" s="8" t="inlineStr">
        <is>
          <t>CRITIQUE</t>
        </is>
      </c>
      <c r="Q1870" s="8" t="inlineStr">
        <is>
          <t>WHAP</t>
        </is>
      </c>
      <c r="R1870" s="8" t="inlineStr">
        <is>
          <t>OUI</t>
        </is>
      </c>
      <c r="S1870" s="8" t="inlineStr">
        <is>
          <t>31/08/2026 02:59</t>
        </is>
      </c>
    </row>
    <row r="1871">
      <c r="A1871" s="7" t="inlineStr">
        <is>
          <t>WHAP-1867</t>
        </is>
      </c>
      <c r="B1871" s="7" t="inlineStr">
        <is>
          <t>MOT-1867</t>
        </is>
      </c>
      <c r="C1871" s="7" t="inlineStr">
        <is>
          <t>entretoise de chemise de cylindre</t>
        </is>
      </c>
      <c r="D1871" s="7" t="inlineStr">
        <is>
          <t>Moteur</t>
        </is>
      </c>
      <c r="E1871" s="7" t="inlineStr">
        <is>
          <t>Moteur</t>
        </is>
      </c>
      <c r="F1871" s="7" t="inlineStr">
        <is>
          <t>PIECE_VEHICULE</t>
        </is>
      </c>
      <c r="G1871" s="7" t="inlineStr">
        <is>
          <t>unité</t>
        </is>
      </c>
      <c r="H1871" s="7" t="inlineStr">
        <is>
          <t>LARGE</t>
        </is>
      </c>
      <c r="I1871" s="7" t="n">
        <v>0</v>
      </c>
      <c r="J1871" s="7" t="inlineStr">
        <is>
          <t>B-02-02</t>
        </is>
      </c>
      <c r="K1871" s="7" t="inlineStr"/>
      <c r="L1871" s="9" t="n">
        <v>0</v>
      </c>
      <c r="M1871" s="9" t="n">
        <v>0</v>
      </c>
      <c r="N1871" s="9" t="n">
        <v>11</v>
      </c>
      <c r="O1871" s="7" t="inlineStr">
        <is>
          <t>FAU</t>
        </is>
      </c>
      <c r="P1871" s="7" t="inlineStr">
        <is>
          <t>CRITIQUE</t>
        </is>
      </c>
      <c r="Q1871" s="7" t="inlineStr">
        <is>
          <t>WHAP</t>
        </is>
      </c>
      <c r="R1871" s="7" t="inlineStr">
        <is>
          <t>OUI</t>
        </is>
      </c>
      <c r="S1871" s="7" t="inlineStr">
        <is>
          <t>31/08/2026 02:59</t>
        </is>
      </c>
    </row>
    <row r="1872">
      <c r="A1872" s="8" t="inlineStr">
        <is>
          <t>WHAP-1868</t>
        </is>
      </c>
      <c r="B1872" s="8" t="inlineStr">
        <is>
          <t>MOT-1868</t>
        </is>
      </c>
      <c r="C1872" s="8" t="inlineStr">
        <is>
          <t>axe de chemise de cylindre</t>
        </is>
      </c>
      <c r="D1872" s="8" t="inlineStr">
        <is>
          <t>Moteur</t>
        </is>
      </c>
      <c r="E1872" s="8" t="inlineStr">
        <is>
          <t>Moteur</t>
        </is>
      </c>
      <c r="F1872" s="8" t="inlineStr">
        <is>
          <t>PIECE_VEHICULE</t>
        </is>
      </c>
      <c r="G1872" s="8" t="inlineStr">
        <is>
          <t>unité</t>
        </is>
      </c>
      <c r="H1872" s="8" t="inlineStr">
        <is>
          <t>LARGE</t>
        </is>
      </c>
      <c r="I1872" s="8" t="n">
        <v>0</v>
      </c>
      <c r="J1872" s="8" t="inlineStr">
        <is>
          <t>D-02-01</t>
        </is>
      </c>
      <c r="K1872" s="8" t="inlineStr"/>
      <c r="L1872" s="10" t="n">
        <v>0</v>
      </c>
      <c r="M1872" s="10" t="n">
        <v>0</v>
      </c>
      <c r="N1872" s="10" t="n">
        <v>12</v>
      </c>
      <c r="O1872" s="8" t="inlineStr">
        <is>
          <t>YZK</t>
        </is>
      </c>
      <c r="P1872" s="8" t="inlineStr">
        <is>
          <t>CRITIQUE</t>
        </is>
      </c>
      <c r="Q1872" s="8" t="inlineStr">
        <is>
          <t>WHAP</t>
        </is>
      </c>
      <c r="R1872" s="8" t="inlineStr">
        <is>
          <t>OUI</t>
        </is>
      </c>
      <c r="S1872" s="8" t="inlineStr">
        <is>
          <t>31/08/2026 02:59</t>
        </is>
      </c>
    </row>
    <row r="1873">
      <c r="A1873" s="7" t="inlineStr">
        <is>
          <t>WHAP-1869</t>
        </is>
      </c>
      <c r="B1873" s="7" t="inlineStr">
        <is>
          <t>MOT-1869</t>
        </is>
      </c>
      <c r="C1873" s="7" t="inlineStr">
        <is>
          <t>poulie de chemise de cylindre</t>
        </is>
      </c>
      <c r="D1873" s="7" t="inlineStr">
        <is>
          <t>Moteur</t>
        </is>
      </c>
      <c r="E1873" s="7" t="inlineStr">
        <is>
          <t>Moteur</t>
        </is>
      </c>
      <c r="F1873" s="7" t="inlineStr">
        <is>
          <t>PIECE_VEHICULE</t>
        </is>
      </c>
      <c r="G1873" s="7" t="inlineStr">
        <is>
          <t>unité</t>
        </is>
      </c>
      <c r="H1873" s="7" t="inlineStr">
        <is>
          <t>LARGE</t>
        </is>
      </c>
      <c r="I1873" s="7" t="n">
        <v>0</v>
      </c>
      <c r="J1873" s="7" t="inlineStr">
        <is>
          <t>A-04-03</t>
        </is>
      </c>
      <c r="K1873" s="7" t="inlineStr"/>
      <c r="L1873" s="9" t="n">
        <v>0</v>
      </c>
      <c r="M1873" s="9" t="n">
        <v>0</v>
      </c>
      <c r="N1873" s="9" t="n">
        <v>10</v>
      </c>
      <c r="O1873" s="7" t="inlineStr">
        <is>
          <t>MAG</t>
        </is>
      </c>
      <c r="P1873" s="7" t="inlineStr">
        <is>
          <t>CRITIQUE</t>
        </is>
      </c>
      <c r="Q1873" s="7" t="inlineStr">
        <is>
          <t>WHAP</t>
        </is>
      </c>
      <c r="R1873" s="7" t="inlineStr">
        <is>
          <t>OUI</t>
        </is>
      </c>
      <c r="S1873" s="7" t="inlineStr">
        <is>
          <t>31/08/2026 02:59</t>
        </is>
      </c>
    </row>
    <row r="1874">
      <c r="A1874" s="8" t="inlineStr">
        <is>
          <t>WHAP-1870</t>
        </is>
      </c>
      <c r="B1874" s="8" t="inlineStr">
        <is>
          <t>MOT-1870</t>
        </is>
      </c>
      <c r="C1874" s="8" t="inlineStr">
        <is>
          <t>pignon de chemise de cylindre</t>
        </is>
      </c>
      <c r="D1874" s="8" t="inlineStr">
        <is>
          <t>Moteur</t>
        </is>
      </c>
      <c r="E1874" s="8" t="inlineStr">
        <is>
          <t>Moteur</t>
        </is>
      </c>
      <c r="F1874" s="8" t="inlineStr">
        <is>
          <t>PIECE_VEHICULE</t>
        </is>
      </c>
      <c r="G1874" s="8" t="inlineStr">
        <is>
          <t>unité</t>
        </is>
      </c>
      <c r="H1874" s="8" t="inlineStr">
        <is>
          <t>LARGE</t>
        </is>
      </c>
      <c r="I1874" s="8" t="n">
        <v>0</v>
      </c>
      <c r="J1874" s="8" t="inlineStr">
        <is>
          <t>F-06-02</t>
        </is>
      </c>
      <c r="K1874" s="8" t="inlineStr"/>
      <c r="L1874" s="10" t="n">
        <v>0</v>
      </c>
      <c r="M1874" s="10" t="n">
        <v>0</v>
      </c>
      <c r="N1874" s="10" t="n">
        <v>19</v>
      </c>
      <c r="O1874" s="8" t="inlineStr">
        <is>
          <t>VAL</t>
        </is>
      </c>
      <c r="P1874" s="8" t="inlineStr">
        <is>
          <t>CRITIQUE</t>
        </is>
      </c>
      <c r="Q1874" s="8" t="inlineStr">
        <is>
          <t>WHAP</t>
        </is>
      </c>
      <c r="R1874" s="8" t="inlineStr">
        <is>
          <t>OUI</t>
        </is>
      </c>
      <c r="S1874" s="8" t="inlineStr">
        <is>
          <t>31/08/2026 02:59</t>
        </is>
      </c>
    </row>
    <row r="1875">
      <c r="A1875" s="7" t="inlineStr">
        <is>
          <t>WHAP-1871</t>
        </is>
      </c>
      <c r="B1875" s="7" t="inlineStr">
        <is>
          <t>MOT-1871</t>
        </is>
      </c>
      <c r="C1875" s="7" t="inlineStr">
        <is>
          <t>ensemble de arbre à cames</t>
        </is>
      </c>
      <c r="D1875" s="7" t="inlineStr">
        <is>
          <t>Moteur</t>
        </is>
      </c>
      <c r="E1875" s="7" t="inlineStr">
        <is>
          <t>Moteur</t>
        </is>
      </c>
      <c r="F1875" s="7" t="inlineStr">
        <is>
          <t>PIECE_VEHICULE</t>
        </is>
      </c>
      <c r="G1875" s="7" t="inlineStr">
        <is>
          <t>unité</t>
        </is>
      </c>
      <c r="H1875" s="7" t="inlineStr">
        <is>
          <t>LARGE</t>
        </is>
      </c>
      <c r="I1875" s="7" t="n">
        <v>0</v>
      </c>
      <c r="J1875" s="7" t="inlineStr">
        <is>
          <t>B-05-02</t>
        </is>
      </c>
      <c r="K1875" s="7" t="inlineStr"/>
      <c r="L1875" s="9" t="n">
        <v>0</v>
      </c>
      <c r="M1875" s="9" t="n">
        <v>0</v>
      </c>
      <c r="N1875" s="9" t="n">
        <v>14</v>
      </c>
      <c r="O1875" s="7" t="inlineStr">
        <is>
          <t>CTL</t>
        </is>
      </c>
      <c r="P1875" s="7" t="inlineStr">
        <is>
          <t>CRITIQUE</t>
        </is>
      </c>
      <c r="Q1875" s="7" t="inlineStr">
        <is>
          <t>WHAP</t>
        </is>
      </c>
      <c r="R1875" s="7" t="inlineStr">
        <is>
          <t>OUI</t>
        </is>
      </c>
      <c r="S1875" s="7" t="inlineStr">
        <is>
          <t>31/08/2026 02:59</t>
        </is>
      </c>
    </row>
    <row r="1876">
      <c r="A1876" s="8" t="inlineStr">
        <is>
          <t>WHAP-1872</t>
        </is>
      </c>
      <c r="B1876" s="8" t="inlineStr">
        <is>
          <t>MOT-1872</t>
        </is>
      </c>
      <c r="C1876" s="8" t="inlineStr">
        <is>
          <t>kit de arbre à cames</t>
        </is>
      </c>
      <c r="D1876" s="8" t="inlineStr">
        <is>
          <t>Moteur</t>
        </is>
      </c>
      <c r="E1876" s="8" t="inlineStr">
        <is>
          <t>Moteur</t>
        </is>
      </c>
      <c r="F1876" s="8" t="inlineStr">
        <is>
          <t>PIECE_VEHICULE</t>
        </is>
      </c>
      <c r="G1876" s="8" t="inlineStr">
        <is>
          <t>unité</t>
        </is>
      </c>
      <c r="H1876" s="8" t="inlineStr">
        <is>
          <t>LARGE</t>
        </is>
      </c>
      <c r="I1876" s="8" t="n">
        <v>0</v>
      </c>
      <c r="J1876" s="8" t="inlineStr">
        <is>
          <t>D-06-03</t>
        </is>
      </c>
      <c r="K1876" s="8" t="inlineStr"/>
      <c r="L1876" s="10" t="n">
        <v>0</v>
      </c>
      <c r="M1876" s="10" t="n">
        <v>0</v>
      </c>
      <c r="N1876" s="10" t="n">
        <v>11</v>
      </c>
      <c r="O1876" s="8" t="inlineStr">
        <is>
          <t>FAU</t>
        </is>
      </c>
      <c r="P1876" s="8" t="inlineStr">
        <is>
          <t>CRITIQUE</t>
        </is>
      </c>
      <c r="Q1876" s="8" t="inlineStr">
        <is>
          <t>WHAP</t>
        </is>
      </c>
      <c r="R1876" s="8" t="inlineStr">
        <is>
          <t>OUI</t>
        </is>
      </c>
      <c r="S1876" s="8" t="inlineStr">
        <is>
          <t>31/08/2026 02:59</t>
        </is>
      </c>
    </row>
    <row r="1877">
      <c r="A1877" s="7" t="inlineStr">
        <is>
          <t>WHAP-1873</t>
        </is>
      </c>
      <c r="B1877" s="7" t="inlineStr">
        <is>
          <t>MOT-1873</t>
        </is>
      </c>
      <c r="C1877" s="7" t="inlineStr">
        <is>
          <t>support de arbre à cames</t>
        </is>
      </c>
      <c r="D1877" s="7" t="inlineStr">
        <is>
          <t>Moteur</t>
        </is>
      </c>
      <c r="E1877" s="7" t="inlineStr">
        <is>
          <t>Moteur</t>
        </is>
      </c>
      <c r="F1877" s="7" t="inlineStr">
        <is>
          <t>PIECE_VEHICULE</t>
        </is>
      </c>
      <c r="G1877" s="7" t="inlineStr">
        <is>
          <t>unité</t>
        </is>
      </c>
      <c r="H1877" s="7" t="inlineStr">
        <is>
          <t>LARGE</t>
        </is>
      </c>
      <c r="I1877" s="7" t="n">
        <v>0</v>
      </c>
      <c r="J1877" s="7" t="inlineStr">
        <is>
          <t>C-03-04</t>
        </is>
      </c>
      <c r="K1877" s="7" t="inlineStr"/>
      <c r="L1877" s="9" t="n">
        <v>0</v>
      </c>
      <c r="M1877" s="9" t="n">
        <v>0</v>
      </c>
      <c r="N1877" s="9" t="n">
        <v>17</v>
      </c>
      <c r="O1877" s="7" t="inlineStr">
        <is>
          <t>DEL</t>
        </is>
      </c>
      <c r="P1877" s="7" t="inlineStr">
        <is>
          <t>CRITIQUE</t>
        </is>
      </c>
      <c r="Q1877" s="7" t="inlineStr">
        <is>
          <t>WHAP</t>
        </is>
      </c>
      <c r="R1877" s="7" t="inlineStr">
        <is>
          <t>OUI</t>
        </is>
      </c>
      <c r="S1877" s="7" t="inlineStr">
        <is>
          <t>31/08/2026 02:59</t>
        </is>
      </c>
    </row>
    <row r="1878">
      <c r="A1878" s="8" t="inlineStr">
        <is>
          <t>WHAP-1874</t>
        </is>
      </c>
      <c r="B1878" s="8" t="inlineStr">
        <is>
          <t>MOT-1874</t>
        </is>
      </c>
      <c r="C1878" s="8" t="inlineStr">
        <is>
          <t>boîtier de arbre à cames</t>
        </is>
      </c>
      <c r="D1878" s="8" t="inlineStr">
        <is>
          <t>Moteur</t>
        </is>
      </c>
      <c r="E1878" s="8" t="inlineStr">
        <is>
          <t>Moteur</t>
        </is>
      </c>
      <c r="F1878" s="8" t="inlineStr">
        <is>
          <t>PIECE_VEHICULE</t>
        </is>
      </c>
      <c r="G1878" s="8" t="inlineStr">
        <is>
          <t>unité</t>
        </is>
      </c>
      <c r="H1878" s="8" t="inlineStr">
        <is>
          <t>LARGE</t>
        </is>
      </c>
      <c r="I1878" s="8" t="n">
        <v>0</v>
      </c>
      <c r="J1878" s="8" t="inlineStr">
        <is>
          <t>C-01-02</t>
        </is>
      </c>
      <c r="K1878" s="8" t="inlineStr"/>
      <c r="L1878" s="10" t="n">
        <v>0</v>
      </c>
      <c r="M1878" s="10" t="n">
        <v>0</v>
      </c>
      <c r="N1878" s="10" t="n">
        <v>15</v>
      </c>
      <c r="O1878" s="8" t="inlineStr">
        <is>
          <t>SUM</t>
        </is>
      </c>
      <c r="P1878" s="8" t="inlineStr">
        <is>
          <t>CRITIQUE</t>
        </is>
      </c>
      <c r="Q1878" s="8" t="inlineStr">
        <is>
          <t>WHAP</t>
        </is>
      </c>
      <c r="R1878" s="8" t="inlineStr">
        <is>
          <t>OUI</t>
        </is>
      </c>
      <c r="S1878" s="8" t="inlineStr">
        <is>
          <t>31/08/2026 02:59</t>
        </is>
      </c>
    </row>
    <row r="1879">
      <c r="A1879" s="7" t="inlineStr">
        <is>
          <t>WHAP-1875</t>
        </is>
      </c>
      <c r="B1879" s="7" t="inlineStr">
        <is>
          <t>MOT-1875</t>
        </is>
      </c>
      <c r="C1879" s="7" t="inlineStr">
        <is>
          <t>module de arbre à cames</t>
        </is>
      </c>
      <c r="D1879" s="7" t="inlineStr">
        <is>
          <t>Moteur</t>
        </is>
      </c>
      <c r="E1879" s="7" t="inlineStr">
        <is>
          <t>Moteur</t>
        </is>
      </c>
      <c r="F1879" s="7" t="inlineStr">
        <is>
          <t>PIECE_VEHICULE</t>
        </is>
      </c>
      <c r="G1879" s="7" t="inlineStr">
        <is>
          <t>unité</t>
        </is>
      </c>
      <c r="H1879" s="7" t="inlineStr">
        <is>
          <t>LARGE</t>
        </is>
      </c>
      <c r="I1879" s="7" t="n">
        <v>0</v>
      </c>
      <c r="J1879" s="7" t="inlineStr">
        <is>
          <t>A-02-03</t>
        </is>
      </c>
      <c r="K1879" s="7" t="inlineStr"/>
      <c r="L1879" s="9" t="n">
        <v>0</v>
      </c>
      <c r="M1879" s="9" t="n">
        <v>0</v>
      </c>
      <c r="N1879" s="9" t="n">
        <v>12</v>
      </c>
      <c r="O1879" s="7" t="inlineStr">
        <is>
          <t>DEL</t>
        </is>
      </c>
      <c r="P1879" s="7" t="inlineStr">
        <is>
          <t>CRITIQUE</t>
        </is>
      </c>
      <c r="Q1879" s="7" t="inlineStr">
        <is>
          <t>WHAP</t>
        </is>
      </c>
      <c r="R1879" s="7" t="inlineStr">
        <is>
          <t>OUI</t>
        </is>
      </c>
      <c r="S1879" s="7" t="inlineStr">
        <is>
          <t>31/08/2026 02:59</t>
        </is>
      </c>
    </row>
    <row r="1880">
      <c r="A1880" s="8" t="inlineStr">
        <is>
          <t>WHAP-1876</t>
        </is>
      </c>
      <c r="B1880" s="8" t="inlineStr">
        <is>
          <t>MOT-1876</t>
        </is>
      </c>
      <c r="C1880" s="8" t="inlineStr">
        <is>
          <t>câblage de arbre à cames</t>
        </is>
      </c>
      <c r="D1880" s="8" t="inlineStr">
        <is>
          <t>Moteur</t>
        </is>
      </c>
      <c r="E1880" s="8" t="inlineStr">
        <is>
          <t>Moteur</t>
        </is>
      </c>
      <c r="F1880" s="8" t="inlineStr">
        <is>
          <t>PIECE_VEHICULE</t>
        </is>
      </c>
      <c r="G1880" s="8" t="inlineStr">
        <is>
          <t>unité</t>
        </is>
      </c>
      <c r="H1880" s="8" t="inlineStr">
        <is>
          <t>LARGE</t>
        </is>
      </c>
      <c r="I1880" s="8" t="n">
        <v>0</v>
      </c>
      <c r="J1880" s="8" t="inlineStr">
        <is>
          <t>B-06-02</t>
        </is>
      </c>
      <c r="K1880" s="8" t="inlineStr"/>
      <c r="L1880" s="10" t="n">
        <v>0</v>
      </c>
      <c r="M1880" s="10" t="n">
        <v>0</v>
      </c>
      <c r="N1880" s="10" t="n">
        <v>16</v>
      </c>
      <c r="O1880" s="8" t="inlineStr">
        <is>
          <t>SKF</t>
        </is>
      </c>
      <c r="P1880" s="8" t="inlineStr">
        <is>
          <t>CRITIQUE</t>
        </is>
      </c>
      <c r="Q1880" s="8" t="inlineStr">
        <is>
          <t>WHAP</t>
        </is>
      </c>
      <c r="R1880" s="8" t="inlineStr">
        <is>
          <t>OUI</t>
        </is>
      </c>
      <c r="S1880" s="8" t="inlineStr">
        <is>
          <t>31/08/2026 02:59</t>
        </is>
      </c>
    </row>
    <row r="1881">
      <c r="A1881" s="7" t="inlineStr">
        <is>
          <t>WHAP-1877</t>
        </is>
      </c>
      <c r="B1881" s="7" t="inlineStr">
        <is>
          <t>MOT-1877</t>
        </is>
      </c>
      <c r="C1881" s="7" t="inlineStr">
        <is>
          <t>connecteur de arbre à cames</t>
        </is>
      </c>
      <c r="D1881" s="7" t="inlineStr">
        <is>
          <t>Moteur</t>
        </is>
      </c>
      <c r="E1881" s="7" t="inlineStr">
        <is>
          <t>Moteur</t>
        </is>
      </c>
      <c r="F1881" s="7" t="inlineStr">
        <is>
          <t>PIECE_VEHICULE</t>
        </is>
      </c>
      <c r="G1881" s="7" t="inlineStr">
        <is>
          <t>unité</t>
        </is>
      </c>
      <c r="H1881" s="7" t="inlineStr">
        <is>
          <t>LARGE</t>
        </is>
      </c>
      <c r="I1881" s="7" t="n">
        <v>0</v>
      </c>
      <c r="J1881" s="7" t="inlineStr">
        <is>
          <t>A-01-03</t>
        </is>
      </c>
      <c r="K1881" s="7" t="inlineStr"/>
      <c r="L1881" s="9" t="n">
        <v>0</v>
      </c>
      <c r="M1881" s="9" t="n">
        <v>0</v>
      </c>
      <c r="N1881" s="9" t="n">
        <v>16</v>
      </c>
      <c r="O1881" s="7" t="inlineStr">
        <is>
          <t>SUM</t>
        </is>
      </c>
      <c r="P1881" s="7" t="inlineStr">
        <is>
          <t>CRITIQUE</t>
        </is>
      </c>
      <c r="Q1881" s="7" t="inlineStr">
        <is>
          <t>WHAP</t>
        </is>
      </c>
      <c r="R1881" s="7" t="inlineStr">
        <is>
          <t>OUI</t>
        </is>
      </c>
      <c r="S1881" s="7" t="inlineStr">
        <is>
          <t>31/08/2026 02:59</t>
        </is>
      </c>
    </row>
    <row r="1882">
      <c r="A1882" s="8" t="inlineStr">
        <is>
          <t>WHAP-1878</t>
        </is>
      </c>
      <c r="B1882" s="8" t="inlineStr">
        <is>
          <t>MOT-1878</t>
        </is>
      </c>
      <c r="C1882" s="8" t="inlineStr">
        <is>
          <t>joint de arbre à cames</t>
        </is>
      </c>
      <c r="D1882" s="8" t="inlineStr">
        <is>
          <t>Moteur</t>
        </is>
      </c>
      <c r="E1882" s="8" t="inlineStr">
        <is>
          <t>Moteur</t>
        </is>
      </c>
      <c r="F1882" s="8" t="inlineStr">
        <is>
          <t>PIECE_VEHICULE</t>
        </is>
      </c>
      <c r="G1882" s="8" t="inlineStr">
        <is>
          <t>unité</t>
        </is>
      </c>
      <c r="H1882" s="8" t="inlineStr">
        <is>
          <t>LARGE</t>
        </is>
      </c>
      <c r="I1882" s="8" t="n">
        <v>0</v>
      </c>
      <c r="J1882" s="8" t="inlineStr">
        <is>
          <t>D-04-02</t>
        </is>
      </c>
      <c r="K1882" s="8" t="inlineStr"/>
      <c r="L1882" s="10" t="n">
        <v>0</v>
      </c>
      <c r="M1882" s="10" t="n">
        <v>0</v>
      </c>
      <c r="N1882" s="10" t="n">
        <v>18</v>
      </c>
      <c r="O1882" s="8" t="inlineStr">
        <is>
          <t>SKF</t>
        </is>
      </c>
      <c r="P1882" s="8" t="inlineStr">
        <is>
          <t>CRITIQUE</t>
        </is>
      </c>
      <c r="Q1882" s="8" t="inlineStr">
        <is>
          <t>WHAP</t>
        </is>
      </c>
      <c r="R1882" s="8" t="inlineStr">
        <is>
          <t>OUI</t>
        </is>
      </c>
      <c r="S1882" s="8" t="inlineStr">
        <is>
          <t>31/08/2026 02:59</t>
        </is>
      </c>
    </row>
    <row r="1883">
      <c r="A1883" s="7" t="inlineStr">
        <is>
          <t>WHAP-1879</t>
        </is>
      </c>
      <c r="B1883" s="7" t="inlineStr">
        <is>
          <t>MOT-1879</t>
        </is>
      </c>
      <c r="C1883" s="7" t="inlineStr">
        <is>
          <t>fixation de arbre à cames</t>
        </is>
      </c>
      <c r="D1883" s="7" t="inlineStr">
        <is>
          <t>Moteur</t>
        </is>
      </c>
      <c r="E1883" s="7" t="inlineStr">
        <is>
          <t>Moteur</t>
        </is>
      </c>
      <c r="F1883" s="7" t="inlineStr">
        <is>
          <t>PIECE_VEHICULE</t>
        </is>
      </c>
      <c r="G1883" s="7" t="inlineStr">
        <is>
          <t>unité</t>
        </is>
      </c>
      <c r="H1883" s="7" t="inlineStr">
        <is>
          <t>LARGE</t>
        </is>
      </c>
      <c r="I1883" s="7" t="n">
        <v>0</v>
      </c>
      <c r="J1883" s="7" t="inlineStr">
        <is>
          <t>E-05-01</t>
        </is>
      </c>
      <c r="K1883" s="7" t="inlineStr"/>
      <c r="L1883" s="9" t="n">
        <v>0</v>
      </c>
      <c r="M1883" s="9" t="n">
        <v>0</v>
      </c>
      <c r="N1883" s="9" t="n">
        <v>16</v>
      </c>
      <c r="O1883" s="7" t="inlineStr">
        <is>
          <t>SUM</t>
        </is>
      </c>
      <c r="P1883" s="7" t="inlineStr">
        <is>
          <t>CRITIQUE</t>
        </is>
      </c>
      <c r="Q1883" s="7" t="inlineStr">
        <is>
          <t>WHAP</t>
        </is>
      </c>
      <c r="R1883" s="7" t="inlineStr">
        <is>
          <t>OUI</t>
        </is>
      </c>
      <c r="S1883" s="7" t="inlineStr">
        <is>
          <t>31/08/2026 02:59</t>
        </is>
      </c>
    </row>
    <row r="1884">
      <c r="A1884" s="8" t="inlineStr">
        <is>
          <t>WHAP-1880</t>
        </is>
      </c>
      <c r="B1884" s="8" t="inlineStr">
        <is>
          <t>MOT-1880</t>
        </is>
      </c>
      <c r="C1884" s="8" t="inlineStr">
        <is>
          <t>protection de arbre à cames</t>
        </is>
      </c>
      <c r="D1884" s="8" t="inlineStr">
        <is>
          <t>Moteur</t>
        </is>
      </c>
      <c r="E1884" s="8" t="inlineStr">
        <is>
          <t>Moteur</t>
        </is>
      </c>
      <c r="F1884" s="8" t="inlineStr">
        <is>
          <t>PIECE_VEHICULE</t>
        </is>
      </c>
      <c r="G1884" s="8" t="inlineStr">
        <is>
          <t>unité</t>
        </is>
      </c>
      <c r="H1884" s="8" t="inlineStr">
        <is>
          <t>LARGE</t>
        </is>
      </c>
      <c r="I1884" s="8" t="n">
        <v>0</v>
      </c>
      <c r="J1884" s="8" t="inlineStr">
        <is>
          <t>A-06-01</t>
        </is>
      </c>
      <c r="K1884" s="8" t="inlineStr"/>
      <c r="L1884" s="10" t="n">
        <v>0</v>
      </c>
      <c r="M1884" s="10" t="n">
        <v>0</v>
      </c>
      <c r="N1884" s="10" t="n">
        <v>17</v>
      </c>
      <c r="O1884" s="8" t="inlineStr">
        <is>
          <t>SUM</t>
        </is>
      </c>
      <c r="P1884" s="8" t="inlineStr">
        <is>
          <t>CRITIQUE</t>
        </is>
      </c>
      <c r="Q1884" s="8" t="inlineStr">
        <is>
          <t>WHAP</t>
        </is>
      </c>
      <c r="R1884" s="8" t="inlineStr">
        <is>
          <t>OUI</t>
        </is>
      </c>
      <c r="S1884" s="8" t="inlineStr">
        <is>
          <t>31/08/2026 02:59</t>
        </is>
      </c>
    </row>
    <row r="1885">
      <c r="A1885" s="7" t="inlineStr">
        <is>
          <t>WHAP-1881</t>
        </is>
      </c>
      <c r="B1885" s="7" t="inlineStr">
        <is>
          <t>MOT-1881</t>
        </is>
      </c>
      <c r="C1885" s="7" t="inlineStr">
        <is>
          <t>capteur de arbre à cames</t>
        </is>
      </c>
      <c r="D1885" s="7" t="inlineStr">
        <is>
          <t>Moteur</t>
        </is>
      </c>
      <c r="E1885" s="7" t="inlineStr">
        <is>
          <t>Moteur</t>
        </is>
      </c>
      <c r="F1885" s="7" t="inlineStr">
        <is>
          <t>PIECE_VEHICULE</t>
        </is>
      </c>
      <c r="G1885" s="7" t="inlineStr">
        <is>
          <t>unité</t>
        </is>
      </c>
      <c r="H1885" s="7" t="inlineStr">
        <is>
          <t>LARGE</t>
        </is>
      </c>
      <c r="I1885" s="7" t="n">
        <v>0</v>
      </c>
      <c r="J1885" s="7" t="inlineStr">
        <is>
          <t>A-01-01</t>
        </is>
      </c>
      <c r="K1885" s="7" t="inlineStr"/>
      <c r="L1885" s="9" t="n">
        <v>0</v>
      </c>
      <c r="M1885" s="9" t="n">
        <v>0</v>
      </c>
      <c r="N1885" s="9" t="n">
        <v>10</v>
      </c>
      <c r="O1885" s="7" t="inlineStr">
        <is>
          <t>DEL</t>
        </is>
      </c>
      <c r="P1885" s="7" t="inlineStr">
        <is>
          <t>CRITIQUE</t>
        </is>
      </c>
      <c r="Q1885" s="7" t="inlineStr">
        <is>
          <t>WHAP</t>
        </is>
      </c>
      <c r="R1885" s="7" t="inlineStr">
        <is>
          <t>OUI</t>
        </is>
      </c>
      <c r="S1885" s="7" t="inlineStr">
        <is>
          <t>31/08/2026 02:59</t>
        </is>
      </c>
    </row>
    <row r="1886">
      <c r="A1886" s="8" t="inlineStr">
        <is>
          <t>WHAP-1882</t>
        </is>
      </c>
      <c r="B1886" s="8" t="inlineStr">
        <is>
          <t>MOT-1882</t>
        </is>
      </c>
      <c r="C1886" s="8" t="inlineStr">
        <is>
          <t>actionneur de arbre à cames</t>
        </is>
      </c>
      <c r="D1886" s="8" t="inlineStr">
        <is>
          <t>Moteur</t>
        </is>
      </c>
      <c r="E1886" s="8" t="inlineStr">
        <is>
          <t>Moteur</t>
        </is>
      </c>
      <c r="F1886" s="8" t="inlineStr">
        <is>
          <t>PIECE_VEHICULE</t>
        </is>
      </c>
      <c r="G1886" s="8" t="inlineStr">
        <is>
          <t>unité</t>
        </is>
      </c>
      <c r="H1886" s="8" t="inlineStr">
        <is>
          <t>LARGE</t>
        </is>
      </c>
      <c r="I1886" s="8" t="n">
        <v>0</v>
      </c>
      <c r="J1886" s="8" t="inlineStr">
        <is>
          <t>C-06-02</t>
        </is>
      </c>
      <c r="K1886" s="8" t="inlineStr"/>
      <c r="L1886" s="10" t="n">
        <v>0</v>
      </c>
      <c r="M1886" s="10" t="n">
        <v>0</v>
      </c>
      <c r="N1886" s="10" t="n">
        <v>15</v>
      </c>
      <c r="O1886" s="8" t="inlineStr">
        <is>
          <t>DEL</t>
        </is>
      </c>
      <c r="P1886" s="8" t="inlineStr">
        <is>
          <t>CRITIQUE</t>
        </is>
      </c>
      <c r="Q1886" s="8" t="inlineStr">
        <is>
          <t>WHAP</t>
        </is>
      </c>
      <c r="R1886" s="8" t="inlineStr">
        <is>
          <t>OUI</t>
        </is>
      </c>
      <c r="S1886" s="8" t="inlineStr">
        <is>
          <t>31/08/2026 02:59</t>
        </is>
      </c>
    </row>
    <row r="1887">
      <c r="A1887" s="7" t="inlineStr">
        <is>
          <t>WHAP-1883</t>
        </is>
      </c>
      <c r="B1887" s="7" t="inlineStr">
        <is>
          <t>MOT-1883</t>
        </is>
      </c>
      <c r="C1887" s="7" t="inlineStr">
        <is>
          <t>raccord de arbre à cames</t>
        </is>
      </c>
      <c r="D1887" s="7" t="inlineStr">
        <is>
          <t>Moteur</t>
        </is>
      </c>
      <c r="E1887" s="7" t="inlineStr">
        <is>
          <t>Moteur</t>
        </is>
      </c>
      <c r="F1887" s="7" t="inlineStr">
        <is>
          <t>PIECE_VEHICULE</t>
        </is>
      </c>
      <c r="G1887" s="7" t="inlineStr">
        <is>
          <t>unité</t>
        </is>
      </c>
      <c r="H1887" s="7" t="inlineStr">
        <is>
          <t>LARGE</t>
        </is>
      </c>
      <c r="I1887" s="7" t="n">
        <v>0</v>
      </c>
      <c r="J1887" s="7" t="inlineStr">
        <is>
          <t>A-01-03</t>
        </is>
      </c>
      <c r="K1887" s="7" t="inlineStr"/>
      <c r="L1887" s="9" t="n">
        <v>0</v>
      </c>
      <c r="M1887" s="9" t="n">
        <v>0</v>
      </c>
      <c r="N1887" s="9" t="n">
        <v>20</v>
      </c>
      <c r="O1887" s="7" t="inlineStr">
        <is>
          <t>SUM</t>
        </is>
      </c>
      <c r="P1887" s="7" t="inlineStr">
        <is>
          <t>CRITIQUE</t>
        </is>
      </c>
      <c r="Q1887" s="7" t="inlineStr">
        <is>
          <t>WHAP</t>
        </is>
      </c>
      <c r="R1887" s="7" t="inlineStr">
        <is>
          <t>OUI</t>
        </is>
      </c>
      <c r="S1887" s="7" t="inlineStr">
        <is>
          <t>31/08/2026 02:59</t>
        </is>
      </c>
    </row>
    <row r="1888">
      <c r="A1888" s="8" t="inlineStr">
        <is>
          <t>WHAP-1884</t>
        </is>
      </c>
      <c r="B1888" s="8" t="inlineStr">
        <is>
          <t>MOT-1884</t>
        </is>
      </c>
      <c r="C1888" s="8" t="inlineStr">
        <is>
          <t>plaque de arbre à cames</t>
        </is>
      </c>
      <c r="D1888" s="8" t="inlineStr">
        <is>
          <t>Moteur</t>
        </is>
      </c>
      <c r="E1888" s="8" t="inlineStr">
        <is>
          <t>Moteur</t>
        </is>
      </c>
      <c r="F1888" s="8" t="inlineStr">
        <is>
          <t>PIECE_VEHICULE</t>
        </is>
      </c>
      <c r="G1888" s="8" t="inlineStr">
        <is>
          <t>unité</t>
        </is>
      </c>
      <c r="H1888" s="8" t="inlineStr">
        <is>
          <t>LARGE</t>
        </is>
      </c>
      <c r="I1888" s="8" t="n">
        <v>0</v>
      </c>
      <c r="J1888" s="8" t="inlineStr">
        <is>
          <t>F-06-01</t>
        </is>
      </c>
      <c r="K1888" s="8" t="inlineStr"/>
      <c r="L1888" s="10" t="n">
        <v>0</v>
      </c>
      <c r="M1888" s="10" t="n">
        <v>0</v>
      </c>
      <c r="N1888" s="10" t="n">
        <v>15</v>
      </c>
      <c r="O1888" s="8" t="inlineStr">
        <is>
          <t>FAU</t>
        </is>
      </c>
      <c r="P1888" s="8" t="inlineStr">
        <is>
          <t>CRITIQUE</t>
        </is>
      </c>
      <c r="Q1888" s="8" t="inlineStr">
        <is>
          <t>WHAP</t>
        </is>
      </c>
      <c r="R1888" s="8" t="inlineStr">
        <is>
          <t>OUI</t>
        </is>
      </c>
      <c r="S1888" s="8" t="inlineStr">
        <is>
          <t>31/08/2026 02:59</t>
        </is>
      </c>
    </row>
    <row r="1889">
      <c r="A1889" s="7" t="inlineStr">
        <is>
          <t>WHAP-1885</t>
        </is>
      </c>
      <c r="B1889" s="7" t="inlineStr">
        <is>
          <t>MOT-1885</t>
        </is>
      </c>
      <c r="C1889" s="7" t="inlineStr">
        <is>
          <t>couvercle de arbre à cames</t>
        </is>
      </c>
      <c r="D1889" s="7" t="inlineStr">
        <is>
          <t>Moteur</t>
        </is>
      </c>
      <c r="E1889" s="7" t="inlineStr">
        <is>
          <t>Moteur</t>
        </is>
      </c>
      <c r="F1889" s="7" t="inlineStr">
        <is>
          <t>PIECE_VEHICULE</t>
        </is>
      </c>
      <c r="G1889" s="7" t="inlineStr">
        <is>
          <t>unité</t>
        </is>
      </c>
      <c r="H1889" s="7" t="inlineStr">
        <is>
          <t>LARGE</t>
        </is>
      </c>
      <c r="I1889" s="7" t="n">
        <v>0</v>
      </c>
      <c r="J1889" s="7" t="inlineStr">
        <is>
          <t>C-03-02</t>
        </is>
      </c>
      <c r="K1889" s="7" t="inlineStr"/>
      <c r="L1889" s="9" t="n">
        <v>0</v>
      </c>
      <c r="M1889" s="9" t="n">
        <v>0</v>
      </c>
      <c r="N1889" s="9" t="n">
        <v>19</v>
      </c>
      <c r="O1889" s="7" t="inlineStr">
        <is>
          <t>BOS</t>
        </is>
      </c>
      <c r="P1889" s="7" t="inlineStr">
        <is>
          <t>CRITIQUE</t>
        </is>
      </c>
      <c r="Q1889" s="7" t="inlineStr">
        <is>
          <t>WHAP</t>
        </is>
      </c>
      <c r="R1889" s="7" t="inlineStr">
        <is>
          <t>OUI</t>
        </is>
      </c>
      <c r="S1889" s="7" t="inlineStr">
        <is>
          <t>31/08/2026 02:59</t>
        </is>
      </c>
    </row>
    <row r="1890">
      <c r="A1890" s="8" t="inlineStr">
        <is>
          <t>WHAP-1886</t>
        </is>
      </c>
      <c r="B1890" s="8" t="inlineStr">
        <is>
          <t>MOT-1886</t>
        </is>
      </c>
      <c r="C1890" s="8" t="inlineStr">
        <is>
          <t>bague de arbre à cames</t>
        </is>
      </c>
      <c r="D1890" s="8" t="inlineStr">
        <is>
          <t>Moteur</t>
        </is>
      </c>
      <c r="E1890" s="8" t="inlineStr">
        <is>
          <t>Moteur</t>
        </is>
      </c>
      <c r="F1890" s="8" t="inlineStr">
        <is>
          <t>PIECE_VEHICULE</t>
        </is>
      </c>
      <c r="G1890" s="8" t="inlineStr">
        <is>
          <t>unité</t>
        </is>
      </c>
      <c r="H1890" s="8" t="inlineStr">
        <is>
          <t>LARGE</t>
        </is>
      </c>
      <c r="I1890" s="8" t="n">
        <v>0</v>
      </c>
      <c r="J1890" s="8" t="inlineStr">
        <is>
          <t>F-06-02</t>
        </is>
      </c>
      <c r="K1890" s="8" t="inlineStr"/>
      <c r="L1890" s="10" t="n">
        <v>0</v>
      </c>
      <c r="M1890" s="10" t="n">
        <v>0</v>
      </c>
      <c r="N1890" s="10" t="n">
        <v>15</v>
      </c>
      <c r="O1890" s="8" t="inlineStr">
        <is>
          <t>FAU</t>
        </is>
      </c>
      <c r="P1890" s="8" t="inlineStr">
        <is>
          <t>CRITIQUE</t>
        </is>
      </c>
      <c r="Q1890" s="8" t="inlineStr">
        <is>
          <t>WHAP</t>
        </is>
      </c>
      <c r="R1890" s="8" t="inlineStr">
        <is>
          <t>OUI</t>
        </is>
      </c>
      <c r="S1890" s="8" t="inlineStr">
        <is>
          <t>31/08/2026 02:59</t>
        </is>
      </c>
    </row>
    <row r="1891">
      <c r="A1891" s="7" t="inlineStr">
        <is>
          <t>WHAP-1887</t>
        </is>
      </c>
      <c r="B1891" s="7" t="inlineStr">
        <is>
          <t>MOT-1887</t>
        </is>
      </c>
      <c r="C1891" s="7" t="inlineStr">
        <is>
          <t>entretoise de arbre à cames</t>
        </is>
      </c>
      <c r="D1891" s="7" t="inlineStr">
        <is>
          <t>Moteur</t>
        </is>
      </c>
      <c r="E1891" s="7" t="inlineStr">
        <is>
          <t>Moteur</t>
        </is>
      </c>
      <c r="F1891" s="7" t="inlineStr">
        <is>
          <t>PIECE_VEHICULE</t>
        </is>
      </c>
      <c r="G1891" s="7" t="inlineStr">
        <is>
          <t>unité</t>
        </is>
      </c>
      <c r="H1891" s="7" t="inlineStr">
        <is>
          <t>LARGE</t>
        </is>
      </c>
      <c r="I1891" s="7" t="n">
        <v>0</v>
      </c>
      <c r="J1891" s="7" t="inlineStr">
        <is>
          <t>A-01-03</t>
        </is>
      </c>
      <c r="K1891" s="7" t="inlineStr"/>
      <c r="L1891" s="9" t="n">
        <v>0</v>
      </c>
      <c r="M1891" s="9" t="n">
        <v>0</v>
      </c>
      <c r="N1891" s="9" t="n">
        <v>16</v>
      </c>
      <c r="O1891" s="7" t="inlineStr">
        <is>
          <t>DEL</t>
        </is>
      </c>
      <c r="P1891" s="7" t="inlineStr">
        <is>
          <t>CRITIQUE</t>
        </is>
      </c>
      <c r="Q1891" s="7" t="inlineStr">
        <is>
          <t>WHAP</t>
        </is>
      </c>
      <c r="R1891" s="7" t="inlineStr">
        <is>
          <t>OUI</t>
        </is>
      </c>
      <c r="S1891" s="7" t="inlineStr">
        <is>
          <t>31/08/2026 02:59</t>
        </is>
      </c>
    </row>
    <row r="1892">
      <c r="A1892" s="8" t="inlineStr">
        <is>
          <t>WHAP-1888</t>
        </is>
      </c>
      <c r="B1892" s="8" t="inlineStr">
        <is>
          <t>MOT-1888</t>
        </is>
      </c>
      <c r="C1892" s="8" t="inlineStr">
        <is>
          <t>axe de arbre à cames</t>
        </is>
      </c>
      <c r="D1892" s="8" t="inlineStr">
        <is>
          <t>Moteur</t>
        </is>
      </c>
      <c r="E1892" s="8" t="inlineStr">
        <is>
          <t>Moteur</t>
        </is>
      </c>
      <c r="F1892" s="8" t="inlineStr">
        <is>
          <t>PIECE_VEHICULE</t>
        </is>
      </c>
      <c r="G1892" s="8" t="inlineStr">
        <is>
          <t>unité</t>
        </is>
      </c>
      <c r="H1892" s="8" t="inlineStr">
        <is>
          <t>LARGE</t>
        </is>
      </c>
      <c r="I1892" s="8" t="n">
        <v>0</v>
      </c>
      <c r="J1892" s="8" t="inlineStr">
        <is>
          <t>A-03-02</t>
        </is>
      </c>
      <c r="K1892" s="8" t="inlineStr"/>
      <c r="L1892" s="10" t="n">
        <v>0</v>
      </c>
      <c r="M1892" s="10" t="n">
        <v>0</v>
      </c>
      <c r="N1892" s="10" t="n">
        <v>20</v>
      </c>
      <c r="O1892" s="8" t="inlineStr">
        <is>
          <t>SUM</t>
        </is>
      </c>
      <c r="P1892" s="8" t="inlineStr">
        <is>
          <t>CRITIQUE</t>
        </is>
      </c>
      <c r="Q1892" s="8" t="inlineStr">
        <is>
          <t>WHAP</t>
        </is>
      </c>
      <c r="R1892" s="8" t="inlineStr">
        <is>
          <t>OUI</t>
        </is>
      </c>
      <c r="S1892" s="8" t="inlineStr">
        <is>
          <t>31/08/2026 02:59</t>
        </is>
      </c>
    </row>
    <row r="1893">
      <c r="A1893" s="7" t="inlineStr">
        <is>
          <t>WHAP-1889</t>
        </is>
      </c>
      <c r="B1893" s="7" t="inlineStr">
        <is>
          <t>MOT-1889</t>
        </is>
      </c>
      <c r="C1893" s="7" t="inlineStr">
        <is>
          <t>poulie de arbre à cames</t>
        </is>
      </c>
      <c r="D1893" s="7" t="inlineStr">
        <is>
          <t>Moteur</t>
        </is>
      </c>
      <c r="E1893" s="7" t="inlineStr">
        <is>
          <t>Moteur</t>
        </is>
      </c>
      <c r="F1893" s="7" t="inlineStr">
        <is>
          <t>PIECE_VEHICULE</t>
        </is>
      </c>
      <c r="G1893" s="7" t="inlineStr">
        <is>
          <t>unité</t>
        </is>
      </c>
      <c r="H1893" s="7" t="inlineStr">
        <is>
          <t>LARGE</t>
        </is>
      </c>
      <c r="I1893" s="7" t="n">
        <v>0</v>
      </c>
      <c r="J1893" s="7" t="inlineStr">
        <is>
          <t>C-06-03</t>
        </is>
      </c>
      <c r="K1893" s="7" t="inlineStr"/>
      <c r="L1893" s="9" t="n">
        <v>0</v>
      </c>
      <c r="M1893" s="9" t="n">
        <v>0</v>
      </c>
      <c r="N1893" s="9" t="n">
        <v>20</v>
      </c>
      <c r="O1893" s="7" t="inlineStr">
        <is>
          <t>DEL</t>
        </is>
      </c>
      <c r="P1893" s="7" t="inlineStr">
        <is>
          <t>CRITIQUE</t>
        </is>
      </c>
      <c r="Q1893" s="7" t="inlineStr">
        <is>
          <t>WHAP</t>
        </is>
      </c>
      <c r="R1893" s="7" t="inlineStr">
        <is>
          <t>OUI</t>
        </is>
      </c>
      <c r="S1893" s="7" t="inlineStr">
        <is>
          <t>31/08/2026 02:59</t>
        </is>
      </c>
    </row>
    <row r="1894">
      <c r="A1894" s="8" t="inlineStr">
        <is>
          <t>WHAP-1890</t>
        </is>
      </c>
      <c r="B1894" s="8" t="inlineStr">
        <is>
          <t>MOT-1890</t>
        </is>
      </c>
      <c r="C1894" s="8" t="inlineStr">
        <is>
          <t>pignon de arbre à cames</t>
        </is>
      </c>
      <c r="D1894" s="8" t="inlineStr">
        <is>
          <t>Moteur</t>
        </is>
      </c>
      <c r="E1894" s="8" t="inlineStr">
        <is>
          <t>Moteur</t>
        </is>
      </c>
      <c r="F1894" s="8" t="inlineStr">
        <is>
          <t>PIECE_VEHICULE</t>
        </is>
      </c>
      <c r="G1894" s="8" t="inlineStr">
        <is>
          <t>unité</t>
        </is>
      </c>
      <c r="H1894" s="8" t="inlineStr">
        <is>
          <t>LARGE</t>
        </is>
      </c>
      <c r="I1894" s="8" t="n">
        <v>0</v>
      </c>
      <c r="J1894" s="8" t="inlineStr">
        <is>
          <t>A-05-03</t>
        </is>
      </c>
      <c r="K1894" s="8" t="inlineStr"/>
      <c r="L1894" s="10" t="n">
        <v>0</v>
      </c>
      <c r="M1894" s="10" t="n">
        <v>0</v>
      </c>
      <c r="N1894" s="10" t="n">
        <v>11</v>
      </c>
      <c r="O1894" s="8" t="inlineStr">
        <is>
          <t>SUM</t>
        </is>
      </c>
      <c r="P1894" s="8" t="inlineStr">
        <is>
          <t>CRITIQUE</t>
        </is>
      </c>
      <c r="Q1894" s="8" t="inlineStr">
        <is>
          <t>WHAP</t>
        </is>
      </c>
      <c r="R1894" s="8" t="inlineStr">
        <is>
          <t>OUI</t>
        </is>
      </c>
      <c r="S1894" s="8" t="inlineStr">
        <is>
          <t>31/08/2026 02:59</t>
        </is>
      </c>
    </row>
    <row r="1895">
      <c r="A1895" s="7" t="inlineStr">
        <is>
          <t>WHAP-1891</t>
        </is>
      </c>
      <c r="B1895" s="7" t="inlineStr">
        <is>
          <t>MOT-1891</t>
        </is>
      </c>
      <c r="C1895" s="7" t="inlineStr">
        <is>
          <t>ensemble de poussoir hydraulique</t>
        </is>
      </c>
      <c r="D1895" s="7" t="inlineStr">
        <is>
          <t>Moteur</t>
        </is>
      </c>
      <c r="E1895" s="7" t="inlineStr">
        <is>
          <t>Moteur</t>
        </is>
      </c>
      <c r="F1895" s="7" t="inlineStr">
        <is>
          <t>PIECE_VEHICULE</t>
        </is>
      </c>
      <c r="G1895" s="7" t="inlineStr">
        <is>
          <t>unité</t>
        </is>
      </c>
      <c r="H1895" s="7" t="inlineStr">
        <is>
          <t>LARGE</t>
        </is>
      </c>
      <c r="I1895" s="7" t="n">
        <v>0</v>
      </c>
      <c r="J1895" s="7" t="inlineStr">
        <is>
          <t>F-02-03</t>
        </is>
      </c>
      <c r="K1895" s="7" t="inlineStr"/>
      <c r="L1895" s="9" t="n">
        <v>0</v>
      </c>
      <c r="M1895" s="9" t="n">
        <v>0</v>
      </c>
      <c r="N1895" s="9" t="n">
        <v>17</v>
      </c>
      <c r="O1895" s="7" t="inlineStr">
        <is>
          <t>CTL</t>
        </is>
      </c>
      <c r="P1895" s="7" t="inlineStr">
        <is>
          <t>CRITIQUE</t>
        </is>
      </c>
      <c r="Q1895" s="7" t="inlineStr">
        <is>
          <t>WHAP</t>
        </is>
      </c>
      <c r="R1895" s="7" t="inlineStr">
        <is>
          <t>OUI</t>
        </is>
      </c>
      <c r="S1895" s="7" t="inlineStr">
        <is>
          <t>31/08/2026 02:59</t>
        </is>
      </c>
    </row>
    <row r="1896">
      <c r="A1896" s="8" t="inlineStr">
        <is>
          <t>WHAP-1892</t>
        </is>
      </c>
      <c r="B1896" s="8" t="inlineStr">
        <is>
          <t>MOT-1892</t>
        </is>
      </c>
      <c r="C1896" s="8" t="inlineStr">
        <is>
          <t>kit de poussoir hydraulique</t>
        </is>
      </c>
      <c r="D1896" s="8" t="inlineStr">
        <is>
          <t>Moteur</t>
        </is>
      </c>
      <c r="E1896" s="8" t="inlineStr">
        <is>
          <t>Moteur</t>
        </is>
      </c>
      <c r="F1896" s="8" t="inlineStr">
        <is>
          <t>PIECE_VEHICULE</t>
        </is>
      </c>
      <c r="G1896" s="8" t="inlineStr">
        <is>
          <t>unité</t>
        </is>
      </c>
      <c r="H1896" s="8" t="inlineStr">
        <is>
          <t>LARGE</t>
        </is>
      </c>
      <c r="I1896" s="8" t="n">
        <v>0</v>
      </c>
      <c r="J1896" s="8" t="inlineStr">
        <is>
          <t>A-03-03</t>
        </is>
      </c>
      <c r="K1896" s="8" t="inlineStr"/>
      <c r="L1896" s="10" t="n">
        <v>0</v>
      </c>
      <c r="M1896" s="10" t="n">
        <v>0</v>
      </c>
      <c r="N1896" s="10" t="n">
        <v>16</v>
      </c>
      <c r="O1896" s="8" t="inlineStr">
        <is>
          <t>BOS</t>
        </is>
      </c>
      <c r="P1896" s="8" t="inlineStr">
        <is>
          <t>CRITIQUE</t>
        </is>
      </c>
      <c r="Q1896" s="8" t="inlineStr">
        <is>
          <t>WHAP</t>
        </is>
      </c>
      <c r="R1896" s="8" t="inlineStr">
        <is>
          <t>OUI</t>
        </is>
      </c>
      <c r="S1896" s="8" t="inlineStr">
        <is>
          <t>31/08/2026 02:59</t>
        </is>
      </c>
    </row>
    <row r="1897">
      <c r="A1897" s="7" t="inlineStr">
        <is>
          <t>WHAP-1893</t>
        </is>
      </c>
      <c r="B1897" s="7" t="inlineStr">
        <is>
          <t>MOT-1893</t>
        </is>
      </c>
      <c r="C1897" s="7" t="inlineStr">
        <is>
          <t>support de poussoir hydraulique</t>
        </is>
      </c>
      <c r="D1897" s="7" t="inlineStr">
        <is>
          <t>Moteur</t>
        </is>
      </c>
      <c r="E1897" s="7" t="inlineStr">
        <is>
          <t>Moteur</t>
        </is>
      </c>
      <c r="F1897" s="7" t="inlineStr">
        <is>
          <t>PIECE_VEHICULE</t>
        </is>
      </c>
      <c r="G1897" s="7" t="inlineStr">
        <is>
          <t>unité</t>
        </is>
      </c>
      <c r="H1897" s="7" t="inlineStr">
        <is>
          <t>LARGE</t>
        </is>
      </c>
      <c r="I1897" s="7" t="n">
        <v>0</v>
      </c>
      <c r="J1897" s="7" t="inlineStr">
        <is>
          <t>E-05-02</t>
        </is>
      </c>
      <c r="K1897" s="7" t="inlineStr"/>
      <c r="L1897" s="9" t="n">
        <v>0</v>
      </c>
      <c r="M1897" s="9" t="n">
        <v>0</v>
      </c>
      <c r="N1897" s="9" t="n">
        <v>12</v>
      </c>
      <c r="O1897" s="7" t="inlineStr">
        <is>
          <t>HEL</t>
        </is>
      </c>
      <c r="P1897" s="7" t="inlineStr">
        <is>
          <t>CRITIQUE</t>
        </is>
      </c>
      <c r="Q1897" s="7" t="inlineStr">
        <is>
          <t>WHAP</t>
        </is>
      </c>
      <c r="R1897" s="7" t="inlineStr">
        <is>
          <t>OUI</t>
        </is>
      </c>
      <c r="S1897" s="7" t="inlineStr">
        <is>
          <t>31/08/2026 02:59</t>
        </is>
      </c>
    </row>
    <row r="1898">
      <c r="A1898" s="8" t="inlineStr">
        <is>
          <t>WHAP-1894</t>
        </is>
      </c>
      <c r="B1898" s="8" t="inlineStr">
        <is>
          <t>MOT-1894</t>
        </is>
      </c>
      <c r="C1898" s="8" t="inlineStr">
        <is>
          <t>boîtier de poussoir hydraulique</t>
        </is>
      </c>
      <c r="D1898" s="8" t="inlineStr">
        <is>
          <t>Moteur</t>
        </is>
      </c>
      <c r="E1898" s="8" t="inlineStr">
        <is>
          <t>Moteur</t>
        </is>
      </c>
      <c r="F1898" s="8" t="inlineStr">
        <is>
          <t>PIECE_VEHICULE</t>
        </is>
      </c>
      <c r="G1898" s="8" t="inlineStr">
        <is>
          <t>unité</t>
        </is>
      </c>
      <c r="H1898" s="8" t="inlineStr">
        <is>
          <t>LARGE</t>
        </is>
      </c>
      <c r="I1898" s="8" t="n">
        <v>0</v>
      </c>
      <c r="J1898" s="8" t="inlineStr">
        <is>
          <t>E-04-04</t>
        </is>
      </c>
      <c r="K1898" s="8" t="inlineStr"/>
      <c r="L1898" s="10" t="n">
        <v>0</v>
      </c>
      <c r="M1898" s="10" t="n">
        <v>0</v>
      </c>
      <c r="N1898" s="10" t="n">
        <v>11</v>
      </c>
      <c r="O1898" s="8" t="inlineStr">
        <is>
          <t>HEL</t>
        </is>
      </c>
      <c r="P1898" s="8" t="inlineStr">
        <is>
          <t>CRITIQUE</t>
        </is>
      </c>
      <c r="Q1898" s="8" t="inlineStr">
        <is>
          <t>WHAP</t>
        </is>
      </c>
      <c r="R1898" s="8" t="inlineStr">
        <is>
          <t>OUI</t>
        </is>
      </c>
      <c r="S1898" s="8" t="inlineStr">
        <is>
          <t>31/08/2026 02:59</t>
        </is>
      </c>
    </row>
    <row r="1899">
      <c r="A1899" s="7" t="inlineStr">
        <is>
          <t>WHAP-1895</t>
        </is>
      </c>
      <c r="B1899" s="7" t="inlineStr">
        <is>
          <t>MOT-1895</t>
        </is>
      </c>
      <c r="C1899" s="7" t="inlineStr">
        <is>
          <t>module de poussoir hydraulique</t>
        </is>
      </c>
      <c r="D1899" s="7" t="inlineStr">
        <is>
          <t>Moteur</t>
        </is>
      </c>
      <c r="E1899" s="7" t="inlineStr">
        <is>
          <t>Moteur</t>
        </is>
      </c>
      <c r="F1899" s="7" t="inlineStr">
        <is>
          <t>PIECE_VEHICULE</t>
        </is>
      </c>
      <c r="G1899" s="7" t="inlineStr">
        <is>
          <t>unité</t>
        </is>
      </c>
      <c r="H1899" s="7" t="inlineStr">
        <is>
          <t>LARGE</t>
        </is>
      </c>
      <c r="I1899" s="7" t="n">
        <v>0</v>
      </c>
      <c r="J1899" s="7" t="inlineStr">
        <is>
          <t>D-06-04</t>
        </is>
      </c>
      <c r="K1899" s="7" t="inlineStr"/>
      <c r="L1899" s="9" t="n">
        <v>0</v>
      </c>
      <c r="M1899" s="9" t="n">
        <v>0</v>
      </c>
      <c r="N1899" s="9" t="n">
        <v>19</v>
      </c>
      <c r="O1899" s="7" t="inlineStr">
        <is>
          <t>CTL</t>
        </is>
      </c>
      <c r="P1899" s="7" t="inlineStr">
        <is>
          <t>CRITIQUE</t>
        </is>
      </c>
      <c r="Q1899" s="7" t="inlineStr">
        <is>
          <t>WHAP</t>
        </is>
      </c>
      <c r="R1899" s="7" t="inlineStr">
        <is>
          <t>OUI</t>
        </is>
      </c>
      <c r="S1899" s="7" t="inlineStr">
        <is>
          <t>31/08/2026 02:59</t>
        </is>
      </c>
    </row>
    <row r="1900">
      <c r="A1900" s="8" t="inlineStr">
        <is>
          <t>WHAP-1896</t>
        </is>
      </c>
      <c r="B1900" s="8" t="inlineStr">
        <is>
          <t>MOT-1896</t>
        </is>
      </c>
      <c r="C1900" s="8" t="inlineStr">
        <is>
          <t>câblage de poussoir hydraulique</t>
        </is>
      </c>
      <c r="D1900" s="8" t="inlineStr">
        <is>
          <t>Moteur</t>
        </is>
      </c>
      <c r="E1900" s="8" t="inlineStr">
        <is>
          <t>Moteur</t>
        </is>
      </c>
      <c r="F1900" s="8" t="inlineStr">
        <is>
          <t>PIECE_VEHICULE</t>
        </is>
      </c>
      <c r="G1900" s="8" t="inlineStr">
        <is>
          <t>unité</t>
        </is>
      </c>
      <c r="H1900" s="8" t="inlineStr">
        <is>
          <t>LARGE</t>
        </is>
      </c>
      <c r="I1900" s="8" t="n">
        <v>0</v>
      </c>
      <c r="J1900" s="8" t="inlineStr">
        <is>
          <t>D-02-03</t>
        </is>
      </c>
      <c r="K1900" s="8" t="inlineStr"/>
      <c r="L1900" s="10" t="n">
        <v>0</v>
      </c>
      <c r="M1900" s="10" t="n">
        <v>0</v>
      </c>
      <c r="N1900" s="10" t="n">
        <v>15</v>
      </c>
      <c r="O1900" s="8" t="inlineStr">
        <is>
          <t>SKF</t>
        </is>
      </c>
      <c r="P1900" s="8" t="inlineStr">
        <is>
          <t>CRITIQUE</t>
        </is>
      </c>
      <c r="Q1900" s="8" t="inlineStr">
        <is>
          <t>WHAP</t>
        </is>
      </c>
      <c r="R1900" s="8" t="inlineStr">
        <is>
          <t>OUI</t>
        </is>
      </c>
      <c r="S1900" s="8" t="inlineStr">
        <is>
          <t>31/08/2026 02:59</t>
        </is>
      </c>
    </row>
    <row r="1901">
      <c r="A1901" s="7" t="inlineStr">
        <is>
          <t>WHAP-1897</t>
        </is>
      </c>
      <c r="B1901" s="7" t="inlineStr">
        <is>
          <t>MOT-1897</t>
        </is>
      </c>
      <c r="C1901" s="7" t="inlineStr">
        <is>
          <t>connecteur de poussoir hydraulique</t>
        </is>
      </c>
      <c r="D1901" s="7" t="inlineStr">
        <is>
          <t>Moteur</t>
        </is>
      </c>
      <c r="E1901" s="7" t="inlineStr">
        <is>
          <t>Moteur</t>
        </is>
      </c>
      <c r="F1901" s="7" t="inlineStr">
        <is>
          <t>PIECE_VEHICULE</t>
        </is>
      </c>
      <c r="G1901" s="7" t="inlineStr">
        <is>
          <t>unité</t>
        </is>
      </c>
      <c r="H1901" s="7" t="inlineStr">
        <is>
          <t>LARGE</t>
        </is>
      </c>
      <c r="I1901" s="7" t="n">
        <v>0</v>
      </c>
      <c r="J1901" s="7" t="inlineStr">
        <is>
          <t>D-02-01</t>
        </is>
      </c>
      <c r="K1901" s="7" t="inlineStr"/>
      <c r="L1901" s="9" t="n">
        <v>0</v>
      </c>
      <c r="M1901" s="9" t="n">
        <v>0</v>
      </c>
      <c r="N1901" s="9" t="n">
        <v>14</v>
      </c>
      <c r="O1901" s="7" t="inlineStr">
        <is>
          <t>VAL</t>
        </is>
      </c>
      <c r="P1901" s="7" t="inlineStr">
        <is>
          <t>CRITIQUE</t>
        </is>
      </c>
      <c r="Q1901" s="7" t="inlineStr">
        <is>
          <t>WHAP</t>
        </is>
      </c>
      <c r="R1901" s="7" t="inlineStr">
        <is>
          <t>OUI</t>
        </is>
      </c>
      <c r="S1901" s="7" t="inlineStr">
        <is>
          <t>31/08/2026 02:59</t>
        </is>
      </c>
    </row>
    <row r="1902">
      <c r="A1902" s="8" t="inlineStr">
        <is>
          <t>WHAP-1898</t>
        </is>
      </c>
      <c r="B1902" s="8" t="inlineStr">
        <is>
          <t>MOT-1898</t>
        </is>
      </c>
      <c r="C1902" s="8" t="inlineStr">
        <is>
          <t>joint de poussoir hydraulique</t>
        </is>
      </c>
      <c r="D1902" s="8" t="inlineStr">
        <is>
          <t>Moteur</t>
        </is>
      </c>
      <c r="E1902" s="8" t="inlineStr">
        <is>
          <t>Moteur</t>
        </is>
      </c>
      <c r="F1902" s="8" t="inlineStr">
        <is>
          <t>PIECE_VEHICULE</t>
        </is>
      </c>
      <c r="G1902" s="8" t="inlineStr">
        <is>
          <t>unité</t>
        </is>
      </c>
      <c r="H1902" s="8" t="inlineStr">
        <is>
          <t>LARGE</t>
        </is>
      </c>
      <c r="I1902" s="8" t="n">
        <v>0</v>
      </c>
      <c r="J1902" s="8" t="inlineStr">
        <is>
          <t>E-05-03</t>
        </is>
      </c>
      <c r="K1902" s="8" t="inlineStr"/>
      <c r="L1902" s="10" t="n">
        <v>0</v>
      </c>
      <c r="M1902" s="10" t="n">
        <v>0</v>
      </c>
      <c r="N1902" s="10" t="n">
        <v>13</v>
      </c>
      <c r="O1902" s="8" t="inlineStr">
        <is>
          <t>DEL</t>
        </is>
      </c>
      <c r="P1902" s="8" t="inlineStr">
        <is>
          <t>CRITIQUE</t>
        </is>
      </c>
      <c r="Q1902" s="8" t="inlineStr">
        <is>
          <t>WHAP</t>
        </is>
      </c>
      <c r="R1902" s="8" t="inlineStr">
        <is>
          <t>OUI</t>
        </is>
      </c>
      <c r="S1902" s="8" t="inlineStr">
        <is>
          <t>31/08/2026 02:59</t>
        </is>
      </c>
    </row>
    <row r="1903">
      <c r="A1903" s="7" t="inlineStr">
        <is>
          <t>WHAP-1899</t>
        </is>
      </c>
      <c r="B1903" s="7" t="inlineStr">
        <is>
          <t>MOT-1899</t>
        </is>
      </c>
      <c r="C1903" s="7" t="inlineStr">
        <is>
          <t>fixation de poussoir hydraulique</t>
        </is>
      </c>
      <c r="D1903" s="7" t="inlineStr">
        <is>
          <t>Moteur</t>
        </is>
      </c>
      <c r="E1903" s="7" t="inlineStr">
        <is>
          <t>Moteur</t>
        </is>
      </c>
      <c r="F1903" s="7" t="inlineStr">
        <is>
          <t>PIECE_VEHICULE</t>
        </is>
      </c>
      <c r="G1903" s="7" t="inlineStr">
        <is>
          <t>unité</t>
        </is>
      </c>
      <c r="H1903" s="7" t="inlineStr">
        <is>
          <t>LARGE</t>
        </is>
      </c>
      <c r="I1903" s="7" t="n">
        <v>0</v>
      </c>
      <c r="J1903" s="7" t="inlineStr">
        <is>
          <t>B-06-04</t>
        </is>
      </c>
      <c r="K1903" s="7" t="inlineStr"/>
      <c r="L1903" s="9" t="n">
        <v>0</v>
      </c>
      <c r="M1903" s="9" t="n">
        <v>0</v>
      </c>
      <c r="N1903" s="9" t="n">
        <v>13</v>
      </c>
      <c r="O1903" s="7" t="inlineStr">
        <is>
          <t>FAU</t>
        </is>
      </c>
      <c r="P1903" s="7" t="inlineStr">
        <is>
          <t>CRITIQUE</t>
        </is>
      </c>
      <c r="Q1903" s="7" t="inlineStr">
        <is>
          <t>WHAP</t>
        </is>
      </c>
      <c r="R1903" s="7" t="inlineStr">
        <is>
          <t>OUI</t>
        </is>
      </c>
      <c r="S1903" s="7" t="inlineStr">
        <is>
          <t>31/08/2026 02:59</t>
        </is>
      </c>
    </row>
    <row r="1904">
      <c r="A1904" s="8" t="inlineStr">
        <is>
          <t>WHAP-1900</t>
        </is>
      </c>
      <c r="B1904" s="8" t="inlineStr">
        <is>
          <t>MOT-1900</t>
        </is>
      </c>
      <c r="C1904" s="8" t="inlineStr">
        <is>
          <t>protection de poussoir hydraulique</t>
        </is>
      </c>
      <c r="D1904" s="8" t="inlineStr">
        <is>
          <t>Moteur</t>
        </is>
      </c>
      <c r="E1904" s="8" t="inlineStr">
        <is>
          <t>Moteur</t>
        </is>
      </c>
      <c r="F1904" s="8" t="inlineStr">
        <is>
          <t>PIECE_VEHICULE</t>
        </is>
      </c>
      <c r="G1904" s="8" t="inlineStr">
        <is>
          <t>unité</t>
        </is>
      </c>
      <c r="H1904" s="8" t="inlineStr">
        <is>
          <t>LARGE</t>
        </is>
      </c>
      <c r="I1904" s="8" t="n">
        <v>0</v>
      </c>
      <c r="J1904" s="8" t="inlineStr">
        <is>
          <t>D-04-03</t>
        </is>
      </c>
      <c r="K1904" s="8" t="inlineStr"/>
      <c r="L1904" s="10" t="n">
        <v>0</v>
      </c>
      <c r="M1904" s="10" t="n">
        <v>0</v>
      </c>
      <c r="N1904" s="10" t="n">
        <v>12</v>
      </c>
      <c r="O1904" s="8" t="inlineStr">
        <is>
          <t>VAL</t>
        </is>
      </c>
      <c r="P1904" s="8" t="inlineStr">
        <is>
          <t>CRITIQUE</t>
        </is>
      </c>
      <c r="Q1904" s="8" t="inlineStr">
        <is>
          <t>WHAP</t>
        </is>
      </c>
      <c r="R1904" s="8" t="inlineStr">
        <is>
          <t>OUI</t>
        </is>
      </c>
      <c r="S1904" s="8" t="inlineStr">
        <is>
          <t>31/08/2026 02:59</t>
        </is>
      </c>
    </row>
    <row r="1905">
      <c r="A1905" s="7" t="inlineStr">
        <is>
          <t>WHAP-1901</t>
        </is>
      </c>
      <c r="B1905" s="7" t="inlineStr">
        <is>
          <t>MOT-1901</t>
        </is>
      </c>
      <c r="C1905" s="7" t="inlineStr">
        <is>
          <t>capteur de poussoir hydraulique</t>
        </is>
      </c>
      <c r="D1905" s="7" t="inlineStr">
        <is>
          <t>Moteur</t>
        </is>
      </c>
      <c r="E1905" s="7" t="inlineStr">
        <is>
          <t>Moteur</t>
        </is>
      </c>
      <c r="F1905" s="7" t="inlineStr">
        <is>
          <t>PIECE_VEHICULE</t>
        </is>
      </c>
      <c r="G1905" s="7" t="inlineStr">
        <is>
          <t>unité</t>
        </is>
      </c>
      <c r="H1905" s="7" t="inlineStr">
        <is>
          <t>LARGE</t>
        </is>
      </c>
      <c r="I1905" s="7" t="n">
        <v>0</v>
      </c>
      <c r="J1905" s="7" t="inlineStr">
        <is>
          <t>F-04-03</t>
        </is>
      </c>
      <c r="K1905" s="7" t="inlineStr"/>
      <c r="L1905" s="9" t="n">
        <v>0</v>
      </c>
      <c r="M1905" s="9" t="n">
        <v>0</v>
      </c>
      <c r="N1905" s="9" t="n">
        <v>18</v>
      </c>
      <c r="O1905" s="7" t="inlineStr">
        <is>
          <t>VAL</t>
        </is>
      </c>
      <c r="P1905" s="7" t="inlineStr">
        <is>
          <t>CRITIQUE</t>
        </is>
      </c>
      <c r="Q1905" s="7" t="inlineStr">
        <is>
          <t>WHAP</t>
        </is>
      </c>
      <c r="R1905" s="7" t="inlineStr">
        <is>
          <t>OUI</t>
        </is>
      </c>
      <c r="S1905" s="7" t="inlineStr">
        <is>
          <t>31/08/2026 02:59</t>
        </is>
      </c>
    </row>
    <row r="1906">
      <c r="A1906" s="8" t="inlineStr">
        <is>
          <t>WHAP-1902</t>
        </is>
      </c>
      <c r="B1906" s="8" t="inlineStr">
        <is>
          <t>MOT-1902</t>
        </is>
      </c>
      <c r="C1906" s="8" t="inlineStr">
        <is>
          <t>actionneur de poussoir hydraulique</t>
        </is>
      </c>
      <c r="D1906" s="8" t="inlineStr">
        <is>
          <t>Moteur</t>
        </is>
      </c>
      <c r="E1906" s="8" t="inlineStr">
        <is>
          <t>Moteur</t>
        </is>
      </c>
      <c r="F1906" s="8" t="inlineStr">
        <is>
          <t>PIECE_VEHICULE</t>
        </is>
      </c>
      <c r="G1906" s="8" t="inlineStr">
        <is>
          <t>unité</t>
        </is>
      </c>
      <c r="H1906" s="8" t="inlineStr">
        <is>
          <t>LARGE</t>
        </is>
      </c>
      <c r="I1906" s="8" t="n">
        <v>0</v>
      </c>
      <c r="J1906" s="8" t="inlineStr">
        <is>
          <t>E-01-03</t>
        </is>
      </c>
      <c r="K1906" s="8" t="inlineStr"/>
      <c r="L1906" s="10" t="n">
        <v>0</v>
      </c>
      <c r="M1906" s="10" t="n">
        <v>0</v>
      </c>
      <c r="N1906" s="10" t="n">
        <v>12</v>
      </c>
      <c r="O1906" s="8" t="inlineStr">
        <is>
          <t>SUM</t>
        </is>
      </c>
      <c r="P1906" s="8" t="inlineStr">
        <is>
          <t>CRITIQUE</t>
        </is>
      </c>
      <c r="Q1906" s="8" t="inlineStr">
        <is>
          <t>WHAP</t>
        </is>
      </c>
      <c r="R1906" s="8" t="inlineStr">
        <is>
          <t>OUI</t>
        </is>
      </c>
      <c r="S1906" s="8" t="inlineStr">
        <is>
          <t>31/08/2026 02:59</t>
        </is>
      </c>
    </row>
    <row r="1907">
      <c r="A1907" s="7" t="inlineStr">
        <is>
          <t>WHAP-1903</t>
        </is>
      </c>
      <c r="B1907" s="7" t="inlineStr">
        <is>
          <t>MOT-1903</t>
        </is>
      </c>
      <c r="C1907" s="7" t="inlineStr">
        <is>
          <t>raccord de poussoir hydraulique</t>
        </is>
      </c>
      <c r="D1907" s="7" t="inlineStr">
        <is>
          <t>Moteur</t>
        </is>
      </c>
      <c r="E1907" s="7" t="inlineStr">
        <is>
          <t>Moteur</t>
        </is>
      </c>
      <c r="F1907" s="7" t="inlineStr">
        <is>
          <t>PIECE_VEHICULE</t>
        </is>
      </c>
      <c r="G1907" s="7" t="inlineStr">
        <is>
          <t>unité</t>
        </is>
      </c>
      <c r="H1907" s="7" t="inlineStr">
        <is>
          <t>LARGE</t>
        </is>
      </c>
      <c r="I1907" s="7" t="n">
        <v>0</v>
      </c>
      <c r="J1907" s="7" t="inlineStr">
        <is>
          <t>D-03-04</t>
        </is>
      </c>
      <c r="K1907" s="7" t="inlineStr"/>
      <c r="L1907" s="9" t="n">
        <v>0</v>
      </c>
      <c r="M1907" s="9" t="n">
        <v>0</v>
      </c>
      <c r="N1907" s="9" t="n">
        <v>17</v>
      </c>
      <c r="O1907" s="7" t="inlineStr">
        <is>
          <t>VAL</t>
        </is>
      </c>
      <c r="P1907" s="7" t="inlineStr">
        <is>
          <t>CRITIQUE</t>
        </is>
      </c>
      <c r="Q1907" s="7" t="inlineStr">
        <is>
          <t>WHAP</t>
        </is>
      </c>
      <c r="R1907" s="7" t="inlineStr">
        <is>
          <t>OUI</t>
        </is>
      </c>
      <c r="S1907" s="7" t="inlineStr">
        <is>
          <t>31/08/2026 02:59</t>
        </is>
      </c>
    </row>
    <row r="1908">
      <c r="A1908" s="8" t="inlineStr">
        <is>
          <t>WHAP-1904</t>
        </is>
      </c>
      <c r="B1908" s="8" t="inlineStr">
        <is>
          <t>MOT-1904</t>
        </is>
      </c>
      <c r="C1908" s="8" t="inlineStr">
        <is>
          <t>plaque de poussoir hydraulique</t>
        </is>
      </c>
      <c r="D1908" s="8" t="inlineStr">
        <is>
          <t>Moteur</t>
        </is>
      </c>
      <c r="E1908" s="8" t="inlineStr">
        <is>
          <t>Moteur</t>
        </is>
      </c>
      <c r="F1908" s="8" t="inlineStr">
        <is>
          <t>PIECE_VEHICULE</t>
        </is>
      </c>
      <c r="G1908" s="8" t="inlineStr">
        <is>
          <t>unité</t>
        </is>
      </c>
      <c r="H1908" s="8" t="inlineStr">
        <is>
          <t>LARGE</t>
        </is>
      </c>
      <c r="I1908" s="8" t="n">
        <v>0</v>
      </c>
      <c r="J1908" s="8" t="inlineStr">
        <is>
          <t>F-01-01</t>
        </is>
      </c>
      <c r="K1908" s="8" t="inlineStr"/>
      <c r="L1908" s="10" t="n">
        <v>0</v>
      </c>
      <c r="M1908" s="10" t="n">
        <v>0</v>
      </c>
      <c r="N1908" s="10" t="n">
        <v>19</v>
      </c>
      <c r="O1908" s="8" t="inlineStr">
        <is>
          <t>VAL</t>
        </is>
      </c>
      <c r="P1908" s="8" t="inlineStr">
        <is>
          <t>CRITIQUE</t>
        </is>
      </c>
      <c r="Q1908" s="8" t="inlineStr">
        <is>
          <t>WHAP</t>
        </is>
      </c>
      <c r="R1908" s="8" t="inlineStr">
        <is>
          <t>OUI</t>
        </is>
      </c>
      <c r="S1908" s="8" t="inlineStr">
        <is>
          <t>31/08/2026 02:59</t>
        </is>
      </c>
    </row>
    <row r="1909">
      <c r="A1909" s="7" t="inlineStr">
        <is>
          <t>WHAP-1905</t>
        </is>
      </c>
      <c r="B1909" s="7" t="inlineStr">
        <is>
          <t>MOT-1905</t>
        </is>
      </c>
      <c r="C1909" s="7" t="inlineStr">
        <is>
          <t>couvercle de poussoir hydraulique</t>
        </is>
      </c>
      <c r="D1909" s="7" t="inlineStr">
        <is>
          <t>Moteur</t>
        </is>
      </c>
      <c r="E1909" s="7" t="inlineStr">
        <is>
          <t>Moteur</t>
        </is>
      </c>
      <c r="F1909" s="7" t="inlineStr">
        <is>
          <t>PIECE_VEHICULE</t>
        </is>
      </c>
      <c r="G1909" s="7" t="inlineStr">
        <is>
          <t>unité</t>
        </is>
      </c>
      <c r="H1909" s="7" t="inlineStr">
        <is>
          <t>LARGE</t>
        </is>
      </c>
      <c r="I1909" s="7" t="n">
        <v>0</v>
      </c>
      <c r="J1909" s="7" t="inlineStr">
        <is>
          <t>F-04-04</t>
        </is>
      </c>
      <c r="K1909" s="7" t="inlineStr"/>
      <c r="L1909" s="9" t="n">
        <v>0</v>
      </c>
      <c r="M1909" s="9" t="n">
        <v>0</v>
      </c>
      <c r="N1909" s="9" t="n">
        <v>12</v>
      </c>
      <c r="O1909" s="7" t="inlineStr">
        <is>
          <t>SKF</t>
        </is>
      </c>
      <c r="P1909" s="7" t="inlineStr">
        <is>
          <t>CRITIQUE</t>
        </is>
      </c>
      <c r="Q1909" s="7" t="inlineStr">
        <is>
          <t>WHAP</t>
        </is>
      </c>
      <c r="R1909" s="7" t="inlineStr">
        <is>
          <t>OUI</t>
        </is>
      </c>
      <c r="S1909" s="7" t="inlineStr">
        <is>
          <t>31/08/2026 02:59</t>
        </is>
      </c>
    </row>
    <row r="1910">
      <c r="A1910" s="8" t="inlineStr">
        <is>
          <t>WHAP-1906</t>
        </is>
      </c>
      <c r="B1910" s="8" t="inlineStr">
        <is>
          <t>MOT-1906</t>
        </is>
      </c>
      <c r="C1910" s="8" t="inlineStr">
        <is>
          <t>bague de poussoir hydraulique</t>
        </is>
      </c>
      <c r="D1910" s="8" t="inlineStr">
        <is>
          <t>Moteur</t>
        </is>
      </c>
      <c r="E1910" s="8" t="inlineStr">
        <is>
          <t>Moteur</t>
        </is>
      </c>
      <c r="F1910" s="8" t="inlineStr">
        <is>
          <t>PIECE_VEHICULE</t>
        </is>
      </c>
      <c r="G1910" s="8" t="inlineStr">
        <is>
          <t>unité</t>
        </is>
      </c>
      <c r="H1910" s="8" t="inlineStr">
        <is>
          <t>LARGE</t>
        </is>
      </c>
      <c r="I1910" s="8" t="n">
        <v>0</v>
      </c>
      <c r="J1910" s="8" t="inlineStr">
        <is>
          <t>D-04-04</t>
        </is>
      </c>
      <c r="K1910" s="8" t="inlineStr"/>
      <c r="L1910" s="10" t="n">
        <v>0</v>
      </c>
      <c r="M1910" s="10" t="n">
        <v>0</v>
      </c>
      <c r="N1910" s="10" t="n">
        <v>11</v>
      </c>
      <c r="O1910" s="8" t="inlineStr">
        <is>
          <t>YZK</t>
        </is>
      </c>
      <c r="P1910" s="8" t="inlineStr">
        <is>
          <t>CRITIQUE</t>
        </is>
      </c>
      <c r="Q1910" s="8" t="inlineStr">
        <is>
          <t>WHAP</t>
        </is>
      </c>
      <c r="R1910" s="8" t="inlineStr">
        <is>
          <t>OUI</t>
        </is>
      </c>
      <c r="S1910" s="8" t="inlineStr">
        <is>
          <t>31/08/2026 02:59</t>
        </is>
      </c>
    </row>
    <row r="1911">
      <c r="A1911" s="7" t="inlineStr">
        <is>
          <t>WHAP-1907</t>
        </is>
      </c>
      <c r="B1911" s="7" t="inlineStr">
        <is>
          <t>MOT-1907</t>
        </is>
      </c>
      <c r="C1911" s="7" t="inlineStr">
        <is>
          <t>entretoise de poussoir hydraulique</t>
        </is>
      </c>
      <c r="D1911" s="7" t="inlineStr">
        <is>
          <t>Moteur</t>
        </is>
      </c>
      <c r="E1911" s="7" t="inlineStr">
        <is>
          <t>Moteur</t>
        </is>
      </c>
      <c r="F1911" s="7" t="inlineStr">
        <is>
          <t>PIECE_VEHICULE</t>
        </is>
      </c>
      <c r="G1911" s="7" t="inlineStr">
        <is>
          <t>unité</t>
        </is>
      </c>
      <c r="H1911" s="7" t="inlineStr">
        <is>
          <t>LARGE</t>
        </is>
      </c>
      <c r="I1911" s="7" t="n">
        <v>0</v>
      </c>
      <c r="J1911" s="7" t="inlineStr">
        <is>
          <t>C-04-01</t>
        </is>
      </c>
      <c r="K1911" s="7" t="inlineStr"/>
      <c r="L1911" s="9" t="n">
        <v>0</v>
      </c>
      <c r="M1911" s="9" t="n">
        <v>0</v>
      </c>
      <c r="N1911" s="9" t="n">
        <v>17</v>
      </c>
      <c r="O1911" s="7" t="inlineStr">
        <is>
          <t>SUM</t>
        </is>
      </c>
      <c r="P1911" s="7" t="inlineStr">
        <is>
          <t>CRITIQUE</t>
        </is>
      </c>
      <c r="Q1911" s="7" t="inlineStr">
        <is>
          <t>WHAP</t>
        </is>
      </c>
      <c r="R1911" s="7" t="inlineStr">
        <is>
          <t>OUI</t>
        </is>
      </c>
      <c r="S1911" s="7" t="inlineStr">
        <is>
          <t>31/08/2026 02:59</t>
        </is>
      </c>
    </row>
    <row r="1912">
      <c r="A1912" s="8" t="inlineStr">
        <is>
          <t>WHAP-1908</t>
        </is>
      </c>
      <c r="B1912" s="8" t="inlineStr">
        <is>
          <t>MOT-1908</t>
        </is>
      </c>
      <c r="C1912" s="8" t="inlineStr">
        <is>
          <t>axe de poussoir hydraulique</t>
        </is>
      </c>
      <c r="D1912" s="8" t="inlineStr">
        <is>
          <t>Moteur</t>
        </is>
      </c>
      <c r="E1912" s="8" t="inlineStr">
        <is>
          <t>Moteur</t>
        </is>
      </c>
      <c r="F1912" s="8" t="inlineStr">
        <is>
          <t>PIECE_VEHICULE</t>
        </is>
      </c>
      <c r="G1912" s="8" t="inlineStr">
        <is>
          <t>unité</t>
        </is>
      </c>
      <c r="H1912" s="8" t="inlineStr">
        <is>
          <t>LARGE</t>
        </is>
      </c>
      <c r="I1912" s="8" t="n">
        <v>0</v>
      </c>
      <c r="J1912" s="8" t="inlineStr">
        <is>
          <t>D-03-01</t>
        </is>
      </c>
      <c r="K1912" s="8" t="inlineStr"/>
      <c r="L1912" s="10" t="n">
        <v>0</v>
      </c>
      <c r="M1912" s="10" t="n">
        <v>0</v>
      </c>
      <c r="N1912" s="10" t="n">
        <v>14</v>
      </c>
      <c r="O1912" s="8" t="inlineStr">
        <is>
          <t>CTL</t>
        </is>
      </c>
      <c r="P1912" s="8" t="inlineStr">
        <is>
          <t>CRITIQUE</t>
        </is>
      </c>
      <c r="Q1912" s="8" t="inlineStr">
        <is>
          <t>WHAP</t>
        </is>
      </c>
      <c r="R1912" s="8" t="inlineStr">
        <is>
          <t>OUI</t>
        </is>
      </c>
      <c r="S1912" s="8" t="inlineStr">
        <is>
          <t>31/08/2026 02:59</t>
        </is>
      </c>
    </row>
    <row r="1913">
      <c r="A1913" s="7" t="inlineStr">
        <is>
          <t>WHAP-1909</t>
        </is>
      </c>
      <c r="B1913" s="7" t="inlineStr">
        <is>
          <t>MOT-1909</t>
        </is>
      </c>
      <c r="C1913" s="7" t="inlineStr">
        <is>
          <t>poulie de poussoir hydraulique</t>
        </is>
      </c>
      <c r="D1913" s="7" t="inlineStr">
        <is>
          <t>Moteur</t>
        </is>
      </c>
      <c r="E1913" s="7" t="inlineStr">
        <is>
          <t>Moteur</t>
        </is>
      </c>
      <c r="F1913" s="7" t="inlineStr">
        <is>
          <t>PIECE_VEHICULE</t>
        </is>
      </c>
      <c r="G1913" s="7" t="inlineStr">
        <is>
          <t>unité</t>
        </is>
      </c>
      <c r="H1913" s="7" t="inlineStr">
        <is>
          <t>LARGE</t>
        </is>
      </c>
      <c r="I1913" s="7" t="n">
        <v>0</v>
      </c>
      <c r="J1913" s="7" t="inlineStr">
        <is>
          <t>C-02-01</t>
        </is>
      </c>
      <c r="K1913" s="7" t="inlineStr"/>
      <c r="L1913" s="9" t="n">
        <v>0</v>
      </c>
      <c r="M1913" s="9" t="n">
        <v>0</v>
      </c>
      <c r="N1913" s="9" t="n">
        <v>14</v>
      </c>
      <c r="O1913" s="7" t="inlineStr">
        <is>
          <t>DEL</t>
        </is>
      </c>
      <c r="P1913" s="7" t="inlineStr">
        <is>
          <t>CRITIQUE</t>
        </is>
      </c>
      <c r="Q1913" s="7" t="inlineStr">
        <is>
          <t>WHAP</t>
        </is>
      </c>
      <c r="R1913" s="7" t="inlineStr">
        <is>
          <t>OUI</t>
        </is>
      </c>
      <c r="S1913" s="7" t="inlineStr">
        <is>
          <t>31/08/2026 02:59</t>
        </is>
      </c>
    </row>
    <row r="1914">
      <c r="A1914" s="8" t="inlineStr">
        <is>
          <t>WHAP-1910</t>
        </is>
      </c>
      <c r="B1914" s="8" t="inlineStr">
        <is>
          <t>MOT-1910</t>
        </is>
      </c>
      <c r="C1914" s="8" t="inlineStr">
        <is>
          <t>pignon de poussoir hydraulique</t>
        </is>
      </c>
      <c r="D1914" s="8" t="inlineStr">
        <is>
          <t>Moteur</t>
        </is>
      </c>
      <c r="E1914" s="8" t="inlineStr">
        <is>
          <t>Moteur</t>
        </is>
      </c>
      <c r="F1914" s="8" t="inlineStr">
        <is>
          <t>PIECE_VEHICULE</t>
        </is>
      </c>
      <c r="G1914" s="8" t="inlineStr">
        <is>
          <t>unité</t>
        </is>
      </c>
      <c r="H1914" s="8" t="inlineStr">
        <is>
          <t>LARGE</t>
        </is>
      </c>
      <c r="I1914" s="8" t="n">
        <v>0</v>
      </c>
      <c r="J1914" s="8" t="inlineStr">
        <is>
          <t>F-06-01</t>
        </is>
      </c>
      <c r="K1914" s="8" t="inlineStr"/>
      <c r="L1914" s="10" t="n">
        <v>0</v>
      </c>
      <c r="M1914" s="10" t="n">
        <v>0</v>
      </c>
      <c r="N1914" s="10" t="n">
        <v>16</v>
      </c>
      <c r="O1914" s="8" t="inlineStr">
        <is>
          <t>VAL</t>
        </is>
      </c>
      <c r="P1914" s="8" t="inlineStr">
        <is>
          <t>CRITIQUE</t>
        </is>
      </c>
      <c r="Q1914" s="8" t="inlineStr">
        <is>
          <t>WHAP</t>
        </is>
      </c>
      <c r="R1914" s="8" t="inlineStr">
        <is>
          <t>OUI</t>
        </is>
      </c>
      <c r="S1914" s="8" t="inlineStr">
        <is>
          <t>31/08/2026 02:59</t>
        </is>
      </c>
    </row>
    <row r="1915">
      <c r="A1915" s="7" t="inlineStr">
        <is>
          <t>WHAP-1911</t>
        </is>
      </c>
      <c r="B1915" s="7" t="inlineStr">
        <is>
          <t>MOT-1911</t>
        </is>
      </c>
      <c r="C1915" s="7" t="inlineStr">
        <is>
          <t>ensemble de culbuteur</t>
        </is>
      </c>
      <c r="D1915" s="7" t="inlineStr">
        <is>
          <t>Moteur</t>
        </is>
      </c>
      <c r="E1915" s="7" t="inlineStr">
        <is>
          <t>Moteur</t>
        </is>
      </c>
      <c r="F1915" s="7" t="inlineStr">
        <is>
          <t>PIECE_VEHICULE</t>
        </is>
      </c>
      <c r="G1915" s="7" t="inlineStr">
        <is>
          <t>unité</t>
        </is>
      </c>
      <c r="H1915" s="7" t="inlineStr">
        <is>
          <t>LARGE</t>
        </is>
      </c>
      <c r="I1915" s="7" t="n">
        <v>0</v>
      </c>
      <c r="J1915" s="7" t="inlineStr">
        <is>
          <t>C-04-03</t>
        </is>
      </c>
      <c r="K1915" s="7" t="inlineStr"/>
      <c r="L1915" s="9" t="n">
        <v>0</v>
      </c>
      <c r="M1915" s="9" t="n">
        <v>0</v>
      </c>
      <c r="N1915" s="9" t="n">
        <v>15</v>
      </c>
      <c r="O1915" s="7" t="inlineStr">
        <is>
          <t>SUM</t>
        </is>
      </c>
      <c r="P1915" s="7" t="inlineStr">
        <is>
          <t>CRITIQUE</t>
        </is>
      </c>
      <c r="Q1915" s="7" t="inlineStr">
        <is>
          <t>WHAP</t>
        </is>
      </c>
      <c r="R1915" s="7" t="inlineStr">
        <is>
          <t>OUI</t>
        </is>
      </c>
      <c r="S1915" s="7" t="inlineStr">
        <is>
          <t>31/08/2026 02:59</t>
        </is>
      </c>
    </row>
    <row r="1916">
      <c r="A1916" s="8" t="inlineStr">
        <is>
          <t>WHAP-1912</t>
        </is>
      </c>
      <c r="B1916" s="8" t="inlineStr">
        <is>
          <t>MOT-1912</t>
        </is>
      </c>
      <c r="C1916" s="8" t="inlineStr">
        <is>
          <t>kit de culbuteur</t>
        </is>
      </c>
      <c r="D1916" s="8" t="inlineStr">
        <is>
          <t>Moteur</t>
        </is>
      </c>
      <c r="E1916" s="8" t="inlineStr">
        <is>
          <t>Moteur</t>
        </is>
      </c>
      <c r="F1916" s="8" t="inlineStr">
        <is>
          <t>PIECE_VEHICULE</t>
        </is>
      </c>
      <c r="G1916" s="8" t="inlineStr">
        <is>
          <t>unité</t>
        </is>
      </c>
      <c r="H1916" s="8" t="inlineStr">
        <is>
          <t>LARGE</t>
        </is>
      </c>
      <c r="I1916" s="8" t="n">
        <v>0</v>
      </c>
      <c r="J1916" s="8" t="inlineStr">
        <is>
          <t>A-01-02</t>
        </is>
      </c>
      <c r="K1916" s="8" t="inlineStr"/>
      <c r="L1916" s="10" t="n">
        <v>0</v>
      </c>
      <c r="M1916" s="10" t="n">
        <v>0</v>
      </c>
      <c r="N1916" s="10" t="n">
        <v>16</v>
      </c>
      <c r="O1916" s="8" t="inlineStr">
        <is>
          <t>HEL</t>
        </is>
      </c>
      <c r="P1916" s="8" t="inlineStr">
        <is>
          <t>CRITIQUE</t>
        </is>
      </c>
      <c r="Q1916" s="8" t="inlineStr">
        <is>
          <t>WHAP</t>
        </is>
      </c>
      <c r="R1916" s="8" t="inlineStr">
        <is>
          <t>OUI</t>
        </is>
      </c>
      <c r="S1916" s="8" t="inlineStr">
        <is>
          <t>31/08/2026 02:59</t>
        </is>
      </c>
    </row>
    <row r="1917">
      <c r="A1917" s="7" t="inlineStr">
        <is>
          <t>WHAP-1913</t>
        </is>
      </c>
      <c r="B1917" s="7" t="inlineStr">
        <is>
          <t>MOT-1913</t>
        </is>
      </c>
      <c r="C1917" s="7" t="inlineStr">
        <is>
          <t>support de culbuteur</t>
        </is>
      </c>
      <c r="D1917" s="7" t="inlineStr">
        <is>
          <t>Moteur</t>
        </is>
      </c>
      <c r="E1917" s="7" t="inlineStr">
        <is>
          <t>Moteur</t>
        </is>
      </c>
      <c r="F1917" s="7" t="inlineStr">
        <is>
          <t>PIECE_VEHICULE</t>
        </is>
      </c>
      <c r="G1917" s="7" t="inlineStr">
        <is>
          <t>unité</t>
        </is>
      </c>
      <c r="H1917" s="7" t="inlineStr">
        <is>
          <t>LARGE</t>
        </is>
      </c>
      <c r="I1917" s="7" t="n">
        <v>0</v>
      </c>
      <c r="J1917" s="7" t="inlineStr">
        <is>
          <t>A-01-01</t>
        </is>
      </c>
      <c r="K1917" s="7" t="inlineStr"/>
      <c r="L1917" s="9" t="n">
        <v>0</v>
      </c>
      <c r="M1917" s="9" t="n">
        <v>0</v>
      </c>
      <c r="N1917" s="9" t="n">
        <v>16</v>
      </c>
      <c r="O1917" s="7" t="inlineStr">
        <is>
          <t>DEL</t>
        </is>
      </c>
      <c r="P1917" s="7" t="inlineStr">
        <is>
          <t>CRITIQUE</t>
        </is>
      </c>
      <c r="Q1917" s="7" t="inlineStr">
        <is>
          <t>WHAP</t>
        </is>
      </c>
      <c r="R1917" s="7" t="inlineStr">
        <is>
          <t>OUI</t>
        </is>
      </c>
      <c r="S1917" s="7" t="inlineStr">
        <is>
          <t>31/08/2026 02:59</t>
        </is>
      </c>
    </row>
    <row r="1918">
      <c r="A1918" s="8" t="inlineStr">
        <is>
          <t>WHAP-1914</t>
        </is>
      </c>
      <c r="B1918" s="8" t="inlineStr">
        <is>
          <t>MOT-1914</t>
        </is>
      </c>
      <c r="C1918" s="8" t="inlineStr">
        <is>
          <t>boîtier de culbuteur</t>
        </is>
      </c>
      <c r="D1918" s="8" t="inlineStr">
        <is>
          <t>Moteur</t>
        </is>
      </c>
      <c r="E1918" s="8" t="inlineStr">
        <is>
          <t>Moteur</t>
        </is>
      </c>
      <c r="F1918" s="8" t="inlineStr">
        <is>
          <t>PIECE_VEHICULE</t>
        </is>
      </c>
      <c r="G1918" s="8" t="inlineStr">
        <is>
          <t>unité</t>
        </is>
      </c>
      <c r="H1918" s="8" t="inlineStr">
        <is>
          <t>LARGE</t>
        </is>
      </c>
      <c r="I1918" s="8" t="n">
        <v>0</v>
      </c>
      <c r="J1918" s="8" t="inlineStr">
        <is>
          <t>E-05-03</t>
        </is>
      </c>
      <c r="K1918" s="8" t="inlineStr"/>
      <c r="L1918" s="10" t="n">
        <v>0</v>
      </c>
      <c r="M1918" s="10" t="n">
        <v>0</v>
      </c>
      <c r="N1918" s="10" t="n">
        <v>11</v>
      </c>
      <c r="O1918" s="8" t="inlineStr">
        <is>
          <t>SUM</t>
        </is>
      </c>
      <c r="P1918" s="8" t="inlineStr">
        <is>
          <t>CRITIQUE</t>
        </is>
      </c>
      <c r="Q1918" s="8" t="inlineStr">
        <is>
          <t>WHAP</t>
        </is>
      </c>
      <c r="R1918" s="8" t="inlineStr">
        <is>
          <t>OUI</t>
        </is>
      </c>
      <c r="S1918" s="8" t="inlineStr">
        <is>
          <t>31/08/2026 02:59</t>
        </is>
      </c>
    </row>
    <row r="1919">
      <c r="A1919" s="7" t="inlineStr">
        <is>
          <t>WHAP-1915</t>
        </is>
      </c>
      <c r="B1919" s="7" t="inlineStr">
        <is>
          <t>MOT-1915</t>
        </is>
      </c>
      <c r="C1919" s="7" t="inlineStr">
        <is>
          <t>module de culbuteur</t>
        </is>
      </c>
      <c r="D1919" s="7" t="inlineStr">
        <is>
          <t>Moteur</t>
        </is>
      </c>
      <c r="E1919" s="7" t="inlineStr">
        <is>
          <t>Moteur</t>
        </is>
      </c>
      <c r="F1919" s="7" t="inlineStr">
        <is>
          <t>PIECE_VEHICULE</t>
        </is>
      </c>
      <c r="G1919" s="7" t="inlineStr">
        <is>
          <t>unité</t>
        </is>
      </c>
      <c r="H1919" s="7" t="inlineStr">
        <is>
          <t>LARGE</t>
        </is>
      </c>
      <c r="I1919" s="7" t="n">
        <v>0</v>
      </c>
      <c r="J1919" s="7" t="inlineStr">
        <is>
          <t>D-01-01</t>
        </is>
      </c>
      <c r="K1919" s="7" t="inlineStr"/>
      <c r="L1919" s="9" t="n">
        <v>0</v>
      </c>
      <c r="M1919" s="9" t="n">
        <v>0</v>
      </c>
      <c r="N1919" s="9" t="n">
        <v>20</v>
      </c>
      <c r="O1919" s="7" t="inlineStr">
        <is>
          <t>CTL</t>
        </is>
      </c>
      <c r="P1919" s="7" t="inlineStr">
        <is>
          <t>CRITIQUE</t>
        </is>
      </c>
      <c r="Q1919" s="7" t="inlineStr">
        <is>
          <t>WHAP</t>
        </is>
      </c>
      <c r="R1919" s="7" t="inlineStr">
        <is>
          <t>OUI</t>
        </is>
      </c>
      <c r="S1919" s="7" t="inlineStr">
        <is>
          <t>31/08/2026 02:59</t>
        </is>
      </c>
    </row>
    <row r="1920">
      <c r="A1920" s="8" t="inlineStr">
        <is>
          <t>WHAP-1916</t>
        </is>
      </c>
      <c r="B1920" s="8" t="inlineStr">
        <is>
          <t>MOT-1916</t>
        </is>
      </c>
      <c r="C1920" s="8" t="inlineStr">
        <is>
          <t>câblage de culbuteur</t>
        </is>
      </c>
      <c r="D1920" s="8" t="inlineStr">
        <is>
          <t>Moteur</t>
        </is>
      </c>
      <c r="E1920" s="8" t="inlineStr">
        <is>
          <t>Moteur</t>
        </is>
      </c>
      <c r="F1920" s="8" t="inlineStr">
        <is>
          <t>PIECE_VEHICULE</t>
        </is>
      </c>
      <c r="G1920" s="8" t="inlineStr">
        <is>
          <t>unité</t>
        </is>
      </c>
      <c r="H1920" s="8" t="inlineStr">
        <is>
          <t>LARGE</t>
        </is>
      </c>
      <c r="I1920" s="8" t="n">
        <v>0</v>
      </c>
      <c r="J1920" s="8" t="inlineStr">
        <is>
          <t>B-02-02</t>
        </is>
      </c>
      <c r="K1920" s="8" t="inlineStr"/>
      <c r="L1920" s="10" t="n">
        <v>0</v>
      </c>
      <c r="M1920" s="10" t="n">
        <v>0</v>
      </c>
      <c r="N1920" s="10" t="n">
        <v>10</v>
      </c>
      <c r="O1920" s="8" t="inlineStr">
        <is>
          <t>FAU</t>
        </is>
      </c>
      <c r="P1920" s="8" t="inlineStr">
        <is>
          <t>CRITIQUE</t>
        </is>
      </c>
      <c r="Q1920" s="8" t="inlineStr">
        <is>
          <t>WHAP</t>
        </is>
      </c>
      <c r="R1920" s="8" t="inlineStr">
        <is>
          <t>OUI</t>
        </is>
      </c>
      <c r="S1920" s="8" t="inlineStr">
        <is>
          <t>31/08/2026 02:59</t>
        </is>
      </c>
    </row>
    <row r="1921">
      <c r="A1921" s="7" t="inlineStr">
        <is>
          <t>WHAP-1917</t>
        </is>
      </c>
      <c r="B1921" s="7" t="inlineStr">
        <is>
          <t>MOT-1917</t>
        </is>
      </c>
      <c r="C1921" s="7" t="inlineStr">
        <is>
          <t>connecteur de culbuteur</t>
        </is>
      </c>
      <c r="D1921" s="7" t="inlineStr">
        <is>
          <t>Moteur</t>
        </is>
      </c>
      <c r="E1921" s="7" t="inlineStr">
        <is>
          <t>Moteur</t>
        </is>
      </c>
      <c r="F1921" s="7" t="inlineStr">
        <is>
          <t>PIECE_VEHICULE</t>
        </is>
      </c>
      <c r="G1921" s="7" t="inlineStr">
        <is>
          <t>unité</t>
        </is>
      </c>
      <c r="H1921" s="7" t="inlineStr">
        <is>
          <t>LARGE</t>
        </is>
      </c>
      <c r="I1921" s="7" t="n">
        <v>0</v>
      </c>
      <c r="J1921" s="7" t="inlineStr">
        <is>
          <t>E-01-02</t>
        </is>
      </c>
      <c r="K1921" s="7" t="inlineStr"/>
      <c r="L1921" s="9" t="n">
        <v>0</v>
      </c>
      <c r="M1921" s="9" t="n">
        <v>0</v>
      </c>
      <c r="N1921" s="9" t="n">
        <v>10</v>
      </c>
      <c r="O1921" s="7" t="inlineStr">
        <is>
          <t>BOS</t>
        </is>
      </c>
      <c r="P1921" s="7" t="inlineStr">
        <is>
          <t>CRITIQUE</t>
        </is>
      </c>
      <c r="Q1921" s="7" t="inlineStr">
        <is>
          <t>WHAP</t>
        </is>
      </c>
      <c r="R1921" s="7" t="inlineStr">
        <is>
          <t>OUI</t>
        </is>
      </c>
      <c r="S1921" s="7" t="inlineStr">
        <is>
          <t>31/08/2026 02:59</t>
        </is>
      </c>
    </row>
    <row r="1922">
      <c r="A1922" s="8" t="inlineStr">
        <is>
          <t>WHAP-1918</t>
        </is>
      </c>
      <c r="B1922" s="8" t="inlineStr">
        <is>
          <t>MOT-1918</t>
        </is>
      </c>
      <c r="C1922" s="8" t="inlineStr">
        <is>
          <t>joint de culbuteur</t>
        </is>
      </c>
      <c r="D1922" s="8" t="inlineStr">
        <is>
          <t>Moteur</t>
        </is>
      </c>
      <c r="E1922" s="8" t="inlineStr">
        <is>
          <t>Moteur</t>
        </is>
      </c>
      <c r="F1922" s="8" t="inlineStr">
        <is>
          <t>PIECE_VEHICULE</t>
        </is>
      </c>
      <c r="G1922" s="8" t="inlineStr">
        <is>
          <t>unité</t>
        </is>
      </c>
      <c r="H1922" s="8" t="inlineStr">
        <is>
          <t>LARGE</t>
        </is>
      </c>
      <c r="I1922" s="8" t="n">
        <v>0</v>
      </c>
      <c r="J1922" s="8" t="inlineStr">
        <is>
          <t>F-01-03</t>
        </is>
      </c>
      <c r="K1922" s="8" t="inlineStr"/>
      <c r="L1922" s="10" t="n">
        <v>0</v>
      </c>
      <c r="M1922" s="10" t="n">
        <v>0</v>
      </c>
      <c r="N1922" s="10" t="n">
        <v>15</v>
      </c>
      <c r="O1922" s="8" t="inlineStr">
        <is>
          <t>VAL</t>
        </is>
      </c>
      <c r="P1922" s="8" t="inlineStr">
        <is>
          <t>CRITIQUE</t>
        </is>
      </c>
      <c r="Q1922" s="8" t="inlineStr">
        <is>
          <t>WHAP</t>
        </is>
      </c>
      <c r="R1922" s="8" t="inlineStr">
        <is>
          <t>OUI</t>
        </is>
      </c>
      <c r="S1922" s="8" t="inlineStr">
        <is>
          <t>31/08/2026 02:59</t>
        </is>
      </c>
    </row>
    <row r="1923">
      <c r="A1923" s="7" t="inlineStr">
        <is>
          <t>WHAP-1919</t>
        </is>
      </c>
      <c r="B1923" s="7" t="inlineStr">
        <is>
          <t>MOT-1919</t>
        </is>
      </c>
      <c r="C1923" s="7" t="inlineStr">
        <is>
          <t>fixation de culbuteur</t>
        </is>
      </c>
      <c r="D1923" s="7" t="inlineStr">
        <is>
          <t>Moteur</t>
        </is>
      </c>
      <c r="E1923" s="7" t="inlineStr">
        <is>
          <t>Moteur</t>
        </is>
      </c>
      <c r="F1923" s="7" t="inlineStr">
        <is>
          <t>PIECE_VEHICULE</t>
        </is>
      </c>
      <c r="G1923" s="7" t="inlineStr">
        <is>
          <t>unité</t>
        </is>
      </c>
      <c r="H1923" s="7" t="inlineStr">
        <is>
          <t>LARGE</t>
        </is>
      </c>
      <c r="I1923" s="7" t="n">
        <v>0</v>
      </c>
      <c r="J1923" s="7" t="inlineStr">
        <is>
          <t>F-06-02</t>
        </is>
      </c>
      <c r="K1923" s="7" t="inlineStr"/>
      <c r="L1923" s="9" t="n">
        <v>0</v>
      </c>
      <c r="M1923" s="9" t="n">
        <v>0</v>
      </c>
      <c r="N1923" s="9" t="n">
        <v>17</v>
      </c>
      <c r="O1923" s="7" t="inlineStr">
        <is>
          <t>CTL</t>
        </is>
      </c>
      <c r="P1923" s="7" t="inlineStr">
        <is>
          <t>CRITIQUE</t>
        </is>
      </c>
      <c r="Q1923" s="7" t="inlineStr">
        <is>
          <t>WHAP</t>
        </is>
      </c>
      <c r="R1923" s="7" t="inlineStr">
        <is>
          <t>OUI</t>
        </is>
      </c>
      <c r="S1923" s="7" t="inlineStr">
        <is>
          <t>31/08/2026 02:59</t>
        </is>
      </c>
    </row>
    <row r="1924">
      <c r="A1924" s="8" t="inlineStr">
        <is>
          <t>WHAP-1920</t>
        </is>
      </c>
      <c r="B1924" s="8" t="inlineStr">
        <is>
          <t>MOT-1920</t>
        </is>
      </c>
      <c r="C1924" s="8" t="inlineStr">
        <is>
          <t>protection de culbuteur</t>
        </is>
      </c>
      <c r="D1924" s="8" t="inlineStr">
        <is>
          <t>Moteur</t>
        </is>
      </c>
      <c r="E1924" s="8" t="inlineStr">
        <is>
          <t>Moteur</t>
        </is>
      </c>
      <c r="F1924" s="8" t="inlineStr">
        <is>
          <t>PIECE_VEHICULE</t>
        </is>
      </c>
      <c r="G1924" s="8" t="inlineStr">
        <is>
          <t>unité</t>
        </is>
      </c>
      <c r="H1924" s="8" t="inlineStr">
        <is>
          <t>LARGE</t>
        </is>
      </c>
      <c r="I1924" s="8" t="n">
        <v>0</v>
      </c>
      <c r="J1924" s="8" t="inlineStr">
        <is>
          <t>F-03-03</t>
        </is>
      </c>
      <c r="K1924" s="8" t="inlineStr"/>
      <c r="L1924" s="10" t="n">
        <v>0</v>
      </c>
      <c r="M1924" s="10" t="n">
        <v>0</v>
      </c>
      <c r="N1924" s="10" t="n">
        <v>12</v>
      </c>
      <c r="O1924" s="8" t="inlineStr">
        <is>
          <t>YZK</t>
        </is>
      </c>
      <c r="P1924" s="8" t="inlineStr">
        <is>
          <t>CRITIQUE</t>
        </is>
      </c>
      <c r="Q1924" s="8" t="inlineStr">
        <is>
          <t>WHAP</t>
        </is>
      </c>
      <c r="R1924" s="8" t="inlineStr">
        <is>
          <t>OUI</t>
        </is>
      </c>
      <c r="S1924" s="8" t="inlineStr">
        <is>
          <t>31/08/2026 02:59</t>
        </is>
      </c>
    </row>
    <row r="1925">
      <c r="A1925" s="7" t="inlineStr">
        <is>
          <t>WHAP-1921</t>
        </is>
      </c>
      <c r="B1925" s="7" t="inlineStr">
        <is>
          <t>MOT-1921</t>
        </is>
      </c>
      <c r="C1925" s="7" t="inlineStr">
        <is>
          <t>capteur de culbuteur</t>
        </is>
      </c>
      <c r="D1925" s="7" t="inlineStr">
        <is>
          <t>Moteur</t>
        </is>
      </c>
      <c r="E1925" s="7" t="inlineStr">
        <is>
          <t>Moteur</t>
        </is>
      </c>
      <c r="F1925" s="7" t="inlineStr">
        <is>
          <t>PIECE_VEHICULE</t>
        </is>
      </c>
      <c r="G1925" s="7" t="inlineStr">
        <is>
          <t>unité</t>
        </is>
      </c>
      <c r="H1925" s="7" t="inlineStr">
        <is>
          <t>LARGE</t>
        </is>
      </c>
      <c r="I1925" s="7" t="n">
        <v>0</v>
      </c>
      <c r="J1925" s="7" t="inlineStr">
        <is>
          <t>E-05-02</t>
        </is>
      </c>
      <c r="K1925" s="7" t="inlineStr"/>
      <c r="L1925" s="9" t="n">
        <v>0</v>
      </c>
      <c r="M1925" s="9" t="n">
        <v>0</v>
      </c>
      <c r="N1925" s="9" t="n">
        <v>17</v>
      </c>
      <c r="O1925" s="7" t="inlineStr">
        <is>
          <t>SUM</t>
        </is>
      </c>
      <c r="P1925" s="7" t="inlineStr">
        <is>
          <t>CRITIQUE</t>
        </is>
      </c>
      <c r="Q1925" s="7" t="inlineStr">
        <is>
          <t>WHAP</t>
        </is>
      </c>
      <c r="R1925" s="7" t="inlineStr">
        <is>
          <t>OUI</t>
        </is>
      </c>
      <c r="S1925" s="7" t="inlineStr">
        <is>
          <t>31/08/2026 02:59</t>
        </is>
      </c>
    </row>
    <row r="1926">
      <c r="A1926" s="8" t="inlineStr">
        <is>
          <t>WHAP-1922</t>
        </is>
      </c>
      <c r="B1926" s="8" t="inlineStr">
        <is>
          <t>MOT-1922</t>
        </is>
      </c>
      <c r="C1926" s="8" t="inlineStr">
        <is>
          <t>actionneur de culbuteur</t>
        </is>
      </c>
      <c r="D1926" s="8" t="inlineStr">
        <is>
          <t>Moteur</t>
        </is>
      </c>
      <c r="E1926" s="8" t="inlineStr">
        <is>
          <t>Moteur</t>
        </is>
      </c>
      <c r="F1926" s="8" t="inlineStr">
        <is>
          <t>PIECE_VEHICULE</t>
        </is>
      </c>
      <c r="G1926" s="8" t="inlineStr">
        <is>
          <t>unité</t>
        </is>
      </c>
      <c r="H1926" s="8" t="inlineStr">
        <is>
          <t>LARGE</t>
        </is>
      </c>
      <c r="I1926" s="8" t="n">
        <v>0</v>
      </c>
      <c r="J1926" s="8" t="inlineStr">
        <is>
          <t>A-01-02</t>
        </is>
      </c>
      <c r="K1926" s="8" t="inlineStr"/>
      <c r="L1926" s="10" t="n">
        <v>0</v>
      </c>
      <c r="M1926" s="10" t="n">
        <v>0</v>
      </c>
      <c r="N1926" s="10" t="n">
        <v>19</v>
      </c>
      <c r="O1926" s="8" t="inlineStr">
        <is>
          <t>SUM</t>
        </is>
      </c>
      <c r="P1926" s="8" t="inlineStr">
        <is>
          <t>CRITIQUE</t>
        </is>
      </c>
      <c r="Q1926" s="8" t="inlineStr">
        <is>
          <t>WHAP</t>
        </is>
      </c>
      <c r="R1926" s="8" t="inlineStr">
        <is>
          <t>OUI</t>
        </is>
      </c>
      <c r="S1926" s="8" t="inlineStr">
        <is>
          <t>31/08/2026 02:59</t>
        </is>
      </c>
    </row>
    <row r="1927">
      <c r="A1927" s="7" t="inlineStr">
        <is>
          <t>WHAP-1923</t>
        </is>
      </c>
      <c r="B1927" s="7" t="inlineStr">
        <is>
          <t>MOT-1923</t>
        </is>
      </c>
      <c r="C1927" s="7" t="inlineStr">
        <is>
          <t>raccord de culbuteur</t>
        </is>
      </c>
      <c r="D1927" s="7" t="inlineStr">
        <is>
          <t>Moteur</t>
        </is>
      </c>
      <c r="E1927" s="7" t="inlineStr">
        <is>
          <t>Moteur</t>
        </is>
      </c>
      <c r="F1927" s="7" t="inlineStr">
        <is>
          <t>PIECE_VEHICULE</t>
        </is>
      </c>
      <c r="G1927" s="7" t="inlineStr">
        <is>
          <t>unité</t>
        </is>
      </c>
      <c r="H1927" s="7" t="inlineStr">
        <is>
          <t>LARGE</t>
        </is>
      </c>
      <c r="I1927" s="7" t="n">
        <v>0</v>
      </c>
      <c r="J1927" s="7" t="inlineStr">
        <is>
          <t>A-05-03</t>
        </is>
      </c>
      <c r="K1927" s="7" t="inlineStr"/>
      <c r="L1927" s="9" t="n">
        <v>0</v>
      </c>
      <c r="M1927" s="9" t="n">
        <v>0</v>
      </c>
      <c r="N1927" s="9" t="n">
        <v>15</v>
      </c>
      <c r="O1927" s="7" t="inlineStr">
        <is>
          <t>SUM</t>
        </is>
      </c>
      <c r="P1927" s="7" t="inlineStr">
        <is>
          <t>CRITIQUE</t>
        </is>
      </c>
      <c r="Q1927" s="7" t="inlineStr">
        <is>
          <t>WHAP</t>
        </is>
      </c>
      <c r="R1927" s="7" t="inlineStr">
        <is>
          <t>OUI</t>
        </is>
      </c>
      <c r="S1927" s="7" t="inlineStr">
        <is>
          <t>31/08/2026 02:59</t>
        </is>
      </c>
    </row>
    <row r="1928">
      <c r="A1928" s="8" t="inlineStr">
        <is>
          <t>WHAP-1924</t>
        </is>
      </c>
      <c r="B1928" s="8" t="inlineStr">
        <is>
          <t>MOT-1924</t>
        </is>
      </c>
      <c r="C1928" s="8" t="inlineStr">
        <is>
          <t>plaque de culbuteur</t>
        </is>
      </c>
      <c r="D1928" s="8" t="inlineStr">
        <is>
          <t>Moteur</t>
        </is>
      </c>
      <c r="E1928" s="8" t="inlineStr">
        <is>
          <t>Moteur</t>
        </is>
      </c>
      <c r="F1928" s="8" t="inlineStr">
        <is>
          <t>PIECE_VEHICULE</t>
        </is>
      </c>
      <c r="G1928" s="8" t="inlineStr">
        <is>
          <t>unité</t>
        </is>
      </c>
      <c r="H1928" s="8" t="inlineStr">
        <is>
          <t>LARGE</t>
        </is>
      </c>
      <c r="I1928" s="8" t="n">
        <v>0</v>
      </c>
      <c r="J1928" s="8" t="inlineStr">
        <is>
          <t>B-06-02</t>
        </is>
      </c>
      <c r="K1928" s="8" t="inlineStr"/>
      <c r="L1928" s="10" t="n">
        <v>0</v>
      </c>
      <c r="M1928" s="10" t="n">
        <v>0</v>
      </c>
      <c r="N1928" s="10" t="n">
        <v>19</v>
      </c>
      <c r="O1928" s="8" t="inlineStr">
        <is>
          <t>FAU</t>
        </is>
      </c>
      <c r="P1928" s="8" t="inlineStr">
        <is>
          <t>CRITIQUE</t>
        </is>
      </c>
      <c r="Q1928" s="8" t="inlineStr">
        <is>
          <t>WHAP</t>
        </is>
      </c>
      <c r="R1928" s="8" t="inlineStr">
        <is>
          <t>OUI</t>
        </is>
      </c>
      <c r="S1928" s="8" t="inlineStr">
        <is>
          <t>31/08/2026 02:59</t>
        </is>
      </c>
    </row>
    <row r="1929">
      <c r="A1929" s="7" t="inlineStr">
        <is>
          <t>WHAP-1925</t>
        </is>
      </c>
      <c r="B1929" s="7" t="inlineStr">
        <is>
          <t>MOT-1925</t>
        </is>
      </c>
      <c r="C1929" s="7" t="inlineStr">
        <is>
          <t>couvercle de culbuteur</t>
        </is>
      </c>
      <c r="D1929" s="7" t="inlineStr">
        <is>
          <t>Moteur</t>
        </is>
      </c>
      <c r="E1929" s="7" t="inlineStr">
        <is>
          <t>Moteur</t>
        </is>
      </c>
      <c r="F1929" s="7" t="inlineStr">
        <is>
          <t>PIECE_VEHICULE</t>
        </is>
      </c>
      <c r="G1929" s="7" t="inlineStr">
        <is>
          <t>unité</t>
        </is>
      </c>
      <c r="H1929" s="7" t="inlineStr">
        <is>
          <t>LARGE</t>
        </is>
      </c>
      <c r="I1929" s="7" t="n">
        <v>0</v>
      </c>
      <c r="J1929" s="7" t="inlineStr">
        <is>
          <t>E-03-02</t>
        </is>
      </c>
      <c r="K1929" s="7" t="inlineStr"/>
      <c r="L1929" s="9" t="n">
        <v>0</v>
      </c>
      <c r="M1929" s="9" t="n">
        <v>0</v>
      </c>
      <c r="N1929" s="9" t="n">
        <v>10</v>
      </c>
      <c r="O1929" s="7" t="inlineStr">
        <is>
          <t>DEL</t>
        </is>
      </c>
      <c r="P1929" s="7" t="inlineStr">
        <is>
          <t>CRITIQUE</t>
        </is>
      </c>
      <c r="Q1929" s="7" t="inlineStr">
        <is>
          <t>WHAP</t>
        </is>
      </c>
      <c r="R1929" s="7" t="inlineStr">
        <is>
          <t>OUI</t>
        </is>
      </c>
      <c r="S1929" s="7" t="inlineStr">
        <is>
          <t>31/08/2026 02:59</t>
        </is>
      </c>
    </row>
    <row r="1930">
      <c r="A1930" s="8" t="inlineStr">
        <is>
          <t>WHAP-1926</t>
        </is>
      </c>
      <c r="B1930" s="8" t="inlineStr">
        <is>
          <t>MOT-1926</t>
        </is>
      </c>
      <c r="C1930" s="8" t="inlineStr">
        <is>
          <t>bague de culbuteur</t>
        </is>
      </c>
      <c r="D1930" s="8" t="inlineStr">
        <is>
          <t>Moteur</t>
        </is>
      </c>
      <c r="E1930" s="8" t="inlineStr">
        <is>
          <t>Moteur</t>
        </is>
      </c>
      <c r="F1930" s="8" t="inlineStr">
        <is>
          <t>PIECE_VEHICULE</t>
        </is>
      </c>
      <c r="G1930" s="8" t="inlineStr">
        <is>
          <t>unité</t>
        </is>
      </c>
      <c r="H1930" s="8" t="inlineStr">
        <is>
          <t>LARGE</t>
        </is>
      </c>
      <c r="I1930" s="8" t="n">
        <v>0</v>
      </c>
      <c r="J1930" s="8" t="inlineStr">
        <is>
          <t>F-02-01</t>
        </is>
      </c>
      <c r="K1930" s="8" t="inlineStr"/>
      <c r="L1930" s="10" t="n">
        <v>0</v>
      </c>
      <c r="M1930" s="10" t="n">
        <v>0</v>
      </c>
      <c r="N1930" s="10" t="n">
        <v>12</v>
      </c>
      <c r="O1930" s="8" t="inlineStr">
        <is>
          <t>YZK</t>
        </is>
      </c>
      <c r="P1930" s="8" t="inlineStr">
        <is>
          <t>CRITIQUE</t>
        </is>
      </c>
      <c r="Q1930" s="8" t="inlineStr">
        <is>
          <t>WHAP</t>
        </is>
      </c>
      <c r="R1930" s="8" t="inlineStr">
        <is>
          <t>OUI</t>
        </is>
      </c>
      <c r="S1930" s="8" t="inlineStr">
        <is>
          <t>31/08/2026 02:59</t>
        </is>
      </c>
    </row>
    <row r="1931">
      <c r="A1931" s="7" t="inlineStr">
        <is>
          <t>WHAP-1927</t>
        </is>
      </c>
      <c r="B1931" s="7" t="inlineStr">
        <is>
          <t>MOT-1927</t>
        </is>
      </c>
      <c r="C1931" s="7" t="inlineStr">
        <is>
          <t>entretoise de culbuteur</t>
        </is>
      </c>
      <c r="D1931" s="7" t="inlineStr">
        <is>
          <t>Moteur</t>
        </is>
      </c>
      <c r="E1931" s="7" t="inlineStr">
        <is>
          <t>Moteur</t>
        </is>
      </c>
      <c r="F1931" s="7" t="inlineStr">
        <is>
          <t>PIECE_VEHICULE</t>
        </is>
      </c>
      <c r="G1931" s="7" t="inlineStr">
        <is>
          <t>unité</t>
        </is>
      </c>
      <c r="H1931" s="7" t="inlineStr">
        <is>
          <t>LARGE</t>
        </is>
      </c>
      <c r="I1931" s="7" t="n">
        <v>0</v>
      </c>
      <c r="J1931" s="7" t="inlineStr">
        <is>
          <t>A-04-03</t>
        </is>
      </c>
      <c r="K1931" s="7" t="inlineStr"/>
      <c r="L1931" s="9" t="n">
        <v>0</v>
      </c>
      <c r="M1931" s="9" t="n">
        <v>0</v>
      </c>
      <c r="N1931" s="9" t="n">
        <v>15</v>
      </c>
      <c r="O1931" s="7" t="inlineStr">
        <is>
          <t>MAG</t>
        </is>
      </c>
      <c r="P1931" s="7" t="inlineStr">
        <is>
          <t>CRITIQUE</t>
        </is>
      </c>
      <c r="Q1931" s="7" t="inlineStr">
        <is>
          <t>WHAP</t>
        </is>
      </c>
      <c r="R1931" s="7" t="inlineStr">
        <is>
          <t>OUI</t>
        </is>
      </c>
      <c r="S1931" s="7" t="inlineStr">
        <is>
          <t>31/08/2026 02:59</t>
        </is>
      </c>
    </row>
    <row r="1932">
      <c r="A1932" s="8" t="inlineStr">
        <is>
          <t>WHAP-1928</t>
        </is>
      </c>
      <c r="B1932" s="8" t="inlineStr">
        <is>
          <t>MOT-1928</t>
        </is>
      </c>
      <c r="C1932" s="8" t="inlineStr">
        <is>
          <t>axe de culbuteur</t>
        </is>
      </c>
      <c r="D1932" s="8" t="inlineStr">
        <is>
          <t>Moteur</t>
        </is>
      </c>
      <c r="E1932" s="8" t="inlineStr">
        <is>
          <t>Moteur</t>
        </is>
      </c>
      <c r="F1932" s="8" t="inlineStr">
        <is>
          <t>PIECE_VEHICULE</t>
        </is>
      </c>
      <c r="G1932" s="8" t="inlineStr">
        <is>
          <t>unité</t>
        </is>
      </c>
      <c r="H1932" s="8" t="inlineStr">
        <is>
          <t>LARGE</t>
        </is>
      </c>
      <c r="I1932" s="8" t="n">
        <v>0</v>
      </c>
      <c r="J1932" s="8" t="inlineStr">
        <is>
          <t>A-01-04</t>
        </is>
      </c>
      <c r="K1932" s="8" t="inlineStr"/>
      <c r="L1932" s="10" t="n">
        <v>0</v>
      </c>
      <c r="M1932" s="10" t="n">
        <v>0</v>
      </c>
      <c r="N1932" s="10" t="n">
        <v>10</v>
      </c>
      <c r="O1932" s="8" t="inlineStr">
        <is>
          <t>SUM</t>
        </is>
      </c>
      <c r="P1932" s="8" t="inlineStr">
        <is>
          <t>CRITIQUE</t>
        </is>
      </c>
      <c r="Q1932" s="8" t="inlineStr">
        <is>
          <t>WHAP</t>
        </is>
      </c>
      <c r="R1932" s="8" t="inlineStr">
        <is>
          <t>OUI</t>
        </is>
      </c>
      <c r="S1932" s="8" t="inlineStr">
        <is>
          <t>31/08/2026 02:59</t>
        </is>
      </c>
    </row>
    <row r="1933">
      <c r="A1933" s="7" t="inlineStr">
        <is>
          <t>WHAP-1929</t>
        </is>
      </c>
      <c r="B1933" s="7" t="inlineStr">
        <is>
          <t>MOT-1929</t>
        </is>
      </c>
      <c r="C1933" s="7" t="inlineStr">
        <is>
          <t>poulie de culbuteur</t>
        </is>
      </c>
      <c r="D1933" s="7" t="inlineStr">
        <is>
          <t>Moteur</t>
        </is>
      </c>
      <c r="E1933" s="7" t="inlineStr">
        <is>
          <t>Moteur</t>
        </is>
      </c>
      <c r="F1933" s="7" t="inlineStr">
        <is>
          <t>PIECE_VEHICULE</t>
        </is>
      </c>
      <c r="G1933" s="7" t="inlineStr">
        <is>
          <t>unité</t>
        </is>
      </c>
      <c r="H1933" s="7" t="inlineStr">
        <is>
          <t>LARGE</t>
        </is>
      </c>
      <c r="I1933" s="7" t="n">
        <v>0</v>
      </c>
      <c r="J1933" s="7" t="inlineStr">
        <is>
          <t>D-04-04</t>
        </is>
      </c>
      <c r="K1933" s="7" t="inlineStr"/>
      <c r="L1933" s="9" t="n">
        <v>0</v>
      </c>
      <c r="M1933" s="9" t="n">
        <v>0</v>
      </c>
      <c r="N1933" s="9" t="n">
        <v>11</v>
      </c>
      <c r="O1933" s="7" t="inlineStr">
        <is>
          <t>SKF</t>
        </is>
      </c>
      <c r="P1933" s="7" t="inlineStr">
        <is>
          <t>CRITIQUE</t>
        </is>
      </c>
      <c r="Q1933" s="7" t="inlineStr">
        <is>
          <t>WHAP</t>
        </is>
      </c>
      <c r="R1933" s="7" t="inlineStr">
        <is>
          <t>OUI</t>
        </is>
      </c>
      <c r="S1933" s="7" t="inlineStr">
        <is>
          <t>31/08/2026 02:59</t>
        </is>
      </c>
    </row>
    <row r="1934">
      <c r="A1934" s="8" t="inlineStr">
        <is>
          <t>WHAP-1930</t>
        </is>
      </c>
      <c r="B1934" s="8" t="inlineStr">
        <is>
          <t>MOT-1930</t>
        </is>
      </c>
      <c r="C1934" s="8" t="inlineStr">
        <is>
          <t>pignon de culbuteur</t>
        </is>
      </c>
      <c r="D1934" s="8" t="inlineStr">
        <is>
          <t>Moteur</t>
        </is>
      </c>
      <c r="E1934" s="8" t="inlineStr">
        <is>
          <t>Moteur</t>
        </is>
      </c>
      <c r="F1934" s="8" t="inlineStr">
        <is>
          <t>PIECE_VEHICULE</t>
        </is>
      </c>
      <c r="G1934" s="8" t="inlineStr">
        <is>
          <t>unité</t>
        </is>
      </c>
      <c r="H1934" s="8" t="inlineStr">
        <is>
          <t>LARGE</t>
        </is>
      </c>
      <c r="I1934" s="8" t="n">
        <v>0</v>
      </c>
      <c r="J1934" s="8" t="inlineStr">
        <is>
          <t>F-02-02</t>
        </is>
      </c>
      <c r="K1934" s="8" t="inlineStr"/>
      <c r="L1934" s="10" t="n">
        <v>0</v>
      </c>
      <c r="M1934" s="10" t="n">
        <v>0</v>
      </c>
      <c r="N1934" s="10" t="n">
        <v>13</v>
      </c>
      <c r="O1934" s="8" t="inlineStr">
        <is>
          <t>SKF</t>
        </is>
      </c>
      <c r="P1934" s="8" t="inlineStr">
        <is>
          <t>CRITIQUE</t>
        </is>
      </c>
      <c r="Q1934" s="8" t="inlineStr">
        <is>
          <t>WHAP</t>
        </is>
      </c>
      <c r="R1934" s="8" t="inlineStr">
        <is>
          <t>OUI</t>
        </is>
      </c>
      <c r="S1934" s="8" t="inlineStr">
        <is>
          <t>31/08/2026 02:59</t>
        </is>
      </c>
    </row>
    <row r="1935">
      <c r="A1935" s="7" t="inlineStr">
        <is>
          <t>WHAP-1931</t>
        </is>
      </c>
      <c r="B1935" s="7" t="inlineStr">
        <is>
          <t>MOT-1931</t>
        </is>
      </c>
      <c r="C1935" s="7" t="inlineStr">
        <is>
          <t>ensemble de soupape d'admission</t>
        </is>
      </c>
      <c r="D1935" s="7" t="inlineStr">
        <is>
          <t>Moteur</t>
        </is>
      </c>
      <c r="E1935" s="7" t="inlineStr">
        <is>
          <t>Moteur</t>
        </is>
      </c>
      <c r="F1935" s="7" t="inlineStr">
        <is>
          <t>PIECE_VEHICULE</t>
        </is>
      </c>
      <c r="G1935" s="7" t="inlineStr">
        <is>
          <t>unité</t>
        </is>
      </c>
      <c r="H1935" s="7" t="inlineStr">
        <is>
          <t>LARGE</t>
        </is>
      </c>
      <c r="I1935" s="7" t="n">
        <v>0</v>
      </c>
      <c r="J1935" s="7" t="inlineStr">
        <is>
          <t>F-01-04</t>
        </is>
      </c>
      <c r="K1935" s="7" t="inlineStr"/>
      <c r="L1935" s="9" t="n">
        <v>0</v>
      </c>
      <c r="M1935" s="9" t="n">
        <v>0</v>
      </c>
      <c r="N1935" s="9" t="n">
        <v>14</v>
      </c>
      <c r="O1935" s="7" t="inlineStr">
        <is>
          <t>CTL</t>
        </is>
      </c>
      <c r="P1935" s="7" t="inlineStr">
        <is>
          <t>CRITIQUE</t>
        </is>
      </c>
      <c r="Q1935" s="7" t="inlineStr">
        <is>
          <t>WHAP</t>
        </is>
      </c>
      <c r="R1935" s="7" t="inlineStr">
        <is>
          <t>OUI</t>
        </is>
      </c>
      <c r="S1935" s="7" t="inlineStr">
        <is>
          <t>31/08/2026 02:59</t>
        </is>
      </c>
    </row>
    <row r="1936">
      <c r="A1936" s="8" t="inlineStr">
        <is>
          <t>WHAP-1932</t>
        </is>
      </c>
      <c r="B1936" s="8" t="inlineStr">
        <is>
          <t>MOT-1932</t>
        </is>
      </c>
      <c r="C1936" s="8" t="inlineStr">
        <is>
          <t>kit de soupape d'admission</t>
        </is>
      </c>
      <c r="D1936" s="8" t="inlineStr">
        <is>
          <t>Moteur</t>
        </is>
      </c>
      <c r="E1936" s="8" t="inlineStr">
        <is>
          <t>Moteur</t>
        </is>
      </c>
      <c r="F1936" s="8" t="inlineStr">
        <is>
          <t>PIECE_VEHICULE</t>
        </is>
      </c>
      <c r="G1936" s="8" t="inlineStr">
        <is>
          <t>unité</t>
        </is>
      </c>
      <c r="H1936" s="8" t="inlineStr">
        <is>
          <t>LARGE</t>
        </is>
      </c>
      <c r="I1936" s="8" t="n">
        <v>0</v>
      </c>
      <c r="J1936" s="8" t="inlineStr">
        <is>
          <t>A-04-01</t>
        </is>
      </c>
      <c r="K1936" s="8" t="inlineStr"/>
      <c r="L1936" s="10" t="n">
        <v>0</v>
      </c>
      <c r="M1936" s="10" t="n">
        <v>0</v>
      </c>
      <c r="N1936" s="10" t="n">
        <v>11</v>
      </c>
      <c r="O1936" s="8" t="inlineStr">
        <is>
          <t>DEL</t>
        </is>
      </c>
      <c r="P1936" s="8" t="inlineStr">
        <is>
          <t>CRITIQUE</t>
        </is>
      </c>
      <c r="Q1936" s="8" t="inlineStr">
        <is>
          <t>WHAP</t>
        </is>
      </c>
      <c r="R1936" s="8" t="inlineStr">
        <is>
          <t>OUI</t>
        </is>
      </c>
      <c r="S1936" s="8" t="inlineStr">
        <is>
          <t>31/08/2026 02:59</t>
        </is>
      </c>
    </row>
    <row r="1937">
      <c r="A1937" s="7" t="inlineStr">
        <is>
          <t>WHAP-1933</t>
        </is>
      </c>
      <c r="B1937" s="7" t="inlineStr">
        <is>
          <t>MOT-1933</t>
        </is>
      </c>
      <c r="C1937" s="7" t="inlineStr">
        <is>
          <t>support de soupape d'admission</t>
        </is>
      </c>
      <c r="D1937" s="7" t="inlineStr">
        <is>
          <t>Moteur</t>
        </is>
      </c>
      <c r="E1937" s="7" t="inlineStr">
        <is>
          <t>Moteur</t>
        </is>
      </c>
      <c r="F1937" s="7" t="inlineStr">
        <is>
          <t>PIECE_VEHICULE</t>
        </is>
      </c>
      <c r="G1937" s="7" t="inlineStr">
        <is>
          <t>unité</t>
        </is>
      </c>
      <c r="H1937" s="7" t="inlineStr">
        <is>
          <t>LARGE</t>
        </is>
      </c>
      <c r="I1937" s="7" t="n">
        <v>0</v>
      </c>
      <c r="J1937" s="7" t="inlineStr">
        <is>
          <t>B-04-04</t>
        </is>
      </c>
      <c r="K1937" s="7" t="inlineStr"/>
      <c r="L1937" s="9" t="n">
        <v>0</v>
      </c>
      <c r="M1937" s="9" t="n">
        <v>0</v>
      </c>
      <c r="N1937" s="9" t="n">
        <v>16</v>
      </c>
      <c r="O1937" s="7" t="inlineStr">
        <is>
          <t>FAU</t>
        </is>
      </c>
      <c r="P1937" s="7" t="inlineStr">
        <is>
          <t>CRITIQUE</t>
        </is>
      </c>
      <c r="Q1937" s="7" t="inlineStr">
        <is>
          <t>WHAP</t>
        </is>
      </c>
      <c r="R1937" s="7" t="inlineStr">
        <is>
          <t>OUI</t>
        </is>
      </c>
      <c r="S1937" s="7" t="inlineStr">
        <is>
          <t>31/08/2026 02:59</t>
        </is>
      </c>
    </row>
    <row r="1938">
      <c r="A1938" s="8" t="inlineStr">
        <is>
          <t>WHAP-1934</t>
        </is>
      </c>
      <c r="B1938" s="8" t="inlineStr">
        <is>
          <t>MOT-1934</t>
        </is>
      </c>
      <c r="C1938" s="8" t="inlineStr">
        <is>
          <t>boîtier de soupape d'admission</t>
        </is>
      </c>
      <c r="D1938" s="8" t="inlineStr">
        <is>
          <t>Moteur</t>
        </is>
      </c>
      <c r="E1938" s="8" t="inlineStr">
        <is>
          <t>Moteur</t>
        </is>
      </c>
      <c r="F1938" s="8" t="inlineStr">
        <is>
          <t>PIECE_VEHICULE</t>
        </is>
      </c>
      <c r="G1938" s="8" t="inlineStr">
        <is>
          <t>unité</t>
        </is>
      </c>
      <c r="H1938" s="8" t="inlineStr">
        <is>
          <t>LARGE</t>
        </is>
      </c>
      <c r="I1938" s="8" t="n">
        <v>0</v>
      </c>
      <c r="J1938" s="8" t="inlineStr">
        <is>
          <t>E-02-01</t>
        </is>
      </c>
      <c r="K1938" s="8" t="inlineStr"/>
      <c r="L1938" s="10" t="n">
        <v>0</v>
      </c>
      <c r="M1938" s="10" t="n">
        <v>0</v>
      </c>
      <c r="N1938" s="10" t="n">
        <v>16</v>
      </c>
      <c r="O1938" s="8" t="inlineStr">
        <is>
          <t>SUM</t>
        </is>
      </c>
      <c r="P1938" s="8" t="inlineStr">
        <is>
          <t>CRITIQUE</t>
        </is>
      </c>
      <c r="Q1938" s="8" t="inlineStr">
        <is>
          <t>WHAP</t>
        </is>
      </c>
      <c r="R1938" s="8" t="inlineStr">
        <is>
          <t>OUI</t>
        </is>
      </c>
      <c r="S1938" s="8" t="inlineStr">
        <is>
          <t>31/08/2026 02:59</t>
        </is>
      </c>
    </row>
    <row r="1939">
      <c r="A1939" s="7" t="inlineStr">
        <is>
          <t>WHAP-1935</t>
        </is>
      </c>
      <c r="B1939" s="7" t="inlineStr">
        <is>
          <t>MOT-1935</t>
        </is>
      </c>
      <c r="C1939" s="7" t="inlineStr">
        <is>
          <t>module de soupape d'admission</t>
        </is>
      </c>
      <c r="D1939" s="7" t="inlineStr">
        <is>
          <t>Moteur</t>
        </is>
      </c>
      <c r="E1939" s="7" t="inlineStr">
        <is>
          <t>Moteur</t>
        </is>
      </c>
      <c r="F1939" s="7" t="inlineStr">
        <is>
          <t>PIECE_VEHICULE</t>
        </is>
      </c>
      <c r="G1939" s="7" t="inlineStr">
        <is>
          <t>unité</t>
        </is>
      </c>
      <c r="H1939" s="7" t="inlineStr">
        <is>
          <t>LARGE</t>
        </is>
      </c>
      <c r="I1939" s="7" t="n">
        <v>0</v>
      </c>
      <c r="J1939" s="7" t="inlineStr">
        <is>
          <t>B-05-02</t>
        </is>
      </c>
      <c r="K1939" s="7" t="inlineStr"/>
      <c r="L1939" s="9" t="n">
        <v>0</v>
      </c>
      <c r="M1939" s="9" t="n">
        <v>0</v>
      </c>
      <c r="N1939" s="9" t="n">
        <v>19</v>
      </c>
      <c r="O1939" s="7" t="inlineStr">
        <is>
          <t>FAU</t>
        </is>
      </c>
      <c r="P1939" s="7" t="inlineStr">
        <is>
          <t>CRITIQUE</t>
        </is>
      </c>
      <c r="Q1939" s="7" t="inlineStr">
        <is>
          <t>WHAP</t>
        </is>
      </c>
      <c r="R1939" s="7" t="inlineStr">
        <is>
          <t>OUI</t>
        </is>
      </c>
      <c r="S1939" s="7" t="inlineStr">
        <is>
          <t>31/08/2026 02:59</t>
        </is>
      </c>
    </row>
    <row r="1940">
      <c r="A1940" s="8" t="inlineStr">
        <is>
          <t>WHAP-1936</t>
        </is>
      </c>
      <c r="B1940" s="8" t="inlineStr">
        <is>
          <t>MOT-1936</t>
        </is>
      </c>
      <c r="C1940" s="8" t="inlineStr">
        <is>
          <t>câblage de soupape d'admission</t>
        </is>
      </c>
      <c r="D1940" s="8" t="inlineStr">
        <is>
          <t>Moteur</t>
        </is>
      </c>
      <c r="E1940" s="8" t="inlineStr">
        <is>
          <t>Moteur</t>
        </is>
      </c>
      <c r="F1940" s="8" t="inlineStr">
        <is>
          <t>PIECE_VEHICULE</t>
        </is>
      </c>
      <c r="G1940" s="8" t="inlineStr">
        <is>
          <t>unité</t>
        </is>
      </c>
      <c r="H1940" s="8" t="inlineStr">
        <is>
          <t>LARGE</t>
        </is>
      </c>
      <c r="I1940" s="8" t="n">
        <v>0</v>
      </c>
      <c r="J1940" s="8" t="inlineStr">
        <is>
          <t>B-01-04</t>
        </is>
      </c>
      <c r="K1940" s="8" t="inlineStr"/>
      <c r="L1940" s="10" t="n">
        <v>0</v>
      </c>
      <c r="M1940" s="10" t="n">
        <v>0</v>
      </c>
      <c r="N1940" s="10" t="n">
        <v>12</v>
      </c>
      <c r="O1940" s="8" t="inlineStr">
        <is>
          <t>CTL</t>
        </is>
      </c>
      <c r="P1940" s="8" t="inlineStr">
        <is>
          <t>CRITIQUE</t>
        </is>
      </c>
      <c r="Q1940" s="8" t="inlineStr">
        <is>
          <t>WHAP</t>
        </is>
      </c>
      <c r="R1940" s="8" t="inlineStr">
        <is>
          <t>OUI</t>
        </is>
      </c>
      <c r="S1940" s="8" t="inlineStr">
        <is>
          <t>31/08/2026 02:59</t>
        </is>
      </c>
    </row>
    <row r="1941">
      <c r="A1941" s="7" t="inlineStr">
        <is>
          <t>WHAP-1937</t>
        </is>
      </c>
      <c r="B1941" s="7" t="inlineStr">
        <is>
          <t>MOT-1937</t>
        </is>
      </c>
      <c r="C1941" s="7" t="inlineStr">
        <is>
          <t>connecteur de soupape d'admission</t>
        </is>
      </c>
      <c r="D1941" s="7" t="inlineStr">
        <is>
          <t>Moteur</t>
        </is>
      </c>
      <c r="E1941" s="7" t="inlineStr">
        <is>
          <t>Moteur</t>
        </is>
      </c>
      <c r="F1941" s="7" t="inlineStr">
        <is>
          <t>PIECE_VEHICULE</t>
        </is>
      </c>
      <c r="G1941" s="7" t="inlineStr">
        <is>
          <t>unité</t>
        </is>
      </c>
      <c r="H1941" s="7" t="inlineStr">
        <is>
          <t>LARGE</t>
        </is>
      </c>
      <c r="I1941" s="7" t="n">
        <v>0</v>
      </c>
      <c r="J1941" s="7" t="inlineStr">
        <is>
          <t>F-04-04</t>
        </is>
      </c>
      <c r="K1941" s="7" t="inlineStr"/>
      <c r="L1941" s="9" t="n">
        <v>0</v>
      </c>
      <c r="M1941" s="9" t="n">
        <v>0</v>
      </c>
      <c r="N1941" s="9" t="n">
        <v>19</v>
      </c>
      <c r="O1941" s="7" t="inlineStr">
        <is>
          <t>FAU</t>
        </is>
      </c>
      <c r="P1941" s="7" t="inlineStr">
        <is>
          <t>CRITIQUE</t>
        </is>
      </c>
      <c r="Q1941" s="7" t="inlineStr">
        <is>
          <t>WHAP</t>
        </is>
      </c>
      <c r="R1941" s="7" t="inlineStr">
        <is>
          <t>OUI</t>
        </is>
      </c>
      <c r="S1941" s="7" t="inlineStr">
        <is>
          <t>31/08/2026 02:59</t>
        </is>
      </c>
    </row>
    <row r="1942">
      <c r="A1942" s="8" t="inlineStr">
        <is>
          <t>WHAP-1938</t>
        </is>
      </c>
      <c r="B1942" s="8" t="inlineStr">
        <is>
          <t>MOT-1938</t>
        </is>
      </c>
      <c r="C1942" s="8" t="inlineStr">
        <is>
          <t>joint de soupape d'admission</t>
        </is>
      </c>
      <c r="D1942" s="8" t="inlineStr">
        <is>
          <t>Moteur</t>
        </is>
      </c>
      <c r="E1942" s="8" t="inlineStr">
        <is>
          <t>Moteur</t>
        </is>
      </c>
      <c r="F1942" s="8" t="inlineStr">
        <is>
          <t>PIECE_VEHICULE</t>
        </is>
      </c>
      <c r="G1942" s="8" t="inlineStr">
        <is>
          <t>unité</t>
        </is>
      </c>
      <c r="H1942" s="8" t="inlineStr">
        <is>
          <t>LARGE</t>
        </is>
      </c>
      <c r="I1942" s="8" t="n">
        <v>0</v>
      </c>
      <c r="J1942" s="8" t="inlineStr">
        <is>
          <t>B-02-02</t>
        </is>
      </c>
      <c r="K1942" s="8" t="inlineStr"/>
      <c r="L1942" s="10" t="n">
        <v>0</v>
      </c>
      <c r="M1942" s="10" t="n">
        <v>0</v>
      </c>
      <c r="N1942" s="10" t="n">
        <v>14</v>
      </c>
      <c r="O1942" s="8" t="inlineStr">
        <is>
          <t>FAU</t>
        </is>
      </c>
      <c r="P1942" s="8" t="inlineStr">
        <is>
          <t>CRITIQUE</t>
        </is>
      </c>
      <c r="Q1942" s="8" t="inlineStr">
        <is>
          <t>WHAP</t>
        </is>
      </c>
      <c r="R1942" s="8" t="inlineStr">
        <is>
          <t>OUI</t>
        </is>
      </c>
      <c r="S1942" s="8" t="inlineStr">
        <is>
          <t>31/08/2026 02:59</t>
        </is>
      </c>
    </row>
    <row r="1943">
      <c r="A1943" s="7" t="inlineStr">
        <is>
          <t>WHAP-1939</t>
        </is>
      </c>
      <c r="B1943" s="7" t="inlineStr">
        <is>
          <t>MOT-1939</t>
        </is>
      </c>
      <c r="C1943" s="7" t="inlineStr">
        <is>
          <t>fixation de soupape d'admission</t>
        </is>
      </c>
      <c r="D1943" s="7" t="inlineStr">
        <is>
          <t>Moteur</t>
        </is>
      </c>
      <c r="E1943" s="7" t="inlineStr">
        <is>
          <t>Moteur</t>
        </is>
      </c>
      <c r="F1943" s="7" t="inlineStr">
        <is>
          <t>PIECE_VEHICULE</t>
        </is>
      </c>
      <c r="G1943" s="7" t="inlineStr">
        <is>
          <t>unité</t>
        </is>
      </c>
      <c r="H1943" s="7" t="inlineStr">
        <is>
          <t>LARGE</t>
        </is>
      </c>
      <c r="I1943" s="7" t="n">
        <v>0</v>
      </c>
      <c r="J1943" s="7" t="inlineStr">
        <is>
          <t>A-01-03</t>
        </is>
      </c>
      <c r="K1943" s="7" t="inlineStr"/>
      <c r="L1943" s="9" t="n">
        <v>0</v>
      </c>
      <c r="M1943" s="9" t="n">
        <v>0</v>
      </c>
      <c r="N1943" s="9" t="n">
        <v>10</v>
      </c>
      <c r="O1943" s="7" t="inlineStr">
        <is>
          <t>BOS</t>
        </is>
      </c>
      <c r="P1943" s="7" t="inlineStr">
        <is>
          <t>CRITIQUE</t>
        </is>
      </c>
      <c r="Q1943" s="7" t="inlineStr">
        <is>
          <t>WHAP</t>
        </is>
      </c>
      <c r="R1943" s="7" t="inlineStr">
        <is>
          <t>OUI</t>
        </is>
      </c>
      <c r="S1943" s="7" t="inlineStr">
        <is>
          <t>31/08/2026 02:59</t>
        </is>
      </c>
    </row>
    <row r="1944">
      <c r="A1944" s="8" t="inlineStr">
        <is>
          <t>WHAP-1940</t>
        </is>
      </c>
      <c r="B1944" s="8" t="inlineStr">
        <is>
          <t>MOT-1940</t>
        </is>
      </c>
      <c r="C1944" s="8" t="inlineStr">
        <is>
          <t>protection de soupape d'admission</t>
        </is>
      </c>
      <c r="D1944" s="8" t="inlineStr">
        <is>
          <t>Moteur</t>
        </is>
      </c>
      <c r="E1944" s="8" t="inlineStr">
        <is>
          <t>Moteur</t>
        </is>
      </c>
      <c r="F1944" s="8" t="inlineStr">
        <is>
          <t>PIECE_VEHICULE</t>
        </is>
      </c>
      <c r="G1944" s="8" t="inlineStr">
        <is>
          <t>unité</t>
        </is>
      </c>
      <c r="H1944" s="8" t="inlineStr">
        <is>
          <t>LARGE</t>
        </is>
      </c>
      <c r="I1944" s="8" t="n">
        <v>0</v>
      </c>
      <c r="J1944" s="8" t="inlineStr">
        <is>
          <t>C-03-03</t>
        </is>
      </c>
      <c r="K1944" s="8" t="inlineStr"/>
      <c r="L1944" s="10" t="n">
        <v>0</v>
      </c>
      <c r="M1944" s="10" t="n">
        <v>0</v>
      </c>
      <c r="N1944" s="10" t="n">
        <v>11</v>
      </c>
      <c r="O1944" s="8" t="inlineStr">
        <is>
          <t>HEL</t>
        </is>
      </c>
      <c r="P1944" s="8" t="inlineStr">
        <is>
          <t>CRITIQUE</t>
        </is>
      </c>
      <c r="Q1944" s="8" t="inlineStr">
        <is>
          <t>WHAP</t>
        </is>
      </c>
      <c r="R1944" s="8" t="inlineStr">
        <is>
          <t>OUI</t>
        </is>
      </c>
      <c r="S1944" s="8" t="inlineStr">
        <is>
          <t>31/08/2026 02:59</t>
        </is>
      </c>
    </row>
    <row r="1945">
      <c r="A1945" s="7" t="inlineStr">
        <is>
          <t>WHAP-1941</t>
        </is>
      </c>
      <c r="B1945" s="7" t="inlineStr">
        <is>
          <t>MOT-1941</t>
        </is>
      </c>
      <c r="C1945" s="7" t="inlineStr">
        <is>
          <t>capteur de soupape d'admission</t>
        </is>
      </c>
      <c r="D1945" s="7" t="inlineStr">
        <is>
          <t>Moteur</t>
        </is>
      </c>
      <c r="E1945" s="7" t="inlineStr">
        <is>
          <t>Moteur</t>
        </is>
      </c>
      <c r="F1945" s="7" t="inlineStr">
        <is>
          <t>PIECE_VEHICULE</t>
        </is>
      </c>
      <c r="G1945" s="7" t="inlineStr">
        <is>
          <t>unité</t>
        </is>
      </c>
      <c r="H1945" s="7" t="inlineStr">
        <is>
          <t>LARGE</t>
        </is>
      </c>
      <c r="I1945" s="7" t="n">
        <v>0</v>
      </c>
      <c r="J1945" s="7" t="inlineStr">
        <is>
          <t>A-01-02</t>
        </is>
      </c>
      <c r="K1945" s="7" t="inlineStr"/>
      <c r="L1945" s="9" t="n">
        <v>0</v>
      </c>
      <c r="M1945" s="9" t="n">
        <v>0</v>
      </c>
      <c r="N1945" s="9" t="n">
        <v>11</v>
      </c>
      <c r="O1945" s="7" t="inlineStr">
        <is>
          <t>HEL</t>
        </is>
      </c>
      <c r="P1945" s="7" t="inlineStr">
        <is>
          <t>CRITIQUE</t>
        </is>
      </c>
      <c r="Q1945" s="7" t="inlineStr">
        <is>
          <t>WHAP</t>
        </is>
      </c>
      <c r="R1945" s="7" t="inlineStr">
        <is>
          <t>OUI</t>
        </is>
      </c>
      <c r="S1945" s="7" t="inlineStr">
        <is>
          <t>31/08/2026 02:59</t>
        </is>
      </c>
    </row>
    <row r="1946">
      <c r="A1946" s="8" t="inlineStr">
        <is>
          <t>WHAP-1942</t>
        </is>
      </c>
      <c r="B1946" s="8" t="inlineStr">
        <is>
          <t>MOT-1942</t>
        </is>
      </c>
      <c r="C1946" s="8" t="inlineStr">
        <is>
          <t>actionneur de soupape d'admission</t>
        </is>
      </c>
      <c r="D1946" s="8" t="inlineStr">
        <is>
          <t>Moteur</t>
        </is>
      </c>
      <c r="E1946" s="8" t="inlineStr">
        <is>
          <t>Moteur</t>
        </is>
      </c>
      <c r="F1946" s="8" t="inlineStr">
        <is>
          <t>PIECE_VEHICULE</t>
        </is>
      </c>
      <c r="G1946" s="8" t="inlineStr">
        <is>
          <t>unité</t>
        </is>
      </c>
      <c r="H1946" s="8" t="inlineStr">
        <is>
          <t>LARGE</t>
        </is>
      </c>
      <c r="I1946" s="8" t="n">
        <v>0</v>
      </c>
      <c r="J1946" s="8" t="inlineStr">
        <is>
          <t>B-04-03</t>
        </is>
      </c>
      <c r="K1946" s="8" t="inlineStr"/>
      <c r="L1946" s="10" t="n">
        <v>0</v>
      </c>
      <c r="M1946" s="10" t="n">
        <v>0</v>
      </c>
      <c r="N1946" s="10" t="n">
        <v>13</v>
      </c>
      <c r="O1946" s="8" t="inlineStr">
        <is>
          <t>FAU</t>
        </is>
      </c>
      <c r="P1946" s="8" t="inlineStr">
        <is>
          <t>CRITIQUE</t>
        </is>
      </c>
      <c r="Q1946" s="8" t="inlineStr">
        <is>
          <t>WHAP</t>
        </is>
      </c>
      <c r="R1946" s="8" t="inlineStr">
        <is>
          <t>OUI</t>
        </is>
      </c>
      <c r="S1946" s="8" t="inlineStr">
        <is>
          <t>31/08/2026 02:59</t>
        </is>
      </c>
    </row>
    <row r="1947">
      <c r="A1947" s="7" t="inlineStr">
        <is>
          <t>WHAP-1943</t>
        </is>
      </c>
      <c r="B1947" s="7" t="inlineStr">
        <is>
          <t>MOT-1943</t>
        </is>
      </c>
      <c r="C1947" s="7" t="inlineStr">
        <is>
          <t>raccord de soupape d'admission</t>
        </is>
      </c>
      <c r="D1947" s="7" t="inlineStr">
        <is>
          <t>Moteur</t>
        </is>
      </c>
      <c r="E1947" s="7" t="inlineStr">
        <is>
          <t>Moteur</t>
        </is>
      </c>
      <c r="F1947" s="7" t="inlineStr">
        <is>
          <t>PIECE_VEHICULE</t>
        </is>
      </c>
      <c r="G1947" s="7" t="inlineStr">
        <is>
          <t>unité</t>
        </is>
      </c>
      <c r="H1947" s="7" t="inlineStr">
        <is>
          <t>LARGE</t>
        </is>
      </c>
      <c r="I1947" s="7" t="n">
        <v>0</v>
      </c>
      <c r="J1947" s="7" t="inlineStr">
        <is>
          <t>A-02-03</t>
        </is>
      </c>
      <c r="K1947" s="7" t="inlineStr"/>
      <c r="L1947" s="9" t="n">
        <v>0</v>
      </c>
      <c r="M1947" s="9" t="n">
        <v>0</v>
      </c>
      <c r="N1947" s="9" t="n">
        <v>15</v>
      </c>
      <c r="O1947" s="7" t="inlineStr">
        <is>
          <t>HEL</t>
        </is>
      </c>
      <c r="P1947" s="7" t="inlineStr">
        <is>
          <t>CRITIQUE</t>
        </is>
      </c>
      <c r="Q1947" s="7" t="inlineStr">
        <is>
          <t>WHAP</t>
        </is>
      </c>
      <c r="R1947" s="7" t="inlineStr">
        <is>
          <t>OUI</t>
        </is>
      </c>
      <c r="S1947" s="7" t="inlineStr">
        <is>
          <t>31/08/2026 02:59</t>
        </is>
      </c>
    </row>
    <row r="1948">
      <c r="A1948" s="8" t="inlineStr">
        <is>
          <t>WHAP-1944</t>
        </is>
      </c>
      <c r="B1948" s="8" t="inlineStr">
        <is>
          <t>MOT-1944</t>
        </is>
      </c>
      <c r="C1948" s="8" t="inlineStr">
        <is>
          <t>plaque de soupape d'admission</t>
        </is>
      </c>
      <c r="D1948" s="8" t="inlineStr">
        <is>
          <t>Moteur</t>
        </is>
      </c>
      <c r="E1948" s="8" t="inlineStr">
        <is>
          <t>Moteur</t>
        </is>
      </c>
      <c r="F1948" s="8" t="inlineStr">
        <is>
          <t>PIECE_VEHICULE</t>
        </is>
      </c>
      <c r="G1948" s="8" t="inlineStr">
        <is>
          <t>unité</t>
        </is>
      </c>
      <c r="H1948" s="8" t="inlineStr">
        <is>
          <t>LARGE</t>
        </is>
      </c>
      <c r="I1948" s="8" t="n">
        <v>0</v>
      </c>
      <c r="J1948" s="8" t="inlineStr">
        <is>
          <t>A-06-03</t>
        </is>
      </c>
      <c r="K1948" s="8" t="inlineStr"/>
      <c r="L1948" s="10" t="n">
        <v>0</v>
      </c>
      <c r="M1948" s="10" t="n">
        <v>0</v>
      </c>
      <c r="N1948" s="10" t="n">
        <v>19</v>
      </c>
      <c r="O1948" s="8" t="inlineStr">
        <is>
          <t>BOS</t>
        </is>
      </c>
      <c r="P1948" s="8" t="inlineStr">
        <is>
          <t>CRITIQUE</t>
        </is>
      </c>
      <c r="Q1948" s="8" t="inlineStr">
        <is>
          <t>WHAP</t>
        </is>
      </c>
      <c r="R1948" s="8" t="inlineStr">
        <is>
          <t>OUI</t>
        </is>
      </c>
      <c r="S1948" s="8" t="inlineStr">
        <is>
          <t>31/08/2026 02:59</t>
        </is>
      </c>
    </row>
    <row r="1949">
      <c r="A1949" s="7" t="inlineStr">
        <is>
          <t>WHAP-1945</t>
        </is>
      </c>
      <c r="B1949" s="7" t="inlineStr">
        <is>
          <t>MOT-1945</t>
        </is>
      </c>
      <c r="C1949" s="7" t="inlineStr">
        <is>
          <t>couvercle de soupape d'admission</t>
        </is>
      </c>
      <c r="D1949" s="7" t="inlineStr">
        <is>
          <t>Moteur</t>
        </is>
      </c>
      <c r="E1949" s="7" t="inlineStr">
        <is>
          <t>Moteur</t>
        </is>
      </c>
      <c r="F1949" s="7" t="inlineStr">
        <is>
          <t>PIECE_VEHICULE</t>
        </is>
      </c>
      <c r="G1949" s="7" t="inlineStr">
        <is>
          <t>unité</t>
        </is>
      </c>
      <c r="H1949" s="7" t="inlineStr">
        <is>
          <t>LARGE</t>
        </is>
      </c>
      <c r="I1949" s="7" t="n">
        <v>0</v>
      </c>
      <c r="J1949" s="7" t="inlineStr">
        <is>
          <t>D-05-03</t>
        </is>
      </c>
      <c r="K1949" s="7" t="inlineStr"/>
      <c r="L1949" s="9" t="n">
        <v>0</v>
      </c>
      <c r="M1949" s="9" t="n">
        <v>0</v>
      </c>
      <c r="N1949" s="9" t="n">
        <v>15</v>
      </c>
      <c r="O1949" s="7" t="inlineStr">
        <is>
          <t>CTL</t>
        </is>
      </c>
      <c r="P1949" s="7" t="inlineStr">
        <is>
          <t>CRITIQUE</t>
        </is>
      </c>
      <c r="Q1949" s="7" t="inlineStr">
        <is>
          <t>WHAP</t>
        </is>
      </c>
      <c r="R1949" s="7" t="inlineStr">
        <is>
          <t>OUI</t>
        </is>
      </c>
      <c r="S1949" s="7" t="inlineStr">
        <is>
          <t>31/08/2026 02:59</t>
        </is>
      </c>
    </row>
    <row r="1950">
      <c r="A1950" s="8" t="inlineStr">
        <is>
          <t>WHAP-1946</t>
        </is>
      </c>
      <c r="B1950" s="8" t="inlineStr">
        <is>
          <t>MOT-1946</t>
        </is>
      </c>
      <c r="C1950" s="8" t="inlineStr">
        <is>
          <t>bague de soupape d'admission</t>
        </is>
      </c>
      <c r="D1950" s="8" t="inlineStr">
        <is>
          <t>Moteur</t>
        </is>
      </c>
      <c r="E1950" s="8" t="inlineStr">
        <is>
          <t>Moteur</t>
        </is>
      </c>
      <c r="F1950" s="8" t="inlineStr">
        <is>
          <t>PIECE_VEHICULE</t>
        </is>
      </c>
      <c r="G1950" s="8" t="inlineStr">
        <is>
          <t>unité</t>
        </is>
      </c>
      <c r="H1950" s="8" t="inlineStr">
        <is>
          <t>LARGE</t>
        </is>
      </c>
      <c r="I1950" s="8" t="n">
        <v>0</v>
      </c>
      <c r="J1950" s="8" t="inlineStr">
        <is>
          <t>F-03-02</t>
        </is>
      </c>
      <c r="K1950" s="8" t="inlineStr"/>
      <c r="L1950" s="10" t="n">
        <v>0</v>
      </c>
      <c r="M1950" s="10" t="n">
        <v>0</v>
      </c>
      <c r="N1950" s="10" t="n">
        <v>20</v>
      </c>
      <c r="O1950" s="8" t="inlineStr">
        <is>
          <t>CTL</t>
        </is>
      </c>
      <c r="P1950" s="8" t="inlineStr">
        <is>
          <t>CRITIQUE</t>
        </is>
      </c>
      <c r="Q1950" s="8" t="inlineStr">
        <is>
          <t>WHAP</t>
        </is>
      </c>
      <c r="R1950" s="8" t="inlineStr">
        <is>
          <t>OUI</t>
        </is>
      </c>
      <c r="S1950" s="8" t="inlineStr">
        <is>
          <t>31/08/2026 02:59</t>
        </is>
      </c>
    </row>
    <row r="1951">
      <c r="A1951" s="7" t="inlineStr">
        <is>
          <t>WHAP-1947</t>
        </is>
      </c>
      <c r="B1951" s="7" t="inlineStr">
        <is>
          <t>MOT-1947</t>
        </is>
      </c>
      <c r="C1951" s="7" t="inlineStr">
        <is>
          <t>entretoise de soupape d'admission</t>
        </is>
      </c>
      <c r="D1951" s="7" t="inlineStr">
        <is>
          <t>Moteur</t>
        </is>
      </c>
      <c r="E1951" s="7" t="inlineStr">
        <is>
          <t>Moteur</t>
        </is>
      </c>
      <c r="F1951" s="7" t="inlineStr">
        <is>
          <t>PIECE_VEHICULE</t>
        </is>
      </c>
      <c r="G1951" s="7" t="inlineStr">
        <is>
          <t>unité</t>
        </is>
      </c>
      <c r="H1951" s="7" t="inlineStr">
        <is>
          <t>LARGE</t>
        </is>
      </c>
      <c r="I1951" s="7" t="n">
        <v>0</v>
      </c>
      <c r="J1951" s="7" t="inlineStr">
        <is>
          <t>E-06-02</t>
        </is>
      </c>
      <c r="K1951" s="7" t="inlineStr"/>
      <c r="L1951" s="9" t="n">
        <v>0</v>
      </c>
      <c r="M1951" s="9" t="n">
        <v>0</v>
      </c>
      <c r="N1951" s="9" t="n">
        <v>17</v>
      </c>
      <c r="O1951" s="7" t="inlineStr">
        <is>
          <t>HEL</t>
        </is>
      </c>
      <c r="P1951" s="7" t="inlineStr">
        <is>
          <t>CRITIQUE</t>
        </is>
      </c>
      <c r="Q1951" s="7" t="inlineStr">
        <is>
          <t>WHAP</t>
        </is>
      </c>
      <c r="R1951" s="7" t="inlineStr">
        <is>
          <t>OUI</t>
        </is>
      </c>
      <c r="S1951" s="7" t="inlineStr">
        <is>
          <t>31/08/2026 02:59</t>
        </is>
      </c>
    </row>
    <row r="1952">
      <c r="A1952" s="8" t="inlineStr">
        <is>
          <t>WHAP-1948</t>
        </is>
      </c>
      <c r="B1952" s="8" t="inlineStr">
        <is>
          <t>MOT-1948</t>
        </is>
      </c>
      <c r="C1952" s="8" t="inlineStr">
        <is>
          <t>axe de soupape d'admission</t>
        </is>
      </c>
      <c r="D1952" s="8" t="inlineStr">
        <is>
          <t>Moteur</t>
        </is>
      </c>
      <c r="E1952" s="8" t="inlineStr">
        <is>
          <t>Moteur</t>
        </is>
      </c>
      <c r="F1952" s="8" t="inlineStr">
        <is>
          <t>PIECE_VEHICULE</t>
        </is>
      </c>
      <c r="G1952" s="8" t="inlineStr">
        <is>
          <t>unité</t>
        </is>
      </c>
      <c r="H1952" s="8" t="inlineStr">
        <is>
          <t>LARGE</t>
        </is>
      </c>
      <c r="I1952" s="8" t="n">
        <v>0</v>
      </c>
      <c r="J1952" s="8" t="inlineStr">
        <is>
          <t>F-06-01</t>
        </is>
      </c>
      <c r="K1952" s="8" t="inlineStr"/>
      <c r="L1952" s="10" t="n">
        <v>0</v>
      </c>
      <c r="M1952" s="10" t="n">
        <v>0</v>
      </c>
      <c r="N1952" s="10" t="n">
        <v>15</v>
      </c>
      <c r="O1952" s="8" t="inlineStr">
        <is>
          <t>SKF</t>
        </is>
      </c>
      <c r="P1952" s="8" t="inlineStr">
        <is>
          <t>CRITIQUE</t>
        </is>
      </c>
      <c r="Q1952" s="8" t="inlineStr">
        <is>
          <t>WHAP</t>
        </is>
      </c>
      <c r="R1952" s="8" t="inlineStr">
        <is>
          <t>OUI</t>
        </is>
      </c>
      <c r="S1952" s="8" t="inlineStr">
        <is>
          <t>31/08/2026 02:59</t>
        </is>
      </c>
    </row>
    <row r="1953">
      <c r="A1953" s="7" t="inlineStr">
        <is>
          <t>WHAP-1949</t>
        </is>
      </c>
      <c r="B1953" s="7" t="inlineStr">
        <is>
          <t>MOT-1949</t>
        </is>
      </c>
      <c r="C1953" s="7" t="inlineStr">
        <is>
          <t>poulie de soupape d'admission</t>
        </is>
      </c>
      <c r="D1953" s="7" t="inlineStr">
        <is>
          <t>Moteur</t>
        </is>
      </c>
      <c r="E1953" s="7" t="inlineStr">
        <is>
          <t>Moteur</t>
        </is>
      </c>
      <c r="F1953" s="7" t="inlineStr">
        <is>
          <t>PIECE_VEHICULE</t>
        </is>
      </c>
      <c r="G1953" s="7" t="inlineStr">
        <is>
          <t>unité</t>
        </is>
      </c>
      <c r="H1953" s="7" t="inlineStr">
        <is>
          <t>LARGE</t>
        </is>
      </c>
      <c r="I1953" s="7" t="n">
        <v>0</v>
      </c>
      <c r="J1953" s="7" t="inlineStr">
        <is>
          <t>A-02-02</t>
        </is>
      </c>
      <c r="K1953" s="7" t="inlineStr"/>
      <c r="L1953" s="9" t="n">
        <v>0</v>
      </c>
      <c r="M1953" s="9" t="n">
        <v>0</v>
      </c>
      <c r="N1953" s="9" t="n">
        <v>12</v>
      </c>
      <c r="O1953" s="7" t="inlineStr">
        <is>
          <t>HEL</t>
        </is>
      </c>
      <c r="P1953" s="7" t="inlineStr">
        <is>
          <t>CRITIQUE</t>
        </is>
      </c>
      <c r="Q1953" s="7" t="inlineStr">
        <is>
          <t>WHAP</t>
        </is>
      </c>
      <c r="R1953" s="7" t="inlineStr">
        <is>
          <t>OUI</t>
        </is>
      </c>
      <c r="S1953" s="7" t="inlineStr">
        <is>
          <t>31/08/2026 02:59</t>
        </is>
      </c>
    </row>
    <row r="1954">
      <c r="A1954" s="8" t="inlineStr">
        <is>
          <t>WHAP-1950</t>
        </is>
      </c>
      <c r="B1954" s="8" t="inlineStr">
        <is>
          <t>MOT-1950</t>
        </is>
      </c>
      <c r="C1954" s="8" t="inlineStr">
        <is>
          <t>pignon de soupape d'admission</t>
        </is>
      </c>
      <c r="D1954" s="8" t="inlineStr">
        <is>
          <t>Moteur</t>
        </is>
      </c>
      <c r="E1954" s="8" t="inlineStr">
        <is>
          <t>Moteur</t>
        </is>
      </c>
      <c r="F1954" s="8" t="inlineStr">
        <is>
          <t>PIECE_VEHICULE</t>
        </is>
      </c>
      <c r="G1954" s="8" t="inlineStr">
        <is>
          <t>unité</t>
        </is>
      </c>
      <c r="H1954" s="8" t="inlineStr">
        <is>
          <t>LARGE</t>
        </is>
      </c>
      <c r="I1954" s="8" t="n">
        <v>0</v>
      </c>
      <c r="J1954" s="8" t="inlineStr">
        <is>
          <t>F-04-02</t>
        </is>
      </c>
      <c r="K1954" s="8" t="inlineStr"/>
      <c r="L1954" s="10" t="n">
        <v>0</v>
      </c>
      <c r="M1954" s="10" t="n">
        <v>0</v>
      </c>
      <c r="N1954" s="10" t="n">
        <v>18</v>
      </c>
      <c r="O1954" s="8" t="inlineStr">
        <is>
          <t>CTL</t>
        </is>
      </c>
      <c r="P1954" s="8" t="inlineStr">
        <is>
          <t>CRITIQUE</t>
        </is>
      </c>
      <c r="Q1954" s="8" t="inlineStr">
        <is>
          <t>WHAP</t>
        </is>
      </c>
      <c r="R1954" s="8" t="inlineStr">
        <is>
          <t>OUI</t>
        </is>
      </c>
      <c r="S1954" s="8" t="inlineStr">
        <is>
          <t>31/08/2026 02:59</t>
        </is>
      </c>
    </row>
    <row r="1955">
      <c r="A1955" s="7" t="inlineStr">
        <is>
          <t>WHAP-1951</t>
        </is>
      </c>
      <c r="B1955" s="7" t="inlineStr">
        <is>
          <t>MOT-1951</t>
        </is>
      </c>
      <c r="C1955" s="7" t="inlineStr">
        <is>
          <t>ensemble de soupape d'échappement</t>
        </is>
      </c>
      <c r="D1955" s="7" t="inlineStr">
        <is>
          <t>Moteur</t>
        </is>
      </c>
      <c r="E1955" s="7" t="inlineStr">
        <is>
          <t>Moteur</t>
        </is>
      </c>
      <c r="F1955" s="7" t="inlineStr">
        <is>
          <t>PIECE_VEHICULE</t>
        </is>
      </c>
      <c r="G1955" s="7" t="inlineStr">
        <is>
          <t>unité</t>
        </is>
      </c>
      <c r="H1955" s="7" t="inlineStr">
        <is>
          <t>LARGE</t>
        </is>
      </c>
      <c r="I1955" s="7" t="n">
        <v>0</v>
      </c>
      <c r="J1955" s="7" t="inlineStr">
        <is>
          <t>F-04-01</t>
        </is>
      </c>
      <c r="K1955" s="7" t="inlineStr"/>
      <c r="L1955" s="9" t="n">
        <v>0</v>
      </c>
      <c r="M1955" s="9" t="n">
        <v>0</v>
      </c>
      <c r="N1955" s="9" t="n">
        <v>12</v>
      </c>
      <c r="O1955" s="7" t="inlineStr">
        <is>
          <t>YZK</t>
        </is>
      </c>
      <c r="P1955" s="7" t="inlineStr">
        <is>
          <t>CRITIQUE</t>
        </is>
      </c>
      <c r="Q1955" s="7" t="inlineStr">
        <is>
          <t>WHAP</t>
        </is>
      </c>
      <c r="R1955" s="7" t="inlineStr">
        <is>
          <t>OUI</t>
        </is>
      </c>
      <c r="S1955" s="7" t="inlineStr">
        <is>
          <t>31/08/2026 02:59</t>
        </is>
      </c>
    </row>
    <row r="1956">
      <c r="A1956" s="8" t="inlineStr">
        <is>
          <t>WHAP-1952</t>
        </is>
      </c>
      <c r="B1956" s="8" t="inlineStr">
        <is>
          <t>MOT-1952</t>
        </is>
      </c>
      <c r="C1956" s="8" t="inlineStr">
        <is>
          <t>kit de soupape d'échappement</t>
        </is>
      </c>
      <c r="D1956" s="8" t="inlineStr">
        <is>
          <t>Moteur</t>
        </is>
      </c>
      <c r="E1956" s="8" t="inlineStr">
        <is>
          <t>Moteur</t>
        </is>
      </c>
      <c r="F1956" s="8" t="inlineStr">
        <is>
          <t>PIECE_VEHICULE</t>
        </is>
      </c>
      <c r="G1956" s="8" t="inlineStr">
        <is>
          <t>unité</t>
        </is>
      </c>
      <c r="H1956" s="8" t="inlineStr">
        <is>
          <t>LARGE</t>
        </is>
      </c>
      <c r="I1956" s="8" t="n">
        <v>0</v>
      </c>
      <c r="J1956" s="8" t="inlineStr">
        <is>
          <t>B-02-04</t>
        </is>
      </c>
      <c r="K1956" s="8" t="inlineStr"/>
      <c r="L1956" s="10" t="n">
        <v>0</v>
      </c>
      <c r="M1956" s="10" t="n">
        <v>0</v>
      </c>
      <c r="N1956" s="10" t="n">
        <v>13</v>
      </c>
      <c r="O1956" s="8" t="inlineStr">
        <is>
          <t>VAL</t>
        </is>
      </c>
      <c r="P1956" s="8" t="inlineStr">
        <is>
          <t>CRITIQUE</t>
        </is>
      </c>
      <c r="Q1956" s="8" t="inlineStr">
        <is>
          <t>WHAP</t>
        </is>
      </c>
      <c r="R1956" s="8" t="inlineStr">
        <is>
          <t>OUI</t>
        </is>
      </c>
      <c r="S1956" s="8" t="inlineStr">
        <is>
          <t>31/08/2026 02:59</t>
        </is>
      </c>
    </row>
    <row r="1957">
      <c r="A1957" s="7" t="inlineStr">
        <is>
          <t>WHAP-1953</t>
        </is>
      </c>
      <c r="B1957" s="7" t="inlineStr">
        <is>
          <t>MOT-1953</t>
        </is>
      </c>
      <c r="C1957" s="7" t="inlineStr">
        <is>
          <t>support de soupape d'échappement</t>
        </is>
      </c>
      <c r="D1957" s="7" t="inlineStr">
        <is>
          <t>Moteur</t>
        </is>
      </c>
      <c r="E1957" s="7" t="inlineStr">
        <is>
          <t>Moteur</t>
        </is>
      </c>
      <c r="F1957" s="7" t="inlineStr">
        <is>
          <t>PIECE_VEHICULE</t>
        </is>
      </c>
      <c r="G1957" s="7" t="inlineStr">
        <is>
          <t>unité</t>
        </is>
      </c>
      <c r="H1957" s="7" t="inlineStr">
        <is>
          <t>LARGE</t>
        </is>
      </c>
      <c r="I1957" s="7" t="n">
        <v>0</v>
      </c>
      <c r="J1957" s="7" t="inlineStr">
        <is>
          <t>A-04-03</t>
        </is>
      </c>
      <c r="K1957" s="7" t="inlineStr"/>
      <c r="L1957" s="9" t="n">
        <v>0</v>
      </c>
      <c r="M1957" s="9" t="n">
        <v>0</v>
      </c>
      <c r="N1957" s="9" t="n">
        <v>16</v>
      </c>
      <c r="O1957" s="7" t="inlineStr">
        <is>
          <t>BOS</t>
        </is>
      </c>
      <c r="P1957" s="7" t="inlineStr">
        <is>
          <t>CRITIQUE</t>
        </is>
      </c>
      <c r="Q1957" s="7" t="inlineStr">
        <is>
          <t>WHAP</t>
        </is>
      </c>
      <c r="R1957" s="7" t="inlineStr">
        <is>
          <t>OUI</t>
        </is>
      </c>
      <c r="S1957" s="7" t="inlineStr">
        <is>
          <t>31/08/2026 02:59</t>
        </is>
      </c>
    </row>
    <row r="1958">
      <c r="A1958" s="8" t="inlineStr">
        <is>
          <t>WHAP-1954</t>
        </is>
      </c>
      <c r="B1958" s="8" t="inlineStr">
        <is>
          <t>MOT-1954</t>
        </is>
      </c>
      <c r="C1958" s="8" t="inlineStr">
        <is>
          <t>boîtier de soupape d'échappement</t>
        </is>
      </c>
      <c r="D1958" s="8" t="inlineStr">
        <is>
          <t>Moteur</t>
        </is>
      </c>
      <c r="E1958" s="8" t="inlineStr">
        <is>
          <t>Moteur</t>
        </is>
      </c>
      <c r="F1958" s="8" t="inlineStr">
        <is>
          <t>PIECE_VEHICULE</t>
        </is>
      </c>
      <c r="G1958" s="8" t="inlineStr">
        <is>
          <t>unité</t>
        </is>
      </c>
      <c r="H1958" s="8" t="inlineStr">
        <is>
          <t>LARGE</t>
        </is>
      </c>
      <c r="I1958" s="8" t="n">
        <v>0</v>
      </c>
      <c r="J1958" s="8" t="inlineStr">
        <is>
          <t>B-01-03</t>
        </is>
      </c>
      <c r="K1958" s="8" t="inlineStr"/>
      <c r="L1958" s="10" t="n">
        <v>0</v>
      </c>
      <c r="M1958" s="10" t="n">
        <v>0</v>
      </c>
      <c r="N1958" s="10" t="n">
        <v>20</v>
      </c>
      <c r="O1958" s="8" t="inlineStr">
        <is>
          <t>FAU</t>
        </is>
      </c>
      <c r="P1958" s="8" t="inlineStr">
        <is>
          <t>CRITIQUE</t>
        </is>
      </c>
      <c r="Q1958" s="8" t="inlineStr">
        <is>
          <t>WHAP</t>
        </is>
      </c>
      <c r="R1958" s="8" t="inlineStr">
        <is>
          <t>OUI</t>
        </is>
      </c>
      <c r="S1958" s="8" t="inlineStr">
        <is>
          <t>31/08/2026 02:59</t>
        </is>
      </c>
    </row>
    <row r="1959">
      <c r="A1959" s="7" t="inlineStr">
        <is>
          <t>WHAP-1955</t>
        </is>
      </c>
      <c r="B1959" s="7" t="inlineStr">
        <is>
          <t>MOT-1955</t>
        </is>
      </c>
      <c r="C1959" s="7" t="inlineStr">
        <is>
          <t>module de soupape d'échappement</t>
        </is>
      </c>
      <c r="D1959" s="7" t="inlineStr">
        <is>
          <t>Moteur</t>
        </is>
      </c>
      <c r="E1959" s="7" t="inlineStr">
        <is>
          <t>Moteur</t>
        </is>
      </c>
      <c r="F1959" s="7" t="inlineStr">
        <is>
          <t>PIECE_VEHICULE</t>
        </is>
      </c>
      <c r="G1959" s="7" t="inlineStr">
        <is>
          <t>unité</t>
        </is>
      </c>
      <c r="H1959" s="7" t="inlineStr">
        <is>
          <t>LARGE</t>
        </is>
      </c>
      <c r="I1959" s="7" t="n">
        <v>0</v>
      </c>
      <c r="J1959" s="7" t="inlineStr">
        <is>
          <t>B-02-03</t>
        </is>
      </c>
      <c r="K1959" s="7" t="inlineStr"/>
      <c r="L1959" s="9" t="n">
        <v>0</v>
      </c>
      <c r="M1959" s="9" t="n">
        <v>0</v>
      </c>
      <c r="N1959" s="9" t="n">
        <v>15</v>
      </c>
      <c r="O1959" s="7" t="inlineStr">
        <is>
          <t>CTL</t>
        </is>
      </c>
      <c r="P1959" s="7" t="inlineStr">
        <is>
          <t>CRITIQUE</t>
        </is>
      </c>
      <c r="Q1959" s="7" t="inlineStr">
        <is>
          <t>WHAP</t>
        </is>
      </c>
      <c r="R1959" s="7" t="inlineStr">
        <is>
          <t>OUI</t>
        </is>
      </c>
      <c r="S1959" s="7" t="inlineStr">
        <is>
          <t>31/08/2026 02:59</t>
        </is>
      </c>
    </row>
    <row r="1960">
      <c r="A1960" s="8" t="inlineStr">
        <is>
          <t>WHAP-1956</t>
        </is>
      </c>
      <c r="B1960" s="8" t="inlineStr">
        <is>
          <t>MOT-1956</t>
        </is>
      </c>
      <c r="C1960" s="8" t="inlineStr">
        <is>
          <t>câblage de soupape d'échappement</t>
        </is>
      </c>
      <c r="D1960" s="8" t="inlineStr">
        <is>
          <t>Moteur</t>
        </is>
      </c>
      <c r="E1960" s="8" t="inlineStr">
        <is>
          <t>Moteur</t>
        </is>
      </c>
      <c r="F1960" s="8" t="inlineStr">
        <is>
          <t>PIECE_VEHICULE</t>
        </is>
      </c>
      <c r="G1960" s="8" t="inlineStr">
        <is>
          <t>unité</t>
        </is>
      </c>
      <c r="H1960" s="8" t="inlineStr">
        <is>
          <t>LARGE</t>
        </is>
      </c>
      <c r="I1960" s="8" t="n">
        <v>0</v>
      </c>
      <c r="J1960" s="8" t="inlineStr">
        <is>
          <t>A-05-01</t>
        </is>
      </c>
      <c r="K1960" s="8" t="inlineStr"/>
      <c r="L1960" s="10" t="n">
        <v>0</v>
      </c>
      <c r="M1960" s="10" t="n">
        <v>0</v>
      </c>
      <c r="N1960" s="10" t="n">
        <v>18</v>
      </c>
      <c r="O1960" s="8" t="inlineStr">
        <is>
          <t>BOS</t>
        </is>
      </c>
      <c r="P1960" s="8" t="inlineStr">
        <is>
          <t>CRITIQUE</t>
        </is>
      </c>
      <c r="Q1960" s="8" t="inlineStr">
        <is>
          <t>WHAP</t>
        </is>
      </c>
      <c r="R1960" s="8" t="inlineStr">
        <is>
          <t>OUI</t>
        </is>
      </c>
      <c r="S1960" s="8" t="inlineStr">
        <is>
          <t>31/08/2026 02:59</t>
        </is>
      </c>
    </row>
    <row r="1961">
      <c r="A1961" s="7" t="inlineStr">
        <is>
          <t>WHAP-1957</t>
        </is>
      </c>
      <c r="B1961" s="7" t="inlineStr">
        <is>
          <t>MOT-1957</t>
        </is>
      </c>
      <c r="C1961" s="7" t="inlineStr">
        <is>
          <t>connecteur de soupape d'échappement</t>
        </is>
      </c>
      <c r="D1961" s="7" t="inlineStr">
        <is>
          <t>Moteur</t>
        </is>
      </c>
      <c r="E1961" s="7" t="inlineStr">
        <is>
          <t>Moteur</t>
        </is>
      </c>
      <c r="F1961" s="7" t="inlineStr">
        <is>
          <t>PIECE_VEHICULE</t>
        </is>
      </c>
      <c r="G1961" s="7" t="inlineStr">
        <is>
          <t>unité</t>
        </is>
      </c>
      <c r="H1961" s="7" t="inlineStr">
        <is>
          <t>LARGE</t>
        </is>
      </c>
      <c r="I1961" s="7" t="n">
        <v>0</v>
      </c>
      <c r="J1961" s="7" t="inlineStr">
        <is>
          <t>A-01-02</t>
        </is>
      </c>
      <c r="K1961" s="7" t="inlineStr"/>
      <c r="L1961" s="9" t="n">
        <v>0</v>
      </c>
      <c r="M1961" s="9" t="n">
        <v>0</v>
      </c>
      <c r="N1961" s="9" t="n">
        <v>13</v>
      </c>
      <c r="O1961" s="7" t="inlineStr">
        <is>
          <t>HEL</t>
        </is>
      </c>
      <c r="P1961" s="7" t="inlineStr">
        <is>
          <t>CRITIQUE</t>
        </is>
      </c>
      <c r="Q1961" s="7" t="inlineStr">
        <is>
          <t>WHAP</t>
        </is>
      </c>
      <c r="R1961" s="7" t="inlineStr">
        <is>
          <t>OUI</t>
        </is>
      </c>
      <c r="S1961" s="7" t="inlineStr">
        <is>
          <t>31/08/2026 02:59</t>
        </is>
      </c>
    </row>
    <row r="1962">
      <c r="A1962" s="8" t="inlineStr">
        <is>
          <t>WHAP-1958</t>
        </is>
      </c>
      <c r="B1962" s="8" t="inlineStr">
        <is>
          <t>MOT-1958</t>
        </is>
      </c>
      <c r="C1962" s="8" t="inlineStr">
        <is>
          <t>joint de soupape d'échappement</t>
        </is>
      </c>
      <c r="D1962" s="8" t="inlineStr">
        <is>
          <t>Moteur</t>
        </is>
      </c>
      <c r="E1962" s="8" t="inlineStr">
        <is>
          <t>Moteur</t>
        </is>
      </c>
      <c r="F1962" s="8" t="inlineStr">
        <is>
          <t>PIECE_VEHICULE</t>
        </is>
      </c>
      <c r="G1962" s="8" t="inlineStr">
        <is>
          <t>unité</t>
        </is>
      </c>
      <c r="H1962" s="8" t="inlineStr">
        <is>
          <t>LARGE</t>
        </is>
      </c>
      <c r="I1962" s="8" t="n">
        <v>0</v>
      </c>
      <c r="J1962" s="8" t="inlineStr">
        <is>
          <t>A-02-01</t>
        </is>
      </c>
      <c r="K1962" s="8" t="inlineStr"/>
      <c r="L1962" s="10" t="n">
        <v>0</v>
      </c>
      <c r="M1962" s="10" t="n">
        <v>0</v>
      </c>
      <c r="N1962" s="10" t="n">
        <v>19</v>
      </c>
      <c r="O1962" s="8" t="inlineStr">
        <is>
          <t>HEL</t>
        </is>
      </c>
      <c r="P1962" s="8" t="inlineStr">
        <is>
          <t>CRITIQUE</t>
        </is>
      </c>
      <c r="Q1962" s="8" t="inlineStr">
        <is>
          <t>WHAP</t>
        </is>
      </c>
      <c r="R1962" s="8" t="inlineStr">
        <is>
          <t>OUI</t>
        </is>
      </c>
      <c r="S1962" s="8" t="inlineStr">
        <is>
          <t>31/08/2026 02:59</t>
        </is>
      </c>
    </row>
    <row r="1963">
      <c r="A1963" s="7" t="inlineStr">
        <is>
          <t>WHAP-1959</t>
        </is>
      </c>
      <c r="B1963" s="7" t="inlineStr">
        <is>
          <t>MOT-1959</t>
        </is>
      </c>
      <c r="C1963" s="7" t="inlineStr">
        <is>
          <t>fixation de soupape d'échappement</t>
        </is>
      </c>
      <c r="D1963" s="7" t="inlineStr">
        <is>
          <t>Moteur</t>
        </is>
      </c>
      <c r="E1963" s="7" t="inlineStr">
        <is>
          <t>Moteur</t>
        </is>
      </c>
      <c r="F1963" s="7" t="inlineStr">
        <is>
          <t>PIECE_VEHICULE</t>
        </is>
      </c>
      <c r="G1963" s="7" t="inlineStr">
        <is>
          <t>unité</t>
        </is>
      </c>
      <c r="H1963" s="7" t="inlineStr">
        <is>
          <t>LARGE</t>
        </is>
      </c>
      <c r="I1963" s="7" t="n">
        <v>0</v>
      </c>
      <c r="J1963" s="7" t="inlineStr">
        <is>
          <t>C-04-01</t>
        </is>
      </c>
      <c r="K1963" s="7" t="inlineStr"/>
      <c r="L1963" s="9" t="n">
        <v>0</v>
      </c>
      <c r="M1963" s="9" t="n">
        <v>0</v>
      </c>
      <c r="N1963" s="9" t="n">
        <v>17</v>
      </c>
      <c r="O1963" s="7" t="inlineStr">
        <is>
          <t>SUM</t>
        </is>
      </c>
      <c r="P1963" s="7" t="inlineStr">
        <is>
          <t>CRITIQUE</t>
        </is>
      </c>
      <c r="Q1963" s="7" t="inlineStr">
        <is>
          <t>WHAP</t>
        </is>
      </c>
      <c r="R1963" s="7" t="inlineStr">
        <is>
          <t>OUI</t>
        </is>
      </c>
      <c r="S1963" s="7" t="inlineStr">
        <is>
          <t>31/08/2026 02:59</t>
        </is>
      </c>
    </row>
    <row r="1964">
      <c r="A1964" s="8" t="inlineStr">
        <is>
          <t>WHAP-1960</t>
        </is>
      </c>
      <c r="B1964" s="8" t="inlineStr">
        <is>
          <t>MOT-1960</t>
        </is>
      </c>
      <c r="C1964" s="8" t="inlineStr">
        <is>
          <t>protection de soupape d'échappement</t>
        </is>
      </c>
      <c r="D1964" s="8" t="inlineStr">
        <is>
          <t>Moteur</t>
        </is>
      </c>
      <c r="E1964" s="8" t="inlineStr">
        <is>
          <t>Moteur</t>
        </is>
      </c>
      <c r="F1964" s="8" t="inlineStr">
        <is>
          <t>PIECE_VEHICULE</t>
        </is>
      </c>
      <c r="G1964" s="8" t="inlineStr">
        <is>
          <t>unité</t>
        </is>
      </c>
      <c r="H1964" s="8" t="inlineStr">
        <is>
          <t>LARGE</t>
        </is>
      </c>
      <c r="I1964" s="8" t="n">
        <v>0</v>
      </c>
      <c r="J1964" s="8" t="inlineStr">
        <is>
          <t>C-04-01</t>
        </is>
      </c>
      <c r="K1964" s="8" t="inlineStr"/>
      <c r="L1964" s="10" t="n">
        <v>0</v>
      </c>
      <c r="M1964" s="10" t="n">
        <v>0</v>
      </c>
      <c r="N1964" s="10" t="n">
        <v>18</v>
      </c>
      <c r="O1964" s="8" t="inlineStr">
        <is>
          <t>MAG</t>
        </is>
      </c>
      <c r="P1964" s="8" t="inlineStr">
        <is>
          <t>CRITIQUE</t>
        </is>
      </c>
      <c r="Q1964" s="8" t="inlineStr">
        <is>
          <t>WHAP</t>
        </is>
      </c>
      <c r="R1964" s="8" t="inlineStr">
        <is>
          <t>OUI</t>
        </is>
      </c>
      <c r="S1964" s="8" t="inlineStr">
        <is>
          <t>31/08/2026 02:59</t>
        </is>
      </c>
    </row>
    <row r="1965">
      <c r="A1965" s="7" t="inlineStr">
        <is>
          <t>WHAP-1961</t>
        </is>
      </c>
      <c r="B1965" s="7" t="inlineStr">
        <is>
          <t>MOT-1961</t>
        </is>
      </c>
      <c r="C1965" s="7" t="inlineStr">
        <is>
          <t>capteur de soupape d'échappement</t>
        </is>
      </c>
      <c r="D1965" s="7" t="inlineStr">
        <is>
          <t>Moteur</t>
        </is>
      </c>
      <c r="E1965" s="7" t="inlineStr">
        <is>
          <t>Moteur</t>
        </is>
      </c>
      <c r="F1965" s="7" t="inlineStr">
        <is>
          <t>PIECE_VEHICULE</t>
        </is>
      </c>
      <c r="G1965" s="7" t="inlineStr">
        <is>
          <t>unité</t>
        </is>
      </c>
      <c r="H1965" s="7" t="inlineStr">
        <is>
          <t>LARGE</t>
        </is>
      </c>
      <c r="I1965" s="7" t="n">
        <v>0</v>
      </c>
      <c r="J1965" s="7" t="inlineStr">
        <is>
          <t>B-02-01</t>
        </is>
      </c>
      <c r="K1965" s="7" t="inlineStr"/>
      <c r="L1965" s="9" t="n">
        <v>0</v>
      </c>
      <c r="M1965" s="9" t="n">
        <v>0</v>
      </c>
      <c r="N1965" s="9" t="n">
        <v>17</v>
      </c>
      <c r="O1965" s="7" t="inlineStr">
        <is>
          <t>SKF</t>
        </is>
      </c>
      <c r="P1965" s="7" t="inlineStr">
        <is>
          <t>CRITIQUE</t>
        </is>
      </c>
      <c r="Q1965" s="7" t="inlineStr">
        <is>
          <t>WHAP</t>
        </is>
      </c>
      <c r="R1965" s="7" t="inlineStr">
        <is>
          <t>OUI</t>
        </is>
      </c>
      <c r="S1965" s="7" t="inlineStr">
        <is>
          <t>31/08/2026 02:59</t>
        </is>
      </c>
    </row>
    <row r="1966">
      <c r="A1966" s="8" t="inlineStr">
        <is>
          <t>WHAP-1962</t>
        </is>
      </c>
      <c r="B1966" s="8" t="inlineStr">
        <is>
          <t>MOT-1962</t>
        </is>
      </c>
      <c r="C1966" s="8" t="inlineStr">
        <is>
          <t>actionneur de soupape d'échappement</t>
        </is>
      </c>
      <c r="D1966" s="8" t="inlineStr">
        <is>
          <t>Moteur</t>
        </is>
      </c>
      <c r="E1966" s="8" t="inlineStr">
        <is>
          <t>Moteur</t>
        </is>
      </c>
      <c r="F1966" s="8" t="inlineStr">
        <is>
          <t>PIECE_VEHICULE</t>
        </is>
      </c>
      <c r="G1966" s="8" t="inlineStr">
        <is>
          <t>unité</t>
        </is>
      </c>
      <c r="H1966" s="8" t="inlineStr">
        <is>
          <t>LARGE</t>
        </is>
      </c>
      <c r="I1966" s="8" t="n">
        <v>0</v>
      </c>
      <c r="J1966" s="8" t="inlineStr">
        <is>
          <t>A-02-03</t>
        </is>
      </c>
      <c r="K1966" s="8" t="inlineStr"/>
      <c r="L1966" s="10" t="n">
        <v>0</v>
      </c>
      <c r="M1966" s="10" t="n">
        <v>0</v>
      </c>
      <c r="N1966" s="10" t="n">
        <v>13</v>
      </c>
      <c r="O1966" s="8" t="inlineStr">
        <is>
          <t>MAG</t>
        </is>
      </c>
      <c r="P1966" s="8" t="inlineStr">
        <is>
          <t>CRITIQUE</t>
        </is>
      </c>
      <c r="Q1966" s="8" t="inlineStr">
        <is>
          <t>WHAP</t>
        </is>
      </c>
      <c r="R1966" s="8" t="inlineStr">
        <is>
          <t>OUI</t>
        </is>
      </c>
      <c r="S1966" s="8" t="inlineStr">
        <is>
          <t>31/08/2026 02:59</t>
        </is>
      </c>
    </row>
    <row r="1967">
      <c r="A1967" s="7" t="inlineStr">
        <is>
          <t>WHAP-1963</t>
        </is>
      </c>
      <c r="B1967" s="7" t="inlineStr">
        <is>
          <t>MOT-1963</t>
        </is>
      </c>
      <c r="C1967" s="7" t="inlineStr">
        <is>
          <t>raccord de soupape d'échappement</t>
        </is>
      </c>
      <c r="D1967" s="7" t="inlineStr">
        <is>
          <t>Moteur</t>
        </is>
      </c>
      <c r="E1967" s="7" t="inlineStr">
        <is>
          <t>Moteur</t>
        </is>
      </c>
      <c r="F1967" s="7" t="inlineStr">
        <is>
          <t>PIECE_VEHICULE</t>
        </is>
      </c>
      <c r="G1967" s="7" t="inlineStr">
        <is>
          <t>unité</t>
        </is>
      </c>
      <c r="H1967" s="7" t="inlineStr">
        <is>
          <t>LARGE</t>
        </is>
      </c>
      <c r="I1967" s="7" t="n">
        <v>0</v>
      </c>
      <c r="J1967" s="7" t="inlineStr">
        <is>
          <t>D-03-02</t>
        </is>
      </c>
      <c r="K1967" s="7" t="inlineStr"/>
      <c r="L1967" s="9" t="n">
        <v>0</v>
      </c>
      <c r="M1967" s="9" t="n">
        <v>0</v>
      </c>
      <c r="N1967" s="9" t="n">
        <v>20</v>
      </c>
      <c r="O1967" s="7" t="inlineStr">
        <is>
          <t>CTL</t>
        </is>
      </c>
      <c r="P1967" s="7" t="inlineStr">
        <is>
          <t>CRITIQUE</t>
        </is>
      </c>
      <c r="Q1967" s="7" t="inlineStr">
        <is>
          <t>WHAP</t>
        </is>
      </c>
      <c r="R1967" s="7" t="inlineStr">
        <is>
          <t>OUI</t>
        </is>
      </c>
      <c r="S1967" s="7" t="inlineStr">
        <is>
          <t>31/08/2026 02:59</t>
        </is>
      </c>
    </row>
    <row r="1968">
      <c r="A1968" s="8" t="inlineStr">
        <is>
          <t>WHAP-1964</t>
        </is>
      </c>
      <c r="B1968" s="8" t="inlineStr">
        <is>
          <t>MOT-1964</t>
        </is>
      </c>
      <c r="C1968" s="8" t="inlineStr">
        <is>
          <t>plaque de soupape d'échappement</t>
        </is>
      </c>
      <c r="D1968" s="8" t="inlineStr">
        <is>
          <t>Moteur</t>
        </is>
      </c>
      <c r="E1968" s="8" t="inlineStr">
        <is>
          <t>Moteur</t>
        </is>
      </c>
      <c r="F1968" s="8" t="inlineStr">
        <is>
          <t>PIECE_VEHICULE</t>
        </is>
      </c>
      <c r="G1968" s="8" t="inlineStr">
        <is>
          <t>unité</t>
        </is>
      </c>
      <c r="H1968" s="8" t="inlineStr">
        <is>
          <t>LARGE</t>
        </is>
      </c>
      <c r="I1968" s="8" t="n">
        <v>0</v>
      </c>
      <c r="J1968" s="8" t="inlineStr">
        <is>
          <t>E-04-01</t>
        </is>
      </c>
      <c r="K1968" s="8" t="inlineStr"/>
      <c r="L1968" s="10" t="n">
        <v>0</v>
      </c>
      <c r="M1968" s="10" t="n">
        <v>0</v>
      </c>
      <c r="N1968" s="10" t="n">
        <v>10</v>
      </c>
      <c r="O1968" s="8" t="inlineStr">
        <is>
          <t>BOS</t>
        </is>
      </c>
      <c r="P1968" s="8" t="inlineStr">
        <is>
          <t>CRITIQUE</t>
        </is>
      </c>
      <c r="Q1968" s="8" t="inlineStr">
        <is>
          <t>WHAP</t>
        </is>
      </c>
      <c r="R1968" s="8" t="inlineStr">
        <is>
          <t>OUI</t>
        </is>
      </c>
      <c r="S1968" s="8" t="inlineStr">
        <is>
          <t>31/08/2026 02:59</t>
        </is>
      </c>
    </row>
    <row r="1969">
      <c r="A1969" s="7" t="inlineStr">
        <is>
          <t>WHAP-1965</t>
        </is>
      </c>
      <c r="B1969" s="7" t="inlineStr">
        <is>
          <t>MOT-1965</t>
        </is>
      </c>
      <c r="C1969" s="7" t="inlineStr">
        <is>
          <t>couvercle de soupape d'échappement</t>
        </is>
      </c>
      <c r="D1969" s="7" t="inlineStr">
        <is>
          <t>Moteur</t>
        </is>
      </c>
      <c r="E1969" s="7" t="inlineStr">
        <is>
          <t>Moteur</t>
        </is>
      </c>
      <c r="F1969" s="7" t="inlineStr">
        <is>
          <t>PIECE_VEHICULE</t>
        </is>
      </c>
      <c r="G1969" s="7" t="inlineStr">
        <is>
          <t>unité</t>
        </is>
      </c>
      <c r="H1969" s="7" t="inlineStr">
        <is>
          <t>LARGE</t>
        </is>
      </c>
      <c r="I1969" s="7" t="n">
        <v>0</v>
      </c>
      <c r="J1969" s="7" t="inlineStr">
        <is>
          <t>F-05-04</t>
        </is>
      </c>
      <c r="K1969" s="7" t="inlineStr"/>
      <c r="L1969" s="9" t="n">
        <v>0</v>
      </c>
      <c r="M1969" s="9" t="n">
        <v>0</v>
      </c>
      <c r="N1969" s="9" t="n">
        <v>19</v>
      </c>
      <c r="O1969" s="7" t="inlineStr">
        <is>
          <t>SKF</t>
        </is>
      </c>
      <c r="P1969" s="7" t="inlineStr">
        <is>
          <t>CRITIQUE</t>
        </is>
      </c>
      <c r="Q1969" s="7" t="inlineStr">
        <is>
          <t>WHAP</t>
        </is>
      </c>
      <c r="R1969" s="7" t="inlineStr">
        <is>
          <t>OUI</t>
        </is>
      </c>
      <c r="S1969" s="7" t="inlineStr">
        <is>
          <t>31/08/2026 02:59</t>
        </is>
      </c>
    </row>
    <row r="1970">
      <c r="A1970" s="8" t="inlineStr">
        <is>
          <t>WHAP-1966</t>
        </is>
      </c>
      <c r="B1970" s="8" t="inlineStr">
        <is>
          <t>MOT-1966</t>
        </is>
      </c>
      <c r="C1970" s="8" t="inlineStr">
        <is>
          <t>bague de soupape d'échappement</t>
        </is>
      </c>
      <c r="D1970" s="8" t="inlineStr">
        <is>
          <t>Moteur</t>
        </is>
      </c>
      <c r="E1970" s="8" t="inlineStr">
        <is>
          <t>Moteur</t>
        </is>
      </c>
      <c r="F1970" s="8" t="inlineStr">
        <is>
          <t>PIECE_VEHICULE</t>
        </is>
      </c>
      <c r="G1970" s="8" t="inlineStr">
        <is>
          <t>unité</t>
        </is>
      </c>
      <c r="H1970" s="8" t="inlineStr">
        <is>
          <t>LARGE</t>
        </is>
      </c>
      <c r="I1970" s="8" t="n">
        <v>0</v>
      </c>
      <c r="J1970" s="8" t="inlineStr">
        <is>
          <t>C-05-03</t>
        </is>
      </c>
      <c r="K1970" s="8" t="inlineStr"/>
      <c r="L1970" s="10" t="n">
        <v>0</v>
      </c>
      <c r="M1970" s="10" t="n">
        <v>0</v>
      </c>
      <c r="N1970" s="10" t="n">
        <v>11</v>
      </c>
      <c r="O1970" s="8" t="inlineStr">
        <is>
          <t>HEL</t>
        </is>
      </c>
      <c r="P1970" s="8" t="inlineStr">
        <is>
          <t>CRITIQUE</t>
        </is>
      </c>
      <c r="Q1970" s="8" t="inlineStr">
        <is>
          <t>WHAP</t>
        </is>
      </c>
      <c r="R1970" s="8" t="inlineStr">
        <is>
          <t>OUI</t>
        </is>
      </c>
      <c r="S1970" s="8" t="inlineStr">
        <is>
          <t>31/08/2026 02:59</t>
        </is>
      </c>
    </row>
    <row r="1971">
      <c r="A1971" s="7" t="inlineStr">
        <is>
          <t>WHAP-1967</t>
        </is>
      </c>
      <c r="B1971" s="7" t="inlineStr">
        <is>
          <t>MOT-1967</t>
        </is>
      </c>
      <c r="C1971" s="7" t="inlineStr">
        <is>
          <t>entretoise de soupape d'échappement</t>
        </is>
      </c>
      <c r="D1971" s="7" t="inlineStr">
        <is>
          <t>Moteur</t>
        </is>
      </c>
      <c r="E1971" s="7" t="inlineStr">
        <is>
          <t>Moteur</t>
        </is>
      </c>
      <c r="F1971" s="7" t="inlineStr">
        <is>
          <t>PIECE_VEHICULE</t>
        </is>
      </c>
      <c r="G1971" s="7" t="inlineStr">
        <is>
          <t>unité</t>
        </is>
      </c>
      <c r="H1971" s="7" t="inlineStr">
        <is>
          <t>LARGE</t>
        </is>
      </c>
      <c r="I1971" s="7" t="n">
        <v>0</v>
      </c>
      <c r="J1971" s="7" t="inlineStr">
        <is>
          <t>A-06-04</t>
        </is>
      </c>
      <c r="K1971" s="7" t="inlineStr"/>
      <c r="L1971" s="9" t="n">
        <v>0</v>
      </c>
      <c r="M1971" s="9" t="n">
        <v>0</v>
      </c>
      <c r="N1971" s="9" t="n">
        <v>11</v>
      </c>
      <c r="O1971" s="7" t="inlineStr">
        <is>
          <t>SUM</t>
        </is>
      </c>
      <c r="P1971" s="7" t="inlineStr">
        <is>
          <t>CRITIQUE</t>
        </is>
      </c>
      <c r="Q1971" s="7" t="inlineStr">
        <is>
          <t>WHAP</t>
        </is>
      </c>
      <c r="R1971" s="7" t="inlineStr">
        <is>
          <t>OUI</t>
        </is>
      </c>
      <c r="S1971" s="7" t="inlineStr">
        <is>
          <t>31/08/2026 02:59</t>
        </is>
      </c>
    </row>
    <row r="1972">
      <c r="A1972" s="8" t="inlineStr">
        <is>
          <t>WHAP-1968</t>
        </is>
      </c>
      <c r="B1972" s="8" t="inlineStr">
        <is>
          <t>MOT-1968</t>
        </is>
      </c>
      <c r="C1972" s="8" t="inlineStr">
        <is>
          <t>axe de soupape d'échappement</t>
        </is>
      </c>
      <c r="D1972" s="8" t="inlineStr">
        <is>
          <t>Moteur</t>
        </is>
      </c>
      <c r="E1972" s="8" t="inlineStr">
        <is>
          <t>Moteur</t>
        </is>
      </c>
      <c r="F1972" s="8" t="inlineStr">
        <is>
          <t>PIECE_VEHICULE</t>
        </is>
      </c>
      <c r="G1972" s="8" t="inlineStr">
        <is>
          <t>unité</t>
        </is>
      </c>
      <c r="H1972" s="8" t="inlineStr">
        <is>
          <t>LARGE</t>
        </is>
      </c>
      <c r="I1972" s="8" t="n">
        <v>0</v>
      </c>
      <c r="J1972" s="8" t="inlineStr">
        <is>
          <t>B-06-02</t>
        </is>
      </c>
      <c r="K1972" s="8" t="inlineStr"/>
      <c r="L1972" s="10" t="n">
        <v>0</v>
      </c>
      <c r="M1972" s="10" t="n">
        <v>0</v>
      </c>
      <c r="N1972" s="10" t="n">
        <v>14</v>
      </c>
      <c r="O1972" s="8" t="inlineStr">
        <is>
          <t>YZK</t>
        </is>
      </c>
      <c r="P1972" s="8" t="inlineStr">
        <is>
          <t>CRITIQUE</t>
        </is>
      </c>
      <c r="Q1972" s="8" t="inlineStr">
        <is>
          <t>WHAP</t>
        </is>
      </c>
      <c r="R1972" s="8" t="inlineStr">
        <is>
          <t>OUI</t>
        </is>
      </c>
      <c r="S1972" s="8" t="inlineStr">
        <is>
          <t>31/08/2026 02:59</t>
        </is>
      </c>
    </row>
    <row r="1973">
      <c r="A1973" s="7" t="inlineStr">
        <is>
          <t>WHAP-1969</t>
        </is>
      </c>
      <c r="B1973" s="7" t="inlineStr">
        <is>
          <t>MOT-1969</t>
        </is>
      </c>
      <c r="C1973" s="7" t="inlineStr">
        <is>
          <t>poulie de soupape d'échappement</t>
        </is>
      </c>
      <c r="D1973" s="7" t="inlineStr">
        <is>
          <t>Moteur</t>
        </is>
      </c>
      <c r="E1973" s="7" t="inlineStr">
        <is>
          <t>Moteur</t>
        </is>
      </c>
      <c r="F1973" s="7" t="inlineStr">
        <is>
          <t>PIECE_VEHICULE</t>
        </is>
      </c>
      <c r="G1973" s="7" t="inlineStr">
        <is>
          <t>unité</t>
        </is>
      </c>
      <c r="H1973" s="7" t="inlineStr">
        <is>
          <t>LARGE</t>
        </is>
      </c>
      <c r="I1973" s="7" t="n">
        <v>0</v>
      </c>
      <c r="J1973" s="7" t="inlineStr">
        <is>
          <t>C-03-04</t>
        </is>
      </c>
      <c r="K1973" s="7" t="inlineStr"/>
      <c r="L1973" s="9" t="n">
        <v>0</v>
      </c>
      <c r="M1973" s="9" t="n">
        <v>0</v>
      </c>
      <c r="N1973" s="9" t="n">
        <v>18</v>
      </c>
      <c r="O1973" s="7" t="inlineStr">
        <is>
          <t>BOS</t>
        </is>
      </c>
      <c r="P1973" s="7" t="inlineStr">
        <is>
          <t>CRITIQUE</t>
        </is>
      </c>
      <c r="Q1973" s="7" t="inlineStr">
        <is>
          <t>WHAP</t>
        </is>
      </c>
      <c r="R1973" s="7" t="inlineStr">
        <is>
          <t>OUI</t>
        </is>
      </c>
      <c r="S1973" s="7" t="inlineStr">
        <is>
          <t>31/08/2026 02:59</t>
        </is>
      </c>
    </row>
    <row r="1974">
      <c r="A1974" s="8" t="inlineStr">
        <is>
          <t>WHAP-1970</t>
        </is>
      </c>
      <c r="B1974" s="8" t="inlineStr">
        <is>
          <t>MOT-1970</t>
        </is>
      </c>
      <c r="C1974" s="8" t="inlineStr">
        <is>
          <t>pignon de soupape d'échappement</t>
        </is>
      </c>
      <c r="D1974" s="8" t="inlineStr">
        <is>
          <t>Moteur</t>
        </is>
      </c>
      <c r="E1974" s="8" t="inlineStr">
        <is>
          <t>Moteur</t>
        </is>
      </c>
      <c r="F1974" s="8" t="inlineStr">
        <is>
          <t>PIECE_VEHICULE</t>
        </is>
      </c>
      <c r="G1974" s="8" t="inlineStr">
        <is>
          <t>unité</t>
        </is>
      </c>
      <c r="H1974" s="8" t="inlineStr">
        <is>
          <t>LARGE</t>
        </is>
      </c>
      <c r="I1974" s="8" t="n">
        <v>0</v>
      </c>
      <c r="J1974" s="8" t="inlineStr">
        <is>
          <t>E-03-02</t>
        </is>
      </c>
      <c r="K1974" s="8" t="inlineStr"/>
      <c r="L1974" s="10" t="n">
        <v>0</v>
      </c>
      <c r="M1974" s="10" t="n">
        <v>0</v>
      </c>
      <c r="N1974" s="10" t="n">
        <v>13</v>
      </c>
      <c r="O1974" s="8" t="inlineStr">
        <is>
          <t>MAG</t>
        </is>
      </c>
      <c r="P1974" s="8" t="inlineStr">
        <is>
          <t>CRITIQUE</t>
        </is>
      </c>
      <c r="Q1974" s="8" t="inlineStr">
        <is>
          <t>WHAP</t>
        </is>
      </c>
      <c r="R1974" s="8" t="inlineStr">
        <is>
          <t>OUI</t>
        </is>
      </c>
      <c r="S1974" s="8" t="inlineStr">
        <is>
          <t>31/08/2026 02:59</t>
        </is>
      </c>
    </row>
    <row r="1975">
      <c r="A1975" s="7" t="inlineStr">
        <is>
          <t>WHAP-1971</t>
        </is>
      </c>
      <c r="B1975" s="7" t="inlineStr">
        <is>
          <t>MOT-1971</t>
        </is>
      </c>
      <c r="C1975" s="7" t="inlineStr">
        <is>
          <t>ensemble de guide de soupape</t>
        </is>
      </c>
      <c r="D1975" s="7" t="inlineStr">
        <is>
          <t>Moteur</t>
        </is>
      </c>
      <c r="E1975" s="7" t="inlineStr">
        <is>
          <t>Moteur</t>
        </is>
      </c>
      <c r="F1975" s="7" t="inlineStr">
        <is>
          <t>PIECE_VEHICULE</t>
        </is>
      </c>
      <c r="G1975" s="7" t="inlineStr">
        <is>
          <t>unité</t>
        </is>
      </c>
      <c r="H1975" s="7" t="inlineStr">
        <is>
          <t>LARGE</t>
        </is>
      </c>
      <c r="I1975" s="7" t="n">
        <v>0</v>
      </c>
      <c r="J1975" s="7" t="inlineStr">
        <is>
          <t>E-02-04</t>
        </is>
      </c>
      <c r="K1975" s="7" t="inlineStr"/>
      <c r="L1975" s="9" t="n">
        <v>0</v>
      </c>
      <c r="M1975" s="9" t="n">
        <v>0</v>
      </c>
      <c r="N1975" s="9" t="n">
        <v>14</v>
      </c>
      <c r="O1975" s="7" t="inlineStr">
        <is>
          <t>HEL</t>
        </is>
      </c>
      <c r="P1975" s="7" t="inlineStr">
        <is>
          <t>CRITIQUE</t>
        </is>
      </c>
      <c r="Q1975" s="7" t="inlineStr">
        <is>
          <t>WHAP</t>
        </is>
      </c>
      <c r="R1975" s="7" t="inlineStr">
        <is>
          <t>OUI</t>
        </is>
      </c>
      <c r="S1975" s="7" t="inlineStr">
        <is>
          <t>31/08/2026 02:59</t>
        </is>
      </c>
    </row>
    <row r="1976">
      <c r="A1976" s="8" t="inlineStr">
        <is>
          <t>WHAP-1972</t>
        </is>
      </c>
      <c r="B1976" s="8" t="inlineStr">
        <is>
          <t>MOT-1972</t>
        </is>
      </c>
      <c r="C1976" s="8" t="inlineStr">
        <is>
          <t>kit de guide de soupape</t>
        </is>
      </c>
      <c r="D1976" s="8" t="inlineStr">
        <is>
          <t>Moteur</t>
        </is>
      </c>
      <c r="E1976" s="8" t="inlineStr">
        <is>
          <t>Moteur</t>
        </is>
      </c>
      <c r="F1976" s="8" t="inlineStr">
        <is>
          <t>PIECE_VEHICULE</t>
        </is>
      </c>
      <c r="G1976" s="8" t="inlineStr">
        <is>
          <t>unité</t>
        </is>
      </c>
      <c r="H1976" s="8" t="inlineStr">
        <is>
          <t>LARGE</t>
        </is>
      </c>
      <c r="I1976" s="8" t="n">
        <v>0</v>
      </c>
      <c r="J1976" s="8" t="inlineStr">
        <is>
          <t>E-04-01</t>
        </is>
      </c>
      <c r="K1976" s="8" t="inlineStr"/>
      <c r="L1976" s="10" t="n">
        <v>0</v>
      </c>
      <c r="M1976" s="10" t="n">
        <v>0</v>
      </c>
      <c r="N1976" s="10" t="n">
        <v>14</v>
      </c>
      <c r="O1976" s="8" t="inlineStr">
        <is>
          <t>HEL</t>
        </is>
      </c>
      <c r="P1976" s="8" t="inlineStr">
        <is>
          <t>CRITIQUE</t>
        </is>
      </c>
      <c r="Q1976" s="8" t="inlineStr">
        <is>
          <t>WHAP</t>
        </is>
      </c>
      <c r="R1976" s="8" t="inlineStr">
        <is>
          <t>OUI</t>
        </is>
      </c>
      <c r="S1976" s="8" t="inlineStr">
        <is>
          <t>31/08/2026 02:59</t>
        </is>
      </c>
    </row>
    <row r="1977">
      <c r="A1977" s="7" t="inlineStr">
        <is>
          <t>WHAP-1973</t>
        </is>
      </c>
      <c r="B1977" s="7" t="inlineStr">
        <is>
          <t>MOT-1973</t>
        </is>
      </c>
      <c r="C1977" s="7" t="inlineStr">
        <is>
          <t>support de guide de soupape</t>
        </is>
      </c>
      <c r="D1977" s="7" t="inlineStr">
        <is>
          <t>Moteur</t>
        </is>
      </c>
      <c r="E1977" s="7" t="inlineStr">
        <is>
          <t>Moteur</t>
        </is>
      </c>
      <c r="F1977" s="7" t="inlineStr">
        <is>
          <t>PIECE_VEHICULE</t>
        </is>
      </c>
      <c r="G1977" s="7" t="inlineStr">
        <is>
          <t>unité</t>
        </is>
      </c>
      <c r="H1977" s="7" t="inlineStr">
        <is>
          <t>LARGE</t>
        </is>
      </c>
      <c r="I1977" s="7" t="n">
        <v>0</v>
      </c>
      <c r="J1977" s="7" t="inlineStr">
        <is>
          <t>C-03-02</t>
        </is>
      </c>
      <c r="K1977" s="7" t="inlineStr"/>
      <c r="L1977" s="9" t="n">
        <v>0</v>
      </c>
      <c r="M1977" s="9" t="n">
        <v>0</v>
      </c>
      <c r="N1977" s="9" t="n">
        <v>12</v>
      </c>
      <c r="O1977" s="7" t="inlineStr">
        <is>
          <t>BOS</t>
        </is>
      </c>
      <c r="P1977" s="7" t="inlineStr">
        <is>
          <t>CRITIQUE</t>
        </is>
      </c>
      <c r="Q1977" s="7" t="inlineStr">
        <is>
          <t>WHAP</t>
        </is>
      </c>
      <c r="R1977" s="7" t="inlineStr">
        <is>
          <t>OUI</t>
        </is>
      </c>
      <c r="S1977" s="7" t="inlineStr">
        <is>
          <t>31/08/2026 02:59</t>
        </is>
      </c>
    </row>
    <row r="1978">
      <c r="A1978" s="8" t="inlineStr">
        <is>
          <t>WHAP-1974</t>
        </is>
      </c>
      <c r="B1978" s="8" t="inlineStr">
        <is>
          <t>MOT-1974</t>
        </is>
      </c>
      <c r="C1978" s="8" t="inlineStr">
        <is>
          <t>boîtier de guide de soupape</t>
        </is>
      </c>
      <c r="D1978" s="8" t="inlineStr">
        <is>
          <t>Moteur</t>
        </is>
      </c>
      <c r="E1978" s="8" t="inlineStr">
        <is>
          <t>Moteur</t>
        </is>
      </c>
      <c r="F1978" s="8" t="inlineStr">
        <is>
          <t>PIECE_VEHICULE</t>
        </is>
      </c>
      <c r="G1978" s="8" t="inlineStr">
        <is>
          <t>unité</t>
        </is>
      </c>
      <c r="H1978" s="8" t="inlineStr">
        <is>
          <t>LARGE</t>
        </is>
      </c>
      <c r="I1978" s="8" t="n">
        <v>0</v>
      </c>
      <c r="J1978" s="8" t="inlineStr">
        <is>
          <t>F-06-03</t>
        </is>
      </c>
      <c r="K1978" s="8" t="inlineStr"/>
      <c r="L1978" s="10" t="n">
        <v>0</v>
      </c>
      <c r="M1978" s="10" t="n">
        <v>0</v>
      </c>
      <c r="N1978" s="10" t="n">
        <v>10</v>
      </c>
      <c r="O1978" s="8" t="inlineStr">
        <is>
          <t>VAL</t>
        </is>
      </c>
      <c r="P1978" s="8" t="inlineStr">
        <is>
          <t>CRITIQUE</t>
        </is>
      </c>
      <c r="Q1978" s="8" t="inlineStr">
        <is>
          <t>WHAP</t>
        </is>
      </c>
      <c r="R1978" s="8" t="inlineStr">
        <is>
          <t>OUI</t>
        </is>
      </c>
      <c r="S1978" s="8" t="inlineStr">
        <is>
          <t>31/08/2026 02:59</t>
        </is>
      </c>
    </row>
    <row r="1979">
      <c r="A1979" s="7" t="inlineStr">
        <is>
          <t>WHAP-1975</t>
        </is>
      </c>
      <c r="B1979" s="7" t="inlineStr">
        <is>
          <t>MOT-1975</t>
        </is>
      </c>
      <c r="C1979" s="7" t="inlineStr">
        <is>
          <t>module de guide de soupape</t>
        </is>
      </c>
      <c r="D1979" s="7" t="inlineStr">
        <is>
          <t>Moteur</t>
        </is>
      </c>
      <c r="E1979" s="7" t="inlineStr">
        <is>
          <t>Moteur</t>
        </is>
      </c>
      <c r="F1979" s="7" t="inlineStr">
        <is>
          <t>PIECE_VEHICULE</t>
        </is>
      </c>
      <c r="G1979" s="7" t="inlineStr">
        <is>
          <t>unité</t>
        </is>
      </c>
      <c r="H1979" s="7" t="inlineStr">
        <is>
          <t>LARGE</t>
        </is>
      </c>
      <c r="I1979" s="7" t="n">
        <v>0</v>
      </c>
      <c r="J1979" s="7" t="inlineStr">
        <is>
          <t>D-06-04</t>
        </is>
      </c>
      <c r="K1979" s="7" t="inlineStr"/>
      <c r="L1979" s="9" t="n">
        <v>0</v>
      </c>
      <c r="M1979" s="9" t="n">
        <v>0</v>
      </c>
      <c r="N1979" s="9" t="n">
        <v>20</v>
      </c>
      <c r="O1979" s="7" t="inlineStr">
        <is>
          <t>CTL</t>
        </is>
      </c>
      <c r="P1979" s="7" t="inlineStr">
        <is>
          <t>CRITIQUE</t>
        </is>
      </c>
      <c r="Q1979" s="7" t="inlineStr">
        <is>
          <t>WHAP</t>
        </is>
      </c>
      <c r="R1979" s="7" t="inlineStr">
        <is>
          <t>OUI</t>
        </is>
      </c>
      <c r="S1979" s="7" t="inlineStr">
        <is>
          <t>31/08/2026 02:59</t>
        </is>
      </c>
    </row>
    <row r="1980">
      <c r="A1980" s="8" t="inlineStr">
        <is>
          <t>WHAP-1976</t>
        </is>
      </c>
      <c r="B1980" s="8" t="inlineStr">
        <is>
          <t>MOT-1976</t>
        </is>
      </c>
      <c r="C1980" s="8" t="inlineStr">
        <is>
          <t>câblage de guide de soupape</t>
        </is>
      </c>
      <c r="D1980" s="8" t="inlineStr">
        <is>
          <t>Moteur</t>
        </is>
      </c>
      <c r="E1980" s="8" t="inlineStr">
        <is>
          <t>Moteur</t>
        </is>
      </c>
      <c r="F1980" s="8" t="inlineStr">
        <is>
          <t>PIECE_VEHICULE</t>
        </is>
      </c>
      <c r="G1980" s="8" t="inlineStr">
        <is>
          <t>unité</t>
        </is>
      </c>
      <c r="H1980" s="8" t="inlineStr">
        <is>
          <t>LARGE</t>
        </is>
      </c>
      <c r="I1980" s="8" t="n">
        <v>0</v>
      </c>
      <c r="J1980" s="8" t="inlineStr">
        <is>
          <t>F-01-01</t>
        </is>
      </c>
      <c r="K1980" s="8" t="inlineStr"/>
      <c r="L1980" s="10" t="n">
        <v>0</v>
      </c>
      <c r="M1980" s="10" t="n">
        <v>0</v>
      </c>
      <c r="N1980" s="10" t="n">
        <v>19</v>
      </c>
      <c r="O1980" s="8" t="inlineStr">
        <is>
          <t>VAL</t>
        </is>
      </c>
      <c r="P1980" s="8" t="inlineStr">
        <is>
          <t>CRITIQUE</t>
        </is>
      </c>
      <c r="Q1980" s="8" t="inlineStr">
        <is>
          <t>WHAP</t>
        </is>
      </c>
      <c r="R1980" s="8" t="inlineStr">
        <is>
          <t>OUI</t>
        </is>
      </c>
      <c r="S1980" s="8" t="inlineStr">
        <is>
          <t>31/08/2026 02:59</t>
        </is>
      </c>
    </row>
    <row r="1981">
      <c r="A1981" s="7" t="inlineStr">
        <is>
          <t>WHAP-1977</t>
        </is>
      </c>
      <c r="B1981" s="7" t="inlineStr">
        <is>
          <t>MOT-1977</t>
        </is>
      </c>
      <c r="C1981" s="7" t="inlineStr">
        <is>
          <t>connecteur de guide de soupape</t>
        </is>
      </c>
      <c r="D1981" s="7" t="inlineStr">
        <is>
          <t>Moteur</t>
        </is>
      </c>
      <c r="E1981" s="7" t="inlineStr">
        <is>
          <t>Moteur</t>
        </is>
      </c>
      <c r="F1981" s="7" t="inlineStr">
        <is>
          <t>PIECE_VEHICULE</t>
        </is>
      </c>
      <c r="G1981" s="7" t="inlineStr">
        <is>
          <t>unité</t>
        </is>
      </c>
      <c r="H1981" s="7" t="inlineStr">
        <is>
          <t>LARGE</t>
        </is>
      </c>
      <c r="I1981" s="7" t="n">
        <v>0</v>
      </c>
      <c r="J1981" s="7" t="inlineStr">
        <is>
          <t>E-06-02</t>
        </is>
      </c>
      <c r="K1981" s="7" t="inlineStr"/>
      <c r="L1981" s="9" t="n">
        <v>0</v>
      </c>
      <c r="M1981" s="9" t="n">
        <v>0</v>
      </c>
      <c r="N1981" s="9" t="n">
        <v>11</v>
      </c>
      <c r="O1981" s="7" t="inlineStr">
        <is>
          <t>SUM</t>
        </is>
      </c>
      <c r="P1981" s="7" t="inlineStr">
        <is>
          <t>CRITIQUE</t>
        </is>
      </c>
      <c r="Q1981" s="7" t="inlineStr">
        <is>
          <t>WHAP</t>
        </is>
      </c>
      <c r="R1981" s="7" t="inlineStr">
        <is>
          <t>OUI</t>
        </is>
      </c>
      <c r="S1981" s="7" t="inlineStr">
        <is>
          <t>31/08/2026 02:59</t>
        </is>
      </c>
    </row>
    <row r="1982">
      <c r="A1982" s="8" t="inlineStr">
        <is>
          <t>WHAP-1978</t>
        </is>
      </c>
      <c r="B1982" s="8" t="inlineStr">
        <is>
          <t>MOT-1978</t>
        </is>
      </c>
      <c r="C1982" s="8" t="inlineStr">
        <is>
          <t>joint de guide de soupape</t>
        </is>
      </c>
      <c r="D1982" s="8" t="inlineStr">
        <is>
          <t>Moteur</t>
        </is>
      </c>
      <c r="E1982" s="8" t="inlineStr">
        <is>
          <t>Moteur</t>
        </is>
      </c>
      <c r="F1982" s="8" t="inlineStr">
        <is>
          <t>PIECE_VEHICULE</t>
        </is>
      </c>
      <c r="G1982" s="8" t="inlineStr">
        <is>
          <t>unité</t>
        </is>
      </c>
      <c r="H1982" s="8" t="inlineStr">
        <is>
          <t>LARGE</t>
        </is>
      </c>
      <c r="I1982" s="8" t="n">
        <v>0</v>
      </c>
      <c r="J1982" s="8" t="inlineStr">
        <is>
          <t>E-02-03</t>
        </is>
      </c>
      <c r="K1982" s="8" t="inlineStr"/>
      <c r="L1982" s="10" t="n">
        <v>0</v>
      </c>
      <c r="M1982" s="10" t="n">
        <v>0</v>
      </c>
      <c r="N1982" s="10" t="n">
        <v>18</v>
      </c>
      <c r="O1982" s="8" t="inlineStr">
        <is>
          <t>BOS</t>
        </is>
      </c>
      <c r="P1982" s="8" t="inlineStr">
        <is>
          <t>CRITIQUE</t>
        </is>
      </c>
      <c r="Q1982" s="8" t="inlineStr">
        <is>
          <t>WHAP</t>
        </is>
      </c>
      <c r="R1982" s="8" t="inlineStr">
        <is>
          <t>OUI</t>
        </is>
      </c>
      <c r="S1982" s="8" t="inlineStr">
        <is>
          <t>31/08/2026 02:59</t>
        </is>
      </c>
    </row>
    <row r="1983">
      <c r="A1983" s="7" t="inlineStr">
        <is>
          <t>WHAP-1979</t>
        </is>
      </c>
      <c r="B1983" s="7" t="inlineStr">
        <is>
          <t>MOT-1979</t>
        </is>
      </c>
      <c r="C1983" s="7" t="inlineStr">
        <is>
          <t>fixation de guide de soupape</t>
        </is>
      </c>
      <c r="D1983" s="7" t="inlineStr">
        <is>
          <t>Moteur</t>
        </is>
      </c>
      <c r="E1983" s="7" t="inlineStr">
        <is>
          <t>Moteur</t>
        </is>
      </c>
      <c r="F1983" s="7" t="inlineStr">
        <is>
          <t>PIECE_VEHICULE</t>
        </is>
      </c>
      <c r="G1983" s="7" t="inlineStr">
        <is>
          <t>unité</t>
        </is>
      </c>
      <c r="H1983" s="7" t="inlineStr">
        <is>
          <t>LARGE</t>
        </is>
      </c>
      <c r="I1983" s="7" t="n">
        <v>0</v>
      </c>
      <c r="J1983" s="7" t="inlineStr">
        <is>
          <t>F-06-02</t>
        </is>
      </c>
      <c r="K1983" s="7" t="inlineStr"/>
      <c r="L1983" s="9" t="n">
        <v>0</v>
      </c>
      <c r="M1983" s="9" t="n">
        <v>0</v>
      </c>
      <c r="N1983" s="9" t="n">
        <v>11</v>
      </c>
      <c r="O1983" s="7" t="inlineStr">
        <is>
          <t>VAL</t>
        </is>
      </c>
      <c r="P1983" s="7" t="inlineStr">
        <is>
          <t>CRITIQUE</t>
        </is>
      </c>
      <c r="Q1983" s="7" t="inlineStr">
        <is>
          <t>WHAP</t>
        </is>
      </c>
      <c r="R1983" s="7" t="inlineStr">
        <is>
          <t>OUI</t>
        </is>
      </c>
      <c r="S1983" s="7" t="inlineStr">
        <is>
          <t>31/08/2026 02:59</t>
        </is>
      </c>
    </row>
    <row r="1984">
      <c r="A1984" s="8" t="inlineStr">
        <is>
          <t>WHAP-1980</t>
        </is>
      </c>
      <c r="B1984" s="8" t="inlineStr">
        <is>
          <t>MOT-1980</t>
        </is>
      </c>
      <c r="C1984" s="8" t="inlineStr">
        <is>
          <t>protection de guide de soupape</t>
        </is>
      </c>
      <c r="D1984" s="8" t="inlineStr">
        <is>
          <t>Moteur</t>
        </is>
      </c>
      <c r="E1984" s="8" t="inlineStr">
        <is>
          <t>Moteur</t>
        </is>
      </c>
      <c r="F1984" s="8" t="inlineStr">
        <is>
          <t>PIECE_VEHICULE</t>
        </is>
      </c>
      <c r="G1984" s="8" t="inlineStr">
        <is>
          <t>unité</t>
        </is>
      </c>
      <c r="H1984" s="8" t="inlineStr">
        <is>
          <t>LARGE</t>
        </is>
      </c>
      <c r="I1984" s="8" t="n">
        <v>0</v>
      </c>
      <c r="J1984" s="8" t="inlineStr">
        <is>
          <t>C-03-01</t>
        </is>
      </c>
      <c r="K1984" s="8" t="inlineStr"/>
      <c r="L1984" s="10" t="n">
        <v>0</v>
      </c>
      <c r="M1984" s="10" t="n">
        <v>0</v>
      </c>
      <c r="N1984" s="10" t="n">
        <v>13</v>
      </c>
      <c r="O1984" s="8" t="inlineStr">
        <is>
          <t>MAG</t>
        </is>
      </c>
      <c r="P1984" s="8" t="inlineStr">
        <is>
          <t>CRITIQUE</t>
        </is>
      </c>
      <c r="Q1984" s="8" t="inlineStr">
        <is>
          <t>WHAP</t>
        </is>
      </c>
      <c r="R1984" s="8" t="inlineStr">
        <is>
          <t>OUI</t>
        </is>
      </c>
      <c r="S1984" s="8" t="inlineStr">
        <is>
          <t>31/08/2026 02:59</t>
        </is>
      </c>
    </row>
    <row r="1985">
      <c r="A1985" s="7" t="inlineStr">
        <is>
          <t>WHAP-1981</t>
        </is>
      </c>
      <c r="B1985" s="7" t="inlineStr">
        <is>
          <t>MOT-1981</t>
        </is>
      </c>
      <c r="C1985" s="7" t="inlineStr">
        <is>
          <t>capteur de guide de soupape</t>
        </is>
      </c>
      <c r="D1985" s="7" t="inlineStr">
        <is>
          <t>Moteur</t>
        </is>
      </c>
      <c r="E1985" s="7" t="inlineStr">
        <is>
          <t>Moteur</t>
        </is>
      </c>
      <c r="F1985" s="7" t="inlineStr">
        <is>
          <t>PIECE_VEHICULE</t>
        </is>
      </c>
      <c r="G1985" s="7" t="inlineStr">
        <is>
          <t>unité</t>
        </is>
      </c>
      <c r="H1985" s="7" t="inlineStr">
        <is>
          <t>LARGE</t>
        </is>
      </c>
      <c r="I1985" s="7" t="n">
        <v>0</v>
      </c>
      <c r="J1985" s="7" t="inlineStr">
        <is>
          <t>F-06-04</t>
        </is>
      </c>
      <c r="K1985" s="7" t="inlineStr"/>
      <c r="L1985" s="9" t="n">
        <v>0</v>
      </c>
      <c r="M1985" s="9" t="n">
        <v>0</v>
      </c>
      <c r="N1985" s="9" t="n">
        <v>16</v>
      </c>
      <c r="O1985" s="7" t="inlineStr">
        <is>
          <t>SKF</t>
        </is>
      </c>
      <c r="P1985" s="7" t="inlineStr">
        <is>
          <t>CRITIQUE</t>
        </is>
      </c>
      <c r="Q1985" s="7" t="inlineStr">
        <is>
          <t>WHAP</t>
        </is>
      </c>
      <c r="R1985" s="7" t="inlineStr">
        <is>
          <t>OUI</t>
        </is>
      </c>
      <c r="S1985" s="7" t="inlineStr">
        <is>
          <t>31/08/2026 02:59</t>
        </is>
      </c>
    </row>
    <row r="1986">
      <c r="A1986" s="8" t="inlineStr">
        <is>
          <t>WHAP-1982</t>
        </is>
      </c>
      <c r="B1986" s="8" t="inlineStr">
        <is>
          <t>MOT-1982</t>
        </is>
      </c>
      <c r="C1986" s="8" t="inlineStr">
        <is>
          <t>actionneur de guide de soupape</t>
        </is>
      </c>
      <c r="D1986" s="8" t="inlineStr">
        <is>
          <t>Moteur</t>
        </is>
      </c>
      <c r="E1986" s="8" t="inlineStr">
        <is>
          <t>Moteur</t>
        </is>
      </c>
      <c r="F1986" s="8" t="inlineStr">
        <is>
          <t>PIECE_VEHICULE</t>
        </is>
      </c>
      <c r="G1986" s="8" t="inlineStr">
        <is>
          <t>unité</t>
        </is>
      </c>
      <c r="H1986" s="8" t="inlineStr">
        <is>
          <t>LARGE</t>
        </is>
      </c>
      <c r="I1986" s="8" t="n">
        <v>0</v>
      </c>
      <c r="J1986" s="8" t="inlineStr">
        <is>
          <t>D-06-02</t>
        </is>
      </c>
      <c r="K1986" s="8" t="inlineStr"/>
      <c r="L1986" s="10" t="n">
        <v>0</v>
      </c>
      <c r="M1986" s="10" t="n">
        <v>0</v>
      </c>
      <c r="N1986" s="10" t="n">
        <v>11</v>
      </c>
      <c r="O1986" s="8" t="inlineStr">
        <is>
          <t>VAL</t>
        </is>
      </c>
      <c r="P1986" s="8" t="inlineStr">
        <is>
          <t>CRITIQUE</t>
        </is>
      </c>
      <c r="Q1986" s="8" t="inlineStr">
        <is>
          <t>WHAP</t>
        </is>
      </c>
      <c r="R1986" s="8" t="inlineStr">
        <is>
          <t>OUI</t>
        </is>
      </c>
      <c r="S1986" s="8" t="inlineStr">
        <is>
          <t>31/08/2026 02:59</t>
        </is>
      </c>
    </row>
    <row r="1987">
      <c r="A1987" s="7" t="inlineStr">
        <is>
          <t>WHAP-1983</t>
        </is>
      </c>
      <c r="B1987" s="7" t="inlineStr">
        <is>
          <t>MOT-1983</t>
        </is>
      </c>
      <c r="C1987" s="7" t="inlineStr">
        <is>
          <t>raccord de guide de soupape</t>
        </is>
      </c>
      <c r="D1987" s="7" t="inlineStr">
        <is>
          <t>Moteur</t>
        </is>
      </c>
      <c r="E1987" s="7" t="inlineStr">
        <is>
          <t>Moteur</t>
        </is>
      </c>
      <c r="F1987" s="7" t="inlineStr">
        <is>
          <t>PIECE_VEHICULE</t>
        </is>
      </c>
      <c r="G1987" s="7" t="inlineStr">
        <is>
          <t>unité</t>
        </is>
      </c>
      <c r="H1987" s="7" t="inlineStr">
        <is>
          <t>LARGE</t>
        </is>
      </c>
      <c r="I1987" s="7" t="n">
        <v>0</v>
      </c>
      <c r="J1987" s="7" t="inlineStr">
        <is>
          <t>B-06-04</t>
        </is>
      </c>
      <c r="K1987" s="7" t="inlineStr"/>
      <c r="L1987" s="9" t="n">
        <v>0</v>
      </c>
      <c r="M1987" s="9" t="n">
        <v>0</v>
      </c>
      <c r="N1987" s="9" t="n">
        <v>16</v>
      </c>
      <c r="O1987" s="7" t="inlineStr">
        <is>
          <t>CTL</t>
        </is>
      </c>
      <c r="P1987" s="7" t="inlineStr">
        <is>
          <t>CRITIQUE</t>
        </is>
      </c>
      <c r="Q1987" s="7" t="inlineStr">
        <is>
          <t>WHAP</t>
        </is>
      </c>
      <c r="R1987" s="7" t="inlineStr">
        <is>
          <t>OUI</t>
        </is>
      </c>
      <c r="S1987" s="7" t="inlineStr">
        <is>
          <t>31/08/2026 02:59</t>
        </is>
      </c>
    </row>
    <row r="1988">
      <c r="A1988" s="8" t="inlineStr">
        <is>
          <t>WHAP-1984</t>
        </is>
      </c>
      <c r="B1988" s="8" t="inlineStr">
        <is>
          <t>MOT-1984</t>
        </is>
      </c>
      <c r="C1988" s="8" t="inlineStr">
        <is>
          <t>plaque de guide de soupape</t>
        </is>
      </c>
      <c r="D1988" s="8" t="inlineStr">
        <is>
          <t>Moteur</t>
        </is>
      </c>
      <c r="E1988" s="8" t="inlineStr">
        <is>
          <t>Moteur</t>
        </is>
      </c>
      <c r="F1988" s="8" t="inlineStr">
        <is>
          <t>PIECE_VEHICULE</t>
        </is>
      </c>
      <c r="G1988" s="8" t="inlineStr">
        <is>
          <t>unité</t>
        </is>
      </c>
      <c r="H1988" s="8" t="inlineStr">
        <is>
          <t>LARGE</t>
        </is>
      </c>
      <c r="I1988" s="8" t="n">
        <v>0</v>
      </c>
      <c r="J1988" s="8" t="inlineStr">
        <is>
          <t>F-04-02</t>
        </is>
      </c>
      <c r="K1988" s="8" t="inlineStr"/>
      <c r="L1988" s="10" t="n">
        <v>0</v>
      </c>
      <c r="M1988" s="10" t="n">
        <v>0</v>
      </c>
      <c r="N1988" s="10" t="n">
        <v>19</v>
      </c>
      <c r="O1988" s="8" t="inlineStr">
        <is>
          <t>YZK</t>
        </is>
      </c>
      <c r="P1988" s="8" t="inlineStr">
        <is>
          <t>CRITIQUE</t>
        </is>
      </c>
      <c r="Q1988" s="8" t="inlineStr">
        <is>
          <t>WHAP</t>
        </is>
      </c>
      <c r="R1988" s="8" t="inlineStr">
        <is>
          <t>OUI</t>
        </is>
      </c>
      <c r="S1988" s="8" t="inlineStr">
        <is>
          <t>31/08/2026 02:59</t>
        </is>
      </c>
    </row>
    <row r="1989">
      <c r="A1989" s="7" t="inlineStr">
        <is>
          <t>WHAP-1985</t>
        </is>
      </c>
      <c r="B1989" s="7" t="inlineStr">
        <is>
          <t>MOT-1985</t>
        </is>
      </c>
      <c r="C1989" s="7" t="inlineStr">
        <is>
          <t>couvercle de guide de soupape</t>
        </is>
      </c>
      <c r="D1989" s="7" t="inlineStr">
        <is>
          <t>Moteur</t>
        </is>
      </c>
      <c r="E1989" s="7" t="inlineStr">
        <is>
          <t>Moteur</t>
        </is>
      </c>
      <c r="F1989" s="7" t="inlineStr">
        <is>
          <t>PIECE_VEHICULE</t>
        </is>
      </c>
      <c r="G1989" s="7" t="inlineStr">
        <is>
          <t>unité</t>
        </is>
      </c>
      <c r="H1989" s="7" t="inlineStr">
        <is>
          <t>LARGE</t>
        </is>
      </c>
      <c r="I1989" s="7" t="n">
        <v>0</v>
      </c>
      <c r="J1989" s="7" t="inlineStr">
        <is>
          <t>E-05-04</t>
        </is>
      </c>
      <c r="K1989" s="7" t="inlineStr"/>
      <c r="L1989" s="9" t="n">
        <v>0</v>
      </c>
      <c r="M1989" s="9" t="n">
        <v>0</v>
      </c>
      <c r="N1989" s="9" t="n">
        <v>14</v>
      </c>
      <c r="O1989" s="7" t="inlineStr">
        <is>
          <t>HEL</t>
        </is>
      </c>
      <c r="P1989" s="7" t="inlineStr">
        <is>
          <t>CRITIQUE</t>
        </is>
      </c>
      <c r="Q1989" s="7" t="inlineStr">
        <is>
          <t>WHAP</t>
        </is>
      </c>
      <c r="R1989" s="7" t="inlineStr">
        <is>
          <t>OUI</t>
        </is>
      </c>
      <c r="S1989" s="7" t="inlineStr">
        <is>
          <t>31/08/2026 02:59</t>
        </is>
      </c>
    </row>
    <row r="1990">
      <c r="A1990" s="8" t="inlineStr">
        <is>
          <t>WHAP-1986</t>
        </is>
      </c>
      <c r="B1990" s="8" t="inlineStr">
        <is>
          <t>MOT-1986</t>
        </is>
      </c>
      <c r="C1990" s="8" t="inlineStr">
        <is>
          <t>bague de guide de soupape</t>
        </is>
      </c>
      <c r="D1990" s="8" t="inlineStr">
        <is>
          <t>Moteur</t>
        </is>
      </c>
      <c r="E1990" s="8" t="inlineStr">
        <is>
          <t>Moteur</t>
        </is>
      </c>
      <c r="F1990" s="8" t="inlineStr">
        <is>
          <t>PIECE_VEHICULE</t>
        </is>
      </c>
      <c r="G1990" s="8" t="inlineStr">
        <is>
          <t>unité</t>
        </is>
      </c>
      <c r="H1990" s="8" t="inlineStr">
        <is>
          <t>LARGE</t>
        </is>
      </c>
      <c r="I1990" s="8" t="n">
        <v>0</v>
      </c>
      <c r="J1990" s="8" t="inlineStr">
        <is>
          <t>E-05-04</t>
        </is>
      </c>
      <c r="K1990" s="8" t="inlineStr"/>
      <c r="L1990" s="10" t="n">
        <v>0</v>
      </c>
      <c r="M1990" s="10" t="n">
        <v>0</v>
      </c>
      <c r="N1990" s="10" t="n">
        <v>20</v>
      </c>
      <c r="O1990" s="8" t="inlineStr">
        <is>
          <t>DEL</t>
        </is>
      </c>
      <c r="P1990" s="8" t="inlineStr">
        <is>
          <t>CRITIQUE</t>
        </is>
      </c>
      <c r="Q1990" s="8" t="inlineStr">
        <is>
          <t>WHAP</t>
        </is>
      </c>
      <c r="R1990" s="8" t="inlineStr">
        <is>
          <t>OUI</t>
        </is>
      </c>
      <c r="S1990" s="8" t="inlineStr">
        <is>
          <t>31/08/2026 02:59</t>
        </is>
      </c>
    </row>
    <row r="1991">
      <c r="A1991" s="7" t="inlineStr">
        <is>
          <t>WHAP-1987</t>
        </is>
      </c>
      <c r="B1991" s="7" t="inlineStr">
        <is>
          <t>MOT-1987</t>
        </is>
      </c>
      <c r="C1991" s="7" t="inlineStr">
        <is>
          <t>entretoise de guide de soupape</t>
        </is>
      </c>
      <c r="D1991" s="7" t="inlineStr">
        <is>
          <t>Moteur</t>
        </is>
      </c>
      <c r="E1991" s="7" t="inlineStr">
        <is>
          <t>Moteur</t>
        </is>
      </c>
      <c r="F1991" s="7" t="inlineStr">
        <is>
          <t>PIECE_VEHICULE</t>
        </is>
      </c>
      <c r="G1991" s="7" t="inlineStr">
        <is>
          <t>unité</t>
        </is>
      </c>
      <c r="H1991" s="7" t="inlineStr">
        <is>
          <t>LARGE</t>
        </is>
      </c>
      <c r="I1991" s="7" t="n">
        <v>0</v>
      </c>
      <c r="J1991" s="7" t="inlineStr">
        <is>
          <t>F-03-02</t>
        </is>
      </c>
      <c r="K1991" s="7" t="inlineStr"/>
      <c r="L1991" s="9" t="n">
        <v>0</v>
      </c>
      <c r="M1991" s="9" t="n">
        <v>0</v>
      </c>
      <c r="N1991" s="9" t="n">
        <v>17</v>
      </c>
      <c r="O1991" s="7" t="inlineStr">
        <is>
          <t>VAL</t>
        </is>
      </c>
      <c r="P1991" s="7" t="inlineStr">
        <is>
          <t>CRITIQUE</t>
        </is>
      </c>
      <c r="Q1991" s="7" t="inlineStr">
        <is>
          <t>WHAP</t>
        </is>
      </c>
      <c r="R1991" s="7" t="inlineStr">
        <is>
          <t>OUI</t>
        </is>
      </c>
      <c r="S1991" s="7" t="inlineStr">
        <is>
          <t>31/08/2026 02:59</t>
        </is>
      </c>
    </row>
    <row r="1992">
      <c r="A1992" s="8" t="inlineStr">
        <is>
          <t>WHAP-1988</t>
        </is>
      </c>
      <c r="B1992" s="8" t="inlineStr">
        <is>
          <t>MOT-1988</t>
        </is>
      </c>
      <c r="C1992" s="8" t="inlineStr">
        <is>
          <t>axe de guide de soupape</t>
        </is>
      </c>
      <c r="D1992" s="8" t="inlineStr">
        <is>
          <t>Moteur</t>
        </is>
      </c>
      <c r="E1992" s="8" t="inlineStr">
        <is>
          <t>Moteur</t>
        </is>
      </c>
      <c r="F1992" s="8" t="inlineStr">
        <is>
          <t>PIECE_VEHICULE</t>
        </is>
      </c>
      <c r="G1992" s="8" t="inlineStr">
        <is>
          <t>unité</t>
        </is>
      </c>
      <c r="H1992" s="8" t="inlineStr">
        <is>
          <t>LARGE</t>
        </is>
      </c>
      <c r="I1992" s="8" t="n">
        <v>0</v>
      </c>
      <c r="J1992" s="8" t="inlineStr">
        <is>
          <t>E-02-04</t>
        </is>
      </c>
      <c r="K1992" s="8" t="inlineStr"/>
      <c r="L1992" s="10" t="n">
        <v>0</v>
      </c>
      <c r="M1992" s="10" t="n">
        <v>0</v>
      </c>
      <c r="N1992" s="10" t="n">
        <v>17</v>
      </c>
      <c r="O1992" s="8" t="inlineStr">
        <is>
          <t>DEL</t>
        </is>
      </c>
      <c r="P1992" s="8" t="inlineStr">
        <is>
          <t>CRITIQUE</t>
        </is>
      </c>
      <c r="Q1992" s="8" t="inlineStr">
        <is>
          <t>WHAP</t>
        </is>
      </c>
      <c r="R1992" s="8" t="inlineStr">
        <is>
          <t>OUI</t>
        </is>
      </c>
      <c r="S1992" s="8" t="inlineStr">
        <is>
          <t>31/08/2026 02:59</t>
        </is>
      </c>
    </row>
    <row r="1993">
      <c r="A1993" s="7" t="inlineStr">
        <is>
          <t>WHAP-1989</t>
        </is>
      </c>
      <c r="B1993" s="7" t="inlineStr">
        <is>
          <t>MOT-1989</t>
        </is>
      </c>
      <c r="C1993" s="7" t="inlineStr">
        <is>
          <t>poulie de guide de soupape</t>
        </is>
      </c>
      <c r="D1993" s="7" t="inlineStr">
        <is>
          <t>Moteur</t>
        </is>
      </c>
      <c r="E1993" s="7" t="inlineStr">
        <is>
          <t>Moteur</t>
        </is>
      </c>
      <c r="F1993" s="7" t="inlineStr">
        <is>
          <t>PIECE_VEHICULE</t>
        </is>
      </c>
      <c r="G1993" s="7" t="inlineStr">
        <is>
          <t>unité</t>
        </is>
      </c>
      <c r="H1993" s="7" t="inlineStr">
        <is>
          <t>LARGE</t>
        </is>
      </c>
      <c r="I1993" s="7" t="n">
        <v>0</v>
      </c>
      <c r="J1993" s="7" t="inlineStr">
        <is>
          <t>B-02-01</t>
        </is>
      </c>
      <c r="K1993" s="7" t="inlineStr"/>
      <c r="L1993" s="9" t="n">
        <v>0</v>
      </c>
      <c r="M1993" s="9" t="n">
        <v>0</v>
      </c>
      <c r="N1993" s="9" t="n">
        <v>20</v>
      </c>
      <c r="O1993" s="7" t="inlineStr">
        <is>
          <t>SKF</t>
        </is>
      </c>
      <c r="P1993" s="7" t="inlineStr">
        <is>
          <t>CRITIQUE</t>
        </is>
      </c>
      <c r="Q1993" s="7" t="inlineStr">
        <is>
          <t>WHAP</t>
        </is>
      </c>
      <c r="R1993" s="7" t="inlineStr">
        <is>
          <t>OUI</t>
        </is>
      </c>
      <c r="S1993" s="7" t="inlineStr">
        <is>
          <t>31/08/2026 02:59</t>
        </is>
      </c>
    </row>
    <row r="1994">
      <c r="A1994" s="8" t="inlineStr">
        <is>
          <t>WHAP-1990</t>
        </is>
      </c>
      <c r="B1994" s="8" t="inlineStr">
        <is>
          <t>MOT-1990</t>
        </is>
      </c>
      <c r="C1994" s="8" t="inlineStr">
        <is>
          <t>pignon de guide de soupape</t>
        </is>
      </c>
      <c r="D1994" s="8" t="inlineStr">
        <is>
          <t>Moteur</t>
        </is>
      </c>
      <c r="E1994" s="8" t="inlineStr">
        <is>
          <t>Moteur</t>
        </is>
      </c>
      <c r="F1994" s="8" t="inlineStr">
        <is>
          <t>PIECE_VEHICULE</t>
        </is>
      </c>
      <c r="G1994" s="8" t="inlineStr">
        <is>
          <t>unité</t>
        </is>
      </c>
      <c r="H1994" s="8" t="inlineStr">
        <is>
          <t>LARGE</t>
        </is>
      </c>
      <c r="I1994" s="8" t="n">
        <v>0</v>
      </c>
      <c r="J1994" s="8" t="inlineStr">
        <is>
          <t>C-04-01</t>
        </is>
      </c>
      <c r="K1994" s="8" t="inlineStr"/>
      <c r="L1994" s="10" t="n">
        <v>0</v>
      </c>
      <c r="M1994" s="10" t="n">
        <v>0</v>
      </c>
      <c r="N1994" s="10" t="n">
        <v>16</v>
      </c>
      <c r="O1994" s="8" t="inlineStr">
        <is>
          <t>HEL</t>
        </is>
      </c>
      <c r="P1994" s="8" t="inlineStr">
        <is>
          <t>CRITIQUE</t>
        </is>
      </c>
      <c r="Q1994" s="8" t="inlineStr">
        <is>
          <t>WHAP</t>
        </is>
      </c>
      <c r="R1994" s="8" t="inlineStr">
        <is>
          <t>OUI</t>
        </is>
      </c>
      <c r="S1994" s="8" t="inlineStr">
        <is>
          <t>31/08/2026 02:59</t>
        </is>
      </c>
    </row>
    <row r="1995">
      <c r="A1995" s="7" t="inlineStr">
        <is>
          <t>WHAP-1991</t>
        </is>
      </c>
      <c r="B1995" s="7" t="inlineStr">
        <is>
          <t>MOT-1991</t>
        </is>
      </c>
      <c r="C1995" s="7" t="inlineStr">
        <is>
          <t>ensemble de ressort de soupape</t>
        </is>
      </c>
      <c r="D1995" s="7" t="inlineStr">
        <is>
          <t>Moteur</t>
        </is>
      </c>
      <c r="E1995" s="7" t="inlineStr">
        <is>
          <t>Moteur</t>
        </is>
      </c>
      <c r="F1995" s="7" t="inlineStr">
        <is>
          <t>PIECE_VEHICULE</t>
        </is>
      </c>
      <c r="G1995" s="7" t="inlineStr">
        <is>
          <t>unité</t>
        </is>
      </c>
      <c r="H1995" s="7" t="inlineStr">
        <is>
          <t>LARGE</t>
        </is>
      </c>
      <c r="I1995" s="7" t="n">
        <v>0</v>
      </c>
      <c r="J1995" s="7" t="inlineStr">
        <is>
          <t>C-06-01</t>
        </is>
      </c>
      <c r="K1995" s="7" t="inlineStr"/>
      <c r="L1995" s="9" t="n">
        <v>0</v>
      </c>
      <c r="M1995" s="9" t="n">
        <v>0</v>
      </c>
      <c r="N1995" s="9" t="n">
        <v>12</v>
      </c>
      <c r="O1995" s="7" t="inlineStr">
        <is>
          <t>DEL</t>
        </is>
      </c>
      <c r="P1995" s="7" t="inlineStr">
        <is>
          <t>CRITIQUE</t>
        </is>
      </c>
      <c r="Q1995" s="7" t="inlineStr">
        <is>
          <t>WHAP</t>
        </is>
      </c>
      <c r="R1995" s="7" t="inlineStr">
        <is>
          <t>OUI</t>
        </is>
      </c>
      <c r="S1995" s="7" t="inlineStr">
        <is>
          <t>31/08/2026 02:59</t>
        </is>
      </c>
    </row>
    <row r="1996">
      <c r="A1996" s="8" t="inlineStr">
        <is>
          <t>WHAP-1992</t>
        </is>
      </c>
      <c r="B1996" s="8" t="inlineStr">
        <is>
          <t>MOT-1992</t>
        </is>
      </c>
      <c r="C1996" s="8" t="inlineStr">
        <is>
          <t>kit de ressort de soupape</t>
        </is>
      </c>
      <c r="D1996" s="8" t="inlineStr">
        <is>
          <t>Moteur</t>
        </is>
      </c>
      <c r="E1996" s="8" t="inlineStr">
        <is>
          <t>Moteur</t>
        </is>
      </c>
      <c r="F1996" s="8" t="inlineStr">
        <is>
          <t>PIECE_VEHICULE</t>
        </is>
      </c>
      <c r="G1996" s="8" t="inlineStr">
        <is>
          <t>unité</t>
        </is>
      </c>
      <c r="H1996" s="8" t="inlineStr">
        <is>
          <t>LARGE</t>
        </is>
      </c>
      <c r="I1996" s="8" t="n">
        <v>0</v>
      </c>
      <c r="J1996" s="8" t="inlineStr">
        <is>
          <t>F-06-01</t>
        </is>
      </c>
      <c r="K1996" s="8" t="inlineStr"/>
      <c r="L1996" s="10" t="n">
        <v>0</v>
      </c>
      <c r="M1996" s="10" t="n">
        <v>0</v>
      </c>
      <c r="N1996" s="10" t="n">
        <v>10</v>
      </c>
      <c r="O1996" s="8" t="inlineStr">
        <is>
          <t>VAL</t>
        </is>
      </c>
      <c r="P1996" s="8" t="inlineStr">
        <is>
          <t>CRITIQUE</t>
        </is>
      </c>
      <c r="Q1996" s="8" t="inlineStr">
        <is>
          <t>WHAP</t>
        </is>
      </c>
      <c r="R1996" s="8" t="inlineStr">
        <is>
          <t>OUI</t>
        </is>
      </c>
      <c r="S1996" s="8" t="inlineStr">
        <is>
          <t>31/08/2026 02:59</t>
        </is>
      </c>
    </row>
    <row r="1997">
      <c r="A1997" s="7" t="inlineStr">
        <is>
          <t>WHAP-1993</t>
        </is>
      </c>
      <c r="B1997" s="7" t="inlineStr">
        <is>
          <t>MOT-1993</t>
        </is>
      </c>
      <c r="C1997" s="7" t="inlineStr">
        <is>
          <t>support de ressort de soupape</t>
        </is>
      </c>
      <c r="D1997" s="7" t="inlineStr">
        <is>
          <t>Moteur</t>
        </is>
      </c>
      <c r="E1997" s="7" t="inlineStr">
        <is>
          <t>Moteur</t>
        </is>
      </c>
      <c r="F1997" s="7" t="inlineStr">
        <is>
          <t>PIECE_VEHICULE</t>
        </is>
      </c>
      <c r="G1997" s="7" t="inlineStr">
        <is>
          <t>unité</t>
        </is>
      </c>
      <c r="H1997" s="7" t="inlineStr">
        <is>
          <t>LARGE</t>
        </is>
      </c>
      <c r="I1997" s="7" t="n">
        <v>0</v>
      </c>
      <c r="J1997" s="7" t="inlineStr">
        <is>
          <t>B-06-03</t>
        </is>
      </c>
      <c r="K1997" s="7" t="inlineStr"/>
      <c r="L1997" s="9" t="n">
        <v>0</v>
      </c>
      <c r="M1997" s="9" t="n">
        <v>0</v>
      </c>
      <c r="N1997" s="9" t="n">
        <v>20</v>
      </c>
      <c r="O1997" s="7" t="inlineStr">
        <is>
          <t>FAU</t>
        </is>
      </c>
      <c r="P1997" s="7" t="inlineStr">
        <is>
          <t>CRITIQUE</t>
        </is>
      </c>
      <c r="Q1997" s="7" t="inlineStr">
        <is>
          <t>WHAP</t>
        </is>
      </c>
      <c r="R1997" s="7" t="inlineStr">
        <is>
          <t>OUI</t>
        </is>
      </c>
      <c r="S1997" s="7" t="inlineStr">
        <is>
          <t>31/08/2026 02:59</t>
        </is>
      </c>
    </row>
    <row r="1998">
      <c r="A1998" s="8" t="inlineStr">
        <is>
          <t>WHAP-1994</t>
        </is>
      </c>
      <c r="B1998" s="8" t="inlineStr">
        <is>
          <t>MOT-1994</t>
        </is>
      </c>
      <c r="C1998" s="8" t="inlineStr">
        <is>
          <t>boîtier de ressort de soupape</t>
        </is>
      </c>
      <c r="D1998" s="8" t="inlineStr">
        <is>
          <t>Moteur</t>
        </is>
      </c>
      <c r="E1998" s="8" t="inlineStr">
        <is>
          <t>Moteur</t>
        </is>
      </c>
      <c r="F1998" s="8" t="inlineStr">
        <is>
          <t>PIECE_VEHICULE</t>
        </is>
      </c>
      <c r="G1998" s="8" t="inlineStr">
        <is>
          <t>unité</t>
        </is>
      </c>
      <c r="H1998" s="8" t="inlineStr">
        <is>
          <t>LARGE</t>
        </is>
      </c>
      <c r="I1998" s="8" t="n">
        <v>0</v>
      </c>
      <c r="J1998" s="8" t="inlineStr">
        <is>
          <t>C-05-02</t>
        </is>
      </c>
      <c r="K1998" s="8" t="inlineStr"/>
      <c r="L1998" s="10" t="n">
        <v>0</v>
      </c>
      <c r="M1998" s="10" t="n">
        <v>0</v>
      </c>
      <c r="N1998" s="10" t="n">
        <v>17</v>
      </c>
      <c r="O1998" s="8" t="inlineStr">
        <is>
          <t>BOS</t>
        </is>
      </c>
      <c r="P1998" s="8" t="inlineStr">
        <is>
          <t>CRITIQUE</t>
        </is>
      </c>
      <c r="Q1998" s="8" t="inlineStr">
        <is>
          <t>WHAP</t>
        </is>
      </c>
      <c r="R1998" s="8" t="inlineStr">
        <is>
          <t>OUI</t>
        </is>
      </c>
      <c r="S1998" s="8" t="inlineStr">
        <is>
          <t>31/08/2026 02:59</t>
        </is>
      </c>
    </row>
    <row r="1999">
      <c r="A1999" s="7" t="inlineStr">
        <is>
          <t>WHAP-1995</t>
        </is>
      </c>
      <c r="B1999" s="7" t="inlineStr">
        <is>
          <t>MOT-1995</t>
        </is>
      </c>
      <c r="C1999" s="7" t="inlineStr">
        <is>
          <t>module de ressort de soupape</t>
        </is>
      </c>
      <c r="D1999" s="7" t="inlineStr">
        <is>
          <t>Moteur</t>
        </is>
      </c>
      <c r="E1999" s="7" t="inlineStr">
        <is>
          <t>Moteur</t>
        </is>
      </c>
      <c r="F1999" s="7" t="inlineStr">
        <is>
          <t>PIECE_VEHICULE</t>
        </is>
      </c>
      <c r="G1999" s="7" t="inlineStr">
        <is>
          <t>unité</t>
        </is>
      </c>
      <c r="H1999" s="7" t="inlineStr">
        <is>
          <t>LARGE</t>
        </is>
      </c>
      <c r="I1999" s="7" t="n">
        <v>0</v>
      </c>
      <c r="J1999" s="7" t="inlineStr">
        <is>
          <t>F-06-04</t>
        </is>
      </c>
      <c r="K1999" s="7" t="inlineStr"/>
      <c r="L1999" s="9" t="n">
        <v>0</v>
      </c>
      <c r="M1999" s="9" t="n">
        <v>0</v>
      </c>
      <c r="N1999" s="9" t="n">
        <v>17</v>
      </c>
      <c r="O1999" s="7" t="inlineStr">
        <is>
          <t>SKF</t>
        </is>
      </c>
      <c r="P1999" s="7" t="inlineStr">
        <is>
          <t>CRITIQUE</t>
        </is>
      </c>
      <c r="Q1999" s="7" t="inlineStr">
        <is>
          <t>WHAP</t>
        </is>
      </c>
      <c r="R1999" s="7" t="inlineStr">
        <is>
          <t>OUI</t>
        </is>
      </c>
      <c r="S1999" s="7" t="inlineStr">
        <is>
          <t>31/08/2026 02:59</t>
        </is>
      </c>
    </row>
    <row r="2000">
      <c r="A2000" s="8" t="inlineStr">
        <is>
          <t>WHAP-1996</t>
        </is>
      </c>
      <c r="B2000" s="8" t="inlineStr">
        <is>
          <t>MOT-1996</t>
        </is>
      </c>
      <c r="C2000" s="8" t="inlineStr">
        <is>
          <t>câblage de ressort de soupape</t>
        </is>
      </c>
      <c r="D2000" s="8" t="inlineStr">
        <is>
          <t>Moteur</t>
        </is>
      </c>
      <c r="E2000" s="8" t="inlineStr">
        <is>
          <t>Moteur</t>
        </is>
      </c>
      <c r="F2000" s="8" t="inlineStr">
        <is>
          <t>PIECE_VEHICULE</t>
        </is>
      </c>
      <c r="G2000" s="8" t="inlineStr">
        <is>
          <t>unité</t>
        </is>
      </c>
      <c r="H2000" s="8" t="inlineStr">
        <is>
          <t>LARGE</t>
        </is>
      </c>
      <c r="I2000" s="8" t="n">
        <v>0</v>
      </c>
      <c r="J2000" s="8" t="inlineStr">
        <is>
          <t>E-03-02</t>
        </is>
      </c>
      <c r="K2000" s="8" t="inlineStr"/>
      <c r="L2000" s="10" t="n">
        <v>0</v>
      </c>
      <c r="M2000" s="10" t="n">
        <v>0</v>
      </c>
      <c r="N2000" s="10" t="n">
        <v>18</v>
      </c>
      <c r="O2000" s="8" t="inlineStr">
        <is>
          <t>SUM</t>
        </is>
      </c>
      <c r="P2000" s="8" t="inlineStr">
        <is>
          <t>CRITIQUE</t>
        </is>
      </c>
      <c r="Q2000" s="8" t="inlineStr">
        <is>
          <t>WHAP</t>
        </is>
      </c>
      <c r="R2000" s="8" t="inlineStr">
        <is>
          <t>OUI</t>
        </is>
      </c>
      <c r="S2000" s="8" t="inlineStr">
        <is>
          <t>31/08/2026 02:59</t>
        </is>
      </c>
    </row>
    <row r="2001">
      <c r="A2001" s="7" t="inlineStr">
        <is>
          <t>WHAP-1997</t>
        </is>
      </c>
      <c r="B2001" s="7" t="inlineStr">
        <is>
          <t>MOT-1997</t>
        </is>
      </c>
      <c r="C2001" s="7" t="inlineStr">
        <is>
          <t>connecteur de ressort de soupape</t>
        </is>
      </c>
      <c r="D2001" s="7" t="inlineStr">
        <is>
          <t>Moteur</t>
        </is>
      </c>
      <c r="E2001" s="7" t="inlineStr">
        <is>
          <t>Moteur</t>
        </is>
      </c>
      <c r="F2001" s="7" t="inlineStr">
        <is>
          <t>PIECE_VEHICULE</t>
        </is>
      </c>
      <c r="G2001" s="7" t="inlineStr">
        <is>
          <t>unité</t>
        </is>
      </c>
      <c r="H2001" s="7" t="inlineStr">
        <is>
          <t>LARGE</t>
        </is>
      </c>
      <c r="I2001" s="7" t="n">
        <v>0</v>
      </c>
      <c r="J2001" s="7" t="inlineStr">
        <is>
          <t>D-03-02</t>
        </is>
      </c>
      <c r="K2001" s="7" t="inlineStr"/>
      <c r="L2001" s="9" t="n">
        <v>0</v>
      </c>
      <c r="M2001" s="9" t="n">
        <v>0</v>
      </c>
      <c r="N2001" s="9" t="n">
        <v>10</v>
      </c>
      <c r="O2001" s="7" t="inlineStr">
        <is>
          <t>VAL</t>
        </is>
      </c>
      <c r="P2001" s="7" t="inlineStr">
        <is>
          <t>CRITIQUE</t>
        </is>
      </c>
      <c r="Q2001" s="7" t="inlineStr">
        <is>
          <t>WHAP</t>
        </is>
      </c>
      <c r="R2001" s="7" t="inlineStr">
        <is>
          <t>OUI</t>
        </is>
      </c>
      <c r="S2001" s="7" t="inlineStr">
        <is>
          <t>31/08/2026 02:59</t>
        </is>
      </c>
    </row>
    <row r="2002">
      <c r="A2002" s="8" t="inlineStr">
        <is>
          <t>WHAP-1998</t>
        </is>
      </c>
      <c r="B2002" s="8" t="inlineStr">
        <is>
          <t>MOT-1998</t>
        </is>
      </c>
      <c r="C2002" s="8" t="inlineStr">
        <is>
          <t>joint de ressort de soupape</t>
        </is>
      </c>
      <c r="D2002" s="8" t="inlineStr">
        <is>
          <t>Moteur</t>
        </is>
      </c>
      <c r="E2002" s="8" t="inlineStr">
        <is>
          <t>Moteur</t>
        </is>
      </c>
      <c r="F2002" s="8" t="inlineStr">
        <is>
          <t>PIECE_VEHICULE</t>
        </is>
      </c>
      <c r="G2002" s="8" t="inlineStr">
        <is>
          <t>unité</t>
        </is>
      </c>
      <c r="H2002" s="8" t="inlineStr">
        <is>
          <t>LARGE</t>
        </is>
      </c>
      <c r="I2002" s="8" t="n">
        <v>0</v>
      </c>
      <c r="J2002" s="8" t="inlineStr">
        <is>
          <t>D-04-01</t>
        </is>
      </c>
      <c r="K2002" s="8" t="inlineStr"/>
      <c r="L2002" s="10" t="n">
        <v>0</v>
      </c>
      <c r="M2002" s="10" t="n">
        <v>0</v>
      </c>
      <c r="N2002" s="10" t="n">
        <v>14</v>
      </c>
      <c r="O2002" s="8" t="inlineStr">
        <is>
          <t>FAU</t>
        </is>
      </c>
      <c r="P2002" s="8" t="inlineStr">
        <is>
          <t>CRITIQUE</t>
        </is>
      </c>
      <c r="Q2002" s="8" t="inlineStr">
        <is>
          <t>WHAP</t>
        </is>
      </c>
      <c r="R2002" s="8" t="inlineStr">
        <is>
          <t>OUI</t>
        </is>
      </c>
      <c r="S2002" s="8" t="inlineStr">
        <is>
          <t>31/08/2026 02:59</t>
        </is>
      </c>
    </row>
    <row r="2003">
      <c r="A2003" s="7" t="inlineStr">
        <is>
          <t>WHAP-1999</t>
        </is>
      </c>
      <c r="B2003" s="7" t="inlineStr">
        <is>
          <t>MOT-1999</t>
        </is>
      </c>
      <c r="C2003" s="7" t="inlineStr">
        <is>
          <t>fixation de ressort de soupape</t>
        </is>
      </c>
      <c r="D2003" s="7" t="inlineStr">
        <is>
          <t>Moteur</t>
        </is>
      </c>
      <c r="E2003" s="7" t="inlineStr">
        <is>
          <t>Moteur</t>
        </is>
      </c>
      <c r="F2003" s="7" t="inlineStr">
        <is>
          <t>PIECE_VEHICULE</t>
        </is>
      </c>
      <c r="G2003" s="7" t="inlineStr">
        <is>
          <t>unité</t>
        </is>
      </c>
      <c r="H2003" s="7" t="inlineStr">
        <is>
          <t>LARGE</t>
        </is>
      </c>
      <c r="I2003" s="7" t="n">
        <v>0</v>
      </c>
      <c r="J2003" s="7" t="inlineStr">
        <is>
          <t>C-03-04</t>
        </is>
      </c>
      <c r="K2003" s="7" t="inlineStr"/>
      <c r="L2003" s="9" t="n">
        <v>0</v>
      </c>
      <c r="M2003" s="9" t="n">
        <v>0</v>
      </c>
      <c r="N2003" s="9" t="n">
        <v>13</v>
      </c>
      <c r="O2003" s="7" t="inlineStr">
        <is>
          <t>MAG</t>
        </is>
      </c>
      <c r="P2003" s="7" t="inlineStr">
        <is>
          <t>CRITIQUE</t>
        </is>
      </c>
      <c r="Q2003" s="7" t="inlineStr">
        <is>
          <t>WHAP</t>
        </is>
      </c>
      <c r="R2003" s="7" t="inlineStr">
        <is>
          <t>OUI</t>
        </is>
      </c>
      <c r="S2003" s="7" t="inlineStr">
        <is>
          <t>31/08/2026 02:59</t>
        </is>
      </c>
    </row>
    <row r="2004">
      <c r="A2004" s="8" t="inlineStr">
        <is>
          <t>WHAP-2000</t>
        </is>
      </c>
      <c r="B2004" s="8" t="inlineStr">
        <is>
          <t>MOT-2000</t>
        </is>
      </c>
      <c r="C2004" s="8" t="inlineStr">
        <is>
          <t>protection de ressort de soupape</t>
        </is>
      </c>
      <c r="D2004" s="8" t="inlineStr">
        <is>
          <t>Moteur</t>
        </is>
      </c>
      <c r="E2004" s="8" t="inlineStr">
        <is>
          <t>Moteur</t>
        </is>
      </c>
      <c r="F2004" s="8" t="inlineStr">
        <is>
          <t>PIECE_VEHICULE</t>
        </is>
      </c>
      <c r="G2004" s="8" t="inlineStr">
        <is>
          <t>unité</t>
        </is>
      </c>
      <c r="H2004" s="8" t="inlineStr">
        <is>
          <t>LARGE</t>
        </is>
      </c>
      <c r="I2004" s="8" t="n">
        <v>0</v>
      </c>
      <c r="J2004" s="8" t="inlineStr">
        <is>
          <t>C-06-02</t>
        </is>
      </c>
      <c r="K2004" s="8" t="inlineStr"/>
      <c r="L2004" s="10" t="n">
        <v>0</v>
      </c>
      <c r="M2004" s="10" t="n">
        <v>0</v>
      </c>
      <c r="N2004" s="10" t="n">
        <v>17</v>
      </c>
      <c r="O2004" s="8" t="inlineStr">
        <is>
          <t>DEL</t>
        </is>
      </c>
      <c r="P2004" s="8" t="inlineStr">
        <is>
          <t>CRITIQUE</t>
        </is>
      </c>
      <c r="Q2004" s="8" t="inlineStr">
        <is>
          <t>WHAP</t>
        </is>
      </c>
      <c r="R2004" s="8" t="inlineStr">
        <is>
          <t>OUI</t>
        </is>
      </c>
      <c r="S2004" s="8" t="inlineStr">
        <is>
          <t>31/08/2026 02:59</t>
        </is>
      </c>
    </row>
    <row r="2005">
      <c r="A2005" s="7" t="inlineStr">
        <is>
          <t>WHAP-2001</t>
        </is>
      </c>
      <c r="B2005" s="7" t="inlineStr">
        <is>
          <t>MOT-2001</t>
        </is>
      </c>
      <c r="C2005" s="7" t="inlineStr">
        <is>
          <t>capteur de ressort de soupape</t>
        </is>
      </c>
      <c r="D2005" s="7" t="inlineStr">
        <is>
          <t>Moteur</t>
        </is>
      </c>
      <c r="E2005" s="7" t="inlineStr">
        <is>
          <t>Moteur</t>
        </is>
      </c>
      <c r="F2005" s="7" t="inlineStr">
        <is>
          <t>PIECE_VEHICULE</t>
        </is>
      </c>
      <c r="G2005" s="7" t="inlineStr">
        <is>
          <t>unité</t>
        </is>
      </c>
      <c r="H2005" s="7" t="inlineStr">
        <is>
          <t>LARGE</t>
        </is>
      </c>
      <c r="I2005" s="7" t="n">
        <v>0</v>
      </c>
      <c r="J2005" s="7" t="inlineStr">
        <is>
          <t>C-03-04</t>
        </is>
      </c>
      <c r="K2005" s="7" t="inlineStr"/>
      <c r="L2005" s="9" t="n">
        <v>0</v>
      </c>
      <c r="M2005" s="9" t="n">
        <v>0</v>
      </c>
      <c r="N2005" s="9" t="n">
        <v>18</v>
      </c>
      <c r="O2005" s="7" t="inlineStr">
        <is>
          <t>SUM</t>
        </is>
      </c>
      <c r="P2005" s="7" t="inlineStr">
        <is>
          <t>CRITIQUE</t>
        </is>
      </c>
      <c r="Q2005" s="7" t="inlineStr">
        <is>
          <t>WHAP</t>
        </is>
      </c>
      <c r="R2005" s="7" t="inlineStr">
        <is>
          <t>OUI</t>
        </is>
      </c>
      <c r="S2005" s="7" t="inlineStr">
        <is>
          <t>31/08/2026 02:59</t>
        </is>
      </c>
    </row>
    <row r="2006">
      <c r="A2006" s="8" t="inlineStr">
        <is>
          <t>WHAP-2002</t>
        </is>
      </c>
      <c r="B2006" s="8" t="inlineStr">
        <is>
          <t>MOT-2002</t>
        </is>
      </c>
      <c r="C2006" s="8" t="inlineStr">
        <is>
          <t>actionneur de ressort de soupape</t>
        </is>
      </c>
      <c r="D2006" s="8" t="inlineStr">
        <is>
          <t>Moteur</t>
        </is>
      </c>
      <c r="E2006" s="8" t="inlineStr">
        <is>
          <t>Moteur</t>
        </is>
      </c>
      <c r="F2006" s="8" t="inlineStr">
        <is>
          <t>PIECE_VEHICULE</t>
        </is>
      </c>
      <c r="G2006" s="8" t="inlineStr">
        <is>
          <t>unité</t>
        </is>
      </c>
      <c r="H2006" s="8" t="inlineStr">
        <is>
          <t>LARGE</t>
        </is>
      </c>
      <c r="I2006" s="8" t="n">
        <v>0</v>
      </c>
      <c r="J2006" s="8" t="inlineStr">
        <is>
          <t>B-01-04</t>
        </is>
      </c>
      <c r="K2006" s="8" t="inlineStr"/>
      <c r="L2006" s="10" t="n">
        <v>0</v>
      </c>
      <c r="M2006" s="10" t="n">
        <v>0</v>
      </c>
      <c r="N2006" s="10" t="n">
        <v>13</v>
      </c>
      <c r="O2006" s="8" t="inlineStr">
        <is>
          <t>YZK</t>
        </is>
      </c>
      <c r="P2006" s="8" t="inlineStr">
        <is>
          <t>CRITIQUE</t>
        </is>
      </c>
      <c r="Q2006" s="8" t="inlineStr">
        <is>
          <t>WHAP</t>
        </is>
      </c>
      <c r="R2006" s="8" t="inlineStr">
        <is>
          <t>OUI</t>
        </is>
      </c>
      <c r="S2006" s="8" t="inlineStr">
        <is>
          <t>31/08/2026 02:59</t>
        </is>
      </c>
    </row>
    <row r="2007">
      <c r="A2007" s="7" t="inlineStr">
        <is>
          <t>WHAP-2003</t>
        </is>
      </c>
      <c r="B2007" s="7" t="inlineStr">
        <is>
          <t>MOT-2003</t>
        </is>
      </c>
      <c r="C2007" s="7" t="inlineStr">
        <is>
          <t>raccord de ressort de soupape</t>
        </is>
      </c>
      <c r="D2007" s="7" t="inlineStr">
        <is>
          <t>Moteur</t>
        </is>
      </c>
      <c r="E2007" s="7" t="inlineStr">
        <is>
          <t>Moteur</t>
        </is>
      </c>
      <c r="F2007" s="7" t="inlineStr">
        <is>
          <t>PIECE_VEHICULE</t>
        </is>
      </c>
      <c r="G2007" s="7" t="inlineStr">
        <is>
          <t>unité</t>
        </is>
      </c>
      <c r="H2007" s="7" t="inlineStr">
        <is>
          <t>LARGE</t>
        </is>
      </c>
      <c r="I2007" s="7" t="n">
        <v>0</v>
      </c>
      <c r="J2007" s="7" t="inlineStr">
        <is>
          <t>E-02-03</t>
        </is>
      </c>
      <c r="K2007" s="7" t="inlineStr"/>
      <c r="L2007" s="9" t="n">
        <v>0</v>
      </c>
      <c r="M2007" s="9" t="n">
        <v>0</v>
      </c>
      <c r="N2007" s="9" t="n">
        <v>20</v>
      </c>
      <c r="O2007" s="7" t="inlineStr">
        <is>
          <t>SUM</t>
        </is>
      </c>
      <c r="P2007" s="7" t="inlineStr">
        <is>
          <t>CRITIQUE</t>
        </is>
      </c>
      <c r="Q2007" s="7" t="inlineStr">
        <is>
          <t>WHAP</t>
        </is>
      </c>
      <c r="R2007" s="7" t="inlineStr">
        <is>
          <t>OUI</t>
        </is>
      </c>
      <c r="S2007" s="7" t="inlineStr">
        <is>
          <t>31/08/2026 02:59</t>
        </is>
      </c>
    </row>
    <row r="2008">
      <c r="A2008" s="8" t="inlineStr">
        <is>
          <t>WHAP-2004</t>
        </is>
      </c>
      <c r="B2008" s="8" t="inlineStr">
        <is>
          <t>MOT-2004</t>
        </is>
      </c>
      <c r="C2008" s="8" t="inlineStr">
        <is>
          <t>plaque de ressort de soupape</t>
        </is>
      </c>
      <c r="D2008" s="8" t="inlineStr">
        <is>
          <t>Moteur</t>
        </is>
      </c>
      <c r="E2008" s="8" t="inlineStr">
        <is>
          <t>Moteur</t>
        </is>
      </c>
      <c r="F2008" s="8" t="inlineStr">
        <is>
          <t>PIECE_VEHICULE</t>
        </is>
      </c>
      <c r="G2008" s="8" t="inlineStr">
        <is>
          <t>unité</t>
        </is>
      </c>
      <c r="H2008" s="8" t="inlineStr">
        <is>
          <t>LARGE</t>
        </is>
      </c>
      <c r="I2008" s="8" t="n">
        <v>0</v>
      </c>
      <c r="J2008" s="8" t="inlineStr">
        <is>
          <t>E-01-02</t>
        </is>
      </c>
      <c r="K2008" s="8" t="inlineStr"/>
      <c r="L2008" s="10" t="n">
        <v>0</v>
      </c>
      <c r="M2008" s="10" t="n">
        <v>0</v>
      </c>
      <c r="N2008" s="10" t="n">
        <v>18</v>
      </c>
      <c r="O2008" s="8" t="inlineStr">
        <is>
          <t>MAG</t>
        </is>
      </c>
      <c r="P2008" s="8" t="inlineStr">
        <is>
          <t>CRITIQUE</t>
        </is>
      </c>
      <c r="Q2008" s="8" t="inlineStr">
        <is>
          <t>WHAP</t>
        </is>
      </c>
      <c r="R2008" s="8" t="inlineStr">
        <is>
          <t>OUI</t>
        </is>
      </c>
      <c r="S2008" s="8" t="inlineStr">
        <is>
          <t>31/08/2026 02:59</t>
        </is>
      </c>
    </row>
    <row r="2009">
      <c r="A2009" s="7" t="inlineStr">
        <is>
          <t>WHAP-2005</t>
        </is>
      </c>
      <c r="B2009" s="7" t="inlineStr">
        <is>
          <t>MOT-2005</t>
        </is>
      </c>
      <c r="C2009" s="7" t="inlineStr">
        <is>
          <t>couvercle de ressort de soupape</t>
        </is>
      </c>
      <c r="D2009" s="7" t="inlineStr">
        <is>
          <t>Moteur</t>
        </is>
      </c>
      <c r="E2009" s="7" t="inlineStr">
        <is>
          <t>Moteur</t>
        </is>
      </c>
      <c r="F2009" s="7" t="inlineStr">
        <is>
          <t>PIECE_VEHICULE</t>
        </is>
      </c>
      <c r="G2009" s="7" t="inlineStr">
        <is>
          <t>unité</t>
        </is>
      </c>
      <c r="H2009" s="7" t="inlineStr">
        <is>
          <t>LARGE</t>
        </is>
      </c>
      <c r="I2009" s="7" t="n">
        <v>0</v>
      </c>
      <c r="J2009" s="7" t="inlineStr">
        <is>
          <t>D-04-03</t>
        </is>
      </c>
      <c r="K2009" s="7" t="inlineStr"/>
      <c r="L2009" s="9" t="n">
        <v>0</v>
      </c>
      <c r="M2009" s="9" t="n">
        <v>0</v>
      </c>
      <c r="N2009" s="9" t="n">
        <v>18</v>
      </c>
      <c r="O2009" s="7" t="inlineStr">
        <is>
          <t>CTL</t>
        </is>
      </c>
      <c r="P2009" s="7" t="inlineStr">
        <is>
          <t>CRITIQUE</t>
        </is>
      </c>
      <c r="Q2009" s="7" t="inlineStr">
        <is>
          <t>WHAP</t>
        </is>
      </c>
      <c r="R2009" s="7" t="inlineStr">
        <is>
          <t>OUI</t>
        </is>
      </c>
      <c r="S2009" s="7" t="inlineStr">
        <is>
          <t>31/08/2026 02:59</t>
        </is>
      </c>
    </row>
    <row r="2010">
      <c r="A2010" s="8" t="inlineStr">
        <is>
          <t>WHAP-2006</t>
        </is>
      </c>
      <c r="B2010" s="8" t="inlineStr">
        <is>
          <t>MOT-2006</t>
        </is>
      </c>
      <c r="C2010" s="8" t="inlineStr">
        <is>
          <t>bague de ressort de soupape</t>
        </is>
      </c>
      <c r="D2010" s="8" t="inlineStr">
        <is>
          <t>Moteur</t>
        </is>
      </c>
      <c r="E2010" s="8" t="inlineStr">
        <is>
          <t>Moteur</t>
        </is>
      </c>
      <c r="F2010" s="8" t="inlineStr">
        <is>
          <t>PIECE_VEHICULE</t>
        </is>
      </c>
      <c r="G2010" s="8" t="inlineStr">
        <is>
          <t>unité</t>
        </is>
      </c>
      <c r="H2010" s="8" t="inlineStr">
        <is>
          <t>LARGE</t>
        </is>
      </c>
      <c r="I2010" s="8" t="n">
        <v>0</v>
      </c>
      <c r="J2010" s="8" t="inlineStr">
        <is>
          <t>A-01-02</t>
        </is>
      </c>
      <c r="K2010" s="8" t="inlineStr"/>
      <c r="L2010" s="10" t="n">
        <v>0</v>
      </c>
      <c r="M2010" s="10" t="n">
        <v>0</v>
      </c>
      <c r="N2010" s="10" t="n">
        <v>15</v>
      </c>
      <c r="O2010" s="8" t="inlineStr">
        <is>
          <t>MAG</t>
        </is>
      </c>
      <c r="P2010" s="8" t="inlineStr">
        <is>
          <t>CRITIQUE</t>
        </is>
      </c>
      <c r="Q2010" s="8" t="inlineStr">
        <is>
          <t>WHAP</t>
        </is>
      </c>
      <c r="R2010" s="8" t="inlineStr">
        <is>
          <t>OUI</t>
        </is>
      </c>
      <c r="S2010" s="8" t="inlineStr">
        <is>
          <t>31/08/2026 02:59</t>
        </is>
      </c>
    </row>
    <row r="2011">
      <c r="A2011" s="7" t="inlineStr">
        <is>
          <t>WHAP-2007</t>
        </is>
      </c>
      <c r="B2011" s="7" t="inlineStr">
        <is>
          <t>MOT-2007</t>
        </is>
      </c>
      <c r="C2011" s="7" t="inlineStr">
        <is>
          <t>entretoise de ressort de soupape</t>
        </is>
      </c>
      <c r="D2011" s="7" t="inlineStr">
        <is>
          <t>Moteur</t>
        </is>
      </c>
      <c r="E2011" s="7" t="inlineStr">
        <is>
          <t>Moteur</t>
        </is>
      </c>
      <c r="F2011" s="7" t="inlineStr">
        <is>
          <t>PIECE_VEHICULE</t>
        </is>
      </c>
      <c r="G2011" s="7" t="inlineStr">
        <is>
          <t>unité</t>
        </is>
      </c>
      <c r="H2011" s="7" t="inlineStr">
        <is>
          <t>LARGE</t>
        </is>
      </c>
      <c r="I2011" s="7" t="n">
        <v>0</v>
      </c>
      <c r="J2011" s="7" t="inlineStr">
        <is>
          <t>F-02-01</t>
        </is>
      </c>
      <c r="K2011" s="7" t="inlineStr"/>
      <c r="L2011" s="9" t="n">
        <v>0</v>
      </c>
      <c r="M2011" s="9" t="n">
        <v>0</v>
      </c>
      <c r="N2011" s="9" t="n">
        <v>14</v>
      </c>
      <c r="O2011" s="7" t="inlineStr">
        <is>
          <t>YZK</t>
        </is>
      </c>
      <c r="P2011" s="7" t="inlineStr">
        <is>
          <t>CRITIQUE</t>
        </is>
      </c>
      <c r="Q2011" s="7" t="inlineStr">
        <is>
          <t>WHAP</t>
        </is>
      </c>
      <c r="R2011" s="7" t="inlineStr">
        <is>
          <t>OUI</t>
        </is>
      </c>
      <c r="S2011" s="7" t="inlineStr">
        <is>
          <t>31/08/2026 02:59</t>
        </is>
      </c>
    </row>
    <row r="2012">
      <c r="A2012" s="8" t="inlineStr">
        <is>
          <t>WHAP-2008</t>
        </is>
      </c>
      <c r="B2012" s="8" t="inlineStr">
        <is>
          <t>MOT-2008</t>
        </is>
      </c>
      <c r="C2012" s="8" t="inlineStr">
        <is>
          <t>axe de ressort de soupape</t>
        </is>
      </c>
      <c r="D2012" s="8" t="inlineStr">
        <is>
          <t>Moteur</t>
        </is>
      </c>
      <c r="E2012" s="8" t="inlineStr">
        <is>
          <t>Moteur</t>
        </is>
      </c>
      <c r="F2012" s="8" t="inlineStr">
        <is>
          <t>PIECE_VEHICULE</t>
        </is>
      </c>
      <c r="G2012" s="8" t="inlineStr">
        <is>
          <t>unité</t>
        </is>
      </c>
      <c r="H2012" s="8" t="inlineStr">
        <is>
          <t>LARGE</t>
        </is>
      </c>
      <c r="I2012" s="8" t="n">
        <v>0</v>
      </c>
      <c r="J2012" s="8" t="inlineStr">
        <is>
          <t>C-06-03</t>
        </is>
      </c>
      <c r="K2012" s="8" t="inlineStr"/>
      <c r="L2012" s="10" t="n">
        <v>0</v>
      </c>
      <c r="M2012" s="10" t="n">
        <v>0</v>
      </c>
      <c r="N2012" s="10" t="n">
        <v>18</v>
      </c>
      <c r="O2012" s="8" t="inlineStr">
        <is>
          <t>HEL</t>
        </is>
      </c>
      <c r="P2012" s="8" t="inlineStr">
        <is>
          <t>CRITIQUE</t>
        </is>
      </c>
      <c r="Q2012" s="8" t="inlineStr">
        <is>
          <t>WHAP</t>
        </is>
      </c>
      <c r="R2012" s="8" t="inlineStr">
        <is>
          <t>OUI</t>
        </is>
      </c>
      <c r="S2012" s="8" t="inlineStr">
        <is>
          <t>31/08/2026 02:59</t>
        </is>
      </c>
    </row>
    <row r="2013">
      <c r="A2013" s="7" t="inlineStr">
        <is>
          <t>WHAP-2009</t>
        </is>
      </c>
      <c r="B2013" s="7" t="inlineStr">
        <is>
          <t>MOT-2009</t>
        </is>
      </c>
      <c r="C2013" s="7" t="inlineStr">
        <is>
          <t>poulie de ressort de soupape</t>
        </is>
      </c>
      <c r="D2013" s="7" t="inlineStr">
        <is>
          <t>Moteur</t>
        </is>
      </c>
      <c r="E2013" s="7" t="inlineStr">
        <is>
          <t>Moteur</t>
        </is>
      </c>
      <c r="F2013" s="7" t="inlineStr">
        <is>
          <t>PIECE_VEHICULE</t>
        </is>
      </c>
      <c r="G2013" s="7" t="inlineStr">
        <is>
          <t>unité</t>
        </is>
      </c>
      <c r="H2013" s="7" t="inlineStr">
        <is>
          <t>LARGE</t>
        </is>
      </c>
      <c r="I2013" s="7" t="n">
        <v>0</v>
      </c>
      <c r="J2013" s="7" t="inlineStr">
        <is>
          <t>C-06-03</t>
        </is>
      </c>
      <c r="K2013" s="7" t="inlineStr"/>
      <c r="L2013" s="9" t="n">
        <v>0</v>
      </c>
      <c r="M2013" s="9" t="n">
        <v>0</v>
      </c>
      <c r="N2013" s="9" t="n">
        <v>17</v>
      </c>
      <c r="O2013" s="7" t="inlineStr">
        <is>
          <t>DEL</t>
        </is>
      </c>
      <c r="P2013" s="7" t="inlineStr">
        <is>
          <t>CRITIQUE</t>
        </is>
      </c>
      <c r="Q2013" s="7" t="inlineStr">
        <is>
          <t>WHAP</t>
        </is>
      </c>
      <c r="R2013" s="7" t="inlineStr">
        <is>
          <t>OUI</t>
        </is>
      </c>
      <c r="S2013" s="7" t="inlineStr">
        <is>
          <t>31/08/2026 02:59</t>
        </is>
      </c>
    </row>
    <row r="2014">
      <c r="A2014" s="8" t="inlineStr">
        <is>
          <t>WHAP-2010</t>
        </is>
      </c>
      <c r="B2014" s="8" t="inlineStr">
        <is>
          <t>MOT-2010</t>
        </is>
      </c>
      <c r="C2014" s="8" t="inlineStr">
        <is>
          <t>pignon de ressort de soupape</t>
        </is>
      </c>
      <c r="D2014" s="8" t="inlineStr">
        <is>
          <t>Moteur</t>
        </is>
      </c>
      <c r="E2014" s="8" t="inlineStr">
        <is>
          <t>Moteur</t>
        </is>
      </c>
      <c r="F2014" s="8" t="inlineStr">
        <is>
          <t>PIECE_VEHICULE</t>
        </is>
      </c>
      <c r="G2014" s="8" t="inlineStr">
        <is>
          <t>unité</t>
        </is>
      </c>
      <c r="H2014" s="8" t="inlineStr">
        <is>
          <t>LARGE</t>
        </is>
      </c>
      <c r="I2014" s="8" t="n">
        <v>0</v>
      </c>
      <c r="J2014" s="8" t="inlineStr">
        <is>
          <t>B-02-01</t>
        </is>
      </c>
      <c r="K2014" s="8" t="inlineStr"/>
      <c r="L2014" s="10" t="n">
        <v>0</v>
      </c>
      <c r="M2014" s="10" t="n">
        <v>0</v>
      </c>
      <c r="N2014" s="10" t="n">
        <v>10</v>
      </c>
      <c r="O2014" s="8" t="inlineStr">
        <is>
          <t>CTL</t>
        </is>
      </c>
      <c r="P2014" s="8" t="inlineStr">
        <is>
          <t>CRITIQUE</t>
        </is>
      </c>
      <c r="Q2014" s="8" t="inlineStr">
        <is>
          <t>WHAP</t>
        </is>
      </c>
      <c r="R2014" s="8" t="inlineStr">
        <is>
          <t>OUI</t>
        </is>
      </c>
      <c r="S2014" s="8" t="inlineStr">
        <is>
          <t>31/08/2026 02:59</t>
        </is>
      </c>
    </row>
    <row r="2015">
      <c r="A2015" s="7" t="inlineStr">
        <is>
          <t>WHAP-2011</t>
        </is>
      </c>
      <c r="B2015" s="7" t="inlineStr">
        <is>
          <t>MOT-2011</t>
        </is>
      </c>
      <c r="C2015" s="7" t="inlineStr">
        <is>
          <t>ensemble de siège de soupape</t>
        </is>
      </c>
      <c r="D2015" s="7" t="inlineStr">
        <is>
          <t>Moteur</t>
        </is>
      </c>
      <c r="E2015" s="7" t="inlineStr">
        <is>
          <t>Moteur</t>
        </is>
      </c>
      <c r="F2015" s="7" t="inlineStr">
        <is>
          <t>PIECE_VEHICULE</t>
        </is>
      </c>
      <c r="G2015" s="7" t="inlineStr">
        <is>
          <t>unité</t>
        </is>
      </c>
      <c r="H2015" s="7" t="inlineStr">
        <is>
          <t>LARGE</t>
        </is>
      </c>
      <c r="I2015" s="7" t="n">
        <v>0</v>
      </c>
      <c r="J2015" s="7" t="inlineStr">
        <is>
          <t>F-03-01</t>
        </is>
      </c>
      <c r="K2015" s="7" t="inlineStr"/>
      <c r="L2015" s="9" t="n">
        <v>0</v>
      </c>
      <c r="M2015" s="9" t="n">
        <v>0</v>
      </c>
      <c r="N2015" s="9" t="n">
        <v>18</v>
      </c>
      <c r="O2015" s="7" t="inlineStr">
        <is>
          <t>YZK</t>
        </is>
      </c>
      <c r="P2015" s="7" t="inlineStr">
        <is>
          <t>CRITIQUE</t>
        </is>
      </c>
      <c r="Q2015" s="7" t="inlineStr">
        <is>
          <t>WHAP</t>
        </is>
      </c>
      <c r="R2015" s="7" t="inlineStr">
        <is>
          <t>OUI</t>
        </is>
      </c>
      <c r="S2015" s="7" t="inlineStr">
        <is>
          <t>31/08/2026 02:59</t>
        </is>
      </c>
    </row>
    <row r="2016">
      <c r="A2016" s="8" t="inlineStr">
        <is>
          <t>WHAP-2012</t>
        </is>
      </c>
      <c r="B2016" s="8" t="inlineStr">
        <is>
          <t>MOT-2012</t>
        </is>
      </c>
      <c r="C2016" s="8" t="inlineStr">
        <is>
          <t>kit de siège de soupape</t>
        </is>
      </c>
      <c r="D2016" s="8" t="inlineStr">
        <is>
          <t>Moteur</t>
        </is>
      </c>
      <c r="E2016" s="8" t="inlineStr">
        <is>
          <t>Moteur</t>
        </is>
      </c>
      <c r="F2016" s="8" t="inlineStr">
        <is>
          <t>PIECE_VEHICULE</t>
        </is>
      </c>
      <c r="G2016" s="8" t="inlineStr">
        <is>
          <t>unité</t>
        </is>
      </c>
      <c r="H2016" s="8" t="inlineStr">
        <is>
          <t>LARGE</t>
        </is>
      </c>
      <c r="I2016" s="8" t="n">
        <v>0</v>
      </c>
      <c r="J2016" s="8" t="inlineStr">
        <is>
          <t>F-01-04</t>
        </is>
      </c>
      <c r="K2016" s="8" t="inlineStr"/>
      <c r="L2016" s="10" t="n">
        <v>0</v>
      </c>
      <c r="M2016" s="10" t="n">
        <v>0</v>
      </c>
      <c r="N2016" s="10" t="n">
        <v>20</v>
      </c>
      <c r="O2016" s="8" t="inlineStr">
        <is>
          <t>SKF</t>
        </is>
      </c>
      <c r="P2016" s="8" t="inlineStr">
        <is>
          <t>CRITIQUE</t>
        </is>
      </c>
      <c r="Q2016" s="8" t="inlineStr">
        <is>
          <t>WHAP</t>
        </is>
      </c>
      <c r="R2016" s="8" t="inlineStr">
        <is>
          <t>OUI</t>
        </is>
      </c>
      <c r="S2016" s="8" t="inlineStr">
        <is>
          <t>31/08/2026 02:59</t>
        </is>
      </c>
    </row>
    <row r="2017">
      <c r="A2017" s="7" t="inlineStr">
        <is>
          <t>WHAP-2013</t>
        </is>
      </c>
      <c r="B2017" s="7" t="inlineStr">
        <is>
          <t>MOT-2013</t>
        </is>
      </c>
      <c r="C2017" s="7" t="inlineStr">
        <is>
          <t>support de siège de soupape</t>
        </is>
      </c>
      <c r="D2017" s="7" t="inlineStr">
        <is>
          <t>Moteur</t>
        </is>
      </c>
      <c r="E2017" s="7" t="inlineStr">
        <is>
          <t>Moteur</t>
        </is>
      </c>
      <c r="F2017" s="7" t="inlineStr">
        <is>
          <t>PIECE_VEHICULE</t>
        </is>
      </c>
      <c r="G2017" s="7" t="inlineStr">
        <is>
          <t>unité</t>
        </is>
      </c>
      <c r="H2017" s="7" t="inlineStr">
        <is>
          <t>LARGE</t>
        </is>
      </c>
      <c r="I2017" s="7" t="n">
        <v>0</v>
      </c>
      <c r="J2017" s="7" t="inlineStr">
        <is>
          <t>C-03-02</t>
        </is>
      </c>
      <c r="K2017" s="7" t="inlineStr"/>
      <c r="L2017" s="9" t="n">
        <v>0</v>
      </c>
      <c r="M2017" s="9" t="n">
        <v>0</v>
      </c>
      <c r="N2017" s="9" t="n">
        <v>11</v>
      </c>
      <c r="O2017" s="7" t="inlineStr">
        <is>
          <t>HEL</t>
        </is>
      </c>
      <c r="P2017" s="7" t="inlineStr">
        <is>
          <t>CRITIQUE</t>
        </is>
      </c>
      <c r="Q2017" s="7" t="inlineStr">
        <is>
          <t>WHAP</t>
        </is>
      </c>
      <c r="R2017" s="7" t="inlineStr">
        <is>
          <t>OUI</t>
        </is>
      </c>
      <c r="S2017" s="7" t="inlineStr">
        <is>
          <t>31/08/2026 02:59</t>
        </is>
      </c>
    </row>
    <row r="2018">
      <c r="A2018" s="8" t="inlineStr">
        <is>
          <t>WHAP-2014</t>
        </is>
      </c>
      <c r="B2018" s="8" t="inlineStr">
        <is>
          <t>MOT-2014</t>
        </is>
      </c>
      <c r="C2018" s="8" t="inlineStr">
        <is>
          <t>boîtier de siège de soupape</t>
        </is>
      </c>
      <c r="D2018" s="8" t="inlineStr">
        <is>
          <t>Moteur</t>
        </is>
      </c>
      <c r="E2018" s="8" t="inlineStr">
        <is>
          <t>Moteur</t>
        </is>
      </c>
      <c r="F2018" s="8" t="inlineStr">
        <is>
          <t>PIECE_VEHICULE</t>
        </is>
      </c>
      <c r="G2018" s="8" t="inlineStr">
        <is>
          <t>unité</t>
        </is>
      </c>
      <c r="H2018" s="8" t="inlineStr">
        <is>
          <t>LARGE</t>
        </is>
      </c>
      <c r="I2018" s="8" t="n">
        <v>0</v>
      </c>
      <c r="J2018" s="8" t="inlineStr">
        <is>
          <t>D-06-04</t>
        </is>
      </c>
      <c r="K2018" s="8" t="inlineStr"/>
      <c r="L2018" s="10" t="n">
        <v>0</v>
      </c>
      <c r="M2018" s="10" t="n">
        <v>0</v>
      </c>
      <c r="N2018" s="10" t="n">
        <v>13</v>
      </c>
      <c r="O2018" s="8" t="inlineStr">
        <is>
          <t>YZK</t>
        </is>
      </c>
      <c r="P2018" s="8" t="inlineStr">
        <is>
          <t>CRITIQUE</t>
        </is>
      </c>
      <c r="Q2018" s="8" t="inlineStr">
        <is>
          <t>WHAP</t>
        </is>
      </c>
      <c r="R2018" s="8" t="inlineStr">
        <is>
          <t>OUI</t>
        </is>
      </c>
      <c r="S2018" s="8" t="inlineStr">
        <is>
          <t>31/08/2026 02:59</t>
        </is>
      </c>
    </row>
    <row r="2019">
      <c r="A2019" s="7" t="inlineStr">
        <is>
          <t>WHAP-2015</t>
        </is>
      </c>
      <c r="B2019" s="7" t="inlineStr">
        <is>
          <t>MOT-2015</t>
        </is>
      </c>
      <c r="C2019" s="7" t="inlineStr">
        <is>
          <t>module de siège de soupape</t>
        </is>
      </c>
      <c r="D2019" s="7" t="inlineStr">
        <is>
          <t>Moteur</t>
        </is>
      </c>
      <c r="E2019" s="7" t="inlineStr">
        <is>
          <t>Moteur</t>
        </is>
      </c>
      <c r="F2019" s="7" t="inlineStr">
        <is>
          <t>PIECE_VEHICULE</t>
        </is>
      </c>
      <c r="G2019" s="7" t="inlineStr">
        <is>
          <t>unité</t>
        </is>
      </c>
      <c r="H2019" s="7" t="inlineStr">
        <is>
          <t>LARGE</t>
        </is>
      </c>
      <c r="I2019" s="7" t="n">
        <v>0</v>
      </c>
      <c r="J2019" s="7" t="inlineStr">
        <is>
          <t>B-01-03</t>
        </is>
      </c>
      <c r="K2019" s="7" t="inlineStr"/>
      <c r="L2019" s="9" t="n">
        <v>0</v>
      </c>
      <c r="M2019" s="9" t="n">
        <v>0</v>
      </c>
      <c r="N2019" s="9" t="n">
        <v>20</v>
      </c>
      <c r="O2019" s="7" t="inlineStr">
        <is>
          <t>SKF</t>
        </is>
      </c>
      <c r="P2019" s="7" t="inlineStr">
        <is>
          <t>CRITIQUE</t>
        </is>
      </c>
      <c r="Q2019" s="7" t="inlineStr">
        <is>
          <t>WHAP</t>
        </is>
      </c>
      <c r="R2019" s="7" t="inlineStr">
        <is>
          <t>OUI</t>
        </is>
      </c>
      <c r="S2019" s="7" t="inlineStr">
        <is>
          <t>31/08/2026 02:59</t>
        </is>
      </c>
    </row>
    <row r="2020">
      <c r="A2020" s="8" t="inlineStr">
        <is>
          <t>WHAP-2016</t>
        </is>
      </c>
      <c r="B2020" s="8" t="inlineStr">
        <is>
          <t>MOT-2016</t>
        </is>
      </c>
      <c r="C2020" s="8" t="inlineStr">
        <is>
          <t>câblage de siège de soupape</t>
        </is>
      </c>
      <c r="D2020" s="8" t="inlineStr">
        <is>
          <t>Moteur</t>
        </is>
      </c>
      <c r="E2020" s="8" t="inlineStr">
        <is>
          <t>Moteur</t>
        </is>
      </c>
      <c r="F2020" s="8" t="inlineStr">
        <is>
          <t>PIECE_VEHICULE</t>
        </is>
      </c>
      <c r="G2020" s="8" t="inlineStr">
        <is>
          <t>unité</t>
        </is>
      </c>
      <c r="H2020" s="8" t="inlineStr">
        <is>
          <t>LARGE</t>
        </is>
      </c>
      <c r="I2020" s="8" t="n">
        <v>0</v>
      </c>
      <c r="J2020" s="8" t="inlineStr">
        <is>
          <t>C-03-04</t>
        </is>
      </c>
      <c r="K2020" s="8" t="inlineStr"/>
      <c r="L2020" s="10" t="n">
        <v>0</v>
      </c>
      <c r="M2020" s="10" t="n">
        <v>0</v>
      </c>
      <c r="N2020" s="10" t="n">
        <v>12</v>
      </c>
      <c r="O2020" s="8" t="inlineStr">
        <is>
          <t>BOS</t>
        </is>
      </c>
      <c r="P2020" s="8" t="inlineStr">
        <is>
          <t>CRITIQUE</t>
        </is>
      </c>
      <c r="Q2020" s="8" t="inlineStr">
        <is>
          <t>WHAP</t>
        </is>
      </c>
      <c r="R2020" s="8" t="inlineStr">
        <is>
          <t>OUI</t>
        </is>
      </c>
      <c r="S2020" s="8" t="inlineStr">
        <is>
          <t>31/08/2026 02:59</t>
        </is>
      </c>
    </row>
    <row r="2021">
      <c r="A2021" s="7" t="inlineStr">
        <is>
          <t>WHAP-2017</t>
        </is>
      </c>
      <c r="B2021" s="7" t="inlineStr">
        <is>
          <t>MOT-2017</t>
        </is>
      </c>
      <c r="C2021" s="7" t="inlineStr">
        <is>
          <t>connecteur de siège de soupape</t>
        </is>
      </c>
      <c r="D2021" s="7" t="inlineStr">
        <is>
          <t>Moteur</t>
        </is>
      </c>
      <c r="E2021" s="7" t="inlineStr">
        <is>
          <t>Moteur</t>
        </is>
      </c>
      <c r="F2021" s="7" t="inlineStr">
        <is>
          <t>PIECE_VEHICULE</t>
        </is>
      </c>
      <c r="G2021" s="7" t="inlineStr">
        <is>
          <t>unité</t>
        </is>
      </c>
      <c r="H2021" s="7" t="inlineStr">
        <is>
          <t>LARGE</t>
        </is>
      </c>
      <c r="I2021" s="7" t="n">
        <v>0</v>
      </c>
      <c r="J2021" s="7" t="inlineStr">
        <is>
          <t>E-06-02</t>
        </is>
      </c>
      <c r="K2021" s="7" t="inlineStr"/>
      <c r="L2021" s="9" t="n">
        <v>0</v>
      </c>
      <c r="M2021" s="9" t="n">
        <v>0</v>
      </c>
      <c r="N2021" s="9" t="n">
        <v>20</v>
      </c>
      <c r="O2021" s="7" t="inlineStr">
        <is>
          <t>DEL</t>
        </is>
      </c>
      <c r="P2021" s="7" t="inlineStr">
        <is>
          <t>CRITIQUE</t>
        </is>
      </c>
      <c r="Q2021" s="7" t="inlineStr">
        <is>
          <t>WHAP</t>
        </is>
      </c>
      <c r="R2021" s="7" t="inlineStr">
        <is>
          <t>OUI</t>
        </is>
      </c>
      <c r="S2021" s="7" t="inlineStr">
        <is>
          <t>31/08/2026 02:59</t>
        </is>
      </c>
    </row>
    <row r="2022">
      <c r="A2022" s="8" t="inlineStr">
        <is>
          <t>WHAP-2018</t>
        </is>
      </c>
      <c r="B2022" s="8" t="inlineStr">
        <is>
          <t>MOT-2018</t>
        </is>
      </c>
      <c r="C2022" s="8" t="inlineStr">
        <is>
          <t>joint de siège de soupape</t>
        </is>
      </c>
      <c r="D2022" s="8" t="inlineStr">
        <is>
          <t>Moteur</t>
        </is>
      </c>
      <c r="E2022" s="8" t="inlineStr">
        <is>
          <t>Moteur</t>
        </is>
      </c>
      <c r="F2022" s="8" t="inlineStr">
        <is>
          <t>PIECE_VEHICULE</t>
        </is>
      </c>
      <c r="G2022" s="8" t="inlineStr">
        <is>
          <t>unité</t>
        </is>
      </c>
      <c r="H2022" s="8" t="inlineStr">
        <is>
          <t>LARGE</t>
        </is>
      </c>
      <c r="I2022" s="8" t="n">
        <v>0</v>
      </c>
      <c r="J2022" s="8" t="inlineStr">
        <is>
          <t>D-06-01</t>
        </is>
      </c>
      <c r="K2022" s="8" t="inlineStr"/>
      <c r="L2022" s="10" t="n">
        <v>0</v>
      </c>
      <c r="M2022" s="10" t="n">
        <v>0</v>
      </c>
      <c r="N2022" s="10" t="n">
        <v>18</v>
      </c>
      <c r="O2022" s="8" t="inlineStr">
        <is>
          <t>VAL</t>
        </is>
      </c>
      <c r="P2022" s="8" t="inlineStr">
        <is>
          <t>CRITIQUE</t>
        </is>
      </c>
      <c r="Q2022" s="8" t="inlineStr">
        <is>
          <t>WHAP</t>
        </is>
      </c>
      <c r="R2022" s="8" t="inlineStr">
        <is>
          <t>OUI</t>
        </is>
      </c>
      <c r="S2022" s="8" t="inlineStr">
        <is>
          <t>31/08/2026 02:59</t>
        </is>
      </c>
    </row>
    <row r="2023">
      <c r="A2023" s="7" t="inlineStr">
        <is>
          <t>WHAP-2019</t>
        </is>
      </c>
      <c r="B2023" s="7" t="inlineStr">
        <is>
          <t>MOT-2019</t>
        </is>
      </c>
      <c r="C2023" s="7" t="inlineStr">
        <is>
          <t>fixation de siège de soupape</t>
        </is>
      </c>
      <c r="D2023" s="7" t="inlineStr">
        <is>
          <t>Moteur</t>
        </is>
      </c>
      <c r="E2023" s="7" t="inlineStr">
        <is>
          <t>Moteur</t>
        </is>
      </c>
      <c r="F2023" s="7" t="inlineStr">
        <is>
          <t>PIECE_VEHICULE</t>
        </is>
      </c>
      <c r="G2023" s="7" t="inlineStr">
        <is>
          <t>unité</t>
        </is>
      </c>
      <c r="H2023" s="7" t="inlineStr">
        <is>
          <t>LARGE</t>
        </is>
      </c>
      <c r="I2023" s="7" t="n">
        <v>0</v>
      </c>
      <c r="J2023" s="7" t="inlineStr">
        <is>
          <t>A-01-01</t>
        </is>
      </c>
      <c r="K2023" s="7" t="inlineStr"/>
      <c r="L2023" s="9" t="n">
        <v>0</v>
      </c>
      <c r="M2023" s="9" t="n">
        <v>0</v>
      </c>
      <c r="N2023" s="9" t="n">
        <v>16</v>
      </c>
      <c r="O2023" s="7" t="inlineStr">
        <is>
          <t>SUM</t>
        </is>
      </c>
      <c r="P2023" s="7" t="inlineStr">
        <is>
          <t>CRITIQUE</t>
        </is>
      </c>
      <c r="Q2023" s="7" t="inlineStr">
        <is>
          <t>WHAP</t>
        </is>
      </c>
      <c r="R2023" s="7" t="inlineStr">
        <is>
          <t>OUI</t>
        </is>
      </c>
      <c r="S2023" s="7" t="inlineStr">
        <is>
          <t>31/08/2026 02:59</t>
        </is>
      </c>
    </row>
    <row r="2024">
      <c r="A2024" s="8" t="inlineStr">
        <is>
          <t>WHAP-2020</t>
        </is>
      </c>
      <c r="B2024" s="8" t="inlineStr">
        <is>
          <t>MOT-2020</t>
        </is>
      </c>
      <c r="C2024" s="8" t="inlineStr">
        <is>
          <t>protection de siège de soupape</t>
        </is>
      </c>
      <c r="D2024" s="8" t="inlineStr">
        <is>
          <t>Moteur</t>
        </is>
      </c>
      <c r="E2024" s="8" t="inlineStr">
        <is>
          <t>Moteur</t>
        </is>
      </c>
      <c r="F2024" s="8" t="inlineStr">
        <is>
          <t>PIECE_VEHICULE</t>
        </is>
      </c>
      <c r="G2024" s="8" t="inlineStr">
        <is>
          <t>unité</t>
        </is>
      </c>
      <c r="H2024" s="8" t="inlineStr">
        <is>
          <t>LARGE</t>
        </is>
      </c>
      <c r="I2024" s="8" t="n">
        <v>0</v>
      </c>
      <c r="J2024" s="8" t="inlineStr">
        <is>
          <t>A-03-03</t>
        </is>
      </c>
      <c r="K2024" s="8" t="inlineStr"/>
      <c r="L2024" s="10" t="n">
        <v>0</v>
      </c>
      <c r="M2024" s="10" t="n">
        <v>0</v>
      </c>
      <c r="N2024" s="10" t="n">
        <v>20</v>
      </c>
      <c r="O2024" s="8" t="inlineStr">
        <is>
          <t>SUM</t>
        </is>
      </c>
      <c r="P2024" s="8" t="inlineStr">
        <is>
          <t>CRITIQUE</t>
        </is>
      </c>
      <c r="Q2024" s="8" t="inlineStr">
        <is>
          <t>WHAP</t>
        </is>
      </c>
      <c r="R2024" s="8" t="inlineStr">
        <is>
          <t>OUI</t>
        </is>
      </c>
      <c r="S2024" s="8" t="inlineStr">
        <is>
          <t>31/08/2026 02:59</t>
        </is>
      </c>
    </row>
    <row r="2025">
      <c r="A2025" s="7" t="inlineStr">
        <is>
          <t>WHAP-2021</t>
        </is>
      </c>
      <c r="B2025" s="7" t="inlineStr">
        <is>
          <t>MOT-2021</t>
        </is>
      </c>
      <c r="C2025" s="7" t="inlineStr">
        <is>
          <t>capteur de siège de soupape</t>
        </is>
      </c>
      <c r="D2025" s="7" t="inlineStr">
        <is>
          <t>Moteur</t>
        </is>
      </c>
      <c r="E2025" s="7" t="inlineStr">
        <is>
          <t>Moteur</t>
        </is>
      </c>
      <c r="F2025" s="7" t="inlineStr">
        <is>
          <t>PIECE_VEHICULE</t>
        </is>
      </c>
      <c r="G2025" s="7" t="inlineStr">
        <is>
          <t>unité</t>
        </is>
      </c>
      <c r="H2025" s="7" t="inlineStr">
        <is>
          <t>LARGE</t>
        </is>
      </c>
      <c r="I2025" s="7" t="n">
        <v>0</v>
      </c>
      <c r="J2025" s="7" t="inlineStr">
        <is>
          <t>F-03-02</t>
        </is>
      </c>
      <c r="K2025" s="7" t="inlineStr"/>
      <c r="L2025" s="9" t="n">
        <v>0</v>
      </c>
      <c r="M2025" s="9" t="n">
        <v>0</v>
      </c>
      <c r="N2025" s="9" t="n">
        <v>15</v>
      </c>
      <c r="O2025" s="7" t="inlineStr">
        <is>
          <t>VAL</t>
        </is>
      </c>
      <c r="P2025" s="7" t="inlineStr">
        <is>
          <t>CRITIQUE</t>
        </is>
      </c>
      <c r="Q2025" s="7" t="inlineStr">
        <is>
          <t>WHAP</t>
        </is>
      </c>
      <c r="R2025" s="7" t="inlineStr">
        <is>
          <t>OUI</t>
        </is>
      </c>
      <c r="S2025" s="7" t="inlineStr">
        <is>
          <t>31/08/2026 02:59</t>
        </is>
      </c>
    </row>
    <row r="2026">
      <c r="A2026" s="8" t="inlineStr">
        <is>
          <t>WHAP-2022</t>
        </is>
      </c>
      <c r="B2026" s="8" t="inlineStr">
        <is>
          <t>MOT-2022</t>
        </is>
      </c>
      <c r="C2026" s="8" t="inlineStr">
        <is>
          <t>actionneur de siège de soupape</t>
        </is>
      </c>
      <c r="D2026" s="8" t="inlineStr">
        <is>
          <t>Moteur</t>
        </is>
      </c>
      <c r="E2026" s="8" t="inlineStr">
        <is>
          <t>Moteur</t>
        </is>
      </c>
      <c r="F2026" s="8" t="inlineStr">
        <is>
          <t>PIECE_VEHICULE</t>
        </is>
      </c>
      <c r="G2026" s="8" t="inlineStr">
        <is>
          <t>unité</t>
        </is>
      </c>
      <c r="H2026" s="8" t="inlineStr">
        <is>
          <t>LARGE</t>
        </is>
      </c>
      <c r="I2026" s="8" t="n">
        <v>0</v>
      </c>
      <c r="J2026" s="8" t="inlineStr">
        <is>
          <t>C-05-02</t>
        </is>
      </c>
      <c r="K2026" s="8" t="inlineStr"/>
      <c r="L2026" s="10" t="n">
        <v>0</v>
      </c>
      <c r="M2026" s="10" t="n">
        <v>0</v>
      </c>
      <c r="N2026" s="10" t="n">
        <v>14</v>
      </c>
      <c r="O2026" s="8" t="inlineStr">
        <is>
          <t>DEL</t>
        </is>
      </c>
      <c r="P2026" s="8" t="inlineStr">
        <is>
          <t>CRITIQUE</t>
        </is>
      </c>
      <c r="Q2026" s="8" t="inlineStr">
        <is>
          <t>WHAP</t>
        </is>
      </c>
      <c r="R2026" s="8" t="inlineStr">
        <is>
          <t>OUI</t>
        </is>
      </c>
      <c r="S2026" s="8" t="inlineStr">
        <is>
          <t>31/08/2026 02:59</t>
        </is>
      </c>
    </row>
    <row r="2027">
      <c r="A2027" s="7" t="inlineStr">
        <is>
          <t>WHAP-2023</t>
        </is>
      </c>
      <c r="B2027" s="7" t="inlineStr">
        <is>
          <t>MOT-2023</t>
        </is>
      </c>
      <c r="C2027" s="7" t="inlineStr">
        <is>
          <t>raccord de siège de soupape</t>
        </is>
      </c>
      <c r="D2027" s="7" t="inlineStr">
        <is>
          <t>Moteur</t>
        </is>
      </c>
      <c r="E2027" s="7" t="inlineStr">
        <is>
          <t>Moteur</t>
        </is>
      </c>
      <c r="F2027" s="7" t="inlineStr">
        <is>
          <t>PIECE_VEHICULE</t>
        </is>
      </c>
      <c r="G2027" s="7" t="inlineStr">
        <is>
          <t>unité</t>
        </is>
      </c>
      <c r="H2027" s="7" t="inlineStr">
        <is>
          <t>LARGE</t>
        </is>
      </c>
      <c r="I2027" s="7" t="n">
        <v>0</v>
      </c>
      <c r="J2027" s="7" t="inlineStr">
        <is>
          <t>F-05-04</t>
        </is>
      </c>
      <c r="K2027" s="7" t="inlineStr"/>
      <c r="L2027" s="9" t="n">
        <v>0</v>
      </c>
      <c r="M2027" s="9" t="n">
        <v>0</v>
      </c>
      <c r="N2027" s="9" t="n">
        <v>17</v>
      </c>
      <c r="O2027" s="7" t="inlineStr">
        <is>
          <t>FAU</t>
        </is>
      </c>
      <c r="P2027" s="7" t="inlineStr">
        <is>
          <t>CRITIQUE</t>
        </is>
      </c>
      <c r="Q2027" s="7" t="inlineStr">
        <is>
          <t>WHAP</t>
        </is>
      </c>
      <c r="R2027" s="7" t="inlineStr">
        <is>
          <t>OUI</t>
        </is>
      </c>
      <c r="S2027" s="7" t="inlineStr">
        <is>
          <t>31/08/2026 02:59</t>
        </is>
      </c>
    </row>
    <row r="2028">
      <c r="A2028" s="8" t="inlineStr">
        <is>
          <t>WHAP-2024</t>
        </is>
      </c>
      <c r="B2028" s="8" t="inlineStr">
        <is>
          <t>MOT-2024</t>
        </is>
      </c>
      <c r="C2028" s="8" t="inlineStr">
        <is>
          <t>plaque de siège de soupape</t>
        </is>
      </c>
      <c r="D2028" s="8" t="inlineStr">
        <is>
          <t>Moteur</t>
        </is>
      </c>
      <c r="E2028" s="8" t="inlineStr">
        <is>
          <t>Moteur</t>
        </is>
      </c>
      <c r="F2028" s="8" t="inlineStr">
        <is>
          <t>PIECE_VEHICULE</t>
        </is>
      </c>
      <c r="G2028" s="8" t="inlineStr">
        <is>
          <t>unité</t>
        </is>
      </c>
      <c r="H2028" s="8" t="inlineStr">
        <is>
          <t>LARGE</t>
        </is>
      </c>
      <c r="I2028" s="8" t="n">
        <v>0</v>
      </c>
      <c r="J2028" s="8" t="inlineStr">
        <is>
          <t>C-03-02</t>
        </is>
      </c>
      <c r="K2028" s="8" t="inlineStr"/>
      <c r="L2028" s="10" t="n">
        <v>0</v>
      </c>
      <c r="M2028" s="10" t="n">
        <v>0</v>
      </c>
      <c r="N2028" s="10" t="n">
        <v>14</v>
      </c>
      <c r="O2028" s="8" t="inlineStr">
        <is>
          <t>HEL</t>
        </is>
      </c>
      <c r="P2028" s="8" t="inlineStr">
        <is>
          <t>CRITIQUE</t>
        </is>
      </c>
      <c r="Q2028" s="8" t="inlineStr">
        <is>
          <t>WHAP</t>
        </is>
      </c>
      <c r="R2028" s="8" t="inlineStr">
        <is>
          <t>OUI</t>
        </is>
      </c>
      <c r="S2028" s="8" t="inlineStr">
        <is>
          <t>31/08/2026 02:59</t>
        </is>
      </c>
    </row>
    <row r="2029">
      <c r="A2029" s="7" t="inlineStr">
        <is>
          <t>WHAP-2025</t>
        </is>
      </c>
      <c r="B2029" s="7" t="inlineStr">
        <is>
          <t>MOT-2025</t>
        </is>
      </c>
      <c r="C2029" s="7" t="inlineStr">
        <is>
          <t>couvercle de siège de soupape</t>
        </is>
      </c>
      <c r="D2029" s="7" t="inlineStr">
        <is>
          <t>Moteur</t>
        </is>
      </c>
      <c r="E2029" s="7" t="inlineStr">
        <is>
          <t>Moteur</t>
        </is>
      </c>
      <c r="F2029" s="7" t="inlineStr">
        <is>
          <t>PIECE_VEHICULE</t>
        </is>
      </c>
      <c r="G2029" s="7" t="inlineStr">
        <is>
          <t>unité</t>
        </is>
      </c>
      <c r="H2029" s="7" t="inlineStr">
        <is>
          <t>LARGE</t>
        </is>
      </c>
      <c r="I2029" s="7" t="n">
        <v>0</v>
      </c>
      <c r="J2029" s="7" t="inlineStr">
        <is>
          <t>D-04-03</t>
        </is>
      </c>
      <c r="K2029" s="7" t="inlineStr"/>
      <c r="L2029" s="9" t="n">
        <v>0</v>
      </c>
      <c r="M2029" s="9" t="n">
        <v>0</v>
      </c>
      <c r="N2029" s="9" t="n">
        <v>15</v>
      </c>
      <c r="O2029" s="7" t="inlineStr">
        <is>
          <t>SKF</t>
        </is>
      </c>
      <c r="P2029" s="7" t="inlineStr">
        <is>
          <t>CRITIQUE</t>
        </is>
      </c>
      <c r="Q2029" s="7" t="inlineStr">
        <is>
          <t>WHAP</t>
        </is>
      </c>
      <c r="R2029" s="7" t="inlineStr">
        <is>
          <t>OUI</t>
        </is>
      </c>
      <c r="S2029" s="7" t="inlineStr">
        <is>
          <t>31/08/2026 02:59</t>
        </is>
      </c>
    </row>
    <row r="2030">
      <c r="A2030" s="8" t="inlineStr">
        <is>
          <t>WHAP-2026</t>
        </is>
      </c>
      <c r="B2030" s="8" t="inlineStr">
        <is>
          <t>MOT-2026</t>
        </is>
      </c>
      <c r="C2030" s="8" t="inlineStr">
        <is>
          <t>bague de siège de soupape</t>
        </is>
      </c>
      <c r="D2030" s="8" t="inlineStr">
        <is>
          <t>Moteur</t>
        </is>
      </c>
      <c r="E2030" s="8" t="inlineStr">
        <is>
          <t>Moteur</t>
        </is>
      </c>
      <c r="F2030" s="8" t="inlineStr">
        <is>
          <t>PIECE_VEHICULE</t>
        </is>
      </c>
      <c r="G2030" s="8" t="inlineStr">
        <is>
          <t>unité</t>
        </is>
      </c>
      <c r="H2030" s="8" t="inlineStr">
        <is>
          <t>LARGE</t>
        </is>
      </c>
      <c r="I2030" s="8" t="n">
        <v>0</v>
      </c>
      <c r="J2030" s="8" t="inlineStr">
        <is>
          <t>D-04-04</t>
        </is>
      </c>
      <c r="K2030" s="8" t="inlineStr"/>
      <c r="L2030" s="10" t="n">
        <v>0</v>
      </c>
      <c r="M2030" s="10" t="n">
        <v>0</v>
      </c>
      <c r="N2030" s="10" t="n">
        <v>17</v>
      </c>
      <c r="O2030" s="8" t="inlineStr">
        <is>
          <t>SKF</t>
        </is>
      </c>
      <c r="P2030" s="8" t="inlineStr">
        <is>
          <t>CRITIQUE</t>
        </is>
      </c>
      <c r="Q2030" s="8" t="inlineStr">
        <is>
          <t>WHAP</t>
        </is>
      </c>
      <c r="R2030" s="8" t="inlineStr">
        <is>
          <t>OUI</t>
        </is>
      </c>
      <c r="S2030" s="8" t="inlineStr">
        <is>
          <t>31/08/2026 02:59</t>
        </is>
      </c>
    </row>
    <row r="2031">
      <c r="A2031" s="7" t="inlineStr">
        <is>
          <t>WHAP-2027</t>
        </is>
      </c>
      <c r="B2031" s="7" t="inlineStr">
        <is>
          <t>MOT-2027</t>
        </is>
      </c>
      <c r="C2031" s="7" t="inlineStr">
        <is>
          <t>entretoise de siège de soupape</t>
        </is>
      </c>
      <c r="D2031" s="7" t="inlineStr">
        <is>
          <t>Moteur</t>
        </is>
      </c>
      <c r="E2031" s="7" t="inlineStr">
        <is>
          <t>Moteur</t>
        </is>
      </c>
      <c r="F2031" s="7" t="inlineStr">
        <is>
          <t>PIECE_VEHICULE</t>
        </is>
      </c>
      <c r="G2031" s="7" t="inlineStr">
        <is>
          <t>unité</t>
        </is>
      </c>
      <c r="H2031" s="7" t="inlineStr">
        <is>
          <t>LARGE</t>
        </is>
      </c>
      <c r="I2031" s="7" t="n">
        <v>0</v>
      </c>
      <c r="J2031" s="7" t="inlineStr">
        <is>
          <t>C-05-01</t>
        </is>
      </c>
      <c r="K2031" s="7" t="inlineStr"/>
      <c r="L2031" s="9" t="n">
        <v>0</v>
      </c>
      <c r="M2031" s="9" t="n">
        <v>0</v>
      </c>
      <c r="N2031" s="9" t="n">
        <v>17</v>
      </c>
      <c r="O2031" s="7" t="inlineStr">
        <is>
          <t>SUM</t>
        </is>
      </c>
      <c r="P2031" s="7" t="inlineStr">
        <is>
          <t>CRITIQUE</t>
        </is>
      </c>
      <c r="Q2031" s="7" t="inlineStr">
        <is>
          <t>WHAP</t>
        </is>
      </c>
      <c r="R2031" s="7" t="inlineStr">
        <is>
          <t>OUI</t>
        </is>
      </c>
      <c r="S2031" s="7" t="inlineStr">
        <is>
          <t>31/08/2026 02:59</t>
        </is>
      </c>
    </row>
    <row r="2032">
      <c r="A2032" s="8" t="inlineStr">
        <is>
          <t>WHAP-2028</t>
        </is>
      </c>
      <c r="B2032" s="8" t="inlineStr">
        <is>
          <t>MOT-2028</t>
        </is>
      </c>
      <c r="C2032" s="8" t="inlineStr">
        <is>
          <t>axe de siège de soupape</t>
        </is>
      </c>
      <c r="D2032" s="8" t="inlineStr">
        <is>
          <t>Moteur</t>
        </is>
      </c>
      <c r="E2032" s="8" t="inlineStr">
        <is>
          <t>Moteur</t>
        </is>
      </c>
      <c r="F2032" s="8" t="inlineStr">
        <is>
          <t>PIECE_VEHICULE</t>
        </is>
      </c>
      <c r="G2032" s="8" t="inlineStr">
        <is>
          <t>unité</t>
        </is>
      </c>
      <c r="H2032" s="8" t="inlineStr">
        <is>
          <t>LARGE</t>
        </is>
      </c>
      <c r="I2032" s="8" t="n">
        <v>0</v>
      </c>
      <c r="J2032" s="8" t="inlineStr">
        <is>
          <t>B-02-01</t>
        </is>
      </c>
      <c r="K2032" s="8" t="inlineStr"/>
      <c r="L2032" s="10" t="n">
        <v>0</v>
      </c>
      <c r="M2032" s="10" t="n">
        <v>0</v>
      </c>
      <c r="N2032" s="10" t="n">
        <v>18</v>
      </c>
      <c r="O2032" s="8" t="inlineStr">
        <is>
          <t>YZK</t>
        </is>
      </c>
      <c r="P2032" s="8" t="inlineStr">
        <is>
          <t>CRITIQUE</t>
        </is>
      </c>
      <c r="Q2032" s="8" t="inlineStr">
        <is>
          <t>WHAP</t>
        </is>
      </c>
      <c r="R2032" s="8" t="inlineStr">
        <is>
          <t>OUI</t>
        </is>
      </c>
      <c r="S2032" s="8" t="inlineStr">
        <is>
          <t>31/08/2026 02:59</t>
        </is>
      </c>
    </row>
    <row r="2033">
      <c r="A2033" s="7" t="inlineStr">
        <is>
          <t>WHAP-2029</t>
        </is>
      </c>
      <c r="B2033" s="7" t="inlineStr">
        <is>
          <t>MOT-2029</t>
        </is>
      </c>
      <c r="C2033" s="7" t="inlineStr">
        <is>
          <t>poulie de siège de soupape</t>
        </is>
      </c>
      <c r="D2033" s="7" t="inlineStr">
        <is>
          <t>Moteur</t>
        </is>
      </c>
      <c r="E2033" s="7" t="inlineStr">
        <is>
          <t>Moteur</t>
        </is>
      </c>
      <c r="F2033" s="7" t="inlineStr">
        <is>
          <t>PIECE_VEHICULE</t>
        </is>
      </c>
      <c r="G2033" s="7" t="inlineStr">
        <is>
          <t>unité</t>
        </is>
      </c>
      <c r="H2033" s="7" t="inlineStr">
        <is>
          <t>LARGE</t>
        </is>
      </c>
      <c r="I2033" s="7" t="n">
        <v>0</v>
      </c>
      <c r="J2033" s="7" t="inlineStr">
        <is>
          <t>B-02-02</t>
        </is>
      </c>
      <c r="K2033" s="7" t="inlineStr"/>
      <c r="L2033" s="9" t="n">
        <v>0</v>
      </c>
      <c r="M2033" s="9" t="n">
        <v>0</v>
      </c>
      <c r="N2033" s="9" t="n">
        <v>16</v>
      </c>
      <c r="O2033" s="7" t="inlineStr">
        <is>
          <t>FAU</t>
        </is>
      </c>
      <c r="P2033" s="7" t="inlineStr">
        <is>
          <t>CRITIQUE</t>
        </is>
      </c>
      <c r="Q2033" s="7" t="inlineStr">
        <is>
          <t>WHAP</t>
        </is>
      </c>
      <c r="R2033" s="7" t="inlineStr">
        <is>
          <t>OUI</t>
        </is>
      </c>
      <c r="S2033" s="7" t="inlineStr">
        <is>
          <t>31/08/2026 02:59</t>
        </is>
      </c>
    </row>
    <row r="2034">
      <c r="A2034" s="8" t="inlineStr">
        <is>
          <t>WHAP-2030</t>
        </is>
      </c>
      <c r="B2034" s="8" t="inlineStr">
        <is>
          <t>MOT-2030</t>
        </is>
      </c>
      <c r="C2034" s="8" t="inlineStr">
        <is>
          <t>pignon de siège de soupape</t>
        </is>
      </c>
      <c r="D2034" s="8" t="inlineStr">
        <is>
          <t>Moteur</t>
        </is>
      </c>
      <c r="E2034" s="8" t="inlineStr">
        <is>
          <t>Moteur</t>
        </is>
      </c>
      <c r="F2034" s="8" t="inlineStr">
        <is>
          <t>PIECE_VEHICULE</t>
        </is>
      </c>
      <c r="G2034" s="8" t="inlineStr">
        <is>
          <t>unité</t>
        </is>
      </c>
      <c r="H2034" s="8" t="inlineStr">
        <is>
          <t>LARGE</t>
        </is>
      </c>
      <c r="I2034" s="8" t="n">
        <v>0</v>
      </c>
      <c r="J2034" s="8" t="inlineStr">
        <is>
          <t>C-06-02</t>
        </is>
      </c>
      <c r="K2034" s="8" t="inlineStr"/>
      <c r="L2034" s="10" t="n">
        <v>0</v>
      </c>
      <c r="M2034" s="10" t="n">
        <v>0</v>
      </c>
      <c r="N2034" s="10" t="n">
        <v>18</v>
      </c>
      <c r="O2034" s="8" t="inlineStr">
        <is>
          <t>HEL</t>
        </is>
      </c>
      <c r="P2034" s="8" t="inlineStr">
        <is>
          <t>CRITIQUE</t>
        </is>
      </c>
      <c r="Q2034" s="8" t="inlineStr">
        <is>
          <t>WHAP</t>
        </is>
      </c>
      <c r="R2034" s="8" t="inlineStr">
        <is>
          <t>OUI</t>
        </is>
      </c>
      <c r="S2034" s="8" t="inlineStr">
        <is>
          <t>31/08/2026 02:59</t>
        </is>
      </c>
    </row>
    <row r="2035">
      <c r="A2035" s="7" t="inlineStr">
        <is>
          <t>WHAP-2031</t>
        </is>
      </c>
      <c r="B2035" s="7" t="inlineStr">
        <is>
          <t>MOT-2031</t>
        </is>
      </c>
      <c r="C2035" s="7" t="inlineStr">
        <is>
          <t>ensemble de injecteur</t>
        </is>
      </c>
      <c r="D2035" s="7" t="inlineStr">
        <is>
          <t>Moteur</t>
        </is>
      </c>
      <c r="E2035" s="7" t="inlineStr">
        <is>
          <t>Moteur</t>
        </is>
      </c>
      <c r="F2035" s="7" t="inlineStr">
        <is>
          <t>PIECE_VEHICULE</t>
        </is>
      </c>
      <c r="G2035" s="7" t="inlineStr">
        <is>
          <t>unité</t>
        </is>
      </c>
      <c r="H2035" s="7" t="inlineStr">
        <is>
          <t>LARGE</t>
        </is>
      </c>
      <c r="I2035" s="7" t="n">
        <v>0</v>
      </c>
      <c r="J2035" s="7" t="inlineStr">
        <is>
          <t>F-06-02</t>
        </is>
      </c>
      <c r="K2035" s="7" t="inlineStr"/>
      <c r="L2035" s="9" t="n">
        <v>0</v>
      </c>
      <c r="M2035" s="9" t="n">
        <v>0</v>
      </c>
      <c r="N2035" s="9" t="n">
        <v>12</v>
      </c>
      <c r="O2035" s="7" t="inlineStr">
        <is>
          <t>VAL</t>
        </is>
      </c>
      <c r="P2035" s="7" t="inlineStr">
        <is>
          <t>CRITIQUE</t>
        </is>
      </c>
      <c r="Q2035" s="7" t="inlineStr">
        <is>
          <t>WHAP</t>
        </is>
      </c>
      <c r="R2035" s="7" t="inlineStr">
        <is>
          <t>OUI</t>
        </is>
      </c>
      <c r="S2035" s="7" t="inlineStr">
        <is>
          <t>31/08/2026 02:59</t>
        </is>
      </c>
    </row>
    <row r="2036">
      <c r="A2036" s="8" t="inlineStr">
        <is>
          <t>WHAP-2032</t>
        </is>
      </c>
      <c r="B2036" s="8" t="inlineStr">
        <is>
          <t>MOT-2032</t>
        </is>
      </c>
      <c r="C2036" s="8" t="inlineStr">
        <is>
          <t>kit de injecteur</t>
        </is>
      </c>
      <c r="D2036" s="8" t="inlineStr">
        <is>
          <t>Moteur</t>
        </is>
      </c>
      <c r="E2036" s="8" t="inlineStr">
        <is>
          <t>Moteur</t>
        </is>
      </c>
      <c r="F2036" s="8" t="inlineStr">
        <is>
          <t>PIECE_VEHICULE</t>
        </is>
      </c>
      <c r="G2036" s="8" t="inlineStr">
        <is>
          <t>unité</t>
        </is>
      </c>
      <c r="H2036" s="8" t="inlineStr">
        <is>
          <t>LARGE</t>
        </is>
      </c>
      <c r="I2036" s="8" t="n">
        <v>0</v>
      </c>
      <c r="J2036" s="8" t="inlineStr">
        <is>
          <t>C-05-03</t>
        </is>
      </c>
      <c r="K2036" s="8" t="inlineStr"/>
      <c r="L2036" s="10" t="n">
        <v>0</v>
      </c>
      <c r="M2036" s="10" t="n">
        <v>0</v>
      </c>
      <c r="N2036" s="10" t="n">
        <v>19</v>
      </c>
      <c r="O2036" s="8" t="inlineStr">
        <is>
          <t>DEL</t>
        </is>
      </c>
      <c r="P2036" s="8" t="inlineStr">
        <is>
          <t>CRITIQUE</t>
        </is>
      </c>
      <c r="Q2036" s="8" t="inlineStr">
        <is>
          <t>WHAP</t>
        </is>
      </c>
      <c r="R2036" s="8" t="inlineStr">
        <is>
          <t>OUI</t>
        </is>
      </c>
      <c r="S2036" s="8" t="inlineStr">
        <is>
          <t>31/08/2026 02:59</t>
        </is>
      </c>
    </row>
    <row r="2037">
      <c r="A2037" s="7" t="inlineStr">
        <is>
          <t>WHAP-2033</t>
        </is>
      </c>
      <c r="B2037" s="7" t="inlineStr">
        <is>
          <t>MOT-2033</t>
        </is>
      </c>
      <c r="C2037" s="7" t="inlineStr">
        <is>
          <t>support de injecteur</t>
        </is>
      </c>
      <c r="D2037" s="7" t="inlineStr">
        <is>
          <t>Moteur</t>
        </is>
      </c>
      <c r="E2037" s="7" t="inlineStr">
        <is>
          <t>Moteur</t>
        </is>
      </c>
      <c r="F2037" s="7" t="inlineStr">
        <is>
          <t>PIECE_VEHICULE</t>
        </is>
      </c>
      <c r="G2037" s="7" t="inlineStr">
        <is>
          <t>unité</t>
        </is>
      </c>
      <c r="H2037" s="7" t="inlineStr">
        <is>
          <t>LARGE</t>
        </is>
      </c>
      <c r="I2037" s="7" t="n">
        <v>0</v>
      </c>
      <c r="J2037" s="7" t="inlineStr">
        <is>
          <t>F-06-04</t>
        </is>
      </c>
      <c r="K2037" s="7" t="inlineStr"/>
      <c r="L2037" s="9" t="n">
        <v>0</v>
      </c>
      <c r="M2037" s="9" t="n">
        <v>0</v>
      </c>
      <c r="N2037" s="9" t="n">
        <v>12</v>
      </c>
      <c r="O2037" s="7" t="inlineStr">
        <is>
          <t>CTL</t>
        </is>
      </c>
      <c r="P2037" s="7" t="inlineStr">
        <is>
          <t>CRITIQUE</t>
        </is>
      </c>
      <c r="Q2037" s="7" t="inlineStr">
        <is>
          <t>WHAP</t>
        </is>
      </c>
      <c r="R2037" s="7" t="inlineStr">
        <is>
          <t>OUI</t>
        </is>
      </c>
      <c r="S2037" s="7" t="inlineStr">
        <is>
          <t>31/08/2026 02:59</t>
        </is>
      </c>
    </row>
    <row r="2038">
      <c r="A2038" s="8" t="inlineStr">
        <is>
          <t>WHAP-2034</t>
        </is>
      </c>
      <c r="B2038" s="8" t="inlineStr">
        <is>
          <t>MOT-2034</t>
        </is>
      </c>
      <c r="C2038" s="8" t="inlineStr">
        <is>
          <t>boîtier de injecteur</t>
        </is>
      </c>
      <c r="D2038" s="8" t="inlineStr">
        <is>
          <t>Moteur</t>
        </is>
      </c>
      <c r="E2038" s="8" t="inlineStr">
        <is>
          <t>Moteur</t>
        </is>
      </c>
      <c r="F2038" s="8" t="inlineStr">
        <is>
          <t>PIECE_VEHICULE</t>
        </is>
      </c>
      <c r="G2038" s="8" t="inlineStr">
        <is>
          <t>unité</t>
        </is>
      </c>
      <c r="H2038" s="8" t="inlineStr">
        <is>
          <t>LARGE</t>
        </is>
      </c>
      <c r="I2038" s="8" t="n">
        <v>0</v>
      </c>
      <c r="J2038" s="8" t="inlineStr">
        <is>
          <t>F-01-02</t>
        </is>
      </c>
      <c r="K2038" s="8" t="inlineStr"/>
      <c r="L2038" s="10" t="n">
        <v>0</v>
      </c>
      <c r="M2038" s="10" t="n">
        <v>0</v>
      </c>
      <c r="N2038" s="10" t="n">
        <v>19</v>
      </c>
      <c r="O2038" s="8" t="inlineStr">
        <is>
          <t>SKF</t>
        </is>
      </c>
      <c r="P2038" s="8" t="inlineStr">
        <is>
          <t>CRITIQUE</t>
        </is>
      </c>
      <c r="Q2038" s="8" t="inlineStr">
        <is>
          <t>WHAP</t>
        </is>
      </c>
      <c r="R2038" s="8" t="inlineStr">
        <is>
          <t>OUI</t>
        </is>
      </c>
      <c r="S2038" s="8" t="inlineStr">
        <is>
          <t>31/08/2026 02:59</t>
        </is>
      </c>
    </row>
    <row r="2039">
      <c r="A2039" s="7" t="inlineStr">
        <is>
          <t>WHAP-2035</t>
        </is>
      </c>
      <c r="B2039" s="7" t="inlineStr">
        <is>
          <t>MOT-2035</t>
        </is>
      </c>
      <c r="C2039" s="7" t="inlineStr">
        <is>
          <t>module de injecteur</t>
        </is>
      </c>
      <c r="D2039" s="7" t="inlineStr">
        <is>
          <t>Moteur</t>
        </is>
      </c>
      <c r="E2039" s="7" t="inlineStr">
        <is>
          <t>Moteur</t>
        </is>
      </c>
      <c r="F2039" s="7" t="inlineStr">
        <is>
          <t>PIECE_VEHICULE</t>
        </is>
      </c>
      <c r="G2039" s="7" t="inlineStr">
        <is>
          <t>unité</t>
        </is>
      </c>
      <c r="H2039" s="7" t="inlineStr">
        <is>
          <t>LARGE</t>
        </is>
      </c>
      <c r="I2039" s="7" t="n">
        <v>0</v>
      </c>
      <c r="J2039" s="7" t="inlineStr">
        <is>
          <t>D-02-03</t>
        </is>
      </c>
      <c r="K2039" s="7" t="inlineStr"/>
      <c r="L2039" s="9" t="n">
        <v>0</v>
      </c>
      <c r="M2039" s="9" t="n">
        <v>0</v>
      </c>
      <c r="N2039" s="9" t="n">
        <v>15</v>
      </c>
      <c r="O2039" s="7" t="inlineStr">
        <is>
          <t>YZK</t>
        </is>
      </c>
      <c r="P2039" s="7" t="inlineStr">
        <is>
          <t>CRITIQUE</t>
        </is>
      </c>
      <c r="Q2039" s="7" t="inlineStr">
        <is>
          <t>WHAP</t>
        </is>
      </c>
      <c r="R2039" s="7" t="inlineStr">
        <is>
          <t>OUI</t>
        </is>
      </c>
      <c r="S2039" s="7" t="inlineStr">
        <is>
          <t>31/08/2026 02:59</t>
        </is>
      </c>
    </row>
    <row r="2040">
      <c r="A2040" s="8" t="inlineStr">
        <is>
          <t>WHAP-2036</t>
        </is>
      </c>
      <c r="B2040" s="8" t="inlineStr">
        <is>
          <t>MOT-2036</t>
        </is>
      </c>
      <c r="C2040" s="8" t="inlineStr">
        <is>
          <t>câblage de injecteur</t>
        </is>
      </c>
      <c r="D2040" s="8" t="inlineStr">
        <is>
          <t>Moteur</t>
        </is>
      </c>
      <c r="E2040" s="8" t="inlineStr">
        <is>
          <t>Moteur</t>
        </is>
      </c>
      <c r="F2040" s="8" t="inlineStr">
        <is>
          <t>PIECE_VEHICULE</t>
        </is>
      </c>
      <c r="G2040" s="8" t="inlineStr">
        <is>
          <t>unité</t>
        </is>
      </c>
      <c r="H2040" s="8" t="inlineStr">
        <is>
          <t>LARGE</t>
        </is>
      </c>
      <c r="I2040" s="8" t="n">
        <v>0</v>
      </c>
      <c r="J2040" s="8" t="inlineStr">
        <is>
          <t>B-02-04</t>
        </is>
      </c>
      <c r="K2040" s="8" t="inlineStr"/>
      <c r="L2040" s="10" t="n">
        <v>0</v>
      </c>
      <c r="M2040" s="10" t="n">
        <v>0</v>
      </c>
      <c r="N2040" s="10" t="n">
        <v>18</v>
      </c>
      <c r="O2040" s="8" t="inlineStr">
        <is>
          <t>SKF</t>
        </is>
      </c>
      <c r="P2040" s="8" t="inlineStr">
        <is>
          <t>CRITIQUE</t>
        </is>
      </c>
      <c r="Q2040" s="8" t="inlineStr">
        <is>
          <t>WHAP</t>
        </is>
      </c>
      <c r="R2040" s="8" t="inlineStr">
        <is>
          <t>OUI</t>
        </is>
      </c>
      <c r="S2040" s="8" t="inlineStr">
        <is>
          <t>31/08/2026 02:59</t>
        </is>
      </c>
    </row>
    <row r="2041">
      <c r="A2041" s="7" t="inlineStr">
        <is>
          <t>WHAP-2037</t>
        </is>
      </c>
      <c r="B2041" s="7" t="inlineStr">
        <is>
          <t>MOT-2037</t>
        </is>
      </c>
      <c r="C2041" s="7" t="inlineStr">
        <is>
          <t>connecteur de injecteur</t>
        </is>
      </c>
      <c r="D2041" s="7" t="inlineStr">
        <is>
          <t>Moteur</t>
        </is>
      </c>
      <c r="E2041" s="7" t="inlineStr">
        <is>
          <t>Moteur</t>
        </is>
      </c>
      <c r="F2041" s="7" t="inlineStr">
        <is>
          <t>PIECE_VEHICULE</t>
        </is>
      </c>
      <c r="G2041" s="7" t="inlineStr">
        <is>
          <t>unité</t>
        </is>
      </c>
      <c r="H2041" s="7" t="inlineStr">
        <is>
          <t>LARGE</t>
        </is>
      </c>
      <c r="I2041" s="7" t="n">
        <v>0</v>
      </c>
      <c r="J2041" s="7" t="inlineStr">
        <is>
          <t>E-01-03</t>
        </is>
      </c>
      <c r="K2041" s="7" t="inlineStr"/>
      <c r="L2041" s="9" t="n">
        <v>0</v>
      </c>
      <c r="M2041" s="9" t="n">
        <v>0</v>
      </c>
      <c r="N2041" s="9" t="n">
        <v>12</v>
      </c>
      <c r="O2041" s="7" t="inlineStr">
        <is>
          <t>HEL</t>
        </is>
      </c>
      <c r="P2041" s="7" t="inlineStr">
        <is>
          <t>CRITIQUE</t>
        </is>
      </c>
      <c r="Q2041" s="7" t="inlineStr">
        <is>
          <t>WHAP</t>
        </is>
      </c>
      <c r="R2041" s="7" t="inlineStr">
        <is>
          <t>OUI</t>
        </is>
      </c>
      <c r="S2041" s="7" t="inlineStr">
        <is>
          <t>31/08/2026 02:59</t>
        </is>
      </c>
    </row>
    <row r="2042">
      <c r="A2042" s="8" t="inlineStr">
        <is>
          <t>WHAP-2038</t>
        </is>
      </c>
      <c r="B2042" s="8" t="inlineStr">
        <is>
          <t>MOT-2038</t>
        </is>
      </c>
      <c r="C2042" s="8" t="inlineStr">
        <is>
          <t>joint de injecteur</t>
        </is>
      </c>
      <c r="D2042" s="8" t="inlineStr">
        <is>
          <t>Moteur</t>
        </is>
      </c>
      <c r="E2042" s="8" t="inlineStr">
        <is>
          <t>Moteur</t>
        </is>
      </c>
      <c r="F2042" s="8" t="inlineStr">
        <is>
          <t>PIECE_VEHICULE</t>
        </is>
      </c>
      <c r="G2042" s="8" t="inlineStr">
        <is>
          <t>unité</t>
        </is>
      </c>
      <c r="H2042" s="8" t="inlineStr">
        <is>
          <t>LARGE</t>
        </is>
      </c>
      <c r="I2042" s="8" t="n">
        <v>0</v>
      </c>
      <c r="J2042" s="8" t="inlineStr">
        <is>
          <t>D-04-03</t>
        </is>
      </c>
      <c r="K2042" s="8" t="inlineStr"/>
      <c r="L2042" s="10" t="n">
        <v>0</v>
      </c>
      <c r="M2042" s="10" t="n">
        <v>0</v>
      </c>
      <c r="N2042" s="10" t="n">
        <v>12</v>
      </c>
      <c r="O2042" s="8" t="inlineStr">
        <is>
          <t>VAL</t>
        </is>
      </c>
      <c r="P2042" s="8" t="inlineStr">
        <is>
          <t>CRITIQUE</t>
        </is>
      </c>
      <c r="Q2042" s="8" t="inlineStr">
        <is>
          <t>WHAP</t>
        </is>
      </c>
      <c r="R2042" s="8" t="inlineStr">
        <is>
          <t>OUI</t>
        </is>
      </c>
      <c r="S2042" s="8" t="inlineStr">
        <is>
          <t>31/08/2026 02:59</t>
        </is>
      </c>
    </row>
    <row r="2043">
      <c r="A2043" s="7" t="inlineStr">
        <is>
          <t>WHAP-2039</t>
        </is>
      </c>
      <c r="B2043" s="7" t="inlineStr">
        <is>
          <t>MOT-2039</t>
        </is>
      </c>
      <c r="C2043" s="7" t="inlineStr">
        <is>
          <t>fixation de injecteur</t>
        </is>
      </c>
      <c r="D2043" s="7" t="inlineStr">
        <is>
          <t>Moteur</t>
        </is>
      </c>
      <c r="E2043" s="7" t="inlineStr">
        <is>
          <t>Moteur</t>
        </is>
      </c>
      <c r="F2043" s="7" t="inlineStr">
        <is>
          <t>PIECE_VEHICULE</t>
        </is>
      </c>
      <c r="G2043" s="7" t="inlineStr">
        <is>
          <t>unité</t>
        </is>
      </c>
      <c r="H2043" s="7" t="inlineStr">
        <is>
          <t>LARGE</t>
        </is>
      </c>
      <c r="I2043" s="7" t="n">
        <v>0</v>
      </c>
      <c r="J2043" s="7" t="inlineStr">
        <is>
          <t>E-05-01</t>
        </is>
      </c>
      <c r="K2043" s="7" t="inlineStr"/>
      <c r="L2043" s="9" t="n">
        <v>0</v>
      </c>
      <c r="M2043" s="9" t="n">
        <v>0</v>
      </c>
      <c r="N2043" s="9" t="n">
        <v>20</v>
      </c>
      <c r="O2043" s="7" t="inlineStr">
        <is>
          <t>DEL</t>
        </is>
      </c>
      <c r="P2043" s="7" t="inlineStr">
        <is>
          <t>CRITIQUE</t>
        </is>
      </c>
      <c r="Q2043" s="7" t="inlineStr">
        <is>
          <t>WHAP</t>
        </is>
      </c>
      <c r="R2043" s="7" t="inlineStr">
        <is>
          <t>OUI</t>
        </is>
      </c>
      <c r="S2043" s="7" t="inlineStr">
        <is>
          <t>31/08/2026 02:59</t>
        </is>
      </c>
    </row>
    <row r="2044">
      <c r="A2044" s="8" t="inlineStr">
        <is>
          <t>WHAP-2040</t>
        </is>
      </c>
      <c r="B2044" s="8" t="inlineStr">
        <is>
          <t>MOT-2040</t>
        </is>
      </c>
      <c r="C2044" s="8" t="inlineStr">
        <is>
          <t>protection de injecteur</t>
        </is>
      </c>
      <c r="D2044" s="8" t="inlineStr">
        <is>
          <t>Moteur</t>
        </is>
      </c>
      <c r="E2044" s="8" t="inlineStr">
        <is>
          <t>Moteur</t>
        </is>
      </c>
      <c r="F2044" s="8" t="inlineStr">
        <is>
          <t>PIECE_VEHICULE</t>
        </is>
      </c>
      <c r="G2044" s="8" t="inlineStr">
        <is>
          <t>unité</t>
        </is>
      </c>
      <c r="H2044" s="8" t="inlineStr">
        <is>
          <t>LARGE</t>
        </is>
      </c>
      <c r="I2044" s="8" t="n">
        <v>0</v>
      </c>
      <c r="J2044" s="8" t="inlineStr">
        <is>
          <t>B-02-02</t>
        </is>
      </c>
      <c r="K2044" s="8" t="inlineStr"/>
      <c r="L2044" s="10" t="n">
        <v>0</v>
      </c>
      <c r="M2044" s="10" t="n">
        <v>0</v>
      </c>
      <c r="N2044" s="10" t="n">
        <v>16</v>
      </c>
      <c r="O2044" s="8" t="inlineStr">
        <is>
          <t>CTL</t>
        </is>
      </c>
      <c r="P2044" s="8" t="inlineStr">
        <is>
          <t>CRITIQUE</t>
        </is>
      </c>
      <c r="Q2044" s="8" t="inlineStr">
        <is>
          <t>WHAP</t>
        </is>
      </c>
      <c r="R2044" s="8" t="inlineStr">
        <is>
          <t>OUI</t>
        </is>
      </c>
      <c r="S2044" s="8" t="inlineStr">
        <is>
          <t>31/08/2026 02:59</t>
        </is>
      </c>
    </row>
    <row r="2045">
      <c r="A2045" s="7" t="inlineStr">
        <is>
          <t>WHAP-2041</t>
        </is>
      </c>
      <c r="B2045" s="7" t="inlineStr">
        <is>
          <t>MOT-2041</t>
        </is>
      </c>
      <c r="C2045" s="7" t="inlineStr">
        <is>
          <t>capteur de injecteur</t>
        </is>
      </c>
      <c r="D2045" s="7" t="inlineStr">
        <is>
          <t>Moteur</t>
        </is>
      </c>
      <c r="E2045" s="7" t="inlineStr">
        <is>
          <t>Moteur</t>
        </is>
      </c>
      <c r="F2045" s="7" t="inlineStr">
        <is>
          <t>PIECE_VEHICULE</t>
        </is>
      </c>
      <c r="G2045" s="7" t="inlineStr">
        <is>
          <t>unité</t>
        </is>
      </c>
      <c r="H2045" s="7" t="inlineStr">
        <is>
          <t>LARGE</t>
        </is>
      </c>
      <c r="I2045" s="7" t="n">
        <v>0</v>
      </c>
      <c r="J2045" s="7" t="inlineStr">
        <is>
          <t>E-06-03</t>
        </is>
      </c>
      <c r="K2045" s="7" t="inlineStr"/>
      <c r="L2045" s="9" t="n">
        <v>0</v>
      </c>
      <c r="M2045" s="9" t="n">
        <v>0</v>
      </c>
      <c r="N2045" s="9" t="n">
        <v>11</v>
      </c>
      <c r="O2045" s="7" t="inlineStr">
        <is>
          <t>MAG</t>
        </is>
      </c>
      <c r="P2045" s="7" t="inlineStr">
        <is>
          <t>CRITIQUE</t>
        </is>
      </c>
      <c r="Q2045" s="7" t="inlineStr">
        <is>
          <t>WHAP</t>
        </is>
      </c>
      <c r="R2045" s="7" t="inlineStr">
        <is>
          <t>OUI</t>
        </is>
      </c>
      <c r="S2045" s="7" t="inlineStr">
        <is>
          <t>31/08/2026 02:59</t>
        </is>
      </c>
    </row>
    <row r="2046">
      <c r="A2046" s="8" t="inlineStr">
        <is>
          <t>WHAP-2042</t>
        </is>
      </c>
      <c r="B2046" s="8" t="inlineStr">
        <is>
          <t>MOT-2042</t>
        </is>
      </c>
      <c r="C2046" s="8" t="inlineStr">
        <is>
          <t>actionneur de injecteur</t>
        </is>
      </c>
      <c r="D2046" s="8" t="inlineStr">
        <is>
          <t>Moteur</t>
        </is>
      </c>
      <c r="E2046" s="8" t="inlineStr">
        <is>
          <t>Moteur</t>
        </is>
      </c>
      <c r="F2046" s="8" t="inlineStr">
        <is>
          <t>PIECE_VEHICULE</t>
        </is>
      </c>
      <c r="G2046" s="8" t="inlineStr">
        <is>
          <t>unité</t>
        </is>
      </c>
      <c r="H2046" s="8" t="inlineStr">
        <is>
          <t>LARGE</t>
        </is>
      </c>
      <c r="I2046" s="8" t="n">
        <v>0</v>
      </c>
      <c r="J2046" s="8" t="inlineStr">
        <is>
          <t>A-01-02</t>
        </is>
      </c>
      <c r="K2046" s="8" t="inlineStr"/>
      <c r="L2046" s="10" t="n">
        <v>0</v>
      </c>
      <c r="M2046" s="10" t="n">
        <v>0</v>
      </c>
      <c r="N2046" s="10" t="n">
        <v>17</v>
      </c>
      <c r="O2046" s="8" t="inlineStr">
        <is>
          <t>HEL</t>
        </is>
      </c>
      <c r="P2046" s="8" t="inlineStr">
        <is>
          <t>CRITIQUE</t>
        </is>
      </c>
      <c r="Q2046" s="8" t="inlineStr">
        <is>
          <t>WHAP</t>
        </is>
      </c>
      <c r="R2046" s="8" t="inlineStr">
        <is>
          <t>OUI</t>
        </is>
      </c>
      <c r="S2046" s="8" t="inlineStr">
        <is>
          <t>31/08/2026 02:59</t>
        </is>
      </c>
    </row>
    <row r="2047">
      <c r="A2047" s="7" t="inlineStr">
        <is>
          <t>WHAP-2043</t>
        </is>
      </c>
      <c r="B2047" s="7" t="inlineStr">
        <is>
          <t>MOT-2043</t>
        </is>
      </c>
      <c r="C2047" s="7" t="inlineStr">
        <is>
          <t>raccord de injecteur</t>
        </is>
      </c>
      <c r="D2047" s="7" t="inlineStr">
        <is>
          <t>Moteur</t>
        </is>
      </c>
      <c r="E2047" s="7" t="inlineStr">
        <is>
          <t>Moteur</t>
        </is>
      </c>
      <c r="F2047" s="7" t="inlineStr">
        <is>
          <t>PIECE_VEHICULE</t>
        </is>
      </c>
      <c r="G2047" s="7" t="inlineStr">
        <is>
          <t>unité</t>
        </is>
      </c>
      <c r="H2047" s="7" t="inlineStr">
        <is>
          <t>LARGE</t>
        </is>
      </c>
      <c r="I2047" s="7" t="n">
        <v>0</v>
      </c>
      <c r="J2047" s="7" t="inlineStr">
        <is>
          <t>D-03-02</t>
        </is>
      </c>
      <c r="K2047" s="7" t="inlineStr"/>
      <c r="L2047" s="9" t="n">
        <v>0</v>
      </c>
      <c r="M2047" s="9" t="n">
        <v>0</v>
      </c>
      <c r="N2047" s="9" t="n">
        <v>12</v>
      </c>
      <c r="O2047" s="7" t="inlineStr">
        <is>
          <t>YZK</t>
        </is>
      </c>
      <c r="P2047" s="7" t="inlineStr">
        <is>
          <t>CRITIQUE</t>
        </is>
      </c>
      <c r="Q2047" s="7" t="inlineStr">
        <is>
          <t>WHAP</t>
        </is>
      </c>
      <c r="R2047" s="7" t="inlineStr">
        <is>
          <t>OUI</t>
        </is>
      </c>
      <c r="S2047" s="7" t="inlineStr">
        <is>
          <t>31/08/2026 02:59</t>
        </is>
      </c>
    </row>
    <row r="2048">
      <c r="A2048" s="8" t="inlineStr">
        <is>
          <t>WHAP-2044</t>
        </is>
      </c>
      <c r="B2048" s="8" t="inlineStr">
        <is>
          <t>MOT-2044</t>
        </is>
      </c>
      <c r="C2048" s="8" t="inlineStr">
        <is>
          <t>plaque de injecteur</t>
        </is>
      </c>
      <c r="D2048" s="8" t="inlineStr">
        <is>
          <t>Moteur</t>
        </is>
      </c>
      <c r="E2048" s="8" t="inlineStr">
        <is>
          <t>Moteur</t>
        </is>
      </c>
      <c r="F2048" s="8" t="inlineStr">
        <is>
          <t>PIECE_VEHICULE</t>
        </is>
      </c>
      <c r="G2048" s="8" t="inlineStr">
        <is>
          <t>unité</t>
        </is>
      </c>
      <c r="H2048" s="8" t="inlineStr">
        <is>
          <t>LARGE</t>
        </is>
      </c>
      <c r="I2048" s="8" t="n">
        <v>0</v>
      </c>
      <c r="J2048" s="8" t="inlineStr">
        <is>
          <t>A-04-04</t>
        </is>
      </c>
      <c r="K2048" s="8" t="inlineStr"/>
      <c r="L2048" s="10" t="n">
        <v>0</v>
      </c>
      <c r="M2048" s="10" t="n">
        <v>0</v>
      </c>
      <c r="N2048" s="10" t="n">
        <v>14</v>
      </c>
      <c r="O2048" s="8" t="inlineStr">
        <is>
          <t>BOS</t>
        </is>
      </c>
      <c r="P2048" s="8" t="inlineStr">
        <is>
          <t>CRITIQUE</t>
        </is>
      </c>
      <c r="Q2048" s="8" t="inlineStr">
        <is>
          <t>WHAP</t>
        </is>
      </c>
      <c r="R2048" s="8" t="inlineStr">
        <is>
          <t>OUI</t>
        </is>
      </c>
      <c r="S2048" s="8" t="inlineStr">
        <is>
          <t>31/08/2026 02:59</t>
        </is>
      </c>
    </row>
    <row r="2049">
      <c r="A2049" s="7" t="inlineStr">
        <is>
          <t>WHAP-2045</t>
        </is>
      </c>
      <c r="B2049" s="7" t="inlineStr">
        <is>
          <t>MOT-2045</t>
        </is>
      </c>
      <c r="C2049" s="7" t="inlineStr">
        <is>
          <t>couvercle de injecteur</t>
        </is>
      </c>
      <c r="D2049" s="7" t="inlineStr">
        <is>
          <t>Moteur</t>
        </is>
      </c>
      <c r="E2049" s="7" t="inlineStr">
        <is>
          <t>Moteur</t>
        </is>
      </c>
      <c r="F2049" s="7" t="inlineStr">
        <is>
          <t>PIECE_VEHICULE</t>
        </is>
      </c>
      <c r="G2049" s="7" t="inlineStr">
        <is>
          <t>unité</t>
        </is>
      </c>
      <c r="H2049" s="7" t="inlineStr">
        <is>
          <t>LARGE</t>
        </is>
      </c>
      <c r="I2049" s="7" t="n">
        <v>0</v>
      </c>
      <c r="J2049" s="7" t="inlineStr">
        <is>
          <t>B-05-03</t>
        </is>
      </c>
      <c r="K2049" s="7" t="inlineStr"/>
      <c r="L2049" s="9" t="n">
        <v>0</v>
      </c>
      <c r="M2049" s="9" t="n">
        <v>0</v>
      </c>
      <c r="N2049" s="9" t="n">
        <v>13</v>
      </c>
      <c r="O2049" s="7" t="inlineStr">
        <is>
          <t>CTL</t>
        </is>
      </c>
      <c r="P2049" s="7" t="inlineStr">
        <is>
          <t>CRITIQUE</t>
        </is>
      </c>
      <c r="Q2049" s="7" t="inlineStr">
        <is>
          <t>WHAP</t>
        </is>
      </c>
      <c r="R2049" s="7" t="inlineStr">
        <is>
          <t>OUI</t>
        </is>
      </c>
      <c r="S2049" s="7" t="inlineStr">
        <is>
          <t>31/08/2026 02:59</t>
        </is>
      </c>
    </row>
    <row r="2050">
      <c r="A2050" s="8" t="inlineStr">
        <is>
          <t>WHAP-2046</t>
        </is>
      </c>
      <c r="B2050" s="8" t="inlineStr">
        <is>
          <t>MOT-2046</t>
        </is>
      </c>
      <c r="C2050" s="8" t="inlineStr">
        <is>
          <t>bague de injecteur</t>
        </is>
      </c>
      <c r="D2050" s="8" t="inlineStr">
        <is>
          <t>Moteur</t>
        </is>
      </c>
      <c r="E2050" s="8" t="inlineStr">
        <is>
          <t>Moteur</t>
        </is>
      </c>
      <c r="F2050" s="8" t="inlineStr">
        <is>
          <t>PIECE_VEHICULE</t>
        </is>
      </c>
      <c r="G2050" s="8" t="inlineStr">
        <is>
          <t>unité</t>
        </is>
      </c>
      <c r="H2050" s="8" t="inlineStr">
        <is>
          <t>LARGE</t>
        </is>
      </c>
      <c r="I2050" s="8" t="n">
        <v>0</v>
      </c>
      <c r="J2050" s="8" t="inlineStr">
        <is>
          <t>A-01-04</t>
        </is>
      </c>
      <c r="K2050" s="8" t="inlineStr"/>
      <c r="L2050" s="10" t="n">
        <v>0</v>
      </c>
      <c r="M2050" s="10" t="n">
        <v>0</v>
      </c>
      <c r="N2050" s="10" t="n">
        <v>20</v>
      </c>
      <c r="O2050" s="8" t="inlineStr">
        <is>
          <t>DEL</t>
        </is>
      </c>
      <c r="P2050" s="8" t="inlineStr">
        <is>
          <t>CRITIQUE</t>
        </is>
      </c>
      <c r="Q2050" s="8" t="inlineStr">
        <is>
          <t>WHAP</t>
        </is>
      </c>
      <c r="R2050" s="8" t="inlineStr">
        <is>
          <t>OUI</t>
        </is>
      </c>
      <c r="S2050" s="8" t="inlineStr">
        <is>
          <t>31/08/2026 02:59</t>
        </is>
      </c>
    </row>
    <row r="2051">
      <c r="A2051" s="7" t="inlineStr">
        <is>
          <t>WHAP-2047</t>
        </is>
      </c>
      <c r="B2051" s="7" t="inlineStr">
        <is>
          <t>MOT-2047</t>
        </is>
      </c>
      <c r="C2051" s="7" t="inlineStr">
        <is>
          <t>entretoise de injecteur</t>
        </is>
      </c>
      <c r="D2051" s="7" t="inlineStr">
        <is>
          <t>Moteur</t>
        </is>
      </c>
      <c r="E2051" s="7" t="inlineStr">
        <is>
          <t>Moteur</t>
        </is>
      </c>
      <c r="F2051" s="7" t="inlineStr">
        <is>
          <t>PIECE_VEHICULE</t>
        </is>
      </c>
      <c r="G2051" s="7" t="inlineStr">
        <is>
          <t>unité</t>
        </is>
      </c>
      <c r="H2051" s="7" t="inlineStr">
        <is>
          <t>LARGE</t>
        </is>
      </c>
      <c r="I2051" s="7" t="n">
        <v>0</v>
      </c>
      <c r="J2051" s="7" t="inlineStr">
        <is>
          <t>A-03-04</t>
        </is>
      </c>
      <c r="K2051" s="7" t="inlineStr"/>
      <c r="L2051" s="9" t="n">
        <v>0</v>
      </c>
      <c r="M2051" s="9" t="n">
        <v>0</v>
      </c>
      <c r="N2051" s="9" t="n">
        <v>14</v>
      </c>
      <c r="O2051" s="7" t="inlineStr">
        <is>
          <t>DEL</t>
        </is>
      </c>
      <c r="P2051" s="7" t="inlineStr">
        <is>
          <t>CRITIQUE</t>
        </is>
      </c>
      <c r="Q2051" s="7" t="inlineStr">
        <is>
          <t>WHAP</t>
        </is>
      </c>
      <c r="R2051" s="7" t="inlineStr">
        <is>
          <t>OUI</t>
        </is>
      </c>
      <c r="S2051" s="7" t="inlineStr">
        <is>
          <t>31/08/2026 02:59</t>
        </is>
      </c>
    </row>
    <row r="2052">
      <c r="A2052" s="8" t="inlineStr">
        <is>
          <t>WHAP-2048</t>
        </is>
      </c>
      <c r="B2052" s="8" t="inlineStr">
        <is>
          <t>MOT-2048</t>
        </is>
      </c>
      <c r="C2052" s="8" t="inlineStr">
        <is>
          <t>axe de injecteur</t>
        </is>
      </c>
      <c r="D2052" s="8" t="inlineStr">
        <is>
          <t>Moteur</t>
        </is>
      </c>
      <c r="E2052" s="8" t="inlineStr">
        <is>
          <t>Moteur</t>
        </is>
      </c>
      <c r="F2052" s="8" t="inlineStr">
        <is>
          <t>PIECE_VEHICULE</t>
        </is>
      </c>
      <c r="G2052" s="8" t="inlineStr">
        <is>
          <t>unité</t>
        </is>
      </c>
      <c r="H2052" s="8" t="inlineStr">
        <is>
          <t>LARGE</t>
        </is>
      </c>
      <c r="I2052" s="8" t="n">
        <v>0</v>
      </c>
      <c r="J2052" s="8" t="inlineStr">
        <is>
          <t>C-03-02</t>
        </is>
      </c>
      <c r="K2052" s="8" t="inlineStr"/>
      <c r="L2052" s="10" t="n">
        <v>0</v>
      </c>
      <c r="M2052" s="10" t="n">
        <v>0</v>
      </c>
      <c r="N2052" s="10" t="n">
        <v>17</v>
      </c>
      <c r="O2052" s="8" t="inlineStr">
        <is>
          <t>HEL</t>
        </is>
      </c>
      <c r="P2052" s="8" t="inlineStr">
        <is>
          <t>CRITIQUE</t>
        </is>
      </c>
      <c r="Q2052" s="8" t="inlineStr">
        <is>
          <t>WHAP</t>
        </is>
      </c>
      <c r="R2052" s="8" t="inlineStr">
        <is>
          <t>OUI</t>
        </is>
      </c>
      <c r="S2052" s="8" t="inlineStr">
        <is>
          <t>31/08/2026 02:59</t>
        </is>
      </c>
    </row>
    <row r="2053">
      <c r="A2053" s="7" t="inlineStr">
        <is>
          <t>WHAP-2049</t>
        </is>
      </c>
      <c r="B2053" s="7" t="inlineStr">
        <is>
          <t>MOT-2049</t>
        </is>
      </c>
      <c r="C2053" s="7" t="inlineStr">
        <is>
          <t>poulie de injecteur</t>
        </is>
      </c>
      <c r="D2053" s="7" t="inlineStr">
        <is>
          <t>Moteur</t>
        </is>
      </c>
      <c r="E2053" s="7" t="inlineStr">
        <is>
          <t>Moteur</t>
        </is>
      </c>
      <c r="F2053" s="7" t="inlineStr">
        <is>
          <t>PIECE_VEHICULE</t>
        </is>
      </c>
      <c r="G2053" s="7" t="inlineStr">
        <is>
          <t>unité</t>
        </is>
      </c>
      <c r="H2053" s="7" t="inlineStr">
        <is>
          <t>LARGE</t>
        </is>
      </c>
      <c r="I2053" s="7" t="n">
        <v>0</v>
      </c>
      <c r="J2053" s="7" t="inlineStr">
        <is>
          <t>D-04-03</t>
        </is>
      </c>
      <c r="K2053" s="7" t="inlineStr"/>
      <c r="L2053" s="9" t="n">
        <v>0</v>
      </c>
      <c r="M2053" s="9" t="n">
        <v>0</v>
      </c>
      <c r="N2053" s="9" t="n">
        <v>16</v>
      </c>
      <c r="O2053" s="7" t="inlineStr">
        <is>
          <t>VAL</t>
        </is>
      </c>
      <c r="P2053" s="7" t="inlineStr">
        <is>
          <t>CRITIQUE</t>
        </is>
      </c>
      <c r="Q2053" s="7" t="inlineStr">
        <is>
          <t>WHAP</t>
        </is>
      </c>
      <c r="R2053" s="7" t="inlineStr">
        <is>
          <t>OUI</t>
        </is>
      </c>
      <c r="S2053" s="7" t="inlineStr">
        <is>
          <t>31/08/2026 02:59</t>
        </is>
      </c>
    </row>
    <row r="2054">
      <c r="A2054" s="8" t="inlineStr">
        <is>
          <t>WHAP-2050</t>
        </is>
      </c>
      <c r="B2054" s="8" t="inlineStr">
        <is>
          <t>MOT-2050</t>
        </is>
      </c>
      <c r="C2054" s="8" t="inlineStr">
        <is>
          <t>pignon de injecteur</t>
        </is>
      </c>
      <c r="D2054" s="8" t="inlineStr">
        <is>
          <t>Moteur</t>
        </is>
      </c>
      <c r="E2054" s="8" t="inlineStr">
        <is>
          <t>Moteur</t>
        </is>
      </c>
      <c r="F2054" s="8" t="inlineStr">
        <is>
          <t>PIECE_VEHICULE</t>
        </is>
      </c>
      <c r="G2054" s="8" t="inlineStr">
        <is>
          <t>unité</t>
        </is>
      </c>
      <c r="H2054" s="8" t="inlineStr">
        <is>
          <t>LARGE</t>
        </is>
      </c>
      <c r="I2054" s="8" t="n">
        <v>0</v>
      </c>
      <c r="J2054" s="8" t="inlineStr">
        <is>
          <t>D-02-02</t>
        </is>
      </c>
      <c r="K2054" s="8" t="inlineStr"/>
      <c r="L2054" s="10" t="n">
        <v>0</v>
      </c>
      <c r="M2054" s="10" t="n">
        <v>0</v>
      </c>
      <c r="N2054" s="10" t="n">
        <v>16</v>
      </c>
      <c r="O2054" s="8" t="inlineStr">
        <is>
          <t>VAL</t>
        </is>
      </c>
      <c r="P2054" s="8" t="inlineStr">
        <is>
          <t>CRITIQUE</t>
        </is>
      </c>
      <c r="Q2054" s="8" t="inlineStr">
        <is>
          <t>WHAP</t>
        </is>
      </c>
      <c r="R2054" s="8" t="inlineStr">
        <is>
          <t>OUI</t>
        </is>
      </c>
      <c r="S2054" s="8" t="inlineStr">
        <is>
          <t>31/08/2026 02:59</t>
        </is>
      </c>
    </row>
    <row r="2055">
      <c r="A2055" s="7" t="inlineStr">
        <is>
          <t>WHAP-2051</t>
        </is>
      </c>
      <c r="B2055" s="7" t="inlineStr">
        <is>
          <t>MOT-2051</t>
        </is>
      </c>
      <c r="C2055" s="7" t="inlineStr">
        <is>
          <t>ensemble de rampe commune</t>
        </is>
      </c>
      <c r="D2055" s="7" t="inlineStr">
        <is>
          <t>Moteur</t>
        </is>
      </c>
      <c r="E2055" s="7" t="inlineStr">
        <is>
          <t>Moteur</t>
        </is>
      </c>
      <c r="F2055" s="7" t="inlineStr">
        <is>
          <t>PIECE_VEHICULE</t>
        </is>
      </c>
      <c r="G2055" s="7" t="inlineStr">
        <is>
          <t>unité</t>
        </is>
      </c>
      <c r="H2055" s="7" t="inlineStr">
        <is>
          <t>LARGE</t>
        </is>
      </c>
      <c r="I2055" s="7" t="n">
        <v>0</v>
      </c>
      <c r="J2055" s="7" t="inlineStr">
        <is>
          <t>B-04-03</t>
        </is>
      </c>
      <c r="K2055" s="7" t="inlineStr"/>
      <c r="L2055" s="9" t="n">
        <v>0</v>
      </c>
      <c r="M2055" s="9" t="n">
        <v>0</v>
      </c>
      <c r="N2055" s="9" t="n">
        <v>20</v>
      </c>
      <c r="O2055" s="7" t="inlineStr">
        <is>
          <t>CTL</t>
        </is>
      </c>
      <c r="P2055" s="7" t="inlineStr">
        <is>
          <t>CRITIQUE</t>
        </is>
      </c>
      <c r="Q2055" s="7" t="inlineStr">
        <is>
          <t>WHAP</t>
        </is>
      </c>
      <c r="R2055" s="7" t="inlineStr">
        <is>
          <t>OUI</t>
        </is>
      </c>
      <c r="S2055" s="7" t="inlineStr">
        <is>
          <t>31/08/2026 02:59</t>
        </is>
      </c>
    </row>
    <row r="2056">
      <c r="A2056" s="8" t="inlineStr">
        <is>
          <t>WHAP-2052</t>
        </is>
      </c>
      <c r="B2056" s="8" t="inlineStr">
        <is>
          <t>MOT-2052</t>
        </is>
      </c>
      <c r="C2056" s="8" t="inlineStr">
        <is>
          <t>kit de rampe commune</t>
        </is>
      </c>
      <c r="D2056" s="8" t="inlineStr">
        <is>
          <t>Moteur</t>
        </is>
      </c>
      <c r="E2056" s="8" t="inlineStr">
        <is>
          <t>Moteur</t>
        </is>
      </c>
      <c r="F2056" s="8" t="inlineStr">
        <is>
          <t>PIECE_VEHICULE</t>
        </is>
      </c>
      <c r="G2056" s="8" t="inlineStr">
        <is>
          <t>unité</t>
        </is>
      </c>
      <c r="H2056" s="8" t="inlineStr">
        <is>
          <t>LARGE</t>
        </is>
      </c>
      <c r="I2056" s="8" t="n">
        <v>0</v>
      </c>
      <c r="J2056" s="8" t="inlineStr">
        <is>
          <t>B-04-04</t>
        </is>
      </c>
      <c r="K2056" s="8" t="inlineStr"/>
      <c r="L2056" s="10" t="n">
        <v>0</v>
      </c>
      <c r="M2056" s="10" t="n">
        <v>0</v>
      </c>
      <c r="N2056" s="10" t="n">
        <v>12</v>
      </c>
      <c r="O2056" s="8" t="inlineStr">
        <is>
          <t>CTL</t>
        </is>
      </c>
      <c r="P2056" s="8" t="inlineStr">
        <is>
          <t>CRITIQUE</t>
        </is>
      </c>
      <c r="Q2056" s="8" t="inlineStr">
        <is>
          <t>WHAP</t>
        </is>
      </c>
      <c r="R2056" s="8" t="inlineStr">
        <is>
          <t>OUI</t>
        </is>
      </c>
      <c r="S2056" s="8" t="inlineStr">
        <is>
          <t>31/08/2026 02:59</t>
        </is>
      </c>
    </row>
    <row r="2057">
      <c r="A2057" s="7" t="inlineStr">
        <is>
          <t>WHAP-2053</t>
        </is>
      </c>
      <c r="B2057" s="7" t="inlineStr">
        <is>
          <t>MOT-2053</t>
        </is>
      </c>
      <c r="C2057" s="7" t="inlineStr">
        <is>
          <t>support de rampe commune</t>
        </is>
      </c>
      <c r="D2057" s="7" t="inlineStr">
        <is>
          <t>Moteur</t>
        </is>
      </c>
      <c r="E2057" s="7" t="inlineStr">
        <is>
          <t>Moteur</t>
        </is>
      </c>
      <c r="F2057" s="7" t="inlineStr">
        <is>
          <t>PIECE_VEHICULE</t>
        </is>
      </c>
      <c r="G2057" s="7" t="inlineStr">
        <is>
          <t>unité</t>
        </is>
      </c>
      <c r="H2057" s="7" t="inlineStr">
        <is>
          <t>LARGE</t>
        </is>
      </c>
      <c r="I2057" s="7" t="n">
        <v>0</v>
      </c>
      <c r="J2057" s="7" t="inlineStr">
        <is>
          <t>F-06-03</t>
        </is>
      </c>
      <c r="K2057" s="7" t="inlineStr"/>
      <c r="L2057" s="9" t="n">
        <v>0</v>
      </c>
      <c r="M2057" s="9" t="n">
        <v>0</v>
      </c>
      <c r="N2057" s="9" t="n">
        <v>17</v>
      </c>
      <c r="O2057" s="7" t="inlineStr">
        <is>
          <t>VAL</t>
        </is>
      </c>
      <c r="P2057" s="7" t="inlineStr">
        <is>
          <t>CRITIQUE</t>
        </is>
      </c>
      <c r="Q2057" s="7" t="inlineStr">
        <is>
          <t>WHAP</t>
        </is>
      </c>
      <c r="R2057" s="7" t="inlineStr">
        <is>
          <t>OUI</t>
        </is>
      </c>
      <c r="S2057" s="7" t="inlineStr">
        <is>
          <t>31/08/2026 02:59</t>
        </is>
      </c>
    </row>
    <row r="2058">
      <c r="A2058" s="8" t="inlineStr">
        <is>
          <t>WHAP-2054</t>
        </is>
      </c>
      <c r="B2058" s="8" t="inlineStr">
        <is>
          <t>MOT-2054</t>
        </is>
      </c>
      <c r="C2058" s="8" t="inlineStr">
        <is>
          <t>boîtier de rampe commune</t>
        </is>
      </c>
      <c r="D2058" s="8" t="inlineStr">
        <is>
          <t>Moteur</t>
        </is>
      </c>
      <c r="E2058" s="8" t="inlineStr">
        <is>
          <t>Moteur</t>
        </is>
      </c>
      <c r="F2058" s="8" t="inlineStr">
        <is>
          <t>PIECE_VEHICULE</t>
        </is>
      </c>
      <c r="G2058" s="8" t="inlineStr">
        <is>
          <t>unité</t>
        </is>
      </c>
      <c r="H2058" s="8" t="inlineStr">
        <is>
          <t>LARGE</t>
        </is>
      </c>
      <c r="I2058" s="8" t="n">
        <v>0</v>
      </c>
      <c r="J2058" s="8" t="inlineStr">
        <is>
          <t>B-01-02</t>
        </is>
      </c>
      <c r="K2058" s="8" t="inlineStr"/>
      <c r="L2058" s="10" t="n">
        <v>0</v>
      </c>
      <c r="M2058" s="10" t="n">
        <v>0</v>
      </c>
      <c r="N2058" s="10" t="n">
        <v>15</v>
      </c>
      <c r="O2058" s="8" t="inlineStr">
        <is>
          <t>VAL</t>
        </is>
      </c>
      <c r="P2058" s="8" t="inlineStr">
        <is>
          <t>CRITIQUE</t>
        </is>
      </c>
      <c r="Q2058" s="8" t="inlineStr">
        <is>
          <t>WHAP</t>
        </is>
      </c>
      <c r="R2058" s="8" t="inlineStr">
        <is>
          <t>OUI</t>
        </is>
      </c>
      <c r="S2058" s="8" t="inlineStr">
        <is>
          <t>31/08/2026 02:59</t>
        </is>
      </c>
    </row>
    <row r="2059">
      <c r="A2059" s="7" t="inlineStr">
        <is>
          <t>WHAP-2055</t>
        </is>
      </c>
      <c r="B2059" s="7" t="inlineStr">
        <is>
          <t>MOT-2055</t>
        </is>
      </c>
      <c r="C2059" s="7" t="inlineStr">
        <is>
          <t>module de rampe commune</t>
        </is>
      </c>
      <c r="D2059" s="7" t="inlineStr">
        <is>
          <t>Moteur</t>
        </is>
      </c>
      <c r="E2059" s="7" t="inlineStr">
        <is>
          <t>Moteur</t>
        </is>
      </c>
      <c r="F2059" s="7" t="inlineStr">
        <is>
          <t>PIECE_VEHICULE</t>
        </is>
      </c>
      <c r="G2059" s="7" t="inlineStr">
        <is>
          <t>unité</t>
        </is>
      </c>
      <c r="H2059" s="7" t="inlineStr">
        <is>
          <t>LARGE</t>
        </is>
      </c>
      <c r="I2059" s="7" t="n">
        <v>0</v>
      </c>
      <c r="J2059" s="7" t="inlineStr">
        <is>
          <t>A-04-01</t>
        </is>
      </c>
      <c r="K2059" s="7" t="inlineStr"/>
      <c r="L2059" s="9" t="n">
        <v>0</v>
      </c>
      <c r="M2059" s="9" t="n">
        <v>0</v>
      </c>
      <c r="N2059" s="9" t="n">
        <v>10</v>
      </c>
      <c r="O2059" s="7" t="inlineStr">
        <is>
          <t>DEL</t>
        </is>
      </c>
      <c r="P2059" s="7" t="inlineStr">
        <is>
          <t>CRITIQUE</t>
        </is>
      </c>
      <c r="Q2059" s="7" t="inlineStr">
        <is>
          <t>WHAP</t>
        </is>
      </c>
      <c r="R2059" s="7" t="inlineStr">
        <is>
          <t>OUI</t>
        </is>
      </c>
      <c r="S2059" s="7" t="inlineStr">
        <is>
          <t>31/08/2026 02:59</t>
        </is>
      </c>
    </row>
    <row r="2060">
      <c r="A2060" s="8" t="inlineStr">
        <is>
          <t>WHAP-2056</t>
        </is>
      </c>
      <c r="B2060" s="8" t="inlineStr">
        <is>
          <t>MOT-2056</t>
        </is>
      </c>
      <c r="C2060" s="8" t="inlineStr">
        <is>
          <t>câblage de rampe commune</t>
        </is>
      </c>
      <c r="D2060" s="8" t="inlineStr">
        <is>
          <t>Moteur</t>
        </is>
      </c>
      <c r="E2060" s="8" t="inlineStr">
        <is>
          <t>Moteur</t>
        </is>
      </c>
      <c r="F2060" s="8" t="inlineStr">
        <is>
          <t>PIECE_VEHICULE</t>
        </is>
      </c>
      <c r="G2060" s="8" t="inlineStr">
        <is>
          <t>unité</t>
        </is>
      </c>
      <c r="H2060" s="8" t="inlineStr">
        <is>
          <t>LARGE</t>
        </is>
      </c>
      <c r="I2060" s="8" t="n">
        <v>0</v>
      </c>
      <c r="J2060" s="8" t="inlineStr">
        <is>
          <t>D-06-03</t>
        </is>
      </c>
      <c r="K2060" s="8" t="inlineStr"/>
      <c r="L2060" s="10" t="n">
        <v>0</v>
      </c>
      <c r="M2060" s="10" t="n">
        <v>0</v>
      </c>
      <c r="N2060" s="10" t="n">
        <v>13</v>
      </c>
      <c r="O2060" s="8" t="inlineStr">
        <is>
          <t>YZK</t>
        </is>
      </c>
      <c r="P2060" s="8" t="inlineStr">
        <is>
          <t>CRITIQUE</t>
        </is>
      </c>
      <c r="Q2060" s="8" t="inlineStr">
        <is>
          <t>WHAP</t>
        </is>
      </c>
      <c r="R2060" s="8" t="inlineStr">
        <is>
          <t>OUI</t>
        </is>
      </c>
      <c r="S2060" s="8" t="inlineStr">
        <is>
          <t>31/08/2026 02:59</t>
        </is>
      </c>
    </row>
    <row r="2061">
      <c r="A2061" s="7" t="inlineStr">
        <is>
          <t>WHAP-2057</t>
        </is>
      </c>
      <c r="B2061" s="7" t="inlineStr">
        <is>
          <t>MOT-2057</t>
        </is>
      </c>
      <c r="C2061" s="7" t="inlineStr">
        <is>
          <t>connecteur de rampe commune</t>
        </is>
      </c>
      <c r="D2061" s="7" t="inlineStr">
        <is>
          <t>Moteur</t>
        </is>
      </c>
      <c r="E2061" s="7" t="inlineStr">
        <is>
          <t>Moteur</t>
        </is>
      </c>
      <c r="F2061" s="7" t="inlineStr">
        <is>
          <t>PIECE_VEHICULE</t>
        </is>
      </c>
      <c r="G2061" s="7" t="inlineStr">
        <is>
          <t>unité</t>
        </is>
      </c>
      <c r="H2061" s="7" t="inlineStr">
        <is>
          <t>LARGE</t>
        </is>
      </c>
      <c r="I2061" s="7" t="n">
        <v>0</v>
      </c>
      <c r="J2061" s="7" t="inlineStr">
        <is>
          <t>A-02-03</t>
        </is>
      </c>
      <c r="K2061" s="7" t="inlineStr"/>
      <c r="L2061" s="9" t="n">
        <v>0</v>
      </c>
      <c r="M2061" s="9" t="n">
        <v>0</v>
      </c>
      <c r="N2061" s="9" t="n">
        <v>15</v>
      </c>
      <c r="O2061" s="7" t="inlineStr">
        <is>
          <t>DEL</t>
        </is>
      </c>
      <c r="P2061" s="7" t="inlineStr">
        <is>
          <t>CRITIQUE</t>
        </is>
      </c>
      <c r="Q2061" s="7" t="inlineStr">
        <is>
          <t>WHAP</t>
        </is>
      </c>
      <c r="R2061" s="7" t="inlineStr">
        <is>
          <t>OUI</t>
        </is>
      </c>
      <c r="S2061" s="7" t="inlineStr">
        <is>
          <t>31/08/2026 02:59</t>
        </is>
      </c>
    </row>
    <row r="2062">
      <c r="A2062" s="8" t="inlineStr">
        <is>
          <t>WHAP-2058</t>
        </is>
      </c>
      <c r="B2062" s="8" t="inlineStr">
        <is>
          <t>MOT-2058</t>
        </is>
      </c>
      <c r="C2062" s="8" t="inlineStr">
        <is>
          <t>joint de rampe commune</t>
        </is>
      </c>
      <c r="D2062" s="8" t="inlineStr">
        <is>
          <t>Moteur</t>
        </is>
      </c>
      <c r="E2062" s="8" t="inlineStr">
        <is>
          <t>Moteur</t>
        </is>
      </c>
      <c r="F2062" s="8" t="inlineStr">
        <is>
          <t>PIECE_VEHICULE</t>
        </is>
      </c>
      <c r="G2062" s="8" t="inlineStr">
        <is>
          <t>unité</t>
        </is>
      </c>
      <c r="H2062" s="8" t="inlineStr">
        <is>
          <t>LARGE</t>
        </is>
      </c>
      <c r="I2062" s="8" t="n">
        <v>0</v>
      </c>
      <c r="J2062" s="8" t="inlineStr">
        <is>
          <t>E-02-01</t>
        </is>
      </c>
      <c r="K2062" s="8" t="inlineStr"/>
      <c r="L2062" s="10" t="n">
        <v>0</v>
      </c>
      <c r="M2062" s="10" t="n">
        <v>0</v>
      </c>
      <c r="N2062" s="10" t="n">
        <v>13</v>
      </c>
      <c r="O2062" s="8" t="inlineStr">
        <is>
          <t>MAG</t>
        </is>
      </c>
      <c r="P2062" s="8" t="inlineStr">
        <is>
          <t>CRITIQUE</t>
        </is>
      </c>
      <c r="Q2062" s="8" t="inlineStr">
        <is>
          <t>WHAP</t>
        </is>
      </c>
      <c r="R2062" s="8" t="inlineStr">
        <is>
          <t>OUI</t>
        </is>
      </c>
      <c r="S2062" s="8" t="inlineStr">
        <is>
          <t>31/08/2026 02:59</t>
        </is>
      </c>
    </row>
    <row r="2063">
      <c r="A2063" s="7" t="inlineStr">
        <is>
          <t>WHAP-2059</t>
        </is>
      </c>
      <c r="B2063" s="7" t="inlineStr">
        <is>
          <t>MOT-2059</t>
        </is>
      </c>
      <c r="C2063" s="7" t="inlineStr">
        <is>
          <t>fixation de rampe commune</t>
        </is>
      </c>
      <c r="D2063" s="7" t="inlineStr">
        <is>
          <t>Moteur</t>
        </is>
      </c>
      <c r="E2063" s="7" t="inlineStr">
        <is>
          <t>Moteur</t>
        </is>
      </c>
      <c r="F2063" s="7" t="inlineStr">
        <is>
          <t>PIECE_VEHICULE</t>
        </is>
      </c>
      <c r="G2063" s="7" t="inlineStr">
        <is>
          <t>unité</t>
        </is>
      </c>
      <c r="H2063" s="7" t="inlineStr">
        <is>
          <t>LARGE</t>
        </is>
      </c>
      <c r="I2063" s="7" t="n">
        <v>0</v>
      </c>
      <c r="J2063" s="7" t="inlineStr">
        <is>
          <t>A-02-04</t>
        </is>
      </c>
      <c r="K2063" s="7" t="inlineStr"/>
      <c r="L2063" s="9" t="n">
        <v>0</v>
      </c>
      <c r="M2063" s="9" t="n">
        <v>0</v>
      </c>
      <c r="N2063" s="9" t="n">
        <v>18</v>
      </c>
      <c r="O2063" s="7" t="inlineStr">
        <is>
          <t>DEL</t>
        </is>
      </c>
      <c r="P2063" s="7" t="inlineStr">
        <is>
          <t>CRITIQUE</t>
        </is>
      </c>
      <c r="Q2063" s="7" t="inlineStr">
        <is>
          <t>WHAP</t>
        </is>
      </c>
      <c r="R2063" s="7" t="inlineStr">
        <is>
          <t>OUI</t>
        </is>
      </c>
      <c r="S2063" s="7" t="inlineStr">
        <is>
          <t>31/08/2026 02:59</t>
        </is>
      </c>
    </row>
    <row r="2064">
      <c r="A2064" s="8" t="inlineStr">
        <is>
          <t>WHAP-2060</t>
        </is>
      </c>
      <c r="B2064" s="8" t="inlineStr">
        <is>
          <t>MOT-2060</t>
        </is>
      </c>
      <c r="C2064" s="8" t="inlineStr">
        <is>
          <t>protection de rampe commune</t>
        </is>
      </c>
      <c r="D2064" s="8" t="inlineStr">
        <is>
          <t>Moteur</t>
        </is>
      </c>
      <c r="E2064" s="8" t="inlineStr">
        <is>
          <t>Moteur</t>
        </is>
      </c>
      <c r="F2064" s="8" t="inlineStr">
        <is>
          <t>PIECE_VEHICULE</t>
        </is>
      </c>
      <c r="G2064" s="8" t="inlineStr">
        <is>
          <t>unité</t>
        </is>
      </c>
      <c r="H2064" s="8" t="inlineStr">
        <is>
          <t>LARGE</t>
        </is>
      </c>
      <c r="I2064" s="8" t="n">
        <v>0</v>
      </c>
      <c r="J2064" s="8" t="inlineStr">
        <is>
          <t>B-01-04</t>
        </is>
      </c>
      <c r="K2064" s="8" t="inlineStr"/>
      <c r="L2064" s="10" t="n">
        <v>0</v>
      </c>
      <c r="M2064" s="10" t="n">
        <v>0</v>
      </c>
      <c r="N2064" s="10" t="n">
        <v>13</v>
      </c>
      <c r="O2064" s="8" t="inlineStr">
        <is>
          <t>FAU</t>
        </is>
      </c>
      <c r="P2064" s="8" t="inlineStr">
        <is>
          <t>CRITIQUE</t>
        </is>
      </c>
      <c r="Q2064" s="8" t="inlineStr">
        <is>
          <t>WHAP</t>
        </is>
      </c>
      <c r="R2064" s="8" t="inlineStr">
        <is>
          <t>OUI</t>
        </is>
      </c>
      <c r="S2064" s="8" t="inlineStr">
        <is>
          <t>31/08/2026 02:59</t>
        </is>
      </c>
    </row>
    <row r="2065">
      <c r="A2065" s="7" t="inlineStr">
        <is>
          <t>WHAP-2061</t>
        </is>
      </c>
      <c r="B2065" s="7" t="inlineStr">
        <is>
          <t>MOT-2061</t>
        </is>
      </c>
      <c r="C2065" s="7" t="inlineStr">
        <is>
          <t>capteur de rampe commune</t>
        </is>
      </c>
      <c r="D2065" s="7" t="inlineStr">
        <is>
          <t>Moteur</t>
        </is>
      </c>
      <c r="E2065" s="7" t="inlineStr">
        <is>
          <t>Moteur</t>
        </is>
      </c>
      <c r="F2065" s="7" t="inlineStr">
        <is>
          <t>PIECE_VEHICULE</t>
        </is>
      </c>
      <c r="G2065" s="7" t="inlineStr">
        <is>
          <t>unité</t>
        </is>
      </c>
      <c r="H2065" s="7" t="inlineStr">
        <is>
          <t>LARGE</t>
        </is>
      </c>
      <c r="I2065" s="7" t="n">
        <v>0</v>
      </c>
      <c r="J2065" s="7" t="inlineStr">
        <is>
          <t>A-05-04</t>
        </is>
      </c>
      <c r="K2065" s="7" t="inlineStr"/>
      <c r="L2065" s="9" t="n">
        <v>0</v>
      </c>
      <c r="M2065" s="9" t="n">
        <v>0</v>
      </c>
      <c r="N2065" s="9" t="n">
        <v>11</v>
      </c>
      <c r="O2065" s="7" t="inlineStr">
        <is>
          <t>HEL</t>
        </is>
      </c>
      <c r="P2065" s="7" t="inlineStr">
        <is>
          <t>CRITIQUE</t>
        </is>
      </c>
      <c r="Q2065" s="7" t="inlineStr">
        <is>
          <t>WHAP</t>
        </is>
      </c>
      <c r="R2065" s="7" t="inlineStr">
        <is>
          <t>OUI</t>
        </is>
      </c>
      <c r="S2065" s="7" t="inlineStr">
        <is>
          <t>31/08/2026 02:59</t>
        </is>
      </c>
    </row>
    <row r="2066">
      <c r="A2066" s="8" t="inlineStr">
        <is>
          <t>WHAP-2062</t>
        </is>
      </c>
      <c r="B2066" s="8" t="inlineStr">
        <is>
          <t>MOT-2062</t>
        </is>
      </c>
      <c r="C2066" s="8" t="inlineStr">
        <is>
          <t>actionneur de rampe commune</t>
        </is>
      </c>
      <c r="D2066" s="8" t="inlineStr">
        <is>
          <t>Moteur</t>
        </is>
      </c>
      <c r="E2066" s="8" t="inlineStr">
        <is>
          <t>Moteur</t>
        </is>
      </c>
      <c r="F2066" s="8" t="inlineStr">
        <is>
          <t>PIECE_VEHICULE</t>
        </is>
      </c>
      <c r="G2066" s="8" t="inlineStr">
        <is>
          <t>unité</t>
        </is>
      </c>
      <c r="H2066" s="8" t="inlineStr">
        <is>
          <t>LARGE</t>
        </is>
      </c>
      <c r="I2066" s="8" t="n">
        <v>0</v>
      </c>
      <c r="J2066" s="8" t="inlineStr">
        <is>
          <t>E-05-03</t>
        </is>
      </c>
      <c r="K2066" s="8" t="inlineStr"/>
      <c r="L2066" s="10" t="n">
        <v>0</v>
      </c>
      <c r="M2066" s="10" t="n">
        <v>0</v>
      </c>
      <c r="N2066" s="10" t="n">
        <v>15</v>
      </c>
      <c r="O2066" s="8" t="inlineStr">
        <is>
          <t>BOS</t>
        </is>
      </c>
      <c r="P2066" s="8" t="inlineStr">
        <is>
          <t>CRITIQUE</t>
        </is>
      </c>
      <c r="Q2066" s="8" t="inlineStr">
        <is>
          <t>WHAP</t>
        </is>
      </c>
      <c r="R2066" s="8" t="inlineStr">
        <is>
          <t>OUI</t>
        </is>
      </c>
      <c r="S2066" s="8" t="inlineStr">
        <is>
          <t>31/08/2026 02:59</t>
        </is>
      </c>
    </row>
    <row r="2067">
      <c r="A2067" s="7" t="inlineStr">
        <is>
          <t>WHAP-2063</t>
        </is>
      </c>
      <c r="B2067" s="7" t="inlineStr">
        <is>
          <t>MOT-2063</t>
        </is>
      </c>
      <c r="C2067" s="7" t="inlineStr">
        <is>
          <t>raccord de rampe commune</t>
        </is>
      </c>
      <c r="D2067" s="7" t="inlineStr">
        <is>
          <t>Moteur</t>
        </is>
      </c>
      <c r="E2067" s="7" t="inlineStr">
        <is>
          <t>Moteur</t>
        </is>
      </c>
      <c r="F2067" s="7" t="inlineStr">
        <is>
          <t>PIECE_VEHICULE</t>
        </is>
      </c>
      <c r="G2067" s="7" t="inlineStr">
        <is>
          <t>unité</t>
        </is>
      </c>
      <c r="H2067" s="7" t="inlineStr">
        <is>
          <t>LARGE</t>
        </is>
      </c>
      <c r="I2067" s="7" t="n">
        <v>0</v>
      </c>
      <c r="J2067" s="7" t="inlineStr">
        <is>
          <t>E-05-01</t>
        </is>
      </c>
      <c r="K2067" s="7" t="inlineStr"/>
      <c r="L2067" s="9" t="n">
        <v>0</v>
      </c>
      <c r="M2067" s="9" t="n">
        <v>0</v>
      </c>
      <c r="N2067" s="9" t="n">
        <v>16</v>
      </c>
      <c r="O2067" s="7" t="inlineStr">
        <is>
          <t>SUM</t>
        </is>
      </c>
      <c r="P2067" s="7" t="inlineStr">
        <is>
          <t>CRITIQUE</t>
        </is>
      </c>
      <c r="Q2067" s="7" t="inlineStr">
        <is>
          <t>WHAP</t>
        </is>
      </c>
      <c r="R2067" s="7" t="inlineStr">
        <is>
          <t>OUI</t>
        </is>
      </c>
      <c r="S2067" s="7" t="inlineStr">
        <is>
          <t>31/08/2026 02:59</t>
        </is>
      </c>
    </row>
    <row r="2068">
      <c r="A2068" s="8" t="inlineStr">
        <is>
          <t>WHAP-2064</t>
        </is>
      </c>
      <c r="B2068" s="8" t="inlineStr">
        <is>
          <t>MOT-2064</t>
        </is>
      </c>
      <c r="C2068" s="8" t="inlineStr">
        <is>
          <t>plaque de rampe commune</t>
        </is>
      </c>
      <c r="D2068" s="8" t="inlineStr">
        <is>
          <t>Moteur</t>
        </is>
      </c>
      <c r="E2068" s="8" t="inlineStr">
        <is>
          <t>Moteur</t>
        </is>
      </c>
      <c r="F2068" s="8" t="inlineStr">
        <is>
          <t>PIECE_VEHICULE</t>
        </is>
      </c>
      <c r="G2068" s="8" t="inlineStr">
        <is>
          <t>unité</t>
        </is>
      </c>
      <c r="H2068" s="8" t="inlineStr">
        <is>
          <t>LARGE</t>
        </is>
      </c>
      <c r="I2068" s="8" t="n">
        <v>0</v>
      </c>
      <c r="J2068" s="8" t="inlineStr">
        <is>
          <t>D-01-03</t>
        </is>
      </c>
      <c r="K2068" s="8" t="inlineStr"/>
      <c r="L2068" s="10" t="n">
        <v>0</v>
      </c>
      <c r="M2068" s="10" t="n">
        <v>0</v>
      </c>
      <c r="N2068" s="10" t="n">
        <v>12</v>
      </c>
      <c r="O2068" s="8" t="inlineStr">
        <is>
          <t>SKF</t>
        </is>
      </c>
      <c r="P2068" s="8" t="inlineStr">
        <is>
          <t>CRITIQUE</t>
        </is>
      </c>
      <c r="Q2068" s="8" t="inlineStr">
        <is>
          <t>WHAP</t>
        </is>
      </c>
      <c r="R2068" s="8" t="inlineStr">
        <is>
          <t>OUI</t>
        </is>
      </c>
      <c r="S2068" s="8" t="inlineStr">
        <is>
          <t>31/08/2026 02:59</t>
        </is>
      </c>
    </row>
    <row r="2069">
      <c r="A2069" s="7" t="inlineStr">
        <is>
          <t>WHAP-2065</t>
        </is>
      </c>
      <c r="B2069" s="7" t="inlineStr">
        <is>
          <t>MOT-2065</t>
        </is>
      </c>
      <c r="C2069" s="7" t="inlineStr">
        <is>
          <t>couvercle de rampe commune</t>
        </is>
      </c>
      <c r="D2069" s="7" t="inlineStr">
        <is>
          <t>Moteur</t>
        </is>
      </c>
      <c r="E2069" s="7" t="inlineStr">
        <is>
          <t>Moteur</t>
        </is>
      </c>
      <c r="F2069" s="7" t="inlineStr">
        <is>
          <t>PIECE_VEHICULE</t>
        </is>
      </c>
      <c r="G2069" s="7" t="inlineStr">
        <is>
          <t>unité</t>
        </is>
      </c>
      <c r="H2069" s="7" t="inlineStr">
        <is>
          <t>LARGE</t>
        </is>
      </c>
      <c r="I2069" s="7" t="n">
        <v>0</v>
      </c>
      <c r="J2069" s="7" t="inlineStr">
        <is>
          <t>D-03-02</t>
        </is>
      </c>
      <c r="K2069" s="7" t="inlineStr"/>
      <c r="L2069" s="9" t="n">
        <v>0</v>
      </c>
      <c r="M2069" s="9" t="n">
        <v>0</v>
      </c>
      <c r="N2069" s="9" t="n">
        <v>16</v>
      </c>
      <c r="O2069" s="7" t="inlineStr">
        <is>
          <t>CTL</t>
        </is>
      </c>
      <c r="P2069" s="7" t="inlineStr">
        <is>
          <t>CRITIQUE</t>
        </is>
      </c>
      <c r="Q2069" s="7" t="inlineStr">
        <is>
          <t>WHAP</t>
        </is>
      </c>
      <c r="R2069" s="7" t="inlineStr">
        <is>
          <t>OUI</t>
        </is>
      </c>
      <c r="S2069" s="7" t="inlineStr">
        <is>
          <t>31/08/2026 02:59</t>
        </is>
      </c>
    </row>
    <row r="2070">
      <c r="A2070" s="8" t="inlineStr">
        <is>
          <t>WHAP-2066</t>
        </is>
      </c>
      <c r="B2070" s="8" t="inlineStr">
        <is>
          <t>MOT-2066</t>
        </is>
      </c>
      <c r="C2070" s="8" t="inlineStr">
        <is>
          <t>bague de rampe commune</t>
        </is>
      </c>
      <c r="D2070" s="8" t="inlineStr">
        <is>
          <t>Moteur</t>
        </is>
      </c>
      <c r="E2070" s="8" t="inlineStr">
        <is>
          <t>Moteur</t>
        </is>
      </c>
      <c r="F2070" s="8" t="inlineStr">
        <is>
          <t>PIECE_VEHICULE</t>
        </is>
      </c>
      <c r="G2070" s="8" t="inlineStr">
        <is>
          <t>unité</t>
        </is>
      </c>
      <c r="H2070" s="8" t="inlineStr">
        <is>
          <t>LARGE</t>
        </is>
      </c>
      <c r="I2070" s="8" t="n">
        <v>0</v>
      </c>
      <c r="J2070" s="8" t="inlineStr">
        <is>
          <t>D-04-04</t>
        </is>
      </c>
      <c r="K2070" s="8" t="inlineStr"/>
      <c r="L2070" s="10" t="n">
        <v>0</v>
      </c>
      <c r="M2070" s="10" t="n">
        <v>0</v>
      </c>
      <c r="N2070" s="10" t="n">
        <v>14</v>
      </c>
      <c r="O2070" s="8" t="inlineStr">
        <is>
          <t>SKF</t>
        </is>
      </c>
      <c r="P2070" s="8" t="inlineStr">
        <is>
          <t>CRITIQUE</t>
        </is>
      </c>
      <c r="Q2070" s="8" t="inlineStr">
        <is>
          <t>WHAP</t>
        </is>
      </c>
      <c r="R2070" s="8" t="inlineStr">
        <is>
          <t>OUI</t>
        </is>
      </c>
      <c r="S2070" s="8" t="inlineStr">
        <is>
          <t>31/08/2026 02:59</t>
        </is>
      </c>
    </row>
    <row r="2071">
      <c r="A2071" s="7" t="inlineStr">
        <is>
          <t>WHAP-2067</t>
        </is>
      </c>
      <c r="B2071" s="7" t="inlineStr">
        <is>
          <t>MOT-2067</t>
        </is>
      </c>
      <c r="C2071" s="7" t="inlineStr">
        <is>
          <t>entretoise de rampe commune</t>
        </is>
      </c>
      <c r="D2071" s="7" t="inlineStr">
        <is>
          <t>Moteur</t>
        </is>
      </c>
      <c r="E2071" s="7" t="inlineStr">
        <is>
          <t>Moteur</t>
        </is>
      </c>
      <c r="F2071" s="7" t="inlineStr">
        <is>
          <t>PIECE_VEHICULE</t>
        </is>
      </c>
      <c r="G2071" s="7" t="inlineStr">
        <is>
          <t>unité</t>
        </is>
      </c>
      <c r="H2071" s="7" t="inlineStr">
        <is>
          <t>LARGE</t>
        </is>
      </c>
      <c r="I2071" s="7" t="n">
        <v>0</v>
      </c>
      <c r="J2071" s="7" t="inlineStr">
        <is>
          <t>E-03-01</t>
        </is>
      </c>
      <c r="K2071" s="7" t="inlineStr"/>
      <c r="L2071" s="9" t="n">
        <v>0</v>
      </c>
      <c r="M2071" s="9" t="n">
        <v>0</v>
      </c>
      <c r="N2071" s="9" t="n">
        <v>18</v>
      </c>
      <c r="O2071" s="7" t="inlineStr">
        <is>
          <t>SUM</t>
        </is>
      </c>
      <c r="P2071" s="7" t="inlineStr">
        <is>
          <t>CRITIQUE</t>
        </is>
      </c>
      <c r="Q2071" s="7" t="inlineStr">
        <is>
          <t>WHAP</t>
        </is>
      </c>
      <c r="R2071" s="7" t="inlineStr">
        <is>
          <t>OUI</t>
        </is>
      </c>
      <c r="S2071" s="7" t="inlineStr">
        <is>
          <t>31/08/2026 02:59</t>
        </is>
      </c>
    </row>
    <row r="2072">
      <c r="A2072" s="8" t="inlineStr">
        <is>
          <t>WHAP-2068</t>
        </is>
      </c>
      <c r="B2072" s="8" t="inlineStr">
        <is>
          <t>MOT-2068</t>
        </is>
      </c>
      <c r="C2072" s="8" t="inlineStr">
        <is>
          <t>axe de rampe commune</t>
        </is>
      </c>
      <c r="D2072" s="8" t="inlineStr">
        <is>
          <t>Moteur</t>
        </is>
      </c>
      <c r="E2072" s="8" t="inlineStr">
        <is>
          <t>Moteur</t>
        </is>
      </c>
      <c r="F2072" s="8" t="inlineStr">
        <is>
          <t>PIECE_VEHICULE</t>
        </is>
      </c>
      <c r="G2072" s="8" t="inlineStr">
        <is>
          <t>unité</t>
        </is>
      </c>
      <c r="H2072" s="8" t="inlineStr">
        <is>
          <t>LARGE</t>
        </is>
      </c>
      <c r="I2072" s="8" t="n">
        <v>0</v>
      </c>
      <c r="J2072" s="8" t="inlineStr">
        <is>
          <t>F-04-01</t>
        </is>
      </c>
      <c r="K2072" s="8" t="inlineStr"/>
      <c r="L2072" s="10" t="n">
        <v>0</v>
      </c>
      <c r="M2072" s="10" t="n">
        <v>0</v>
      </c>
      <c r="N2072" s="10" t="n">
        <v>19</v>
      </c>
      <c r="O2072" s="8" t="inlineStr">
        <is>
          <t>CTL</t>
        </is>
      </c>
      <c r="P2072" s="8" t="inlineStr">
        <is>
          <t>CRITIQUE</t>
        </is>
      </c>
      <c r="Q2072" s="8" t="inlineStr">
        <is>
          <t>WHAP</t>
        </is>
      </c>
      <c r="R2072" s="8" t="inlineStr">
        <is>
          <t>OUI</t>
        </is>
      </c>
      <c r="S2072" s="8" t="inlineStr">
        <is>
          <t>31/08/2026 02:59</t>
        </is>
      </c>
    </row>
    <row r="2073">
      <c r="A2073" s="7" t="inlineStr">
        <is>
          <t>WHAP-2069</t>
        </is>
      </c>
      <c r="B2073" s="7" t="inlineStr">
        <is>
          <t>MOT-2069</t>
        </is>
      </c>
      <c r="C2073" s="7" t="inlineStr">
        <is>
          <t>poulie de rampe commune</t>
        </is>
      </c>
      <c r="D2073" s="7" t="inlineStr">
        <is>
          <t>Moteur</t>
        </is>
      </c>
      <c r="E2073" s="7" t="inlineStr">
        <is>
          <t>Moteur</t>
        </is>
      </c>
      <c r="F2073" s="7" t="inlineStr">
        <is>
          <t>PIECE_VEHICULE</t>
        </is>
      </c>
      <c r="G2073" s="7" t="inlineStr">
        <is>
          <t>unité</t>
        </is>
      </c>
      <c r="H2073" s="7" t="inlineStr">
        <is>
          <t>LARGE</t>
        </is>
      </c>
      <c r="I2073" s="7" t="n">
        <v>0</v>
      </c>
      <c r="J2073" s="7" t="inlineStr">
        <is>
          <t>D-04-02</t>
        </is>
      </c>
      <c r="K2073" s="7" t="inlineStr"/>
      <c r="L2073" s="9" t="n">
        <v>0</v>
      </c>
      <c r="M2073" s="9" t="n">
        <v>0</v>
      </c>
      <c r="N2073" s="9" t="n">
        <v>10</v>
      </c>
      <c r="O2073" s="7" t="inlineStr">
        <is>
          <t>FAU</t>
        </is>
      </c>
      <c r="P2073" s="7" t="inlineStr">
        <is>
          <t>CRITIQUE</t>
        </is>
      </c>
      <c r="Q2073" s="7" t="inlineStr">
        <is>
          <t>WHAP</t>
        </is>
      </c>
      <c r="R2073" s="7" t="inlineStr">
        <is>
          <t>OUI</t>
        </is>
      </c>
      <c r="S2073" s="7" t="inlineStr">
        <is>
          <t>31/08/2026 02:59</t>
        </is>
      </c>
    </row>
    <row r="2074">
      <c r="A2074" s="8" t="inlineStr">
        <is>
          <t>WHAP-2070</t>
        </is>
      </c>
      <c r="B2074" s="8" t="inlineStr">
        <is>
          <t>MOT-2070</t>
        </is>
      </c>
      <c r="C2074" s="8" t="inlineStr">
        <is>
          <t>pignon de rampe commune</t>
        </is>
      </c>
      <c r="D2074" s="8" t="inlineStr">
        <is>
          <t>Moteur</t>
        </is>
      </c>
      <c r="E2074" s="8" t="inlineStr">
        <is>
          <t>Moteur</t>
        </is>
      </c>
      <c r="F2074" s="8" t="inlineStr">
        <is>
          <t>PIECE_VEHICULE</t>
        </is>
      </c>
      <c r="G2074" s="8" t="inlineStr">
        <is>
          <t>unité</t>
        </is>
      </c>
      <c r="H2074" s="8" t="inlineStr">
        <is>
          <t>LARGE</t>
        </is>
      </c>
      <c r="I2074" s="8" t="n">
        <v>0</v>
      </c>
      <c r="J2074" s="8" t="inlineStr">
        <is>
          <t>F-02-01</t>
        </is>
      </c>
      <c r="K2074" s="8" t="inlineStr"/>
      <c r="L2074" s="10" t="n">
        <v>0</v>
      </c>
      <c r="M2074" s="10" t="n">
        <v>0</v>
      </c>
      <c r="N2074" s="10" t="n">
        <v>17</v>
      </c>
      <c r="O2074" s="8" t="inlineStr">
        <is>
          <t>CTL</t>
        </is>
      </c>
      <c r="P2074" s="8" t="inlineStr">
        <is>
          <t>CRITIQUE</t>
        </is>
      </c>
      <c r="Q2074" s="8" t="inlineStr">
        <is>
          <t>WHAP</t>
        </is>
      </c>
      <c r="R2074" s="8" t="inlineStr">
        <is>
          <t>OUI</t>
        </is>
      </c>
      <c r="S2074" s="8" t="inlineStr">
        <is>
          <t>31/08/2026 02:59</t>
        </is>
      </c>
    </row>
    <row r="2075">
      <c r="A2075" s="7" t="inlineStr">
        <is>
          <t>WHAP-2071</t>
        </is>
      </c>
      <c r="B2075" s="7" t="inlineStr">
        <is>
          <t>MOT-2071</t>
        </is>
      </c>
      <c r="C2075" s="7" t="inlineStr">
        <is>
          <t>ensemble de pompe haute pression</t>
        </is>
      </c>
      <c r="D2075" s="7" t="inlineStr">
        <is>
          <t>Moteur</t>
        </is>
      </c>
      <c r="E2075" s="7" t="inlineStr">
        <is>
          <t>Moteur</t>
        </is>
      </c>
      <c r="F2075" s="7" t="inlineStr">
        <is>
          <t>PIECE_VEHICULE</t>
        </is>
      </c>
      <c r="G2075" s="7" t="inlineStr">
        <is>
          <t>unité</t>
        </is>
      </c>
      <c r="H2075" s="7" t="inlineStr">
        <is>
          <t>LARGE</t>
        </is>
      </c>
      <c r="I2075" s="7" t="n">
        <v>0</v>
      </c>
      <c r="J2075" s="7" t="inlineStr">
        <is>
          <t>D-01-02</t>
        </is>
      </c>
      <c r="K2075" s="7" t="inlineStr"/>
      <c r="L2075" s="9" t="n">
        <v>0</v>
      </c>
      <c r="M2075" s="9" t="n">
        <v>0</v>
      </c>
      <c r="N2075" s="9" t="n">
        <v>12</v>
      </c>
      <c r="O2075" s="7" t="inlineStr">
        <is>
          <t>CTL</t>
        </is>
      </c>
      <c r="P2075" s="7" t="inlineStr">
        <is>
          <t>CRITIQUE</t>
        </is>
      </c>
      <c r="Q2075" s="7" t="inlineStr">
        <is>
          <t>WHAP</t>
        </is>
      </c>
      <c r="R2075" s="7" t="inlineStr">
        <is>
          <t>OUI</t>
        </is>
      </c>
      <c r="S2075" s="7" t="inlineStr">
        <is>
          <t>31/08/2026 02:59</t>
        </is>
      </c>
    </row>
    <row r="2076">
      <c r="A2076" s="8" t="inlineStr">
        <is>
          <t>WHAP-2072</t>
        </is>
      </c>
      <c r="B2076" s="8" t="inlineStr">
        <is>
          <t>MOT-2072</t>
        </is>
      </c>
      <c r="C2076" s="8" t="inlineStr">
        <is>
          <t>kit de pompe haute pression</t>
        </is>
      </c>
      <c r="D2076" s="8" t="inlineStr">
        <is>
          <t>Moteur</t>
        </is>
      </c>
      <c r="E2076" s="8" t="inlineStr">
        <is>
          <t>Moteur</t>
        </is>
      </c>
      <c r="F2076" s="8" t="inlineStr">
        <is>
          <t>PIECE_VEHICULE</t>
        </is>
      </c>
      <c r="G2076" s="8" t="inlineStr">
        <is>
          <t>unité</t>
        </is>
      </c>
      <c r="H2076" s="8" t="inlineStr">
        <is>
          <t>LARGE</t>
        </is>
      </c>
      <c r="I2076" s="8" t="n">
        <v>0</v>
      </c>
      <c r="J2076" s="8" t="inlineStr">
        <is>
          <t>C-03-02</t>
        </is>
      </c>
      <c r="K2076" s="8" t="inlineStr"/>
      <c r="L2076" s="10" t="n">
        <v>0</v>
      </c>
      <c r="M2076" s="10" t="n">
        <v>0</v>
      </c>
      <c r="N2076" s="10" t="n">
        <v>19</v>
      </c>
      <c r="O2076" s="8" t="inlineStr">
        <is>
          <t>MAG</t>
        </is>
      </c>
      <c r="P2076" s="8" t="inlineStr">
        <is>
          <t>CRITIQUE</t>
        </is>
      </c>
      <c r="Q2076" s="8" t="inlineStr">
        <is>
          <t>WHAP</t>
        </is>
      </c>
      <c r="R2076" s="8" t="inlineStr">
        <is>
          <t>OUI</t>
        </is>
      </c>
      <c r="S2076" s="8" t="inlineStr">
        <is>
          <t>31/08/2026 02:59</t>
        </is>
      </c>
    </row>
    <row r="2077">
      <c r="A2077" s="7" t="inlineStr">
        <is>
          <t>WHAP-2073</t>
        </is>
      </c>
      <c r="B2077" s="7" t="inlineStr">
        <is>
          <t>MOT-2073</t>
        </is>
      </c>
      <c r="C2077" s="7" t="inlineStr">
        <is>
          <t>support de pompe haute pression</t>
        </is>
      </c>
      <c r="D2077" s="7" t="inlineStr">
        <is>
          <t>Moteur</t>
        </is>
      </c>
      <c r="E2077" s="7" t="inlineStr">
        <is>
          <t>Moteur</t>
        </is>
      </c>
      <c r="F2077" s="7" t="inlineStr">
        <is>
          <t>PIECE_VEHICULE</t>
        </is>
      </c>
      <c r="G2077" s="7" t="inlineStr">
        <is>
          <t>unité</t>
        </is>
      </c>
      <c r="H2077" s="7" t="inlineStr">
        <is>
          <t>LARGE</t>
        </is>
      </c>
      <c r="I2077" s="7" t="n">
        <v>0</v>
      </c>
      <c r="J2077" s="7" t="inlineStr">
        <is>
          <t>A-06-04</t>
        </is>
      </c>
      <c r="K2077" s="7" t="inlineStr"/>
      <c r="L2077" s="9" t="n">
        <v>0</v>
      </c>
      <c r="M2077" s="9" t="n">
        <v>0</v>
      </c>
      <c r="N2077" s="9" t="n">
        <v>10</v>
      </c>
      <c r="O2077" s="7" t="inlineStr">
        <is>
          <t>HEL</t>
        </is>
      </c>
      <c r="P2077" s="7" t="inlineStr">
        <is>
          <t>CRITIQUE</t>
        </is>
      </c>
      <c r="Q2077" s="7" t="inlineStr">
        <is>
          <t>WHAP</t>
        </is>
      </c>
      <c r="R2077" s="7" t="inlineStr">
        <is>
          <t>OUI</t>
        </is>
      </c>
      <c r="S2077" s="7" t="inlineStr">
        <is>
          <t>31/08/2026 02:59</t>
        </is>
      </c>
    </row>
    <row r="2078">
      <c r="A2078" s="8" t="inlineStr">
        <is>
          <t>WHAP-2074</t>
        </is>
      </c>
      <c r="B2078" s="8" t="inlineStr">
        <is>
          <t>MOT-2074</t>
        </is>
      </c>
      <c r="C2078" s="8" t="inlineStr">
        <is>
          <t>boîtier de pompe haute pression</t>
        </is>
      </c>
      <c r="D2078" s="8" t="inlineStr">
        <is>
          <t>Moteur</t>
        </is>
      </c>
      <c r="E2078" s="8" t="inlineStr">
        <is>
          <t>Moteur</t>
        </is>
      </c>
      <c r="F2078" s="8" t="inlineStr">
        <is>
          <t>PIECE_VEHICULE</t>
        </is>
      </c>
      <c r="G2078" s="8" t="inlineStr">
        <is>
          <t>unité</t>
        </is>
      </c>
      <c r="H2078" s="8" t="inlineStr">
        <is>
          <t>LARGE</t>
        </is>
      </c>
      <c r="I2078" s="8" t="n">
        <v>0</v>
      </c>
      <c r="J2078" s="8" t="inlineStr">
        <is>
          <t>E-05-01</t>
        </is>
      </c>
      <c r="K2078" s="8" t="inlineStr"/>
      <c r="L2078" s="10" t="n">
        <v>0</v>
      </c>
      <c r="M2078" s="10" t="n">
        <v>0</v>
      </c>
      <c r="N2078" s="10" t="n">
        <v>17</v>
      </c>
      <c r="O2078" s="8" t="inlineStr">
        <is>
          <t>BOS</t>
        </is>
      </c>
      <c r="P2078" s="8" t="inlineStr">
        <is>
          <t>CRITIQUE</t>
        </is>
      </c>
      <c r="Q2078" s="8" t="inlineStr">
        <is>
          <t>WHAP</t>
        </is>
      </c>
      <c r="R2078" s="8" t="inlineStr">
        <is>
          <t>OUI</t>
        </is>
      </c>
      <c r="S2078" s="8" t="inlineStr">
        <is>
          <t>31/08/2026 02:59</t>
        </is>
      </c>
    </row>
    <row r="2079">
      <c r="A2079" s="7" t="inlineStr">
        <is>
          <t>WHAP-2075</t>
        </is>
      </c>
      <c r="B2079" s="7" t="inlineStr">
        <is>
          <t>MOT-2075</t>
        </is>
      </c>
      <c r="C2079" s="7" t="inlineStr">
        <is>
          <t>module de pompe haute pression</t>
        </is>
      </c>
      <c r="D2079" s="7" t="inlineStr">
        <is>
          <t>Moteur</t>
        </is>
      </c>
      <c r="E2079" s="7" t="inlineStr">
        <is>
          <t>Moteur</t>
        </is>
      </c>
      <c r="F2079" s="7" t="inlineStr">
        <is>
          <t>PIECE_VEHICULE</t>
        </is>
      </c>
      <c r="G2079" s="7" t="inlineStr">
        <is>
          <t>unité</t>
        </is>
      </c>
      <c r="H2079" s="7" t="inlineStr">
        <is>
          <t>LARGE</t>
        </is>
      </c>
      <c r="I2079" s="7" t="n">
        <v>0</v>
      </c>
      <c r="J2079" s="7" t="inlineStr">
        <is>
          <t>F-01-04</t>
        </is>
      </c>
      <c r="K2079" s="7" t="inlineStr"/>
      <c r="L2079" s="9" t="n">
        <v>0</v>
      </c>
      <c r="M2079" s="9" t="n">
        <v>0</v>
      </c>
      <c r="N2079" s="9" t="n">
        <v>15</v>
      </c>
      <c r="O2079" s="7" t="inlineStr">
        <is>
          <t>CTL</t>
        </is>
      </c>
      <c r="P2079" s="7" t="inlineStr">
        <is>
          <t>CRITIQUE</t>
        </is>
      </c>
      <c r="Q2079" s="7" t="inlineStr">
        <is>
          <t>WHAP</t>
        </is>
      </c>
      <c r="R2079" s="7" t="inlineStr">
        <is>
          <t>OUI</t>
        </is>
      </c>
      <c r="S2079" s="7" t="inlineStr">
        <is>
          <t>31/08/2026 02:59</t>
        </is>
      </c>
    </row>
    <row r="2080">
      <c r="A2080" s="8" t="inlineStr">
        <is>
          <t>WHAP-2076</t>
        </is>
      </c>
      <c r="B2080" s="8" t="inlineStr">
        <is>
          <t>MOT-2076</t>
        </is>
      </c>
      <c r="C2080" s="8" t="inlineStr">
        <is>
          <t>câblage de pompe haute pression</t>
        </is>
      </c>
      <c r="D2080" s="8" t="inlineStr">
        <is>
          <t>Moteur</t>
        </is>
      </c>
      <c r="E2080" s="8" t="inlineStr">
        <is>
          <t>Moteur</t>
        </is>
      </c>
      <c r="F2080" s="8" t="inlineStr">
        <is>
          <t>PIECE_VEHICULE</t>
        </is>
      </c>
      <c r="G2080" s="8" t="inlineStr">
        <is>
          <t>unité</t>
        </is>
      </c>
      <c r="H2080" s="8" t="inlineStr">
        <is>
          <t>LARGE</t>
        </is>
      </c>
      <c r="I2080" s="8" t="n">
        <v>0</v>
      </c>
      <c r="J2080" s="8" t="inlineStr">
        <is>
          <t>B-06-03</t>
        </is>
      </c>
      <c r="K2080" s="8" t="inlineStr"/>
      <c r="L2080" s="10" t="n">
        <v>0</v>
      </c>
      <c r="M2080" s="10" t="n">
        <v>0</v>
      </c>
      <c r="N2080" s="10" t="n">
        <v>20</v>
      </c>
      <c r="O2080" s="8" t="inlineStr">
        <is>
          <t>VAL</t>
        </is>
      </c>
      <c r="P2080" s="8" t="inlineStr">
        <is>
          <t>CRITIQUE</t>
        </is>
      </c>
      <c r="Q2080" s="8" t="inlineStr">
        <is>
          <t>WHAP</t>
        </is>
      </c>
      <c r="R2080" s="8" t="inlineStr">
        <is>
          <t>OUI</t>
        </is>
      </c>
      <c r="S2080" s="8" t="inlineStr">
        <is>
          <t>31/08/2026 02:59</t>
        </is>
      </c>
    </row>
    <row r="2081">
      <c r="A2081" s="7" t="inlineStr">
        <is>
          <t>WHAP-2077</t>
        </is>
      </c>
      <c r="B2081" s="7" t="inlineStr">
        <is>
          <t>MOT-2077</t>
        </is>
      </c>
      <c r="C2081" s="7" t="inlineStr">
        <is>
          <t>connecteur de pompe haute pression</t>
        </is>
      </c>
      <c r="D2081" s="7" t="inlineStr">
        <is>
          <t>Moteur</t>
        </is>
      </c>
      <c r="E2081" s="7" t="inlineStr">
        <is>
          <t>Moteur</t>
        </is>
      </c>
      <c r="F2081" s="7" t="inlineStr">
        <is>
          <t>PIECE_VEHICULE</t>
        </is>
      </c>
      <c r="G2081" s="7" t="inlineStr">
        <is>
          <t>unité</t>
        </is>
      </c>
      <c r="H2081" s="7" t="inlineStr">
        <is>
          <t>LARGE</t>
        </is>
      </c>
      <c r="I2081" s="7" t="n">
        <v>0</v>
      </c>
      <c r="J2081" s="7" t="inlineStr">
        <is>
          <t>F-06-02</t>
        </is>
      </c>
      <c r="K2081" s="7" t="inlineStr"/>
      <c r="L2081" s="9" t="n">
        <v>0</v>
      </c>
      <c r="M2081" s="9" t="n">
        <v>0</v>
      </c>
      <c r="N2081" s="9" t="n">
        <v>18</v>
      </c>
      <c r="O2081" s="7" t="inlineStr">
        <is>
          <t>FAU</t>
        </is>
      </c>
      <c r="P2081" s="7" t="inlineStr">
        <is>
          <t>CRITIQUE</t>
        </is>
      </c>
      <c r="Q2081" s="7" t="inlineStr">
        <is>
          <t>WHAP</t>
        </is>
      </c>
      <c r="R2081" s="7" t="inlineStr">
        <is>
          <t>OUI</t>
        </is>
      </c>
      <c r="S2081" s="7" t="inlineStr">
        <is>
          <t>31/08/2026 02:59</t>
        </is>
      </c>
    </row>
    <row r="2082">
      <c r="A2082" s="8" t="inlineStr">
        <is>
          <t>WHAP-2078</t>
        </is>
      </c>
      <c r="B2082" s="8" t="inlineStr">
        <is>
          <t>MOT-2078</t>
        </is>
      </c>
      <c r="C2082" s="8" t="inlineStr">
        <is>
          <t>joint de pompe haute pression</t>
        </is>
      </c>
      <c r="D2082" s="8" t="inlineStr">
        <is>
          <t>Moteur</t>
        </is>
      </c>
      <c r="E2082" s="8" t="inlineStr">
        <is>
          <t>Moteur</t>
        </is>
      </c>
      <c r="F2082" s="8" t="inlineStr">
        <is>
          <t>PIECE_VEHICULE</t>
        </is>
      </c>
      <c r="G2082" s="8" t="inlineStr">
        <is>
          <t>unité</t>
        </is>
      </c>
      <c r="H2082" s="8" t="inlineStr">
        <is>
          <t>LARGE</t>
        </is>
      </c>
      <c r="I2082" s="8" t="n">
        <v>0</v>
      </c>
      <c r="J2082" s="8" t="inlineStr">
        <is>
          <t>B-02-01</t>
        </is>
      </c>
      <c r="K2082" s="8" t="inlineStr"/>
      <c r="L2082" s="10" t="n">
        <v>0</v>
      </c>
      <c r="M2082" s="10" t="n">
        <v>0</v>
      </c>
      <c r="N2082" s="10" t="n">
        <v>19</v>
      </c>
      <c r="O2082" s="8" t="inlineStr">
        <is>
          <t>YZK</t>
        </is>
      </c>
      <c r="P2082" s="8" t="inlineStr">
        <is>
          <t>CRITIQUE</t>
        </is>
      </c>
      <c r="Q2082" s="8" t="inlineStr">
        <is>
          <t>WHAP</t>
        </is>
      </c>
      <c r="R2082" s="8" t="inlineStr">
        <is>
          <t>OUI</t>
        </is>
      </c>
      <c r="S2082" s="8" t="inlineStr">
        <is>
          <t>31/08/2026 02:59</t>
        </is>
      </c>
    </row>
    <row r="2083">
      <c r="A2083" s="7" t="inlineStr">
        <is>
          <t>WHAP-2079</t>
        </is>
      </c>
      <c r="B2083" s="7" t="inlineStr">
        <is>
          <t>MOT-2079</t>
        </is>
      </c>
      <c r="C2083" s="7" t="inlineStr">
        <is>
          <t>fixation de pompe haute pression</t>
        </is>
      </c>
      <c r="D2083" s="7" t="inlineStr">
        <is>
          <t>Moteur</t>
        </is>
      </c>
      <c r="E2083" s="7" t="inlineStr">
        <is>
          <t>Moteur</t>
        </is>
      </c>
      <c r="F2083" s="7" t="inlineStr">
        <is>
          <t>PIECE_VEHICULE</t>
        </is>
      </c>
      <c r="G2083" s="7" t="inlineStr">
        <is>
          <t>unité</t>
        </is>
      </c>
      <c r="H2083" s="7" t="inlineStr">
        <is>
          <t>LARGE</t>
        </is>
      </c>
      <c r="I2083" s="7" t="n">
        <v>0</v>
      </c>
      <c r="J2083" s="7" t="inlineStr">
        <is>
          <t>A-05-04</t>
        </is>
      </c>
      <c r="K2083" s="7" t="inlineStr"/>
      <c r="L2083" s="9" t="n">
        <v>0</v>
      </c>
      <c r="M2083" s="9" t="n">
        <v>0</v>
      </c>
      <c r="N2083" s="9" t="n">
        <v>13</v>
      </c>
      <c r="O2083" s="7" t="inlineStr">
        <is>
          <t>BOS</t>
        </is>
      </c>
      <c r="P2083" s="7" t="inlineStr">
        <is>
          <t>CRITIQUE</t>
        </is>
      </c>
      <c r="Q2083" s="7" t="inlineStr">
        <is>
          <t>WHAP</t>
        </is>
      </c>
      <c r="R2083" s="7" t="inlineStr">
        <is>
          <t>OUI</t>
        </is>
      </c>
      <c r="S2083" s="7" t="inlineStr">
        <is>
          <t>31/08/2026 02:59</t>
        </is>
      </c>
    </row>
    <row r="2084">
      <c r="A2084" s="8" t="inlineStr">
        <is>
          <t>WHAP-2080</t>
        </is>
      </c>
      <c r="B2084" s="8" t="inlineStr">
        <is>
          <t>MOT-2080</t>
        </is>
      </c>
      <c r="C2084" s="8" t="inlineStr">
        <is>
          <t>protection de pompe haute pression</t>
        </is>
      </c>
      <c r="D2084" s="8" t="inlineStr">
        <is>
          <t>Moteur</t>
        </is>
      </c>
      <c r="E2084" s="8" t="inlineStr">
        <is>
          <t>Moteur</t>
        </is>
      </c>
      <c r="F2084" s="8" t="inlineStr">
        <is>
          <t>PIECE_VEHICULE</t>
        </is>
      </c>
      <c r="G2084" s="8" t="inlineStr">
        <is>
          <t>unité</t>
        </is>
      </c>
      <c r="H2084" s="8" t="inlineStr">
        <is>
          <t>LARGE</t>
        </is>
      </c>
      <c r="I2084" s="8" t="n">
        <v>0</v>
      </c>
      <c r="J2084" s="8" t="inlineStr">
        <is>
          <t>B-01-03</t>
        </is>
      </c>
      <c r="K2084" s="8" t="inlineStr"/>
      <c r="L2084" s="10" t="n">
        <v>0</v>
      </c>
      <c r="M2084" s="10" t="n">
        <v>0</v>
      </c>
      <c r="N2084" s="10" t="n">
        <v>20</v>
      </c>
      <c r="O2084" s="8" t="inlineStr">
        <is>
          <t>YZK</t>
        </is>
      </c>
      <c r="P2084" s="8" t="inlineStr">
        <is>
          <t>CRITIQUE</t>
        </is>
      </c>
      <c r="Q2084" s="8" t="inlineStr">
        <is>
          <t>WHAP</t>
        </is>
      </c>
      <c r="R2084" s="8" t="inlineStr">
        <is>
          <t>OUI</t>
        </is>
      </c>
      <c r="S2084" s="8" t="inlineStr">
        <is>
          <t>31/08/2026 02:59</t>
        </is>
      </c>
    </row>
    <row r="2085">
      <c r="A2085" s="7" t="inlineStr">
        <is>
          <t>WHAP-2081</t>
        </is>
      </c>
      <c r="B2085" s="7" t="inlineStr">
        <is>
          <t>MOT-2081</t>
        </is>
      </c>
      <c r="C2085" s="7" t="inlineStr">
        <is>
          <t>capteur de pompe haute pression</t>
        </is>
      </c>
      <c r="D2085" s="7" t="inlineStr">
        <is>
          <t>Moteur</t>
        </is>
      </c>
      <c r="E2085" s="7" t="inlineStr">
        <is>
          <t>Moteur</t>
        </is>
      </c>
      <c r="F2085" s="7" t="inlineStr">
        <is>
          <t>PIECE_VEHICULE</t>
        </is>
      </c>
      <c r="G2085" s="7" t="inlineStr">
        <is>
          <t>unité</t>
        </is>
      </c>
      <c r="H2085" s="7" t="inlineStr">
        <is>
          <t>LARGE</t>
        </is>
      </c>
      <c r="I2085" s="7" t="n">
        <v>0</v>
      </c>
      <c r="J2085" s="7" t="inlineStr">
        <is>
          <t>C-03-04</t>
        </is>
      </c>
      <c r="K2085" s="7" t="inlineStr"/>
      <c r="L2085" s="9" t="n">
        <v>0</v>
      </c>
      <c r="M2085" s="9" t="n">
        <v>0</v>
      </c>
      <c r="N2085" s="9" t="n">
        <v>10</v>
      </c>
      <c r="O2085" s="7" t="inlineStr">
        <is>
          <t>MAG</t>
        </is>
      </c>
      <c r="P2085" s="7" t="inlineStr">
        <is>
          <t>CRITIQUE</t>
        </is>
      </c>
      <c r="Q2085" s="7" t="inlineStr">
        <is>
          <t>WHAP</t>
        </is>
      </c>
      <c r="R2085" s="7" t="inlineStr">
        <is>
          <t>OUI</t>
        </is>
      </c>
      <c r="S2085" s="7" t="inlineStr">
        <is>
          <t>31/08/2026 02:59</t>
        </is>
      </c>
    </row>
    <row r="2086">
      <c r="A2086" s="8" t="inlineStr">
        <is>
          <t>WHAP-2082</t>
        </is>
      </c>
      <c r="B2086" s="8" t="inlineStr">
        <is>
          <t>MOT-2082</t>
        </is>
      </c>
      <c r="C2086" s="8" t="inlineStr">
        <is>
          <t>actionneur de pompe haute pression</t>
        </is>
      </c>
      <c r="D2086" s="8" t="inlineStr">
        <is>
          <t>Moteur</t>
        </is>
      </c>
      <c r="E2086" s="8" t="inlineStr">
        <is>
          <t>Moteur</t>
        </is>
      </c>
      <c r="F2086" s="8" t="inlineStr">
        <is>
          <t>PIECE_VEHICULE</t>
        </is>
      </c>
      <c r="G2086" s="8" t="inlineStr">
        <is>
          <t>unité</t>
        </is>
      </c>
      <c r="H2086" s="8" t="inlineStr">
        <is>
          <t>LARGE</t>
        </is>
      </c>
      <c r="I2086" s="8" t="n">
        <v>0</v>
      </c>
      <c r="J2086" s="8" t="inlineStr">
        <is>
          <t>D-02-02</t>
        </is>
      </c>
      <c r="K2086" s="8" t="inlineStr"/>
      <c r="L2086" s="10" t="n">
        <v>0</v>
      </c>
      <c r="M2086" s="10" t="n">
        <v>0</v>
      </c>
      <c r="N2086" s="10" t="n">
        <v>17</v>
      </c>
      <c r="O2086" s="8" t="inlineStr">
        <is>
          <t>CTL</t>
        </is>
      </c>
      <c r="P2086" s="8" t="inlineStr">
        <is>
          <t>CRITIQUE</t>
        </is>
      </c>
      <c r="Q2086" s="8" t="inlineStr">
        <is>
          <t>WHAP</t>
        </is>
      </c>
      <c r="R2086" s="8" t="inlineStr">
        <is>
          <t>OUI</t>
        </is>
      </c>
      <c r="S2086" s="8" t="inlineStr">
        <is>
          <t>31/08/2026 02:59</t>
        </is>
      </c>
    </row>
    <row r="2087">
      <c r="A2087" s="7" t="inlineStr">
        <is>
          <t>WHAP-2083</t>
        </is>
      </c>
      <c r="B2087" s="7" t="inlineStr">
        <is>
          <t>MOT-2083</t>
        </is>
      </c>
      <c r="C2087" s="7" t="inlineStr">
        <is>
          <t>raccord de pompe haute pression</t>
        </is>
      </c>
      <c r="D2087" s="7" t="inlineStr">
        <is>
          <t>Moteur</t>
        </is>
      </c>
      <c r="E2087" s="7" t="inlineStr">
        <is>
          <t>Moteur</t>
        </is>
      </c>
      <c r="F2087" s="7" t="inlineStr">
        <is>
          <t>PIECE_VEHICULE</t>
        </is>
      </c>
      <c r="G2087" s="7" t="inlineStr">
        <is>
          <t>unité</t>
        </is>
      </c>
      <c r="H2087" s="7" t="inlineStr">
        <is>
          <t>LARGE</t>
        </is>
      </c>
      <c r="I2087" s="7" t="n">
        <v>0</v>
      </c>
      <c r="J2087" s="7" t="inlineStr">
        <is>
          <t>B-02-02</t>
        </is>
      </c>
      <c r="K2087" s="7" t="inlineStr"/>
      <c r="L2087" s="9" t="n">
        <v>0</v>
      </c>
      <c r="M2087" s="9" t="n">
        <v>0</v>
      </c>
      <c r="N2087" s="9" t="n">
        <v>10</v>
      </c>
      <c r="O2087" s="7" t="inlineStr">
        <is>
          <t>YZK</t>
        </is>
      </c>
      <c r="P2087" s="7" t="inlineStr">
        <is>
          <t>CRITIQUE</t>
        </is>
      </c>
      <c r="Q2087" s="7" t="inlineStr">
        <is>
          <t>WHAP</t>
        </is>
      </c>
      <c r="R2087" s="7" t="inlineStr">
        <is>
          <t>OUI</t>
        </is>
      </c>
      <c r="S2087" s="7" t="inlineStr">
        <is>
          <t>31/08/2026 02:59</t>
        </is>
      </c>
    </row>
    <row r="2088">
      <c r="A2088" s="8" t="inlineStr">
        <is>
          <t>WHAP-2084</t>
        </is>
      </c>
      <c r="B2088" s="8" t="inlineStr">
        <is>
          <t>MOT-2084</t>
        </is>
      </c>
      <c r="C2088" s="8" t="inlineStr">
        <is>
          <t>plaque de pompe haute pression</t>
        </is>
      </c>
      <c r="D2088" s="8" t="inlineStr">
        <is>
          <t>Moteur</t>
        </is>
      </c>
      <c r="E2088" s="8" t="inlineStr">
        <is>
          <t>Moteur</t>
        </is>
      </c>
      <c r="F2088" s="8" t="inlineStr">
        <is>
          <t>PIECE_VEHICULE</t>
        </is>
      </c>
      <c r="G2088" s="8" t="inlineStr">
        <is>
          <t>unité</t>
        </is>
      </c>
      <c r="H2088" s="8" t="inlineStr">
        <is>
          <t>LARGE</t>
        </is>
      </c>
      <c r="I2088" s="8" t="n">
        <v>0</v>
      </c>
      <c r="J2088" s="8" t="inlineStr">
        <is>
          <t>A-01-04</t>
        </is>
      </c>
      <c r="K2088" s="8" t="inlineStr"/>
      <c r="L2088" s="10" t="n">
        <v>0</v>
      </c>
      <c r="M2088" s="10" t="n">
        <v>0</v>
      </c>
      <c r="N2088" s="10" t="n">
        <v>10</v>
      </c>
      <c r="O2088" s="8" t="inlineStr">
        <is>
          <t>DEL</t>
        </is>
      </c>
      <c r="P2088" s="8" t="inlineStr">
        <is>
          <t>CRITIQUE</t>
        </is>
      </c>
      <c r="Q2088" s="8" t="inlineStr">
        <is>
          <t>WHAP</t>
        </is>
      </c>
      <c r="R2088" s="8" t="inlineStr">
        <is>
          <t>OUI</t>
        </is>
      </c>
      <c r="S2088" s="8" t="inlineStr">
        <is>
          <t>31/08/2026 02:59</t>
        </is>
      </c>
    </row>
    <row r="2089">
      <c r="A2089" s="7" t="inlineStr">
        <is>
          <t>WHAP-2085</t>
        </is>
      </c>
      <c r="B2089" s="7" t="inlineStr">
        <is>
          <t>MOT-2085</t>
        </is>
      </c>
      <c r="C2089" s="7" t="inlineStr">
        <is>
          <t>couvercle de pompe haute pression</t>
        </is>
      </c>
      <c r="D2089" s="7" t="inlineStr">
        <is>
          <t>Moteur</t>
        </is>
      </c>
      <c r="E2089" s="7" t="inlineStr">
        <is>
          <t>Moteur</t>
        </is>
      </c>
      <c r="F2089" s="7" t="inlineStr">
        <is>
          <t>PIECE_VEHICULE</t>
        </is>
      </c>
      <c r="G2089" s="7" t="inlineStr">
        <is>
          <t>unité</t>
        </is>
      </c>
      <c r="H2089" s="7" t="inlineStr">
        <is>
          <t>LARGE</t>
        </is>
      </c>
      <c r="I2089" s="7" t="n">
        <v>0</v>
      </c>
      <c r="J2089" s="7" t="inlineStr">
        <is>
          <t>C-05-03</t>
        </is>
      </c>
      <c r="K2089" s="7" t="inlineStr"/>
      <c r="L2089" s="9" t="n">
        <v>0</v>
      </c>
      <c r="M2089" s="9" t="n">
        <v>0</v>
      </c>
      <c r="N2089" s="9" t="n">
        <v>13</v>
      </c>
      <c r="O2089" s="7" t="inlineStr">
        <is>
          <t>BOS</t>
        </is>
      </c>
      <c r="P2089" s="7" t="inlineStr">
        <is>
          <t>CRITIQUE</t>
        </is>
      </c>
      <c r="Q2089" s="7" t="inlineStr">
        <is>
          <t>WHAP</t>
        </is>
      </c>
      <c r="R2089" s="7" t="inlineStr">
        <is>
          <t>OUI</t>
        </is>
      </c>
      <c r="S2089" s="7" t="inlineStr">
        <is>
          <t>31/08/2026 02:59</t>
        </is>
      </c>
    </row>
    <row r="2090">
      <c r="A2090" s="8" t="inlineStr">
        <is>
          <t>WHAP-2086</t>
        </is>
      </c>
      <c r="B2090" s="8" t="inlineStr">
        <is>
          <t>MOT-2086</t>
        </is>
      </c>
      <c r="C2090" s="8" t="inlineStr">
        <is>
          <t>bague de pompe haute pression</t>
        </is>
      </c>
      <c r="D2090" s="8" t="inlineStr">
        <is>
          <t>Moteur</t>
        </is>
      </c>
      <c r="E2090" s="8" t="inlineStr">
        <is>
          <t>Moteur</t>
        </is>
      </c>
      <c r="F2090" s="8" t="inlineStr">
        <is>
          <t>PIECE_VEHICULE</t>
        </is>
      </c>
      <c r="G2090" s="8" t="inlineStr">
        <is>
          <t>unité</t>
        </is>
      </c>
      <c r="H2090" s="8" t="inlineStr">
        <is>
          <t>LARGE</t>
        </is>
      </c>
      <c r="I2090" s="8" t="n">
        <v>0</v>
      </c>
      <c r="J2090" s="8" t="inlineStr">
        <is>
          <t>B-03-03</t>
        </is>
      </c>
      <c r="K2090" s="8" t="inlineStr"/>
      <c r="L2090" s="10" t="n">
        <v>0</v>
      </c>
      <c r="M2090" s="10" t="n">
        <v>0</v>
      </c>
      <c r="N2090" s="10" t="n">
        <v>12</v>
      </c>
      <c r="O2090" s="8" t="inlineStr">
        <is>
          <t>SKF</t>
        </is>
      </c>
      <c r="P2090" s="8" t="inlineStr">
        <is>
          <t>CRITIQUE</t>
        </is>
      </c>
      <c r="Q2090" s="8" t="inlineStr">
        <is>
          <t>WHAP</t>
        </is>
      </c>
      <c r="R2090" s="8" t="inlineStr">
        <is>
          <t>OUI</t>
        </is>
      </c>
      <c r="S2090" s="8" t="inlineStr">
        <is>
          <t>31/08/2026 02:59</t>
        </is>
      </c>
    </row>
    <row r="2091">
      <c r="A2091" s="7" t="inlineStr">
        <is>
          <t>WHAP-2087</t>
        </is>
      </c>
      <c r="B2091" s="7" t="inlineStr">
        <is>
          <t>MOT-2087</t>
        </is>
      </c>
      <c r="C2091" s="7" t="inlineStr">
        <is>
          <t>entretoise de pompe haute pression</t>
        </is>
      </c>
      <c r="D2091" s="7" t="inlineStr">
        <is>
          <t>Moteur</t>
        </is>
      </c>
      <c r="E2091" s="7" t="inlineStr">
        <is>
          <t>Moteur</t>
        </is>
      </c>
      <c r="F2091" s="7" t="inlineStr">
        <is>
          <t>PIECE_VEHICULE</t>
        </is>
      </c>
      <c r="G2091" s="7" t="inlineStr">
        <is>
          <t>unité</t>
        </is>
      </c>
      <c r="H2091" s="7" t="inlineStr">
        <is>
          <t>LARGE</t>
        </is>
      </c>
      <c r="I2091" s="7" t="n">
        <v>0</v>
      </c>
      <c r="J2091" s="7" t="inlineStr">
        <is>
          <t>F-02-03</t>
        </is>
      </c>
      <c r="K2091" s="7" t="inlineStr"/>
      <c r="L2091" s="9" t="n">
        <v>0</v>
      </c>
      <c r="M2091" s="9" t="n">
        <v>0</v>
      </c>
      <c r="N2091" s="9" t="n">
        <v>15</v>
      </c>
      <c r="O2091" s="7" t="inlineStr">
        <is>
          <t>YZK</t>
        </is>
      </c>
      <c r="P2091" s="7" t="inlineStr">
        <is>
          <t>CRITIQUE</t>
        </is>
      </c>
      <c r="Q2091" s="7" t="inlineStr">
        <is>
          <t>WHAP</t>
        </is>
      </c>
      <c r="R2091" s="7" t="inlineStr">
        <is>
          <t>OUI</t>
        </is>
      </c>
      <c r="S2091" s="7" t="inlineStr">
        <is>
          <t>31/08/2026 02:59</t>
        </is>
      </c>
    </row>
    <row r="2092">
      <c r="A2092" s="8" t="inlineStr">
        <is>
          <t>WHAP-2088</t>
        </is>
      </c>
      <c r="B2092" s="8" t="inlineStr">
        <is>
          <t>MOT-2088</t>
        </is>
      </c>
      <c r="C2092" s="8" t="inlineStr">
        <is>
          <t>axe de pompe haute pression</t>
        </is>
      </c>
      <c r="D2092" s="8" t="inlineStr">
        <is>
          <t>Moteur</t>
        </is>
      </c>
      <c r="E2092" s="8" t="inlineStr">
        <is>
          <t>Moteur</t>
        </is>
      </c>
      <c r="F2092" s="8" t="inlineStr">
        <is>
          <t>PIECE_VEHICULE</t>
        </is>
      </c>
      <c r="G2092" s="8" t="inlineStr">
        <is>
          <t>unité</t>
        </is>
      </c>
      <c r="H2092" s="8" t="inlineStr">
        <is>
          <t>LARGE</t>
        </is>
      </c>
      <c r="I2092" s="8" t="n">
        <v>0</v>
      </c>
      <c r="J2092" s="8" t="inlineStr">
        <is>
          <t>A-03-03</t>
        </is>
      </c>
      <c r="K2092" s="8" t="inlineStr"/>
      <c r="L2092" s="10" t="n">
        <v>0</v>
      </c>
      <c r="M2092" s="10" t="n">
        <v>0</v>
      </c>
      <c r="N2092" s="10" t="n">
        <v>19</v>
      </c>
      <c r="O2092" s="8" t="inlineStr">
        <is>
          <t>HEL</t>
        </is>
      </c>
      <c r="P2092" s="8" t="inlineStr">
        <is>
          <t>CRITIQUE</t>
        </is>
      </c>
      <c r="Q2092" s="8" t="inlineStr">
        <is>
          <t>WHAP</t>
        </is>
      </c>
      <c r="R2092" s="8" t="inlineStr">
        <is>
          <t>OUI</t>
        </is>
      </c>
      <c r="S2092" s="8" t="inlineStr">
        <is>
          <t>31/08/2026 02:59</t>
        </is>
      </c>
    </row>
    <row r="2093">
      <c r="A2093" s="7" t="inlineStr">
        <is>
          <t>WHAP-2089</t>
        </is>
      </c>
      <c r="B2093" s="7" t="inlineStr">
        <is>
          <t>MOT-2089</t>
        </is>
      </c>
      <c r="C2093" s="7" t="inlineStr">
        <is>
          <t>poulie de pompe haute pression</t>
        </is>
      </c>
      <c r="D2093" s="7" t="inlineStr">
        <is>
          <t>Moteur</t>
        </is>
      </c>
      <c r="E2093" s="7" t="inlineStr">
        <is>
          <t>Moteur</t>
        </is>
      </c>
      <c r="F2093" s="7" t="inlineStr">
        <is>
          <t>PIECE_VEHICULE</t>
        </is>
      </c>
      <c r="G2093" s="7" t="inlineStr">
        <is>
          <t>unité</t>
        </is>
      </c>
      <c r="H2093" s="7" t="inlineStr">
        <is>
          <t>LARGE</t>
        </is>
      </c>
      <c r="I2093" s="7" t="n">
        <v>0</v>
      </c>
      <c r="J2093" s="7" t="inlineStr">
        <is>
          <t>D-01-03</t>
        </is>
      </c>
      <c r="K2093" s="7" t="inlineStr"/>
      <c r="L2093" s="9" t="n">
        <v>0</v>
      </c>
      <c r="M2093" s="9" t="n">
        <v>0</v>
      </c>
      <c r="N2093" s="9" t="n">
        <v>20</v>
      </c>
      <c r="O2093" s="7" t="inlineStr">
        <is>
          <t>VAL</t>
        </is>
      </c>
      <c r="P2093" s="7" t="inlineStr">
        <is>
          <t>CRITIQUE</t>
        </is>
      </c>
      <c r="Q2093" s="7" t="inlineStr">
        <is>
          <t>WHAP</t>
        </is>
      </c>
      <c r="R2093" s="7" t="inlineStr">
        <is>
          <t>OUI</t>
        </is>
      </c>
      <c r="S2093" s="7" t="inlineStr">
        <is>
          <t>31/08/2026 02:59</t>
        </is>
      </c>
    </row>
    <row r="2094">
      <c r="A2094" s="8" t="inlineStr">
        <is>
          <t>WHAP-2090</t>
        </is>
      </c>
      <c r="B2094" s="8" t="inlineStr">
        <is>
          <t>MOT-2090</t>
        </is>
      </c>
      <c r="C2094" s="8" t="inlineStr">
        <is>
          <t>pignon de pompe haute pression</t>
        </is>
      </c>
      <c r="D2094" s="8" t="inlineStr">
        <is>
          <t>Moteur</t>
        </is>
      </c>
      <c r="E2094" s="8" t="inlineStr">
        <is>
          <t>Moteur</t>
        </is>
      </c>
      <c r="F2094" s="8" t="inlineStr">
        <is>
          <t>PIECE_VEHICULE</t>
        </is>
      </c>
      <c r="G2094" s="8" t="inlineStr">
        <is>
          <t>unité</t>
        </is>
      </c>
      <c r="H2094" s="8" t="inlineStr">
        <is>
          <t>LARGE</t>
        </is>
      </c>
      <c r="I2094" s="8" t="n">
        <v>0</v>
      </c>
      <c r="J2094" s="8" t="inlineStr">
        <is>
          <t>B-05-03</t>
        </is>
      </c>
      <c r="K2094" s="8" t="inlineStr"/>
      <c r="L2094" s="10" t="n">
        <v>0</v>
      </c>
      <c r="M2094" s="10" t="n">
        <v>0</v>
      </c>
      <c r="N2094" s="10" t="n">
        <v>11</v>
      </c>
      <c r="O2094" s="8" t="inlineStr">
        <is>
          <t>CTL</t>
        </is>
      </c>
      <c r="P2094" s="8" t="inlineStr">
        <is>
          <t>CRITIQUE</t>
        </is>
      </c>
      <c r="Q2094" s="8" t="inlineStr">
        <is>
          <t>WHAP</t>
        </is>
      </c>
      <c r="R2094" s="8" t="inlineStr">
        <is>
          <t>OUI</t>
        </is>
      </c>
      <c r="S2094" s="8" t="inlineStr">
        <is>
          <t>31/08/2026 02:59</t>
        </is>
      </c>
    </row>
    <row r="2095">
      <c r="A2095" s="7" t="inlineStr">
        <is>
          <t>WHAP-2091</t>
        </is>
      </c>
      <c r="B2095" s="7" t="inlineStr">
        <is>
          <t>MOT-2091</t>
        </is>
      </c>
      <c r="C2095" s="7" t="inlineStr">
        <is>
          <t>ensemble de pompe à carburant</t>
        </is>
      </c>
      <c r="D2095" s="7" t="inlineStr">
        <is>
          <t>Moteur</t>
        </is>
      </c>
      <c r="E2095" s="7" t="inlineStr">
        <is>
          <t>Moteur</t>
        </is>
      </c>
      <c r="F2095" s="7" t="inlineStr">
        <is>
          <t>PIECE_VEHICULE</t>
        </is>
      </c>
      <c r="G2095" s="7" t="inlineStr">
        <is>
          <t>unité</t>
        </is>
      </c>
      <c r="H2095" s="7" t="inlineStr">
        <is>
          <t>LARGE</t>
        </is>
      </c>
      <c r="I2095" s="7" t="n">
        <v>0</v>
      </c>
      <c r="J2095" s="7" t="inlineStr">
        <is>
          <t>A-06-03</t>
        </is>
      </c>
      <c r="K2095" s="7" t="inlineStr"/>
      <c r="L2095" s="9" t="n">
        <v>0</v>
      </c>
      <c r="M2095" s="9" t="n">
        <v>0</v>
      </c>
      <c r="N2095" s="9" t="n">
        <v>16</v>
      </c>
      <c r="O2095" s="7" t="inlineStr">
        <is>
          <t>SUM</t>
        </is>
      </c>
      <c r="P2095" s="7" t="inlineStr">
        <is>
          <t>CRITIQUE</t>
        </is>
      </c>
      <c r="Q2095" s="7" t="inlineStr">
        <is>
          <t>WHAP</t>
        </is>
      </c>
      <c r="R2095" s="7" t="inlineStr">
        <is>
          <t>OUI</t>
        </is>
      </c>
      <c r="S2095" s="7" t="inlineStr">
        <is>
          <t>31/08/2026 02:59</t>
        </is>
      </c>
    </row>
    <row r="2096">
      <c r="A2096" s="8" t="inlineStr">
        <is>
          <t>WHAP-2092</t>
        </is>
      </c>
      <c r="B2096" s="8" t="inlineStr">
        <is>
          <t>MOT-2092</t>
        </is>
      </c>
      <c r="C2096" s="8" t="inlineStr">
        <is>
          <t>kit de pompe à carburant</t>
        </is>
      </c>
      <c r="D2096" s="8" t="inlineStr">
        <is>
          <t>Moteur</t>
        </is>
      </c>
      <c r="E2096" s="8" t="inlineStr">
        <is>
          <t>Moteur</t>
        </is>
      </c>
      <c r="F2096" s="8" t="inlineStr">
        <is>
          <t>PIECE_VEHICULE</t>
        </is>
      </c>
      <c r="G2096" s="8" t="inlineStr">
        <is>
          <t>unité</t>
        </is>
      </c>
      <c r="H2096" s="8" t="inlineStr">
        <is>
          <t>LARGE</t>
        </is>
      </c>
      <c r="I2096" s="8" t="n">
        <v>0</v>
      </c>
      <c r="J2096" s="8" t="inlineStr">
        <is>
          <t>F-02-03</t>
        </is>
      </c>
      <c r="K2096" s="8" t="inlineStr"/>
      <c r="L2096" s="10" t="n">
        <v>0</v>
      </c>
      <c r="M2096" s="10" t="n">
        <v>0</v>
      </c>
      <c r="N2096" s="10" t="n">
        <v>18</v>
      </c>
      <c r="O2096" s="8" t="inlineStr">
        <is>
          <t>YZK</t>
        </is>
      </c>
      <c r="P2096" s="8" t="inlineStr">
        <is>
          <t>CRITIQUE</t>
        </is>
      </c>
      <c r="Q2096" s="8" t="inlineStr">
        <is>
          <t>WHAP</t>
        </is>
      </c>
      <c r="R2096" s="8" t="inlineStr">
        <is>
          <t>OUI</t>
        </is>
      </c>
      <c r="S2096" s="8" t="inlineStr">
        <is>
          <t>31/08/2026 02:59</t>
        </is>
      </c>
    </row>
    <row r="2097">
      <c r="A2097" s="7" t="inlineStr">
        <is>
          <t>WHAP-2093</t>
        </is>
      </c>
      <c r="B2097" s="7" t="inlineStr">
        <is>
          <t>MOT-2093</t>
        </is>
      </c>
      <c r="C2097" s="7" t="inlineStr">
        <is>
          <t>support de pompe à carburant</t>
        </is>
      </c>
      <c r="D2097" s="7" t="inlineStr">
        <is>
          <t>Moteur</t>
        </is>
      </c>
      <c r="E2097" s="7" t="inlineStr">
        <is>
          <t>Moteur</t>
        </is>
      </c>
      <c r="F2097" s="7" t="inlineStr">
        <is>
          <t>PIECE_VEHICULE</t>
        </is>
      </c>
      <c r="G2097" s="7" t="inlineStr">
        <is>
          <t>unité</t>
        </is>
      </c>
      <c r="H2097" s="7" t="inlineStr">
        <is>
          <t>LARGE</t>
        </is>
      </c>
      <c r="I2097" s="7" t="n">
        <v>0</v>
      </c>
      <c r="J2097" s="7" t="inlineStr">
        <is>
          <t>C-02-02</t>
        </is>
      </c>
      <c r="K2097" s="7" t="inlineStr"/>
      <c r="L2097" s="9" t="n">
        <v>0</v>
      </c>
      <c r="M2097" s="9" t="n">
        <v>0</v>
      </c>
      <c r="N2097" s="9" t="n">
        <v>10</v>
      </c>
      <c r="O2097" s="7" t="inlineStr">
        <is>
          <t>BOS</t>
        </is>
      </c>
      <c r="P2097" s="7" t="inlineStr">
        <is>
          <t>CRITIQUE</t>
        </is>
      </c>
      <c r="Q2097" s="7" t="inlineStr">
        <is>
          <t>WHAP</t>
        </is>
      </c>
      <c r="R2097" s="7" t="inlineStr">
        <is>
          <t>OUI</t>
        </is>
      </c>
      <c r="S2097" s="7" t="inlineStr">
        <is>
          <t>31/08/2026 02:59</t>
        </is>
      </c>
    </row>
    <row r="2098">
      <c r="A2098" s="8" t="inlineStr">
        <is>
          <t>WHAP-2094</t>
        </is>
      </c>
      <c r="B2098" s="8" t="inlineStr">
        <is>
          <t>MOT-2094</t>
        </is>
      </c>
      <c r="C2098" s="8" t="inlineStr">
        <is>
          <t>boîtier de pompe à carburant</t>
        </is>
      </c>
      <c r="D2098" s="8" t="inlineStr">
        <is>
          <t>Moteur</t>
        </is>
      </c>
      <c r="E2098" s="8" t="inlineStr">
        <is>
          <t>Moteur</t>
        </is>
      </c>
      <c r="F2098" s="8" t="inlineStr">
        <is>
          <t>PIECE_VEHICULE</t>
        </is>
      </c>
      <c r="G2098" s="8" t="inlineStr">
        <is>
          <t>unité</t>
        </is>
      </c>
      <c r="H2098" s="8" t="inlineStr">
        <is>
          <t>LARGE</t>
        </is>
      </c>
      <c r="I2098" s="8" t="n">
        <v>0</v>
      </c>
      <c r="J2098" s="8" t="inlineStr">
        <is>
          <t>A-06-04</t>
        </is>
      </c>
      <c r="K2098" s="8" t="inlineStr"/>
      <c r="L2098" s="10" t="n">
        <v>0</v>
      </c>
      <c r="M2098" s="10" t="n">
        <v>0</v>
      </c>
      <c r="N2098" s="10" t="n">
        <v>18</v>
      </c>
      <c r="O2098" s="8" t="inlineStr">
        <is>
          <t>DEL</t>
        </is>
      </c>
      <c r="P2098" s="8" t="inlineStr">
        <is>
          <t>CRITIQUE</t>
        </is>
      </c>
      <c r="Q2098" s="8" t="inlineStr">
        <is>
          <t>WHAP</t>
        </is>
      </c>
      <c r="R2098" s="8" t="inlineStr">
        <is>
          <t>OUI</t>
        </is>
      </c>
      <c r="S2098" s="8" t="inlineStr">
        <is>
          <t>31/08/2026 02:59</t>
        </is>
      </c>
    </row>
    <row r="2099">
      <c r="A2099" s="7" t="inlineStr">
        <is>
          <t>WHAP-2095</t>
        </is>
      </c>
      <c r="B2099" s="7" t="inlineStr">
        <is>
          <t>MOT-2095</t>
        </is>
      </c>
      <c r="C2099" s="7" t="inlineStr">
        <is>
          <t>module de pompe à carburant</t>
        </is>
      </c>
      <c r="D2099" s="7" t="inlineStr">
        <is>
          <t>Moteur</t>
        </is>
      </c>
      <c r="E2099" s="7" t="inlineStr">
        <is>
          <t>Moteur</t>
        </is>
      </c>
      <c r="F2099" s="7" t="inlineStr">
        <is>
          <t>PIECE_VEHICULE</t>
        </is>
      </c>
      <c r="G2099" s="7" t="inlineStr">
        <is>
          <t>unité</t>
        </is>
      </c>
      <c r="H2099" s="7" t="inlineStr">
        <is>
          <t>LARGE</t>
        </is>
      </c>
      <c r="I2099" s="7" t="n">
        <v>0</v>
      </c>
      <c r="J2099" s="7" t="inlineStr">
        <is>
          <t>D-03-04</t>
        </is>
      </c>
      <c r="K2099" s="7" t="inlineStr"/>
      <c r="L2099" s="9" t="n">
        <v>0</v>
      </c>
      <c r="M2099" s="9" t="n">
        <v>0</v>
      </c>
      <c r="N2099" s="9" t="n">
        <v>16</v>
      </c>
      <c r="O2099" s="7" t="inlineStr">
        <is>
          <t>FAU</t>
        </is>
      </c>
      <c r="P2099" s="7" t="inlineStr">
        <is>
          <t>CRITIQUE</t>
        </is>
      </c>
      <c r="Q2099" s="7" t="inlineStr">
        <is>
          <t>WHAP</t>
        </is>
      </c>
      <c r="R2099" s="7" t="inlineStr">
        <is>
          <t>OUI</t>
        </is>
      </c>
      <c r="S2099" s="7" t="inlineStr">
        <is>
          <t>31/08/2026 02:59</t>
        </is>
      </c>
    </row>
    <row r="2100">
      <c r="A2100" s="8" t="inlineStr">
        <is>
          <t>WHAP-2096</t>
        </is>
      </c>
      <c r="B2100" s="8" t="inlineStr">
        <is>
          <t>MOT-2096</t>
        </is>
      </c>
      <c r="C2100" s="8" t="inlineStr">
        <is>
          <t>câblage de pompe à carburant</t>
        </is>
      </c>
      <c r="D2100" s="8" t="inlineStr">
        <is>
          <t>Moteur</t>
        </is>
      </c>
      <c r="E2100" s="8" t="inlineStr">
        <is>
          <t>Moteur</t>
        </is>
      </c>
      <c r="F2100" s="8" t="inlineStr">
        <is>
          <t>PIECE_VEHICULE</t>
        </is>
      </c>
      <c r="G2100" s="8" t="inlineStr">
        <is>
          <t>unité</t>
        </is>
      </c>
      <c r="H2100" s="8" t="inlineStr">
        <is>
          <t>LARGE</t>
        </is>
      </c>
      <c r="I2100" s="8" t="n">
        <v>0</v>
      </c>
      <c r="J2100" s="8" t="inlineStr">
        <is>
          <t>C-03-03</t>
        </is>
      </c>
      <c r="K2100" s="8" t="inlineStr"/>
      <c r="L2100" s="10" t="n">
        <v>0</v>
      </c>
      <c r="M2100" s="10" t="n">
        <v>0</v>
      </c>
      <c r="N2100" s="10" t="n">
        <v>16</v>
      </c>
      <c r="O2100" s="8" t="inlineStr">
        <is>
          <t>DEL</t>
        </is>
      </c>
      <c r="P2100" s="8" t="inlineStr">
        <is>
          <t>CRITIQUE</t>
        </is>
      </c>
      <c r="Q2100" s="8" t="inlineStr">
        <is>
          <t>WHAP</t>
        </is>
      </c>
      <c r="R2100" s="8" t="inlineStr">
        <is>
          <t>OUI</t>
        </is>
      </c>
      <c r="S2100" s="8" t="inlineStr">
        <is>
          <t>31/08/2026 02:59</t>
        </is>
      </c>
    </row>
    <row r="2101">
      <c r="A2101" s="7" t="inlineStr">
        <is>
          <t>WHAP-2097</t>
        </is>
      </c>
      <c r="B2101" s="7" t="inlineStr">
        <is>
          <t>MOT-2097</t>
        </is>
      </c>
      <c r="C2101" s="7" t="inlineStr">
        <is>
          <t>connecteur de pompe à carburant</t>
        </is>
      </c>
      <c r="D2101" s="7" t="inlineStr">
        <is>
          <t>Moteur</t>
        </is>
      </c>
      <c r="E2101" s="7" t="inlineStr">
        <is>
          <t>Moteur</t>
        </is>
      </c>
      <c r="F2101" s="7" t="inlineStr">
        <is>
          <t>PIECE_VEHICULE</t>
        </is>
      </c>
      <c r="G2101" s="7" t="inlineStr">
        <is>
          <t>unité</t>
        </is>
      </c>
      <c r="H2101" s="7" t="inlineStr">
        <is>
          <t>LARGE</t>
        </is>
      </c>
      <c r="I2101" s="7" t="n">
        <v>0</v>
      </c>
      <c r="J2101" s="7" t="inlineStr">
        <is>
          <t>A-04-02</t>
        </is>
      </c>
      <c r="K2101" s="7" t="inlineStr"/>
      <c r="L2101" s="9" t="n">
        <v>0</v>
      </c>
      <c r="M2101" s="9" t="n">
        <v>0</v>
      </c>
      <c r="N2101" s="9" t="n">
        <v>18</v>
      </c>
      <c r="O2101" s="7" t="inlineStr">
        <is>
          <t>BOS</t>
        </is>
      </c>
      <c r="P2101" s="7" t="inlineStr">
        <is>
          <t>CRITIQUE</t>
        </is>
      </c>
      <c r="Q2101" s="7" t="inlineStr">
        <is>
          <t>WHAP</t>
        </is>
      </c>
      <c r="R2101" s="7" t="inlineStr">
        <is>
          <t>OUI</t>
        </is>
      </c>
      <c r="S2101" s="7" t="inlineStr">
        <is>
          <t>31/08/2026 02:59</t>
        </is>
      </c>
    </row>
    <row r="2102">
      <c r="A2102" s="8" t="inlineStr">
        <is>
          <t>WHAP-2098</t>
        </is>
      </c>
      <c r="B2102" s="8" t="inlineStr">
        <is>
          <t>MOT-2098</t>
        </is>
      </c>
      <c r="C2102" s="8" t="inlineStr">
        <is>
          <t>joint de pompe à carburant</t>
        </is>
      </c>
      <c r="D2102" s="8" t="inlineStr">
        <is>
          <t>Moteur</t>
        </is>
      </c>
      <c r="E2102" s="8" t="inlineStr">
        <is>
          <t>Moteur</t>
        </is>
      </c>
      <c r="F2102" s="8" t="inlineStr">
        <is>
          <t>PIECE_VEHICULE</t>
        </is>
      </c>
      <c r="G2102" s="8" t="inlineStr">
        <is>
          <t>unité</t>
        </is>
      </c>
      <c r="H2102" s="8" t="inlineStr">
        <is>
          <t>LARGE</t>
        </is>
      </c>
      <c r="I2102" s="8" t="n">
        <v>0</v>
      </c>
      <c r="J2102" s="8" t="inlineStr">
        <is>
          <t>D-05-02</t>
        </is>
      </c>
      <c r="K2102" s="8" t="inlineStr"/>
      <c r="L2102" s="10" t="n">
        <v>0</v>
      </c>
      <c r="M2102" s="10" t="n">
        <v>0</v>
      </c>
      <c r="N2102" s="10" t="n">
        <v>11</v>
      </c>
      <c r="O2102" s="8" t="inlineStr">
        <is>
          <t>VAL</t>
        </is>
      </c>
      <c r="P2102" s="8" t="inlineStr">
        <is>
          <t>CRITIQUE</t>
        </is>
      </c>
      <c r="Q2102" s="8" t="inlineStr">
        <is>
          <t>WHAP</t>
        </is>
      </c>
      <c r="R2102" s="8" t="inlineStr">
        <is>
          <t>OUI</t>
        </is>
      </c>
      <c r="S2102" s="8" t="inlineStr">
        <is>
          <t>31/08/2026 02:59</t>
        </is>
      </c>
    </row>
    <row r="2103">
      <c r="A2103" s="7" t="inlineStr">
        <is>
          <t>WHAP-2099</t>
        </is>
      </c>
      <c r="B2103" s="7" t="inlineStr">
        <is>
          <t>MOT-2099</t>
        </is>
      </c>
      <c r="C2103" s="7" t="inlineStr">
        <is>
          <t>fixation de pompe à carburant</t>
        </is>
      </c>
      <c r="D2103" s="7" t="inlineStr">
        <is>
          <t>Moteur</t>
        </is>
      </c>
      <c r="E2103" s="7" t="inlineStr">
        <is>
          <t>Moteur</t>
        </is>
      </c>
      <c r="F2103" s="7" t="inlineStr">
        <is>
          <t>PIECE_VEHICULE</t>
        </is>
      </c>
      <c r="G2103" s="7" t="inlineStr">
        <is>
          <t>unité</t>
        </is>
      </c>
      <c r="H2103" s="7" t="inlineStr">
        <is>
          <t>LARGE</t>
        </is>
      </c>
      <c r="I2103" s="7" t="n">
        <v>0</v>
      </c>
      <c r="J2103" s="7" t="inlineStr">
        <is>
          <t>F-06-02</t>
        </is>
      </c>
      <c r="K2103" s="7" t="inlineStr"/>
      <c r="L2103" s="9" t="n">
        <v>0</v>
      </c>
      <c r="M2103" s="9" t="n">
        <v>0</v>
      </c>
      <c r="N2103" s="9" t="n">
        <v>14</v>
      </c>
      <c r="O2103" s="7" t="inlineStr">
        <is>
          <t>FAU</t>
        </is>
      </c>
      <c r="P2103" s="7" t="inlineStr">
        <is>
          <t>CRITIQUE</t>
        </is>
      </c>
      <c r="Q2103" s="7" t="inlineStr">
        <is>
          <t>WHAP</t>
        </is>
      </c>
      <c r="R2103" s="7" t="inlineStr">
        <is>
          <t>OUI</t>
        </is>
      </c>
      <c r="S2103" s="7" t="inlineStr">
        <is>
          <t>31/08/2026 02:59</t>
        </is>
      </c>
    </row>
    <row r="2104">
      <c r="A2104" s="8" t="inlineStr">
        <is>
          <t>WHAP-2100</t>
        </is>
      </c>
      <c r="B2104" s="8" t="inlineStr">
        <is>
          <t>MOT-2100</t>
        </is>
      </c>
      <c r="C2104" s="8" t="inlineStr">
        <is>
          <t>protection de pompe à carburant</t>
        </is>
      </c>
      <c r="D2104" s="8" t="inlineStr">
        <is>
          <t>Moteur</t>
        </is>
      </c>
      <c r="E2104" s="8" t="inlineStr">
        <is>
          <t>Moteur</t>
        </is>
      </c>
      <c r="F2104" s="8" t="inlineStr">
        <is>
          <t>PIECE_VEHICULE</t>
        </is>
      </c>
      <c r="G2104" s="8" t="inlineStr">
        <is>
          <t>unité</t>
        </is>
      </c>
      <c r="H2104" s="8" t="inlineStr">
        <is>
          <t>LARGE</t>
        </is>
      </c>
      <c r="I2104" s="8" t="n">
        <v>0</v>
      </c>
      <c r="J2104" s="8" t="inlineStr">
        <is>
          <t>D-03-02</t>
        </is>
      </c>
      <c r="K2104" s="8" t="inlineStr"/>
      <c r="L2104" s="10" t="n">
        <v>0</v>
      </c>
      <c r="M2104" s="10" t="n">
        <v>0</v>
      </c>
      <c r="N2104" s="10" t="n">
        <v>15</v>
      </c>
      <c r="O2104" s="8" t="inlineStr">
        <is>
          <t>CTL</t>
        </is>
      </c>
      <c r="P2104" s="8" t="inlineStr">
        <is>
          <t>CRITIQUE</t>
        </is>
      </c>
      <c r="Q2104" s="8" t="inlineStr">
        <is>
          <t>WHAP</t>
        </is>
      </c>
      <c r="R2104" s="8" t="inlineStr">
        <is>
          <t>OUI</t>
        </is>
      </c>
      <c r="S2104" s="8" t="inlineStr">
        <is>
          <t>31/08/2026 02:59</t>
        </is>
      </c>
    </row>
    <row r="2105">
      <c r="A2105" s="7" t="inlineStr">
        <is>
          <t>WHAP-2101</t>
        </is>
      </c>
      <c r="B2105" s="7" t="inlineStr">
        <is>
          <t>MOT-2101</t>
        </is>
      </c>
      <c r="C2105" s="7" t="inlineStr">
        <is>
          <t>capteur de pompe à carburant</t>
        </is>
      </c>
      <c r="D2105" s="7" t="inlineStr">
        <is>
          <t>Moteur</t>
        </is>
      </c>
      <c r="E2105" s="7" t="inlineStr">
        <is>
          <t>Moteur</t>
        </is>
      </c>
      <c r="F2105" s="7" t="inlineStr">
        <is>
          <t>PIECE_VEHICULE</t>
        </is>
      </c>
      <c r="G2105" s="7" t="inlineStr">
        <is>
          <t>unité</t>
        </is>
      </c>
      <c r="H2105" s="7" t="inlineStr">
        <is>
          <t>LARGE</t>
        </is>
      </c>
      <c r="I2105" s="7" t="n">
        <v>0</v>
      </c>
      <c r="J2105" s="7" t="inlineStr">
        <is>
          <t>B-05-03</t>
        </is>
      </c>
      <c r="K2105" s="7" t="inlineStr"/>
      <c r="L2105" s="9" t="n">
        <v>0</v>
      </c>
      <c r="M2105" s="9" t="n">
        <v>0</v>
      </c>
      <c r="N2105" s="9" t="n">
        <v>20</v>
      </c>
      <c r="O2105" s="7" t="inlineStr">
        <is>
          <t>YZK</t>
        </is>
      </c>
      <c r="P2105" s="7" t="inlineStr">
        <is>
          <t>CRITIQUE</t>
        </is>
      </c>
      <c r="Q2105" s="7" t="inlineStr">
        <is>
          <t>WHAP</t>
        </is>
      </c>
      <c r="R2105" s="7" t="inlineStr">
        <is>
          <t>OUI</t>
        </is>
      </c>
      <c r="S2105" s="7" t="inlineStr">
        <is>
          <t>31/08/2026 02:59</t>
        </is>
      </c>
    </row>
    <row r="2106">
      <c r="A2106" s="8" t="inlineStr">
        <is>
          <t>WHAP-2102</t>
        </is>
      </c>
      <c r="B2106" s="8" t="inlineStr">
        <is>
          <t>MOT-2102</t>
        </is>
      </c>
      <c r="C2106" s="8" t="inlineStr">
        <is>
          <t>actionneur de pompe à carburant</t>
        </is>
      </c>
      <c r="D2106" s="8" t="inlineStr">
        <is>
          <t>Moteur</t>
        </is>
      </c>
      <c r="E2106" s="8" t="inlineStr">
        <is>
          <t>Moteur</t>
        </is>
      </c>
      <c r="F2106" s="8" t="inlineStr">
        <is>
          <t>PIECE_VEHICULE</t>
        </is>
      </c>
      <c r="G2106" s="8" t="inlineStr">
        <is>
          <t>unité</t>
        </is>
      </c>
      <c r="H2106" s="8" t="inlineStr">
        <is>
          <t>LARGE</t>
        </is>
      </c>
      <c r="I2106" s="8" t="n">
        <v>0</v>
      </c>
      <c r="J2106" s="8" t="inlineStr">
        <is>
          <t>F-05-04</t>
        </is>
      </c>
      <c r="K2106" s="8" t="inlineStr"/>
      <c r="L2106" s="10" t="n">
        <v>0</v>
      </c>
      <c r="M2106" s="10" t="n">
        <v>0</v>
      </c>
      <c r="N2106" s="10" t="n">
        <v>16</v>
      </c>
      <c r="O2106" s="8" t="inlineStr">
        <is>
          <t>YZK</t>
        </is>
      </c>
      <c r="P2106" s="8" t="inlineStr">
        <is>
          <t>CRITIQUE</t>
        </is>
      </c>
      <c r="Q2106" s="8" t="inlineStr">
        <is>
          <t>WHAP</t>
        </is>
      </c>
      <c r="R2106" s="8" t="inlineStr">
        <is>
          <t>OUI</t>
        </is>
      </c>
      <c r="S2106" s="8" t="inlineStr">
        <is>
          <t>31/08/2026 02:59</t>
        </is>
      </c>
    </row>
    <row r="2107">
      <c r="A2107" s="7" t="inlineStr">
        <is>
          <t>WHAP-2103</t>
        </is>
      </c>
      <c r="B2107" s="7" t="inlineStr">
        <is>
          <t>MOT-2103</t>
        </is>
      </c>
      <c r="C2107" s="7" t="inlineStr">
        <is>
          <t>raccord de pompe à carburant</t>
        </is>
      </c>
      <c r="D2107" s="7" t="inlineStr">
        <is>
          <t>Moteur</t>
        </is>
      </c>
      <c r="E2107" s="7" t="inlineStr">
        <is>
          <t>Moteur</t>
        </is>
      </c>
      <c r="F2107" s="7" t="inlineStr">
        <is>
          <t>PIECE_VEHICULE</t>
        </is>
      </c>
      <c r="G2107" s="7" t="inlineStr">
        <is>
          <t>unité</t>
        </is>
      </c>
      <c r="H2107" s="7" t="inlineStr">
        <is>
          <t>LARGE</t>
        </is>
      </c>
      <c r="I2107" s="7" t="n">
        <v>0</v>
      </c>
      <c r="J2107" s="7" t="inlineStr">
        <is>
          <t>D-03-04</t>
        </is>
      </c>
      <c r="K2107" s="7" t="inlineStr"/>
      <c r="L2107" s="9" t="n">
        <v>0</v>
      </c>
      <c r="M2107" s="9" t="n">
        <v>0</v>
      </c>
      <c r="N2107" s="9" t="n">
        <v>18</v>
      </c>
      <c r="O2107" s="7" t="inlineStr">
        <is>
          <t>VAL</t>
        </is>
      </c>
      <c r="P2107" s="7" t="inlineStr">
        <is>
          <t>CRITIQUE</t>
        </is>
      </c>
      <c r="Q2107" s="7" t="inlineStr">
        <is>
          <t>WHAP</t>
        </is>
      </c>
      <c r="R2107" s="7" t="inlineStr">
        <is>
          <t>OUI</t>
        </is>
      </c>
      <c r="S2107" s="7" t="inlineStr">
        <is>
          <t>31/08/2026 02:59</t>
        </is>
      </c>
    </row>
    <row r="2108">
      <c r="A2108" s="8" t="inlineStr">
        <is>
          <t>WHAP-2104</t>
        </is>
      </c>
      <c r="B2108" s="8" t="inlineStr">
        <is>
          <t>MOT-2104</t>
        </is>
      </c>
      <c r="C2108" s="8" t="inlineStr">
        <is>
          <t>plaque de pompe à carburant</t>
        </is>
      </c>
      <c r="D2108" s="8" t="inlineStr">
        <is>
          <t>Moteur</t>
        </is>
      </c>
      <c r="E2108" s="8" t="inlineStr">
        <is>
          <t>Moteur</t>
        </is>
      </c>
      <c r="F2108" s="8" t="inlineStr">
        <is>
          <t>PIECE_VEHICULE</t>
        </is>
      </c>
      <c r="G2108" s="8" t="inlineStr">
        <is>
          <t>unité</t>
        </is>
      </c>
      <c r="H2108" s="8" t="inlineStr">
        <is>
          <t>LARGE</t>
        </is>
      </c>
      <c r="I2108" s="8" t="n">
        <v>0</v>
      </c>
      <c r="J2108" s="8" t="inlineStr">
        <is>
          <t>C-06-01</t>
        </is>
      </c>
      <c r="K2108" s="8" t="inlineStr"/>
      <c r="L2108" s="10" t="n">
        <v>0</v>
      </c>
      <c r="M2108" s="10" t="n">
        <v>0</v>
      </c>
      <c r="N2108" s="10" t="n">
        <v>13</v>
      </c>
      <c r="O2108" s="8" t="inlineStr">
        <is>
          <t>HEL</t>
        </is>
      </c>
      <c r="P2108" s="8" t="inlineStr">
        <is>
          <t>CRITIQUE</t>
        </is>
      </c>
      <c r="Q2108" s="8" t="inlineStr">
        <is>
          <t>WHAP</t>
        </is>
      </c>
      <c r="R2108" s="8" t="inlineStr">
        <is>
          <t>OUI</t>
        </is>
      </c>
      <c r="S2108" s="8" t="inlineStr">
        <is>
          <t>31/08/2026 02:59</t>
        </is>
      </c>
    </row>
    <row r="2109">
      <c r="A2109" s="7" t="inlineStr">
        <is>
          <t>WHAP-2105</t>
        </is>
      </c>
      <c r="B2109" s="7" t="inlineStr">
        <is>
          <t>MOT-2105</t>
        </is>
      </c>
      <c r="C2109" s="7" t="inlineStr">
        <is>
          <t>couvercle de pompe à carburant</t>
        </is>
      </c>
      <c r="D2109" s="7" t="inlineStr">
        <is>
          <t>Moteur</t>
        </is>
      </c>
      <c r="E2109" s="7" t="inlineStr">
        <is>
          <t>Moteur</t>
        </is>
      </c>
      <c r="F2109" s="7" t="inlineStr">
        <is>
          <t>PIECE_VEHICULE</t>
        </is>
      </c>
      <c r="G2109" s="7" t="inlineStr">
        <is>
          <t>unité</t>
        </is>
      </c>
      <c r="H2109" s="7" t="inlineStr">
        <is>
          <t>LARGE</t>
        </is>
      </c>
      <c r="I2109" s="7" t="n">
        <v>0</v>
      </c>
      <c r="J2109" s="7" t="inlineStr">
        <is>
          <t>B-06-01</t>
        </is>
      </c>
      <c r="K2109" s="7" t="inlineStr"/>
      <c r="L2109" s="9" t="n">
        <v>0</v>
      </c>
      <c r="M2109" s="9" t="n">
        <v>0</v>
      </c>
      <c r="N2109" s="9" t="n">
        <v>12</v>
      </c>
      <c r="O2109" s="7" t="inlineStr">
        <is>
          <t>FAU</t>
        </is>
      </c>
      <c r="P2109" s="7" t="inlineStr">
        <is>
          <t>CRITIQUE</t>
        </is>
      </c>
      <c r="Q2109" s="7" t="inlineStr">
        <is>
          <t>WHAP</t>
        </is>
      </c>
      <c r="R2109" s="7" t="inlineStr">
        <is>
          <t>OUI</t>
        </is>
      </c>
      <c r="S2109" s="7" t="inlineStr">
        <is>
          <t>31/08/2026 02:59</t>
        </is>
      </c>
    </row>
    <row r="2110">
      <c r="A2110" s="8" t="inlineStr">
        <is>
          <t>WHAP-2106</t>
        </is>
      </c>
      <c r="B2110" s="8" t="inlineStr">
        <is>
          <t>MOT-2106</t>
        </is>
      </c>
      <c r="C2110" s="8" t="inlineStr">
        <is>
          <t>bague de pompe à carburant</t>
        </is>
      </c>
      <c r="D2110" s="8" t="inlineStr">
        <is>
          <t>Moteur</t>
        </is>
      </c>
      <c r="E2110" s="8" t="inlineStr">
        <is>
          <t>Moteur</t>
        </is>
      </c>
      <c r="F2110" s="8" t="inlineStr">
        <is>
          <t>PIECE_VEHICULE</t>
        </is>
      </c>
      <c r="G2110" s="8" t="inlineStr">
        <is>
          <t>unité</t>
        </is>
      </c>
      <c r="H2110" s="8" t="inlineStr">
        <is>
          <t>LARGE</t>
        </is>
      </c>
      <c r="I2110" s="8" t="n">
        <v>0</v>
      </c>
      <c r="J2110" s="8" t="inlineStr">
        <is>
          <t>D-04-03</t>
        </is>
      </c>
      <c r="K2110" s="8" t="inlineStr"/>
      <c r="L2110" s="10" t="n">
        <v>0</v>
      </c>
      <c r="M2110" s="10" t="n">
        <v>0</v>
      </c>
      <c r="N2110" s="10" t="n">
        <v>19</v>
      </c>
      <c r="O2110" s="8" t="inlineStr">
        <is>
          <t>VAL</t>
        </is>
      </c>
      <c r="P2110" s="8" t="inlineStr">
        <is>
          <t>CRITIQUE</t>
        </is>
      </c>
      <c r="Q2110" s="8" t="inlineStr">
        <is>
          <t>WHAP</t>
        </is>
      </c>
      <c r="R2110" s="8" t="inlineStr">
        <is>
          <t>OUI</t>
        </is>
      </c>
      <c r="S2110" s="8" t="inlineStr">
        <is>
          <t>31/08/2026 02:59</t>
        </is>
      </c>
    </row>
    <row r="2111">
      <c r="A2111" s="7" t="inlineStr">
        <is>
          <t>WHAP-2107</t>
        </is>
      </c>
      <c r="B2111" s="7" t="inlineStr">
        <is>
          <t>MOT-2107</t>
        </is>
      </c>
      <c r="C2111" s="7" t="inlineStr">
        <is>
          <t>entretoise de pompe à carburant</t>
        </is>
      </c>
      <c r="D2111" s="7" t="inlineStr">
        <is>
          <t>Moteur</t>
        </is>
      </c>
      <c r="E2111" s="7" t="inlineStr">
        <is>
          <t>Moteur</t>
        </is>
      </c>
      <c r="F2111" s="7" t="inlineStr">
        <is>
          <t>PIECE_VEHICULE</t>
        </is>
      </c>
      <c r="G2111" s="7" t="inlineStr">
        <is>
          <t>unité</t>
        </is>
      </c>
      <c r="H2111" s="7" t="inlineStr">
        <is>
          <t>LARGE</t>
        </is>
      </c>
      <c r="I2111" s="7" t="n">
        <v>0</v>
      </c>
      <c r="J2111" s="7" t="inlineStr">
        <is>
          <t>C-03-04</t>
        </is>
      </c>
      <c r="K2111" s="7" t="inlineStr"/>
      <c r="L2111" s="9" t="n">
        <v>0</v>
      </c>
      <c r="M2111" s="9" t="n">
        <v>0</v>
      </c>
      <c r="N2111" s="9" t="n">
        <v>20</v>
      </c>
      <c r="O2111" s="7" t="inlineStr">
        <is>
          <t>BOS</t>
        </is>
      </c>
      <c r="P2111" s="7" t="inlineStr">
        <is>
          <t>CRITIQUE</t>
        </is>
      </c>
      <c r="Q2111" s="7" t="inlineStr">
        <is>
          <t>WHAP</t>
        </is>
      </c>
      <c r="R2111" s="7" t="inlineStr">
        <is>
          <t>OUI</t>
        </is>
      </c>
      <c r="S2111" s="7" t="inlineStr">
        <is>
          <t>31/08/2026 02:59</t>
        </is>
      </c>
    </row>
    <row r="2112">
      <c r="A2112" s="8" t="inlineStr">
        <is>
          <t>WHAP-2108</t>
        </is>
      </c>
      <c r="B2112" s="8" t="inlineStr">
        <is>
          <t>MOT-2108</t>
        </is>
      </c>
      <c r="C2112" s="8" t="inlineStr">
        <is>
          <t>axe de pompe à carburant</t>
        </is>
      </c>
      <c r="D2112" s="8" t="inlineStr">
        <is>
          <t>Moteur</t>
        </is>
      </c>
      <c r="E2112" s="8" t="inlineStr">
        <is>
          <t>Moteur</t>
        </is>
      </c>
      <c r="F2112" s="8" t="inlineStr">
        <is>
          <t>PIECE_VEHICULE</t>
        </is>
      </c>
      <c r="G2112" s="8" t="inlineStr">
        <is>
          <t>unité</t>
        </is>
      </c>
      <c r="H2112" s="8" t="inlineStr">
        <is>
          <t>LARGE</t>
        </is>
      </c>
      <c r="I2112" s="8" t="n">
        <v>0</v>
      </c>
      <c r="J2112" s="8" t="inlineStr">
        <is>
          <t>E-02-03</t>
        </is>
      </c>
      <c r="K2112" s="8" t="inlineStr"/>
      <c r="L2112" s="10" t="n">
        <v>0</v>
      </c>
      <c r="M2112" s="10" t="n">
        <v>0</v>
      </c>
      <c r="N2112" s="10" t="n">
        <v>18</v>
      </c>
      <c r="O2112" s="8" t="inlineStr">
        <is>
          <t>DEL</t>
        </is>
      </c>
      <c r="P2112" s="8" t="inlineStr">
        <is>
          <t>CRITIQUE</t>
        </is>
      </c>
      <c r="Q2112" s="8" t="inlineStr">
        <is>
          <t>WHAP</t>
        </is>
      </c>
      <c r="R2112" s="8" t="inlineStr">
        <is>
          <t>OUI</t>
        </is>
      </c>
      <c r="S2112" s="8" t="inlineStr">
        <is>
          <t>31/08/2026 02:59</t>
        </is>
      </c>
    </row>
    <row r="2113">
      <c r="A2113" s="7" t="inlineStr">
        <is>
          <t>WHAP-2109</t>
        </is>
      </c>
      <c r="B2113" s="7" t="inlineStr">
        <is>
          <t>MOT-2109</t>
        </is>
      </c>
      <c r="C2113" s="7" t="inlineStr">
        <is>
          <t>poulie de pompe à carburant</t>
        </is>
      </c>
      <c r="D2113" s="7" t="inlineStr">
        <is>
          <t>Moteur</t>
        </is>
      </c>
      <c r="E2113" s="7" t="inlineStr">
        <is>
          <t>Moteur</t>
        </is>
      </c>
      <c r="F2113" s="7" t="inlineStr">
        <is>
          <t>PIECE_VEHICULE</t>
        </is>
      </c>
      <c r="G2113" s="7" t="inlineStr">
        <is>
          <t>unité</t>
        </is>
      </c>
      <c r="H2113" s="7" t="inlineStr">
        <is>
          <t>LARGE</t>
        </is>
      </c>
      <c r="I2113" s="7" t="n">
        <v>0</v>
      </c>
      <c r="J2113" s="7" t="inlineStr">
        <is>
          <t>B-02-04</t>
        </is>
      </c>
      <c r="K2113" s="7" t="inlineStr"/>
      <c r="L2113" s="9" t="n">
        <v>0</v>
      </c>
      <c r="M2113" s="9" t="n">
        <v>0</v>
      </c>
      <c r="N2113" s="9" t="n">
        <v>19</v>
      </c>
      <c r="O2113" s="7" t="inlineStr">
        <is>
          <t>CTL</t>
        </is>
      </c>
      <c r="P2113" s="7" t="inlineStr">
        <is>
          <t>CRITIQUE</t>
        </is>
      </c>
      <c r="Q2113" s="7" t="inlineStr">
        <is>
          <t>WHAP</t>
        </is>
      </c>
      <c r="R2113" s="7" t="inlineStr">
        <is>
          <t>OUI</t>
        </is>
      </c>
      <c r="S2113" s="7" t="inlineStr">
        <is>
          <t>31/08/2026 02:59</t>
        </is>
      </c>
    </row>
    <row r="2114">
      <c r="A2114" s="8" t="inlineStr">
        <is>
          <t>WHAP-2110</t>
        </is>
      </c>
      <c r="B2114" s="8" t="inlineStr">
        <is>
          <t>MOT-2110</t>
        </is>
      </c>
      <c r="C2114" s="8" t="inlineStr">
        <is>
          <t>pignon de pompe à carburant</t>
        </is>
      </c>
      <c r="D2114" s="8" t="inlineStr">
        <is>
          <t>Moteur</t>
        </is>
      </c>
      <c r="E2114" s="8" t="inlineStr">
        <is>
          <t>Moteur</t>
        </is>
      </c>
      <c r="F2114" s="8" t="inlineStr">
        <is>
          <t>PIECE_VEHICULE</t>
        </is>
      </c>
      <c r="G2114" s="8" t="inlineStr">
        <is>
          <t>unité</t>
        </is>
      </c>
      <c r="H2114" s="8" t="inlineStr">
        <is>
          <t>LARGE</t>
        </is>
      </c>
      <c r="I2114" s="8" t="n">
        <v>0</v>
      </c>
      <c r="J2114" s="8" t="inlineStr">
        <is>
          <t>B-02-02</t>
        </is>
      </c>
      <c r="K2114" s="8" t="inlineStr"/>
      <c r="L2114" s="10" t="n">
        <v>0</v>
      </c>
      <c r="M2114" s="10" t="n">
        <v>0</v>
      </c>
      <c r="N2114" s="10" t="n">
        <v>11</v>
      </c>
      <c r="O2114" s="8" t="inlineStr">
        <is>
          <t>YZK</t>
        </is>
      </c>
      <c r="P2114" s="8" t="inlineStr">
        <is>
          <t>CRITIQUE</t>
        </is>
      </c>
      <c r="Q2114" s="8" t="inlineStr">
        <is>
          <t>WHAP</t>
        </is>
      </c>
      <c r="R2114" s="8" t="inlineStr">
        <is>
          <t>OUI</t>
        </is>
      </c>
      <c r="S2114" s="8" t="inlineStr">
        <is>
          <t>31/08/2026 02:59</t>
        </is>
      </c>
    </row>
    <row r="2115">
      <c r="A2115" s="7" t="inlineStr">
        <is>
          <t>WHAP-2111</t>
        </is>
      </c>
      <c r="B2115" s="7" t="inlineStr">
        <is>
          <t>MOT-2111</t>
        </is>
      </c>
      <c r="C2115" s="7" t="inlineStr">
        <is>
          <t>ensemble de filtre à carburant</t>
        </is>
      </c>
      <c r="D2115" s="7" t="inlineStr">
        <is>
          <t>Moteur</t>
        </is>
      </c>
      <c r="E2115" s="7" t="inlineStr">
        <is>
          <t>Moteur</t>
        </is>
      </c>
      <c r="F2115" s="7" t="inlineStr">
        <is>
          <t>PIECE_VEHICULE</t>
        </is>
      </c>
      <c r="G2115" s="7" t="inlineStr">
        <is>
          <t>unité</t>
        </is>
      </c>
      <c r="H2115" s="7" t="inlineStr">
        <is>
          <t>LARGE</t>
        </is>
      </c>
      <c r="I2115" s="7" t="n">
        <v>0</v>
      </c>
      <c r="J2115" s="7" t="inlineStr">
        <is>
          <t>F-04-04</t>
        </is>
      </c>
      <c r="K2115" s="7" t="inlineStr"/>
      <c r="L2115" s="9" t="n">
        <v>0</v>
      </c>
      <c r="M2115" s="9" t="n">
        <v>0</v>
      </c>
      <c r="N2115" s="9" t="n">
        <v>13</v>
      </c>
      <c r="O2115" s="7" t="inlineStr">
        <is>
          <t>YZK</t>
        </is>
      </c>
      <c r="P2115" s="7" t="inlineStr">
        <is>
          <t>CRITIQUE</t>
        </is>
      </c>
      <c r="Q2115" s="7" t="inlineStr">
        <is>
          <t>WHAP</t>
        </is>
      </c>
      <c r="R2115" s="7" t="inlineStr">
        <is>
          <t>OUI</t>
        </is>
      </c>
      <c r="S2115" s="7" t="inlineStr">
        <is>
          <t>31/08/2026 02:59</t>
        </is>
      </c>
    </row>
    <row r="2116">
      <c r="A2116" s="8" t="inlineStr">
        <is>
          <t>WHAP-2112</t>
        </is>
      </c>
      <c r="B2116" s="8" t="inlineStr">
        <is>
          <t>MOT-2112</t>
        </is>
      </c>
      <c r="C2116" s="8" t="inlineStr">
        <is>
          <t>kit de filtre à carburant</t>
        </is>
      </c>
      <c r="D2116" s="8" t="inlineStr">
        <is>
          <t>Moteur</t>
        </is>
      </c>
      <c r="E2116" s="8" t="inlineStr">
        <is>
          <t>Moteur</t>
        </is>
      </c>
      <c r="F2116" s="8" t="inlineStr">
        <is>
          <t>PIECE_VEHICULE</t>
        </is>
      </c>
      <c r="G2116" s="8" t="inlineStr">
        <is>
          <t>unité</t>
        </is>
      </c>
      <c r="H2116" s="8" t="inlineStr">
        <is>
          <t>LARGE</t>
        </is>
      </c>
      <c r="I2116" s="8" t="n">
        <v>0</v>
      </c>
      <c r="J2116" s="8" t="inlineStr">
        <is>
          <t>D-05-01</t>
        </is>
      </c>
      <c r="K2116" s="8" t="inlineStr"/>
      <c r="L2116" s="10" t="n">
        <v>0</v>
      </c>
      <c r="M2116" s="10" t="n">
        <v>0</v>
      </c>
      <c r="N2116" s="10" t="n">
        <v>10</v>
      </c>
      <c r="O2116" s="8" t="inlineStr">
        <is>
          <t>YZK</t>
        </is>
      </c>
      <c r="P2116" s="8" t="inlineStr">
        <is>
          <t>CRITIQUE</t>
        </is>
      </c>
      <c r="Q2116" s="8" t="inlineStr">
        <is>
          <t>WHAP</t>
        </is>
      </c>
      <c r="R2116" s="8" t="inlineStr">
        <is>
          <t>OUI</t>
        </is>
      </c>
      <c r="S2116" s="8" t="inlineStr">
        <is>
          <t>31/08/2026 02:59</t>
        </is>
      </c>
    </row>
    <row r="2117">
      <c r="A2117" s="7" t="inlineStr">
        <is>
          <t>WHAP-2113</t>
        </is>
      </c>
      <c r="B2117" s="7" t="inlineStr">
        <is>
          <t>MOT-2113</t>
        </is>
      </c>
      <c r="C2117" s="7" t="inlineStr">
        <is>
          <t>support de filtre à carburant</t>
        </is>
      </c>
      <c r="D2117" s="7" t="inlineStr">
        <is>
          <t>Moteur</t>
        </is>
      </c>
      <c r="E2117" s="7" t="inlineStr">
        <is>
          <t>Moteur</t>
        </is>
      </c>
      <c r="F2117" s="7" t="inlineStr">
        <is>
          <t>PIECE_VEHICULE</t>
        </is>
      </c>
      <c r="G2117" s="7" t="inlineStr">
        <is>
          <t>unité</t>
        </is>
      </c>
      <c r="H2117" s="7" t="inlineStr">
        <is>
          <t>LARGE</t>
        </is>
      </c>
      <c r="I2117" s="7" t="n">
        <v>0</v>
      </c>
      <c r="J2117" s="7" t="inlineStr">
        <is>
          <t>F-01-04</t>
        </is>
      </c>
      <c r="K2117" s="7" t="inlineStr"/>
      <c r="L2117" s="9" t="n">
        <v>0</v>
      </c>
      <c r="M2117" s="9" t="n">
        <v>0</v>
      </c>
      <c r="N2117" s="9" t="n">
        <v>10</v>
      </c>
      <c r="O2117" s="7" t="inlineStr">
        <is>
          <t>VAL</t>
        </is>
      </c>
      <c r="P2117" s="7" t="inlineStr">
        <is>
          <t>CRITIQUE</t>
        </is>
      </c>
      <c r="Q2117" s="7" t="inlineStr">
        <is>
          <t>WHAP</t>
        </is>
      </c>
      <c r="R2117" s="7" t="inlineStr">
        <is>
          <t>OUI</t>
        </is>
      </c>
      <c r="S2117" s="7" t="inlineStr">
        <is>
          <t>31/08/2026 02:59</t>
        </is>
      </c>
    </row>
    <row r="2118">
      <c r="A2118" s="8" t="inlineStr">
        <is>
          <t>WHAP-2114</t>
        </is>
      </c>
      <c r="B2118" s="8" t="inlineStr">
        <is>
          <t>MOT-2114</t>
        </is>
      </c>
      <c r="C2118" s="8" t="inlineStr">
        <is>
          <t>boîtier de filtre à carburant</t>
        </is>
      </c>
      <c r="D2118" s="8" t="inlineStr">
        <is>
          <t>Moteur</t>
        </is>
      </c>
      <c r="E2118" s="8" t="inlineStr">
        <is>
          <t>Moteur</t>
        </is>
      </c>
      <c r="F2118" s="8" t="inlineStr">
        <is>
          <t>PIECE_VEHICULE</t>
        </is>
      </c>
      <c r="G2118" s="8" t="inlineStr">
        <is>
          <t>unité</t>
        </is>
      </c>
      <c r="H2118" s="8" t="inlineStr">
        <is>
          <t>LARGE</t>
        </is>
      </c>
      <c r="I2118" s="8" t="n">
        <v>0</v>
      </c>
      <c r="J2118" s="8" t="inlineStr">
        <is>
          <t>D-04-02</t>
        </is>
      </c>
      <c r="K2118" s="8" t="inlineStr"/>
      <c r="L2118" s="10" t="n">
        <v>0</v>
      </c>
      <c r="M2118" s="10" t="n">
        <v>0</v>
      </c>
      <c r="N2118" s="10" t="n">
        <v>11</v>
      </c>
      <c r="O2118" s="8" t="inlineStr">
        <is>
          <t>CTL</t>
        </is>
      </c>
      <c r="P2118" s="8" t="inlineStr">
        <is>
          <t>CRITIQUE</t>
        </is>
      </c>
      <c r="Q2118" s="8" t="inlineStr">
        <is>
          <t>WHAP</t>
        </is>
      </c>
      <c r="R2118" s="8" t="inlineStr">
        <is>
          <t>OUI</t>
        </is>
      </c>
      <c r="S2118" s="8" t="inlineStr">
        <is>
          <t>31/08/2026 02:59</t>
        </is>
      </c>
    </row>
    <row r="2119">
      <c r="A2119" s="7" t="inlineStr">
        <is>
          <t>WHAP-2115</t>
        </is>
      </c>
      <c r="B2119" s="7" t="inlineStr">
        <is>
          <t>MOT-2115</t>
        </is>
      </c>
      <c r="C2119" s="7" t="inlineStr">
        <is>
          <t>module de filtre à carburant</t>
        </is>
      </c>
      <c r="D2119" s="7" t="inlineStr">
        <is>
          <t>Moteur</t>
        </is>
      </c>
      <c r="E2119" s="7" t="inlineStr">
        <is>
          <t>Moteur</t>
        </is>
      </c>
      <c r="F2119" s="7" t="inlineStr">
        <is>
          <t>PIECE_VEHICULE</t>
        </is>
      </c>
      <c r="G2119" s="7" t="inlineStr">
        <is>
          <t>unité</t>
        </is>
      </c>
      <c r="H2119" s="7" t="inlineStr">
        <is>
          <t>LARGE</t>
        </is>
      </c>
      <c r="I2119" s="7" t="n">
        <v>0</v>
      </c>
      <c r="J2119" s="7" t="inlineStr">
        <is>
          <t>C-06-02</t>
        </is>
      </c>
      <c r="K2119" s="7" t="inlineStr"/>
      <c r="L2119" s="9" t="n">
        <v>0</v>
      </c>
      <c r="M2119" s="9" t="n">
        <v>0</v>
      </c>
      <c r="N2119" s="9" t="n">
        <v>17</v>
      </c>
      <c r="O2119" s="7" t="inlineStr">
        <is>
          <t>MAG</t>
        </is>
      </c>
      <c r="P2119" s="7" t="inlineStr">
        <is>
          <t>CRITIQUE</t>
        </is>
      </c>
      <c r="Q2119" s="7" t="inlineStr">
        <is>
          <t>WHAP</t>
        </is>
      </c>
      <c r="R2119" s="7" t="inlineStr">
        <is>
          <t>OUI</t>
        </is>
      </c>
      <c r="S2119" s="7" t="inlineStr">
        <is>
          <t>31/08/2026 02:59</t>
        </is>
      </c>
    </row>
    <row r="2120">
      <c r="A2120" s="8" t="inlineStr">
        <is>
          <t>WHAP-2116</t>
        </is>
      </c>
      <c r="B2120" s="8" t="inlineStr">
        <is>
          <t>MOT-2116</t>
        </is>
      </c>
      <c r="C2120" s="8" t="inlineStr">
        <is>
          <t>câblage de filtre à carburant</t>
        </is>
      </c>
      <c r="D2120" s="8" t="inlineStr">
        <is>
          <t>Moteur</t>
        </is>
      </c>
      <c r="E2120" s="8" t="inlineStr">
        <is>
          <t>Moteur</t>
        </is>
      </c>
      <c r="F2120" s="8" t="inlineStr">
        <is>
          <t>PIECE_VEHICULE</t>
        </is>
      </c>
      <c r="G2120" s="8" t="inlineStr">
        <is>
          <t>unité</t>
        </is>
      </c>
      <c r="H2120" s="8" t="inlineStr">
        <is>
          <t>LARGE</t>
        </is>
      </c>
      <c r="I2120" s="8" t="n">
        <v>0</v>
      </c>
      <c r="J2120" s="8" t="inlineStr">
        <is>
          <t>D-02-03</t>
        </is>
      </c>
      <c r="K2120" s="8" t="inlineStr"/>
      <c r="L2120" s="10" t="n">
        <v>0</v>
      </c>
      <c r="M2120" s="10" t="n">
        <v>0</v>
      </c>
      <c r="N2120" s="10" t="n">
        <v>20</v>
      </c>
      <c r="O2120" s="8" t="inlineStr">
        <is>
          <t>YZK</t>
        </is>
      </c>
      <c r="P2120" s="8" t="inlineStr">
        <is>
          <t>CRITIQUE</t>
        </is>
      </c>
      <c r="Q2120" s="8" t="inlineStr">
        <is>
          <t>WHAP</t>
        </is>
      </c>
      <c r="R2120" s="8" t="inlineStr">
        <is>
          <t>OUI</t>
        </is>
      </c>
      <c r="S2120" s="8" t="inlineStr">
        <is>
          <t>31/08/2026 02:59</t>
        </is>
      </c>
    </row>
    <row r="2121">
      <c r="A2121" s="7" t="inlineStr">
        <is>
          <t>WHAP-2117</t>
        </is>
      </c>
      <c r="B2121" s="7" t="inlineStr">
        <is>
          <t>MOT-2117</t>
        </is>
      </c>
      <c r="C2121" s="7" t="inlineStr">
        <is>
          <t>connecteur de filtre à carburant</t>
        </is>
      </c>
      <c r="D2121" s="7" t="inlineStr">
        <is>
          <t>Moteur</t>
        </is>
      </c>
      <c r="E2121" s="7" t="inlineStr">
        <is>
          <t>Moteur</t>
        </is>
      </c>
      <c r="F2121" s="7" t="inlineStr">
        <is>
          <t>PIECE_VEHICULE</t>
        </is>
      </c>
      <c r="G2121" s="7" t="inlineStr">
        <is>
          <t>unité</t>
        </is>
      </c>
      <c r="H2121" s="7" t="inlineStr">
        <is>
          <t>LARGE</t>
        </is>
      </c>
      <c r="I2121" s="7" t="n">
        <v>0</v>
      </c>
      <c r="J2121" s="7" t="inlineStr">
        <is>
          <t>D-01-02</t>
        </is>
      </c>
      <c r="K2121" s="7" t="inlineStr"/>
      <c r="L2121" s="9" t="n">
        <v>0</v>
      </c>
      <c r="M2121" s="9" t="n">
        <v>0</v>
      </c>
      <c r="N2121" s="9" t="n">
        <v>13</v>
      </c>
      <c r="O2121" s="7" t="inlineStr">
        <is>
          <t>YZK</t>
        </is>
      </c>
      <c r="P2121" s="7" t="inlineStr">
        <is>
          <t>CRITIQUE</t>
        </is>
      </c>
      <c r="Q2121" s="7" t="inlineStr">
        <is>
          <t>WHAP</t>
        </is>
      </c>
      <c r="R2121" s="7" t="inlineStr">
        <is>
          <t>OUI</t>
        </is>
      </c>
      <c r="S2121" s="7" t="inlineStr">
        <is>
          <t>31/08/2026 02:59</t>
        </is>
      </c>
    </row>
    <row r="2122">
      <c r="A2122" s="8" t="inlineStr">
        <is>
          <t>WHAP-2118</t>
        </is>
      </c>
      <c r="B2122" s="8" t="inlineStr">
        <is>
          <t>MOT-2118</t>
        </is>
      </c>
      <c r="C2122" s="8" t="inlineStr">
        <is>
          <t>joint de filtre à carburant</t>
        </is>
      </c>
      <c r="D2122" s="8" t="inlineStr">
        <is>
          <t>Moteur</t>
        </is>
      </c>
      <c r="E2122" s="8" t="inlineStr">
        <is>
          <t>Moteur</t>
        </is>
      </c>
      <c r="F2122" s="8" t="inlineStr">
        <is>
          <t>PIECE_VEHICULE</t>
        </is>
      </c>
      <c r="G2122" s="8" t="inlineStr">
        <is>
          <t>unité</t>
        </is>
      </c>
      <c r="H2122" s="8" t="inlineStr">
        <is>
          <t>LARGE</t>
        </is>
      </c>
      <c r="I2122" s="8" t="n">
        <v>0</v>
      </c>
      <c r="J2122" s="8" t="inlineStr">
        <is>
          <t>B-06-03</t>
        </is>
      </c>
      <c r="K2122" s="8" t="inlineStr"/>
      <c r="L2122" s="10" t="n">
        <v>0</v>
      </c>
      <c r="M2122" s="10" t="n">
        <v>0</v>
      </c>
      <c r="N2122" s="10" t="n">
        <v>20</v>
      </c>
      <c r="O2122" s="8" t="inlineStr">
        <is>
          <t>CTL</t>
        </is>
      </c>
      <c r="P2122" s="8" t="inlineStr">
        <is>
          <t>CRITIQUE</t>
        </is>
      </c>
      <c r="Q2122" s="8" t="inlineStr">
        <is>
          <t>WHAP</t>
        </is>
      </c>
      <c r="R2122" s="8" t="inlineStr">
        <is>
          <t>OUI</t>
        </is>
      </c>
      <c r="S2122" s="8" t="inlineStr">
        <is>
          <t>31/08/2026 02:59</t>
        </is>
      </c>
    </row>
    <row r="2123">
      <c r="A2123" s="7" t="inlineStr">
        <is>
          <t>WHAP-2119</t>
        </is>
      </c>
      <c r="B2123" s="7" t="inlineStr">
        <is>
          <t>MOT-2119</t>
        </is>
      </c>
      <c r="C2123" s="7" t="inlineStr">
        <is>
          <t>fixation de filtre à carburant</t>
        </is>
      </c>
      <c r="D2123" s="7" t="inlineStr">
        <is>
          <t>Moteur</t>
        </is>
      </c>
      <c r="E2123" s="7" t="inlineStr">
        <is>
          <t>Moteur</t>
        </is>
      </c>
      <c r="F2123" s="7" t="inlineStr">
        <is>
          <t>PIECE_VEHICULE</t>
        </is>
      </c>
      <c r="G2123" s="7" t="inlineStr">
        <is>
          <t>unité</t>
        </is>
      </c>
      <c r="H2123" s="7" t="inlineStr">
        <is>
          <t>LARGE</t>
        </is>
      </c>
      <c r="I2123" s="7" t="n">
        <v>0</v>
      </c>
      <c r="J2123" s="7" t="inlineStr">
        <is>
          <t>C-02-01</t>
        </is>
      </c>
      <c r="K2123" s="7" t="inlineStr"/>
      <c r="L2123" s="9" t="n">
        <v>0</v>
      </c>
      <c r="M2123" s="9" t="n">
        <v>0</v>
      </c>
      <c r="N2123" s="9" t="n">
        <v>14</v>
      </c>
      <c r="O2123" s="7" t="inlineStr">
        <is>
          <t>DEL</t>
        </is>
      </c>
      <c r="P2123" s="7" t="inlineStr">
        <is>
          <t>CRITIQUE</t>
        </is>
      </c>
      <c r="Q2123" s="7" t="inlineStr">
        <is>
          <t>WHAP</t>
        </is>
      </c>
      <c r="R2123" s="7" t="inlineStr">
        <is>
          <t>OUI</t>
        </is>
      </c>
      <c r="S2123" s="7" t="inlineStr">
        <is>
          <t>31/08/2026 02:59</t>
        </is>
      </c>
    </row>
    <row r="2124">
      <c r="A2124" s="8" t="inlineStr">
        <is>
          <t>WHAP-2120</t>
        </is>
      </c>
      <c r="B2124" s="8" t="inlineStr">
        <is>
          <t>MOT-2120</t>
        </is>
      </c>
      <c r="C2124" s="8" t="inlineStr">
        <is>
          <t>protection de filtre à carburant</t>
        </is>
      </c>
      <c r="D2124" s="8" t="inlineStr">
        <is>
          <t>Moteur</t>
        </is>
      </c>
      <c r="E2124" s="8" t="inlineStr">
        <is>
          <t>Moteur</t>
        </is>
      </c>
      <c r="F2124" s="8" t="inlineStr">
        <is>
          <t>PIECE_VEHICULE</t>
        </is>
      </c>
      <c r="G2124" s="8" t="inlineStr">
        <is>
          <t>unité</t>
        </is>
      </c>
      <c r="H2124" s="8" t="inlineStr">
        <is>
          <t>LARGE</t>
        </is>
      </c>
      <c r="I2124" s="8" t="n">
        <v>0</v>
      </c>
      <c r="J2124" s="8" t="inlineStr">
        <is>
          <t>A-04-03</t>
        </is>
      </c>
      <c r="K2124" s="8" t="inlineStr"/>
      <c r="L2124" s="10" t="n">
        <v>0</v>
      </c>
      <c r="M2124" s="10" t="n">
        <v>0</v>
      </c>
      <c r="N2124" s="10" t="n">
        <v>14</v>
      </c>
      <c r="O2124" s="8" t="inlineStr">
        <is>
          <t>HEL</t>
        </is>
      </c>
      <c r="P2124" s="8" t="inlineStr">
        <is>
          <t>CRITIQUE</t>
        </is>
      </c>
      <c r="Q2124" s="8" t="inlineStr">
        <is>
          <t>WHAP</t>
        </is>
      </c>
      <c r="R2124" s="8" t="inlineStr">
        <is>
          <t>OUI</t>
        </is>
      </c>
      <c r="S2124" s="8" t="inlineStr">
        <is>
          <t>31/08/2026 02:59</t>
        </is>
      </c>
    </row>
    <row r="2125">
      <c r="A2125" s="7" t="inlineStr">
        <is>
          <t>WHAP-2121</t>
        </is>
      </c>
      <c r="B2125" s="7" t="inlineStr">
        <is>
          <t>MOT-2121</t>
        </is>
      </c>
      <c r="C2125" s="7" t="inlineStr">
        <is>
          <t>capteur de filtre à carburant</t>
        </is>
      </c>
      <c r="D2125" s="7" t="inlineStr">
        <is>
          <t>Moteur</t>
        </is>
      </c>
      <c r="E2125" s="7" t="inlineStr">
        <is>
          <t>Moteur</t>
        </is>
      </c>
      <c r="F2125" s="7" t="inlineStr">
        <is>
          <t>PIECE_VEHICULE</t>
        </is>
      </c>
      <c r="G2125" s="7" t="inlineStr">
        <is>
          <t>unité</t>
        </is>
      </c>
      <c r="H2125" s="7" t="inlineStr">
        <is>
          <t>LARGE</t>
        </is>
      </c>
      <c r="I2125" s="7" t="n">
        <v>0</v>
      </c>
      <c r="J2125" s="7" t="inlineStr">
        <is>
          <t>F-05-01</t>
        </is>
      </c>
      <c r="K2125" s="7" t="inlineStr"/>
      <c r="L2125" s="9" t="n">
        <v>0</v>
      </c>
      <c r="M2125" s="9" t="n">
        <v>0</v>
      </c>
      <c r="N2125" s="9" t="n">
        <v>19</v>
      </c>
      <c r="O2125" s="7" t="inlineStr">
        <is>
          <t>FAU</t>
        </is>
      </c>
      <c r="P2125" s="7" t="inlineStr">
        <is>
          <t>CRITIQUE</t>
        </is>
      </c>
      <c r="Q2125" s="7" t="inlineStr">
        <is>
          <t>WHAP</t>
        </is>
      </c>
      <c r="R2125" s="7" t="inlineStr">
        <is>
          <t>OUI</t>
        </is>
      </c>
      <c r="S2125" s="7" t="inlineStr">
        <is>
          <t>31/08/2026 02:59</t>
        </is>
      </c>
    </row>
    <row r="2126">
      <c r="A2126" s="8" t="inlineStr">
        <is>
          <t>WHAP-2122</t>
        </is>
      </c>
      <c r="B2126" s="8" t="inlineStr">
        <is>
          <t>MOT-2122</t>
        </is>
      </c>
      <c r="C2126" s="8" t="inlineStr">
        <is>
          <t>actionneur de filtre à carburant</t>
        </is>
      </c>
      <c r="D2126" s="8" t="inlineStr">
        <is>
          <t>Moteur</t>
        </is>
      </c>
      <c r="E2126" s="8" t="inlineStr">
        <is>
          <t>Moteur</t>
        </is>
      </c>
      <c r="F2126" s="8" t="inlineStr">
        <is>
          <t>PIECE_VEHICULE</t>
        </is>
      </c>
      <c r="G2126" s="8" t="inlineStr">
        <is>
          <t>unité</t>
        </is>
      </c>
      <c r="H2126" s="8" t="inlineStr">
        <is>
          <t>LARGE</t>
        </is>
      </c>
      <c r="I2126" s="8" t="n">
        <v>0</v>
      </c>
      <c r="J2126" s="8" t="inlineStr">
        <is>
          <t>A-02-03</t>
        </is>
      </c>
      <c r="K2126" s="8" t="inlineStr"/>
      <c r="L2126" s="10" t="n">
        <v>0</v>
      </c>
      <c r="M2126" s="10" t="n">
        <v>0</v>
      </c>
      <c r="N2126" s="10" t="n">
        <v>19</v>
      </c>
      <c r="O2126" s="8" t="inlineStr">
        <is>
          <t>HEL</t>
        </is>
      </c>
      <c r="P2126" s="8" t="inlineStr">
        <is>
          <t>CRITIQUE</t>
        </is>
      </c>
      <c r="Q2126" s="8" t="inlineStr">
        <is>
          <t>WHAP</t>
        </is>
      </c>
      <c r="R2126" s="8" t="inlineStr">
        <is>
          <t>OUI</t>
        </is>
      </c>
      <c r="S2126" s="8" t="inlineStr">
        <is>
          <t>31/08/2026 02:59</t>
        </is>
      </c>
    </row>
    <row r="2127">
      <c r="A2127" s="7" t="inlineStr">
        <is>
          <t>WHAP-2123</t>
        </is>
      </c>
      <c r="B2127" s="7" t="inlineStr">
        <is>
          <t>MOT-2123</t>
        </is>
      </c>
      <c r="C2127" s="7" t="inlineStr">
        <is>
          <t>raccord de filtre à carburant</t>
        </is>
      </c>
      <c r="D2127" s="7" t="inlineStr">
        <is>
          <t>Moteur</t>
        </is>
      </c>
      <c r="E2127" s="7" t="inlineStr">
        <is>
          <t>Moteur</t>
        </is>
      </c>
      <c r="F2127" s="7" t="inlineStr">
        <is>
          <t>PIECE_VEHICULE</t>
        </is>
      </c>
      <c r="G2127" s="7" t="inlineStr">
        <is>
          <t>unité</t>
        </is>
      </c>
      <c r="H2127" s="7" t="inlineStr">
        <is>
          <t>LARGE</t>
        </is>
      </c>
      <c r="I2127" s="7" t="n">
        <v>0</v>
      </c>
      <c r="J2127" s="7" t="inlineStr">
        <is>
          <t>D-06-03</t>
        </is>
      </c>
      <c r="K2127" s="7" t="inlineStr"/>
      <c r="L2127" s="9" t="n">
        <v>0</v>
      </c>
      <c r="M2127" s="9" t="n">
        <v>0</v>
      </c>
      <c r="N2127" s="9" t="n">
        <v>14</v>
      </c>
      <c r="O2127" s="7" t="inlineStr">
        <is>
          <t>SKF</t>
        </is>
      </c>
      <c r="P2127" s="7" t="inlineStr">
        <is>
          <t>CRITIQUE</t>
        </is>
      </c>
      <c r="Q2127" s="7" t="inlineStr">
        <is>
          <t>WHAP</t>
        </is>
      </c>
      <c r="R2127" s="7" t="inlineStr">
        <is>
          <t>OUI</t>
        </is>
      </c>
      <c r="S2127" s="7" t="inlineStr">
        <is>
          <t>31/08/2026 02:59</t>
        </is>
      </c>
    </row>
    <row r="2128">
      <c r="A2128" s="8" t="inlineStr">
        <is>
          <t>WHAP-2124</t>
        </is>
      </c>
      <c r="B2128" s="8" t="inlineStr">
        <is>
          <t>MOT-2124</t>
        </is>
      </c>
      <c r="C2128" s="8" t="inlineStr">
        <is>
          <t>plaque de filtre à carburant</t>
        </is>
      </c>
      <c r="D2128" s="8" t="inlineStr">
        <is>
          <t>Moteur</t>
        </is>
      </c>
      <c r="E2128" s="8" t="inlineStr">
        <is>
          <t>Moteur</t>
        </is>
      </c>
      <c r="F2128" s="8" t="inlineStr">
        <is>
          <t>PIECE_VEHICULE</t>
        </is>
      </c>
      <c r="G2128" s="8" t="inlineStr">
        <is>
          <t>unité</t>
        </is>
      </c>
      <c r="H2128" s="8" t="inlineStr">
        <is>
          <t>LARGE</t>
        </is>
      </c>
      <c r="I2128" s="8" t="n">
        <v>0</v>
      </c>
      <c r="J2128" s="8" t="inlineStr">
        <is>
          <t>A-05-02</t>
        </is>
      </c>
      <c r="K2128" s="8" t="inlineStr"/>
      <c r="L2128" s="10" t="n">
        <v>0</v>
      </c>
      <c r="M2128" s="10" t="n">
        <v>0</v>
      </c>
      <c r="N2128" s="10" t="n">
        <v>12</v>
      </c>
      <c r="O2128" s="8" t="inlineStr">
        <is>
          <t>MAG</t>
        </is>
      </c>
      <c r="P2128" s="8" t="inlineStr">
        <is>
          <t>CRITIQUE</t>
        </is>
      </c>
      <c r="Q2128" s="8" t="inlineStr">
        <is>
          <t>WHAP</t>
        </is>
      </c>
      <c r="R2128" s="8" t="inlineStr">
        <is>
          <t>OUI</t>
        </is>
      </c>
      <c r="S2128" s="8" t="inlineStr">
        <is>
          <t>31/08/2026 02:59</t>
        </is>
      </c>
    </row>
    <row r="2129">
      <c r="A2129" s="7" t="inlineStr">
        <is>
          <t>WHAP-2125</t>
        </is>
      </c>
      <c r="B2129" s="7" t="inlineStr">
        <is>
          <t>MOT-2125</t>
        </is>
      </c>
      <c r="C2129" s="7" t="inlineStr">
        <is>
          <t>couvercle de filtre à carburant</t>
        </is>
      </c>
      <c r="D2129" s="7" t="inlineStr">
        <is>
          <t>Moteur</t>
        </is>
      </c>
      <c r="E2129" s="7" t="inlineStr">
        <is>
          <t>Moteur</t>
        </is>
      </c>
      <c r="F2129" s="7" t="inlineStr">
        <is>
          <t>PIECE_VEHICULE</t>
        </is>
      </c>
      <c r="G2129" s="7" t="inlineStr">
        <is>
          <t>unité</t>
        </is>
      </c>
      <c r="H2129" s="7" t="inlineStr">
        <is>
          <t>LARGE</t>
        </is>
      </c>
      <c r="I2129" s="7" t="n">
        <v>0</v>
      </c>
      <c r="J2129" s="7" t="inlineStr">
        <is>
          <t>A-05-02</t>
        </is>
      </c>
      <c r="K2129" s="7" t="inlineStr"/>
      <c r="L2129" s="9" t="n">
        <v>0</v>
      </c>
      <c r="M2129" s="9" t="n">
        <v>0</v>
      </c>
      <c r="N2129" s="9" t="n">
        <v>12</v>
      </c>
      <c r="O2129" s="7" t="inlineStr">
        <is>
          <t>DEL</t>
        </is>
      </c>
      <c r="P2129" s="7" t="inlineStr">
        <is>
          <t>CRITIQUE</t>
        </is>
      </c>
      <c r="Q2129" s="7" t="inlineStr">
        <is>
          <t>WHAP</t>
        </is>
      </c>
      <c r="R2129" s="7" t="inlineStr">
        <is>
          <t>OUI</t>
        </is>
      </c>
      <c r="S2129" s="7" t="inlineStr">
        <is>
          <t>31/08/2026 02:59</t>
        </is>
      </c>
    </row>
    <row r="2130">
      <c r="A2130" s="8" t="inlineStr">
        <is>
          <t>WHAP-2126</t>
        </is>
      </c>
      <c r="B2130" s="8" t="inlineStr">
        <is>
          <t>MOT-2126</t>
        </is>
      </c>
      <c r="C2130" s="8" t="inlineStr">
        <is>
          <t>bague de filtre à carburant</t>
        </is>
      </c>
      <c r="D2130" s="8" t="inlineStr">
        <is>
          <t>Moteur</t>
        </is>
      </c>
      <c r="E2130" s="8" t="inlineStr">
        <is>
          <t>Moteur</t>
        </is>
      </c>
      <c r="F2130" s="8" t="inlineStr">
        <is>
          <t>PIECE_VEHICULE</t>
        </is>
      </c>
      <c r="G2130" s="8" t="inlineStr">
        <is>
          <t>unité</t>
        </is>
      </c>
      <c r="H2130" s="8" t="inlineStr">
        <is>
          <t>LARGE</t>
        </is>
      </c>
      <c r="I2130" s="8" t="n">
        <v>0</v>
      </c>
      <c r="J2130" s="8" t="inlineStr">
        <is>
          <t>E-06-01</t>
        </is>
      </c>
      <c r="K2130" s="8" t="inlineStr"/>
      <c r="L2130" s="10" t="n">
        <v>0</v>
      </c>
      <c r="M2130" s="10" t="n">
        <v>0</v>
      </c>
      <c r="N2130" s="10" t="n">
        <v>13</v>
      </c>
      <c r="O2130" s="8" t="inlineStr">
        <is>
          <t>SUM</t>
        </is>
      </c>
      <c r="P2130" s="8" t="inlineStr">
        <is>
          <t>CRITIQUE</t>
        </is>
      </c>
      <c r="Q2130" s="8" t="inlineStr">
        <is>
          <t>WHAP</t>
        </is>
      </c>
      <c r="R2130" s="8" t="inlineStr">
        <is>
          <t>OUI</t>
        </is>
      </c>
      <c r="S2130" s="8" t="inlineStr">
        <is>
          <t>31/08/2026 02:59</t>
        </is>
      </c>
    </row>
    <row r="2131">
      <c r="A2131" s="7" t="inlineStr">
        <is>
          <t>WHAP-2127</t>
        </is>
      </c>
      <c r="B2131" s="7" t="inlineStr">
        <is>
          <t>MOT-2127</t>
        </is>
      </c>
      <c r="C2131" s="7" t="inlineStr">
        <is>
          <t>entretoise de filtre à carburant</t>
        </is>
      </c>
      <c r="D2131" s="7" t="inlineStr">
        <is>
          <t>Moteur</t>
        </is>
      </c>
      <c r="E2131" s="7" t="inlineStr">
        <is>
          <t>Moteur</t>
        </is>
      </c>
      <c r="F2131" s="7" t="inlineStr">
        <is>
          <t>PIECE_VEHICULE</t>
        </is>
      </c>
      <c r="G2131" s="7" t="inlineStr">
        <is>
          <t>unité</t>
        </is>
      </c>
      <c r="H2131" s="7" t="inlineStr">
        <is>
          <t>LARGE</t>
        </is>
      </c>
      <c r="I2131" s="7" t="n">
        <v>0</v>
      </c>
      <c r="J2131" s="7" t="inlineStr">
        <is>
          <t>B-03-03</t>
        </is>
      </c>
      <c r="K2131" s="7" t="inlineStr"/>
      <c r="L2131" s="9" t="n">
        <v>0</v>
      </c>
      <c r="M2131" s="9" t="n">
        <v>0</v>
      </c>
      <c r="N2131" s="9" t="n">
        <v>12</v>
      </c>
      <c r="O2131" s="7" t="inlineStr">
        <is>
          <t>FAU</t>
        </is>
      </c>
      <c r="P2131" s="7" t="inlineStr">
        <is>
          <t>CRITIQUE</t>
        </is>
      </c>
      <c r="Q2131" s="7" t="inlineStr">
        <is>
          <t>WHAP</t>
        </is>
      </c>
      <c r="R2131" s="7" t="inlineStr">
        <is>
          <t>OUI</t>
        </is>
      </c>
      <c r="S2131" s="7" t="inlineStr">
        <is>
          <t>31/08/2026 02:59</t>
        </is>
      </c>
    </row>
    <row r="2132">
      <c r="A2132" s="8" t="inlineStr">
        <is>
          <t>WHAP-2128</t>
        </is>
      </c>
      <c r="B2132" s="8" t="inlineStr">
        <is>
          <t>MOT-2128</t>
        </is>
      </c>
      <c r="C2132" s="8" t="inlineStr">
        <is>
          <t>axe de filtre à carburant</t>
        </is>
      </c>
      <c r="D2132" s="8" t="inlineStr">
        <is>
          <t>Moteur</t>
        </is>
      </c>
      <c r="E2132" s="8" t="inlineStr">
        <is>
          <t>Moteur</t>
        </is>
      </c>
      <c r="F2132" s="8" t="inlineStr">
        <is>
          <t>PIECE_VEHICULE</t>
        </is>
      </c>
      <c r="G2132" s="8" t="inlineStr">
        <is>
          <t>unité</t>
        </is>
      </c>
      <c r="H2132" s="8" t="inlineStr">
        <is>
          <t>LARGE</t>
        </is>
      </c>
      <c r="I2132" s="8" t="n">
        <v>0</v>
      </c>
      <c r="J2132" s="8" t="inlineStr">
        <is>
          <t>B-02-04</t>
        </is>
      </c>
      <c r="K2132" s="8" t="inlineStr"/>
      <c r="L2132" s="10" t="n">
        <v>0</v>
      </c>
      <c r="M2132" s="10" t="n">
        <v>0</v>
      </c>
      <c r="N2132" s="10" t="n">
        <v>14</v>
      </c>
      <c r="O2132" s="8" t="inlineStr">
        <is>
          <t>SKF</t>
        </is>
      </c>
      <c r="P2132" s="8" t="inlineStr">
        <is>
          <t>CRITIQUE</t>
        </is>
      </c>
      <c r="Q2132" s="8" t="inlineStr">
        <is>
          <t>WHAP</t>
        </is>
      </c>
      <c r="R2132" s="8" t="inlineStr">
        <is>
          <t>OUI</t>
        </is>
      </c>
      <c r="S2132" s="8" t="inlineStr">
        <is>
          <t>31/08/2026 02:59</t>
        </is>
      </c>
    </row>
    <row r="2133">
      <c r="A2133" s="7" t="inlineStr">
        <is>
          <t>WHAP-2129</t>
        </is>
      </c>
      <c r="B2133" s="7" t="inlineStr">
        <is>
          <t>MOT-2129</t>
        </is>
      </c>
      <c r="C2133" s="7" t="inlineStr">
        <is>
          <t>poulie de filtre à carburant</t>
        </is>
      </c>
      <c r="D2133" s="7" t="inlineStr">
        <is>
          <t>Moteur</t>
        </is>
      </c>
      <c r="E2133" s="7" t="inlineStr">
        <is>
          <t>Moteur</t>
        </is>
      </c>
      <c r="F2133" s="7" t="inlineStr">
        <is>
          <t>PIECE_VEHICULE</t>
        </is>
      </c>
      <c r="G2133" s="7" t="inlineStr">
        <is>
          <t>unité</t>
        </is>
      </c>
      <c r="H2133" s="7" t="inlineStr">
        <is>
          <t>LARGE</t>
        </is>
      </c>
      <c r="I2133" s="7" t="n">
        <v>0</v>
      </c>
      <c r="J2133" s="7" t="inlineStr">
        <is>
          <t>C-02-03</t>
        </is>
      </c>
      <c r="K2133" s="7" t="inlineStr"/>
      <c r="L2133" s="9" t="n">
        <v>0</v>
      </c>
      <c r="M2133" s="9" t="n">
        <v>0</v>
      </c>
      <c r="N2133" s="9" t="n">
        <v>19</v>
      </c>
      <c r="O2133" s="7" t="inlineStr">
        <is>
          <t>DEL</t>
        </is>
      </c>
      <c r="P2133" s="7" t="inlineStr">
        <is>
          <t>CRITIQUE</t>
        </is>
      </c>
      <c r="Q2133" s="7" t="inlineStr">
        <is>
          <t>WHAP</t>
        </is>
      </c>
      <c r="R2133" s="7" t="inlineStr">
        <is>
          <t>OUI</t>
        </is>
      </c>
      <c r="S2133" s="7" t="inlineStr">
        <is>
          <t>31/08/2026 02:59</t>
        </is>
      </c>
    </row>
    <row r="2134">
      <c r="A2134" s="8" t="inlineStr">
        <is>
          <t>WHAP-2130</t>
        </is>
      </c>
      <c r="B2134" s="8" t="inlineStr">
        <is>
          <t>MOT-2130</t>
        </is>
      </c>
      <c r="C2134" s="8" t="inlineStr">
        <is>
          <t>pignon de filtre à carburant</t>
        </is>
      </c>
      <c r="D2134" s="8" t="inlineStr">
        <is>
          <t>Moteur</t>
        </is>
      </c>
      <c r="E2134" s="8" t="inlineStr">
        <is>
          <t>Moteur</t>
        </is>
      </c>
      <c r="F2134" s="8" t="inlineStr">
        <is>
          <t>PIECE_VEHICULE</t>
        </is>
      </c>
      <c r="G2134" s="8" t="inlineStr">
        <is>
          <t>unité</t>
        </is>
      </c>
      <c r="H2134" s="8" t="inlineStr">
        <is>
          <t>LARGE</t>
        </is>
      </c>
      <c r="I2134" s="8" t="n">
        <v>0</v>
      </c>
      <c r="J2134" s="8" t="inlineStr">
        <is>
          <t>E-04-04</t>
        </is>
      </c>
      <c r="K2134" s="8" t="inlineStr"/>
      <c r="L2134" s="10" t="n">
        <v>0</v>
      </c>
      <c r="M2134" s="10" t="n">
        <v>0</v>
      </c>
      <c r="N2134" s="10" t="n">
        <v>12</v>
      </c>
      <c r="O2134" s="8" t="inlineStr">
        <is>
          <t>MAG</t>
        </is>
      </c>
      <c r="P2134" s="8" t="inlineStr">
        <is>
          <t>CRITIQUE</t>
        </is>
      </c>
      <c r="Q2134" s="8" t="inlineStr">
        <is>
          <t>WHAP</t>
        </is>
      </c>
      <c r="R2134" s="8" t="inlineStr">
        <is>
          <t>OUI</t>
        </is>
      </c>
      <c r="S2134" s="8" t="inlineStr">
        <is>
          <t>31/08/2026 02:59</t>
        </is>
      </c>
    </row>
    <row r="2135">
      <c r="A2135" s="7" t="inlineStr">
        <is>
          <t>WHAP-2131</t>
        </is>
      </c>
      <c r="B2135" s="7" t="inlineStr">
        <is>
          <t>MOT-2131</t>
        </is>
      </c>
      <c r="C2135" s="7" t="inlineStr">
        <is>
          <t>ensemble de filtre à huile</t>
        </is>
      </c>
      <c r="D2135" s="7" t="inlineStr">
        <is>
          <t>Moteur</t>
        </is>
      </c>
      <c r="E2135" s="7" t="inlineStr">
        <is>
          <t>Moteur</t>
        </is>
      </c>
      <c r="F2135" s="7" t="inlineStr">
        <is>
          <t>PIECE_VEHICULE</t>
        </is>
      </c>
      <c r="G2135" s="7" t="inlineStr">
        <is>
          <t>unité</t>
        </is>
      </c>
      <c r="H2135" s="7" t="inlineStr">
        <is>
          <t>LARGE</t>
        </is>
      </c>
      <c r="I2135" s="7" t="n">
        <v>0</v>
      </c>
      <c r="J2135" s="7" t="inlineStr">
        <is>
          <t>E-05-02</t>
        </is>
      </c>
      <c r="K2135" s="7" t="inlineStr"/>
      <c r="L2135" s="9" t="n">
        <v>0</v>
      </c>
      <c r="M2135" s="9" t="n">
        <v>0</v>
      </c>
      <c r="N2135" s="9" t="n">
        <v>12</v>
      </c>
      <c r="O2135" s="7" t="inlineStr">
        <is>
          <t>HEL</t>
        </is>
      </c>
      <c r="P2135" s="7" t="inlineStr">
        <is>
          <t>CRITIQUE</t>
        </is>
      </c>
      <c r="Q2135" s="7" t="inlineStr">
        <is>
          <t>WHAP</t>
        </is>
      </c>
      <c r="R2135" s="7" t="inlineStr">
        <is>
          <t>OUI</t>
        </is>
      </c>
      <c r="S2135" s="7" t="inlineStr">
        <is>
          <t>31/08/2026 02:59</t>
        </is>
      </c>
    </row>
    <row r="2136">
      <c r="A2136" s="8" t="inlineStr">
        <is>
          <t>WHAP-2132</t>
        </is>
      </c>
      <c r="B2136" s="8" t="inlineStr">
        <is>
          <t>MOT-2132</t>
        </is>
      </c>
      <c r="C2136" s="8" t="inlineStr">
        <is>
          <t>kit de filtre à huile</t>
        </is>
      </c>
      <c r="D2136" s="8" t="inlineStr">
        <is>
          <t>Moteur</t>
        </is>
      </c>
      <c r="E2136" s="8" t="inlineStr">
        <is>
          <t>Moteur</t>
        </is>
      </c>
      <c r="F2136" s="8" t="inlineStr">
        <is>
          <t>PIECE_VEHICULE</t>
        </is>
      </c>
      <c r="G2136" s="8" t="inlineStr">
        <is>
          <t>unité</t>
        </is>
      </c>
      <c r="H2136" s="8" t="inlineStr">
        <is>
          <t>LARGE</t>
        </is>
      </c>
      <c r="I2136" s="8" t="n">
        <v>0</v>
      </c>
      <c r="J2136" s="8" t="inlineStr">
        <is>
          <t>B-01-01</t>
        </is>
      </c>
      <c r="K2136" s="8" t="inlineStr"/>
      <c r="L2136" s="10" t="n">
        <v>0</v>
      </c>
      <c r="M2136" s="10" t="n">
        <v>0</v>
      </c>
      <c r="N2136" s="10" t="n">
        <v>12</v>
      </c>
      <c r="O2136" s="8" t="inlineStr">
        <is>
          <t>SKF</t>
        </is>
      </c>
      <c r="P2136" s="8" t="inlineStr">
        <is>
          <t>CRITIQUE</t>
        </is>
      </c>
      <c r="Q2136" s="8" t="inlineStr">
        <is>
          <t>WHAP</t>
        </is>
      </c>
      <c r="R2136" s="8" t="inlineStr">
        <is>
          <t>OUI</t>
        </is>
      </c>
      <c r="S2136" s="8" t="inlineStr">
        <is>
          <t>31/08/2026 02:59</t>
        </is>
      </c>
    </row>
    <row r="2137">
      <c r="A2137" s="7" t="inlineStr">
        <is>
          <t>WHAP-2133</t>
        </is>
      </c>
      <c r="B2137" s="7" t="inlineStr">
        <is>
          <t>MOT-2133</t>
        </is>
      </c>
      <c r="C2137" s="7" t="inlineStr">
        <is>
          <t>support de filtre à huile</t>
        </is>
      </c>
      <c r="D2137" s="7" t="inlineStr">
        <is>
          <t>Moteur</t>
        </is>
      </c>
      <c r="E2137" s="7" t="inlineStr">
        <is>
          <t>Moteur</t>
        </is>
      </c>
      <c r="F2137" s="7" t="inlineStr">
        <is>
          <t>PIECE_VEHICULE</t>
        </is>
      </c>
      <c r="G2137" s="7" t="inlineStr">
        <is>
          <t>unité</t>
        </is>
      </c>
      <c r="H2137" s="7" t="inlineStr">
        <is>
          <t>LARGE</t>
        </is>
      </c>
      <c r="I2137" s="7" t="n">
        <v>0</v>
      </c>
      <c r="J2137" s="7" t="inlineStr">
        <is>
          <t>F-04-01</t>
        </is>
      </c>
      <c r="K2137" s="7" t="inlineStr"/>
      <c r="L2137" s="9" t="n">
        <v>0</v>
      </c>
      <c r="M2137" s="9" t="n">
        <v>0</v>
      </c>
      <c r="N2137" s="9" t="n">
        <v>20</v>
      </c>
      <c r="O2137" s="7" t="inlineStr">
        <is>
          <t>YZK</t>
        </is>
      </c>
      <c r="P2137" s="7" t="inlineStr">
        <is>
          <t>CRITIQUE</t>
        </is>
      </c>
      <c r="Q2137" s="7" t="inlineStr">
        <is>
          <t>WHAP</t>
        </is>
      </c>
      <c r="R2137" s="7" t="inlineStr">
        <is>
          <t>OUI</t>
        </is>
      </c>
      <c r="S2137" s="7" t="inlineStr">
        <is>
          <t>31/08/2026 02:59</t>
        </is>
      </c>
    </row>
    <row r="2138">
      <c r="A2138" s="8" t="inlineStr">
        <is>
          <t>WHAP-2134</t>
        </is>
      </c>
      <c r="B2138" s="8" t="inlineStr">
        <is>
          <t>MOT-2134</t>
        </is>
      </c>
      <c r="C2138" s="8" t="inlineStr">
        <is>
          <t>boîtier de filtre à huile</t>
        </is>
      </c>
      <c r="D2138" s="8" t="inlineStr">
        <is>
          <t>Moteur</t>
        </is>
      </c>
      <c r="E2138" s="8" t="inlineStr">
        <is>
          <t>Moteur</t>
        </is>
      </c>
      <c r="F2138" s="8" t="inlineStr">
        <is>
          <t>PIECE_VEHICULE</t>
        </is>
      </c>
      <c r="G2138" s="8" t="inlineStr">
        <is>
          <t>unité</t>
        </is>
      </c>
      <c r="H2138" s="8" t="inlineStr">
        <is>
          <t>LARGE</t>
        </is>
      </c>
      <c r="I2138" s="8" t="n">
        <v>0</v>
      </c>
      <c r="J2138" s="8" t="inlineStr">
        <is>
          <t>C-06-04</t>
        </is>
      </c>
      <c r="K2138" s="8" t="inlineStr"/>
      <c r="L2138" s="10" t="n">
        <v>0</v>
      </c>
      <c r="M2138" s="10" t="n">
        <v>0</v>
      </c>
      <c r="N2138" s="10" t="n">
        <v>11</v>
      </c>
      <c r="O2138" s="8" t="inlineStr">
        <is>
          <t>SUM</t>
        </is>
      </c>
      <c r="P2138" s="8" t="inlineStr">
        <is>
          <t>CRITIQUE</t>
        </is>
      </c>
      <c r="Q2138" s="8" t="inlineStr">
        <is>
          <t>WHAP</t>
        </is>
      </c>
      <c r="R2138" s="8" t="inlineStr">
        <is>
          <t>OUI</t>
        </is>
      </c>
      <c r="S2138" s="8" t="inlineStr">
        <is>
          <t>31/08/2026 02:59</t>
        </is>
      </c>
    </row>
    <row r="2139">
      <c r="A2139" s="7" t="inlineStr">
        <is>
          <t>WHAP-2135</t>
        </is>
      </c>
      <c r="B2139" s="7" t="inlineStr">
        <is>
          <t>MOT-2135</t>
        </is>
      </c>
      <c r="C2139" s="7" t="inlineStr">
        <is>
          <t>module de filtre à huile</t>
        </is>
      </c>
      <c r="D2139" s="7" t="inlineStr">
        <is>
          <t>Moteur</t>
        </is>
      </c>
      <c r="E2139" s="7" t="inlineStr">
        <is>
          <t>Moteur</t>
        </is>
      </c>
      <c r="F2139" s="7" t="inlineStr">
        <is>
          <t>PIECE_VEHICULE</t>
        </is>
      </c>
      <c r="G2139" s="7" t="inlineStr">
        <is>
          <t>unité</t>
        </is>
      </c>
      <c r="H2139" s="7" t="inlineStr">
        <is>
          <t>LARGE</t>
        </is>
      </c>
      <c r="I2139" s="7" t="n">
        <v>0</v>
      </c>
      <c r="J2139" s="7" t="inlineStr">
        <is>
          <t>F-02-03</t>
        </is>
      </c>
      <c r="K2139" s="7" t="inlineStr"/>
      <c r="L2139" s="9" t="n">
        <v>0</v>
      </c>
      <c r="M2139" s="9" t="n">
        <v>0</v>
      </c>
      <c r="N2139" s="9" t="n">
        <v>19</v>
      </c>
      <c r="O2139" s="7" t="inlineStr">
        <is>
          <t>YZK</t>
        </is>
      </c>
      <c r="P2139" s="7" t="inlineStr">
        <is>
          <t>CRITIQUE</t>
        </is>
      </c>
      <c r="Q2139" s="7" t="inlineStr">
        <is>
          <t>WHAP</t>
        </is>
      </c>
      <c r="R2139" s="7" t="inlineStr">
        <is>
          <t>OUI</t>
        </is>
      </c>
      <c r="S2139" s="7" t="inlineStr">
        <is>
          <t>31/08/2026 02:59</t>
        </is>
      </c>
    </row>
    <row r="2140">
      <c r="A2140" s="8" t="inlineStr">
        <is>
          <t>WHAP-2136</t>
        </is>
      </c>
      <c r="B2140" s="8" t="inlineStr">
        <is>
          <t>MOT-2136</t>
        </is>
      </c>
      <c r="C2140" s="8" t="inlineStr">
        <is>
          <t>câblage de filtre à huile</t>
        </is>
      </c>
      <c r="D2140" s="8" t="inlineStr">
        <is>
          <t>Moteur</t>
        </is>
      </c>
      <c r="E2140" s="8" t="inlineStr">
        <is>
          <t>Moteur</t>
        </is>
      </c>
      <c r="F2140" s="8" t="inlineStr">
        <is>
          <t>PIECE_VEHICULE</t>
        </is>
      </c>
      <c r="G2140" s="8" t="inlineStr">
        <is>
          <t>unité</t>
        </is>
      </c>
      <c r="H2140" s="8" t="inlineStr">
        <is>
          <t>LARGE</t>
        </is>
      </c>
      <c r="I2140" s="8" t="n">
        <v>0</v>
      </c>
      <c r="J2140" s="8" t="inlineStr">
        <is>
          <t>E-06-01</t>
        </is>
      </c>
      <c r="K2140" s="8" t="inlineStr"/>
      <c r="L2140" s="10" t="n">
        <v>0</v>
      </c>
      <c r="M2140" s="10" t="n">
        <v>0</v>
      </c>
      <c r="N2140" s="10" t="n">
        <v>10</v>
      </c>
      <c r="O2140" s="8" t="inlineStr">
        <is>
          <t>BOS</t>
        </is>
      </c>
      <c r="P2140" s="8" t="inlineStr">
        <is>
          <t>CRITIQUE</t>
        </is>
      </c>
      <c r="Q2140" s="8" t="inlineStr">
        <is>
          <t>WHAP</t>
        </is>
      </c>
      <c r="R2140" s="8" t="inlineStr">
        <is>
          <t>OUI</t>
        </is>
      </c>
      <c r="S2140" s="8" t="inlineStr">
        <is>
          <t>31/08/2026 02:59</t>
        </is>
      </c>
    </row>
    <row r="2141">
      <c r="A2141" s="7" t="inlineStr">
        <is>
          <t>WHAP-2137</t>
        </is>
      </c>
      <c r="B2141" s="7" t="inlineStr">
        <is>
          <t>MOT-2137</t>
        </is>
      </c>
      <c r="C2141" s="7" t="inlineStr">
        <is>
          <t>connecteur de filtre à huile</t>
        </is>
      </c>
      <c r="D2141" s="7" t="inlineStr">
        <is>
          <t>Moteur</t>
        </is>
      </c>
      <c r="E2141" s="7" t="inlineStr">
        <is>
          <t>Moteur</t>
        </is>
      </c>
      <c r="F2141" s="7" t="inlineStr">
        <is>
          <t>PIECE_VEHICULE</t>
        </is>
      </c>
      <c r="G2141" s="7" t="inlineStr">
        <is>
          <t>unité</t>
        </is>
      </c>
      <c r="H2141" s="7" t="inlineStr">
        <is>
          <t>LARGE</t>
        </is>
      </c>
      <c r="I2141" s="7" t="n">
        <v>0</v>
      </c>
      <c r="J2141" s="7" t="inlineStr">
        <is>
          <t>D-04-04</t>
        </is>
      </c>
      <c r="K2141" s="7" t="inlineStr"/>
      <c r="L2141" s="9" t="n">
        <v>0</v>
      </c>
      <c r="M2141" s="9" t="n">
        <v>0</v>
      </c>
      <c r="N2141" s="9" t="n">
        <v>10</v>
      </c>
      <c r="O2141" s="7" t="inlineStr">
        <is>
          <t>VAL</t>
        </is>
      </c>
      <c r="P2141" s="7" t="inlineStr">
        <is>
          <t>CRITIQUE</t>
        </is>
      </c>
      <c r="Q2141" s="7" t="inlineStr">
        <is>
          <t>WHAP</t>
        </is>
      </c>
      <c r="R2141" s="7" t="inlineStr">
        <is>
          <t>OUI</t>
        </is>
      </c>
      <c r="S2141" s="7" t="inlineStr">
        <is>
          <t>31/08/2026 02:59</t>
        </is>
      </c>
    </row>
    <row r="2142">
      <c r="A2142" s="8" t="inlineStr">
        <is>
          <t>WHAP-2138</t>
        </is>
      </c>
      <c r="B2142" s="8" t="inlineStr">
        <is>
          <t>MOT-2138</t>
        </is>
      </c>
      <c r="C2142" s="8" t="inlineStr">
        <is>
          <t>joint de filtre à huile</t>
        </is>
      </c>
      <c r="D2142" s="8" t="inlineStr">
        <is>
          <t>Moteur</t>
        </is>
      </c>
      <c r="E2142" s="8" t="inlineStr">
        <is>
          <t>Moteur</t>
        </is>
      </c>
      <c r="F2142" s="8" t="inlineStr">
        <is>
          <t>PIECE_VEHICULE</t>
        </is>
      </c>
      <c r="G2142" s="8" t="inlineStr">
        <is>
          <t>unité</t>
        </is>
      </c>
      <c r="H2142" s="8" t="inlineStr">
        <is>
          <t>LARGE</t>
        </is>
      </c>
      <c r="I2142" s="8" t="n">
        <v>0</v>
      </c>
      <c r="J2142" s="8" t="inlineStr">
        <is>
          <t>E-01-03</t>
        </is>
      </c>
      <c r="K2142" s="8" t="inlineStr"/>
      <c r="L2142" s="10" t="n">
        <v>0</v>
      </c>
      <c r="M2142" s="10" t="n">
        <v>0</v>
      </c>
      <c r="N2142" s="10" t="n">
        <v>17</v>
      </c>
      <c r="O2142" s="8" t="inlineStr">
        <is>
          <t>DEL</t>
        </is>
      </c>
      <c r="P2142" s="8" t="inlineStr">
        <is>
          <t>CRITIQUE</t>
        </is>
      </c>
      <c r="Q2142" s="8" t="inlineStr">
        <is>
          <t>WHAP</t>
        </is>
      </c>
      <c r="R2142" s="8" t="inlineStr">
        <is>
          <t>OUI</t>
        </is>
      </c>
      <c r="S2142" s="8" t="inlineStr">
        <is>
          <t>31/08/2026 02:59</t>
        </is>
      </c>
    </row>
    <row r="2143">
      <c r="A2143" s="7" t="inlineStr">
        <is>
          <t>WHAP-2139</t>
        </is>
      </c>
      <c r="B2143" s="7" t="inlineStr">
        <is>
          <t>MOT-2139</t>
        </is>
      </c>
      <c r="C2143" s="7" t="inlineStr">
        <is>
          <t>fixation de filtre à huile</t>
        </is>
      </c>
      <c r="D2143" s="7" t="inlineStr">
        <is>
          <t>Moteur</t>
        </is>
      </c>
      <c r="E2143" s="7" t="inlineStr">
        <is>
          <t>Moteur</t>
        </is>
      </c>
      <c r="F2143" s="7" t="inlineStr">
        <is>
          <t>PIECE_VEHICULE</t>
        </is>
      </c>
      <c r="G2143" s="7" t="inlineStr">
        <is>
          <t>unité</t>
        </is>
      </c>
      <c r="H2143" s="7" t="inlineStr">
        <is>
          <t>LARGE</t>
        </is>
      </c>
      <c r="I2143" s="7" t="n">
        <v>0</v>
      </c>
      <c r="J2143" s="7" t="inlineStr">
        <is>
          <t>C-03-01</t>
        </is>
      </c>
      <c r="K2143" s="7" t="inlineStr"/>
      <c r="L2143" s="9" t="n">
        <v>0</v>
      </c>
      <c r="M2143" s="9" t="n">
        <v>0</v>
      </c>
      <c r="N2143" s="9" t="n">
        <v>14</v>
      </c>
      <c r="O2143" s="7" t="inlineStr">
        <is>
          <t>HEL</t>
        </is>
      </c>
      <c r="P2143" s="7" t="inlineStr">
        <is>
          <t>CRITIQUE</t>
        </is>
      </c>
      <c r="Q2143" s="7" t="inlineStr">
        <is>
          <t>WHAP</t>
        </is>
      </c>
      <c r="R2143" s="7" t="inlineStr">
        <is>
          <t>OUI</t>
        </is>
      </c>
      <c r="S2143" s="7" t="inlineStr">
        <is>
          <t>31/08/2026 02:59</t>
        </is>
      </c>
    </row>
    <row r="2144">
      <c r="A2144" s="8" t="inlineStr">
        <is>
          <t>WHAP-2140</t>
        </is>
      </c>
      <c r="B2144" s="8" t="inlineStr">
        <is>
          <t>MOT-2140</t>
        </is>
      </c>
      <c r="C2144" s="8" t="inlineStr">
        <is>
          <t>protection de filtre à huile</t>
        </is>
      </c>
      <c r="D2144" s="8" t="inlineStr">
        <is>
          <t>Moteur</t>
        </is>
      </c>
      <c r="E2144" s="8" t="inlineStr">
        <is>
          <t>Moteur</t>
        </is>
      </c>
      <c r="F2144" s="8" t="inlineStr">
        <is>
          <t>PIECE_VEHICULE</t>
        </is>
      </c>
      <c r="G2144" s="8" t="inlineStr">
        <is>
          <t>unité</t>
        </is>
      </c>
      <c r="H2144" s="8" t="inlineStr">
        <is>
          <t>LARGE</t>
        </is>
      </c>
      <c r="I2144" s="8" t="n">
        <v>0</v>
      </c>
      <c r="J2144" s="8" t="inlineStr">
        <is>
          <t>A-05-04</t>
        </is>
      </c>
      <c r="K2144" s="8" t="inlineStr"/>
      <c r="L2144" s="10" t="n">
        <v>0</v>
      </c>
      <c r="M2144" s="10" t="n">
        <v>0</v>
      </c>
      <c r="N2144" s="10" t="n">
        <v>14</v>
      </c>
      <c r="O2144" s="8" t="inlineStr">
        <is>
          <t>DEL</t>
        </is>
      </c>
      <c r="P2144" s="8" t="inlineStr">
        <is>
          <t>CRITIQUE</t>
        </is>
      </c>
      <c r="Q2144" s="8" t="inlineStr">
        <is>
          <t>WHAP</t>
        </is>
      </c>
      <c r="R2144" s="8" t="inlineStr">
        <is>
          <t>OUI</t>
        </is>
      </c>
      <c r="S2144" s="8" t="inlineStr">
        <is>
          <t>31/08/2026 02:59</t>
        </is>
      </c>
    </row>
    <row r="2145">
      <c r="A2145" s="7" t="inlineStr">
        <is>
          <t>WHAP-2141</t>
        </is>
      </c>
      <c r="B2145" s="7" t="inlineStr">
        <is>
          <t>MOT-2141</t>
        </is>
      </c>
      <c r="C2145" s="7" t="inlineStr">
        <is>
          <t>capteur de filtre à huile</t>
        </is>
      </c>
      <c r="D2145" s="7" t="inlineStr">
        <is>
          <t>Moteur</t>
        </is>
      </c>
      <c r="E2145" s="7" t="inlineStr">
        <is>
          <t>Moteur</t>
        </is>
      </c>
      <c r="F2145" s="7" t="inlineStr">
        <is>
          <t>PIECE_VEHICULE</t>
        </is>
      </c>
      <c r="G2145" s="7" t="inlineStr">
        <is>
          <t>unité</t>
        </is>
      </c>
      <c r="H2145" s="7" t="inlineStr">
        <is>
          <t>LARGE</t>
        </is>
      </c>
      <c r="I2145" s="7" t="n">
        <v>0</v>
      </c>
      <c r="J2145" s="7" t="inlineStr">
        <is>
          <t>D-04-01</t>
        </is>
      </c>
      <c r="K2145" s="7" t="inlineStr"/>
      <c r="L2145" s="9" t="n">
        <v>0</v>
      </c>
      <c r="M2145" s="9" t="n">
        <v>0</v>
      </c>
      <c r="N2145" s="9" t="n">
        <v>19</v>
      </c>
      <c r="O2145" s="7" t="inlineStr">
        <is>
          <t>VAL</t>
        </is>
      </c>
      <c r="P2145" s="7" t="inlineStr">
        <is>
          <t>CRITIQUE</t>
        </is>
      </c>
      <c r="Q2145" s="7" t="inlineStr">
        <is>
          <t>WHAP</t>
        </is>
      </c>
      <c r="R2145" s="7" t="inlineStr">
        <is>
          <t>OUI</t>
        </is>
      </c>
      <c r="S2145" s="7" t="inlineStr">
        <is>
          <t>31/08/2026 02:59</t>
        </is>
      </c>
    </row>
    <row r="2146">
      <c r="A2146" s="8" t="inlineStr">
        <is>
          <t>WHAP-2142</t>
        </is>
      </c>
      <c r="B2146" s="8" t="inlineStr">
        <is>
          <t>MOT-2142</t>
        </is>
      </c>
      <c r="C2146" s="8" t="inlineStr">
        <is>
          <t>actionneur de filtre à huile</t>
        </is>
      </c>
      <c r="D2146" s="8" t="inlineStr">
        <is>
          <t>Moteur</t>
        </is>
      </c>
      <c r="E2146" s="8" t="inlineStr">
        <is>
          <t>Moteur</t>
        </is>
      </c>
      <c r="F2146" s="8" t="inlineStr">
        <is>
          <t>PIECE_VEHICULE</t>
        </is>
      </c>
      <c r="G2146" s="8" t="inlineStr">
        <is>
          <t>unité</t>
        </is>
      </c>
      <c r="H2146" s="8" t="inlineStr">
        <is>
          <t>LARGE</t>
        </is>
      </c>
      <c r="I2146" s="8" t="n">
        <v>0</v>
      </c>
      <c r="J2146" s="8" t="inlineStr">
        <is>
          <t>E-05-04</t>
        </is>
      </c>
      <c r="K2146" s="8" t="inlineStr"/>
      <c r="L2146" s="10" t="n">
        <v>0</v>
      </c>
      <c r="M2146" s="10" t="n">
        <v>0</v>
      </c>
      <c r="N2146" s="10" t="n">
        <v>11</v>
      </c>
      <c r="O2146" s="8" t="inlineStr">
        <is>
          <t>HEL</t>
        </is>
      </c>
      <c r="P2146" s="8" t="inlineStr">
        <is>
          <t>CRITIQUE</t>
        </is>
      </c>
      <c r="Q2146" s="8" t="inlineStr">
        <is>
          <t>WHAP</t>
        </is>
      </c>
      <c r="R2146" s="8" t="inlineStr">
        <is>
          <t>OUI</t>
        </is>
      </c>
      <c r="S2146" s="8" t="inlineStr">
        <is>
          <t>31/08/2026 02:59</t>
        </is>
      </c>
    </row>
    <row r="2147">
      <c r="A2147" s="7" t="inlineStr">
        <is>
          <t>WHAP-2143</t>
        </is>
      </c>
      <c r="B2147" s="7" t="inlineStr">
        <is>
          <t>MOT-2143</t>
        </is>
      </c>
      <c r="C2147" s="7" t="inlineStr">
        <is>
          <t>raccord de filtre à huile</t>
        </is>
      </c>
      <c r="D2147" s="7" t="inlineStr">
        <is>
          <t>Moteur</t>
        </is>
      </c>
      <c r="E2147" s="7" t="inlineStr">
        <is>
          <t>Moteur</t>
        </is>
      </c>
      <c r="F2147" s="7" t="inlineStr">
        <is>
          <t>PIECE_VEHICULE</t>
        </is>
      </c>
      <c r="G2147" s="7" t="inlineStr">
        <is>
          <t>unité</t>
        </is>
      </c>
      <c r="H2147" s="7" t="inlineStr">
        <is>
          <t>LARGE</t>
        </is>
      </c>
      <c r="I2147" s="7" t="n">
        <v>0</v>
      </c>
      <c r="J2147" s="7" t="inlineStr">
        <is>
          <t>C-02-02</t>
        </is>
      </c>
      <c r="K2147" s="7" t="inlineStr"/>
      <c r="L2147" s="9" t="n">
        <v>0</v>
      </c>
      <c r="M2147" s="9" t="n">
        <v>0</v>
      </c>
      <c r="N2147" s="9" t="n">
        <v>18</v>
      </c>
      <c r="O2147" s="7" t="inlineStr">
        <is>
          <t>HEL</t>
        </is>
      </c>
      <c r="P2147" s="7" t="inlineStr">
        <is>
          <t>CRITIQUE</t>
        </is>
      </c>
      <c r="Q2147" s="7" t="inlineStr">
        <is>
          <t>WHAP</t>
        </is>
      </c>
      <c r="R2147" s="7" t="inlineStr">
        <is>
          <t>OUI</t>
        </is>
      </c>
      <c r="S2147" s="7" t="inlineStr">
        <is>
          <t>31/08/2026 02:59</t>
        </is>
      </c>
    </row>
    <row r="2148">
      <c r="A2148" s="8" t="inlineStr">
        <is>
          <t>WHAP-2144</t>
        </is>
      </c>
      <c r="B2148" s="8" t="inlineStr">
        <is>
          <t>MOT-2144</t>
        </is>
      </c>
      <c r="C2148" s="8" t="inlineStr">
        <is>
          <t>plaque de filtre à huile</t>
        </is>
      </c>
      <c r="D2148" s="8" t="inlineStr">
        <is>
          <t>Moteur</t>
        </is>
      </c>
      <c r="E2148" s="8" t="inlineStr">
        <is>
          <t>Moteur</t>
        </is>
      </c>
      <c r="F2148" s="8" t="inlineStr">
        <is>
          <t>PIECE_VEHICULE</t>
        </is>
      </c>
      <c r="G2148" s="8" t="inlineStr">
        <is>
          <t>unité</t>
        </is>
      </c>
      <c r="H2148" s="8" t="inlineStr">
        <is>
          <t>LARGE</t>
        </is>
      </c>
      <c r="I2148" s="8" t="n">
        <v>0</v>
      </c>
      <c r="J2148" s="8" t="inlineStr">
        <is>
          <t>A-04-02</t>
        </is>
      </c>
      <c r="K2148" s="8" t="inlineStr"/>
      <c r="L2148" s="10" t="n">
        <v>0</v>
      </c>
      <c r="M2148" s="10" t="n">
        <v>0</v>
      </c>
      <c r="N2148" s="10" t="n">
        <v>17</v>
      </c>
      <c r="O2148" s="8" t="inlineStr">
        <is>
          <t>MAG</t>
        </is>
      </c>
      <c r="P2148" s="8" t="inlineStr">
        <is>
          <t>CRITIQUE</t>
        </is>
      </c>
      <c r="Q2148" s="8" t="inlineStr">
        <is>
          <t>WHAP</t>
        </is>
      </c>
      <c r="R2148" s="8" t="inlineStr">
        <is>
          <t>OUI</t>
        </is>
      </c>
      <c r="S2148" s="8" t="inlineStr">
        <is>
          <t>31/08/2026 02:59</t>
        </is>
      </c>
    </row>
    <row r="2149">
      <c r="A2149" s="7" t="inlineStr">
        <is>
          <t>WHAP-2145</t>
        </is>
      </c>
      <c r="B2149" s="7" t="inlineStr">
        <is>
          <t>MOT-2145</t>
        </is>
      </c>
      <c r="C2149" s="7" t="inlineStr">
        <is>
          <t>couvercle de filtre à huile</t>
        </is>
      </c>
      <c r="D2149" s="7" t="inlineStr">
        <is>
          <t>Moteur</t>
        </is>
      </c>
      <c r="E2149" s="7" t="inlineStr">
        <is>
          <t>Moteur</t>
        </is>
      </c>
      <c r="F2149" s="7" t="inlineStr">
        <is>
          <t>PIECE_VEHICULE</t>
        </is>
      </c>
      <c r="G2149" s="7" t="inlineStr">
        <is>
          <t>unité</t>
        </is>
      </c>
      <c r="H2149" s="7" t="inlineStr">
        <is>
          <t>LARGE</t>
        </is>
      </c>
      <c r="I2149" s="7" t="n">
        <v>0</v>
      </c>
      <c r="J2149" s="7" t="inlineStr">
        <is>
          <t>C-06-04</t>
        </is>
      </c>
      <c r="K2149" s="7" t="inlineStr"/>
      <c r="L2149" s="9" t="n">
        <v>0</v>
      </c>
      <c r="M2149" s="9" t="n">
        <v>0</v>
      </c>
      <c r="N2149" s="9" t="n">
        <v>16</v>
      </c>
      <c r="O2149" s="7" t="inlineStr">
        <is>
          <t>BOS</t>
        </is>
      </c>
      <c r="P2149" s="7" t="inlineStr">
        <is>
          <t>CRITIQUE</t>
        </is>
      </c>
      <c r="Q2149" s="7" t="inlineStr">
        <is>
          <t>WHAP</t>
        </is>
      </c>
      <c r="R2149" s="7" t="inlineStr">
        <is>
          <t>OUI</t>
        </is>
      </c>
      <c r="S2149" s="7" t="inlineStr">
        <is>
          <t>31/08/2026 02:59</t>
        </is>
      </c>
    </row>
    <row r="2150">
      <c r="A2150" s="8" t="inlineStr">
        <is>
          <t>WHAP-2146</t>
        </is>
      </c>
      <c r="B2150" s="8" t="inlineStr">
        <is>
          <t>MOT-2146</t>
        </is>
      </c>
      <c r="C2150" s="8" t="inlineStr">
        <is>
          <t>bague de filtre à huile</t>
        </is>
      </c>
      <c r="D2150" s="8" t="inlineStr">
        <is>
          <t>Moteur</t>
        </is>
      </c>
      <c r="E2150" s="8" t="inlineStr">
        <is>
          <t>Moteur</t>
        </is>
      </c>
      <c r="F2150" s="8" t="inlineStr">
        <is>
          <t>PIECE_VEHICULE</t>
        </is>
      </c>
      <c r="G2150" s="8" t="inlineStr">
        <is>
          <t>unité</t>
        </is>
      </c>
      <c r="H2150" s="8" t="inlineStr">
        <is>
          <t>LARGE</t>
        </is>
      </c>
      <c r="I2150" s="8" t="n">
        <v>0</v>
      </c>
      <c r="J2150" s="8" t="inlineStr">
        <is>
          <t>C-03-02</t>
        </is>
      </c>
      <c r="K2150" s="8" t="inlineStr"/>
      <c r="L2150" s="10" t="n">
        <v>0</v>
      </c>
      <c r="M2150" s="10" t="n">
        <v>0</v>
      </c>
      <c r="N2150" s="10" t="n">
        <v>13</v>
      </c>
      <c r="O2150" s="8" t="inlineStr">
        <is>
          <t>MAG</t>
        </is>
      </c>
      <c r="P2150" s="8" t="inlineStr">
        <is>
          <t>CRITIQUE</t>
        </is>
      </c>
      <c r="Q2150" s="8" t="inlineStr">
        <is>
          <t>WHAP</t>
        </is>
      </c>
      <c r="R2150" s="8" t="inlineStr">
        <is>
          <t>OUI</t>
        </is>
      </c>
      <c r="S2150" s="8" t="inlineStr">
        <is>
          <t>31/08/2026 02:59</t>
        </is>
      </c>
    </row>
    <row r="2151">
      <c r="A2151" s="7" t="inlineStr">
        <is>
          <t>WHAP-2147</t>
        </is>
      </c>
      <c r="B2151" s="7" t="inlineStr">
        <is>
          <t>MOT-2147</t>
        </is>
      </c>
      <c r="C2151" s="7" t="inlineStr">
        <is>
          <t>entretoise de filtre à huile</t>
        </is>
      </c>
      <c r="D2151" s="7" t="inlineStr">
        <is>
          <t>Moteur</t>
        </is>
      </c>
      <c r="E2151" s="7" t="inlineStr">
        <is>
          <t>Moteur</t>
        </is>
      </c>
      <c r="F2151" s="7" t="inlineStr">
        <is>
          <t>PIECE_VEHICULE</t>
        </is>
      </c>
      <c r="G2151" s="7" t="inlineStr">
        <is>
          <t>unité</t>
        </is>
      </c>
      <c r="H2151" s="7" t="inlineStr">
        <is>
          <t>LARGE</t>
        </is>
      </c>
      <c r="I2151" s="7" t="n">
        <v>0</v>
      </c>
      <c r="J2151" s="7" t="inlineStr">
        <is>
          <t>F-03-03</t>
        </is>
      </c>
      <c r="K2151" s="7" t="inlineStr"/>
      <c r="L2151" s="9" t="n">
        <v>0</v>
      </c>
      <c r="M2151" s="9" t="n">
        <v>0</v>
      </c>
      <c r="N2151" s="9" t="n">
        <v>17</v>
      </c>
      <c r="O2151" s="7" t="inlineStr">
        <is>
          <t>VAL</t>
        </is>
      </c>
      <c r="P2151" s="7" t="inlineStr">
        <is>
          <t>CRITIQUE</t>
        </is>
      </c>
      <c r="Q2151" s="7" t="inlineStr">
        <is>
          <t>WHAP</t>
        </is>
      </c>
      <c r="R2151" s="7" t="inlineStr">
        <is>
          <t>OUI</t>
        </is>
      </c>
      <c r="S2151" s="7" t="inlineStr">
        <is>
          <t>31/08/2026 02:59</t>
        </is>
      </c>
    </row>
    <row r="2152">
      <c r="A2152" s="8" t="inlineStr">
        <is>
          <t>WHAP-2148</t>
        </is>
      </c>
      <c r="B2152" s="8" t="inlineStr">
        <is>
          <t>MOT-2148</t>
        </is>
      </c>
      <c r="C2152" s="8" t="inlineStr">
        <is>
          <t>axe de filtre à huile</t>
        </is>
      </c>
      <c r="D2152" s="8" t="inlineStr">
        <is>
          <t>Moteur</t>
        </is>
      </c>
      <c r="E2152" s="8" t="inlineStr">
        <is>
          <t>Moteur</t>
        </is>
      </c>
      <c r="F2152" s="8" t="inlineStr">
        <is>
          <t>PIECE_VEHICULE</t>
        </is>
      </c>
      <c r="G2152" s="8" t="inlineStr">
        <is>
          <t>unité</t>
        </is>
      </c>
      <c r="H2152" s="8" t="inlineStr">
        <is>
          <t>LARGE</t>
        </is>
      </c>
      <c r="I2152" s="8" t="n">
        <v>0</v>
      </c>
      <c r="J2152" s="8" t="inlineStr">
        <is>
          <t>A-04-04</t>
        </is>
      </c>
      <c r="K2152" s="8" t="inlineStr"/>
      <c r="L2152" s="10" t="n">
        <v>0</v>
      </c>
      <c r="M2152" s="10" t="n">
        <v>0</v>
      </c>
      <c r="N2152" s="10" t="n">
        <v>16</v>
      </c>
      <c r="O2152" s="8" t="inlineStr">
        <is>
          <t>DEL</t>
        </is>
      </c>
      <c r="P2152" s="8" t="inlineStr">
        <is>
          <t>CRITIQUE</t>
        </is>
      </c>
      <c r="Q2152" s="8" t="inlineStr">
        <is>
          <t>WHAP</t>
        </is>
      </c>
      <c r="R2152" s="8" t="inlineStr">
        <is>
          <t>OUI</t>
        </is>
      </c>
      <c r="S2152" s="8" t="inlineStr">
        <is>
          <t>31/08/2026 02:59</t>
        </is>
      </c>
    </row>
    <row r="2153">
      <c r="A2153" s="7" t="inlineStr">
        <is>
          <t>WHAP-2149</t>
        </is>
      </c>
      <c r="B2153" s="7" t="inlineStr">
        <is>
          <t>MOT-2149</t>
        </is>
      </c>
      <c r="C2153" s="7" t="inlineStr">
        <is>
          <t>poulie de filtre à huile</t>
        </is>
      </c>
      <c r="D2153" s="7" t="inlineStr">
        <is>
          <t>Moteur</t>
        </is>
      </c>
      <c r="E2153" s="7" t="inlineStr">
        <is>
          <t>Moteur</t>
        </is>
      </c>
      <c r="F2153" s="7" t="inlineStr">
        <is>
          <t>PIECE_VEHICULE</t>
        </is>
      </c>
      <c r="G2153" s="7" t="inlineStr">
        <is>
          <t>unité</t>
        </is>
      </c>
      <c r="H2153" s="7" t="inlineStr">
        <is>
          <t>LARGE</t>
        </is>
      </c>
      <c r="I2153" s="7" t="n">
        <v>0</v>
      </c>
      <c r="J2153" s="7" t="inlineStr">
        <is>
          <t>A-01-01</t>
        </is>
      </c>
      <c r="K2153" s="7" t="inlineStr"/>
      <c r="L2153" s="9" t="n">
        <v>0</v>
      </c>
      <c r="M2153" s="9" t="n">
        <v>0</v>
      </c>
      <c r="N2153" s="9" t="n">
        <v>15</v>
      </c>
      <c r="O2153" s="7" t="inlineStr">
        <is>
          <t>DEL</t>
        </is>
      </c>
      <c r="P2153" s="7" t="inlineStr">
        <is>
          <t>CRITIQUE</t>
        </is>
      </c>
      <c r="Q2153" s="7" t="inlineStr">
        <is>
          <t>WHAP</t>
        </is>
      </c>
      <c r="R2153" s="7" t="inlineStr">
        <is>
          <t>OUI</t>
        </is>
      </c>
      <c r="S2153" s="7" t="inlineStr">
        <is>
          <t>31/08/2026 02:59</t>
        </is>
      </c>
    </row>
    <row r="2154">
      <c r="A2154" s="8" t="inlineStr">
        <is>
          <t>WHAP-2150</t>
        </is>
      </c>
      <c r="B2154" s="8" t="inlineStr">
        <is>
          <t>MOT-2150</t>
        </is>
      </c>
      <c r="C2154" s="8" t="inlineStr">
        <is>
          <t>pignon de filtre à huile</t>
        </is>
      </c>
      <c r="D2154" s="8" t="inlineStr">
        <is>
          <t>Moteur</t>
        </is>
      </c>
      <c r="E2154" s="8" t="inlineStr">
        <is>
          <t>Moteur</t>
        </is>
      </c>
      <c r="F2154" s="8" t="inlineStr">
        <is>
          <t>PIECE_VEHICULE</t>
        </is>
      </c>
      <c r="G2154" s="8" t="inlineStr">
        <is>
          <t>unité</t>
        </is>
      </c>
      <c r="H2154" s="8" t="inlineStr">
        <is>
          <t>LARGE</t>
        </is>
      </c>
      <c r="I2154" s="8" t="n">
        <v>0</v>
      </c>
      <c r="J2154" s="8" t="inlineStr">
        <is>
          <t>F-05-01</t>
        </is>
      </c>
      <c r="K2154" s="8" t="inlineStr"/>
      <c r="L2154" s="10" t="n">
        <v>0</v>
      </c>
      <c r="M2154" s="10" t="n">
        <v>0</v>
      </c>
      <c r="N2154" s="10" t="n">
        <v>11</v>
      </c>
      <c r="O2154" s="8" t="inlineStr">
        <is>
          <t>YZK</t>
        </is>
      </c>
      <c r="P2154" s="8" t="inlineStr">
        <is>
          <t>CRITIQUE</t>
        </is>
      </c>
      <c r="Q2154" s="8" t="inlineStr">
        <is>
          <t>WHAP</t>
        </is>
      </c>
      <c r="R2154" s="8" t="inlineStr">
        <is>
          <t>OUI</t>
        </is>
      </c>
      <c r="S2154" s="8" t="inlineStr">
        <is>
          <t>31/08/2026 02:59</t>
        </is>
      </c>
    </row>
    <row r="2155">
      <c r="A2155" s="7" t="inlineStr">
        <is>
          <t>WHAP-2151</t>
        </is>
      </c>
      <c r="B2155" s="7" t="inlineStr">
        <is>
          <t>MOT-2151</t>
        </is>
      </c>
      <c r="C2155" s="7" t="inlineStr">
        <is>
          <t>ensemble de filtre à air</t>
        </is>
      </c>
      <c r="D2155" s="7" t="inlineStr">
        <is>
          <t>Moteur</t>
        </is>
      </c>
      <c r="E2155" s="7" t="inlineStr">
        <is>
          <t>Moteur</t>
        </is>
      </c>
      <c r="F2155" s="7" t="inlineStr">
        <is>
          <t>PIECE_VEHICULE</t>
        </is>
      </c>
      <c r="G2155" s="7" t="inlineStr">
        <is>
          <t>unité</t>
        </is>
      </c>
      <c r="H2155" s="7" t="inlineStr">
        <is>
          <t>LARGE</t>
        </is>
      </c>
      <c r="I2155" s="7" t="n">
        <v>0</v>
      </c>
      <c r="J2155" s="7" t="inlineStr">
        <is>
          <t>B-02-01</t>
        </is>
      </c>
      <c r="K2155" s="7" t="inlineStr"/>
      <c r="L2155" s="9" t="n">
        <v>0</v>
      </c>
      <c r="M2155" s="9" t="n">
        <v>0</v>
      </c>
      <c r="N2155" s="9" t="n">
        <v>12</v>
      </c>
      <c r="O2155" s="7" t="inlineStr">
        <is>
          <t>VAL</t>
        </is>
      </c>
      <c r="P2155" s="7" t="inlineStr">
        <is>
          <t>CRITIQUE</t>
        </is>
      </c>
      <c r="Q2155" s="7" t="inlineStr">
        <is>
          <t>WHAP</t>
        </is>
      </c>
      <c r="R2155" s="7" t="inlineStr">
        <is>
          <t>OUI</t>
        </is>
      </c>
      <c r="S2155" s="7" t="inlineStr">
        <is>
          <t>31/08/2026 02:59</t>
        </is>
      </c>
    </row>
    <row r="2156">
      <c r="A2156" s="8" t="inlineStr">
        <is>
          <t>WHAP-2152</t>
        </is>
      </c>
      <c r="B2156" s="8" t="inlineStr">
        <is>
          <t>MOT-2152</t>
        </is>
      </c>
      <c r="C2156" s="8" t="inlineStr">
        <is>
          <t>kit de filtre à air</t>
        </is>
      </c>
      <c r="D2156" s="8" t="inlineStr">
        <is>
          <t>Moteur</t>
        </is>
      </c>
      <c r="E2156" s="8" t="inlineStr">
        <is>
          <t>Moteur</t>
        </is>
      </c>
      <c r="F2156" s="8" t="inlineStr">
        <is>
          <t>PIECE_VEHICULE</t>
        </is>
      </c>
      <c r="G2156" s="8" t="inlineStr">
        <is>
          <t>unité</t>
        </is>
      </c>
      <c r="H2156" s="8" t="inlineStr">
        <is>
          <t>LARGE</t>
        </is>
      </c>
      <c r="I2156" s="8" t="n">
        <v>0</v>
      </c>
      <c r="J2156" s="8" t="inlineStr">
        <is>
          <t>C-03-04</t>
        </is>
      </c>
      <c r="K2156" s="8" t="inlineStr"/>
      <c r="L2156" s="10" t="n">
        <v>0</v>
      </c>
      <c r="M2156" s="10" t="n">
        <v>0</v>
      </c>
      <c r="N2156" s="10" t="n">
        <v>11</v>
      </c>
      <c r="O2156" s="8" t="inlineStr">
        <is>
          <t>SUM</t>
        </is>
      </c>
      <c r="P2156" s="8" t="inlineStr">
        <is>
          <t>CRITIQUE</t>
        </is>
      </c>
      <c r="Q2156" s="8" t="inlineStr">
        <is>
          <t>WHAP</t>
        </is>
      </c>
      <c r="R2156" s="8" t="inlineStr">
        <is>
          <t>OUI</t>
        </is>
      </c>
      <c r="S2156" s="8" t="inlineStr">
        <is>
          <t>31/08/2026 02:59</t>
        </is>
      </c>
    </row>
    <row r="2157">
      <c r="A2157" s="7" t="inlineStr">
        <is>
          <t>WHAP-2153</t>
        </is>
      </c>
      <c r="B2157" s="7" t="inlineStr">
        <is>
          <t>MOT-2153</t>
        </is>
      </c>
      <c r="C2157" s="7" t="inlineStr">
        <is>
          <t>support de filtre à air</t>
        </is>
      </c>
      <c r="D2157" s="7" t="inlineStr">
        <is>
          <t>Moteur</t>
        </is>
      </c>
      <c r="E2157" s="7" t="inlineStr">
        <is>
          <t>Moteur</t>
        </is>
      </c>
      <c r="F2157" s="7" t="inlineStr">
        <is>
          <t>PIECE_VEHICULE</t>
        </is>
      </c>
      <c r="G2157" s="7" t="inlineStr">
        <is>
          <t>unité</t>
        </is>
      </c>
      <c r="H2157" s="7" t="inlineStr">
        <is>
          <t>LARGE</t>
        </is>
      </c>
      <c r="I2157" s="7" t="n">
        <v>0</v>
      </c>
      <c r="J2157" s="7" t="inlineStr">
        <is>
          <t>D-02-03</t>
        </is>
      </c>
      <c r="K2157" s="7" t="inlineStr"/>
      <c r="L2157" s="9" t="n">
        <v>0</v>
      </c>
      <c r="M2157" s="9" t="n">
        <v>0</v>
      </c>
      <c r="N2157" s="9" t="n">
        <v>12</v>
      </c>
      <c r="O2157" s="7" t="inlineStr">
        <is>
          <t>YZK</t>
        </is>
      </c>
      <c r="P2157" s="7" t="inlineStr">
        <is>
          <t>CRITIQUE</t>
        </is>
      </c>
      <c r="Q2157" s="7" t="inlineStr">
        <is>
          <t>WHAP</t>
        </is>
      </c>
      <c r="R2157" s="7" t="inlineStr">
        <is>
          <t>OUI</t>
        </is>
      </c>
      <c r="S2157" s="7" t="inlineStr">
        <is>
          <t>31/08/2026 02:59</t>
        </is>
      </c>
    </row>
    <row r="2158">
      <c r="A2158" s="8" t="inlineStr">
        <is>
          <t>WHAP-2154</t>
        </is>
      </c>
      <c r="B2158" s="8" t="inlineStr">
        <is>
          <t>MOT-2154</t>
        </is>
      </c>
      <c r="C2158" s="8" t="inlineStr">
        <is>
          <t>module de filtre à air</t>
        </is>
      </c>
      <c r="D2158" s="8" t="inlineStr">
        <is>
          <t>Moteur</t>
        </is>
      </c>
      <c r="E2158" s="8" t="inlineStr">
        <is>
          <t>Moteur</t>
        </is>
      </c>
      <c r="F2158" s="8" t="inlineStr">
        <is>
          <t>PIECE_VEHICULE</t>
        </is>
      </c>
      <c r="G2158" s="8" t="inlineStr">
        <is>
          <t>unité</t>
        </is>
      </c>
      <c r="H2158" s="8" t="inlineStr">
        <is>
          <t>LARGE</t>
        </is>
      </c>
      <c r="I2158" s="8" t="n">
        <v>0</v>
      </c>
      <c r="J2158" s="8" t="inlineStr">
        <is>
          <t>C-05-01</t>
        </is>
      </c>
      <c r="K2158" s="8" t="inlineStr"/>
      <c r="L2158" s="10" t="n">
        <v>0</v>
      </c>
      <c r="M2158" s="10" t="n">
        <v>0</v>
      </c>
      <c r="N2158" s="10" t="n">
        <v>19</v>
      </c>
      <c r="O2158" s="8" t="inlineStr">
        <is>
          <t>DEL</t>
        </is>
      </c>
      <c r="P2158" s="8" t="inlineStr">
        <is>
          <t>CRITIQUE</t>
        </is>
      </c>
      <c r="Q2158" s="8" t="inlineStr">
        <is>
          <t>WHAP</t>
        </is>
      </c>
      <c r="R2158" s="8" t="inlineStr">
        <is>
          <t>OUI</t>
        </is>
      </c>
      <c r="S2158" s="8" t="inlineStr">
        <is>
          <t>31/08/2026 02:59</t>
        </is>
      </c>
    </row>
    <row r="2159">
      <c r="A2159" s="7" t="inlineStr">
        <is>
          <t>WHAP-2155</t>
        </is>
      </c>
      <c r="B2159" s="7" t="inlineStr">
        <is>
          <t>MOT-2155</t>
        </is>
      </c>
      <c r="C2159" s="7" t="inlineStr">
        <is>
          <t>câblage de filtre à air</t>
        </is>
      </c>
      <c r="D2159" s="7" t="inlineStr">
        <is>
          <t>Moteur</t>
        </is>
      </c>
      <c r="E2159" s="7" t="inlineStr">
        <is>
          <t>Moteur</t>
        </is>
      </c>
      <c r="F2159" s="7" t="inlineStr">
        <is>
          <t>PIECE_VEHICULE</t>
        </is>
      </c>
      <c r="G2159" s="7" t="inlineStr">
        <is>
          <t>unité</t>
        </is>
      </c>
      <c r="H2159" s="7" t="inlineStr">
        <is>
          <t>LARGE</t>
        </is>
      </c>
      <c r="I2159" s="7" t="n">
        <v>0</v>
      </c>
      <c r="J2159" s="7" t="inlineStr">
        <is>
          <t>C-01-01</t>
        </is>
      </c>
      <c r="K2159" s="7" t="inlineStr"/>
      <c r="L2159" s="9" t="n">
        <v>0</v>
      </c>
      <c r="M2159" s="9" t="n">
        <v>0</v>
      </c>
      <c r="N2159" s="9" t="n">
        <v>10</v>
      </c>
      <c r="O2159" s="7" t="inlineStr">
        <is>
          <t>MAG</t>
        </is>
      </c>
      <c r="P2159" s="7" t="inlineStr">
        <is>
          <t>CRITIQUE</t>
        </is>
      </c>
      <c r="Q2159" s="7" t="inlineStr">
        <is>
          <t>WHAP</t>
        </is>
      </c>
      <c r="R2159" s="7" t="inlineStr">
        <is>
          <t>OUI</t>
        </is>
      </c>
      <c r="S2159" s="7" t="inlineStr">
        <is>
          <t>31/08/2026 02:59</t>
        </is>
      </c>
    </row>
    <row r="2160">
      <c r="A2160" s="8" t="inlineStr">
        <is>
          <t>WHAP-2156</t>
        </is>
      </c>
      <c r="B2160" s="8" t="inlineStr">
        <is>
          <t>MOT-2156</t>
        </is>
      </c>
      <c r="C2160" s="8" t="inlineStr">
        <is>
          <t>connecteur de filtre à air</t>
        </is>
      </c>
      <c r="D2160" s="8" t="inlineStr">
        <is>
          <t>Moteur</t>
        </is>
      </c>
      <c r="E2160" s="8" t="inlineStr">
        <is>
          <t>Moteur</t>
        </is>
      </c>
      <c r="F2160" s="8" t="inlineStr">
        <is>
          <t>PIECE_VEHICULE</t>
        </is>
      </c>
      <c r="G2160" s="8" t="inlineStr">
        <is>
          <t>unité</t>
        </is>
      </c>
      <c r="H2160" s="8" t="inlineStr">
        <is>
          <t>LARGE</t>
        </is>
      </c>
      <c r="I2160" s="8" t="n">
        <v>0</v>
      </c>
      <c r="J2160" s="8" t="inlineStr">
        <is>
          <t>E-05-01</t>
        </is>
      </c>
      <c r="K2160" s="8" t="inlineStr"/>
      <c r="L2160" s="10" t="n">
        <v>0</v>
      </c>
      <c r="M2160" s="10" t="n">
        <v>0</v>
      </c>
      <c r="N2160" s="10" t="n">
        <v>20</v>
      </c>
      <c r="O2160" s="8" t="inlineStr">
        <is>
          <t>HEL</t>
        </is>
      </c>
      <c r="P2160" s="8" t="inlineStr">
        <is>
          <t>CRITIQUE</t>
        </is>
      </c>
      <c r="Q2160" s="8" t="inlineStr">
        <is>
          <t>WHAP</t>
        </is>
      </c>
      <c r="R2160" s="8" t="inlineStr">
        <is>
          <t>OUI</t>
        </is>
      </c>
      <c r="S2160" s="8" t="inlineStr">
        <is>
          <t>31/08/2026 02:59</t>
        </is>
      </c>
    </row>
    <row r="2161">
      <c r="A2161" s="7" t="inlineStr">
        <is>
          <t>WHAP-2157</t>
        </is>
      </c>
      <c r="B2161" s="7" t="inlineStr">
        <is>
          <t>MOT-2157</t>
        </is>
      </c>
      <c r="C2161" s="7" t="inlineStr">
        <is>
          <t>joint de filtre à air</t>
        </is>
      </c>
      <c r="D2161" s="7" t="inlineStr">
        <is>
          <t>Moteur</t>
        </is>
      </c>
      <c r="E2161" s="7" t="inlineStr">
        <is>
          <t>Moteur</t>
        </is>
      </c>
      <c r="F2161" s="7" t="inlineStr">
        <is>
          <t>PIECE_VEHICULE</t>
        </is>
      </c>
      <c r="G2161" s="7" t="inlineStr">
        <is>
          <t>unité</t>
        </is>
      </c>
      <c r="H2161" s="7" t="inlineStr">
        <is>
          <t>LARGE</t>
        </is>
      </c>
      <c r="I2161" s="7" t="n">
        <v>0</v>
      </c>
      <c r="J2161" s="7" t="inlineStr">
        <is>
          <t>C-04-02</t>
        </is>
      </c>
      <c r="K2161" s="7" t="inlineStr"/>
      <c r="L2161" s="9" t="n">
        <v>0</v>
      </c>
      <c r="M2161" s="9" t="n">
        <v>0</v>
      </c>
      <c r="N2161" s="9" t="n">
        <v>15</v>
      </c>
      <c r="O2161" s="7" t="inlineStr">
        <is>
          <t>BOS</t>
        </is>
      </c>
      <c r="P2161" s="7" t="inlineStr">
        <is>
          <t>CRITIQUE</t>
        </is>
      </c>
      <c r="Q2161" s="7" t="inlineStr">
        <is>
          <t>WHAP</t>
        </is>
      </c>
      <c r="R2161" s="7" t="inlineStr">
        <is>
          <t>OUI</t>
        </is>
      </c>
      <c r="S2161" s="7" t="inlineStr">
        <is>
          <t>31/08/2026 02:59</t>
        </is>
      </c>
    </row>
    <row r="2162">
      <c r="A2162" s="8" t="inlineStr">
        <is>
          <t>WHAP-2158</t>
        </is>
      </c>
      <c r="B2162" s="8" t="inlineStr">
        <is>
          <t>MOT-2158</t>
        </is>
      </c>
      <c r="C2162" s="8" t="inlineStr">
        <is>
          <t>fixation de filtre à air</t>
        </is>
      </c>
      <c r="D2162" s="8" t="inlineStr">
        <is>
          <t>Moteur</t>
        </is>
      </c>
      <c r="E2162" s="8" t="inlineStr">
        <is>
          <t>Moteur</t>
        </is>
      </c>
      <c r="F2162" s="8" t="inlineStr">
        <is>
          <t>PIECE_VEHICULE</t>
        </is>
      </c>
      <c r="G2162" s="8" t="inlineStr">
        <is>
          <t>unité</t>
        </is>
      </c>
      <c r="H2162" s="8" t="inlineStr">
        <is>
          <t>LARGE</t>
        </is>
      </c>
      <c r="I2162" s="8" t="n">
        <v>0</v>
      </c>
      <c r="J2162" s="8" t="inlineStr">
        <is>
          <t>E-03-03</t>
        </is>
      </c>
      <c r="K2162" s="8" t="inlineStr"/>
      <c r="L2162" s="10" t="n">
        <v>0</v>
      </c>
      <c r="M2162" s="10" t="n">
        <v>0</v>
      </c>
      <c r="N2162" s="10" t="n">
        <v>17</v>
      </c>
      <c r="O2162" s="8" t="inlineStr">
        <is>
          <t>DEL</t>
        </is>
      </c>
      <c r="P2162" s="8" t="inlineStr">
        <is>
          <t>CRITIQUE</t>
        </is>
      </c>
      <c r="Q2162" s="8" t="inlineStr">
        <is>
          <t>WHAP</t>
        </is>
      </c>
      <c r="R2162" s="8" t="inlineStr">
        <is>
          <t>OUI</t>
        </is>
      </c>
      <c r="S2162" s="8" t="inlineStr">
        <is>
          <t>31/08/2026 02:59</t>
        </is>
      </c>
    </row>
    <row r="2163">
      <c r="A2163" s="7" t="inlineStr">
        <is>
          <t>WHAP-2159</t>
        </is>
      </c>
      <c r="B2163" s="7" t="inlineStr">
        <is>
          <t>MOT-2159</t>
        </is>
      </c>
      <c r="C2163" s="7" t="inlineStr">
        <is>
          <t>protection de filtre à air</t>
        </is>
      </c>
      <c r="D2163" s="7" t="inlineStr">
        <is>
          <t>Moteur</t>
        </is>
      </c>
      <c r="E2163" s="7" t="inlineStr">
        <is>
          <t>Moteur</t>
        </is>
      </c>
      <c r="F2163" s="7" t="inlineStr">
        <is>
          <t>PIECE_VEHICULE</t>
        </is>
      </c>
      <c r="G2163" s="7" t="inlineStr">
        <is>
          <t>unité</t>
        </is>
      </c>
      <c r="H2163" s="7" t="inlineStr">
        <is>
          <t>LARGE</t>
        </is>
      </c>
      <c r="I2163" s="7" t="n">
        <v>0</v>
      </c>
      <c r="J2163" s="7" t="inlineStr">
        <is>
          <t>D-04-02</t>
        </is>
      </c>
      <c r="K2163" s="7" t="inlineStr"/>
      <c r="L2163" s="9" t="n">
        <v>0</v>
      </c>
      <c r="M2163" s="9" t="n">
        <v>0</v>
      </c>
      <c r="N2163" s="9" t="n">
        <v>16</v>
      </c>
      <c r="O2163" s="7" t="inlineStr">
        <is>
          <t>SKF</t>
        </is>
      </c>
      <c r="P2163" s="7" t="inlineStr">
        <is>
          <t>CRITIQUE</t>
        </is>
      </c>
      <c r="Q2163" s="7" t="inlineStr">
        <is>
          <t>WHAP</t>
        </is>
      </c>
      <c r="R2163" s="7" t="inlineStr">
        <is>
          <t>OUI</t>
        </is>
      </c>
      <c r="S2163" s="7" t="inlineStr">
        <is>
          <t>31/08/2026 02:59</t>
        </is>
      </c>
    </row>
    <row r="2164">
      <c r="A2164" s="8" t="inlineStr">
        <is>
          <t>WHAP-2160</t>
        </is>
      </c>
      <c r="B2164" s="8" t="inlineStr">
        <is>
          <t>MOT-2160</t>
        </is>
      </c>
      <c r="C2164" s="8" t="inlineStr">
        <is>
          <t>capteur de filtre à air</t>
        </is>
      </c>
      <c r="D2164" s="8" t="inlineStr">
        <is>
          <t>Moteur</t>
        </is>
      </c>
      <c r="E2164" s="8" t="inlineStr">
        <is>
          <t>Moteur</t>
        </is>
      </c>
      <c r="F2164" s="8" t="inlineStr">
        <is>
          <t>PIECE_VEHICULE</t>
        </is>
      </c>
      <c r="G2164" s="8" t="inlineStr">
        <is>
          <t>unité</t>
        </is>
      </c>
      <c r="H2164" s="8" t="inlineStr">
        <is>
          <t>LARGE</t>
        </is>
      </c>
      <c r="I2164" s="8" t="n">
        <v>0</v>
      </c>
      <c r="J2164" s="8" t="inlineStr">
        <is>
          <t>B-06-03</t>
        </is>
      </c>
      <c r="K2164" s="8" t="inlineStr"/>
      <c r="L2164" s="10" t="n">
        <v>0</v>
      </c>
      <c r="M2164" s="10" t="n">
        <v>0</v>
      </c>
      <c r="N2164" s="10" t="n">
        <v>14</v>
      </c>
      <c r="O2164" s="8" t="inlineStr">
        <is>
          <t>CTL</t>
        </is>
      </c>
      <c r="P2164" s="8" t="inlineStr">
        <is>
          <t>CRITIQUE</t>
        </is>
      </c>
      <c r="Q2164" s="8" t="inlineStr">
        <is>
          <t>WHAP</t>
        </is>
      </c>
      <c r="R2164" s="8" t="inlineStr">
        <is>
          <t>OUI</t>
        </is>
      </c>
      <c r="S2164" s="8" t="inlineStr">
        <is>
          <t>31/08/2026 02:59</t>
        </is>
      </c>
    </row>
    <row r="2165">
      <c r="A2165" s="7" t="inlineStr">
        <is>
          <t>WHAP-2161</t>
        </is>
      </c>
      <c r="B2165" s="7" t="inlineStr">
        <is>
          <t>MOT-2161</t>
        </is>
      </c>
      <c r="C2165" s="7" t="inlineStr">
        <is>
          <t>actionneur de filtre à air</t>
        </is>
      </c>
      <c r="D2165" s="7" t="inlineStr">
        <is>
          <t>Moteur</t>
        </is>
      </c>
      <c r="E2165" s="7" t="inlineStr">
        <is>
          <t>Moteur</t>
        </is>
      </c>
      <c r="F2165" s="7" t="inlineStr">
        <is>
          <t>PIECE_VEHICULE</t>
        </is>
      </c>
      <c r="G2165" s="7" t="inlineStr">
        <is>
          <t>unité</t>
        </is>
      </c>
      <c r="H2165" s="7" t="inlineStr">
        <is>
          <t>LARGE</t>
        </is>
      </c>
      <c r="I2165" s="7" t="n">
        <v>0</v>
      </c>
      <c r="J2165" s="7" t="inlineStr">
        <is>
          <t>B-01-04</t>
        </is>
      </c>
      <c r="K2165" s="7" t="inlineStr"/>
      <c r="L2165" s="9" t="n">
        <v>0</v>
      </c>
      <c r="M2165" s="9" t="n">
        <v>0</v>
      </c>
      <c r="N2165" s="9" t="n">
        <v>14</v>
      </c>
      <c r="O2165" s="7" t="inlineStr">
        <is>
          <t>FAU</t>
        </is>
      </c>
      <c r="P2165" s="7" t="inlineStr">
        <is>
          <t>CRITIQUE</t>
        </is>
      </c>
      <c r="Q2165" s="7" t="inlineStr">
        <is>
          <t>WHAP</t>
        </is>
      </c>
      <c r="R2165" s="7" t="inlineStr">
        <is>
          <t>OUI</t>
        </is>
      </c>
      <c r="S2165" s="7" t="inlineStr">
        <is>
          <t>31/08/2026 02:59</t>
        </is>
      </c>
    </row>
    <row r="2166">
      <c r="A2166" s="8" t="inlineStr">
        <is>
          <t>WHAP-2162</t>
        </is>
      </c>
      <c r="B2166" s="8" t="inlineStr">
        <is>
          <t>MOT-2162</t>
        </is>
      </c>
      <c r="C2166" s="8" t="inlineStr">
        <is>
          <t>raccord de filtre à air</t>
        </is>
      </c>
      <c r="D2166" s="8" t="inlineStr">
        <is>
          <t>Moteur</t>
        </is>
      </c>
      <c r="E2166" s="8" t="inlineStr">
        <is>
          <t>Moteur</t>
        </is>
      </c>
      <c r="F2166" s="8" t="inlineStr">
        <is>
          <t>PIECE_VEHICULE</t>
        </is>
      </c>
      <c r="G2166" s="8" t="inlineStr">
        <is>
          <t>unité</t>
        </is>
      </c>
      <c r="H2166" s="8" t="inlineStr">
        <is>
          <t>LARGE</t>
        </is>
      </c>
      <c r="I2166" s="8" t="n">
        <v>0</v>
      </c>
      <c r="J2166" s="8" t="inlineStr">
        <is>
          <t>B-05-04</t>
        </is>
      </c>
      <c r="K2166" s="8" t="inlineStr"/>
      <c r="L2166" s="10" t="n">
        <v>0</v>
      </c>
      <c r="M2166" s="10" t="n">
        <v>0</v>
      </c>
      <c r="N2166" s="10" t="n">
        <v>12</v>
      </c>
      <c r="O2166" s="8" t="inlineStr">
        <is>
          <t>CTL</t>
        </is>
      </c>
      <c r="P2166" s="8" t="inlineStr">
        <is>
          <t>CRITIQUE</t>
        </is>
      </c>
      <c r="Q2166" s="8" t="inlineStr">
        <is>
          <t>WHAP</t>
        </is>
      </c>
      <c r="R2166" s="8" t="inlineStr">
        <is>
          <t>OUI</t>
        </is>
      </c>
      <c r="S2166" s="8" t="inlineStr">
        <is>
          <t>31/08/2026 02:59</t>
        </is>
      </c>
    </row>
    <row r="2167">
      <c r="A2167" s="7" t="inlineStr">
        <is>
          <t>WHAP-2163</t>
        </is>
      </c>
      <c r="B2167" s="7" t="inlineStr">
        <is>
          <t>MOT-2163</t>
        </is>
      </c>
      <c r="C2167" s="7" t="inlineStr">
        <is>
          <t>plaque de filtre à air</t>
        </is>
      </c>
      <c r="D2167" s="7" t="inlineStr">
        <is>
          <t>Moteur</t>
        </is>
      </c>
      <c r="E2167" s="7" t="inlineStr">
        <is>
          <t>Moteur</t>
        </is>
      </c>
      <c r="F2167" s="7" t="inlineStr">
        <is>
          <t>PIECE_VEHICULE</t>
        </is>
      </c>
      <c r="G2167" s="7" t="inlineStr">
        <is>
          <t>unité</t>
        </is>
      </c>
      <c r="H2167" s="7" t="inlineStr">
        <is>
          <t>LARGE</t>
        </is>
      </c>
      <c r="I2167" s="7" t="n">
        <v>0</v>
      </c>
      <c r="J2167" s="7" t="inlineStr">
        <is>
          <t>B-02-01</t>
        </is>
      </c>
      <c r="K2167" s="7" t="inlineStr"/>
      <c r="L2167" s="9" t="n">
        <v>0</v>
      </c>
      <c r="M2167" s="9" t="n">
        <v>0</v>
      </c>
      <c r="N2167" s="9" t="n">
        <v>19</v>
      </c>
      <c r="O2167" s="7" t="inlineStr">
        <is>
          <t>FAU</t>
        </is>
      </c>
      <c r="P2167" s="7" t="inlineStr">
        <is>
          <t>CRITIQUE</t>
        </is>
      </c>
      <c r="Q2167" s="7" t="inlineStr">
        <is>
          <t>WHAP</t>
        </is>
      </c>
      <c r="R2167" s="7" t="inlineStr">
        <is>
          <t>OUI</t>
        </is>
      </c>
      <c r="S2167" s="7" t="inlineStr">
        <is>
          <t>31/08/2026 02:59</t>
        </is>
      </c>
    </row>
    <row r="2168">
      <c r="A2168" s="8" t="inlineStr">
        <is>
          <t>WHAP-2164</t>
        </is>
      </c>
      <c r="B2168" s="8" t="inlineStr">
        <is>
          <t>MOT-2164</t>
        </is>
      </c>
      <c r="C2168" s="8" t="inlineStr">
        <is>
          <t>couvercle de filtre à air</t>
        </is>
      </c>
      <c r="D2168" s="8" t="inlineStr">
        <is>
          <t>Moteur</t>
        </is>
      </c>
      <c r="E2168" s="8" t="inlineStr">
        <is>
          <t>Moteur</t>
        </is>
      </c>
      <c r="F2168" s="8" t="inlineStr">
        <is>
          <t>PIECE_VEHICULE</t>
        </is>
      </c>
      <c r="G2168" s="8" t="inlineStr">
        <is>
          <t>unité</t>
        </is>
      </c>
      <c r="H2168" s="8" t="inlineStr">
        <is>
          <t>LARGE</t>
        </is>
      </c>
      <c r="I2168" s="8" t="n">
        <v>0</v>
      </c>
      <c r="J2168" s="8" t="inlineStr">
        <is>
          <t>E-06-03</t>
        </is>
      </c>
      <c r="K2168" s="8" t="inlineStr"/>
      <c r="L2168" s="10" t="n">
        <v>0</v>
      </c>
      <c r="M2168" s="10" t="n">
        <v>0</v>
      </c>
      <c r="N2168" s="10" t="n">
        <v>15</v>
      </c>
      <c r="O2168" s="8" t="inlineStr">
        <is>
          <t>MAG</t>
        </is>
      </c>
      <c r="P2168" s="8" t="inlineStr">
        <is>
          <t>CRITIQUE</t>
        </is>
      </c>
      <c r="Q2168" s="8" t="inlineStr">
        <is>
          <t>WHAP</t>
        </is>
      </c>
      <c r="R2168" s="8" t="inlineStr">
        <is>
          <t>OUI</t>
        </is>
      </c>
      <c r="S2168" s="8" t="inlineStr">
        <is>
          <t>31/08/2026 02:59</t>
        </is>
      </c>
    </row>
    <row r="2169">
      <c r="A2169" s="7" t="inlineStr">
        <is>
          <t>WHAP-2165</t>
        </is>
      </c>
      <c r="B2169" s="7" t="inlineStr">
        <is>
          <t>MOT-2165</t>
        </is>
      </c>
      <c r="C2169" s="7" t="inlineStr">
        <is>
          <t>bague de filtre à air</t>
        </is>
      </c>
      <c r="D2169" s="7" t="inlineStr">
        <is>
          <t>Moteur</t>
        </is>
      </c>
      <c r="E2169" s="7" t="inlineStr">
        <is>
          <t>Moteur</t>
        </is>
      </c>
      <c r="F2169" s="7" t="inlineStr">
        <is>
          <t>PIECE_VEHICULE</t>
        </is>
      </c>
      <c r="G2169" s="7" t="inlineStr">
        <is>
          <t>unité</t>
        </is>
      </c>
      <c r="H2169" s="7" t="inlineStr">
        <is>
          <t>LARGE</t>
        </is>
      </c>
      <c r="I2169" s="7" t="n">
        <v>0</v>
      </c>
      <c r="J2169" s="7" t="inlineStr">
        <is>
          <t>B-03-01</t>
        </is>
      </c>
      <c r="K2169" s="7" t="inlineStr"/>
      <c r="L2169" s="9" t="n">
        <v>0</v>
      </c>
      <c r="M2169" s="9" t="n">
        <v>0</v>
      </c>
      <c r="N2169" s="9" t="n">
        <v>20</v>
      </c>
      <c r="O2169" s="7" t="inlineStr">
        <is>
          <t>VAL</t>
        </is>
      </c>
      <c r="P2169" s="7" t="inlineStr">
        <is>
          <t>CRITIQUE</t>
        </is>
      </c>
      <c r="Q2169" s="7" t="inlineStr">
        <is>
          <t>WHAP</t>
        </is>
      </c>
      <c r="R2169" s="7" t="inlineStr">
        <is>
          <t>OUI</t>
        </is>
      </c>
      <c r="S2169" s="7" t="inlineStr">
        <is>
          <t>31/08/2026 02:59</t>
        </is>
      </c>
    </row>
    <row r="2170">
      <c r="A2170" s="8" t="inlineStr">
        <is>
          <t>WHAP-2166</t>
        </is>
      </c>
      <c r="B2170" s="8" t="inlineStr">
        <is>
          <t>MOT-2166</t>
        </is>
      </c>
      <c r="C2170" s="8" t="inlineStr">
        <is>
          <t>entretoise de filtre à air</t>
        </is>
      </c>
      <c r="D2170" s="8" t="inlineStr">
        <is>
          <t>Moteur</t>
        </is>
      </c>
      <c r="E2170" s="8" t="inlineStr">
        <is>
          <t>Moteur</t>
        </is>
      </c>
      <c r="F2170" s="8" t="inlineStr">
        <is>
          <t>PIECE_VEHICULE</t>
        </is>
      </c>
      <c r="G2170" s="8" t="inlineStr">
        <is>
          <t>unité</t>
        </is>
      </c>
      <c r="H2170" s="8" t="inlineStr">
        <is>
          <t>LARGE</t>
        </is>
      </c>
      <c r="I2170" s="8" t="n">
        <v>0</v>
      </c>
      <c r="J2170" s="8" t="inlineStr">
        <is>
          <t>C-06-01</t>
        </is>
      </c>
      <c r="K2170" s="8" t="inlineStr"/>
      <c r="L2170" s="10" t="n">
        <v>0</v>
      </c>
      <c r="M2170" s="10" t="n">
        <v>0</v>
      </c>
      <c r="N2170" s="10" t="n">
        <v>20</v>
      </c>
      <c r="O2170" s="8" t="inlineStr">
        <is>
          <t>HEL</t>
        </is>
      </c>
      <c r="P2170" s="8" t="inlineStr">
        <is>
          <t>CRITIQUE</t>
        </is>
      </c>
      <c r="Q2170" s="8" t="inlineStr">
        <is>
          <t>WHAP</t>
        </is>
      </c>
      <c r="R2170" s="8" t="inlineStr">
        <is>
          <t>OUI</t>
        </is>
      </c>
      <c r="S2170" s="8" t="inlineStr">
        <is>
          <t>31/08/2026 02:59</t>
        </is>
      </c>
    </row>
    <row r="2171">
      <c r="A2171" s="7" t="inlineStr">
        <is>
          <t>WHAP-2167</t>
        </is>
      </c>
      <c r="B2171" s="7" t="inlineStr">
        <is>
          <t>MOT-2167</t>
        </is>
      </c>
      <c r="C2171" s="7" t="inlineStr">
        <is>
          <t>axe de filtre à air</t>
        </is>
      </c>
      <c r="D2171" s="7" t="inlineStr">
        <is>
          <t>Moteur</t>
        </is>
      </c>
      <c r="E2171" s="7" t="inlineStr">
        <is>
          <t>Moteur</t>
        </is>
      </c>
      <c r="F2171" s="7" t="inlineStr">
        <is>
          <t>PIECE_VEHICULE</t>
        </is>
      </c>
      <c r="G2171" s="7" t="inlineStr">
        <is>
          <t>unité</t>
        </is>
      </c>
      <c r="H2171" s="7" t="inlineStr">
        <is>
          <t>LARGE</t>
        </is>
      </c>
      <c r="I2171" s="7" t="n">
        <v>0</v>
      </c>
      <c r="J2171" s="7" t="inlineStr">
        <is>
          <t>A-01-04</t>
        </is>
      </c>
      <c r="K2171" s="7" t="inlineStr"/>
      <c r="L2171" s="9" t="n">
        <v>0</v>
      </c>
      <c r="M2171" s="9" t="n">
        <v>0</v>
      </c>
      <c r="N2171" s="9" t="n">
        <v>10</v>
      </c>
      <c r="O2171" s="7" t="inlineStr">
        <is>
          <t>HEL</t>
        </is>
      </c>
      <c r="P2171" s="7" t="inlineStr">
        <is>
          <t>CRITIQUE</t>
        </is>
      </c>
      <c r="Q2171" s="7" t="inlineStr">
        <is>
          <t>WHAP</t>
        </is>
      </c>
      <c r="R2171" s="7" t="inlineStr">
        <is>
          <t>OUI</t>
        </is>
      </c>
      <c r="S2171" s="7" t="inlineStr">
        <is>
          <t>31/08/2026 02:59</t>
        </is>
      </c>
    </row>
    <row r="2172">
      <c r="A2172" s="8" t="inlineStr">
        <is>
          <t>WHAP-2168</t>
        </is>
      </c>
      <c r="B2172" s="8" t="inlineStr">
        <is>
          <t>MOT-2168</t>
        </is>
      </c>
      <c r="C2172" s="8" t="inlineStr">
        <is>
          <t>poulie de filtre à air</t>
        </is>
      </c>
      <c r="D2172" s="8" t="inlineStr">
        <is>
          <t>Moteur</t>
        </is>
      </c>
      <c r="E2172" s="8" t="inlineStr">
        <is>
          <t>Moteur</t>
        </is>
      </c>
      <c r="F2172" s="8" t="inlineStr">
        <is>
          <t>PIECE_VEHICULE</t>
        </is>
      </c>
      <c r="G2172" s="8" t="inlineStr">
        <is>
          <t>unité</t>
        </is>
      </c>
      <c r="H2172" s="8" t="inlineStr">
        <is>
          <t>LARGE</t>
        </is>
      </c>
      <c r="I2172" s="8" t="n">
        <v>0</v>
      </c>
      <c r="J2172" s="8" t="inlineStr">
        <is>
          <t>D-04-03</t>
        </is>
      </c>
      <c r="K2172" s="8" t="inlineStr"/>
      <c r="L2172" s="10" t="n">
        <v>0</v>
      </c>
      <c r="M2172" s="10" t="n">
        <v>0</v>
      </c>
      <c r="N2172" s="10" t="n">
        <v>14</v>
      </c>
      <c r="O2172" s="8" t="inlineStr">
        <is>
          <t>VAL</t>
        </is>
      </c>
      <c r="P2172" s="8" t="inlineStr">
        <is>
          <t>CRITIQUE</t>
        </is>
      </c>
      <c r="Q2172" s="8" t="inlineStr">
        <is>
          <t>WHAP</t>
        </is>
      </c>
      <c r="R2172" s="8" t="inlineStr">
        <is>
          <t>OUI</t>
        </is>
      </c>
      <c r="S2172" s="8" t="inlineStr">
        <is>
          <t>31/08/2026 02:59</t>
        </is>
      </c>
    </row>
    <row r="2173">
      <c r="A2173" s="7" t="inlineStr">
        <is>
          <t>WHAP-2169</t>
        </is>
      </c>
      <c r="B2173" s="7" t="inlineStr">
        <is>
          <t>MOT-2169</t>
        </is>
      </c>
      <c r="C2173" s="7" t="inlineStr">
        <is>
          <t>pignon de filtre à air</t>
        </is>
      </c>
      <c r="D2173" s="7" t="inlineStr">
        <is>
          <t>Moteur</t>
        </is>
      </c>
      <c r="E2173" s="7" t="inlineStr">
        <is>
          <t>Moteur</t>
        </is>
      </c>
      <c r="F2173" s="7" t="inlineStr">
        <is>
          <t>PIECE_VEHICULE</t>
        </is>
      </c>
      <c r="G2173" s="7" t="inlineStr">
        <is>
          <t>unité</t>
        </is>
      </c>
      <c r="H2173" s="7" t="inlineStr">
        <is>
          <t>LARGE</t>
        </is>
      </c>
      <c r="I2173" s="7" t="n">
        <v>0</v>
      </c>
      <c r="J2173" s="7" t="inlineStr">
        <is>
          <t>E-02-04</t>
        </is>
      </c>
      <c r="K2173" s="7" t="inlineStr"/>
      <c r="L2173" s="9" t="n">
        <v>0</v>
      </c>
      <c r="M2173" s="9" t="n">
        <v>0</v>
      </c>
      <c r="N2173" s="9" t="n">
        <v>10</v>
      </c>
      <c r="O2173" s="7" t="inlineStr">
        <is>
          <t>BOS</t>
        </is>
      </c>
      <c r="P2173" s="7" t="inlineStr">
        <is>
          <t>CRITIQUE</t>
        </is>
      </c>
      <c r="Q2173" s="7" t="inlineStr">
        <is>
          <t>WHAP</t>
        </is>
      </c>
      <c r="R2173" s="7" t="inlineStr">
        <is>
          <t>OUI</t>
        </is>
      </c>
      <c r="S2173" s="7" t="inlineStr">
        <is>
          <t>31/08/2026 02:59</t>
        </is>
      </c>
    </row>
    <row r="2174">
      <c r="A2174" s="8" t="inlineStr">
        <is>
          <t>WHAP-2170</t>
        </is>
      </c>
      <c r="B2174" s="8" t="inlineStr">
        <is>
          <t>MOT-2170</t>
        </is>
      </c>
      <c r="C2174" s="8" t="inlineStr">
        <is>
          <t>ensemble de boîtier de filtre à air</t>
        </is>
      </c>
      <c r="D2174" s="8" t="inlineStr">
        <is>
          <t>Moteur</t>
        </is>
      </c>
      <c r="E2174" s="8" t="inlineStr">
        <is>
          <t>Moteur</t>
        </is>
      </c>
      <c r="F2174" s="8" t="inlineStr">
        <is>
          <t>PIECE_VEHICULE</t>
        </is>
      </c>
      <c r="G2174" s="8" t="inlineStr">
        <is>
          <t>unité</t>
        </is>
      </c>
      <c r="H2174" s="8" t="inlineStr">
        <is>
          <t>LARGE</t>
        </is>
      </c>
      <c r="I2174" s="8" t="n">
        <v>0</v>
      </c>
      <c r="J2174" s="8" t="inlineStr">
        <is>
          <t>D-04-04</t>
        </is>
      </c>
      <c r="K2174" s="8" t="inlineStr"/>
      <c r="L2174" s="10" t="n">
        <v>0</v>
      </c>
      <c r="M2174" s="10" t="n">
        <v>0</v>
      </c>
      <c r="N2174" s="10" t="n">
        <v>12</v>
      </c>
      <c r="O2174" s="8" t="inlineStr">
        <is>
          <t>SKF</t>
        </is>
      </c>
      <c r="P2174" s="8" t="inlineStr">
        <is>
          <t>CRITIQUE</t>
        </is>
      </c>
      <c r="Q2174" s="8" t="inlineStr">
        <is>
          <t>WHAP</t>
        </is>
      </c>
      <c r="R2174" s="8" t="inlineStr">
        <is>
          <t>OUI</t>
        </is>
      </c>
      <c r="S2174" s="8" t="inlineStr">
        <is>
          <t>31/08/2026 02:59</t>
        </is>
      </c>
    </row>
    <row r="2175">
      <c r="A2175" s="7" t="inlineStr">
        <is>
          <t>WHAP-2171</t>
        </is>
      </c>
      <c r="B2175" s="7" t="inlineStr">
        <is>
          <t>MOT-2171</t>
        </is>
      </c>
      <c r="C2175" s="7" t="inlineStr">
        <is>
          <t>kit de boîtier de filtre à air</t>
        </is>
      </c>
      <c r="D2175" s="7" t="inlineStr">
        <is>
          <t>Moteur</t>
        </is>
      </c>
      <c r="E2175" s="7" t="inlineStr">
        <is>
          <t>Moteur</t>
        </is>
      </c>
      <c r="F2175" s="7" t="inlineStr">
        <is>
          <t>PIECE_VEHICULE</t>
        </is>
      </c>
      <c r="G2175" s="7" t="inlineStr">
        <is>
          <t>unité</t>
        </is>
      </c>
      <c r="H2175" s="7" t="inlineStr">
        <is>
          <t>LARGE</t>
        </is>
      </c>
      <c r="I2175" s="7" t="n">
        <v>0</v>
      </c>
      <c r="J2175" s="7" t="inlineStr">
        <is>
          <t>B-01-04</t>
        </is>
      </c>
      <c r="K2175" s="7" t="inlineStr"/>
      <c r="L2175" s="9" t="n">
        <v>0</v>
      </c>
      <c r="M2175" s="9" t="n">
        <v>0</v>
      </c>
      <c r="N2175" s="9" t="n">
        <v>15</v>
      </c>
      <c r="O2175" s="7" t="inlineStr">
        <is>
          <t>SKF</t>
        </is>
      </c>
      <c r="P2175" s="7" t="inlineStr">
        <is>
          <t>CRITIQUE</t>
        </is>
      </c>
      <c r="Q2175" s="7" t="inlineStr">
        <is>
          <t>WHAP</t>
        </is>
      </c>
      <c r="R2175" s="7" t="inlineStr">
        <is>
          <t>OUI</t>
        </is>
      </c>
      <c r="S2175" s="7" t="inlineStr">
        <is>
          <t>31/08/2026 02:59</t>
        </is>
      </c>
    </row>
    <row r="2176">
      <c r="A2176" s="8" t="inlineStr">
        <is>
          <t>WHAP-2172</t>
        </is>
      </c>
      <c r="B2176" s="8" t="inlineStr">
        <is>
          <t>MOT-2172</t>
        </is>
      </c>
      <c r="C2176" s="8" t="inlineStr">
        <is>
          <t>support de boîtier de filtre à air</t>
        </is>
      </c>
      <c r="D2176" s="8" t="inlineStr">
        <is>
          <t>Moteur</t>
        </is>
      </c>
      <c r="E2176" s="8" t="inlineStr">
        <is>
          <t>Moteur</t>
        </is>
      </c>
      <c r="F2176" s="8" t="inlineStr">
        <is>
          <t>PIECE_VEHICULE</t>
        </is>
      </c>
      <c r="G2176" s="8" t="inlineStr">
        <is>
          <t>unité</t>
        </is>
      </c>
      <c r="H2176" s="8" t="inlineStr">
        <is>
          <t>LARGE</t>
        </is>
      </c>
      <c r="I2176" s="8" t="n">
        <v>0</v>
      </c>
      <c r="J2176" s="8" t="inlineStr">
        <is>
          <t>F-06-04</t>
        </is>
      </c>
      <c r="K2176" s="8" t="inlineStr"/>
      <c r="L2176" s="10" t="n">
        <v>0</v>
      </c>
      <c r="M2176" s="10" t="n">
        <v>0</v>
      </c>
      <c r="N2176" s="10" t="n">
        <v>10</v>
      </c>
      <c r="O2176" s="8" t="inlineStr">
        <is>
          <t>YZK</t>
        </is>
      </c>
      <c r="P2176" s="8" t="inlineStr">
        <is>
          <t>CRITIQUE</t>
        </is>
      </c>
      <c r="Q2176" s="8" t="inlineStr">
        <is>
          <t>WHAP</t>
        </is>
      </c>
      <c r="R2176" s="8" t="inlineStr">
        <is>
          <t>OUI</t>
        </is>
      </c>
      <c r="S2176" s="8" t="inlineStr">
        <is>
          <t>31/08/2026 02:59</t>
        </is>
      </c>
    </row>
    <row r="2177">
      <c r="A2177" s="7" t="inlineStr">
        <is>
          <t>WHAP-2173</t>
        </is>
      </c>
      <c r="B2177" s="7" t="inlineStr">
        <is>
          <t>MOT-2173</t>
        </is>
      </c>
      <c r="C2177" s="7" t="inlineStr">
        <is>
          <t>boîtier de boîtier de filtre à air</t>
        </is>
      </c>
      <c r="D2177" s="7" t="inlineStr">
        <is>
          <t>Moteur</t>
        </is>
      </c>
      <c r="E2177" s="7" t="inlineStr">
        <is>
          <t>Moteur</t>
        </is>
      </c>
      <c r="F2177" s="7" t="inlineStr">
        <is>
          <t>PIECE_VEHICULE</t>
        </is>
      </c>
      <c r="G2177" s="7" t="inlineStr">
        <is>
          <t>unité</t>
        </is>
      </c>
      <c r="H2177" s="7" t="inlineStr">
        <is>
          <t>LARGE</t>
        </is>
      </c>
      <c r="I2177" s="7" t="n">
        <v>0</v>
      </c>
      <c r="J2177" s="7" t="inlineStr">
        <is>
          <t>C-03-03</t>
        </is>
      </c>
      <c r="K2177" s="7" t="inlineStr"/>
      <c r="L2177" s="9" t="n">
        <v>0</v>
      </c>
      <c r="M2177" s="9" t="n">
        <v>0</v>
      </c>
      <c r="N2177" s="9" t="n">
        <v>17</v>
      </c>
      <c r="O2177" s="7" t="inlineStr">
        <is>
          <t>DEL</t>
        </is>
      </c>
      <c r="P2177" s="7" t="inlineStr">
        <is>
          <t>CRITIQUE</t>
        </is>
      </c>
      <c r="Q2177" s="7" t="inlineStr">
        <is>
          <t>WHAP</t>
        </is>
      </c>
      <c r="R2177" s="7" t="inlineStr">
        <is>
          <t>OUI</t>
        </is>
      </c>
      <c r="S2177" s="7" t="inlineStr">
        <is>
          <t>31/08/2026 02:59</t>
        </is>
      </c>
    </row>
    <row r="2178">
      <c r="A2178" s="8" t="inlineStr">
        <is>
          <t>WHAP-2174</t>
        </is>
      </c>
      <c r="B2178" s="8" t="inlineStr">
        <is>
          <t>MOT-2174</t>
        </is>
      </c>
      <c r="C2178" s="8" t="inlineStr">
        <is>
          <t>module de boîtier de filtre à air</t>
        </is>
      </c>
      <c r="D2178" s="8" t="inlineStr">
        <is>
          <t>Moteur</t>
        </is>
      </c>
      <c r="E2178" s="8" t="inlineStr">
        <is>
          <t>Moteur</t>
        </is>
      </c>
      <c r="F2178" s="8" t="inlineStr">
        <is>
          <t>PIECE_VEHICULE</t>
        </is>
      </c>
      <c r="G2178" s="8" t="inlineStr">
        <is>
          <t>unité</t>
        </is>
      </c>
      <c r="H2178" s="8" t="inlineStr">
        <is>
          <t>LARGE</t>
        </is>
      </c>
      <c r="I2178" s="8" t="n">
        <v>0</v>
      </c>
      <c r="J2178" s="8" t="inlineStr">
        <is>
          <t>B-01-03</t>
        </is>
      </c>
      <c r="K2178" s="8" t="inlineStr"/>
      <c r="L2178" s="10" t="n">
        <v>0</v>
      </c>
      <c r="M2178" s="10" t="n">
        <v>0</v>
      </c>
      <c r="N2178" s="10" t="n">
        <v>14</v>
      </c>
      <c r="O2178" s="8" t="inlineStr">
        <is>
          <t>VAL</t>
        </is>
      </c>
      <c r="P2178" s="8" t="inlineStr">
        <is>
          <t>CRITIQUE</t>
        </is>
      </c>
      <c r="Q2178" s="8" t="inlineStr">
        <is>
          <t>WHAP</t>
        </is>
      </c>
      <c r="R2178" s="8" t="inlineStr">
        <is>
          <t>OUI</t>
        </is>
      </c>
      <c r="S2178" s="8" t="inlineStr">
        <is>
          <t>31/08/2026 02:59</t>
        </is>
      </c>
    </row>
    <row r="2179">
      <c r="A2179" s="7" t="inlineStr">
        <is>
          <t>WHAP-2175</t>
        </is>
      </c>
      <c r="B2179" s="7" t="inlineStr">
        <is>
          <t>MOT-2175</t>
        </is>
      </c>
      <c r="C2179" s="7" t="inlineStr">
        <is>
          <t>câblage de boîtier de filtre à air</t>
        </is>
      </c>
      <c r="D2179" s="7" t="inlineStr">
        <is>
          <t>Moteur</t>
        </is>
      </c>
      <c r="E2179" s="7" t="inlineStr">
        <is>
          <t>Moteur</t>
        </is>
      </c>
      <c r="F2179" s="7" t="inlineStr">
        <is>
          <t>PIECE_VEHICULE</t>
        </is>
      </c>
      <c r="G2179" s="7" t="inlineStr">
        <is>
          <t>unité</t>
        </is>
      </c>
      <c r="H2179" s="7" t="inlineStr">
        <is>
          <t>LARGE</t>
        </is>
      </c>
      <c r="I2179" s="7" t="n">
        <v>0</v>
      </c>
      <c r="J2179" s="7" t="inlineStr">
        <is>
          <t>B-04-03</t>
        </is>
      </c>
      <c r="K2179" s="7" t="inlineStr"/>
      <c r="L2179" s="9" t="n">
        <v>0</v>
      </c>
      <c r="M2179" s="9" t="n">
        <v>0</v>
      </c>
      <c r="N2179" s="9" t="n">
        <v>18</v>
      </c>
      <c r="O2179" s="7" t="inlineStr">
        <is>
          <t>YZK</t>
        </is>
      </c>
      <c r="P2179" s="7" t="inlineStr">
        <is>
          <t>CRITIQUE</t>
        </is>
      </c>
      <c r="Q2179" s="7" t="inlineStr">
        <is>
          <t>WHAP</t>
        </is>
      </c>
      <c r="R2179" s="7" t="inlineStr">
        <is>
          <t>OUI</t>
        </is>
      </c>
      <c r="S2179" s="7" t="inlineStr">
        <is>
          <t>31/08/2026 02:59</t>
        </is>
      </c>
    </row>
    <row r="2180">
      <c r="A2180" s="8" t="inlineStr">
        <is>
          <t>WHAP-2176</t>
        </is>
      </c>
      <c r="B2180" s="8" t="inlineStr">
        <is>
          <t>MOT-2176</t>
        </is>
      </c>
      <c r="C2180" s="8" t="inlineStr">
        <is>
          <t>connecteur de boîtier de filtre à air</t>
        </is>
      </c>
      <c r="D2180" s="8" t="inlineStr">
        <is>
          <t>Moteur</t>
        </is>
      </c>
      <c r="E2180" s="8" t="inlineStr">
        <is>
          <t>Moteur</t>
        </is>
      </c>
      <c r="F2180" s="8" t="inlineStr">
        <is>
          <t>PIECE_VEHICULE</t>
        </is>
      </c>
      <c r="G2180" s="8" t="inlineStr">
        <is>
          <t>unité</t>
        </is>
      </c>
      <c r="H2180" s="8" t="inlineStr">
        <is>
          <t>LARGE</t>
        </is>
      </c>
      <c r="I2180" s="8" t="n">
        <v>0</v>
      </c>
      <c r="J2180" s="8" t="inlineStr">
        <is>
          <t>C-04-01</t>
        </is>
      </c>
      <c r="K2180" s="8" t="inlineStr"/>
      <c r="L2180" s="10" t="n">
        <v>0</v>
      </c>
      <c r="M2180" s="10" t="n">
        <v>0</v>
      </c>
      <c r="N2180" s="10" t="n">
        <v>13</v>
      </c>
      <c r="O2180" s="8" t="inlineStr">
        <is>
          <t>BOS</t>
        </is>
      </c>
      <c r="P2180" s="8" t="inlineStr">
        <is>
          <t>CRITIQUE</t>
        </is>
      </c>
      <c r="Q2180" s="8" t="inlineStr">
        <is>
          <t>WHAP</t>
        </is>
      </c>
      <c r="R2180" s="8" t="inlineStr">
        <is>
          <t>OUI</t>
        </is>
      </c>
      <c r="S2180" s="8" t="inlineStr">
        <is>
          <t>31/08/2026 02:59</t>
        </is>
      </c>
    </row>
    <row r="2181">
      <c r="A2181" s="7" t="inlineStr">
        <is>
          <t>WHAP-2177</t>
        </is>
      </c>
      <c r="B2181" s="7" t="inlineStr">
        <is>
          <t>MOT-2177</t>
        </is>
      </c>
      <c r="C2181" s="7" t="inlineStr">
        <is>
          <t>joint de boîtier de filtre à air</t>
        </is>
      </c>
      <c r="D2181" s="7" t="inlineStr">
        <is>
          <t>Moteur</t>
        </is>
      </c>
      <c r="E2181" s="7" t="inlineStr">
        <is>
          <t>Moteur</t>
        </is>
      </c>
      <c r="F2181" s="7" t="inlineStr">
        <is>
          <t>PIECE_VEHICULE</t>
        </is>
      </c>
      <c r="G2181" s="7" t="inlineStr">
        <is>
          <t>unité</t>
        </is>
      </c>
      <c r="H2181" s="7" t="inlineStr">
        <is>
          <t>LARGE</t>
        </is>
      </c>
      <c r="I2181" s="7" t="n">
        <v>0</v>
      </c>
      <c r="J2181" s="7" t="inlineStr">
        <is>
          <t>A-01-03</t>
        </is>
      </c>
      <c r="K2181" s="7" t="inlineStr"/>
      <c r="L2181" s="9" t="n">
        <v>0</v>
      </c>
      <c r="M2181" s="9" t="n">
        <v>0</v>
      </c>
      <c r="N2181" s="9" t="n">
        <v>16</v>
      </c>
      <c r="O2181" s="7" t="inlineStr">
        <is>
          <t>HEL</t>
        </is>
      </c>
      <c r="P2181" s="7" t="inlineStr">
        <is>
          <t>CRITIQUE</t>
        </is>
      </c>
      <c r="Q2181" s="7" t="inlineStr">
        <is>
          <t>WHAP</t>
        </is>
      </c>
      <c r="R2181" s="7" t="inlineStr">
        <is>
          <t>OUI</t>
        </is>
      </c>
      <c r="S2181" s="7" t="inlineStr">
        <is>
          <t>31/08/2026 02:59</t>
        </is>
      </c>
    </row>
    <row r="2182">
      <c r="A2182" s="8" t="inlineStr">
        <is>
          <t>WHAP-2178</t>
        </is>
      </c>
      <c r="B2182" s="8" t="inlineStr">
        <is>
          <t>MOT-2178</t>
        </is>
      </c>
      <c r="C2182" s="8" t="inlineStr">
        <is>
          <t>fixation de boîtier de filtre à air</t>
        </is>
      </c>
      <c r="D2182" s="8" t="inlineStr">
        <is>
          <t>Moteur</t>
        </is>
      </c>
      <c r="E2182" s="8" t="inlineStr">
        <is>
          <t>Moteur</t>
        </is>
      </c>
      <c r="F2182" s="8" t="inlineStr">
        <is>
          <t>PIECE_VEHICULE</t>
        </is>
      </c>
      <c r="G2182" s="8" t="inlineStr">
        <is>
          <t>unité</t>
        </is>
      </c>
      <c r="H2182" s="8" t="inlineStr">
        <is>
          <t>LARGE</t>
        </is>
      </c>
      <c r="I2182" s="8" t="n">
        <v>0</v>
      </c>
      <c r="J2182" s="8" t="inlineStr">
        <is>
          <t>C-03-03</t>
        </is>
      </c>
      <c r="K2182" s="8" t="inlineStr"/>
      <c r="L2182" s="10" t="n">
        <v>0</v>
      </c>
      <c r="M2182" s="10" t="n">
        <v>0</v>
      </c>
      <c r="N2182" s="10" t="n">
        <v>12</v>
      </c>
      <c r="O2182" s="8" t="inlineStr">
        <is>
          <t>SUM</t>
        </is>
      </c>
      <c r="P2182" s="8" t="inlineStr">
        <is>
          <t>CRITIQUE</t>
        </is>
      </c>
      <c r="Q2182" s="8" t="inlineStr">
        <is>
          <t>WHAP</t>
        </is>
      </c>
      <c r="R2182" s="8" t="inlineStr">
        <is>
          <t>OUI</t>
        </is>
      </c>
      <c r="S2182" s="8" t="inlineStr">
        <is>
          <t>31/08/2026 02:59</t>
        </is>
      </c>
    </row>
    <row r="2183">
      <c r="A2183" s="7" t="inlineStr">
        <is>
          <t>WHAP-2179</t>
        </is>
      </c>
      <c r="B2183" s="7" t="inlineStr">
        <is>
          <t>MOT-2179</t>
        </is>
      </c>
      <c r="C2183" s="7" t="inlineStr">
        <is>
          <t>protection de boîtier de filtre à air</t>
        </is>
      </c>
      <c r="D2183" s="7" t="inlineStr">
        <is>
          <t>Moteur</t>
        </is>
      </c>
      <c r="E2183" s="7" t="inlineStr">
        <is>
          <t>Moteur</t>
        </is>
      </c>
      <c r="F2183" s="7" t="inlineStr">
        <is>
          <t>PIECE_VEHICULE</t>
        </is>
      </c>
      <c r="G2183" s="7" t="inlineStr">
        <is>
          <t>unité</t>
        </is>
      </c>
      <c r="H2183" s="7" t="inlineStr">
        <is>
          <t>LARGE</t>
        </is>
      </c>
      <c r="I2183" s="7" t="n">
        <v>0</v>
      </c>
      <c r="J2183" s="7" t="inlineStr">
        <is>
          <t>A-05-03</t>
        </is>
      </c>
      <c r="K2183" s="7" t="inlineStr"/>
      <c r="L2183" s="9" t="n">
        <v>0</v>
      </c>
      <c r="M2183" s="9" t="n">
        <v>0</v>
      </c>
      <c r="N2183" s="9" t="n">
        <v>12</v>
      </c>
      <c r="O2183" s="7" t="inlineStr">
        <is>
          <t>HEL</t>
        </is>
      </c>
      <c r="P2183" s="7" t="inlineStr">
        <is>
          <t>CRITIQUE</t>
        </is>
      </c>
      <c r="Q2183" s="7" t="inlineStr">
        <is>
          <t>WHAP</t>
        </is>
      </c>
      <c r="R2183" s="7" t="inlineStr">
        <is>
          <t>OUI</t>
        </is>
      </c>
      <c r="S2183" s="7" t="inlineStr">
        <is>
          <t>31/08/2026 02:59</t>
        </is>
      </c>
    </row>
    <row r="2184">
      <c r="A2184" s="8" t="inlineStr">
        <is>
          <t>WHAP-2180</t>
        </is>
      </c>
      <c r="B2184" s="8" t="inlineStr">
        <is>
          <t>MOT-2180</t>
        </is>
      </c>
      <c r="C2184" s="8" t="inlineStr">
        <is>
          <t>capteur de boîtier de filtre à air</t>
        </is>
      </c>
      <c r="D2184" s="8" t="inlineStr">
        <is>
          <t>Moteur</t>
        </is>
      </c>
      <c r="E2184" s="8" t="inlineStr">
        <is>
          <t>Moteur</t>
        </is>
      </c>
      <c r="F2184" s="8" t="inlineStr">
        <is>
          <t>PIECE_VEHICULE</t>
        </is>
      </c>
      <c r="G2184" s="8" t="inlineStr">
        <is>
          <t>unité</t>
        </is>
      </c>
      <c r="H2184" s="8" t="inlineStr">
        <is>
          <t>LARGE</t>
        </is>
      </c>
      <c r="I2184" s="8" t="n">
        <v>0</v>
      </c>
      <c r="J2184" s="8" t="inlineStr">
        <is>
          <t>F-06-04</t>
        </is>
      </c>
      <c r="K2184" s="8" t="inlineStr"/>
      <c r="L2184" s="10" t="n">
        <v>0</v>
      </c>
      <c r="M2184" s="10" t="n">
        <v>0</v>
      </c>
      <c r="N2184" s="10" t="n">
        <v>10</v>
      </c>
      <c r="O2184" s="8" t="inlineStr">
        <is>
          <t>FAU</t>
        </is>
      </c>
      <c r="P2184" s="8" t="inlineStr">
        <is>
          <t>CRITIQUE</t>
        </is>
      </c>
      <c r="Q2184" s="8" t="inlineStr">
        <is>
          <t>WHAP</t>
        </is>
      </c>
      <c r="R2184" s="8" t="inlineStr">
        <is>
          <t>OUI</t>
        </is>
      </c>
      <c r="S2184" s="8" t="inlineStr">
        <is>
          <t>31/08/2026 02:59</t>
        </is>
      </c>
    </row>
    <row r="2185">
      <c r="A2185" s="7" t="inlineStr">
        <is>
          <t>WHAP-2181</t>
        </is>
      </c>
      <c r="B2185" s="7" t="inlineStr">
        <is>
          <t>MOT-2181</t>
        </is>
      </c>
      <c r="C2185" s="7" t="inlineStr">
        <is>
          <t>actionneur de boîtier de filtre à air</t>
        </is>
      </c>
      <c r="D2185" s="7" t="inlineStr">
        <is>
          <t>Moteur</t>
        </is>
      </c>
      <c r="E2185" s="7" t="inlineStr">
        <is>
          <t>Moteur</t>
        </is>
      </c>
      <c r="F2185" s="7" t="inlineStr">
        <is>
          <t>PIECE_VEHICULE</t>
        </is>
      </c>
      <c r="G2185" s="7" t="inlineStr">
        <is>
          <t>unité</t>
        </is>
      </c>
      <c r="H2185" s="7" t="inlineStr">
        <is>
          <t>LARGE</t>
        </is>
      </c>
      <c r="I2185" s="7" t="n">
        <v>0</v>
      </c>
      <c r="J2185" s="7" t="inlineStr">
        <is>
          <t>D-06-02</t>
        </is>
      </c>
      <c r="K2185" s="7" t="inlineStr"/>
      <c r="L2185" s="9" t="n">
        <v>0</v>
      </c>
      <c r="M2185" s="9" t="n">
        <v>0</v>
      </c>
      <c r="N2185" s="9" t="n">
        <v>11</v>
      </c>
      <c r="O2185" s="7" t="inlineStr">
        <is>
          <t>FAU</t>
        </is>
      </c>
      <c r="P2185" s="7" t="inlineStr">
        <is>
          <t>CRITIQUE</t>
        </is>
      </c>
      <c r="Q2185" s="7" t="inlineStr">
        <is>
          <t>WHAP</t>
        </is>
      </c>
      <c r="R2185" s="7" t="inlineStr">
        <is>
          <t>OUI</t>
        </is>
      </c>
      <c r="S2185" s="7" t="inlineStr">
        <is>
          <t>31/08/2026 02:59</t>
        </is>
      </c>
    </row>
    <row r="2186">
      <c r="A2186" s="8" t="inlineStr">
        <is>
          <t>WHAP-2182</t>
        </is>
      </c>
      <c r="B2186" s="8" t="inlineStr">
        <is>
          <t>MOT-2182</t>
        </is>
      </c>
      <c r="C2186" s="8" t="inlineStr">
        <is>
          <t>raccord de boîtier de filtre à air</t>
        </is>
      </c>
      <c r="D2186" s="8" t="inlineStr">
        <is>
          <t>Moteur</t>
        </is>
      </c>
      <c r="E2186" s="8" t="inlineStr">
        <is>
          <t>Moteur</t>
        </is>
      </c>
      <c r="F2186" s="8" t="inlineStr">
        <is>
          <t>PIECE_VEHICULE</t>
        </is>
      </c>
      <c r="G2186" s="8" t="inlineStr">
        <is>
          <t>unité</t>
        </is>
      </c>
      <c r="H2186" s="8" t="inlineStr">
        <is>
          <t>LARGE</t>
        </is>
      </c>
      <c r="I2186" s="8" t="n">
        <v>0</v>
      </c>
      <c r="J2186" s="8" t="inlineStr">
        <is>
          <t>A-02-02</t>
        </is>
      </c>
      <c r="K2186" s="8" t="inlineStr"/>
      <c r="L2186" s="10" t="n">
        <v>0</v>
      </c>
      <c r="M2186" s="10" t="n">
        <v>0</v>
      </c>
      <c r="N2186" s="10" t="n">
        <v>12</v>
      </c>
      <c r="O2186" s="8" t="inlineStr">
        <is>
          <t>DEL</t>
        </is>
      </c>
      <c r="P2186" s="8" t="inlineStr">
        <is>
          <t>CRITIQUE</t>
        </is>
      </c>
      <c r="Q2186" s="8" t="inlineStr">
        <is>
          <t>WHAP</t>
        </is>
      </c>
      <c r="R2186" s="8" t="inlineStr">
        <is>
          <t>OUI</t>
        </is>
      </c>
      <c r="S2186" s="8" t="inlineStr">
        <is>
          <t>31/08/2026 02:59</t>
        </is>
      </c>
    </row>
    <row r="2187">
      <c r="A2187" s="7" t="inlineStr">
        <is>
          <t>WHAP-2183</t>
        </is>
      </c>
      <c r="B2187" s="7" t="inlineStr">
        <is>
          <t>MOT-2183</t>
        </is>
      </c>
      <c r="C2187" s="7" t="inlineStr">
        <is>
          <t>plaque de boîtier de filtre à air</t>
        </is>
      </c>
      <c r="D2187" s="7" t="inlineStr">
        <is>
          <t>Moteur</t>
        </is>
      </c>
      <c r="E2187" s="7" t="inlineStr">
        <is>
          <t>Moteur</t>
        </is>
      </c>
      <c r="F2187" s="7" t="inlineStr">
        <is>
          <t>PIECE_VEHICULE</t>
        </is>
      </c>
      <c r="G2187" s="7" t="inlineStr">
        <is>
          <t>unité</t>
        </is>
      </c>
      <c r="H2187" s="7" t="inlineStr">
        <is>
          <t>LARGE</t>
        </is>
      </c>
      <c r="I2187" s="7" t="n">
        <v>0</v>
      </c>
      <c r="J2187" s="7" t="inlineStr">
        <is>
          <t>E-05-01</t>
        </is>
      </c>
      <c r="K2187" s="7" t="inlineStr"/>
      <c r="L2187" s="9" t="n">
        <v>0</v>
      </c>
      <c r="M2187" s="9" t="n">
        <v>0</v>
      </c>
      <c r="N2187" s="9" t="n">
        <v>17</v>
      </c>
      <c r="O2187" s="7" t="inlineStr">
        <is>
          <t>DEL</t>
        </is>
      </c>
      <c r="P2187" s="7" t="inlineStr">
        <is>
          <t>CRITIQUE</t>
        </is>
      </c>
      <c r="Q2187" s="7" t="inlineStr">
        <is>
          <t>WHAP</t>
        </is>
      </c>
      <c r="R2187" s="7" t="inlineStr">
        <is>
          <t>OUI</t>
        </is>
      </c>
      <c r="S2187" s="7" t="inlineStr">
        <is>
          <t>31/08/2026 02:59</t>
        </is>
      </c>
    </row>
    <row r="2188">
      <c r="A2188" s="8" t="inlineStr">
        <is>
          <t>WHAP-2184</t>
        </is>
      </c>
      <c r="B2188" s="8" t="inlineStr">
        <is>
          <t>MOT-2184</t>
        </is>
      </c>
      <c r="C2188" s="8" t="inlineStr">
        <is>
          <t>couvercle de boîtier de filtre à air</t>
        </is>
      </c>
      <c r="D2188" s="8" t="inlineStr">
        <is>
          <t>Moteur</t>
        </is>
      </c>
      <c r="E2188" s="8" t="inlineStr">
        <is>
          <t>Moteur</t>
        </is>
      </c>
      <c r="F2188" s="8" t="inlineStr">
        <is>
          <t>PIECE_VEHICULE</t>
        </is>
      </c>
      <c r="G2188" s="8" t="inlineStr">
        <is>
          <t>unité</t>
        </is>
      </c>
      <c r="H2188" s="8" t="inlineStr">
        <is>
          <t>LARGE</t>
        </is>
      </c>
      <c r="I2188" s="8" t="n">
        <v>0</v>
      </c>
      <c r="J2188" s="8" t="inlineStr">
        <is>
          <t>C-04-02</t>
        </is>
      </c>
      <c r="K2188" s="8" t="inlineStr"/>
      <c r="L2188" s="10" t="n">
        <v>0</v>
      </c>
      <c r="M2188" s="10" t="n">
        <v>0</v>
      </c>
      <c r="N2188" s="10" t="n">
        <v>20</v>
      </c>
      <c r="O2188" s="8" t="inlineStr">
        <is>
          <t>DEL</t>
        </is>
      </c>
      <c r="P2188" s="8" t="inlineStr">
        <is>
          <t>CRITIQUE</t>
        </is>
      </c>
      <c r="Q2188" s="8" t="inlineStr">
        <is>
          <t>WHAP</t>
        </is>
      </c>
      <c r="R2188" s="8" t="inlineStr">
        <is>
          <t>OUI</t>
        </is>
      </c>
      <c r="S2188" s="8" t="inlineStr">
        <is>
          <t>31/08/2026 02:59</t>
        </is>
      </c>
    </row>
    <row r="2189">
      <c r="A2189" s="7" t="inlineStr">
        <is>
          <t>WHAP-2185</t>
        </is>
      </c>
      <c r="B2189" s="7" t="inlineStr">
        <is>
          <t>MOT-2185</t>
        </is>
      </c>
      <c r="C2189" s="7" t="inlineStr">
        <is>
          <t>bague de boîtier de filtre à air</t>
        </is>
      </c>
      <c r="D2189" s="7" t="inlineStr">
        <is>
          <t>Moteur</t>
        </is>
      </c>
      <c r="E2189" s="7" t="inlineStr">
        <is>
          <t>Moteur</t>
        </is>
      </c>
      <c r="F2189" s="7" t="inlineStr">
        <is>
          <t>PIECE_VEHICULE</t>
        </is>
      </c>
      <c r="G2189" s="7" t="inlineStr">
        <is>
          <t>unité</t>
        </is>
      </c>
      <c r="H2189" s="7" t="inlineStr">
        <is>
          <t>LARGE</t>
        </is>
      </c>
      <c r="I2189" s="7" t="n">
        <v>0</v>
      </c>
      <c r="J2189" s="7" t="inlineStr">
        <is>
          <t>E-03-03</t>
        </is>
      </c>
      <c r="K2189" s="7" t="inlineStr"/>
      <c r="L2189" s="9" t="n">
        <v>0</v>
      </c>
      <c r="M2189" s="9" t="n">
        <v>0</v>
      </c>
      <c r="N2189" s="9" t="n">
        <v>13</v>
      </c>
      <c r="O2189" s="7" t="inlineStr">
        <is>
          <t>MAG</t>
        </is>
      </c>
      <c r="P2189" s="7" t="inlineStr">
        <is>
          <t>CRITIQUE</t>
        </is>
      </c>
      <c r="Q2189" s="7" t="inlineStr">
        <is>
          <t>WHAP</t>
        </is>
      </c>
      <c r="R2189" s="7" t="inlineStr">
        <is>
          <t>OUI</t>
        </is>
      </c>
      <c r="S2189" s="7" t="inlineStr">
        <is>
          <t>31/08/2026 02:59</t>
        </is>
      </c>
    </row>
    <row r="2190">
      <c r="A2190" s="8" t="inlineStr">
        <is>
          <t>WHAP-2186</t>
        </is>
      </c>
      <c r="B2190" s="8" t="inlineStr">
        <is>
          <t>MOT-2186</t>
        </is>
      </c>
      <c r="C2190" s="8" t="inlineStr">
        <is>
          <t>entretoise de boîtier de filtre à air</t>
        </is>
      </c>
      <c r="D2190" s="8" t="inlineStr">
        <is>
          <t>Moteur</t>
        </is>
      </c>
      <c r="E2190" s="8" t="inlineStr">
        <is>
          <t>Moteur</t>
        </is>
      </c>
      <c r="F2190" s="8" t="inlineStr">
        <is>
          <t>PIECE_VEHICULE</t>
        </is>
      </c>
      <c r="G2190" s="8" t="inlineStr">
        <is>
          <t>unité</t>
        </is>
      </c>
      <c r="H2190" s="8" t="inlineStr">
        <is>
          <t>LARGE</t>
        </is>
      </c>
      <c r="I2190" s="8" t="n">
        <v>0</v>
      </c>
      <c r="J2190" s="8" t="inlineStr">
        <is>
          <t>E-06-01</t>
        </is>
      </c>
      <c r="K2190" s="8" t="inlineStr"/>
      <c r="L2190" s="10" t="n">
        <v>0</v>
      </c>
      <c r="M2190" s="10" t="n">
        <v>0</v>
      </c>
      <c r="N2190" s="10" t="n">
        <v>16</v>
      </c>
      <c r="O2190" s="8" t="inlineStr">
        <is>
          <t>DEL</t>
        </is>
      </c>
      <c r="P2190" s="8" t="inlineStr">
        <is>
          <t>CRITIQUE</t>
        </is>
      </c>
      <c r="Q2190" s="8" t="inlineStr">
        <is>
          <t>WHAP</t>
        </is>
      </c>
      <c r="R2190" s="8" t="inlineStr">
        <is>
          <t>OUI</t>
        </is>
      </c>
      <c r="S2190" s="8" t="inlineStr">
        <is>
          <t>31/08/2026 02:59</t>
        </is>
      </c>
    </row>
    <row r="2191">
      <c r="A2191" s="7" t="inlineStr">
        <is>
          <t>WHAP-2187</t>
        </is>
      </c>
      <c r="B2191" s="7" t="inlineStr">
        <is>
          <t>MOT-2187</t>
        </is>
      </c>
      <c r="C2191" s="7" t="inlineStr">
        <is>
          <t>axe de boîtier de filtre à air</t>
        </is>
      </c>
      <c r="D2191" s="7" t="inlineStr">
        <is>
          <t>Moteur</t>
        </is>
      </c>
      <c r="E2191" s="7" t="inlineStr">
        <is>
          <t>Moteur</t>
        </is>
      </c>
      <c r="F2191" s="7" t="inlineStr">
        <is>
          <t>PIECE_VEHICULE</t>
        </is>
      </c>
      <c r="G2191" s="7" t="inlineStr">
        <is>
          <t>unité</t>
        </is>
      </c>
      <c r="H2191" s="7" t="inlineStr">
        <is>
          <t>LARGE</t>
        </is>
      </c>
      <c r="I2191" s="7" t="n">
        <v>0</v>
      </c>
      <c r="J2191" s="7" t="inlineStr">
        <is>
          <t>D-02-02</t>
        </is>
      </c>
      <c r="K2191" s="7" t="inlineStr"/>
      <c r="L2191" s="9" t="n">
        <v>0</v>
      </c>
      <c r="M2191" s="9" t="n">
        <v>0</v>
      </c>
      <c r="N2191" s="9" t="n">
        <v>19</v>
      </c>
      <c r="O2191" s="7" t="inlineStr">
        <is>
          <t>CTL</t>
        </is>
      </c>
      <c r="P2191" s="7" t="inlineStr">
        <is>
          <t>CRITIQUE</t>
        </is>
      </c>
      <c r="Q2191" s="7" t="inlineStr">
        <is>
          <t>WHAP</t>
        </is>
      </c>
      <c r="R2191" s="7" t="inlineStr">
        <is>
          <t>OUI</t>
        </is>
      </c>
      <c r="S2191" s="7" t="inlineStr">
        <is>
          <t>31/08/2026 02:59</t>
        </is>
      </c>
    </row>
    <row r="2192">
      <c r="A2192" s="8" t="inlineStr">
        <is>
          <t>WHAP-2188</t>
        </is>
      </c>
      <c r="B2192" s="8" t="inlineStr">
        <is>
          <t>MOT-2188</t>
        </is>
      </c>
      <c r="C2192" s="8" t="inlineStr">
        <is>
          <t>poulie de boîtier de filtre à air</t>
        </is>
      </c>
      <c r="D2192" s="8" t="inlineStr">
        <is>
          <t>Moteur</t>
        </is>
      </c>
      <c r="E2192" s="8" t="inlineStr">
        <is>
          <t>Moteur</t>
        </is>
      </c>
      <c r="F2192" s="8" t="inlineStr">
        <is>
          <t>PIECE_VEHICULE</t>
        </is>
      </c>
      <c r="G2192" s="8" t="inlineStr">
        <is>
          <t>unité</t>
        </is>
      </c>
      <c r="H2192" s="8" t="inlineStr">
        <is>
          <t>LARGE</t>
        </is>
      </c>
      <c r="I2192" s="8" t="n">
        <v>0</v>
      </c>
      <c r="J2192" s="8" t="inlineStr">
        <is>
          <t>A-04-01</t>
        </is>
      </c>
      <c r="K2192" s="8" t="inlineStr"/>
      <c r="L2192" s="10" t="n">
        <v>0</v>
      </c>
      <c r="M2192" s="10" t="n">
        <v>0</v>
      </c>
      <c r="N2192" s="10" t="n">
        <v>14</v>
      </c>
      <c r="O2192" s="8" t="inlineStr">
        <is>
          <t>SUM</t>
        </is>
      </c>
      <c r="P2192" s="8" t="inlineStr">
        <is>
          <t>CRITIQUE</t>
        </is>
      </c>
      <c r="Q2192" s="8" t="inlineStr">
        <is>
          <t>WHAP</t>
        </is>
      </c>
      <c r="R2192" s="8" t="inlineStr">
        <is>
          <t>OUI</t>
        </is>
      </c>
      <c r="S2192" s="8" t="inlineStr">
        <is>
          <t>31/08/2026 02:59</t>
        </is>
      </c>
    </row>
    <row r="2193">
      <c r="A2193" s="7" t="inlineStr">
        <is>
          <t>WHAP-2189</t>
        </is>
      </c>
      <c r="B2193" s="7" t="inlineStr">
        <is>
          <t>MOT-2189</t>
        </is>
      </c>
      <c r="C2193" s="7" t="inlineStr">
        <is>
          <t>pignon de boîtier de filtre à air</t>
        </is>
      </c>
      <c r="D2193" s="7" t="inlineStr">
        <is>
          <t>Moteur</t>
        </is>
      </c>
      <c r="E2193" s="7" t="inlineStr">
        <is>
          <t>Moteur</t>
        </is>
      </c>
      <c r="F2193" s="7" t="inlineStr">
        <is>
          <t>PIECE_VEHICULE</t>
        </is>
      </c>
      <c r="G2193" s="7" t="inlineStr">
        <is>
          <t>unité</t>
        </is>
      </c>
      <c r="H2193" s="7" t="inlineStr">
        <is>
          <t>LARGE</t>
        </is>
      </c>
      <c r="I2193" s="7" t="n">
        <v>0</v>
      </c>
      <c r="J2193" s="7" t="inlineStr">
        <is>
          <t>F-03-04</t>
        </is>
      </c>
      <c r="K2193" s="7" t="inlineStr"/>
      <c r="L2193" s="9" t="n">
        <v>0</v>
      </c>
      <c r="M2193" s="9" t="n">
        <v>0</v>
      </c>
      <c r="N2193" s="9" t="n">
        <v>14</v>
      </c>
      <c r="O2193" s="7" t="inlineStr">
        <is>
          <t>YZK</t>
        </is>
      </c>
      <c r="P2193" s="7" t="inlineStr">
        <is>
          <t>CRITIQUE</t>
        </is>
      </c>
      <c r="Q2193" s="7" t="inlineStr">
        <is>
          <t>WHAP</t>
        </is>
      </c>
      <c r="R2193" s="7" t="inlineStr">
        <is>
          <t>OUI</t>
        </is>
      </c>
      <c r="S2193" s="7" t="inlineStr">
        <is>
          <t>31/08/2026 02:59</t>
        </is>
      </c>
    </row>
    <row r="2194">
      <c r="A2194" s="8" t="inlineStr">
        <is>
          <t>WHAP-2190</t>
        </is>
      </c>
      <c r="B2194" s="8" t="inlineStr">
        <is>
          <t>MOT-2190</t>
        </is>
      </c>
      <c r="C2194" s="8" t="inlineStr">
        <is>
          <t>ensemble de turbocompresseur</t>
        </is>
      </c>
      <c r="D2194" s="8" t="inlineStr">
        <is>
          <t>Moteur</t>
        </is>
      </c>
      <c r="E2194" s="8" t="inlineStr">
        <is>
          <t>Moteur</t>
        </is>
      </c>
      <c r="F2194" s="8" t="inlineStr">
        <is>
          <t>PIECE_VEHICULE</t>
        </is>
      </c>
      <c r="G2194" s="8" t="inlineStr">
        <is>
          <t>unité</t>
        </is>
      </c>
      <c r="H2194" s="8" t="inlineStr">
        <is>
          <t>LARGE</t>
        </is>
      </c>
      <c r="I2194" s="8" t="n">
        <v>0</v>
      </c>
      <c r="J2194" s="8" t="inlineStr">
        <is>
          <t>A-01-03</t>
        </is>
      </c>
      <c r="K2194" s="8" t="inlineStr"/>
      <c r="L2194" s="10" t="n">
        <v>0</v>
      </c>
      <c r="M2194" s="10" t="n">
        <v>0</v>
      </c>
      <c r="N2194" s="10" t="n">
        <v>17</v>
      </c>
      <c r="O2194" s="8" t="inlineStr">
        <is>
          <t>HEL</t>
        </is>
      </c>
      <c r="P2194" s="8" t="inlineStr">
        <is>
          <t>CRITIQUE</t>
        </is>
      </c>
      <c r="Q2194" s="8" t="inlineStr">
        <is>
          <t>WHAP</t>
        </is>
      </c>
      <c r="R2194" s="8" t="inlineStr">
        <is>
          <t>OUI</t>
        </is>
      </c>
      <c r="S2194" s="8" t="inlineStr">
        <is>
          <t>31/08/2026 02:59</t>
        </is>
      </c>
    </row>
    <row r="2195">
      <c r="A2195" s="7" t="inlineStr">
        <is>
          <t>WHAP-2191</t>
        </is>
      </c>
      <c r="B2195" s="7" t="inlineStr">
        <is>
          <t>MOT-2191</t>
        </is>
      </c>
      <c r="C2195" s="7" t="inlineStr">
        <is>
          <t>kit de turbocompresseur</t>
        </is>
      </c>
      <c r="D2195" s="7" t="inlineStr">
        <is>
          <t>Moteur</t>
        </is>
      </c>
      <c r="E2195" s="7" t="inlineStr">
        <is>
          <t>Moteur</t>
        </is>
      </c>
      <c r="F2195" s="7" t="inlineStr">
        <is>
          <t>PIECE_VEHICULE</t>
        </is>
      </c>
      <c r="G2195" s="7" t="inlineStr">
        <is>
          <t>unité</t>
        </is>
      </c>
      <c r="H2195" s="7" t="inlineStr">
        <is>
          <t>LARGE</t>
        </is>
      </c>
      <c r="I2195" s="7" t="n">
        <v>0</v>
      </c>
      <c r="J2195" s="7" t="inlineStr">
        <is>
          <t>B-01-03</t>
        </is>
      </c>
      <c r="K2195" s="7" t="inlineStr"/>
      <c r="L2195" s="9" t="n">
        <v>0</v>
      </c>
      <c r="M2195" s="9" t="n">
        <v>0</v>
      </c>
      <c r="N2195" s="9" t="n">
        <v>13</v>
      </c>
      <c r="O2195" s="7" t="inlineStr">
        <is>
          <t>VAL</t>
        </is>
      </c>
      <c r="P2195" s="7" t="inlineStr">
        <is>
          <t>CRITIQUE</t>
        </is>
      </c>
      <c r="Q2195" s="7" t="inlineStr">
        <is>
          <t>WHAP</t>
        </is>
      </c>
      <c r="R2195" s="7" t="inlineStr">
        <is>
          <t>OUI</t>
        </is>
      </c>
      <c r="S2195" s="7" t="inlineStr">
        <is>
          <t>31/08/2026 02:59</t>
        </is>
      </c>
    </row>
    <row r="2196">
      <c r="A2196" s="8" t="inlineStr">
        <is>
          <t>WHAP-2192</t>
        </is>
      </c>
      <c r="B2196" s="8" t="inlineStr">
        <is>
          <t>MOT-2192</t>
        </is>
      </c>
      <c r="C2196" s="8" t="inlineStr">
        <is>
          <t>support de turbocompresseur</t>
        </is>
      </c>
      <c r="D2196" s="8" t="inlineStr">
        <is>
          <t>Moteur</t>
        </is>
      </c>
      <c r="E2196" s="8" t="inlineStr">
        <is>
          <t>Moteur</t>
        </is>
      </c>
      <c r="F2196" s="8" t="inlineStr">
        <is>
          <t>PIECE_VEHICULE</t>
        </is>
      </c>
      <c r="G2196" s="8" t="inlineStr">
        <is>
          <t>unité</t>
        </is>
      </c>
      <c r="H2196" s="8" t="inlineStr">
        <is>
          <t>LARGE</t>
        </is>
      </c>
      <c r="I2196" s="8" t="n">
        <v>0</v>
      </c>
      <c r="J2196" s="8" t="inlineStr">
        <is>
          <t>D-03-02</t>
        </is>
      </c>
      <c r="K2196" s="8" t="inlineStr"/>
      <c r="L2196" s="10" t="n">
        <v>0</v>
      </c>
      <c r="M2196" s="10" t="n">
        <v>0</v>
      </c>
      <c r="N2196" s="10" t="n">
        <v>14</v>
      </c>
      <c r="O2196" s="8" t="inlineStr">
        <is>
          <t>SKF</t>
        </is>
      </c>
      <c r="P2196" s="8" t="inlineStr">
        <is>
          <t>CRITIQUE</t>
        </is>
      </c>
      <c r="Q2196" s="8" t="inlineStr">
        <is>
          <t>WHAP</t>
        </is>
      </c>
      <c r="R2196" s="8" t="inlineStr">
        <is>
          <t>OUI</t>
        </is>
      </c>
      <c r="S2196" s="8" t="inlineStr">
        <is>
          <t>31/08/2026 02:59</t>
        </is>
      </c>
    </row>
    <row r="2197">
      <c r="A2197" s="7" t="inlineStr">
        <is>
          <t>WHAP-2193</t>
        </is>
      </c>
      <c r="B2197" s="7" t="inlineStr">
        <is>
          <t>MOT-2193</t>
        </is>
      </c>
      <c r="C2197" s="7" t="inlineStr">
        <is>
          <t>boîtier de turbocompresseur</t>
        </is>
      </c>
      <c r="D2197" s="7" t="inlineStr">
        <is>
          <t>Moteur</t>
        </is>
      </c>
      <c r="E2197" s="7" t="inlineStr">
        <is>
          <t>Moteur</t>
        </is>
      </c>
      <c r="F2197" s="7" t="inlineStr">
        <is>
          <t>PIECE_VEHICULE</t>
        </is>
      </c>
      <c r="G2197" s="7" t="inlineStr">
        <is>
          <t>unité</t>
        </is>
      </c>
      <c r="H2197" s="7" t="inlineStr">
        <is>
          <t>LARGE</t>
        </is>
      </c>
      <c r="I2197" s="7" t="n">
        <v>0</v>
      </c>
      <c r="J2197" s="7" t="inlineStr">
        <is>
          <t>E-05-01</t>
        </is>
      </c>
      <c r="K2197" s="7" t="inlineStr"/>
      <c r="L2197" s="9" t="n">
        <v>0</v>
      </c>
      <c r="M2197" s="9" t="n">
        <v>0</v>
      </c>
      <c r="N2197" s="9" t="n">
        <v>14</v>
      </c>
      <c r="O2197" s="7" t="inlineStr">
        <is>
          <t>MAG</t>
        </is>
      </c>
      <c r="P2197" s="7" t="inlineStr">
        <is>
          <t>CRITIQUE</t>
        </is>
      </c>
      <c r="Q2197" s="7" t="inlineStr">
        <is>
          <t>WHAP</t>
        </is>
      </c>
      <c r="R2197" s="7" t="inlineStr">
        <is>
          <t>OUI</t>
        </is>
      </c>
      <c r="S2197" s="7" t="inlineStr">
        <is>
          <t>31/08/2026 02:59</t>
        </is>
      </c>
    </row>
    <row r="2198">
      <c r="A2198" s="8" t="inlineStr">
        <is>
          <t>WHAP-2194</t>
        </is>
      </c>
      <c r="B2198" s="8" t="inlineStr">
        <is>
          <t>MOT-2194</t>
        </is>
      </c>
      <c r="C2198" s="8" t="inlineStr">
        <is>
          <t>module de turbocompresseur</t>
        </is>
      </c>
      <c r="D2198" s="8" t="inlineStr">
        <is>
          <t>Moteur</t>
        </is>
      </c>
      <c r="E2198" s="8" t="inlineStr">
        <is>
          <t>Moteur</t>
        </is>
      </c>
      <c r="F2198" s="8" t="inlineStr">
        <is>
          <t>PIECE_VEHICULE</t>
        </is>
      </c>
      <c r="G2198" s="8" t="inlineStr">
        <is>
          <t>unité</t>
        </is>
      </c>
      <c r="H2198" s="8" t="inlineStr">
        <is>
          <t>LARGE</t>
        </is>
      </c>
      <c r="I2198" s="8" t="n">
        <v>0</v>
      </c>
      <c r="J2198" s="8" t="inlineStr">
        <is>
          <t>A-04-04</t>
        </is>
      </c>
      <c r="K2198" s="8" t="inlineStr"/>
      <c r="L2198" s="10" t="n">
        <v>0</v>
      </c>
      <c r="M2198" s="10" t="n">
        <v>0</v>
      </c>
      <c r="N2198" s="10" t="n">
        <v>17</v>
      </c>
      <c r="O2198" s="8" t="inlineStr">
        <is>
          <t>SUM</t>
        </is>
      </c>
      <c r="P2198" s="8" t="inlineStr">
        <is>
          <t>CRITIQUE</t>
        </is>
      </c>
      <c r="Q2198" s="8" t="inlineStr">
        <is>
          <t>WHAP</t>
        </is>
      </c>
      <c r="R2198" s="8" t="inlineStr">
        <is>
          <t>OUI</t>
        </is>
      </c>
      <c r="S2198" s="8" t="inlineStr">
        <is>
          <t>31/08/2026 02:59</t>
        </is>
      </c>
    </row>
    <row r="2199">
      <c r="A2199" s="7" t="inlineStr">
        <is>
          <t>WHAP-2195</t>
        </is>
      </c>
      <c r="B2199" s="7" t="inlineStr">
        <is>
          <t>MOT-2195</t>
        </is>
      </c>
      <c r="C2199" s="7" t="inlineStr">
        <is>
          <t>câblage de turbocompresseur</t>
        </is>
      </c>
      <c r="D2199" s="7" t="inlineStr">
        <is>
          <t>Moteur</t>
        </is>
      </c>
      <c r="E2199" s="7" t="inlineStr">
        <is>
          <t>Moteur</t>
        </is>
      </c>
      <c r="F2199" s="7" t="inlineStr">
        <is>
          <t>PIECE_VEHICULE</t>
        </is>
      </c>
      <c r="G2199" s="7" t="inlineStr">
        <is>
          <t>unité</t>
        </is>
      </c>
      <c r="H2199" s="7" t="inlineStr">
        <is>
          <t>LARGE</t>
        </is>
      </c>
      <c r="I2199" s="7" t="n">
        <v>0</v>
      </c>
      <c r="J2199" s="7" t="inlineStr">
        <is>
          <t>C-04-04</t>
        </is>
      </c>
      <c r="K2199" s="7" t="inlineStr"/>
      <c r="L2199" s="9" t="n">
        <v>0</v>
      </c>
      <c r="M2199" s="9" t="n">
        <v>0</v>
      </c>
      <c r="N2199" s="9" t="n">
        <v>14</v>
      </c>
      <c r="O2199" s="7" t="inlineStr">
        <is>
          <t>MAG</t>
        </is>
      </c>
      <c r="P2199" s="7" t="inlineStr">
        <is>
          <t>CRITIQUE</t>
        </is>
      </c>
      <c r="Q2199" s="7" t="inlineStr">
        <is>
          <t>WHAP</t>
        </is>
      </c>
      <c r="R2199" s="7" t="inlineStr">
        <is>
          <t>OUI</t>
        </is>
      </c>
      <c r="S2199" s="7" t="inlineStr">
        <is>
          <t>31/08/2026 02:59</t>
        </is>
      </c>
    </row>
    <row r="2200">
      <c r="A2200" s="8" t="inlineStr">
        <is>
          <t>WHAP-2196</t>
        </is>
      </c>
      <c r="B2200" s="8" t="inlineStr">
        <is>
          <t>MOT-2196</t>
        </is>
      </c>
      <c r="C2200" s="8" t="inlineStr">
        <is>
          <t>connecteur de turbocompresseur</t>
        </is>
      </c>
      <c r="D2200" s="8" t="inlineStr">
        <is>
          <t>Moteur</t>
        </is>
      </c>
      <c r="E2200" s="8" t="inlineStr">
        <is>
          <t>Moteur</t>
        </is>
      </c>
      <c r="F2200" s="8" t="inlineStr">
        <is>
          <t>PIECE_VEHICULE</t>
        </is>
      </c>
      <c r="G2200" s="8" t="inlineStr">
        <is>
          <t>unité</t>
        </is>
      </c>
      <c r="H2200" s="8" t="inlineStr">
        <is>
          <t>LARGE</t>
        </is>
      </c>
      <c r="I2200" s="8" t="n">
        <v>0</v>
      </c>
      <c r="J2200" s="8" t="inlineStr">
        <is>
          <t>E-05-03</t>
        </is>
      </c>
      <c r="K2200" s="8" t="inlineStr"/>
      <c r="L2200" s="10" t="n">
        <v>0</v>
      </c>
      <c r="M2200" s="10" t="n">
        <v>0</v>
      </c>
      <c r="N2200" s="10" t="n">
        <v>17</v>
      </c>
      <c r="O2200" s="8" t="inlineStr">
        <is>
          <t>MAG</t>
        </is>
      </c>
      <c r="P2200" s="8" t="inlineStr">
        <is>
          <t>CRITIQUE</t>
        </is>
      </c>
      <c r="Q2200" s="8" t="inlineStr">
        <is>
          <t>WHAP</t>
        </is>
      </c>
      <c r="R2200" s="8" t="inlineStr">
        <is>
          <t>OUI</t>
        </is>
      </c>
      <c r="S2200" s="8" t="inlineStr">
        <is>
          <t>31/08/2026 02:59</t>
        </is>
      </c>
    </row>
    <row r="2201">
      <c r="A2201" s="7" t="inlineStr">
        <is>
          <t>WHAP-2197</t>
        </is>
      </c>
      <c r="B2201" s="7" t="inlineStr">
        <is>
          <t>MOT-2197</t>
        </is>
      </c>
      <c r="C2201" s="7" t="inlineStr">
        <is>
          <t>joint de turbocompresseur</t>
        </is>
      </c>
      <c r="D2201" s="7" t="inlineStr">
        <is>
          <t>Moteur</t>
        </is>
      </c>
      <c r="E2201" s="7" t="inlineStr">
        <is>
          <t>Moteur</t>
        </is>
      </c>
      <c r="F2201" s="7" t="inlineStr">
        <is>
          <t>PIECE_VEHICULE</t>
        </is>
      </c>
      <c r="G2201" s="7" t="inlineStr">
        <is>
          <t>unité</t>
        </is>
      </c>
      <c r="H2201" s="7" t="inlineStr">
        <is>
          <t>LARGE</t>
        </is>
      </c>
      <c r="I2201" s="7" t="n">
        <v>0</v>
      </c>
      <c r="J2201" s="7" t="inlineStr">
        <is>
          <t>A-02-02</t>
        </is>
      </c>
      <c r="K2201" s="7" t="inlineStr"/>
      <c r="L2201" s="9" t="n">
        <v>0</v>
      </c>
      <c r="M2201" s="9" t="n">
        <v>0</v>
      </c>
      <c r="N2201" s="9" t="n">
        <v>19</v>
      </c>
      <c r="O2201" s="7" t="inlineStr">
        <is>
          <t>BOS</t>
        </is>
      </c>
      <c r="P2201" s="7" t="inlineStr">
        <is>
          <t>CRITIQUE</t>
        </is>
      </c>
      <c r="Q2201" s="7" t="inlineStr">
        <is>
          <t>WHAP</t>
        </is>
      </c>
      <c r="R2201" s="7" t="inlineStr">
        <is>
          <t>OUI</t>
        </is>
      </c>
      <c r="S2201" s="7" t="inlineStr">
        <is>
          <t>31/08/2026 02:59</t>
        </is>
      </c>
    </row>
    <row r="2202">
      <c r="A2202" s="8" t="inlineStr">
        <is>
          <t>WHAP-2198</t>
        </is>
      </c>
      <c r="B2202" s="8" t="inlineStr">
        <is>
          <t>MOT-2198</t>
        </is>
      </c>
      <c r="C2202" s="8" t="inlineStr">
        <is>
          <t>fixation de turbocompresseur</t>
        </is>
      </c>
      <c r="D2202" s="8" t="inlineStr">
        <is>
          <t>Moteur</t>
        </is>
      </c>
      <c r="E2202" s="8" t="inlineStr">
        <is>
          <t>Moteur</t>
        </is>
      </c>
      <c r="F2202" s="8" t="inlineStr">
        <is>
          <t>PIECE_VEHICULE</t>
        </is>
      </c>
      <c r="G2202" s="8" t="inlineStr">
        <is>
          <t>unité</t>
        </is>
      </c>
      <c r="H2202" s="8" t="inlineStr">
        <is>
          <t>LARGE</t>
        </is>
      </c>
      <c r="I2202" s="8" t="n">
        <v>0</v>
      </c>
      <c r="J2202" s="8" t="inlineStr">
        <is>
          <t>F-05-04</t>
        </is>
      </c>
      <c r="K2202" s="8" t="inlineStr"/>
      <c r="L2202" s="10" t="n">
        <v>0</v>
      </c>
      <c r="M2202" s="10" t="n">
        <v>0</v>
      </c>
      <c r="N2202" s="10" t="n">
        <v>12</v>
      </c>
      <c r="O2202" s="8" t="inlineStr">
        <is>
          <t>CTL</t>
        </is>
      </c>
      <c r="P2202" s="8" t="inlineStr">
        <is>
          <t>CRITIQUE</t>
        </is>
      </c>
      <c r="Q2202" s="8" t="inlineStr">
        <is>
          <t>WHAP</t>
        </is>
      </c>
      <c r="R2202" s="8" t="inlineStr">
        <is>
          <t>OUI</t>
        </is>
      </c>
      <c r="S2202" s="8" t="inlineStr">
        <is>
          <t>31/08/2026 02:59</t>
        </is>
      </c>
    </row>
    <row r="2203">
      <c r="A2203" s="7" t="inlineStr">
        <is>
          <t>WHAP-2199</t>
        </is>
      </c>
      <c r="B2203" s="7" t="inlineStr">
        <is>
          <t>MOT-2199</t>
        </is>
      </c>
      <c r="C2203" s="7" t="inlineStr">
        <is>
          <t>protection de turbocompresseur</t>
        </is>
      </c>
      <c r="D2203" s="7" t="inlineStr">
        <is>
          <t>Moteur</t>
        </is>
      </c>
      <c r="E2203" s="7" t="inlineStr">
        <is>
          <t>Moteur</t>
        </is>
      </c>
      <c r="F2203" s="7" t="inlineStr">
        <is>
          <t>PIECE_VEHICULE</t>
        </is>
      </c>
      <c r="G2203" s="7" t="inlineStr">
        <is>
          <t>unité</t>
        </is>
      </c>
      <c r="H2203" s="7" t="inlineStr">
        <is>
          <t>LARGE</t>
        </is>
      </c>
      <c r="I2203" s="7" t="n">
        <v>0</v>
      </c>
      <c r="J2203" s="7" t="inlineStr">
        <is>
          <t>F-06-03</t>
        </is>
      </c>
      <c r="K2203" s="7" t="inlineStr"/>
      <c r="L2203" s="9" t="n">
        <v>0</v>
      </c>
      <c r="M2203" s="9" t="n">
        <v>0</v>
      </c>
      <c r="N2203" s="9" t="n">
        <v>12</v>
      </c>
      <c r="O2203" s="7" t="inlineStr">
        <is>
          <t>YZK</t>
        </is>
      </c>
      <c r="P2203" s="7" t="inlineStr">
        <is>
          <t>CRITIQUE</t>
        </is>
      </c>
      <c r="Q2203" s="7" t="inlineStr">
        <is>
          <t>WHAP</t>
        </is>
      </c>
      <c r="R2203" s="7" t="inlineStr">
        <is>
          <t>OUI</t>
        </is>
      </c>
      <c r="S2203" s="7" t="inlineStr">
        <is>
          <t>31/08/2026 02:59</t>
        </is>
      </c>
    </row>
    <row r="2204">
      <c r="A2204" s="8" t="inlineStr">
        <is>
          <t>WHAP-2200</t>
        </is>
      </c>
      <c r="B2204" s="8" t="inlineStr">
        <is>
          <t>MOT-2200</t>
        </is>
      </c>
      <c r="C2204" s="8" t="inlineStr">
        <is>
          <t>capteur de turbocompresseur</t>
        </is>
      </c>
      <c r="D2204" s="8" t="inlineStr">
        <is>
          <t>Moteur</t>
        </is>
      </c>
      <c r="E2204" s="8" t="inlineStr">
        <is>
          <t>Moteur</t>
        </is>
      </c>
      <c r="F2204" s="8" t="inlineStr">
        <is>
          <t>PIECE_VEHICULE</t>
        </is>
      </c>
      <c r="G2204" s="8" t="inlineStr">
        <is>
          <t>unité</t>
        </is>
      </c>
      <c r="H2204" s="8" t="inlineStr">
        <is>
          <t>LARGE</t>
        </is>
      </c>
      <c r="I2204" s="8" t="n">
        <v>0</v>
      </c>
      <c r="J2204" s="8" t="inlineStr">
        <is>
          <t>E-05-04</t>
        </is>
      </c>
      <c r="K2204" s="8" t="inlineStr"/>
      <c r="L2204" s="10" t="n">
        <v>0</v>
      </c>
      <c r="M2204" s="10" t="n">
        <v>0</v>
      </c>
      <c r="N2204" s="10" t="n">
        <v>16</v>
      </c>
      <c r="O2204" s="8" t="inlineStr">
        <is>
          <t>MAG</t>
        </is>
      </c>
      <c r="P2204" s="8" t="inlineStr">
        <is>
          <t>CRITIQUE</t>
        </is>
      </c>
      <c r="Q2204" s="8" t="inlineStr">
        <is>
          <t>WHAP</t>
        </is>
      </c>
      <c r="R2204" s="8" t="inlineStr">
        <is>
          <t>OUI</t>
        </is>
      </c>
      <c r="S2204" s="8" t="inlineStr">
        <is>
          <t>31/08/2026 02:59</t>
        </is>
      </c>
    </row>
    <row r="2205">
      <c r="A2205" s="7" t="inlineStr">
        <is>
          <t>PNT-001</t>
        </is>
      </c>
      <c r="B2205" s="7" t="inlineStr">
        <is>
          <t>PNT-001</t>
        </is>
      </c>
      <c r="C2205" s="7" t="inlineStr">
        <is>
          <t>Peinture polyuréthane vert armée 20 L</t>
        </is>
      </c>
      <c r="D2205" s="7" t="inlineStr">
        <is>
          <t>Peinture</t>
        </is>
      </c>
      <c r="E2205" s="7" t="inlineStr">
        <is>
          <t>Peinture</t>
        </is>
      </c>
      <c r="F2205" s="7" t="inlineStr">
        <is>
          <t>MATIERE</t>
        </is>
      </c>
      <c r="G2205" s="7" t="inlineStr">
        <is>
          <t>bidon</t>
        </is>
      </c>
      <c r="H2205" s="7" t="inlineStr">
        <is>
          <t>SMALL</t>
        </is>
      </c>
      <c r="I2205" s="7" t="n">
        <v>5</v>
      </c>
      <c r="J2205" s="7" t="inlineStr">
        <is>
          <t>A-05-04 : 440</t>
        </is>
      </c>
      <c r="K2205" s="7" t="inlineStr"/>
      <c r="L2205" s="9" t="n">
        <v>440</v>
      </c>
      <c r="M2205" s="9" t="n">
        <v>440</v>
      </c>
      <c r="N2205" s="9" t="n">
        <v>40</v>
      </c>
      <c r="O2205" s="7" t="inlineStr">
        <is>
          <t>SUM</t>
        </is>
      </c>
      <c r="P2205" s="7" t="inlineStr">
        <is>
          <t>STANDARD</t>
        </is>
      </c>
      <c r="Q2205" s="7" t="inlineStr">
        <is>
          <t>DEMO</t>
        </is>
      </c>
      <c r="R2205" s="7" t="inlineStr">
        <is>
          <t>NON</t>
        </is>
      </c>
      <c r="S2205" s="7" t="inlineStr">
        <is>
          <t>31/08/2026 02:59</t>
        </is>
      </c>
    </row>
    <row r="2206">
      <c r="A2206" s="8" t="inlineStr">
        <is>
          <t>PNT-002</t>
        </is>
      </c>
      <c r="B2206" s="8" t="inlineStr">
        <is>
          <t>PNT-002</t>
        </is>
      </c>
      <c r="C2206" s="8" t="inlineStr">
        <is>
          <t>Peinture antirouille primaire 20 L</t>
        </is>
      </c>
      <c r="D2206" s="8" t="inlineStr">
        <is>
          <t>Peinture</t>
        </is>
      </c>
      <c r="E2206" s="8" t="inlineStr">
        <is>
          <t>Peinture</t>
        </is>
      </c>
      <c r="F2206" s="8" t="inlineStr">
        <is>
          <t>MATIERE</t>
        </is>
      </c>
      <c r="G2206" s="8" t="inlineStr">
        <is>
          <t>bidon</t>
        </is>
      </c>
      <c r="H2206" s="8" t="inlineStr">
        <is>
          <t>SMALL</t>
        </is>
      </c>
      <c r="I2206" s="8" t="n">
        <v>5</v>
      </c>
      <c r="J2206" s="8" t="inlineStr">
        <is>
          <t>A-01-03</t>
        </is>
      </c>
      <c r="K2206" s="8" t="inlineStr"/>
      <c r="L2206" s="10" t="n">
        <v>0</v>
      </c>
      <c r="M2206" s="10" t="n">
        <v>0</v>
      </c>
      <c r="N2206" s="10" t="n">
        <v>40</v>
      </c>
      <c r="O2206" s="8" t="inlineStr">
        <is>
          <t>MAG</t>
        </is>
      </c>
      <c r="P2206" s="8" t="inlineStr">
        <is>
          <t>STANDARD</t>
        </is>
      </c>
      <c r="Q2206" s="8" t="inlineStr">
        <is>
          <t>DEMO</t>
        </is>
      </c>
      <c r="R2206" s="8" t="inlineStr">
        <is>
          <t>NON</t>
        </is>
      </c>
      <c r="S2206" s="8" t="inlineStr">
        <is>
          <t>31/08/2026 02:59</t>
        </is>
      </c>
    </row>
    <row r="2207">
      <c r="A2207" s="7" t="inlineStr">
        <is>
          <t>PNT-003</t>
        </is>
      </c>
      <c r="B2207" s="7" t="inlineStr">
        <is>
          <t>PNT-003</t>
        </is>
      </c>
      <c r="C2207" s="7" t="inlineStr">
        <is>
          <t>Vernis de protection mat 10 L</t>
        </is>
      </c>
      <c r="D2207" s="7" t="inlineStr">
        <is>
          <t>Peinture</t>
        </is>
      </c>
      <c r="E2207" s="7" t="inlineStr">
        <is>
          <t>Peinture</t>
        </is>
      </c>
      <c r="F2207" s="7" t="inlineStr">
        <is>
          <t>MATIERE</t>
        </is>
      </c>
      <c r="G2207" s="7" t="inlineStr">
        <is>
          <t>bidon</t>
        </is>
      </c>
      <c r="H2207" s="7" t="inlineStr">
        <is>
          <t>SMALL</t>
        </is>
      </c>
      <c r="I2207" s="7" t="n">
        <v>5</v>
      </c>
      <c r="J2207" s="7" t="inlineStr">
        <is>
          <t>C-04-04</t>
        </is>
      </c>
      <c r="K2207" s="7" t="inlineStr"/>
      <c r="L2207" s="9" t="n">
        <v>0</v>
      </c>
      <c r="M2207" s="9" t="n">
        <v>0</v>
      </c>
      <c r="N2207" s="9" t="n">
        <v>48</v>
      </c>
      <c r="O2207" s="7" t="inlineStr">
        <is>
          <t>DEL</t>
        </is>
      </c>
      <c r="P2207" s="7" t="inlineStr">
        <is>
          <t>STANDARD</t>
        </is>
      </c>
      <c r="Q2207" s="7" t="inlineStr">
        <is>
          <t>DEMO</t>
        </is>
      </c>
      <c r="R2207" s="7" t="inlineStr">
        <is>
          <t>NON</t>
        </is>
      </c>
      <c r="S2207" s="7" t="inlineStr">
        <is>
          <t>31/08/2026 02:59</t>
        </is>
      </c>
    </row>
    <row r="2208">
      <c r="A2208" s="8" t="inlineStr">
        <is>
          <t>PNT-004</t>
        </is>
      </c>
      <c r="B2208" s="8" t="inlineStr">
        <is>
          <t>PNT-004</t>
        </is>
      </c>
      <c r="C2208" s="8" t="inlineStr">
        <is>
          <t>Durcisseur pour peinture 5 L</t>
        </is>
      </c>
      <c r="D2208" s="8" t="inlineStr">
        <is>
          <t>Peinture</t>
        </is>
      </c>
      <c r="E2208" s="8" t="inlineStr">
        <is>
          <t>Peinture</t>
        </is>
      </c>
      <c r="F2208" s="8" t="inlineStr">
        <is>
          <t>MATIERE</t>
        </is>
      </c>
      <c r="G2208" s="8" t="inlineStr">
        <is>
          <t>bidon</t>
        </is>
      </c>
      <c r="H2208" s="8" t="inlineStr">
        <is>
          <t>SMALL</t>
        </is>
      </c>
      <c r="I2208" s="8" t="n">
        <v>5</v>
      </c>
      <c r="J2208" s="8" t="inlineStr">
        <is>
          <t>C-03-04</t>
        </is>
      </c>
      <c r="K2208" s="8" t="inlineStr"/>
      <c r="L2208" s="10" t="n">
        <v>0</v>
      </c>
      <c r="M2208" s="10" t="n">
        <v>0</v>
      </c>
      <c r="N2208" s="10" t="n">
        <v>50</v>
      </c>
      <c r="O2208" s="8" t="inlineStr">
        <is>
          <t>DEL</t>
        </is>
      </c>
      <c r="P2208" s="8" t="inlineStr">
        <is>
          <t>STANDARD</t>
        </is>
      </c>
      <c r="Q2208" s="8" t="inlineStr">
        <is>
          <t>DEMO</t>
        </is>
      </c>
      <c r="R2208" s="8" t="inlineStr">
        <is>
          <t>NON</t>
        </is>
      </c>
      <c r="S2208" s="8" t="inlineStr">
        <is>
          <t>31/08/2026 02:59</t>
        </is>
      </c>
    </row>
    <row r="2209">
      <c r="A2209" s="7" t="inlineStr">
        <is>
          <t>PNT-005</t>
        </is>
      </c>
      <c r="B2209" s="7" t="inlineStr">
        <is>
          <t>PNT-005</t>
        </is>
      </c>
      <c r="C2209" s="7" t="inlineStr">
        <is>
          <t>Diluant de nettoyage pistolet 25 L</t>
        </is>
      </c>
      <c r="D2209" s="7" t="inlineStr">
        <is>
          <t>Peinture</t>
        </is>
      </c>
      <c r="E2209" s="7" t="inlineStr">
        <is>
          <t>Peinture</t>
        </is>
      </c>
      <c r="F2209" s="7" t="inlineStr">
        <is>
          <t>MATIERE</t>
        </is>
      </c>
      <c r="G2209" s="7" t="inlineStr">
        <is>
          <t>bidon</t>
        </is>
      </c>
      <c r="H2209" s="7" t="inlineStr">
        <is>
          <t>SMALL</t>
        </is>
      </c>
      <c r="I2209" s="7" t="n">
        <v>5</v>
      </c>
      <c r="J2209" s="7" t="inlineStr">
        <is>
          <t>A-06-04</t>
        </is>
      </c>
      <c r="K2209" s="7" t="inlineStr"/>
      <c r="L2209" s="9" t="n">
        <v>0</v>
      </c>
      <c r="M2209" s="9" t="n">
        <v>0</v>
      </c>
      <c r="N2209" s="9" t="n">
        <v>47</v>
      </c>
      <c r="O2209" s="7" t="inlineStr">
        <is>
          <t>SUM</t>
        </is>
      </c>
      <c r="P2209" s="7" t="inlineStr">
        <is>
          <t>STANDARD</t>
        </is>
      </c>
      <c r="Q2209" s="7" t="inlineStr">
        <is>
          <t>DEMO</t>
        </is>
      </c>
      <c r="R2209" s="7" t="inlineStr">
        <is>
          <t>NON</t>
        </is>
      </c>
      <c r="S2209" s="7" t="inlineStr">
        <is>
          <t>31/08/2026 02:59</t>
        </is>
      </c>
    </row>
    <row r="2210">
      <c r="A2210" s="8" t="inlineStr">
        <is>
          <t>TRT-001</t>
        </is>
      </c>
      <c r="B2210" s="8" t="inlineStr">
        <is>
          <t>TRT-001</t>
        </is>
      </c>
      <c r="C2210" s="8" t="inlineStr">
        <is>
          <t>Mastic de carrosserie 3 kg</t>
        </is>
      </c>
      <c r="D2210" s="8" t="inlineStr">
        <is>
          <t>Traitement</t>
        </is>
      </c>
      <c r="E2210" s="8" t="inlineStr">
        <is>
          <t>Traitement</t>
        </is>
      </c>
      <c r="F2210" s="8" t="inlineStr">
        <is>
          <t>MATIERE</t>
        </is>
      </c>
      <c r="G2210" s="8" t="inlineStr">
        <is>
          <t>pot</t>
        </is>
      </c>
      <c r="H2210" s="8" t="inlineStr">
        <is>
          <t>SMALL</t>
        </is>
      </c>
      <c r="I2210" s="8" t="n">
        <v>5</v>
      </c>
      <c r="J2210" s="8" t="inlineStr">
        <is>
          <t>C-01-03 : 480</t>
        </is>
      </c>
      <c r="K2210" s="8" t="inlineStr"/>
      <c r="L2210" s="10" t="n">
        <v>480</v>
      </c>
      <c r="M2210" s="10" t="n">
        <v>480</v>
      </c>
      <c r="N2210" s="10" t="n">
        <v>47</v>
      </c>
      <c r="O2210" s="8" t="inlineStr">
        <is>
          <t>HEL</t>
        </is>
      </c>
      <c r="P2210" s="8" t="inlineStr">
        <is>
          <t>STANDARD</t>
        </is>
      </c>
      <c r="Q2210" s="8" t="inlineStr">
        <is>
          <t>DEMO</t>
        </is>
      </c>
      <c r="R2210" s="8" t="inlineStr">
        <is>
          <t>NON</t>
        </is>
      </c>
      <c r="S2210" s="8" t="inlineStr">
        <is>
          <t>31/08/2026 02:59</t>
        </is>
      </c>
    </row>
    <row r="2211">
      <c r="A2211" s="7" t="inlineStr">
        <is>
          <t>TRT-002</t>
        </is>
      </c>
      <c r="B2211" s="7" t="inlineStr">
        <is>
          <t>TRT-002</t>
        </is>
      </c>
      <c r="C2211" s="7" t="inlineStr">
        <is>
          <t>Produit de phosphatation 20 L</t>
        </is>
      </c>
      <c r="D2211" s="7" t="inlineStr">
        <is>
          <t>Traitement</t>
        </is>
      </c>
      <c r="E2211" s="7" t="inlineStr">
        <is>
          <t>Traitement</t>
        </is>
      </c>
      <c r="F2211" s="7" t="inlineStr">
        <is>
          <t>MATIERE</t>
        </is>
      </c>
      <c r="G2211" s="7" t="inlineStr">
        <is>
          <t>bidon</t>
        </is>
      </c>
      <c r="H2211" s="7" t="inlineStr">
        <is>
          <t>SMALL</t>
        </is>
      </c>
      <c r="I2211" s="7" t="n">
        <v>5</v>
      </c>
      <c r="J2211" s="7" t="inlineStr">
        <is>
          <t>C-03-03</t>
        </is>
      </c>
      <c r="K2211" s="7" t="inlineStr"/>
      <c r="L2211" s="9" t="n">
        <v>0</v>
      </c>
      <c r="M2211" s="9" t="n">
        <v>0</v>
      </c>
      <c r="N2211" s="9" t="n">
        <v>41</v>
      </c>
      <c r="O2211" s="7" t="inlineStr">
        <is>
          <t>HEL</t>
        </is>
      </c>
      <c r="P2211" s="7" t="inlineStr">
        <is>
          <t>STANDARD</t>
        </is>
      </c>
      <c r="Q2211" s="7" t="inlineStr">
        <is>
          <t>DEMO</t>
        </is>
      </c>
      <c r="R2211" s="7" t="inlineStr">
        <is>
          <t>NON</t>
        </is>
      </c>
      <c r="S2211" s="7" t="inlineStr">
        <is>
          <t>31/08/2026 02:59</t>
        </is>
      </c>
    </row>
    <row r="2212">
      <c r="A2212" s="8" t="inlineStr">
        <is>
          <t>TRT-003</t>
        </is>
      </c>
      <c r="B2212" s="8" t="inlineStr">
        <is>
          <t>TRT-003</t>
        </is>
      </c>
      <c r="C2212" s="8" t="inlineStr">
        <is>
          <t>Anticorrosion cavités 500 mL</t>
        </is>
      </c>
      <c r="D2212" s="8" t="inlineStr">
        <is>
          <t>Traitement</t>
        </is>
      </c>
      <c r="E2212" s="8" t="inlineStr">
        <is>
          <t>Traitement</t>
        </is>
      </c>
      <c r="F2212" s="8" t="inlineStr">
        <is>
          <t>MATIERE</t>
        </is>
      </c>
      <c r="G2212" s="8" t="inlineStr">
        <is>
          <t>aérosol</t>
        </is>
      </c>
      <c r="H2212" s="8" t="inlineStr">
        <is>
          <t>SMALL</t>
        </is>
      </c>
      <c r="I2212" s="8" t="n">
        <v>5</v>
      </c>
      <c r="J2212" s="8" t="inlineStr">
        <is>
          <t>F-06-01</t>
        </is>
      </c>
      <c r="K2212" s="8" t="inlineStr"/>
      <c r="L2212" s="10" t="n">
        <v>0</v>
      </c>
      <c r="M2212" s="10" t="n">
        <v>0</v>
      </c>
      <c r="N2212" s="10" t="n">
        <v>44</v>
      </c>
      <c r="O2212" s="8" t="inlineStr">
        <is>
          <t>YZK</t>
        </is>
      </c>
      <c r="P2212" s="8" t="inlineStr">
        <is>
          <t>STANDARD</t>
        </is>
      </c>
      <c r="Q2212" s="8" t="inlineStr">
        <is>
          <t>DEMO</t>
        </is>
      </c>
      <c r="R2212" s="8" t="inlineStr">
        <is>
          <t>NON</t>
        </is>
      </c>
      <c r="S2212" s="8" t="inlineStr">
        <is>
          <t>31/08/2026 02:59</t>
        </is>
      </c>
    </row>
    <row r="2213">
      <c r="A2213" s="7" t="inlineStr">
        <is>
          <t>ADH-001</t>
        </is>
      </c>
      <c r="B2213" s="7" t="inlineStr">
        <is>
          <t>ADH-001</t>
        </is>
      </c>
      <c r="C2213" s="7" t="inlineStr">
        <is>
          <t>Adhésif structural bicomposant 400 mL</t>
        </is>
      </c>
      <c r="D2213" s="7" t="inlineStr">
        <is>
          <t>Adhésifs</t>
        </is>
      </c>
      <c r="E2213" s="7" t="inlineStr">
        <is>
          <t>Adhésifs</t>
        </is>
      </c>
      <c r="F2213" s="7" t="inlineStr">
        <is>
          <t>CONSOMMABLE</t>
        </is>
      </c>
      <c r="G2213" s="7" t="inlineStr">
        <is>
          <t>cartouche</t>
        </is>
      </c>
      <c r="H2213" s="7" t="inlineStr">
        <is>
          <t>SMALL</t>
        </is>
      </c>
      <c r="I2213" s="7" t="n">
        <v>5</v>
      </c>
      <c r="J2213" s="7" t="inlineStr">
        <is>
          <t>A-06-04</t>
        </is>
      </c>
      <c r="K2213" s="7" t="inlineStr"/>
      <c r="L2213" s="9" t="n">
        <v>0</v>
      </c>
      <c r="M2213" s="9" t="n">
        <v>0</v>
      </c>
      <c r="N2213" s="9" t="n">
        <v>48</v>
      </c>
      <c r="O2213" s="7" t="inlineStr">
        <is>
          <t>DEL</t>
        </is>
      </c>
      <c r="P2213" s="7" t="inlineStr">
        <is>
          <t>STANDARD</t>
        </is>
      </c>
      <c r="Q2213" s="7" t="inlineStr">
        <is>
          <t>DEMO</t>
        </is>
      </c>
      <c r="R2213" s="7" t="inlineStr">
        <is>
          <t>NON</t>
        </is>
      </c>
      <c r="S2213" s="7" t="inlineStr">
        <is>
          <t>31/08/2026 02:59</t>
        </is>
      </c>
    </row>
    <row r="2214">
      <c r="A2214" s="8" t="inlineStr">
        <is>
          <t>ADH-002</t>
        </is>
      </c>
      <c r="B2214" s="8" t="inlineStr">
        <is>
          <t>ADH-002</t>
        </is>
      </c>
      <c r="C2214" s="8" t="inlineStr">
        <is>
          <t>Colle pare-brise polyuréthane 310 mL</t>
        </is>
      </c>
      <c r="D2214" s="8" t="inlineStr">
        <is>
          <t>Adhésifs</t>
        </is>
      </c>
      <c r="E2214" s="8" t="inlineStr">
        <is>
          <t>Adhésifs</t>
        </is>
      </c>
      <c r="F2214" s="8" t="inlineStr">
        <is>
          <t>CONSOMMABLE</t>
        </is>
      </c>
      <c r="G2214" s="8" t="inlineStr">
        <is>
          <t>cartouche</t>
        </is>
      </c>
      <c r="H2214" s="8" t="inlineStr">
        <is>
          <t>SMALL</t>
        </is>
      </c>
      <c r="I2214" s="8" t="n">
        <v>5</v>
      </c>
      <c r="J2214" s="8" t="inlineStr">
        <is>
          <t>F-03-01 : 720</t>
        </is>
      </c>
      <c r="K2214" s="8" t="inlineStr"/>
      <c r="L2214" s="10" t="n">
        <v>720</v>
      </c>
      <c r="M2214" s="10" t="n">
        <v>720</v>
      </c>
      <c r="N2214" s="10" t="n">
        <v>44</v>
      </c>
      <c r="O2214" s="8" t="inlineStr">
        <is>
          <t>CTL</t>
        </is>
      </c>
      <c r="P2214" s="8" t="inlineStr">
        <is>
          <t>STANDARD</t>
        </is>
      </c>
      <c r="Q2214" s="8" t="inlineStr">
        <is>
          <t>DEMO</t>
        </is>
      </c>
      <c r="R2214" s="8" t="inlineStr">
        <is>
          <t>NON</t>
        </is>
      </c>
      <c r="S2214" s="8" t="inlineStr">
        <is>
          <t>31/08/2026 02:59</t>
        </is>
      </c>
    </row>
    <row r="2215">
      <c r="A2215" s="7" t="inlineStr">
        <is>
          <t>ADH-003</t>
        </is>
      </c>
      <c r="B2215" s="7" t="inlineStr">
        <is>
          <t>ADH-003</t>
        </is>
      </c>
      <c r="C2215" s="7" t="inlineStr">
        <is>
          <t>Frein-filet fort 50 mL</t>
        </is>
      </c>
      <c r="D2215" s="7" t="inlineStr">
        <is>
          <t>Adhésifs</t>
        </is>
      </c>
      <c r="E2215" s="7" t="inlineStr">
        <is>
          <t>Adhésifs</t>
        </is>
      </c>
      <c r="F2215" s="7" t="inlineStr">
        <is>
          <t>CONSOMMABLE</t>
        </is>
      </c>
      <c r="G2215" s="7" t="inlineStr">
        <is>
          <t>flacon</t>
        </is>
      </c>
      <c r="H2215" s="7" t="inlineStr">
        <is>
          <t>SMALL</t>
        </is>
      </c>
      <c r="I2215" s="7" t="n">
        <v>5</v>
      </c>
      <c r="J2215" s="7" t="inlineStr">
        <is>
          <t>E-01-03 : 870</t>
        </is>
      </c>
      <c r="K2215" s="7" t="inlineStr"/>
      <c r="L2215" s="9" t="n">
        <v>870</v>
      </c>
      <c r="M2215" s="9" t="n">
        <v>870</v>
      </c>
      <c r="N2215" s="9" t="n">
        <v>49</v>
      </c>
      <c r="O2215" s="7" t="inlineStr">
        <is>
          <t>HEL</t>
        </is>
      </c>
      <c r="P2215" s="7" t="inlineStr">
        <is>
          <t>STANDARD</t>
        </is>
      </c>
      <c r="Q2215" s="7" t="inlineStr">
        <is>
          <t>DEMO</t>
        </is>
      </c>
      <c r="R2215" s="7" t="inlineStr">
        <is>
          <t>NON</t>
        </is>
      </c>
      <c r="S2215" s="7" t="inlineStr">
        <is>
          <t>31/08/2026 02:59</t>
        </is>
      </c>
    </row>
    <row r="2216">
      <c r="A2216" s="8" t="inlineStr">
        <is>
          <t>ADH-004</t>
        </is>
      </c>
      <c r="B2216" s="8" t="inlineStr">
        <is>
          <t>ADH-004</t>
        </is>
      </c>
      <c r="C2216" s="8" t="inlineStr">
        <is>
          <t>Ruban adhésif de masquage 50 mm</t>
        </is>
      </c>
      <c r="D2216" s="8" t="inlineStr">
        <is>
          <t>Adhésifs</t>
        </is>
      </c>
      <c r="E2216" s="8" t="inlineStr">
        <is>
          <t>Adhésifs</t>
        </is>
      </c>
      <c r="F2216" s="8" t="inlineStr">
        <is>
          <t>CONSOMMABLE</t>
        </is>
      </c>
      <c r="G2216" s="8" t="inlineStr">
        <is>
          <t>rouleau</t>
        </is>
      </c>
      <c r="H2216" s="8" t="inlineStr">
        <is>
          <t>SMALL</t>
        </is>
      </c>
      <c r="I2216" s="8" t="n">
        <v>5</v>
      </c>
      <c r="J2216" s="8" t="inlineStr">
        <is>
          <t>F-05-01</t>
        </is>
      </c>
      <c r="K2216" s="8" t="inlineStr"/>
      <c r="L2216" s="10" t="n">
        <v>0</v>
      </c>
      <c r="M2216" s="10" t="n">
        <v>0</v>
      </c>
      <c r="N2216" s="10" t="n">
        <v>45</v>
      </c>
      <c r="O2216" s="8" t="inlineStr">
        <is>
          <t>CTL</t>
        </is>
      </c>
      <c r="P2216" s="8" t="inlineStr">
        <is>
          <t>STANDARD</t>
        </is>
      </c>
      <c r="Q2216" s="8" t="inlineStr">
        <is>
          <t>DEMO</t>
        </is>
      </c>
      <c r="R2216" s="8" t="inlineStr">
        <is>
          <t>NON</t>
        </is>
      </c>
      <c r="S2216" s="8" t="inlineStr">
        <is>
          <t>31/08/2026 02:59</t>
        </is>
      </c>
    </row>
    <row r="2217">
      <c r="A2217" s="7" t="inlineStr">
        <is>
          <t>LUB-001</t>
        </is>
      </c>
      <c r="B2217" s="7" t="inlineStr">
        <is>
          <t>LUB-001</t>
        </is>
      </c>
      <c r="C2217" s="7" t="inlineStr">
        <is>
          <t>Huile moteur 15W40 20 L</t>
        </is>
      </c>
      <c r="D2217" s="7" t="inlineStr">
        <is>
          <t>Lubrifiants</t>
        </is>
      </c>
      <c r="E2217" s="7" t="inlineStr">
        <is>
          <t>Lubrifiants</t>
        </is>
      </c>
      <c r="F2217" s="7" t="inlineStr">
        <is>
          <t>CONSOMMABLE</t>
        </is>
      </c>
      <c r="G2217" s="7" t="inlineStr">
        <is>
          <t>bidon</t>
        </is>
      </c>
      <c r="H2217" s="7" t="inlineStr">
        <is>
          <t>SMALL</t>
        </is>
      </c>
      <c r="I2217" s="7" t="n">
        <v>5</v>
      </c>
      <c r="J2217" s="7" t="inlineStr">
        <is>
          <t>B-04-02 : 500</t>
        </is>
      </c>
      <c r="K2217" s="7" t="inlineStr"/>
      <c r="L2217" s="9" t="n">
        <v>500</v>
      </c>
      <c r="M2217" s="9" t="n">
        <v>500</v>
      </c>
      <c r="N2217" s="9" t="n">
        <v>41</v>
      </c>
      <c r="O2217" s="7" t="inlineStr">
        <is>
          <t>SKF</t>
        </is>
      </c>
      <c r="P2217" s="7" t="inlineStr">
        <is>
          <t>STANDARD</t>
        </is>
      </c>
      <c r="Q2217" s="7" t="inlineStr">
        <is>
          <t>DEMO</t>
        </is>
      </c>
      <c r="R2217" s="7" t="inlineStr">
        <is>
          <t>NON</t>
        </is>
      </c>
      <c r="S2217" s="7" t="inlineStr">
        <is>
          <t>31/08/2026 02:59</t>
        </is>
      </c>
    </row>
    <row r="2218">
      <c r="A2218" s="8" t="inlineStr">
        <is>
          <t>LUB-002</t>
        </is>
      </c>
      <c r="B2218" s="8" t="inlineStr">
        <is>
          <t>LUB-002</t>
        </is>
      </c>
      <c r="C2218" s="8" t="inlineStr">
        <is>
          <t>Huile hydraulique ISO 46 20 L</t>
        </is>
      </c>
      <c r="D2218" s="8" t="inlineStr">
        <is>
          <t>Lubrifiants</t>
        </is>
      </c>
      <c r="E2218" s="8" t="inlineStr">
        <is>
          <t>Lubrifiants</t>
        </is>
      </c>
      <c r="F2218" s="8" t="inlineStr">
        <is>
          <t>CONSOMMABLE</t>
        </is>
      </c>
      <c r="G2218" s="8" t="inlineStr">
        <is>
          <t>bidon</t>
        </is>
      </c>
      <c r="H2218" s="8" t="inlineStr">
        <is>
          <t>SMALL</t>
        </is>
      </c>
      <c r="I2218" s="8" t="n">
        <v>5</v>
      </c>
      <c r="J2218" s="8" t="inlineStr">
        <is>
          <t>D-05-04 : 420</t>
        </is>
      </c>
      <c r="K2218" s="8" t="inlineStr"/>
      <c r="L2218" s="10" t="n">
        <v>420</v>
      </c>
      <c r="M2218" s="10" t="n">
        <v>420</v>
      </c>
      <c r="N2218" s="10" t="n">
        <v>44</v>
      </c>
      <c r="O2218" s="8" t="inlineStr">
        <is>
          <t>YZK</t>
        </is>
      </c>
      <c r="P2218" s="8" t="inlineStr">
        <is>
          <t>STANDARD</t>
        </is>
      </c>
      <c r="Q2218" s="8" t="inlineStr">
        <is>
          <t>DEMO</t>
        </is>
      </c>
      <c r="R2218" s="8" t="inlineStr">
        <is>
          <t>NON</t>
        </is>
      </c>
      <c r="S2218" s="8" t="inlineStr">
        <is>
          <t>31/08/2026 02:59</t>
        </is>
      </c>
    </row>
    <row r="2219">
      <c r="A2219" s="7" t="inlineStr">
        <is>
          <t>LUB-003</t>
        </is>
      </c>
      <c r="B2219" s="7" t="inlineStr">
        <is>
          <t>LUB-003</t>
        </is>
      </c>
      <c r="C2219" s="7" t="inlineStr">
        <is>
          <t>Graisse haute température 1 kg</t>
        </is>
      </c>
      <c r="D2219" s="7" t="inlineStr">
        <is>
          <t>Lubrifiants</t>
        </is>
      </c>
      <c r="E2219" s="7" t="inlineStr">
        <is>
          <t>Lubrifiants</t>
        </is>
      </c>
      <c r="F2219" s="7" t="inlineStr">
        <is>
          <t>CONSOMMABLE</t>
        </is>
      </c>
      <c r="G2219" s="7" t="inlineStr">
        <is>
          <t>pot</t>
        </is>
      </c>
      <c r="H2219" s="7" t="inlineStr">
        <is>
          <t>SMALL</t>
        </is>
      </c>
      <c r="I2219" s="7" t="n">
        <v>5</v>
      </c>
      <c r="J2219" s="7" t="inlineStr">
        <is>
          <t>A-01-04</t>
        </is>
      </c>
      <c r="K2219" s="7" t="inlineStr"/>
      <c r="L2219" s="9" t="n">
        <v>0</v>
      </c>
      <c r="M2219" s="9" t="n">
        <v>0</v>
      </c>
      <c r="N2219" s="9" t="n">
        <v>41</v>
      </c>
      <c r="O2219" s="7" t="inlineStr">
        <is>
          <t>BOS</t>
        </is>
      </c>
      <c r="P2219" s="7" t="inlineStr">
        <is>
          <t>STANDARD</t>
        </is>
      </c>
      <c r="Q2219" s="7" t="inlineStr">
        <is>
          <t>DEMO</t>
        </is>
      </c>
      <c r="R2219" s="7" t="inlineStr">
        <is>
          <t>NON</t>
        </is>
      </c>
      <c r="S2219" s="7" t="inlineStr">
        <is>
          <t>31/08/2026 02:59</t>
        </is>
      </c>
    </row>
    <row r="2220">
      <c r="A2220" s="8" t="inlineStr">
        <is>
          <t>LUB-004</t>
        </is>
      </c>
      <c r="B2220" s="8" t="inlineStr">
        <is>
          <t>LUB-004</t>
        </is>
      </c>
      <c r="C2220" s="8" t="inlineStr">
        <is>
          <t>Liquide de refroidissement -35 °C 20 L</t>
        </is>
      </c>
      <c r="D2220" s="8" t="inlineStr">
        <is>
          <t>Lubrifiants</t>
        </is>
      </c>
      <c r="E2220" s="8" t="inlineStr">
        <is>
          <t>Lubrifiants</t>
        </is>
      </c>
      <c r="F2220" s="8" t="inlineStr">
        <is>
          <t>CONSOMMABLE</t>
        </is>
      </c>
      <c r="G2220" s="8" t="inlineStr">
        <is>
          <t>bidon</t>
        </is>
      </c>
      <c r="H2220" s="8" t="inlineStr">
        <is>
          <t>SMALL</t>
        </is>
      </c>
      <c r="I2220" s="8" t="n">
        <v>5</v>
      </c>
      <c r="J2220" s="8" t="inlineStr">
        <is>
          <t>A-03-01</t>
        </is>
      </c>
      <c r="K2220" s="8" t="inlineStr"/>
      <c r="L2220" s="10" t="n">
        <v>0</v>
      </c>
      <c r="M2220" s="10" t="n">
        <v>0</v>
      </c>
      <c r="N2220" s="10" t="n">
        <v>48</v>
      </c>
      <c r="O2220" s="8" t="inlineStr">
        <is>
          <t>HEL</t>
        </is>
      </c>
      <c r="P2220" s="8" t="inlineStr">
        <is>
          <t>STANDARD</t>
        </is>
      </c>
      <c r="Q2220" s="8" t="inlineStr">
        <is>
          <t>DEMO</t>
        </is>
      </c>
      <c r="R2220" s="8" t="inlineStr">
        <is>
          <t>NON</t>
        </is>
      </c>
      <c r="S2220" s="8" t="inlineStr">
        <is>
          <t>31/08/2026 02:59</t>
        </is>
      </c>
    </row>
    <row r="2221">
      <c r="A2221" s="7" t="inlineStr">
        <is>
          <t>LUB-005</t>
        </is>
      </c>
      <c r="B2221" s="7" t="inlineStr">
        <is>
          <t>LUB-005</t>
        </is>
      </c>
      <c r="C2221" s="7" t="inlineStr">
        <is>
          <t>Liquide de frein DOT 4 1 L</t>
        </is>
      </c>
      <c r="D2221" s="7" t="inlineStr">
        <is>
          <t>Lubrifiants</t>
        </is>
      </c>
      <c r="E2221" s="7" t="inlineStr">
        <is>
          <t>Lubrifiants</t>
        </is>
      </c>
      <c r="F2221" s="7" t="inlineStr">
        <is>
          <t>CONSOMMABLE</t>
        </is>
      </c>
      <c r="G2221" s="7" t="inlineStr">
        <is>
          <t>flacon</t>
        </is>
      </c>
      <c r="H2221" s="7" t="inlineStr">
        <is>
          <t>SMALL</t>
        </is>
      </c>
      <c r="I2221" s="7" t="n">
        <v>5</v>
      </c>
      <c r="J2221" s="7" t="inlineStr">
        <is>
          <t>C-04-01</t>
        </is>
      </c>
      <c r="K2221" s="7" t="inlineStr"/>
      <c r="L2221" s="9" t="n">
        <v>0</v>
      </c>
      <c r="M2221" s="9" t="n">
        <v>0</v>
      </c>
      <c r="N2221" s="9" t="n">
        <v>47</v>
      </c>
      <c r="O2221" s="7" t="inlineStr">
        <is>
          <t>DEL</t>
        </is>
      </c>
      <c r="P2221" s="7" t="inlineStr">
        <is>
          <t>STANDARD</t>
        </is>
      </c>
      <c r="Q2221" s="7" t="inlineStr">
        <is>
          <t>DEMO</t>
        </is>
      </c>
      <c r="R2221" s="7" t="inlineStr">
        <is>
          <t>NON</t>
        </is>
      </c>
      <c r="S2221" s="7" t="inlineStr">
        <is>
          <t>31/08/2026 02:59</t>
        </is>
      </c>
    </row>
    <row r="2222">
      <c r="A2222" s="8" t="inlineStr">
        <is>
          <t>NET-001</t>
        </is>
      </c>
      <c r="B2222" s="8" t="inlineStr">
        <is>
          <t>NET-001</t>
        </is>
      </c>
      <c r="C2222" s="8" t="inlineStr">
        <is>
          <t>Dégraissant industriel 5 L</t>
        </is>
      </c>
      <c r="D2222" s="8" t="inlineStr">
        <is>
          <t>Nettoyage</t>
        </is>
      </c>
      <c r="E2222" s="8" t="inlineStr">
        <is>
          <t>Nettoyage</t>
        </is>
      </c>
      <c r="F2222" s="8" t="inlineStr">
        <is>
          <t>CONSOMMABLE</t>
        </is>
      </c>
      <c r="G2222" s="8" t="inlineStr">
        <is>
          <t>bidon</t>
        </is>
      </c>
      <c r="H2222" s="8" t="inlineStr">
        <is>
          <t>SMALL</t>
        </is>
      </c>
      <c r="I2222" s="8" t="n">
        <v>5</v>
      </c>
      <c r="J2222" s="8" t="inlineStr">
        <is>
          <t>E-03-02 : 1200</t>
        </is>
      </c>
      <c r="K2222" s="8" t="inlineStr"/>
      <c r="L2222" s="10" t="n">
        <v>1200</v>
      </c>
      <c r="M2222" s="10" t="n">
        <v>1200</v>
      </c>
      <c r="N2222" s="10" t="n">
        <v>50</v>
      </c>
      <c r="O2222" s="8" t="inlineStr">
        <is>
          <t>BOS</t>
        </is>
      </c>
      <c r="P2222" s="8" t="inlineStr">
        <is>
          <t>STANDARD</t>
        </is>
      </c>
      <c r="Q2222" s="8" t="inlineStr">
        <is>
          <t>DEMO</t>
        </is>
      </c>
      <c r="R2222" s="8" t="inlineStr">
        <is>
          <t>NON</t>
        </is>
      </c>
      <c r="S2222" s="8" t="inlineStr">
        <is>
          <t>31/08/2026 02:59</t>
        </is>
      </c>
    </row>
    <row r="2223">
      <c r="A2223" s="7" t="inlineStr">
        <is>
          <t>NET-002</t>
        </is>
      </c>
      <c r="B2223" s="7" t="inlineStr">
        <is>
          <t>NET-002</t>
        </is>
      </c>
      <c r="C2223" s="7" t="inlineStr">
        <is>
          <t>Chiffon non pelucheux (lot de 50)</t>
        </is>
      </c>
      <c r="D2223" s="7" t="inlineStr">
        <is>
          <t>Nettoyage</t>
        </is>
      </c>
      <c r="E2223" s="7" t="inlineStr">
        <is>
          <t>Nettoyage</t>
        </is>
      </c>
      <c r="F2223" s="7" t="inlineStr">
        <is>
          <t>CONSOMMABLE</t>
        </is>
      </c>
      <c r="G2223" s="7" t="inlineStr">
        <is>
          <t>lot</t>
        </is>
      </c>
      <c r="H2223" s="7" t="inlineStr">
        <is>
          <t>SMALL</t>
        </is>
      </c>
      <c r="I2223" s="7" t="n">
        <v>5</v>
      </c>
      <c r="J2223" s="7" t="inlineStr">
        <is>
          <t>C-03-03 : 1860</t>
        </is>
      </c>
      <c r="K2223" s="7" t="inlineStr"/>
      <c r="L2223" s="9" t="n">
        <v>1860</v>
      </c>
      <c r="M2223" s="9" t="n">
        <v>1860</v>
      </c>
      <c r="N2223" s="9" t="n">
        <v>44</v>
      </c>
      <c r="O2223" s="7" t="inlineStr">
        <is>
          <t>BOS</t>
        </is>
      </c>
      <c r="P2223" s="7" t="inlineStr">
        <is>
          <t>STANDARD</t>
        </is>
      </c>
      <c r="Q2223" s="7" t="inlineStr">
        <is>
          <t>DEMO</t>
        </is>
      </c>
      <c r="R2223" s="7" t="inlineStr">
        <is>
          <t>NON</t>
        </is>
      </c>
      <c r="S2223" s="7" t="inlineStr">
        <is>
          <t>31/08/2026 02:59</t>
        </is>
      </c>
    </row>
    <row r="2224">
      <c r="A2224" s="8" t="inlineStr">
        <is>
          <t>NET-003</t>
        </is>
      </c>
      <c r="B2224" s="8" t="inlineStr">
        <is>
          <t>NET-003</t>
        </is>
      </c>
      <c r="C2224" s="8" t="inlineStr">
        <is>
          <t>Absorbant granulé 20 kg</t>
        </is>
      </c>
      <c r="D2224" s="8" t="inlineStr">
        <is>
          <t>Nettoyage</t>
        </is>
      </c>
      <c r="E2224" s="8" t="inlineStr">
        <is>
          <t>Nettoyage</t>
        </is>
      </c>
      <c r="F2224" s="8" t="inlineStr">
        <is>
          <t>CONSOMMABLE</t>
        </is>
      </c>
      <c r="G2224" s="8" t="inlineStr">
        <is>
          <t>sac</t>
        </is>
      </c>
      <c r="H2224" s="8" t="inlineStr">
        <is>
          <t>SMALL</t>
        </is>
      </c>
      <c r="I2224" s="8" t="n">
        <v>5</v>
      </c>
      <c r="J2224" s="8" t="inlineStr">
        <is>
          <t>C-02-02</t>
        </is>
      </c>
      <c r="K2224" s="8" t="inlineStr"/>
      <c r="L2224" s="10" t="n">
        <v>0</v>
      </c>
      <c r="M2224" s="10" t="n">
        <v>0</v>
      </c>
      <c r="N2224" s="10" t="n">
        <v>43</v>
      </c>
      <c r="O2224" s="8" t="inlineStr">
        <is>
          <t>SUM</t>
        </is>
      </c>
      <c r="P2224" s="8" t="inlineStr">
        <is>
          <t>STANDARD</t>
        </is>
      </c>
      <c r="Q2224" s="8" t="inlineStr">
        <is>
          <t>DEMO</t>
        </is>
      </c>
      <c r="R2224" s="8" t="inlineStr">
        <is>
          <t>NON</t>
        </is>
      </c>
      <c r="S2224" s="8" t="inlineStr">
        <is>
          <t>31/08/2026 02:59</t>
        </is>
      </c>
    </row>
    <row r="2225">
      <c r="A2225" s="7" t="inlineStr">
        <is>
          <t>EPI-001</t>
        </is>
      </c>
      <c r="B2225" s="7" t="inlineStr">
        <is>
          <t>EPI-001</t>
        </is>
      </c>
      <c r="C2225" s="7" t="inlineStr">
        <is>
          <t>Gants nitrile taille 9 (boîte de 100)</t>
        </is>
      </c>
      <c r="D2225" s="7" t="inlineStr">
        <is>
          <t>Protection</t>
        </is>
      </c>
      <c r="E2225" s="7" t="inlineStr">
        <is>
          <t>Protection</t>
        </is>
      </c>
      <c r="F2225" s="7" t="inlineStr">
        <is>
          <t>CONSOMMABLE</t>
        </is>
      </c>
      <c r="G2225" s="7" t="inlineStr">
        <is>
          <t>boîte</t>
        </is>
      </c>
      <c r="H2225" s="7" t="inlineStr">
        <is>
          <t>SMALL</t>
        </is>
      </c>
      <c r="I2225" s="7" t="n">
        <v>5</v>
      </c>
      <c r="J2225" s="7" t="inlineStr">
        <is>
          <t>E-05-01 : 890</t>
        </is>
      </c>
      <c r="K2225" s="7" t="inlineStr"/>
      <c r="L2225" s="9" t="n">
        <v>890</v>
      </c>
      <c r="M2225" s="9" t="n">
        <v>890</v>
      </c>
      <c r="N2225" s="9" t="n">
        <v>49</v>
      </c>
      <c r="O2225" s="7" t="inlineStr">
        <is>
          <t>BOS</t>
        </is>
      </c>
      <c r="P2225" s="7" t="inlineStr">
        <is>
          <t>STANDARD</t>
        </is>
      </c>
      <c r="Q2225" s="7" t="inlineStr">
        <is>
          <t>DEMO</t>
        </is>
      </c>
      <c r="R2225" s="7" t="inlineStr">
        <is>
          <t>NON</t>
        </is>
      </c>
      <c r="S2225" s="7" t="inlineStr">
        <is>
          <t>31/08/2026 02:59</t>
        </is>
      </c>
    </row>
    <row r="2226">
      <c r="A2226" s="8" t="inlineStr">
        <is>
          <t>EPI-002</t>
        </is>
      </c>
      <c r="B2226" s="8" t="inlineStr">
        <is>
          <t>EPI-002</t>
        </is>
      </c>
      <c r="C2226" s="8" t="inlineStr">
        <is>
          <t>Lunettes de protection</t>
        </is>
      </c>
      <c r="D2226" s="8" t="inlineStr">
        <is>
          <t>Protection</t>
        </is>
      </c>
      <c r="E2226" s="8" t="inlineStr">
        <is>
          <t>Protection</t>
        </is>
      </c>
      <c r="F2226" s="8" t="inlineStr">
        <is>
          <t>CONSOMMABLE</t>
        </is>
      </c>
      <c r="G2226" s="8" t="inlineStr">
        <is>
          <t>unité</t>
        </is>
      </c>
      <c r="H2226" s="8" t="inlineStr">
        <is>
          <t>SMALL</t>
        </is>
      </c>
      <c r="I2226" s="8" t="n">
        <v>5</v>
      </c>
      <c r="J2226" s="8" t="inlineStr">
        <is>
          <t>E-01-04 : 1300</t>
        </is>
      </c>
      <c r="K2226" s="8" t="inlineStr"/>
      <c r="L2226" s="10" t="n">
        <v>1300</v>
      </c>
      <c r="M2226" s="10" t="n">
        <v>1300</v>
      </c>
      <c r="N2226" s="10" t="n">
        <v>44</v>
      </c>
      <c r="O2226" s="8" t="inlineStr">
        <is>
          <t>MAG</t>
        </is>
      </c>
      <c r="P2226" s="8" t="inlineStr">
        <is>
          <t>STANDARD</t>
        </is>
      </c>
      <c r="Q2226" s="8" t="inlineStr">
        <is>
          <t>DEMO</t>
        </is>
      </c>
      <c r="R2226" s="8" t="inlineStr">
        <is>
          <t>NON</t>
        </is>
      </c>
      <c r="S2226" s="8" t="inlineStr">
        <is>
          <t>31/08/2026 02:59</t>
        </is>
      </c>
    </row>
    <row r="2227">
      <c r="A2227" s="7" t="inlineStr">
        <is>
          <t>SEC-001</t>
        </is>
      </c>
      <c r="B2227" s="7" t="inlineStr">
        <is>
          <t>SEC-001</t>
        </is>
      </c>
      <c r="C2227" s="7" t="inlineStr">
        <is>
          <t>Extincteur poudre ABC 2 kg</t>
        </is>
      </c>
      <c r="D2227" s="7" t="inlineStr">
        <is>
          <t>Sécurité</t>
        </is>
      </c>
      <c r="E2227" s="7" t="inlineStr">
        <is>
          <t>Sécurité</t>
        </is>
      </c>
      <c r="F2227" s="7" t="inlineStr">
        <is>
          <t>EQUIPEMENT_VEHICULE</t>
        </is>
      </c>
      <c r="G2227" s="7" t="inlineStr">
        <is>
          <t>unité</t>
        </is>
      </c>
      <c r="H2227" s="7" t="inlineStr">
        <is>
          <t>LARGE</t>
        </is>
      </c>
      <c r="I2227" s="7" t="n">
        <v>0</v>
      </c>
      <c r="J2227" s="7" t="inlineStr">
        <is>
          <t>F-04-01 : 35</t>
        </is>
      </c>
      <c r="K2227" s="7" t="inlineStr"/>
      <c r="L2227" s="9" t="n">
        <v>35</v>
      </c>
      <c r="M2227" s="9" t="n">
        <v>35</v>
      </c>
      <c r="N2227" s="9" t="n">
        <v>48</v>
      </c>
      <c r="O2227" s="7" t="inlineStr">
        <is>
          <t>CTL</t>
        </is>
      </c>
      <c r="P2227" s="7" t="inlineStr">
        <is>
          <t>STANDARD</t>
        </is>
      </c>
      <c r="Q2227" s="7" t="inlineStr">
        <is>
          <t>DEMO</t>
        </is>
      </c>
      <c r="R2227" s="7" t="inlineStr">
        <is>
          <t>NON</t>
        </is>
      </c>
      <c r="S2227" s="7" t="inlineStr">
        <is>
          <t>31/08/2026 02:59</t>
        </is>
      </c>
    </row>
    <row r="2228">
      <c r="A2228" s="8" t="inlineStr">
        <is>
          <t>SEC-002</t>
        </is>
      </c>
      <c r="B2228" s="8" t="inlineStr">
        <is>
          <t>SEC-002</t>
        </is>
      </c>
      <c r="C2228" s="8" t="inlineStr">
        <is>
          <t>Extincteur poudre ABC 6 kg</t>
        </is>
      </c>
      <c r="D2228" s="8" t="inlineStr">
        <is>
          <t>Sécurité</t>
        </is>
      </c>
      <c r="E2228" s="8" t="inlineStr">
        <is>
          <t>Sécurité</t>
        </is>
      </c>
      <c r="F2228" s="8" t="inlineStr">
        <is>
          <t>EQUIPEMENT_VEHICULE</t>
        </is>
      </c>
      <c r="G2228" s="8" t="inlineStr">
        <is>
          <t>unité</t>
        </is>
      </c>
      <c r="H2228" s="8" t="inlineStr">
        <is>
          <t>LARGE</t>
        </is>
      </c>
      <c r="I2228" s="8" t="n">
        <v>0</v>
      </c>
      <c r="J2228" s="8" t="inlineStr">
        <is>
          <t>D-03-02 : 94</t>
        </is>
      </c>
      <c r="K2228" s="8" t="inlineStr"/>
      <c r="L2228" s="10" t="n">
        <v>94</v>
      </c>
      <c r="M2228" s="10" t="n">
        <v>94</v>
      </c>
      <c r="N2228" s="10" t="n">
        <v>48</v>
      </c>
      <c r="O2228" s="8" t="inlineStr">
        <is>
          <t>FAU</t>
        </is>
      </c>
      <c r="P2228" s="8" t="inlineStr">
        <is>
          <t>STANDARD</t>
        </is>
      </c>
      <c r="Q2228" s="8" t="inlineStr">
        <is>
          <t>DEMO</t>
        </is>
      </c>
      <c r="R2228" s="8" t="inlineStr">
        <is>
          <t>NON</t>
        </is>
      </c>
      <c r="S2228" s="8" t="inlineStr">
        <is>
          <t>31/08/2026 02:59</t>
        </is>
      </c>
    </row>
    <row r="2229">
      <c r="A2229" s="7" t="inlineStr">
        <is>
          <t>SEC-003</t>
        </is>
      </c>
      <c r="B2229" s="7" t="inlineStr">
        <is>
          <t>SEC-003</t>
        </is>
      </c>
      <c r="C2229" s="7" t="inlineStr">
        <is>
          <t>Trousse de premiers secours véhicule</t>
        </is>
      </c>
      <c r="D2229" s="7" t="inlineStr">
        <is>
          <t>Sécurité</t>
        </is>
      </c>
      <c r="E2229" s="7" t="inlineStr">
        <is>
          <t>Sécurité</t>
        </is>
      </c>
      <c r="F2229" s="7" t="inlineStr">
        <is>
          <t>EQUIPEMENT_VEHICULE</t>
        </is>
      </c>
      <c r="G2229" s="7" t="inlineStr">
        <is>
          <t>unité</t>
        </is>
      </c>
      <c r="H2229" s="7" t="inlineStr">
        <is>
          <t>LARGE</t>
        </is>
      </c>
      <c r="I2229" s="7" t="n">
        <v>0</v>
      </c>
      <c r="J2229" s="7" t="inlineStr">
        <is>
          <t>B-05-03</t>
        </is>
      </c>
      <c r="K2229" s="7" t="inlineStr"/>
      <c r="L2229" s="9" t="n">
        <v>0</v>
      </c>
      <c r="M2229" s="9" t="n">
        <v>0</v>
      </c>
      <c r="N2229" s="9" t="n">
        <v>42</v>
      </c>
      <c r="O2229" s="7" t="inlineStr">
        <is>
          <t>YZK</t>
        </is>
      </c>
      <c r="P2229" s="7" t="inlineStr">
        <is>
          <t>STANDARD</t>
        </is>
      </c>
      <c r="Q2229" s="7" t="inlineStr">
        <is>
          <t>DEMO</t>
        </is>
      </c>
      <c r="R2229" s="7" t="inlineStr">
        <is>
          <t>NON</t>
        </is>
      </c>
      <c r="S2229" s="7" t="inlineStr">
        <is>
          <t>31/08/2026 02:59</t>
        </is>
      </c>
    </row>
    <row r="2230">
      <c r="A2230" s="8" t="inlineStr">
        <is>
          <t>SEC-004</t>
        </is>
      </c>
      <c r="B2230" s="8" t="inlineStr">
        <is>
          <t>SEC-004</t>
        </is>
      </c>
      <c r="C2230" s="8" t="inlineStr">
        <is>
          <t>Triangle de signalisation</t>
        </is>
      </c>
      <c r="D2230" s="8" t="inlineStr">
        <is>
          <t>Sécurité</t>
        </is>
      </c>
      <c r="E2230" s="8" t="inlineStr">
        <is>
          <t>Sécurité</t>
        </is>
      </c>
      <c r="F2230" s="8" t="inlineStr">
        <is>
          <t>EQUIPEMENT_VEHICULE</t>
        </is>
      </c>
      <c r="G2230" s="8" t="inlineStr">
        <is>
          <t>unité</t>
        </is>
      </c>
      <c r="H2230" s="8" t="inlineStr">
        <is>
          <t>LARGE</t>
        </is>
      </c>
      <c r="I2230" s="8" t="n">
        <v>0</v>
      </c>
      <c r="J2230" s="8" t="inlineStr">
        <is>
          <t>D-01-03</t>
        </is>
      </c>
      <c r="K2230" s="8" t="inlineStr"/>
      <c r="L2230" s="10" t="n">
        <v>0</v>
      </c>
      <c r="M2230" s="10" t="n">
        <v>0</v>
      </c>
      <c r="N2230" s="10" t="n">
        <v>45</v>
      </c>
      <c r="O2230" s="8" t="inlineStr">
        <is>
          <t>VAL</t>
        </is>
      </c>
      <c r="P2230" s="8" t="inlineStr">
        <is>
          <t>STANDARD</t>
        </is>
      </c>
      <c r="Q2230" s="8" t="inlineStr">
        <is>
          <t>DEMO</t>
        </is>
      </c>
      <c r="R2230" s="8" t="inlineStr">
        <is>
          <t>NON</t>
        </is>
      </c>
      <c r="S2230" s="8" t="inlineStr">
        <is>
          <t>31/08/2026 02:59</t>
        </is>
      </c>
    </row>
    <row r="2231">
      <c r="A2231" s="7" t="inlineStr">
        <is>
          <t>SEC-005</t>
        </is>
      </c>
      <c r="B2231" s="7" t="inlineStr">
        <is>
          <t>SEC-005</t>
        </is>
      </c>
      <c r="C2231" s="7" t="inlineStr">
        <is>
          <t>Cale de roue caoutchouc</t>
        </is>
      </c>
      <c r="D2231" s="7" t="inlineStr">
        <is>
          <t>Sécurité</t>
        </is>
      </c>
      <c r="E2231" s="7" t="inlineStr">
        <is>
          <t>Sécurité</t>
        </is>
      </c>
      <c r="F2231" s="7" t="inlineStr">
        <is>
          <t>EQUIPEMENT_VEHICULE</t>
        </is>
      </c>
      <c r="G2231" s="7" t="inlineStr">
        <is>
          <t>unité</t>
        </is>
      </c>
      <c r="H2231" s="7" t="inlineStr">
        <is>
          <t>LARGE</t>
        </is>
      </c>
      <c r="I2231" s="7" t="n">
        <v>0</v>
      </c>
      <c r="J2231" s="7" t="inlineStr">
        <is>
          <t>D-03-04</t>
        </is>
      </c>
      <c r="K2231" s="7" t="inlineStr"/>
      <c r="L2231" s="9" t="n">
        <v>0</v>
      </c>
      <c r="M2231" s="9" t="n">
        <v>0</v>
      </c>
      <c r="N2231" s="9" t="n">
        <v>41</v>
      </c>
      <c r="O2231" s="7" t="inlineStr">
        <is>
          <t>YZK</t>
        </is>
      </c>
      <c r="P2231" s="7" t="inlineStr">
        <is>
          <t>STANDARD</t>
        </is>
      </c>
      <c r="Q2231" s="7" t="inlineStr">
        <is>
          <t>DEMO</t>
        </is>
      </c>
      <c r="R2231" s="7" t="inlineStr">
        <is>
          <t>NON</t>
        </is>
      </c>
      <c r="S2231" s="7" t="inlineStr">
        <is>
          <t>31/08/2026 02:59</t>
        </is>
      </c>
    </row>
    <row r="2232">
      <c r="A2232" s="8" t="inlineStr">
        <is>
          <t>SEC-006</t>
        </is>
      </c>
      <c r="B2232" s="8" t="inlineStr">
        <is>
          <t>SEC-006</t>
        </is>
      </c>
      <c r="C2232" s="8" t="inlineStr">
        <is>
          <t>Gilet haute visibilité</t>
        </is>
      </c>
      <c r="D2232" s="8" t="inlineStr">
        <is>
          <t>Sécurité</t>
        </is>
      </c>
      <c r="E2232" s="8" t="inlineStr">
        <is>
          <t>Sécurité</t>
        </is>
      </c>
      <c r="F2232" s="8" t="inlineStr">
        <is>
          <t>EQUIPEMENT_VEHICULE</t>
        </is>
      </c>
      <c r="G2232" s="8" t="inlineStr">
        <is>
          <t>unité</t>
        </is>
      </c>
      <c r="H2232" s="8" t="inlineStr">
        <is>
          <t>LARGE</t>
        </is>
      </c>
      <c r="I2232" s="8" t="n">
        <v>0</v>
      </c>
      <c r="J2232" s="8" t="inlineStr">
        <is>
          <t>D-05-03</t>
        </is>
      </c>
      <c r="K2232" s="8" t="inlineStr"/>
      <c r="L2232" s="10" t="n">
        <v>0</v>
      </c>
      <c r="M2232" s="10" t="n">
        <v>0</v>
      </c>
      <c r="N2232" s="10" t="n">
        <v>48</v>
      </c>
      <c r="O2232" s="8" t="inlineStr">
        <is>
          <t>VAL</t>
        </is>
      </c>
      <c r="P2232" s="8" t="inlineStr">
        <is>
          <t>STANDARD</t>
        </is>
      </c>
      <c r="Q2232" s="8" t="inlineStr">
        <is>
          <t>DEMO</t>
        </is>
      </c>
      <c r="R2232" s="8" t="inlineStr">
        <is>
          <t>NON</t>
        </is>
      </c>
      <c r="S2232" s="8" t="inlineStr">
        <is>
          <t>31/08/2026 02:59</t>
        </is>
      </c>
    </row>
    <row r="2233">
      <c r="A2233" s="7" t="inlineStr">
        <is>
          <t>ACC-001</t>
        </is>
      </c>
      <c r="B2233" s="7" t="inlineStr">
        <is>
          <t>ACC-001</t>
        </is>
      </c>
      <c r="C2233" s="7" t="inlineStr">
        <is>
          <t>Jeu de tapis de sol</t>
        </is>
      </c>
      <c r="D2233" s="7" t="inlineStr">
        <is>
          <t>Accessoires</t>
        </is>
      </c>
      <c r="E2233" s="7" t="inlineStr">
        <is>
          <t>Accessoires</t>
        </is>
      </c>
      <c r="F2233" s="7" t="inlineStr">
        <is>
          <t>ACCESSOIRE</t>
        </is>
      </c>
      <c r="G2233" s="7" t="inlineStr">
        <is>
          <t>jeu</t>
        </is>
      </c>
      <c r="H2233" s="7" t="inlineStr">
        <is>
          <t>SMALL</t>
        </is>
      </c>
      <c r="I2233" s="7" t="n">
        <v>5</v>
      </c>
      <c r="J2233" s="7" t="inlineStr">
        <is>
          <t>C-03-04 : 350</t>
        </is>
      </c>
      <c r="K2233" s="7" t="inlineStr"/>
      <c r="L2233" s="9" t="n">
        <v>350</v>
      </c>
      <c r="M2233" s="9" t="n">
        <v>350</v>
      </c>
      <c r="N2233" s="9" t="n">
        <v>47</v>
      </c>
      <c r="O2233" s="7" t="inlineStr">
        <is>
          <t>SUM</t>
        </is>
      </c>
      <c r="P2233" s="7" t="inlineStr">
        <is>
          <t>STANDARD</t>
        </is>
      </c>
      <c r="Q2233" s="7" t="inlineStr">
        <is>
          <t>DEMO</t>
        </is>
      </c>
      <c r="R2233" s="7" t="inlineStr">
        <is>
          <t>NON</t>
        </is>
      </c>
      <c r="S2233" s="7" t="inlineStr">
        <is>
          <t>31/08/2026 02:59</t>
        </is>
      </c>
    </row>
    <row r="2234">
      <c r="A2234" s="8" t="inlineStr">
        <is>
          <t>ACC-002</t>
        </is>
      </c>
      <c r="B2234" s="8" t="inlineStr">
        <is>
          <t>ACC-002</t>
        </is>
      </c>
      <c r="C2234" s="8" t="inlineStr">
        <is>
          <t>Housse de siège renforcée</t>
        </is>
      </c>
      <c r="D2234" s="8" t="inlineStr">
        <is>
          <t>Accessoires</t>
        </is>
      </c>
      <c r="E2234" s="8" t="inlineStr">
        <is>
          <t>Accessoires</t>
        </is>
      </c>
      <c r="F2234" s="8" t="inlineStr">
        <is>
          <t>ACCESSOIRE</t>
        </is>
      </c>
      <c r="G2234" s="8" t="inlineStr">
        <is>
          <t>unité</t>
        </is>
      </c>
      <c r="H2234" s="8" t="inlineStr">
        <is>
          <t>SMALL</t>
        </is>
      </c>
      <c r="I2234" s="8" t="n">
        <v>5</v>
      </c>
      <c r="J2234" s="8" t="inlineStr">
        <is>
          <t>D-04-01 : 380</t>
        </is>
      </c>
      <c r="K2234" s="8" t="inlineStr"/>
      <c r="L2234" s="10" t="n">
        <v>380</v>
      </c>
      <c r="M2234" s="10" t="n">
        <v>380</v>
      </c>
      <c r="N2234" s="10" t="n">
        <v>50</v>
      </c>
      <c r="O2234" s="8" t="inlineStr">
        <is>
          <t>VAL</t>
        </is>
      </c>
      <c r="P2234" s="8" t="inlineStr">
        <is>
          <t>STANDARD</t>
        </is>
      </c>
      <c r="Q2234" s="8" t="inlineStr">
        <is>
          <t>DEMO</t>
        </is>
      </c>
      <c r="R2234" s="8" t="inlineStr">
        <is>
          <t>NON</t>
        </is>
      </c>
      <c r="S2234" s="8" t="inlineStr">
        <is>
          <t>31/08/2026 02:59</t>
        </is>
      </c>
    </row>
    <row r="2235">
      <c r="A2235" s="7" t="inlineStr">
        <is>
          <t>ACC-003</t>
        </is>
      </c>
      <c r="B2235" s="7" t="inlineStr">
        <is>
          <t>ACC-003</t>
        </is>
      </c>
      <c r="C2235" s="7" t="inlineStr">
        <is>
          <t>Sangle d'arrimage 5 t</t>
        </is>
      </c>
      <c r="D2235" s="7" t="inlineStr">
        <is>
          <t>Accessoires</t>
        </is>
      </c>
      <c r="E2235" s="7" t="inlineStr">
        <is>
          <t>Accessoires</t>
        </is>
      </c>
      <c r="F2235" s="7" t="inlineStr">
        <is>
          <t>ACCESSOIRE</t>
        </is>
      </c>
      <c r="G2235" s="7" t="inlineStr">
        <is>
          <t>unité</t>
        </is>
      </c>
      <c r="H2235" s="7" t="inlineStr">
        <is>
          <t>SMALL</t>
        </is>
      </c>
      <c r="I2235" s="7" t="n">
        <v>5</v>
      </c>
      <c r="J2235" s="7" t="inlineStr">
        <is>
          <t>A-05-01</t>
        </is>
      </c>
      <c r="K2235" s="7" t="inlineStr"/>
      <c r="L2235" s="9" t="n">
        <v>0</v>
      </c>
      <c r="M2235" s="9" t="n">
        <v>0</v>
      </c>
      <c r="N2235" s="9" t="n">
        <v>50</v>
      </c>
      <c r="O2235" s="7" t="inlineStr">
        <is>
          <t>SUM</t>
        </is>
      </c>
      <c r="P2235" s="7" t="inlineStr">
        <is>
          <t>STANDARD</t>
        </is>
      </c>
      <c r="Q2235" s="7" t="inlineStr">
        <is>
          <t>DEMO</t>
        </is>
      </c>
      <c r="R2235" s="7" t="inlineStr">
        <is>
          <t>NON</t>
        </is>
      </c>
      <c r="S2235" s="7" t="inlineStr">
        <is>
          <t>31/08/2026 02:59</t>
        </is>
      </c>
    </row>
    <row r="2236">
      <c r="A2236" s="8" t="inlineStr">
        <is>
          <t>ACC-004</t>
        </is>
      </c>
      <c r="B2236" s="8" t="inlineStr">
        <is>
          <t>ACC-004</t>
        </is>
      </c>
      <c r="C2236" s="8" t="inlineStr">
        <is>
          <t>Bâche de protection 6 x 4 m</t>
        </is>
      </c>
      <c r="D2236" s="8" t="inlineStr">
        <is>
          <t>Accessoires</t>
        </is>
      </c>
      <c r="E2236" s="8" t="inlineStr">
        <is>
          <t>Accessoires</t>
        </is>
      </c>
      <c r="F2236" s="8" t="inlineStr">
        <is>
          <t>ACCESSOIRE</t>
        </is>
      </c>
      <c r="G2236" s="8" t="inlineStr">
        <is>
          <t>unité</t>
        </is>
      </c>
      <c r="H2236" s="8" t="inlineStr">
        <is>
          <t>SMALL</t>
        </is>
      </c>
      <c r="I2236" s="8" t="n">
        <v>5</v>
      </c>
      <c r="J2236" s="8" t="inlineStr">
        <is>
          <t>B-06-04</t>
        </is>
      </c>
      <c r="K2236" s="8" t="inlineStr"/>
      <c r="L2236" s="10" t="n">
        <v>0</v>
      </c>
      <c r="M2236" s="10" t="n">
        <v>0</v>
      </c>
      <c r="N2236" s="10" t="n">
        <v>49</v>
      </c>
      <c r="O2236" s="8" t="inlineStr">
        <is>
          <t>CTL</t>
        </is>
      </c>
      <c r="P2236" s="8" t="inlineStr">
        <is>
          <t>STANDARD</t>
        </is>
      </c>
      <c r="Q2236" s="8" t="inlineStr">
        <is>
          <t>DEMO</t>
        </is>
      </c>
      <c r="R2236" s="8" t="inlineStr">
        <is>
          <t>NON</t>
        </is>
      </c>
      <c r="S2236" s="8" t="inlineStr">
        <is>
          <t>31/08/2026 02:59</t>
        </is>
      </c>
    </row>
    <row r="2237">
      <c r="A2237" s="7" t="inlineStr">
        <is>
          <t>ACC-005</t>
        </is>
      </c>
      <c r="B2237" s="7" t="inlineStr">
        <is>
          <t>ACC-005</t>
        </is>
      </c>
      <c r="C2237" s="7" t="inlineStr">
        <is>
          <t>Kit d'outillage de bord</t>
        </is>
      </c>
      <c r="D2237" s="7" t="inlineStr">
        <is>
          <t>Accessoires</t>
        </is>
      </c>
      <c r="E2237" s="7" t="inlineStr">
        <is>
          <t>Accessoires</t>
        </is>
      </c>
      <c r="F2237" s="7" t="inlineStr">
        <is>
          <t>ACCESSOIRE</t>
        </is>
      </c>
      <c r="G2237" s="7" t="inlineStr">
        <is>
          <t>kit</t>
        </is>
      </c>
      <c r="H2237" s="7" t="inlineStr">
        <is>
          <t>SMALL</t>
        </is>
      </c>
      <c r="I2237" s="7" t="n">
        <v>5</v>
      </c>
      <c r="J2237" s="7" t="inlineStr">
        <is>
          <t>B-02-01</t>
        </is>
      </c>
      <c r="K2237" s="7" t="inlineStr"/>
      <c r="L2237" s="9" t="n">
        <v>0</v>
      </c>
      <c r="M2237" s="9" t="n">
        <v>0</v>
      </c>
      <c r="N2237" s="9" t="n">
        <v>44</v>
      </c>
      <c r="O2237" s="7" t="inlineStr">
        <is>
          <t>SKF</t>
        </is>
      </c>
      <c r="P2237" s="7" t="inlineStr">
        <is>
          <t>STANDARD</t>
        </is>
      </c>
      <c r="Q2237" s="7" t="inlineStr">
        <is>
          <t>DEMO</t>
        </is>
      </c>
      <c r="R2237" s="7" t="inlineStr">
        <is>
          <t>NON</t>
        </is>
      </c>
      <c r="S2237" s="7" t="inlineStr">
        <is>
          <t>31/08/2026 02:59</t>
        </is>
      </c>
    </row>
    <row r="2238">
      <c r="A2238" s="8" t="inlineStr">
        <is>
          <t>EMB-001</t>
        </is>
      </c>
      <c r="B2238" s="8" t="inlineStr">
        <is>
          <t>EMB-001</t>
        </is>
      </c>
      <c r="C2238" s="8" t="inlineStr">
        <is>
          <t>Carton double cannelure 600x400x400</t>
        </is>
      </c>
      <c r="D2238" s="8" t="inlineStr">
        <is>
          <t>Emballage</t>
        </is>
      </c>
      <c r="E2238" s="8" t="inlineStr">
        <is>
          <t>Emballage</t>
        </is>
      </c>
      <c r="F2238" s="8" t="inlineStr">
        <is>
          <t>EMBALLAGE</t>
        </is>
      </c>
      <c r="G2238" s="8" t="inlineStr">
        <is>
          <t>unité</t>
        </is>
      </c>
      <c r="H2238" s="8" t="inlineStr">
        <is>
          <t>SMALL</t>
        </is>
      </c>
      <c r="I2238" s="8" t="n">
        <v>5</v>
      </c>
      <c r="J2238" s="8" t="inlineStr">
        <is>
          <t>C-04-03 : 920</t>
        </is>
      </c>
      <c r="K2238" s="8" t="inlineStr"/>
      <c r="L2238" s="10" t="n">
        <v>920</v>
      </c>
      <c r="M2238" s="10" t="n">
        <v>920</v>
      </c>
      <c r="N2238" s="10" t="n">
        <v>48</v>
      </c>
      <c r="O2238" s="8" t="inlineStr">
        <is>
          <t>MAG</t>
        </is>
      </c>
      <c r="P2238" s="8" t="inlineStr">
        <is>
          <t>STANDARD</t>
        </is>
      </c>
      <c r="Q2238" s="8" t="inlineStr">
        <is>
          <t>DEMO</t>
        </is>
      </c>
      <c r="R2238" s="8" t="inlineStr">
        <is>
          <t>NON</t>
        </is>
      </c>
      <c r="S2238" s="8" t="inlineStr">
        <is>
          <t>31/08/2026 02:59</t>
        </is>
      </c>
    </row>
    <row r="2239">
      <c r="A2239" s="7" t="inlineStr">
        <is>
          <t>EMB-002</t>
        </is>
      </c>
      <c r="B2239" s="7" t="inlineStr">
        <is>
          <t>EMB-002</t>
        </is>
      </c>
      <c r="C2239" s="7" t="inlineStr">
        <is>
          <t>Palette bois 1200x800 EUR</t>
        </is>
      </c>
      <c r="D2239" s="7" t="inlineStr">
        <is>
          <t>Emballage</t>
        </is>
      </c>
      <c r="E2239" s="7" t="inlineStr">
        <is>
          <t>Emballage</t>
        </is>
      </c>
      <c r="F2239" s="7" t="inlineStr">
        <is>
          <t>EMBALLAGE</t>
        </is>
      </c>
      <c r="G2239" s="7" t="inlineStr">
        <is>
          <t>unité</t>
        </is>
      </c>
      <c r="H2239" s="7" t="inlineStr">
        <is>
          <t>SMALL</t>
        </is>
      </c>
      <c r="I2239" s="7" t="n">
        <v>5</v>
      </c>
      <c r="J2239" s="7" t="inlineStr">
        <is>
          <t>E-03-03 : 840</t>
        </is>
      </c>
      <c r="K2239" s="7" t="inlineStr"/>
      <c r="L2239" s="9" t="n">
        <v>840</v>
      </c>
      <c r="M2239" s="9" t="n">
        <v>840</v>
      </c>
      <c r="N2239" s="9" t="n">
        <v>45</v>
      </c>
      <c r="O2239" s="7" t="inlineStr">
        <is>
          <t>SUM</t>
        </is>
      </c>
      <c r="P2239" s="7" t="inlineStr">
        <is>
          <t>STANDARD</t>
        </is>
      </c>
      <c r="Q2239" s="7" t="inlineStr">
        <is>
          <t>DEMO</t>
        </is>
      </c>
      <c r="R2239" s="7" t="inlineStr">
        <is>
          <t>NON</t>
        </is>
      </c>
      <c r="S2239" s="7" t="inlineStr">
        <is>
          <t>31/08/2026 02:59</t>
        </is>
      </c>
    </row>
    <row r="2240">
      <c r="A2240" s="8" t="inlineStr">
        <is>
          <t>EMB-003</t>
        </is>
      </c>
      <c r="B2240" s="8" t="inlineStr">
        <is>
          <t>EMB-003</t>
        </is>
      </c>
      <c r="C2240" s="8" t="inlineStr">
        <is>
          <t>Film étirable 500 mm</t>
        </is>
      </c>
      <c r="D2240" s="8" t="inlineStr">
        <is>
          <t>Emballage</t>
        </is>
      </c>
      <c r="E2240" s="8" t="inlineStr">
        <is>
          <t>Emballage</t>
        </is>
      </c>
      <c r="F2240" s="8" t="inlineStr">
        <is>
          <t>EMBALLAGE</t>
        </is>
      </c>
      <c r="G2240" s="8" t="inlineStr">
        <is>
          <t>rouleau</t>
        </is>
      </c>
      <c r="H2240" s="8" t="inlineStr">
        <is>
          <t>SMALL</t>
        </is>
      </c>
      <c r="I2240" s="8" t="n">
        <v>5</v>
      </c>
      <c r="J2240" s="8" t="inlineStr">
        <is>
          <t>E-04-03 : 2520</t>
        </is>
      </c>
      <c r="K2240" s="8" t="inlineStr"/>
      <c r="L2240" s="10" t="n">
        <v>2520</v>
      </c>
      <c r="M2240" s="10" t="n">
        <v>2520</v>
      </c>
      <c r="N2240" s="10" t="n">
        <v>44</v>
      </c>
      <c r="O2240" s="8" t="inlineStr">
        <is>
          <t>SUM</t>
        </is>
      </c>
      <c r="P2240" s="8" t="inlineStr">
        <is>
          <t>STANDARD</t>
        </is>
      </c>
      <c r="Q2240" s="8" t="inlineStr">
        <is>
          <t>DEMO</t>
        </is>
      </c>
      <c r="R2240" s="8" t="inlineStr">
        <is>
          <t>NON</t>
        </is>
      </c>
      <c r="S2240" s="8" t="inlineStr">
        <is>
          <t>31/08/2026 02:59</t>
        </is>
      </c>
    </row>
    <row r="2241">
      <c r="A2241" s="7" t="inlineStr">
        <is>
          <t>EMB-004</t>
        </is>
      </c>
      <c r="B2241" s="7" t="inlineStr">
        <is>
          <t>EMB-004</t>
        </is>
      </c>
      <c r="C2241" s="7" t="inlineStr">
        <is>
          <t>Caisse plastique gerbable 60 L</t>
        </is>
      </c>
      <c r="D2241" s="7" t="inlineStr">
        <is>
          <t>Emballage</t>
        </is>
      </c>
      <c r="E2241" s="7" t="inlineStr">
        <is>
          <t>Emballage</t>
        </is>
      </c>
      <c r="F2241" s="7" t="inlineStr">
        <is>
          <t>EMBALLAGE</t>
        </is>
      </c>
      <c r="G2241" s="7" t="inlineStr">
        <is>
          <t>unité</t>
        </is>
      </c>
      <c r="H2241" s="7" t="inlineStr">
        <is>
          <t>SMALL</t>
        </is>
      </c>
      <c r="I2241" s="7" t="n">
        <v>5</v>
      </c>
      <c r="J2241" s="7" t="inlineStr">
        <is>
          <t>B-06-04</t>
        </is>
      </c>
      <c r="K2241" s="7" t="inlineStr"/>
      <c r="L2241" s="9" t="n">
        <v>0</v>
      </c>
      <c r="M2241" s="9" t="n">
        <v>0</v>
      </c>
      <c r="N2241" s="9" t="n">
        <v>41</v>
      </c>
      <c r="O2241" s="7" t="inlineStr">
        <is>
          <t>YZK</t>
        </is>
      </c>
      <c r="P2241" s="7" t="inlineStr">
        <is>
          <t>STANDARD</t>
        </is>
      </c>
      <c r="Q2241" s="7" t="inlineStr">
        <is>
          <t>DEMO</t>
        </is>
      </c>
      <c r="R2241" s="7" t="inlineStr">
        <is>
          <t>NON</t>
        </is>
      </c>
      <c r="S2241" s="7" t="inlineStr">
        <is>
          <t>31/08/2026 02:59</t>
        </is>
      </c>
    </row>
    <row r="2242">
      <c r="A2242" s="8" t="inlineStr">
        <is>
          <t>EMB-005</t>
        </is>
      </c>
      <c r="B2242" s="8" t="inlineStr">
        <is>
          <t>EMB-005</t>
        </is>
      </c>
      <c r="C2242" s="8" t="inlineStr">
        <is>
          <t>Coussin de calage gonflable</t>
        </is>
      </c>
      <c r="D2242" s="8" t="inlineStr">
        <is>
          <t>Emballage</t>
        </is>
      </c>
      <c r="E2242" s="8" t="inlineStr">
        <is>
          <t>Emballage</t>
        </is>
      </c>
      <c r="F2242" s="8" t="inlineStr">
        <is>
          <t>EMBALLAGE</t>
        </is>
      </c>
      <c r="G2242" s="8" t="inlineStr">
        <is>
          <t>unité</t>
        </is>
      </c>
      <c r="H2242" s="8" t="inlineStr">
        <is>
          <t>SMALL</t>
        </is>
      </c>
      <c r="I2242" s="8" t="n">
        <v>5</v>
      </c>
      <c r="J2242" s="8" t="inlineStr">
        <is>
          <t>D-01-04</t>
        </is>
      </c>
      <c r="K2242" s="8" t="inlineStr"/>
      <c r="L2242" s="10" t="n">
        <v>0</v>
      </c>
      <c r="M2242" s="10" t="n">
        <v>0</v>
      </c>
      <c r="N2242" s="10" t="n">
        <v>42</v>
      </c>
      <c r="O2242" s="8" t="inlineStr">
        <is>
          <t>FAU</t>
        </is>
      </c>
      <c r="P2242" s="8" t="inlineStr">
        <is>
          <t>STANDARD</t>
        </is>
      </c>
      <c r="Q2242" s="8" t="inlineStr">
        <is>
          <t>DEMO</t>
        </is>
      </c>
      <c r="R2242" s="8" t="inlineStr">
        <is>
          <t>NON</t>
        </is>
      </c>
      <c r="S2242" s="8" t="inlineStr">
        <is>
          <t>31/08/2026 02:59</t>
        </is>
      </c>
    </row>
    <row r="2243">
      <c r="A2243" s="7" t="inlineStr">
        <is>
          <t>EMB-006</t>
        </is>
      </c>
      <c r="B2243" s="7" t="inlineStr">
        <is>
          <t>EMB-006</t>
        </is>
      </c>
      <c r="C2243" s="7" t="inlineStr">
        <is>
          <t>Cerclage polyester 16 mm</t>
        </is>
      </c>
      <c r="D2243" s="7" t="inlineStr">
        <is>
          <t>Emballage</t>
        </is>
      </c>
      <c r="E2243" s="7" t="inlineStr">
        <is>
          <t>Emballage</t>
        </is>
      </c>
      <c r="F2243" s="7" t="inlineStr">
        <is>
          <t>EMBALLAGE</t>
        </is>
      </c>
      <c r="G2243" s="7" t="inlineStr">
        <is>
          <t>rouleau</t>
        </is>
      </c>
      <c r="H2243" s="7" t="inlineStr">
        <is>
          <t>SMALL</t>
        </is>
      </c>
      <c r="I2243" s="7" t="n">
        <v>5</v>
      </c>
      <c r="J2243" s="7" t="inlineStr">
        <is>
          <t>A-01-04</t>
        </is>
      </c>
      <c r="K2243" s="7" t="inlineStr"/>
      <c r="L2243" s="9" t="n">
        <v>0</v>
      </c>
      <c r="M2243" s="9" t="n">
        <v>0</v>
      </c>
      <c r="N2243" s="9" t="n">
        <v>49</v>
      </c>
      <c r="O2243" s="7" t="inlineStr">
        <is>
          <t>DEL</t>
        </is>
      </c>
      <c r="P2243" s="7" t="inlineStr">
        <is>
          <t>STANDARD</t>
        </is>
      </c>
      <c r="Q2243" s="7" t="inlineStr">
        <is>
          <t>DEMO</t>
        </is>
      </c>
      <c r="R2243" s="7" t="inlineStr">
        <is>
          <t>NON</t>
        </is>
      </c>
      <c r="S2243" s="7" t="inlineStr">
        <is>
          <t>31/08/2026 02:59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autoFilter ref="A4:S2243"/>
  <mergeCells count="2">
    <mergeCell ref="A2:S2"/>
    <mergeCell ref="A1:S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P2204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2" customWidth="1" min="1" max="1"/>
    <col width="14" customWidth="1" min="2" max="2"/>
    <col width="14" customWidth="1" min="3" max="3"/>
    <col width="40" customWidth="1" min="4" max="4"/>
    <col width="24" customWidth="1" min="5" max="5"/>
    <col width="22" customWidth="1" min="6" max="6"/>
    <col width="18" customWidth="1" min="7" max="7"/>
    <col width="20" customWidth="1" min="8" max="8"/>
    <col width="18" customWidth="1" min="9" max="9"/>
    <col width="10" customWidth="1" min="10" max="10"/>
    <col width="14" customWidth="1" min="11" max="11"/>
    <col width="12" customWidth="1" min="12" max="12"/>
    <col width="22" customWidth="1" min="13" max="13"/>
    <col width="12" customWidth="1" min="14" max="14"/>
    <col width="12" customWidth="1" min="15" max="15"/>
    <col width="22" customWidth="1" min="16" max="16"/>
  </cols>
  <sheetData>
    <row r="1">
      <c r="A1" s="1" t="inlineStr">
        <is>
          <t>BOM_VEHICULE</t>
        </is>
      </c>
    </row>
    <row r="2">
      <c r="A2" s="2" t="inlineStr">
        <is>
          <t>Nomenclature du 8x8. Changez le nombre de vehicules en D3: quantite requise, ecart et statut se recalculent. STOCK_ACTUEL est synchronise depuis SLCC, comme sur la feuille ARTICLES.</t>
        </is>
      </c>
    </row>
    <row r="3">
      <c r="C3" s="11" t="inlineStr">
        <is>
          <t>VEHICULES A PRODUIRE</t>
        </is>
      </c>
      <c r="D3" s="12" t="n">
        <v>5</v>
      </c>
    </row>
    <row r="4" ht="30" customHeight="1">
      <c r="A4" s="6" t="inlineStr">
        <is>
          <t>VEHICULE</t>
        </is>
      </c>
      <c r="B4" s="6" t="inlineStr">
        <is>
          <t>CODE_PIECE</t>
        </is>
      </c>
      <c r="C4" s="6" t="inlineStr">
        <is>
          <t>REFERENCE</t>
        </is>
      </c>
      <c r="D4" s="6" t="inlineStr">
        <is>
          <t>DESIGNATION</t>
        </is>
      </c>
      <c r="E4" s="6" t="inlineStr">
        <is>
          <t>SYSTEME</t>
        </is>
      </c>
      <c r="F4" s="6" t="inlineStr">
        <is>
          <t>SOUS_SYSTEME</t>
        </is>
      </c>
      <c r="G4" s="6" t="inlineStr">
        <is>
          <t>CATEGORIE</t>
        </is>
      </c>
      <c r="H4" s="6" t="inlineStr">
        <is>
          <t>QUANTITE_PAR_VEHICULE</t>
        </is>
      </c>
      <c r="I4" s="6" t="inlineStr">
        <is>
          <t>QUANTITE_REQUISE</t>
        </is>
      </c>
      <c r="J4" s="6" t="inlineStr">
        <is>
          <t>UNITE</t>
        </is>
      </c>
      <c r="K4" s="6" t="inlineStr">
        <is>
          <t>STOCK_ACTUEL</t>
        </is>
      </c>
      <c r="L4" s="6" t="inlineStr">
        <is>
          <t>ECART</t>
        </is>
      </c>
      <c r="M4" s="6" t="inlineStr">
        <is>
          <t>STATUT_COUVERTURE</t>
        </is>
      </c>
      <c r="N4" s="6" t="inlineStr">
        <is>
          <t>FOURNISSEUR</t>
        </is>
      </c>
      <c r="O4" s="6" t="inlineStr">
        <is>
          <t>CRITICITE</t>
        </is>
      </c>
      <c r="P4" s="6" t="inlineStr">
        <is>
          <t>DERNIERE_SYNCHRONISATION</t>
        </is>
      </c>
    </row>
    <row r="5">
      <c r="A5" s="7" t="inlineStr">
        <is>
          <t>WHAP 8x8</t>
        </is>
      </c>
      <c r="B5" s="7" t="inlineStr">
        <is>
          <t>WHAP-0001</t>
        </is>
      </c>
      <c r="C5" s="7" t="inlineStr">
        <is>
          <t>MOT-0001</t>
        </is>
      </c>
      <c r="D5" s="7" t="inlineStr">
        <is>
          <t>bloc moteur</t>
        </is>
      </c>
      <c r="E5" s="7" t="inlineStr">
        <is>
          <t>Moteur</t>
        </is>
      </c>
      <c r="F5" s="7" t="inlineStr">
        <is>
          <t>Moteur</t>
        </is>
      </c>
      <c r="G5" s="7" t="inlineStr">
        <is>
          <t>PIECE_VEHICULE</t>
        </is>
      </c>
      <c r="H5" s="7" t="n">
        <v>1</v>
      </c>
      <c r="I5" s="7">
        <f>H5*$D$3</f>
        <v/>
      </c>
      <c r="J5" s="7" t="inlineStr">
        <is>
          <t>unité</t>
        </is>
      </c>
      <c r="K5" s="7" t="n">
        <v>215</v>
      </c>
      <c r="L5" s="7">
        <f>K5-I5</f>
        <v/>
      </c>
      <c r="M5" s="7">
        <f>IF(K5&lt;I5,"✕ INSUFFISANT",IF(K5&lt;I5*1.2,"⚠ STOCK FAIBLE","✓ COUVERT"))</f>
        <v/>
      </c>
      <c r="N5" s="7" t="inlineStr">
        <is>
          <t>SUM</t>
        </is>
      </c>
      <c r="O5" s="7" t="inlineStr">
        <is>
          <t>CRITIQUE</t>
        </is>
      </c>
      <c r="P5" s="7" t="inlineStr">
        <is>
          <t>31/08/2026 02:59</t>
        </is>
      </c>
    </row>
    <row r="6">
      <c r="A6" s="8" t="inlineStr">
        <is>
          <t>WHAP 8x8</t>
        </is>
      </c>
      <c r="B6" s="8" t="inlineStr">
        <is>
          <t>WHAP-0002</t>
        </is>
      </c>
      <c r="C6" s="8" t="inlineStr">
        <is>
          <t>MOT-0002</t>
        </is>
      </c>
      <c r="D6" s="8" t="inlineStr">
        <is>
          <t>culasse</t>
        </is>
      </c>
      <c r="E6" s="8" t="inlineStr">
        <is>
          <t>Moteur</t>
        </is>
      </c>
      <c r="F6" s="8" t="inlineStr">
        <is>
          <t>Moteur</t>
        </is>
      </c>
      <c r="G6" s="8" t="inlineStr">
        <is>
          <t>PIECE_VEHICULE</t>
        </is>
      </c>
      <c r="H6" s="8" t="n">
        <v>1</v>
      </c>
      <c r="I6" s="8">
        <f>H6*$D$3</f>
        <v/>
      </c>
      <c r="J6" s="8" t="inlineStr">
        <is>
          <t>unité</t>
        </is>
      </c>
      <c r="K6" s="8" t="n">
        <v>262</v>
      </c>
      <c r="L6" s="8">
        <f>K6-I6</f>
        <v/>
      </c>
      <c r="M6" s="8">
        <f>IF(K6&lt;I6,"✕ INSUFFISANT",IF(K6&lt;I6*1.2,"⚠ STOCK FAIBLE","✓ COUVERT"))</f>
        <v/>
      </c>
      <c r="N6" s="8" t="inlineStr">
        <is>
          <t>HEL</t>
        </is>
      </c>
      <c r="O6" s="8" t="inlineStr">
        <is>
          <t>CRITIQUE</t>
        </is>
      </c>
      <c r="P6" s="8" t="inlineStr">
        <is>
          <t>31/08/2026 02:59</t>
        </is>
      </c>
    </row>
    <row r="7">
      <c r="A7" s="7" t="inlineStr">
        <is>
          <t>WHAP 8x8</t>
        </is>
      </c>
      <c r="B7" s="7" t="inlineStr">
        <is>
          <t>WHAP-0003</t>
        </is>
      </c>
      <c r="C7" s="7" t="inlineStr">
        <is>
          <t>MOT-0003</t>
        </is>
      </c>
      <c r="D7" s="7" t="inlineStr">
        <is>
          <t>joint de culasse</t>
        </is>
      </c>
      <c r="E7" s="7" t="inlineStr">
        <is>
          <t>Moteur</t>
        </is>
      </c>
      <c r="F7" s="7" t="inlineStr">
        <is>
          <t>Moteur</t>
        </is>
      </c>
      <c r="G7" s="7" t="inlineStr">
        <is>
          <t>PIECE_VEHICULE</t>
        </is>
      </c>
      <c r="H7" s="7" t="n">
        <v>1</v>
      </c>
      <c r="I7" s="7">
        <f>H7*$D$3</f>
        <v/>
      </c>
      <c r="J7" s="7" t="inlineStr">
        <is>
          <t>unité</t>
        </is>
      </c>
      <c r="K7" s="7" t="n">
        <v>0</v>
      </c>
      <c r="L7" s="7">
        <f>K7-I7</f>
        <v/>
      </c>
      <c r="M7" s="7">
        <f>IF(K7&lt;I7,"✕ INSUFFISANT",IF(K7&lt;I7*1.2,"⚠ STOCK FAIBLE","✓ COUVERT"))</f>
        <v/>
      </c>
      <c r="N7" s="7" t="inlineStr">
        <is>
          <t>YZK</t>
        </is>
      </c>
      <c r="O7" s="7" t="inlineStr">
        <is>
          <t>CRITIQUE</t>
        </is>
      </c>
      <c r="P7" s="7" t="inlineStr">
        <is>
          <t>31/08/2026 02:59</t>
        </is>
      </c>
    </row>
    <row r="8">
      <c r="A8" s="8" t="inlineStr">
        <is>
          <t>WHAP 8x8</t>
        </is>
      </c>
      <c r="B8" s="8" t="inlineStr">
        <is>
          <t>WHAP-0004</t>
        </is>
      </c>
      <c r="C8" s="8" t="inlineStr">
        <is>
          <t>MOT-0004</t>
        </is>
      </c>
      <c r="D8" s="8" t="inlineStr">
        <is>
          <t>cache-culbuteurs</t>
        </is>
      </c>
      <c r="E8" s="8" t="inlineStr">
        <is>
          <t>Moteur</t>
        </is>
      </c>
      <c r="F8" s="8" t="inlineStr">
        <is>
          <t>Moteur</t>
        </is>
      </c>
      <c r="G8" s="8" t="inlineStr">
        <is>
          <t>PIECE_VEHICULE</t>
        </is>
      </c>
      <c r="H8" s="8" t="n">
        <v>1</v>
      </c>
      <c r="I8" s="8">
        <f>H8*$D$3</f>
        <v/>
      </c>
      <c r="J8" s="8" t="inlineStr">
        <is>
          <t>unité</t>
        </is>
      </c>
      <c r="K8" s="8" t="n">
        <v>0</v>
      </c>
      <c r="L8" s="8">
        <f>K8-I8</f>
        <v/>
      </c>
      <c r="M8" s="8">
        <f>IF(K8&lt;I8,"✕ INSUFFISANT",IF(K8&lt;I8*1.2,"⚠ STOCK FAIBLE","✓ COUVERT"))</f>
        <v/>
      </c>
      <c r="N8" s="8" t="inlineStr">
        <is>
          <t>DEL</t>
        </is>
      </c>
      <c r="O8" s="8" t="inlineStr">
        <is>
          <t>CRITIQUE</t>
        </is>
      </c>
      <c r="P8" s="8" t="inlineStr">
        <is>
          <t>31/08/2026 02:59</t>
        </is>
      </c>
    </row>
    <row r="9">
      <c r="A9" s="7" t="inlineStr">
        <is>
          <t>WHAP 8x8</t>
        </is>
      </c>
      <c r="B9" s="7" t="inlineStr">
        <is>
          <t>WHAP-0005</t>
        </is>
      </c>
      <c r="C9" s="7" t="inlineStr">
        <is>
          <t>MOT-0005</t>
        </is>
      </c>
      <c r="D9" s="7" t="inlineStr">
        <is>
          <t>couvre-culasse</t>
        </is>
      </c>
      <c r="E9" s="7" t="inlineStr">
        <is>
          <t>Moteur</t>
        </is>
      </c>
      <c r="F9" s="7" t="inlineStr">
        <is>
          <t>Moteur</t>
        </is>
      </c>
      <c r="G9" s="7" t="inlineStr">
        <is>
          <t>PIECE_VEHICULE</t>
        </is>
      </c>
      <c r="H9" s="7" t="n">
        <v>1</v>
      </c>
      <c r="I9" s="7">
        <f>H9*$D$3</f>
        <v/>
      </c>
      <c r="J9" s="7" t="inlineStr">
        <is>
          <t>unité</t>
        </is>
      </c>
      <c r="K9" s="7" t="n">
        <v>0</v>
      </c>
      <c r="L9" s="7">
        <f>K9-I9</f>
        <v/>
      </c>
      <c r="M9" s="7">
        <f>IF(K9&lt;I9,"✕ INSUFFISANT",IF(K9&lt;I9*1.2,"⚠ STOCK FAIBLE","✓ COUVERT"))</f>
        <v/>
      </c>
      <c r="N9" s="7" t="inlineStr">
        <is>
          <t>MAG</t>
        </is>
      </c>
      <c r="O9" s="7" t="inlineStr">
        <is>
          <t>CRITIQUE</t>
        </is>
      </c>
      <c r="P9" s="7" t="inlineStr">
        <is>
          <t>31/08/2026 02:59</t>
        </is>
      </c>
    </row>
    <row r="10">
      <c r="A10" s="8" t="inlineStr">
        <is>
          <t>WHAP 8x8</t>
        </is>
      </c>
      <c r="B10" s="8" t="inlineStr">
        <is>
          <t>WHAP-0006</t>
        </is>
      </c>
      <c r="C10" s="8" t="inlineStr">
        <is>
          <t>MOT-0006</t>
        </is>
      </c>
      <c r="D10" s="8" t="inlineStr">
        <is>
          <t>carter moteur</t>
        </is>
      </c>
      <c r="E10" s="8" t="inlineStr">
        <is>
          <t>Moteur</t>
        </is>
      </c>
      <c r="F10" s="8" t="inlineStr">
        <is>
          <t>Moteur</t>
        </is>
      </c>
      <c r="G10" s="8" t="inlineStr">
        <is>
          <t>PIECE_VEHICULE</t>
        </is>
      </c>
      <c r="H10" s="8" t="n">
        <v>1</v>
      </c>
      <c r="I10" s="8">
        <f>H10*$D$3</f>
        <v/>
      </c>
      <c r="J10" s="8" t="inlineStr">
        <is>
          <t>unité</t>
        </is>
      </c>
      <c r="K10" s="8" t="n">
        <v>0</v>
      </c>
      <c r="L10" s="8">
        <f>K10-I10</f>
        <v/>
      </c>
      <c r="M10" s="8">
        <f>IF(K10&lt;I10,"✕ INSUFFISANT",IF(K10&lt;I10*1.2,"⚠ STOCK FAIBLE","✓ COUVERT"))</f>
        <v/>
      </c>
      <c r="N10" s="8" t="inlineStr">
        <is>
          <t>SKF</t>
        </is>
      </c>
      <c r="O10" s="8" t="inlineStr">
        <is>
          <t>CRITIQUE</t>
        </is>
      </c>
      <c r="P10" s="8" t="inlineStr">
        <is>
          <t>31/08/2026 02:59</t>
        </is>
      </c>
    </row>
    <row r="11">
      <c r="A11" s="7" t="inlineStr">
        <is>
          <t>WHAP 8x8</t>
        </is>
      </c>
      <c r="B11" s="7" t="inlineStr">
        <is>
          <t>WHAP-0007</t>
        </is>
      </c>
      <c r="C11" s="7" t="inlineStr">
        <is>
          <t>MOT-0007</t>
        </is>
      </c>
      <c r="D11" s="7" t="inlineStr">
        <is>
          <t>carter d'huile</t>
        </is>
      </c>
      <c r="E11" s="7" t="inlineStr">
        <is>
          <t>Moteur</t>
        </is>
      </c>
      <c r="F11" s="7" t="inlineStr">
        <is>
          <t>Moteur</t>
        </is>
      </c>
      <c r="G11" s="7" t="inlineStr">
        <is>
          <t>PIECE_VEHICULE</t>
        </is>
      </c>
      <c r="H11" s="7" t="n">
        <v>1</v>
      </c>
      <c r="I11" s="7">
        <f>H11*$D$3</f>
        <v/>
      </c>
      <c r="J11" s="7" t="inlineStr">
        <is>
          <t>unité</t>
        </is>
      </c>
      <c r="K11" s="7" t="n">
        <v>0</v>
      </c>
      <c r="L11" s="7">
        <f>K11-I11</f>
        <v/>
      </c>
      <c r="M11" s="7">
        <f>IF(K11&lt;I11,"✕ INSUFFISANT",IF(K11&lt;I11*1.2,"⚠ STOCK FAIBLE","✓ COUVERT"))</f>
        <v/>
      </c>
      <c r="N11" s="7" t="inlineStr">
        <is>
          <t>CTL</t>
        </is>
      </c>
      <c r="O11" s="7" t="inlineStr">
        <is>
          <t>CRITIQUE</t>
        </is>
      </c>
      <c r="P11" s="7" t="inlineStr">
        <is>
          <t>31/08/2026 02:59</t>
        </is>
      </c>
    </row>
    <row r="12">
      <c r="A12" s="8" t="inlineStr">
        <is>
          <t>WHAP 8x8</t>
        </is>
      </c>
      <c r="B12" s="8" t="inlineStr">
        <is>
          <t>WHAP-0008</t>
        </is>
      </c>
      <c r="C12" s="8" t="inlineStr">
        <is>
          <t>MOT-0008</t>
        </is>
      </c>
      <c r="D12" s="8" t="inlineStr">
        <is>
          <t>vilebrequin</t>
        </is>
      </c>
      <c r="E12" s="8" t="inlineStr">
        <is>
          <t>Moteur</t>
        </is>
      </c>
      <c r="F12" s="8" t="inlineStr">
        <is>
          <t>Moteur</t>
        </is>
      </c>
      <c r="G12" s="8" t="inlineStr">
        <is>
          <t>PIECE_VEHICULE</t>
        </is>
      </c>
      <c r="H12" s="8" t="n">
        <v>1</v>
      </c>
      <c r="I12" s="8">
        <f>H12*$D$3</f>
        <v/>
      </c>
      <c r="J12" s="8" t="inlineStr">
        <is>
          <t>unité</t>
        </is>
      </c>
      <c r="K12" s="8" t="n">
        <v>0</v>
      </c>
      <c r="L12" s="8">
        <f>K12-I12</f>
        <v/>
      </c>
      <c r="M12" s="8">
        <f>IF(K12&lt;I12,"✕ INSUFFISANT",IF(K12&lt;I12*1.2,"⚠ STOCK FAIBLE","✓ COUVERT"))</f>
        <v/>
      </c>
      <c r="N12" s="8" t="inlineStr">
        <is>
          <t>YZK</t>
        </is>
      </c>
      <c r="O12" s="8" t="inlineStr">
        <is>
          <t>CRITIQUE</t>
        </is>
      </c>
      <c r="P12" s="8" t="inlineStr">
        <is>
          <t>31/08/2026 02:59</t>
        </is>
      </c>
    </row>
    <row r="13">
      <c r="A13" s="7" t="inlineStr">
        <is>
          <t>WHAP 8x8</t>
        </is>
      </c>
      <c r="B13" s="7" t="inlineStr">
        <is>
          <t>WHAP-0009</t>
        </is>
      </c>
      <c r="C13" s="7" t="inlineStr">
        <is>
          <t>MOT-0009</t>
        </is>
      </c>
      <c r="D13" s="7" t="inlineStr">
        <is>
          <t>palier principal</t>
        </is>
      </c>
      <c r="E13" s="7" t="inlineStr">
        <is>
          <t>Moteur</t>
        </is>
      </c>
      <c r="F13" s="7" t="inlineStr">
        <is>
          <t>Moteur</t>
        </is>
      </c>
      <c r="G13" s="7" t="inlineStr">
        <is>
          <t>PIECE_VEHICULE</t>
        </is>
      </c>
      <c r="H13" s="7" t="n">
        <v>1</v>
      </c>
      <c r="I13" s="7">
        <f>H13*$D$3</f>
        <v/>
      </c>
      <c r="J13" s="7" t="inlineStr">
        <is>
          <t>unité</t>
        </is>
      </c>
      <c r="K13" s="7" t="n">
        <v>0</v>
      </c>
      <c r="L13" s="7">
        <f>K13-I13</f>
        <v/>
      </c>
      <c r="M13" s="7">
        <f>IF(K13&lt;I13,"✕ INSUFFISANT",IF(K13&lt;I13*1.2,"⚠ STOCK FAIBLE","✓ COUVERT"))</f>
        <v/>
      </c>
      <c r="N13" s="7" t="inlineStr">
        <is>
          <t>SUM</t>
        </is>
      </c>
      <c r="O13" s="7" t="inlineStr">
        <is>
          <t>CRITIQUE</t>
        </is>
      </c>
      <c r="P13" s="7" t="inlineStr">
        <is>
          <t>31/08/2026 02:59</t>
        </is>
      </c>
    </row>
    <row r="14">
      <c r="A14" s="8" t="inlineStr">
        <is>
          <t>WHAP 8x8</t>
        </is>
      </c>
      <c r="B14" s="8" t="inlineStr">
        <is>
          <t>WHAP-0010</t>
        </is>
      </c>
      <c r="C14" s="8" t="inlineStr">
        <is>
          <t>MOT-0010</t>
        </is>
      </c>
      <c r="D14" s="8" t="inlineStr">
        <is>
          <t>coussinet de vilebrequin</t>
        </is>
      </c>
      <c r="E14" s="8" t="inlineStr">
        <is>
          <t>Moteur</t>
        </is>
      </c>
      <c r="F14" s="8" t="inlineStr">
        <is>
          <t>Moteur</t>
        </is>
      </c>
      <c r="G14" s="8" t="inlineStr">
        <is>
          <t>PIECE_VEHICULE</t>
        </is>
      </c>
      <c r="H14" s="8" t="n">
        <v>1</v>
      </c>
      <c r="I14" s="8">
        <f>H14*$D$3</f>
        <v/>
      </c>
      <c r="J14" s="8" t="inlineStr">
        <is>
          <t>unité</t>
        </is>
      </c>
      <c r="K14" s="8" t="n">
        <v>0</v>
      </c>
      <c r="L14" s="8">
        <f>K14-I14</f>
        <v/>
      </c>
      <c r="M14" s="8">
        <f>IF(K14&lt;I14,"✕ INSUFFISANT",IF(K14&lt;I14*1.2,"⚠ STOCK FAIBLE","✓ COUVERT"))</f>
        <v/>
      </c>
      <c r="N14" s="8" t="inlineStr">
        <is>
          <t>SUM</t>
        </is>
      </c>
      <c r="O14" s="8" t="inlineStr">
        <is>
          <t>CRITIQUE</t>
        </is>
      </c>
      <c r="P14" s="8" t="inlineStr">
        <is>
          <t>31/08/2026 02:59</t>
        </is>
      </c>
    </row>
    <row r="15">
      <c r="A15" s="7" t="inlineStr">
        <is>
          <t>WHAP 8x8</t>
        </is>
      </c>
      <c r="B15" s="7" t="inlineStr">
        <is>
          <t>WHAP-0011</t>
        </is>
      </c>
      <c r="C15" s="7" t="inlineStr">
        <is>
          <t>MOT-0011</t>
        </is>
      </c>
      <c r="D15" s="7" t="inlineStr">
        <is>
          <t>bielle</t>
        </is>
      </c>
      <c r="E15" s="7" t="inlineStr">
        <is>
          <t>Moteur</t>
        </is>
      </c>
      <c r="F15" s="7" t="inlineStr">
        <is>
          <t>Moteur</t>
        </is>
      </c>
      <c r="G15" s="7" t="inlineStr">
        <is>
          <t>PIECE_VEHICULE</t>
        </is>
      </c>
      <c r="H15" s="7" t="n">
        <v>1</v>
      </c>
      <c r="I15" s="7">
        <f>H15*$D$3</f>
        <v/>
      </c>
      <c r="J15" s="7" t="inlineStr">
        <is>
          <t>unité</t>
        </is>
      </c>
      <c r="K15" s="7" t="n">
        <v>0</v>
      </c>
      <c r="L15" s="7">
        <f>K15-I15</f>
        <v/>
      </c>
      <c r="M15" s="7">
        <f>IF(K15&lt;I15,"✕ INSUFFISANT",IF(K15&lt;I15*1.2,"⚠ STOCK FAIBLE","✓ COUVERT"))</f>
        <v/>
      </c>
      <c r="N15" s="7" t="inlineStr">
        <is>
          <t>FAU</t>
        </is>
      </c>
      <c r="O15" s="7" t="inlineStr">
        <is>
          <t>CRITIQUE</t>
        </is>
      </c>
      <c r="P15" s="7" t="inlineStr">
        <is>
          <t>31/08/2026 02:59</t>
        </is>
      </c>
    </row>
    <row r="16">
      <c r="A16" s="8" t="inlineStr">
        <is>
          <t>WHAP 8x8</t>
        </is>
      </c>
      <c r="B16" s="8" t="inlineStr">
        <is>
          <t>WHAP-0012</t>
        </is>
      </c>
      <c r="C16" s="8" t="inlineStr">
        <is>
          <t>MOT-0012</t>
        </is>
      </c>
      <c r="D16" s="8" t="inlineStr">
        <is>
          <t>coussinet de bielle</t>
        </is>
      </c>
      <c r="E16" s="8" t="inlineStr">
        <is>
          <t>Moteur</t>
        </is>
      </c>
      <c r="F16" s="8" t="inlineStr">
        <is>
          <t>Moteur</t>
        </is>
      </c>
      <c r="G16" s="8" t="inlineStr">
        <is>
          <t>PIECE_VEHICULE</t>
        </is>
      </c>
      <c r="H16" s="8" t="n">
        <v>1</v>
      </c>
      <c r="I16" s="8">
        <f>H16*$D$3</f>
        <v/>
      </c>
      <c r="J16" s="8" t="inlineStr">
        <is>
          <t>unité</t>
        </is>
      </c>
      <c r="K16" s="8" t="n">
        <v>0</v>
      </c>
      <c r="L16" s="8">
        <f>K16-I16</f>
        <v/>
      </c>
      <c r="M16" s="8">
        <f>IF(K16&lt;I16,"✕ INSUFFISANT",IF(K16&lt;I16*1.2,"⚠ STOCK FAIBLE","✓ COUVERT"))</f>
        <v/>
      </c>
      <c r="N16" s="8" t="inlineStr">
        <is>
          <t>YZK</t>
        </is>
      </c>
      <c r="O16" s="8" t="inlineStr">
        <is>
          <t>CRITIQUE</t>
        </is>
      </c>
      <c r="P16" s="8" t="inlineStr">
        <is>
          <t>31/08/2026 02:59</t>
        </is>
      </c>
    </row>
    <row r="17">
      <c r="A17" s="7" t="inlineStr">
        <is>
          <t>WHAP 8x8</t>
        </is>
      </c>
      <c r="B17" s="7" t="inlineStr">
        <is>
          <t>WHAP-0013</t>
        </is>
      </c>
      <c r="C17" s="7" t="inlineStr">
        <is>
          <t>MOT-0013</t>
        </is>
      </c>
      <c r="D17" s="7" t="inlineStr">
        <is>
          <t>piston</t>
        </is>
      </c>
      <c r="E17" s="7" t="inlineStr">
        <is>
          <t>Moteur</t>
        </is>
      </c>
      <c r="F17" s="7" t="inlineStr">
        <is>
          <t>Moteur</t>
        </is>
      </c>
      <c r="G17" s="7" t="inlineStr">
        <is>
          <t>PIECE_VEHICULE</t>
        </is>
      </c>
      <c r="H17" s="7" t="n">
        <v>1</v>
      </c>
      <c r="I17" s="7">
        <f>H17*$D$3</f>
        <v/>
      </c>
      <c r="J17" s="7" t="inlineStr">
        <is>
          <t>unité</t>
        </is>
      </c>
      <c r="K17" s="7" t="n">
        <v>0</v>
      </c>
      <c r="L17" s="7">
        <f>K17-I17</f>
        <v/>
      </c>
      <c r="M17" s="7">
        <f>IF(K17&lt;I17,"✕ INSUFFISANT",IF(K17&lt;I17*1.2,"⚠ STOCK FAIBLE","✓ COUVERT"))</f>
        <v/>
      </c>
      <c r="N17" s="7" t="inlineStr">
        <is>
          <t>HEL</t>
        </is>
      </c>
      <c r="O17" s="7" t="inlineStr">
        <is>
          <t>CRITIQUE</t>
        </is>
      </c>
      <c r="P17" s="7" t="inlineStr">
        <is>
          <t>31/08/2026 02:59</t>
        </is>
      </c>
    </row>
    <row r="18">
      <c r="A18" s="8" t="inlineStr">
        <is>
          <t>WHAP 8x8</t>
        </is>
      </c>
      <c r="B18" s="8" t="inlineStr">
        <is>
          <t>WHAP-0014</t>
        </is>
      </c>
      <c r="C18" s="8" t="inlineStr">
        <is>
          <t>MOT-0014</t>
        </is>
      </c>
      <c r="D18" s="8" t="inlineStr">
        <is>
          <t>segments de piston</t>
        </is>
      </c>
      <c r="E18" s="8" t="inlineStr">
        <is>
          <t>Moteur</t>
        </is>
      </c>
      <c r="F18" s="8" t="inlineStr">
        <is>
          <t>Moteur</t>
        </is>
      </c>
      <c r="G18" s="8" t="inlineStr">
        <is>
          <t>PIECE_VEHICULE</t>
        </is>
      </c>
      <c r="H18" s="8" t="n">
        <v>1</v>
      </c>
      <c r="I18" s="8">
        <f>H18*$D$3</f>
        <v/>
      </c>
      <c r="J18" s="8" t="inlineStr">
        <is>
          <t>unité</t>
        </is>
      </c>
      <c r="K18" s="8" t="n">
        <v>0</v>
      </c>
      <c r="L18" s="8">
        <f>K18-I18</f>
        <v/>
      </c>
      <c r="M18" s="8">
        <f>IF(K18&lt;I18,"✕ INSUFFISANT",IF(K18&lt;I18*1.2,"⚠ STOCK FAIBLE","✓ COUVERT"))</f>
        <v/>
      </c>
      <c r="N18" s="8" t="inlineStr">
        <is>
          <t>CTL</t>
        </is>
      </c>
      <c r="O18" s="8" t="inlineStr">
        <is>
          <t>CRITIQUE</t>
        </is>
      </c>
      <c r="P18" s="8" t="inlineStr">
        <is>
          <t>31/08/2026 02:59</t>
        </is>
      </c>
    </row>
    <row r="19">
      <c r="A19" s="7" t="inlineStr">
        <is>
          <t>WHAP 8x8</t>
        </is>
      </c>
      <c r="B19" s="7" t="inlineStr">
        <is>
          <t>WHAP-0015</t>
        </is>
      </c>
      <c r="C19" s="7" t="inlineStr">
        <is>
          <t>MOT-0015</t>
        </is>
      </c>
      <c r="D19" s="7" t="inlineStr">
        <is>
          <t>axe de piston</t>
        </is>
      </c>
      <c r="E19" s="7" t="inlineStr">
        <is>
          <t>Moteur</t>
        </is>
      </c>
      <c r="F19" s="7" t="inlineStr">
        <is>
          <t>Moteur</t>
        </is>
      </c>
      <c r="G19" s="7" t="inlineStr">
        <is>
          <t>PIECE_VEHICULE</t>
        </is>
      </c>
      <c r="H19" s="7" t="n">
        <v>1</v>
      </c>
      <c r="I19" s="7">
        <f>H19*$D$3</f>
        <v/>
      </c>
      <c r="J19" s="7" t="inlineStr">
        <is>
          <t>unité</t>
        </is>
      </c>
      <c r="K19" s="7" t="n">
        <v>0</v>
      </c>
      <c r="L19" s="7">
        <f>K19-I19</f>
        <v/>
      </c>
      <c r="M19" s="7">
        <f>IF(K19&lt;I19,"✕ INSUFFISANT",IF(K19&lt;I19*1.2,"⚠ STOCK FAIBLE","✓ COUVERT"))</f>
        <v/>
      </c>
      <c r="N19" s="7" t="inlineStr">
        <is>
          <t>MAG</t>
        </is>
      </c>
      <c r="O19" s="7" t="inlineStr">
        <is>
          <t>CRITIQUE</t>
        </is>
      </c>
      <c r="P19" s="7" t="inlineStr">
        <is>
          <t>31/08/2026 02:59</t>
        </is>
      </c>
    </row>
    <row r="20">
      <c r="A20" s="8" t="inlineStr">
        <is>
          <t>WHAP 8x8</t>
        </is>
      </c>
      <c r="B20" s="8" t="inlineStr">
        <is>
          <t>WHAP-0016</t>
        </is>
      </c>
      <c r="C20" s="8" t="inlineStr">
        <is>
          <t>MOT-0016</t>
        </is>
      </c>
      <c r="D20" s="8" t="inlineStr">
        <is>
          <t>chemise de cylindre</t>
        </is>
      </c>
      <c r="E20" s="8" t="inlineStr">
        <is>
          <t>Moteur</t>
        </is>
      </c>
      <c r="F20" s="8" t="inlineStr">
        <is>
          <t>Moteur</t>
        </is>
      </c>
      <c r="G20" s="8" t="inlineStr">
        <is>
          <t>PIECE_VEHICULE</t>
        </is>
      </c>
      <c r="H20" s="8" t="n">
        <v>1</v>
      </c>
      <c r="I20" s="8">
        <f>H20*$D$3</f>
        <v/>
      </c>
      <c r="J20" s="8" t="inlineStr">
        <is>
          <t>unité</t>
        </is>
      </c>
      <c r="K20" s="8" t="n">
        <v>0</v>
      </c>
      <c r="L20" s="8">
        <f>K20-I20</f>
        <v/>
      </c>
      <c r="M20" s="8">
        <f>IF(K20&lt;I20,"✕ INSUFFISANT",IF(K20&lt;I20*1.2,"⚠ STOCK FAIBLE","✓ COUVERT"))</f>
        <v/>
      </c>
      <c r="N20" s="8" t="inlineStr">
        <is>
          <t>DEL</t>
        </is>
      </c>
      <c r="O20" s="8" t="inlineStr">
        <is>
          <t>CRITIQUE</t>
        </is>
      </c>
      <c r="P20" s="8" t="inlineStr">
        <is>
          <t>31/08/2026 02:59</t>
        </is>
      </c>
    </row>
    <row r="21">
      <c r="A21" s="7" t="inlineStr">
        <is>
          <t>WHAP 8x8</t>
        </is>
      </c>
      <c r="B21" s="7" t="inlineStr">
        <is>
          <t>WHAP-0017</t>
        </is>
      </c>
      <c r="C21" s="7" t="inlineStr">
        <is>
          <t>MOT-0017</t>
        </is>
      </c>
      <c r="D21" s="7" t="inlineStr">
        <is>
          <t>arbre à cames</t>
        </is>
      </c>
      <c r="E21" s="7" t="inlineStr">
        <is>
          <t>Moteur</t>
        </is>
      </c>
      <c r="F21" s="7" t="inlineStr">
        <is>
          <t>Moteur</t>
        </is>
      </c>
      <c r="G21" s="7" t="inlineStr">
        <is>
          <t>PIECE_VEHICULE</t>
        </is>
      </c>
      <c r="H21" s="7" t="n">
        <v>1</v>
      </c>
      <c r="I21" s="7">
        <f>H21*$D$3</f>
        <v/>
      </c>
      <c r="J21" s="7" t="inlineStr">
        <is>
          <t>unité</t>
        </is>
      </c>
      <c r="K21" s="7" t="n">
        <v>0</v>
      </c>
      <c r="L21" s="7">
        <f>K21-I21</f>
        <v/>
      </c>
      <c r="M21" s="7">
        <f>IF(K21&lt;I21,"✕ INSUFFISANT",IF(K21&lt;I21*1.2,"⚠ STOCK FAIBLE","✓ COUVERT"))</f>
        <v/>
      </c>
      <c r="N21" s="7" t="inlineStr">
        <is>
          <t>HEL</t>
        </is>
      </c>
      <c r="O21" s="7" t="inlineStr">
        <is>
          <t>CRITIQUE</t>
        </is>
      </c>
      <c r="P21" s="7" t="inlineStr">
        <is>
          <t>31/08/2026 02:59</t>
        </is>
      </c>
    </row>
    <row r="22">
      <c r="A22" s="8" t="inlineStr">
        <is>
          <t>WHAP 8x8</t>
        </is>
      </c>
      <c r="B22" s="8" t="inlineStr">
        <is>
          <t>WHAP-0018</t>
        </is>
      </c>
      <c r="C22" s="8" t="inlineStr">
        <is>
          <t>MOT-0018</t>
        </is>
      </c>
      <c r="D22" s="8" t="inlineStr">
        <is>
          <t>poussoir hydraulique</t>
        </is>
      </c>
      <c r="E22" s="8" t="inlineStr">
        <is>
          <t>Moteur</t>
        </is>
      </c>
      <c r="F22" s="8" t="inlineStr">
        <is>
          <t>Moteur</t>
        </is>
      </c>
      <c r="G22" s="8" t="inlineStr">
        <is>
          <t>PIECE_VEHICULE</t>
        </is>
      </c>
      <c r="H22" s="8" t="n">
        <v>1</v>
      </c>
      <c r="I22" s="8">
        <f>H22*$D$3</f>
        <v/>
      </c>
      <c r="J22" s="8" t="inlineStr">
        <is>
          <t>unité</t>
        </is>
      </c>
      <c r="K22" s="8" t="n">
        <v>0</v>
      </c>
      <c r="L22" s="8">
        <f>K22-I22</f>
        <v/>
      </c>
      <c r="M22" s="8">
        <f>IF(K22&lt;I22,"✕ INSUFFISANT",IF(K22&lt;I22*1.2,"⚠ STOCK FAIBLE","✓ COUVERT"))</f>
        <v/>
      </c>
      <c r="N22" s="8" t="inlineStr">
        <is>
          <t>SUM</t>
        </is>
      </c>
      <c r="O22" s="8" t="inlineStr">
        <is>
          <t>CRITIQUE</t>
        </is>
      </c>
      <c r="P22" s="8" t="inlineStr">
        <is>
          <t>31/08/2026 02:59</t>
        </is>
      </c>
    </row>
    <row r="23">
      <c r="A23" s="7" t="inlineStr">
        <is>
          <t>WHAP 8x8</t>
        </is>
      </c>
      <c r="B23" s="7" t="inlineStr">
        <is>
          <t>WHAP-0019</t>
        </is>
      </c>
      <c r="C23" s="7" t="inlineStr">
        <is>
          <t>MOT-0019</t>
        </is>
      </c>
      <c r="D23" s="7" t="inlineStr">
        <is>
          <t>culbuteur</t>
        </is>
      </c>
      <c r="E23" s="7" t="inlineStr">
        <is>
          <t>Moteur</t>
        </is>
      </c>
      <c r="F23" s="7" t="inlineStr">
        <is>
          <t>Moteur</t>
        </is>
      </c>
      <c r="G23" s="7" t="inlineStr">
        <is>
          <t>PIECE_VEHICULE</t>
        </is>
      </c>
      <c r="H23" s="7" t="n">
        <v>1</v>
      </c>
      <c r="I23" s="7">
        <f>H23*$D$3</f>
        <v/>
      </c>
      <c r="J23" s="7" t="inlineStr">
        <is>
          <t>unité</t>
        </is>
      </c>
      <c r="K23" s="7" t="n">
        <v>0</v>
      </c>
      <c r="L23" s="7">
        <f>K23-I23</f>
        <v/>
      </c>
      <c r="M23" s="7">
        <f>IF(K23&lt;I23,"✕ INSUFFISANT",IF(K23&lt;I23*1.2,"⚠ STOCK FAIBLE","✓ COUVERT"))</f>
        <v/>
      </c>
      <c r="N23" s="7" t="inlineStr">
        <is>
          <t>HEL</t>
        </is>
      </c>
      <c r="O23" s="7" t="inlineStr">
        <is>
          <t>CRITIQUE</t>
        </is>
      </c>
      <c r="P23" s="7" t="inlineStr">
        <is>
          <t>31/08/2026 02:59</t>
        </is>
      </c>
    </row>
    <row r="24">
      <c r="A24" s="8" t="inlineStr">
        <is>
          <t>WHAP 8x8</t>
        </is>
      </c>
      <c r="B24" s="8" t="inlineStr">
        <is>
          <t>WHAP-0020</t>
        </is>
      </c>
      <c r="C24" s="8" t="inlineStr">
        <is>
          <t>MOT-0020</t>
        </is>
      </c>
      <c r="D24" s="8" t="inlineStr">
        <is>
          <t>soupape d'admission</t>
        </is>
      </c>
      <c r="E24" s="8" t="inlineStr">
        <is>
          <t>Moteur</t>
        </is>
      </c>
      <c r="F24" s="8" t="inlineStr">
        <is>
          <t>Moteur</t>
        </is>
      </c>
      <c r="G24" s="8" t="inlineStr">
        <is>
          <t>PIECE_VEHICULE</t>
        </is>
      </c>
      <c r="H24" s="8" t="n">
        <v>1</v>
      </c>
      <c r="I24" s="8">
        <f>H24*$D$3</f>
        <v/>
      </c>
      <c r="J24" s="8" t="inlineStr">
        <is>
          <t>unité</t>
        </is>
      </c>
      <c r="K24" s="8" t="n">
        <v>0</v>
      </c>
      <c r="L24" s="8">
        <f>K24-I24</f>
        <v/>
      </c>
      <c r="M24" s="8">
        <f>IF(K24&lt;I24,"✕ INSUFFISANT",IF(K24&lt;I24*1.2,"⚠ STOCK FAIBLE","✓ COUVERT"))</f>
        <v/>
      </c>
      <c r="N24" s="8" t="inlineStr">
        <is>
          <t>FAU</t>
        </is>
      </c>
      <c r="O24" s="8" t="inlineStr">
        <is>
          <t>CRITIQUE</t>
        </is>
      </c>
      <c r="P24" s="8" t="inlineStr">
        <is>
          <t>31/08/2026 02:59</t>
        </is>
      </c>
    </row>
    <row r="25">
      <c r="A25" s="7" t="inlineStr">
        <is>
          <t>WHAP 8x8</t>
        </is>
      </c>
      <c r="B25" s="7" t="inlineStr">
        <is>
          <t>WHAP-0021</t>
        </is>
      </c>
      <c r="C25" s="7" t="inlineStr">
        <is>
          <t>MOT-0021</t>
        </is>
      </c>
      <c r="D25" s="7" t="inlineStr">
        <is>
          <t>soupape d'échappement</t>
        </is>
      </c>
      <c r="E25" s="7" t="inlineStr">
        <is>
          <t>Moteur</t>
        </is>
      </c>
      <c r="F25" s="7" t="inlineStr">
        <is>
          <t>Moteur</t>
        </is>
      </c>
      <c r="G25" s="7" t="inlineStr">
        <is>
          <t>PIECE_VEHICULE</t>
        </is>
      </c>
      <c r="H25" s="7" t="n">
        <v>1</v>
      </c>
      <c r="I25" s="7">
        <f>H25*$D$3</f>
        <v/>
      </c>
      <c r="J25" s="7" t="inlineStr">
        <is>
          <t>unité</t>
        </is>
      </c>
      <c r="K25" s="7" t="n">
        <v>0</v>
      </c>
      <c r="L25" s="7">
        <f>K25-I25</f>
        <v/>
      </c>
      <c r="M25" s="7">
        <f>IF(K25&lt;I25,"✕ INSUFFISANT",IF(K25&lt;I25*1.2,"⚠ STOCK FAIBLE","✓ COUVERT"))</f>
        <v/>
      </c>
      <c r="N25" s="7" t="inlineStr">
        <is>
          <t>FAU</t>
        </is>
      </c>
      <c r="O25" s="7" t="inlineStr">
        <is>
          <t>CRITIQUE</t>
        </is>
      </c>
      <c r="P25" s="7" t="inlineStr">
        <is>
          <t>31/08/2026 02:59</t>
        </is>
      </c>
    </row>
    <row r="26">
      <c r="A26" s="8" t="inlineStr">
        <is>
          <t>WHAP 8x8</t>
        </is>
      </c>
      <c r="B26" s="8" t="inlineStr">
        <is>
          <t>WHAP-0022</t>
        </is>
      </c>
      <c r="C26" s="8" t="inlineStr">
        <is>
          <t>MOT-0022</t>
        </is>
      </c>
      <c r="D26" s="8" t="inlineStr">
        <is>
          <t>guide de soupape</t>
        </is>
      </c>
      <c r="E26" s="8" t="inlineStr">
        <is>
          <t>Moteur</t>
        </is>
      </c>
      <c r="F26" s="8" t="inlineStr">
        <is>
          <t>Moteur</t>
        </is>
      </c>
      <c r="G26" s="8" t="inlineStr">
        <is>
          <t>PIECE_VEHICULE</t>
        </is>
      </c>
      <c r="H26" s="8" t="n">
        <v>1</v>
      </c>
      <c r="I26" s="8">
        <f>H26*$D$3</f>
        <v/>
      </c>
      <c r="J26" s="8" t="inlineStr">
        <is>
          <t>unité</t>
        </is>
      </c>
      <c r="K26" s="8" t="n">
        <v>0</v>
      </c>
      <c r="L26" s="8">
        <f>K26-I26</f>
        <v/>
      </c>
      <c r="M26" s="8">
        <f>IF(K26&lt;I26,"✕ INSUFFISANT",IF(K26&lt;I26*1.2,"⚠ STOCK FAIBLE","✓ COUVERT"))</f>
        <v/>
      </c>
      <c r="N26" s="8" t="inlineStr">
        <is>
          <t>HEL</t>
        </is>
      </c>
      <c r="O26" s="8" t="inlineStr">
        <is>
          <t>CRITIQUE</t>
        </is>
      </c>
      <c r="P26" s="8" t="inlineStr">
        <is>
          <t>31/08/2026 02:59</t>
        </is>
      </c>
    </row>
    <row r="27">
      <c r="A27" s="7" t="inlineStr">
        <is>
          <t>WHAP 8x8</t>
        </is>
      </c>
      <c r="B27" s="7" t="inlineStr">
        <is>
          <t>WHAP-0023</t>
        </is>
      </c>
      <c r="C27" s="7" t="inlineStr">
        <is>
          <t>MOT-0023</t>
        </is>
      </c>
      <c r="D27" s="7" t="inlineStr">
        <is>
          <t>ressort de soupape</t>
        </is>
      </c>
      <c r="E27" s="7" t="inlineStr">
        <is>
          <t>Moteur</t>
        </is>
      </c>
      <c r="F27" s="7" t="inlineStr">
        <is>
          <t>Moteur</t>
        </is>
      </c>
      <c r="G27" s="7" t="inlineStr">
        <is>
          <t>PIECE_VEHICULE</t>
        </is>
      </c>
      <c r="H27" s="7" t="n">
        <v>1</v>
      </c>
      <c r="I27" s="7">
        <f>H27*$D$3</f>
        <v/>
      </c>
      <c r="J27" s="7" t="inlineStr">
        <is>
          <t>unité</t>
        </is>
      </c>
      <c r="K27" s="7" t="n">
        <v>0</v>
      </c>
      <c r="L27" s="7">
        <f>K27-I27</f>
        <v/>
      </c>
      <c r="M27" s="7">
        <f>IF(K27&lt;I27,"✕ INSUFFISANT",IF(K27&lt;I27*1.2,"⚠ STOCK FAIBLE","✓ COUVERT"))</f>
        <v/>
      </c>
      <c r="N27" s="7" t="inlineStr">
        <is>
          <t>MAG</t>
        </is>
      </c>
      <c r="O27" s="7" t="inlineStr">
        <is>
          <t>CRITIQUE</t>
        </is>
      </c>
      <c r="P27" s="7" t="inlineStr">
        <is>
          <t>31/08/2026 02:59</t>
        </is>
      </c>
    </row>
    <row r="28">
      <c r="A28" s="8" t="inlineStr">
        <is>
          <t>WHAP 8x8</t>
        </is>
      </c>
      <c r="B28" s="8" t="inlineStr">
        <is>
          <t>WHAP-0024</t>
        </is>
      </c>
      <c r="C28" s="8" t="inlineStr">
        <is>
          <t>MOT-0024</t>
        </is>
      </c>
      <c r="D28" s="8" t="inlineStr">
        <is>
          <t>siège de soupape</t>
        </is>
      </c>
      <c r="E28" s="8" t="inlineStr">
        <is>
          <t>Moteur</t>
        </is>
      </c>
      <c r="F28" s="8" t="inlineStr">
        <is>
          <t>Moteur</t>
        </is>
      </c>
      <c r="G28" s="8" t="inlineStr">
        <is>
          <t>PIECE_VEHICULE</t>
        </is>
      </c>
      <c r="H28" s="8" t="n">
        <v>1</v>
      </c>
      <c r="I28" s="8">
        <f>H28*$D$3</f>
        <v/>
      </c>
      <c r="J28" s="8" t="inlineStr">
        <is>
          <t>unité</t>
        </is>
      </c>
      <c r="K28" s="8" t="n">
        <v>0</v>
      </c>
      <c r="L28" s="8">
        <f>K28-I28</f>
        <v/>
      </c>
      <c r="M28" s="8">
        <f>IF(K28&lt;I28,"✕ INSUFFISANT",IF(K28&lt;I28*1.2,"⚠ STOCK FAIBLE","✓ COUVERT"))</f>
        <v/>
      </c>
      <c r="N28" s="8" t="inlineStr">
        <is>
          <t>CTL</t>
        </is>
      </c>
      <c r="O28" s="8" t="inlineStr">
        <is>
          <t>CRITIQUE</t>
        </is>
      </c>
      <c r="P28" s="8" t="inlineStr">
        <is>
          <t>31/08/2026 02:59</t>
        </is>
      </c>
    </row>
    <row r="29">
      <c r="A29" s="7" t="inlineStr">
        <is>
          <t>WHAP 8x8</t>
        </is>
      </c>
      <c r="B29" s="7" t="inlineStr">
        <is>
          <t>WHAP-0025</t>
        </is>
      </c>
      <c r="C29" s="7" t="inlineStr">
        <is>
          <t>MOT-0025</t>
        </is>
      </c>
      <c r="D29" s="7" t="inlineStr">
        <is>
          <t>injecteur</t>
        </is>
      </c>
      <c r="E29" s="7" t="inlineStr">
        <is>
          <t>Moteur</t>
        </is>
      </c>
      <c r="F29" s="7" t="inlineStr">
        <is>
          <t>Moteur</t>
        </is>
      </c>
      <c r="G29" s="7" t="inlineStr">
        <is>
          <t>PIECE_VEHICULE</t>
        </is>
      </c>
      <c r="H29" s="7" t="n">
        <v>1</v>
      </c>
      <c r="I29" s="7">
        <f>H29*$D$3</f>
        <v/>
      </c>
      <c r="J29" s="7" t="inlineStr">
        <is>
          <t>unité</t>
        </is>
      </c>
      <c r="K29" s="7" t="n">
        <v>0</v>
      </c>
      <c r="L29" s="7">
        <f>K29-I29</f>
        <v/>
      </c>
      <c r="M29" s="7">
        <f>IF(K29&lt;I29,"✕ INSUFFISANT",IF(K29&lt;I29*1.2,"⚠ STOCK FAIBLE","✓ COUVERT"))</f>
        <v/>
      </c>
      <c r="N29" s="7" t="inlineStr">
        <is>
          <t>YZK</t>
        </is>
      </c>
      <c r="O29" s="7" t="inlineStr">
        <is>
          <t>CRITIQUE</t>
        </is>
      </c>
      <c r="P29" s="7" t="inlineStr">
        <is>
          <t>31/08/2026 02:59</t>
        </is>
      </c>
    </row>
    <row r="30">
      <c r="A30" s="8" t="inlineStr">
        <is>
          <t>WHAP 8x8</t>
        </is>
      </c>
      <c r="B30" s="8" t="inlineStr">
        <is>
          <t>WHAP-0026</t>
        </is>
      </c>
      <c r="C30" s="8" t="inlineStr">
        <is>
          <t>MOT-0026</t>
        </is>
      </c>
      <c r="D30" s="8" t="inlineStr">
        <is>
          <t>rampe commune</t>
        </is>
      </c>
      <c r="E30" s="8" t="inlineStr">
        <is>
          <t>Moteur</t>
        </is>
      </c>
      <c r="F30" s="8" t="inlineStr">
        <is>
          <t>Moteur</t>
        </is>
      </c>
      <c r="G30" s="8" t="inlineStr">
        <is>
          <t>PIECE_VEHICULE</t>
        </is>
      </c>
      <c r="H30" s="8" t="n">
        <v>1</v>
      </c>
      <c r="I30" s="8">
        <f>H30*$D$3</f>
        <v/>
      </c>
      <c r="J30" s="8" t="inlineStr">
        <is>
          <t>unité</t>
        </is>
      </c>
      <c r="K30" s="8" t="n">
        <v>0</v>
      </c>
      <c r="L30" s="8">
        <f>K30-I30</f>
        <v/>
      </c>
      <c r="M30" s="8">
        <f>IF(K30&lt;I30,"✕ INSUFFISANT",IF(K30&lt;I30*1.2,"⚠ STOCK FAIBLE","✓ COUVERT"))</f>
        <v/>
      </c>
      <c r="N30" s="8" t="inlineStr">
        <is>
          <t>MAG</t>
        </is>
      </c>
      <c r="O30" s="8" t="inlineStr">
        <is>
          <t>CRITIQUE</t>
        </is>
      </c>
      <c r="P30" s="8" t="inlineStr">
        <is>
          <t>31/08/2026 02:59</t>
        </is>
      </c>
    </row>
    <row r="31">
      <c r="A31" s="7" t="inlineStr">
        <is>
          <t>WHAP 8x8</t>
        </is>
      </c>
      <c r="B31" s="7" t="inlineStr">
        <is>
          <t>WHAP-0027</t>
        </is>
      </c>
      <c r="C31" s="7" t="inlineStr">
        <is>
          <t>MOT-0027</t>
        </is>
      </c>
      <c r="D31" s="7" t="inlineStr">
        <is>
          <t>pompe haute pression</t>
        </is>
      </c>
      <c r="E31" s="7" t="inlineStr">
        <is>
          <t>Moteur</t>
        </is>
      </c>
      <c r="F31" s="7" t="inlineStr">
        <is>
          <t>Moteur</t>
        </is>
      </c>
      <c r="G31" s="7" t="inlineStr">
        <is>
          <t>PIECE_VEHICULE</t>
        </is>
      </c>
      <c r="H31" s="7" t="n">
        <v>1</v>
      </c>
      <c r="I31" s="7">
        <f>H31*$D$3</f>
        <v/>
      </c>
      <c r="J31" s="7" t="inlineStr">
        <is>
          <t>unité</t>
        </is>
      </c>
      <c r="K31" s="7" t="n">
        <v>0</v>
      </c>
      <c r="L31" s="7">
        <f>K31-I31</f>
        <v/>
      </c>
      <c r="M31" s="7">
        <f>IF(K31&lt;I31,"✕ INSUFFISANT",IF(K31&lt;I31*1.2,"⚠ STOCK FAIBLE","✓ COUVERT"))</f>
        <v/>
      </c>
      <c r="N31" s="7" t="inlineStr">
        <is>
          <t>YZK</t>
        </is>
      </c>
      <c r="O31" s="7" t="inlineStr">
        <is>
          <t>CRITIQUE</t>
        </is>
      </c>
      <c r="P31" s="7" t="inlineStr">
        <is>
          <t>31/08/2026 02:59</t>
        </is>
      </c>
    </row>
    <row r="32">
      <c r="A32" s="8" t="inlineStr">
        <is>
          <t>WHAP 8x8</t>
        </is>
      </c>
      <c r="B32" s="8" t="inlineStr">
        <is>
          <t>WHAP-0028</t>
        </is>
      </c>
      <c r="C32" s="8" t="inlineStr">
        <is>
          <t>MOT-0028</t>
        </is>
      </c>
      <c r="D32" s="8" t="inlineStr">
        <is>
          <t>pompe à carburant</t>
        </is>
      </c>
      <c r="E32" s="8" t="inlineStr">
        <is>
          <t>Moteur</t>
        </is>
      </c>
      <c r="F32" s="8" t="inlineStr">
        <is>
          <t>Moteur</t>
        </is>
      </c>
      <c r="G32" s="8" t="inlineStr">
        <is>
          <t>PIECE_VEHICULE</t>
        </is>
      </c>
      <c r="H32" s="8" t="n">
        <v>1</v>
      </c>
      <c r="I32" s="8">
        <f>H32*$D$3</f>
        <v/>
      </c>
      <c r="J32" s="8" t="inlineStr">
        <is>
          <t>unité</t>
        </is>
      </c>
      <c r="K32" s="8" t="n">
        <v>0</v>
      </c>
      <c r="L32" s="8">
        <f>K32-I32</f>
        <v/>
      </c>
      <c r="M32" s="8">
        <f>IF(K32&lt;I32,"✕ INSUFFISANT",IF(K32&lt;I32*1.2,"⚠ STOCK FAIBLE","✓ COUVERT"))</f>
        <v/>
      </c>
      <c r="N32" s="8" t="inlineStr">
        <is>
          <t>MAG</t>
        </is>
      </c>
      <c r="O32" s="8" t="inlineStr">
        <is>
          <t>CRITIQUE</t>
        </is>
      </c>
      <c r="P32" s="8" t="inlineStr">
        <is>
          <t>31/08/2026 02:59</t>
        </is>
      </c>
    </row>
    <row r="33">
      <c r="A33" s="7" t="inlineStr">
        <is>
          <t>WHAP 8x8</t>
        </is>
      </c>
      <c r="B33" s="7" t="inlineStr">
        <is>
          <t>WHAP-0029</t>
        </is>
      </c>
      <c r="C33" s="7" t="inlineStr">
        <is>
          <t>MOT-0029</t>
        </is>
      </c>
      <c r="D33" s="7" t="inlineStr">
        <is>
          <t>filtre à carburant</t>
        </is>
      </c>
      <c r="E33" s="7" t="inlineStr">
        <is>
          <t>Moteur</t>
        </is>
      </c>
      <c r="F33" s="7" t="inlineStr">
        <is>
          <t>Moteur</t>
        </is>
      </c>
      <c r="G33" s="7" t="inlineStr">
        <is>
          <t>PIECE_VEHICULE</t>
        </is>
      </c>
      <c r="H33" s="7" t="n">
        <v>1</v>
      </c>
      <c r="I33" s="7">
        <f>H33*$D$3</f>
        <v/>
      </c>
      <c r="J33" s="7" t="inlineStr">
        <is>
          <t>unité</t>
        </is>
      </c>
      <c r="K33" s="7" t="n">
        <v>0</v>
      </c>
      <c r="L33" s="7">
        <f>K33-I33</f>
        <v/>
      </c>
      <c r="M33" s="7">
        <f>IF(K33&lt;I33,"✕ INSUFFISANT",IF(K33&lt;I33*1.2,"⚠ STOCK FAIBLE","✓ COUVERT"))</f>
        <v/>
      </c>
      <c r="N33" s="7" t="inlineStr">
        <is>
          <t>SKF</t>
        </is>
      </c>
      <c r="O33" s="7" t="inlineStr">
        <is>
          <t>CRITIQUE</t>
        </is>
      </c>
      <c r="P33" s="7" t="inlineStr">
        <is>
          <t>31/08/2026 02:59</t>
        </is>
      </c>
    </row>
    <row r="34">
      <c r="A34" s="8" t="inlineStr">
        <is>
          <t>WHAP 8x8</t>
        </is>
      </c>
      <c r="B34" s="8" t="inlineStr">
        <is>
          <t>WHAP-0030</t>
        </is>
      </c>
      <c r="C34" s="8" t="inlineStr">
        <is>
          <t>MOT-0030</t>
        </is>
      </c>
      <c r="D34" s="8" t="inlineStr">
        <is>
          <t>filtre à huile</t>
        </is>
      </c>
      <c r="E34" s="8" t="inlineStr">
        <is>
          <t>Moteur</t>
        </is>
      </c>
      <c r="F34" s="8" t="inlineStr">
        <is>
          <t>Moteur</t>
        </is>
      </c>
      <c r="G34" s="8" t="inlineStr">
        <is>
          <t>PIECE_VEHICULE</t>
        </is>
      </c>
      <c r="H34" s="8" t="n">
        <v>1</v>
      </c>
      <c r="I34" s="8">
        <f>H34*$D$3</f>
        <v/>
      </c>
      <c r="J34" s="8" t="inlineStr">
        <is>
          <t>unité</t>
        </is>
      </c>
      <c r="K34" s="8" t="n">
        <v>0</v>
      </c>
      <c r="L34" s="8">
        <f>K34-I34</f>
        <v/>
      </c>
      <c r="M34" s="8">
        <f>IF(K34&lt;I34,"✕ INSUFFISANT",IF(K34&lt;I34*1.2,"⚠ STOCK FAIBLE","✓ COUVERT"))</f>
        <v/>
      </c>
      <c r="N34" s="8" t="inlineStr">
        <is>
          <t>HEL</t>
        </is>
      </c>
      <c r="O34" s="8" t="inlineStr">
        <is>
          <t>CRITIQUE</t>
        </is>
      </c>
      <c r="P34" s="8" t="inlineStr">
        <is>
          <t>31/08/2026 02:59</t>
        </is>
      </c>
    </row>
    <row r="35">
      <c r="A35" s="7" t="inlineStr">
        <is>
          <t>WHAP 8x8</t>
        </is>
      </c>
      <c r="B35" s="7" t="inlineStr">
        <is>
          <t>WHAP-0031</t>
        </is>
      </c>
      <c r="C35" s="7" t="inlineStr">
        <is>
          <t>MOT-0031</t>
        </is>
      </c>
      <c r="D35" s="7" t="inlineStr">
        <is>
          <t>filtre à air</t>
        </is>
      </c>
      <c r="E35" s="7" t="inlineStr">
        <is>
          <t>Moteur</t>
        </is>
      </c>
      <c r="F35" s="7" t="inlineStr">
        <is>
          <t>Moteur</t>
        </is>
      </c>
      <c r="G35" s="7" t="inlineStr">
        <is>
          <t>PIECE_VEHICULE</t>
        </is>
      </c>
      <c r="H35" s="7" t="n">
        <v>1</v>
      </c>
      <c r="I35" s="7">
        <f>H35*$D$3</f>
        <v/>
      </c>
      <c r="J35" s="7" t="inlineStr">
        <is>
          <t>unité</t>
        </is>
      </c>
      <c r="K35" s="7" t="n">
        <v>0</v>
      </c>
      <c r="L35" s="7">
        <f>K35-I35</f>
        <v/>
      </c>
      <c r="M35" s="7">
        <f>IF(K35&lt;I35,"✕ INSUFFISANT",IF(K35&lt;I35*1.2,"⚠ STOCK FAIBLE","✓ COUVERT"))</f>
        <v/>
      </c>
      <c r="N35" s="7" t="inlineStr">
        <is>
          <t>MAG</t>
        </is>
      </c>
      <c r="O35" s="7" t="inlineStr">
        <is>
          <t>CRITIQUE</t>
        </is>
      </c>
      <c r="P35" s="7" t="inlineStr">
        <is>
          <t>31/08/2026 02:59</t>
        </is>
      </c>
    </row>
    <row r="36">
      <c r="A36" s="8" t="inlineStr">
        <is>
          <t>WHAP 8x8</t>
        </is>
      </c>
      <c r="B36" s="8" t="inlineStr">
        <is>
          <t>WHAP-0032</t>
        </is>
      </c>
      <c r="C36" s="8" t="inlineStr">
        <is>
          <t>MOT-0032</t>
        </is>
      </c>
      <c r="D36" s="8" t="inlineStr">
        <is>
          <t>boîtier de filtre à air</t>
        </is>
      </c>
      <c r="E36" s="8" t="inlineStr">
        <is>
          <t>Moteur</t>
        </is>
      </c>
      <c r="F36" s="8" t="inlineStr">
        <is>
          <t>Moteur</t>
        </is>
      </c>
      <c r="G36" s="8" t="inlineStr">
        <is>
          <t>PIECE_VEHICULE</t>
        </is>
      </c>
      <c r="H36" s="8" t="n">
        <v>1</v>
      </c>
      <c r="I36" s="8">
        <f>H36*$D$3</f>
        <v/>
      </c>
      <c r="J36" s="8" t="inlineStr">
        <is>
          <t>unité</t>
        </is>
      </c>
      <c r="K36" s="8" t="n">
        <v>0</v>
      </c>
      <c r="L36" s="8">
        <f>K36-I36</f>
        <v/>
      </c>
      <c r="M36" s="8">
        <f>IF(K36&lt;I36,"✕ INSUFFISANT",IF(K36&lt;I36*1.2,"⚠ STOCK FAIBLE","✓ COUVERT"))</f>
        <v/>
      </c>
      <c r="N36" s="8" t="inlineStr">
        <is>
          <t>SKF</t>
        </is>
      </c>
      <c r="O36" s="8" t="inlineStr">
        <is>
          <t>CRITIQUE</t>
        </is>
      </c>
      <c r="P36" s="8" t="inlineStr">
        <is>
          <t>31/08/2026 02:59</t>
        </is>
      </c>
    </row>
    <row r="37">
      <c r="A37" s="7" t="inlineStr">
        <is>
          <t>WHAP 8x8</t>
        </is>
      </c>
      <c r="B37" s="7" t="inlineStr">
        <is>
          <t>WHAP-0033</t>
        </is>
      </c>
      <c r="C37" s="7" t="inlineStr">
        <is>
          <t>MOT-0033</t>
        </is>
      </c>
      <c r="D37" s="7" t="inlineStr">
        <is>
          <t>turbocompresseur</t>
        </is>
      </c>
      <c r="E37" s="7" t="inlineStr">
        <is>
          <t>Moteur</t>
        </is>
      </c>
      <c r="F37" s="7" t="inlineStr">
        <is>
          <t>Moteur</t>
        </is>
      </c>
      <c r="G37" s="7" t="inlineStr">
        <is>
          <t>PIECE_VEHICULE</t>
        </is>
      </c>
      <c r="H37" s="7" t="n">
        <v>1</v>
      </c>
      <c r="I37" s="7">
        <f>H37*$D$3</f>
        <v/>
      </c>
      <c r="J37" s="7" t="inlineStr">
        <is>
          <t>unité</t>
        </is>
      </c>
      <c r="K37" s="7" t="n">
        <v>0</v>
      </c>
      <c r="L37" s="7">
        <f>K37-I37</f>
        <v/>
      </c>
      <c r="M37" s="7">
        <f>IF(K37&lt;I37,"✕ INSUFFISANT",IF(K37&lt;I37*1.2,"⚠ STOCK FAIBLE","✓ COUVERT"))</f>
        <v/>
      </c>
      <c r="N37" s="7" t="inlineStr">
        <is>
          <t>SKF</t>
        </is>
      </c>
      <c r="O37" s="7" t="inlineStr">
        <is>
          <t>CRITIQUE</t>
        </is>
      </c>
      <c r="P37" s="7" t="inlineStr">
        <is>
          <t>31/08/2026 02:59</t>
        </is>
      </c>
    </row>
    <row r="38">
      <c r="A38" s="8" t="inlineStr">
        <is>
          <t>WHAP 8x8</t>
        </is>
      </c>
      <c r="B38" s="8" t="inlineStr">
        <is>
          <t>WHAP-0034</t>
        </is>
      </c>
      <c r="C38" s="8" t="inlineStr">
        <is>
          <t>MOT-0034</t>
        </is>
      </c>
      <c r="D38" s="8" t="inlineStr">
        <is>
          <t>intercooler</t>
        </is>
      </c>
      <c r="E38" s="8" t="inlineStr">
        <is>
          <t>Moteur</t>
        </is>
      </c>
      <c r="F38" s="8" t="inlineStr">
        <is>
          <t>Moteur</t>
        </is>
      </c>
      <c r="G38" s="8" t="inlineStr">
        <is>
          <t>PIECE_VEHICULE</t>
        </is>
      </c>
      <c r="H38" s="8" t="n">
        <v>1</v>
      </c>
      <c r="I38" s="8">
        <f>H38*$D$3</f>
        <v/>
      </c>
      <c r="J38" s="8" t="inlineStr">
        <is>
          <t>unité</t>
        </is>
      </c>
      <c r="K38" s="8" t="n">
        <v>0</v>
      </c>
      <c r="L38" s="8">
        <f>K38-I38</f>
        <v/>
      </c>
      <c r="M38" s="8">
        <f>IF(K38&lt;I38,"✕ INSUFFISANT",IF(K38&lt;I38*1.2,"⚠ STOCK FAIBLE","✓ COUVERT"))</f>
        <v/>
      </c>
      <c r="N38" s="8" t="inlineStr">
        <is>
          <t>HEL</t>
        </is>
      </c>
      <c r="O38" s="8" t="inlineStr">
        <is>
          <t>CRITIQUE</t>
        </is>
      </c>
      <c r="P38" s="8" t="inlineStr">
        <is>
          <t>31/08/2026 02:59</t>
        </is>
      </c>
    </row>
    <row r="39">
      <c r="A39" s="7" t="inlineStr">
        <is>
          <t>WHAP 8x8</t>
        </is>
      </c>
      <c r="B39" s="7" t="inlineStr">
        <is>
          <t>WHAP-0035</t>
        </is>
      </c>
      <c r="C39" s="7" t="inlineStr">
        <is>
          <t>MOT-0035</t>
        </is>
      </c>
      <c r="D39" s="7" t="inlineStr">
        <is>
          <t>collecteur d'admission</t>
        </is>
      </c>
      <c r="E39" s="7" t="inlineStr">
        <is>
          <t>Moteur</t>
        </is>
      </c>
      <c r="F39" s="7" t="inlineStr">
        <is>
          <t>Moteur</t>
        </is>
      </c>
      <c r="G39" s="7" t="inlineStr">
        <is>
          <t>PIECE_VEHICULE</t>
        </is>
      </c>
      <c r="H39" s="7" t="n">
        <v>1</v>
      </c>
      <c r="I39" s="7">
        <f>H39*$D$3</f>
        <v/>
      </c>
      <c r="J39" s="7" t="inlineStr">
        <is>
          <t>unité</t>
        </is>
      </c>
      <c r="K39" s="7" t="n">
        <v>0</v>
      </c>
      <c r="L39" s="7">
        <f>K39-I39</f>
        <v/>
      </c>
      <c r="M39" s="7">
        <f>IF(K39&lt;I39,"✕ INSUFFISANT",IF(K39&lt;I39*1.2,"⚠ STOCK FAIBLE","✓ COUVERT"))</f>
        <v/>
      </c>
      <c r="N39" s="7" t="inlineStr">
        <is>
          <t>SKF</t>
        </is>
      </c>
      <c r="O39" s="7" t="inlineStr">
        <is>
          <t>CRITIQUE</t>
        </is>
      </c>
      <c r="P39" s="7" t="inlineStr">
        <is>
          <t>31/08/2026 02:59</t>
        </is>
      </c>
    </row>
    <row r="40">
      <c r="A40" s="8" t="inlineStr">
        <is>
          <t>WHAP 8x8</t>
        </is>
      </c>
      <c r="B40" s="8" t="inlineStr">
        <is>
          <t>WHAP-0036</t>
        </is>
      </c>
      <c r="C40" s="8" t="inlineStr">
        <is>
          <t>MOT-0036</t>
        </is>
      </c>
      <c r="D40" s="8" t="inlineStr">
        <is>
          <t>collecteur d'échappement</t>
        </is>
      </c>
      <c r="E40" s="8" t="inlineStr">
        <is>
          <t>Moteur</t>
        </is>
      </c>
      <c r="F40" s="8" t="inlineStr">
        <is>
          <t>Moteur</t>
        </is>
      </c>
      <c r="G40" s="8" t="inlineStr">
        <is>
          <t>PIECE_VEHICULE</t>
        </is>
      </c>
      <c r="H40" s="8" t="n">
        <v>1</v>
      </c>
      <c r="I40" s="8">
        <f>H40*$D$3</f>
        <v/>
      </c>
      <c r="J40" s="8" t="inlineStr">
        <is>
          <t>unité</t>
        </is>
      </c>
      <c r="K40" s="8" t="n">
        <v>0</v>
      </c>
      <c r="L40" s="8">
        <f>K40-I40</f>
        <v/>
      </c>
      <c r="M40" s="8">
        <f>IF(K40&lt;I40,"✕ INSUFFISANT",IF(K40&lt;I40*1.2,"⚠ STOCK FAIBLE","✓ COUVERT"))</f>
        <v/>
      </c>
      <c r="N40" s="8" t="inlineStr">
        <is>
          <t>MAG</t>
        </is>
      </c>
      <c r="O40" s="8" t="inlineStr">
        <is>
          <t>CRITIQUE</t>
        </is>
      </c>
      <c r="P40" s="8" t="inlineStr">
        <is>
          <t>31/08/2026 02:59</t>
        </is>
      </c>
    </row>
    <row r="41">
      <c r="A41" s="7" t="inlineStr">
        <is>
          <t>WHAP 8x8</t>
        </is>
      </c>
      <c r="B41" s="7" t="inlineStr">
        <is>
          <t>WHAP-0037</t>
        </is>
      </c>
      <c r="C41" s="7" t="inlineStr">
        <is>
          <t>MOT-0037</t>
        </is>
      </c>
      <c r="D41" s="7" t="inlineStr">
        <is>
          <t>vanne EGR</t>
        </is>
      </c>
      <c r="E41" s="7" t="inlineStr">
        <is>
          <t>Moteur</t>
        </is>
      </c>
      <c r="F41" s="7" t="inlineStr">
        <is>
          <t>Moteur</t>
        </is>
      </c>
      <c r="G41" s="7" t="inlineStr">
        <is>
          <t>PIECE_VEHICULE</t>
        </is>
      </c>
      <c r="H41" s="7" t="n">
        <v>1</v>
      </c>
      <c r="I41" s="7">
        <f>H41*$D$3</f>
        <v/>
      </c>
      <c r="J41" s="7" t="inlineStr">
        <is>
          <t>unité</t>
        </is>
      </c>
      <c r="K41" s="7" t="n">
        <v>0</v>
      </c>
      <c r="L41" s="7">
        <f>K41-I41</f>
        <v/>
      </c>
      <c r="M41" s="7">
        <f>IF(K41&lt;I41,"✕ INSUFFISANT",IF(K41&lt;I41*1.2,"⚠ STOCK FAIBLE","✓ COUVERT"))</f>
        <v/>
      </c>
      <c r="N41" s="7" t="inlineStr">
        <is>
          <t>CTL</t>
        </is>
      </c>
      <c r="O41" s="7" t="inlineStr">
        <is>
          <t>CRITIQUE</t>
        </is>
      </c>
      <c r="P41" s="7" t="inlineStr">
        <is>
          <t>31/08/2026 02:59</t>
        </is>
      </c>
    </row>
    <row r="42">
      <c r="A42" s="8" t="inlineStr">
        <is>
          <t>WHAP 8x8</t>
        </is>
      </c>
      <c r="B42" s="8" t="inlineStr">
        <is>
          <t>WHAP-0038</t>
        </is>
      </c>
      <c r="C42" s="8" t="inlineStr">
        <is>
          <t>MOT-0038</t>
        </is>
      </c>
      <c r="D42" s="8" t="inlineStr">
        <is>
          <t>actionneur EGR</t>
        </is>
      </c>
      <c r="E42" s="8" t="inlineStr">
        <is>
          <t>Moteur</t>
        </is>
      </c>
      <c r="F42" s="8" t="inlineStr">
        <is>
          <t>Moteur</t>
        </is>
      </c>
      <c r="G42" s="8" t="inlineStr">
        <is>
          <t>PIECE_VEHICULE</t>
        </is>
      </c>
      <c r="H42" s="8" t="n">
        <v>1</v>
      </c>
      <c r="I42" s="8">
        <f>H42*$D$3</f>
        <v/>
      </c>
      <c r="J42" s="8" t="inlineStr">
        <is>
          <t>unité</t>
        </is>
      </c>
      <c r="K42" s="8" t="n">
        <v>0</v>
      </c>
      <c r="L42" s="8">
        <f>K42-I42</f>
        <v/>
      </c>
      <c r="M42" s="8">
        <f>IF(K42&lt;I42,"✕ INSUFFISANT",IF(K42&lt;I42*1.2,"⚠ STOCK FAIBLE","✓ COUVERT"))</f>
        <v/>
      </c>
      <c r="N42" s="8" t="inlineStr">
        <is>
          <t>CTL</t>
        </is>
      </c>
      <c r="O42" s="8" t="inlineStr">
        <is>
          <t>CRITIQUE</t>
        </is>
      </c>
      <c r="P42" s="8" t="inlineStr">
        <is>
          <t>31/08/2026 02:59</t>
        </is>
      </c>
    </row>
    <row r="43">
      <c r="A43" s="7" t="inlineStr">
        <is>
          <t>WHAP 8x8</t>
        </is>
      </c>
      <c r="B43" s="7" t="inlineStr">
        <is>
          <t>WHAP-0039</t>
        </is>
      </c>
      <c r="C43" s="7" t="inlineStr">
        <is>
          <t>MOT-0039</t>
        </is>
      </c>
      <c r="D43" s="7" t="inlineStr">
        <is>
          <t>capteur de pression d'admission</t>
        </is>
      </c>
      <c r="E43" s="7" t="inlineStr">
        <is>
          <t>Moteur</t>
        </is>
      </c>
      <c r="F43" s="7" t="inlineStr">
        <is>
          <t>Moteur</t>
        </is>
      </c>
      <c r="G43" s="7" t="inlineStr">
        <is>
          <t>PIECE_VEHICULE</t>
        </is>
      </c>
      <c r="H43" s="7" t="n">
        <v>1</v>
      </c>
      <c r="I43" s="7">
        <f>H43*$D$3</f>
        <v/>
      </c>
      <c r="J43" s="7" t="inlineStr">
        <is>
          <t>unité</t>
        </is>
      </c>
      <c r="K43" s="7" t="n">
        <v>0</v>
      </c>
      <c r="L43" s="7">
        <f>K43-I43</f>
        <v/>
      </c>
      <c r="M43" s="7">
        <f>IF(K43&lt;I43,"✕ INSUFFISANT",IF(K43&lt;I43*1.2,"⚠ STOCK FAIBLE","✓ COUVERT"))</f>
        <v/>
      </c>
      <c r="N43" s="7" t="inlineStr">
        <is>
          <t>BOS</t>
        </is>
      </c>
      <c r="O43" s="7" t="inlineStr">
        <is>
          <t>CRITIQUE</t>
        </is>
      </c>
      <c r="P43" s="7" t="inlineStr">
        <is>
          <t>31/08/2026 02:59</t>
        </is>
      </c>
    </row>
    <row r="44">
      <c r="A44" s="8" t="inlineStr">
        <is>
          <t>WHAP 8x8</t>
        </is>
      </c>
      <c r="B44" s="8" t="inlineStr">
        <is>
          <t>WHAP-0040</t>
        </is>
      </c>
      <c r="C44" s="8" t="inlineStr">
        <is>
          <t>MOT-0040</t>
        </is>
      </c>
      <c r="D44" s="8" t="inlineStr">
        <is>
          <t>capteur de température d'admission</t>
        </is>
      </c>
      <c r="E44" s="8" t="inlineStr">
        <is>
          <t>Moteur</t>
        </is>
      </c>
      <c r="F44" s="8" t="inlineStr">
        <is>
          <t>Moteur</t>
        </is>
      </c>
      <c r="G44" s="8" t="inlineStr">
        <is>
          <t>PIECE_VEHICULE</t>
        </is>
      </c>
      <c r="H44" s="8" t="n">
        <v>1</v>
      </c>
      <c r="I44" s="8">
        <f>H44*$D$3</f>
        <v/>
      </c>
      <c r="J44" s="8" t="inlineStr">
        <is>
          <t>unité</t>
        </is>
      </c>
      <c r="K44" s="8" t="n">
        <v>0</v>
      </c>
      <c r="L44" s="8">
        <f>K44-I44</f>
        <v/>
      </c>
      <c r="M44" s="8">
        <f>IF(K44&lt;I44,"✕ INSUFFISANT",IF(K44&lt;I44*1.2,"⚠ STOCK FAIBLE","✓ COUVERT"))</f>
        <v/>
      </c>
      <c r="N44" s="8" t="inlineStr">
        <is>
          <t>FAU</t>
        </is>
      </c>
      <c r="O44" s="8" t="inlineStr">
        <is>
          <t>CRITIQUE</t>
        </is>
      </c>
      <c r="P44" s="8" t="inlineStr">
        <is>
          <t>31/08/2026 02:59</t>
        </is>
      </c>
    </row>
    <row r="45">
      <c r="A45" s="7" t="inlineStr">
        <is>
          <t>WHAP 8x8</t>
        </is>
      </c>
      <c r="B45" s="7" t="inlineStr">
        <is>
          <t>WHAP-0041</t>
        </is>
      </c>
      <c r="C45" s="7" t="inlineStr">
        <is>
          <t>MOT-0041</t>
        </is>
      </c>
      <c r="D45" s="7" t="inlineStr">
        <is>
          <t>capteur de vilebrequin</t>
        </is>
      </c>
      <c r="E45" s="7" t="inlineStr">
        <is>
          <t>Moteur</t>
        </is>
      </c>
      <c r="F45" s="7" t="inlineStr">
        <is>
          <t>Moteur</t>
        </is>
      </c>
      <c r="G45" s="7" t="inlineStr">
        <is>
          <t>PIECE_VEHICULE</t>
        </is>
      </c>
      <c r="H45" s="7" t="n">
        <v>1</v>
      </c>
      <c r="I45" s="7">
        <f>H45*$D$3</f>
        <v/>
      </c>
      <c r="J45" s="7" t="inlineStr">
        <is>
          <t>unité</t>
        </is>
      </c>
      <c r="K45" s="7" t="n">
        <v>0</v>
      </c>
      <c r="L45" s="7">
        <f>K45-I45</f>
        <v/>
      </c>
      <c r="M45" s="7">
        <f>IF(K45&lt;I45,"✕ INSUFFISANT",IF(K45&lt;I45*1.2,"⚠ STOCK FAIBLE","✓ COUVERT"))</f>
        <v/>
      </c>
      <c r="N45" s="7" t="inlineStr">
        <is>
          <t>BOS</t>
        </is>
      </c>
      <c r="O45" s="7" t="inlineStr">
        <is>
          <t>CRITIQUE</t>
        </is>
      </c>
      <c r="P45" s="7" t="inlineStr">
        <is>
          <t>31/08/2026 02:59</t>
        </is>
      </c>
    </row>
    <row r="46">
      <c r="A46" s="8" t="inlineStr">
        <is>
          <t>WHAP 8x8</t>
        </is>
      </c>
      <c r="B46" s="8" t="inlineStr">
        <is>
          <t>WHAP-0042</t>
        </is>
      </c>
      <c r="C46" s="8" t="inlineStr">
        <is>
          <t>MOT-0042</t>
        </is>
      </c>
      <c r="D46" s="8" t="inlineStr">
        <is>
          <t>capteur d'arbre à cames</t>
        </is>
      </c>
      <c r="E46" s="8" t="inlineStr">
        <is>
          <t>Moteur</t>
        </is>
      </c>
      <c r="F46" s="8" t="inlineStr">
        <is>
          <t>Moteur</t>
        </is>
      </c>
      <c r="G46" s="8" t="inlineStr">
        <is>
          <t>PIECE_VEHICULE</t>
        </is>
      </c>
      <c r="H46" s="8" t="n">
        <v>1</v>
      </c>
      <c r="I46" s="8">
        <f>H46*$D$3</f>
        <v/>
      </c>
      <c r="J46" s="8" t="inlineStr">
        <is>
          <t>unité</t>
        </is>
      </c>
      <c r="K46" s="8" t="n">
        <v>0</v>
      </c>
      <c r="L46" s="8">
        <f>K46-I46</f>
        <v/>
      </c>
      <c r="M46" s="8">
        <f>IF(K46&lt;I46,"✕ INSUFFISANT",IF(K46&lt;I46*1.2,"⚠ STOCK FAIBLE","✓ COUVERT"))</f>
        <v/>
      </c>
      <c r="N46" s="8" t="inlineStr">
        <is>
          <t>VAL</t>
        </is>
      </c>
      <c r="O46" s="8" t="inlineStr">
        <is>
          <t>CRITIQUE</t>
        </is>
      </c>
      <c r="P46" s="8" t="inlineStr">
        <is>
          <t>31/08/2026 02:59</t>
        </is>
      </c>
    </row>
    <row r="47">
      <c r="A47" s="7" t="inlineStr">
        <is>
          <t>WHAP 8x8</t>
        </is>
      </c>
      <c r="B47" s="7" t="inlineStr">
        <is>
          <t>WHAP-0043</t>
        </is>
      </c>
      <c r="C47" s="7" t="inlineStr">
        <is>
          <t>MOT-0043</t>
        </is>
      </c>
      <c r="D47" s="7" t="inlineStr">
        <is>
          <t>capteur de pression d'huile</t>
        </is>
      </c>
      <c r="E47" s="7" t="inlineStr">
        <is>
          <t>Moteur</t>
        </is>
      </c>
      <c r="F47" s="7" t="inlineStr">
        <is>
          <t>Moteur</t>
        </is>
      </c>
      <c r="G47" s="7" t="inlineStr">
        <is>
          <t>PIECE_VEHICULE</t>
        </is>
      </c>
      <c r="H47" s="7" t="n">
        <v>1</v>
      </c>
      <c r="I47" s="7">
        <f>H47*$D$3</f>
        <v/>
      </c>
      <c r="J47" s="7" t="inlineStr">
        <is>
          <t>unité</t>
        </is>
      </c>
      <c r="K47" s="7" t="n">
        <v>0</v>
      </c>
      <c r="L47" s="7">
        <f>K47-I47</f>
        <v/>
      </c>
      <c r="M47" s="7">
        <f>IF(K47&lt;I47,"✕ INSUFFISANT",IF(K47&lt;I47*1.2,"⚠ STOCK FAIBLE","✓ COUVERT"))</f>
        <v/>
      </c>
      <c r="N47" s="7" t="inlineStr">
        <is>
          <t>DEL</t>
        </is>
      </c>
      <c r="O47" s="7" t="inlineStr">
        <is>
          <t>CRITIQUE</t>
        </is>
      </c>
      <c r="P47" s="7" t="inlineStr">
        <is>
          <t>31/08/2026 02:59</t>
        </is>
      </c>
    </row>
    <row r="48">
      <c r="A48" s="8" t="inlineStr">
        <is>
          <t>WHAP 8x8</t>
        </is>
      </c>
      <c r="B48" s="8" t="inlineStr">
        <is>
          <t>WHAP-0044</t>
        </is>
      </c>
      <c r="C48" s="8" t="inlineStr">
        <is>
          <t>MOT-0044</t>
        </is>
      </c>
      <c r="D48" s="8" t="inlineStr">
        <is>
          <t>capteur de température moteur</t>
        </is>
      </c>
      <c r="E48" s="8" t="inlineStr">
        <is>
          <t>Moteur</t>
        </is>
      </c>
      <c r="F48" s="8" t="inlineStr">
        <is>
          <t>Moteur</t>
        </is>
      </c>
      <c r="G48" s="8" t="inlineStr">
        <is>
          <t>PIECE_VEHICULE</t>
        </is>
      </c>
      <c r="H48" s="8" t="n">
        <v>1</v>
      </c>
      <c r="I48" s="8">
        <f>H48*$D$3</f>
        <v/>
      </c>
      <c r="J48" s="8" t="inlineStr">
        <is>
          <t>unité</t>
        </is>
      </c>
      <c r="K48" s="8" t="n">
        <v>0</v>
      </c>
      <c r="L48" s="8">
        <f>K48-I48</f>
        <v/>
      </c>
      <c r="M48" s="8">
        <f>IF(K48&lt;I48,"✕ INSUFFISANT",IF(K48&lt;I48*1.2,"⚠ STOCK FAIBLE","✓ COUVERT"))</f>
        <v/>
      </c>
      <c r="N48" s="8" t="inlineStr">
        <is>
          <t>BOS</t>
        </is>
      </c>
      <c r="O48" s="8" t="inlineStr">
        <is>
          <t>CRITIQUE</t>
        </is>
      </c>
      <c r="P48" s="8" t="inlineStr">
        <is>
          <t>31/08/2026 02:59</t>
        </is>
      </c>
    </row>
    <row r="49">
      <c r="A49" s="7" t="inlineStr">
        <is>
          <t>WHAP 8x8</t>
        </is>
      </c>
      <c r="B49" s="7" t="inlineStr">
        <is>
          <t>WHAP-0045</t>
        </is>
      </c>
      <c r="C49" s="7" t="inlineStr">
        <is>
          <t>MOT-0045</t>
        </is>
      </c>
      <c r="D49" s="7" t="inlineStr">
        <is>
          <t>thermostat</t>
        </is>
      </c>
      <c r="E49" s="7" t="inlineStr">
        <is>
          <t>Moteur</t>
        </is>
      </c>
      <c r="F49" s="7" t="inlineStr">
        <is>
          <t>Moteur</t>
        </is>
      </c>
      <c r="G49" s="7" t="inlineStr">
        <is>
          <t>PIECE_VEHICULE</t>
        </is>
      </c>
      <c r="H49" s="7" t="n">
        <v>1</v>
      </c>
      <c r="I49" s="7">
        <f>H49*$D$3</f>
        <v/>
      </c>
      <c r="J49" s="7" t="inlineStr">
        <is>
          <t>unité</t>
        </is>
      </c>
      <c r="K49" s="7" t="n">
        <v>0</v>
      </c>
      <c r="L49" s="7">
        <f>K49-I49</f>
        <v/>
      </c>
      <c r="M49" s="7">
        <f>IF(K49&lt;I49,"✕ INSUFFISANT",IF(K49&lt;I49*1.2,"⚠ STOCK FAIBLE","✓ COUVERT"))</f>
        <v/>
      </c>
      <c r="N49" s="7" t="inlineStr">
        <is>
          <t>SUM</t>
        </is>
      </c>
      <c r="O49" s="7" t="inlineStr">
        <is>
          <t>CRITIQUE</t>
        </is>
      </c>
      <c r="P49" s="7" t="inlineStr">
        <is>
          <t>31/08/2026 02:59</t>
        </is>
      </c>
    </row>
    <row r="50">
      <c r="A50" s="8" t="inlineStr">
        <is>
          <t>WHAP 8x8</t>
        </is>
      </c>
      <c r="B50" s="8" t="inlineStr">
        <is>
          <t>WHAP-0046</t>
        </is>
      </c>
      <c r="C50" s="8" t="inlineStr">
        <is>
          <t>MOT-0046</t>
        </is>
      </c>
      <c r="D50" s="8" t="inlineStr">
        <is>
          <t>pompe à eau</t>
        </is>
      </c>
      <c r="E50" s="8" t="inlineStr">
        <is>
          <t>Moteur</t>
        </is>
      </c>
      <c r="F50" s="8" t="inlineStr">
        <is>
          <t>Moteur</t>
        </is>
      </c>
      <c r="G50" s="8" t="inlineStr">
        <is>
          <t>PIECE_VEHICULE</t>
        </is>
      </c>
      <c r="H50" s="8" t="n">
        <v>1</v>
      </c>
      <c r="I50" s="8">
        <f>H50*$D$3</f>
        <v/>
      </c>
      <c r="J50" s="8" t="inlineStr">
        <is>
          <t>unité</t>
        </is>
      </c>
      <c r="K50" s="8" t="n">
        <v>0</v>
      </c>
      <c r="L50" s="8">
        <f>K50-I50</f>
        <v/>
      </c>
      <c r="M50" s="8">
        <f>IF(K50&lt;I50,"✕ INSUFFISANT",IF(K50&lt;I50*1.2,"⚠ STOCK FAIBLE","✓ COUVERT"))</f>
        <v/>
      </c>
      <c r="N50" s="8" t="inlineStr">
        <is>
          <t>YZK</t>
        </is>
      </c>
      <c r="O50" s="8" t="inlineStr">
        <is>
          <t>CRITIQUE</t>
        </is>
      </c>
      <c r="P50" s="8" t="inlineStr">
        <is>
          <t>31/08/2026 02:59</t>
        </is>
      </c>
    </row>
    <row r="51">
      <c r="A51" s="7" t="inlineStr">
        <is>
          <t>WHAP 8x8</t>
        </is>
      </c>
      <c r="B51" s="7" t="inlineStr">
        <is>
          <t>WHAP-0047</t>
        </is>
      </c>
      <c r="C51" s="7" t="inlineStr">
        <is>
          <t>MOT-0047</t>
        </is>
      </c>
      <c r="D51" s="7" t="inlineStr">
        <is>
          <t>courroie auxiliaire</t>
        </is>
      </c>
      <c r="E51" s="7" t="inlineStr">
        <is>
          <t>Moteur</t>
        </is>
      </c>
      <c r="F51" s="7" t="inlineStr">
        <is>
          <t>Moteur</t>
        </is>
      </c>
      <c r="G51" s="7" t="inlineStr">
        <is>
          <t>PIECE_VEHICULE</t>
        </is>
      </c>
      <c r="H51" s="7" t="n">
        <v>1</v>
      </c>
      <c r="I51" s="7">
        <f>H51*$D$3</f>
        <v/>
      </c>
      <c r="J51" s="7" t="inlineStr">
        <is>
          <t>unité</t>
        </is>
      </c>
      <c r="K51" s="7" t="n">
        <v>0</v>
      </c>
      <c r="L51" s="7">
        <f>K51-I51</f>
        <v/>
      </c>
      <c r="M51" s="7">
        <f>IF(K51&lt;I51,"✕ INSUFFISANT",IF(K51&lt;I51*1.2,"⚠ STOCK FAIBLE","✓ COUVERT"))</f>
        <v/>
      </c>
      <c r="N51" s="7" t="inlineStr">
        <is>
          <t>VAL</t>
        </is>
      </c>
      <c r="O51" s="7" t="inlineStr">
        <is>
          <t>CRITIQUE</t>
        </is>
      </c>
      <c r="P51" s="7" t="inlineStr">
        <is>
          <t>31/08/2026 02:59</t>
        </is>
      </c>
    </row>
    <row r="52">
      <c r="A52" s="8" t="inlineStr">
        <is>
          <t>WHAP 8x8</t>
        </is>
      </c>
      <c r="B52" s="8" t="inlineStr">
        <is>
          <t>WHAP-0048</t>
        </is>
      </c>
      <c r="C52" s="8" t="inlineStr">
        <is>
          <t>MOT-0048</t>
        </is>
      </c>
      <c r="D52" s="8" t="inlineStr">
        <is>
          <t>galet tendeur</t>
        </is>
      </c>
      <c r="E52" s="8" t="inlineStr">
        <is>
          <t>Moteur</t>
        </is>
      </c>
      <c r="F52" s="8" t="inlineStr">
        <is>
          <t>Moteur</t>
        </is>
      </c>
      <c r="G52" s="8" t="inlineStr">
        <is>
          <t>PIECE_VEHICULE</t>
        </is>
      </c>
      <c r="H52" s="8" t="n">
        <v>1</v>
      </c>
      <c r="I52" s="8">
        <f>H52*$D$3</f>
        <v/>
      </c>
      <c r="J52" s="8" t="inlineStr">
        <is>
          <t>unité</t>
        </is>
      </c>
      <c r="K52" s="8" t="n">
        <v>0</v>
      </c>
      <c r="L52" s="8">
        <f>K52-I52</f>
        <v/>
      </c>
      <c r="M52" s="8">
        <f>IF(K52&lt;I52,"✕ INSUFFISANT",IF(K52&lt;I52*1.2,"⚠ STOCK FAIBLE","✓ COUVERT"))</f>
        <v/>
      </c>
      <c r="N52" s="8" t="inlineStr">
        <is>
          <t>BOS</t>
        </is>
      </c>
      <c r="O52" s="8" t="inlineStr">
        <is>
          <t>CRITIQUE</t>
        </is>
      </c>
      <c r="P52" s="8" t="inlineStr">
        <is>
          <t>31/08/2026 02:59</t>
        </is>
      </c>
    </row>
    <row r="53">
      <c r="A53" s="7" t="inlineStr">
        <is>
          <t>WHAP 8x8</t>
        </is>
      </c>
      <c r="B53" s="7" t="inlineStr">
        <is>
          <t>WHAP-0049</t>
        </is>
      </c>
      <c r="C53" s="7" t="inlineStr">
        <is>
          <t>MOT-0049</t>
        </is>
      </c>
      <c r="D53" s="7" t="inlineStr">
        <is>
          <t>poulie damper</t>
        </is>
      </c>
      <c r="E53" s="7" t="inlineStr">
        <is>
          <t>Moteur</t>
        </is>
      </c>
      <c r="F53" s="7" t="inlineStr">
        <is>
          <t>Moteur</t>
        </is>
      </c>
      <c r="G53" s="7" t="inlineStr">
        <is>
          <t>PIECE_VEHICULE</t>
        </is>
      </c>
      <c r="H53" s="7" t="n">
        <v>1</v>
      </c>
      <c r="I53" s="7">
        <f>H53*$D$3</f>
        <v/>
      </c>
      <c r="J53" s="7" t="inlineStr">
        <is>
          <t>unité</t>
        </is>
      </c>
      <c r="K53" s="7" t="n">
        <v>0</v>
      </c>
      <c r="L53" s="7">
        <f>K53-I53</f>
        <v/>
      </c>
      <c r="M53" s="7">
        <f>IF(K53&lt;I53,"✕ INSUFFISANT",IF(K53&lt;I53*1.2,"⚠ STOCK FAIBLE","✓ COUVERT"))</f>
        <v/>
      </c>
      <c r="N53" s="7" t="inlineStr">
        <is>
          <t>DEL</t>
        </is>
      </c>
      <c r="O53" s="7" t="inlineStr">
        <is>
          <t>CRITIQUE</t>
        </is>
      </c>
      <c r="P53" s="7" t="inlineStr">
        <is>
          <t>31/08/2026 02:59</t>
        </is>
      </c>
    </row>
    <row r="54">
      <c r="A54" s="8" t="inlineStr">
        <is>
          <t>WHAP 8x8</t>
        </is>
      </c>
      <c r="B54" s="8" t="inlineStr">
        <is>
          <t>WHAP-0050</t>
        </is>
      </c>
      <c r="C54" s="8" t="inlineStr">
        <is>
          <t>MOT-0050</t>
        </is>
      </c>
      <c r="D54" s="8" t="inlineStr">
        <is>
          <t>démarreur</t>
        </is>
      </c>
      <c r="E54" s="8" t="inlineStr">
        <is>
          <t>Moteur</t>
        </is>
      </c>
      <c r="F54" s="8" t="inlineStr">
        <is>
          <t>Moteur</t>
        </is>
      </c>
      <c r="G54" s="8" t="inlineStr">
        <is>
          <t>PIECE_VEHICULE</t>
        </is>
      </c>
      <c r="H54" s="8" t="n">
        <v>1</v>
      </c>
      <c r="I54" s="8">
        <f>H54*$D$3</f>
        <v/>
      </c>
      <c r="J54" s="8" t="inlineStr">
        <is>
          <t>unité</t>
        </is>
      </c>
      <c r="K54" s="8" t="n">
        <v>0</v>
      </c>
      <c r="L54" s="8">
        <f>K54-I54</f>
        <v/>
      </c>
      <c r="M54" s="8">
        <f>IF(K54&lt;I54,"✕ INSUFFISANT",IF(K54&lt;I54*1.2,"⚠ STOCK FAIBLE","✓ COUVERT"))</f>
        <v/>
      </c>
      <c r="N54" s="8" t="inlineStr">
        <is>
          <t>DEL</t>
        </is>
      </c>
      <c r="O54" s="8" t="inlineStr">
        <is>
          <t>CRITIQUE</t>
        </is>
      </c>
      <c r="P54" s="8" t="inlineStr">
        <is>
          <t>31/08/2026 02:59</t>
        </is>
      </c>
    </row>
    <row r="55">
      <c r="A55" s="7" t="inlineStr">
        <is>
          <t>WHAP 8x8</t>
        </is>
      </c>
      <c r="B55" s="7" t="inlineStr">
        <is>
          <t>WHAP-0051</t>
        </is>
      </c>
      <c r="C55" s="7" t="inlineStr">
        <is>
          <t>MOT-0051</t>
        </is>
      </c>
      <c r="D55" s="7" t="inlineStr">
        <is>
          <t>alternateur</t>
        </is>
      </c>
      <c r="E55" s="7" t="inlineStr">
        <is>
          <t>Moteur</t>
        </is>
      </c>
      <c r="F55" s="7" t="inlineStr">
        <is>
          <t>Moteur</t>
        </is>
      </c>
      <c r="G55" s="7" t="inlineStr">
        <is>
          <t>PIECE_VEHICULE</t>
        </is>
      </c>
      <c r="H55" s="7" t="n">
        <v>1</v>
      </c>
      <c r="I55" s="7">
        <f>H55*$D$3</f>
        <v/>
      </c>
      <c r="J55" s="7" t="inlineStr">
        <is>
          <t>unité</t>
        </is>
      </c>
      <c r="K55" s="7" t="n">
        <v>0</v>
      </c>
      <c r="L55" s="7">
        <f>K55-I55</f>
        <v/>
      </c>
      <c r="M55" s="7">
        <f>IF(K55&lt;I55,"✕ INSUFFISANT",IF(K55&lt;I55*1.2,"⚠ STOCK FAIBLE","✓ COUVERT"))</f>
        <v/>
      </c>
      <c r="N55" s="7" t="inlineStr">
        <is>
          <t>CTL</t>
        </is>
      </c>
      <c r="O55" s="7" t="inlineStr">
        <is>
          <t>CRITIQUE</t>
        </is>
      </c>
      <c r="P55" s="7" t="inlineStr">
        <is>
          <t>31/08/2026 02:59</t>
        </is>
      </c>
    </row>
    <row r="56">
      <c r="A56" s="8" t="inlineStr">
        <is>
          <t>WHAP 8x8</t>
        </is>
      </c>
      <c r="B56" s="8" t="inlineStr">
        <is>
          <t>WHAP-0052</t>
        </is>
      </c>
      <c r="C56" s="8" t="inlineStr">
        <is>
          <t>MOT-0052</t>
        </is>
      </c>
      <c r="D56" s="8" t="inlineStr">
        <is>
          <t>support moteur</t>
        </is>
      </c>
      <c r="E56" s="8" t="inlineStr">
        <is>
          <t>Moteur</t>
        </is>
      </c>
      <c r="F56" s="8" t="inlineStr">
        <is>
          <t>Moteur</t>
        </is>
      </c>
      <c r="G56" s="8" t="inlineStr">
        <is>
          <t>PIECE_VEHICULE</t>
        </is>
      </c>
      <c r="H56" s="8" t="n">
        <v>1</v>
      </c>
      <c r="I56" s="8">
        <f>H56*$D$3</f>
        <v/>
      </c>
      <c r="J56" s="8" t="inlineStr">
        <is>
          <t>unité</t>
        </is>
      </c>
      <c r="K56" s="8" t="n">
        <v>0</v>
      </c>
      <c r="L56" s="8">
        <f>K56-I56</f>
        <v/>
      </c>
      <c r="M56" s="8">
        <f>IF(K56&lt;I56,"✕ INSUFFISANT",IF(K56&lt;I56*1.2,"⚠ STOCK FAIBLE","✓ COUVERT"))</f>
        <v/>
      </c>
      <c r="N56" s="8" t="inlineStr">
        <is>
          <t>YZK</t>
        </is>
      </c>
      <c r="O56" s="8" t="inlineStr">
        <is>
          <t>CRITIQUE</t>
        </is>
      </c>
      <c r="P56" s="8" t="inlineStr">
        <is>
          <t>31/08/2026 02:59</t>
        </is>
      </c>
    </row>
    <row r="57">
      <c r="A57" s="7" t="inlineStr">
        <is>
          <t>WHAP 8x8</t>
        </is>
      </c>
      <c r="B57" s="7" t="inlineStr">
        <is>
          <t>WHAP-0053</t>
        </is>
      </c>
      <c r="C57" s="7" t="inlineStr">
        <is>
          <t>MOT-0053</t>
        </is>
      </c>
      <c r="D57" s="7" t="inlineStr">
        <is>
          <t>silentbloc moteur</t>
        </is>
      </c>
      <c r="E57" s="7" t="inlineStr">
        <is>
          <t>Moteur</t>
        </is>
      </c>
      <c r="F57" s="7" t="inlineStr">
        <is>
          <t>Moteur</t>
        </is>
      </c>
      <c r="G57" s="7" t="inlineStr">
        <is>
          <t>PIECE_VEHICULE</t>
        </is>
      </c>
      <c r="H57" s="7" t="n">
        <v>1</v>
      </c>
      <c r="I57" s="7">
        <f>H57*$D$3</f>
        <v/>
      </c>
      <c r="J57" s="7" t="inlineStr">
        <is>
          <t>unité</t>
        </is>
      </c>
      <c r="K57" s="7" t="n">
        <v>0</v>
      </c>
      <c r="L57" s="7">
        <f>K57-I57</f>
        <v/>
      </c>
      <c r="M57" s="7">
        <f>IF(K57&lt;I57,"✕ INSUFFISANT",IF(K57&lt;I57*1.2,"⚠ STOCK FAIBLE","✓ COUVERT"))</f>
        <v/>
      </c>
      <c r="N57" s="7" t="inlineStr">
        <is>
          <t>SKF</t>
        </is>
      </c>
      <c r="O57" s="7" t="inlineStr">
        <is>
          <t>CRITIQUE</t>
        </is>
      </c>
      <c r="P57" s="7" t="inlineStr">
        <is>
          <t>31/08/2026 02:59</t>
        </is>
      </c>
    </row>
    <row r="58">
      <c r="A58" s="8" t="inlineStr">
        <is>
          <t>WHAP 8x8</t>
        </is>
      </c>
      <c r="B58" s="8" t="inlineStr">
        <is>
          <t>WHAP-0054</t>
        </is>
      </c>
      <c r="C58" s="8" t="inlineStr">
        <is>
          <t>MOT-0054</t>
        </is>
      </c>
      <c r="D58" s="8" t="inlineStr">
        <is>
          <t>volant moteur</t>
        </is>
      </c>
      <c r="E58" s="8" t="inlineStr">
        <is>
          <t>Moteur</t>
        </is>
      </c>
      <c r="F58" s="8" t="inlineStr">
        <is>
          <t>Moteur</t>
        </is>
      </c>
      <c r="G58" s="8" t="inlineStr">
        <is>
          <t>PIECE_VEHICULE</t>
        </is>
      </c>
      <c r="H58" s="8" t="n">
        <v>1</v>
      </c>
      <c r="I58" s="8">
        <f>H58*$D$3</f>
        <v/>
      </c>
      <c r="J58" s="8" t="inlineStr">
        <is>
          <t>unité</t>
        </is>
      </c>
      <c r="K58" s="8" t="n">
        <v>0</v>
      </c>
      <c r="L58" s="8">
        <f>K58-I58</f>
        <v/>
      </c>
      <c r="M58" s="8">
        <f>IF(K58&lt;I58,"✕ INSUFFISANT",IF(K58&lt;I58*1.2,"⚠ STOCK FAIBLE","✓ COUVERT"))</f>
        <v/>
      </c>
      <c r="N58" s="8" t="inlineStr">
        <is>
          <t>VAL</t>
        </is>
      </c>
      <c r="O58" s="8" t="inlineStr">
        <is>
          <t>CRITIQUE</t>
        </is>
      </c>
      <c r="P58" s="8" t="inlineStr">
        <is>
          <t>31/08/2026 02:59</t>
        </is>
      </c>
    </row>
    <row r="59">
      <c r="A59" s="7" t="inlineStr">
        <is>
          <t>WHAP 8x8</t>
        </is>
      </c>
      <c r="B59" s="7" t="inlineStr">
        <is>
          <t>WHAP-0055</t>
        </is>
      </c>
      <c r="C59" s="7" t="inlineStr">
        <is>
          <t>MOT-0055</t>
        </is>
      </c>
      <c r="D59" s="7" t="inlineStr">
        <is>
          <t>couronne de démarreur</t>
        </is>
      </c>
      <c r="E59" s="7" t="inlineStr">
        <is>
          <t>Moteur</t>
        </is>
      </c>
      <c r="F59" s="7" t="inlineStr">
        <is>
          <t>Moteur</t>
        </is>
      </c>
      <c r="G59" s="7" t="inlineStr">
        <is>
          <t>PIECE_VEHICULE</t>
        </is>
      </c>
      <c r="H59" s="7" t="n">
        <v>1</v>
      </c>
      <c r="I59" s="7">
        <f>H59*$D$3</f>
        <v/>
      </c>
      <c r="J59" s="7" t="inlineStr">
        <is>
          <t>unité</t>
        </is>
      </c>
      <c r="K59" s="7" t="n">
        <v>0</v>
      </c>
      <c r="L59" s="7">
        <f>K59-I59</f>
        <v/>
      </c>
      <c r="M59" s="7">
        <f>IF(K59&lt;I59,"✕ INSUFFISANT",IF(K59&lt;I59*1.2,"⚠ STOCK FAIBLE","✓ COUVERT"))</f>
        <v/>
      </c>
      <c r="N59" s="7" t="inlineStr">
        <is>
          <t>CTL</t>
        </is>
      </c>
      <c r="O59" s="7" t="inlineStr">
        <is>
          <t>CRITIQUE</t>
        </is>
      </c>
      <c r="P59" s="7" t="inlineStr">
        <is>
          <t>31/08/2026 02:59</t>
        </is>
      </c>
    </row>
    <row r="60">
      <c r="A60" s="8" t="inlineStr">
        <is>
          <t>WHAP 8x8</t>
        </is>
      </c>
      <c r="B60" s="8" t="inlineStr">
        <is>
          <t>WHAP-0056</t>
        </is>
      </c>
      <c r="C60" s="8" t="inlineStr">
        <is>
          <t>REF-0056</t>
        </is>
      </c>
      <c r="D60" s="8" t="inlineStr">
        <is>
          <t>radiateur</t>
        </is>
      </c>
      <c r="E60" s="8" t="inlineStr">
        <is>
          <t>Refroidissement</t>
        </is>
      </c>
      <c r="F60" s="8" t="inlineStr">
        <is>
          <t>Refroidissement</t>
        </is>
      </c>
      <c r="G60" s="8" t="inlineStr">
        <is>
          <t>PIECE_VEHICULE</t>
        </is>
      </c>
      <c r="H60" s="8" t="n">
        <v>1</v>
      </c>
      <c r="I60" s="8">
        <f>H60*$D$3</f>
        <v/>
      </c>
      <c r="J60" s="8" t="inlineStr">
        <is>
          <t>unité</t>
        </is>
      </c>
      <c r="K60" s="8" t="n">
        <v>126</v>
      </c>
      <c r="L60" s="8">
        <f>K60-I60</f>
        <v/>
      </c>
      <c r="M60" s="8">
        <f>IF(K60&lt;I60,"✕ INSUFFISANT",IF(K60&lt;I60*1.2,"⚠ STOCK FAIBLE","✓ COUVERT"))</f>
        <v/>
      </c>
      <c r="N60" s="8" t="inlineStr">
        <is>
          <t>SUM</t>
        </is>
      </c>
      <c r="O60" s="8" t="inlineStr">
        <is>
          <t>IMPORTANT</t>
        </is>
      </c>
      <c r="P60" s="8" t="inlineStr">
        <is>
          <t>31/08/2026 02:59</t>
        </is>
      </c>
    </row>
    <row r="61">
      <c r="A61" s="7" t="inlineStr">
        <is>
          <t>WHAP 8x8</t>
        </is>
      </c>
      <c r="B61" s="7" t="inlineStr">
        <is>
          <t>WHAP-0057</t>
        </is>
      </c>
      <c r="C61" s="7" t="inlineStr">
        <is>
          <t>REF-0057</t>
        </is>
      </c>
      <c r="D61" s="7" t="inlineStr">
        <is>
          <t>ventilateur</t>
        </is>
      </c>
      <c r="E61" s="7" t="inlineStr">
        <is>
          <t>Refroidissement</t>
        </is>
      </c>
      <c r="F61" s="7" t="inlineStr">
        <is>
          <t>Refroidissement</t>
        </is>
      </c>
      <c r="G61" s="7" t="inlineStr">
        <is>
          <t>PIECE_VEHICULE</t>
        </is>
      </c>
      <c r="H61" s="7" t="n">
        <v>1</v>
      </c>
      <c r="I61" s="7">
        <f>H61*$D$3</f>
        <v/>
      </c>
      <c r="J61" s="7" t="inlineStr">
        <is>
          <t>unité</t>
        </is>
      </c>
      <c r="K61" s="7" t="n">
        <v>169</v>
      </c>
      <c r="L61" s="7">
        <f>K61-I61</f>
        <v/>
      </c>
      <c r="M61" s="7">
        <f>IF(K61&lt;I61,"✕ INSUFFISANT",IF(K61&lt;I61*1.2,"⚠ STOCK FAIBLE","✓ COUVERT"))</f>
        <v/>
      </c>
      <c r="N61" s="7" t="inlineStr">
        <is>
          <t>SKF</t>
        </is>
      </c>
      <c r="O61" s="7" t="inlineStr">
        <is>
          <t>IMPORTANT</t>
        </is>
      </c>
      <c r="P61" s="7" t="inlineStr">
        <is>
          <t>31/08/2026 02:59</t>
        </is>
      </c>
    </row>
    <row r="62">
      <c r="A62" s="8" t="inlineStr">
        <is>
          <t>WHAP 8x8</t>
        </is>
      </c>
      <c r="B62" s="8" t="inlineStr">
        <is>
          <t>WHAP-0058</t>
        </is>
      </c>
      <c r="C62" s="8" t="inlineStr">
        <is>
          <t>REF-0058</t>
        </is>
      </c>
      <c r="D62" s="8" t="inlineStr">
        <is>
          <t>moteur de ventilateur</t>
        </is>
      </c>
      <c r="E62" s="8" t="inlineStr">
        <is>
          <t>Refroidissement</t>
        </is>
      </c>
      <c r="F62" s="8" t="inlineStr">
        <is>
          <t>Refroidissement</t>
        </is>
      </c>
      <c r="G62" s="8" t="inlineStr">
        <is>
          <t>PIECE_VEHICULE</t>
        </is>
      </c>
      <c r="H62" s="8" t="n">
        <v>1</v>
      </c>
      <c r="I62" s="8">
        <f>H62*$D$3</f>
        <v/>
      </c>
      <c r="J62" s="8" t="inlineStr">
        <is>
          <t>unité</t>
        </is>
      </c>
      <c r="K62" s="8" t="n">
        <v>0</v>
      </c>
      <c r="L62" s="8">
        <f>K62-I62</f>
        <v/>
      </c>
      <c r="M62" s="8">
        <f>IF(K62&lt;I62,"✕ INSUFFISANT",IF(K62&lt;I62*1.2,"⚠ STOCK FAIBLE","✓ COUVERT"))</f>
        <v/>
      </c>
      <c r="N62" s="8" t="inlineStr">
        <is>
          <t>FAU</t>
        </is>
      </c>
      <c r="O62" s="8" t="inlineStr">
        <is>
          <t>IMPORTANT</t>
        </is>
      </c>
      <c r="P62" s="8" t="inlineStr">
        <is>
          <t>31/08/2026 02:59</t>
        </is>
      </c>
    </row>
    <row r="63">
      <c r="A63" s="7" t="inlineStr">
        <is>
          <t>WHAP 8x8</t>
        </is>
      </c>
      <c r="B63" s="7" t="inlineStr">
        <is>
          <t>WHAP-0059</t>
        </is>
      </c>
      <c r="C63" s="7" t="inlineStr">
        <is>
          <t>REF-0059</t>
        </is>
      </c>
      <c r="D63" s="7" t="inlineStr">
        <is>
          <t>carénage ventilateur</t>
        </is>
      </c>
      <c r="E63" s="7" t="inlineStr">
        <is>
          <t>Refroidissement</t>
        </is>
      </c>
      <c r="F63" s="7" t="inlineStr">
        <is>
          <t>Refroidissement</t>
        </is>
      </c>
      <c r="G63" s="7" t="inlineStr">
        <is>
          <t>PIECE_VEHICULE</t>
        </is>
      </c>
      <c r="H63" s="7" t="n">
        <v>1</v>
      </c>
      <c r="I63" s="7">
        <f>H63*$D$3</f>
        <v/>
      </c>
      <c r="J63" s="7" t="inlineStr">
        <is>
          <t>unité</t>
        </is>
      </c>
      <c r="K63" s="7" t="n">
        <v>0</v>
      </c>
      <c r="L63" s="7">
        <f>K63-I63</f>
        <v/>
      </c>
      <c r="M63" s="7">
        <f>IF(K63&lt;I63,"✕ INSUFFISANT",IF(K63&lt;I63*1.2,"⚠ STOCK FAIBLE","✓ COUVERT"))</f>
        <v/>
      </c>
      <c r="N63" s="7" t="inlineStr">
        <is>
          <t>DEL</t>
        </is>
      </c>
      <c r="O63" s="7" t="inlineStr">
        <is>
          <t>IMPORTANT</t>
        </is>
      </c>
      <c r="P63" s="7" t="inlineStr">
        <is>
          <t>31/08/2026 02:59</t>
        </is>
      </c>
    </row>
    <row r="64">
      <c r="A64" s="8" t="inlineStr">
        <is>
          <t>WHAP 8x8</t>
        </is>
      </c>
      <c r="B64" s="8" t="inlineStr">
        <is>
          <t>WHAP-0060</t>
        </is>
      </c>
      <c r="C64" s="8" t="inlineStr">
        <is>
          <t>REF-0060</t>
        </is>
      </c>
      <c r="D64" s="8" t="inlineStr">
        <is>
          <t>pompe à eau</t>
        </is>
      </c>
      <c r="E64" s="8" t="inlineStr">
        <is>
          <t>Refroidissement</t>
        </is>
      </c>
      <c r="F64" s="8" t="inlineStr">
        <is>
          <t>Refroidissement</t>
        </is>
      </c>
      <c r="G64" s="8" t="inlineStr">
        <is>
          <t>PIECE_VEHICULE</t>
        </is>
      </c>
      <c r="H64" s="8" t="n">
        <v>1</v>
      </c>
      <c r="I64" s="8">
        <f>H64*$D$3</f>
        <v/>
      </c>
      <c r="J64" s="8" t="inlineStr">
        <is>
          <t>unité</t>
        </is>
      </c>
      <c r="K64" s="8" t="n">
        <v>0</v>
      </c>
      <c r="L64" s="8">
        <f>K64-I64</f>
        <v/>
      </c>
      <c r="M64" s="8">
        <f>IF(K64&lt;I64,"✕ INSUFFISANT",IF(K64&lt;I64*1.2,"⚠ STOCK FAIBLE","✓ COUVERT"))</f>
        <v/>
      </c>
      <c r="N64" s="8" t="inlineStr">
        <is>
          <t>FAU</t>
        </is>
      </c>
      <c r="O64" s="8" t="inlineStr">
        <is>
          <t>IMPORTANT</t>
        </is>
      </c>
      <c r="P64" s="8" t="inlineStr">
        <is>
          <t>31/08/2026 02:59</t>
        </is>
      </c>
    </row>
    <row r="65">
      <c r="A65" s="7" t="inlineStr">
        <is>
          <t>WHAP 8x8</t>
        </is>
      </c>
      <c r="B65" s="7" t="inlineStr">
        <is>
          <t>WHAP-0061</t>
        </is>
      </c>
      <c r="C65" s="7" t="inlineStr">
        <is>
          <t>REF-0061</t>
        </is>
      </c>
      <c r="D65" s="7" t="inlineStr">
        <is>
          <t>thermostat</t>
        </is>
      </c>
      <c r="E65" s="7" t="inlineStr">
        <is>
          <t>Refroidissement</t>
        </is>
      </c>
      <c r="F65" s="7" t="inlineStr">
        <is>
          <t>Refroidissement</t>
        </is>
      </c>
      <c r="G65" s="7" t="inlineStr">
        <is>
          <t>PIECE_VEHICULE</t>
        </is>
      </c>
      <c r="H65" s="7" t="n">
        <v>1</v>
      </c>
      <c r="I65" s="7">
        <f>H65*$D$3</f>
        <v/>
      </c>
      <c r="J65" s="7" t="inlineStr">
        <is>
          <t>unité</t>
        </is>
      </c>
      <c r="K65" s="7" t="n">
        <v>0</v>
      </c>
      <c r="L65" s="7">
        <f>K65-I65</f>
        <v/>
      </c>
      <c r="M65" s="7">
        <f>IF(K65&lt;I65,"✕ INSUFFISANT",IF(K65&lt;I65*1.2,"⚠ STOCK FAIBLE","✓ COUVERT"))</f>
        <v/>
      </c>
      <c r="N65" s="7" t="inlineStr">
        <is>
          <t>BOS</t>
        </is>
      </c>
      <c r="O65" s="7" t="inlineStr">
        <is>
          <t>IMPORTANT</t>
        </is>
      </c>
      <c r="P65" s="7" t="inlineStr">
        <is>
          <t>31/08/2026 02:59</t>
        </is>
      </c>
    </row>
    <row r="66">
      <c r="A66" s="8" t="inlineStr">
        <is>
          <t>WHAP 8x8</t>
        </is>
      </c>
      <c r="B66" s="8" t="inlineStr">
        <is>
          <t>WHAP-0062</t>
        </is>
      </c>
      <c r="C66" s="8" t="inlineStr">
        <is>
          <t>REF-0062</t>
        </is>
      </c>
      <c r="D66" s="8" t="inlineStr">
        <is>
          <t>boîtier thermostat</t>
        </is>
      </c>
      <c r="E66" s="8" t="inlineStr">
        <is>
          <t>Refroidissement</t>
        </is>
      </c>
      <c r="F66" s="8" t="inlineStr">
        <is>
          <t>Refroidissement</t>
        </is>
      </c>
      <c r="G66" s="8" t="inlineStr">
        <is>
          <t>PIECE_VEHICULE</t>
        </is>
      </c>
      <c r="H66" s="8" t="n">
        <v>1</v>
      </c>
      <c r="I66" s="8">
        <f>H66*$D$3</f>
        <v/>
      </c>
      <c r="J66" s="8" t="inlineStr">
        <is>
          <t>unité</t>
        </is>
      </c>
      <c r="K66" s="8" t="n">
        <v>0</v>
      </c>
      <c r="L66" s="8">
        <f>K66-I66</f>
        <v/>
      </c>
      <c r="M66" s="8">
        <f>IF(K66&lt;I66,"✕ INSUFFISANT",IF(K66&lt;I66*1.2,"⚠ STOCK FAIBLE","✓ COUVERT"))</f>
        <v/>
      </c>
      <c r="N66" s="8" t="inlineStr">
        <is>
          <t>BOS</t>
        </is>
      </c>
      <c r="O66" s="8" t="inlineStr">
        <is>
          <t>IMPORTANT</t>
        </is>
      </c>
      <c r="P66" s="8" t="inlineStr">
        <is>
          <t>31/08/2026 02:59</t>
        </is>
      </c>
    </row>
    <row r="67">
      <c r="A67" s="7" t="inlineStr">
        <is>
          <t>WHAP 8x8</t>
        </is>
      </c>
      <c r="B67" s="7" t="inlineStr">
        <is>
          <t>WHAP-0063</t>
        </is>
      </c>
      <c r="C67" s="7" t="inlineStr">
        <is>
          <t>REF-0063</t>
        </is>
      </c>
      <c r="D67" s="7" t="inlineStr">
        <is>
          <t>durite supérieure</t>
        </is>
      </c>
      <c r="E67" s="7" t="inlineStr">
        <is>
          <t>Refroidissement</t>
        </is>
      </c>
      <c r="F67" s="7" t="inlineStr">
        <is>
          <t>Refroidissement</t>
        </is>
      </c>
      <c r="G67" s="7" t="inlineStr">
        <is>
          <t>PIECE_VEHICULE</t>
        </is>
      </c>
      <c r="H67" s="7" t="n">
        <v>1</v>
      </c>
      <c r="I67" s="7">
        <f>H67*$D$3</f>
        <v/>
      </c>
      <c r="J67" s="7" t="inlineStr">
        <is>
          <t>unité</t>
        </is>
      </c>
      <c r="K67" s="7" t="n">
        <v>0</v>
      </c>
      <c r="L67" s="7">
        <f>K67-I67</f>
        <v/>
      </c>
      <c r="M67" s="7">
        <f>IF(K67&lt;I67,"✕ INSUFFISANT",IF(K67&lt;I67*1.2,"⚠ STOCK FAIBLE","✓ COUVERT"))</f>
        <v/>
      </c>
      <c r="N67" s="7" t="inlineStr">
        <is>
          <t>VAL</t>
        </is>
      </c>
      <c r="O67" s="7" t="inlineStr">
        <is>
          <t>IMPORTANT</t>
        </is>
      </c>
      <c r="P67" s="7" t="inlineStr">
        <is>
          <t>31/08/2026 02:59</t>
        </is>
      </c>
    </row>
    <row r="68">
      <c r="A68" s="8" t="inlineStr">
        <is>
          <t>WHAP 8x8</t>
        </is>
      </c>
      <c r="B68" s="8" t="inlineStr">
        <is>
          <t>WHAP-0064</t>
        </is>
      </c>
      <c r="C68" s="8" t="inlineStr">
        <is>
          <t>REF-0064</t>
        </is>
      </c>
      <c r="D68" s="8" t="inlineStr">
        <is>
          <t>durite inférieure</t>
        </is>
      </c>
      <c r="E68" s="8" t="inlineStr">
        <is>
          <t>Refroidissement</t>
        </is>
      </c>
      <c r="F68" s="8" t="inlineStr">
        <is>
          <t>Refroidissement</t>
        </is>
      </c>
      <c r="G68" s="8" t="inlineStr">
        <is>
          <t>PIECE_VEHICULE</t>
        </is>
      </c>
      <c r="H68" s="8" t="n">
        <v>1</v>
      </c>
      <c r="I68" s="8">
        <f>H68*$D$3</f>
        <v/>
      </c>
      <c r="J68" s="8" t="inlineStr">
        <is>
          <t>unité</t>
        </is>
      </c>
      <c r="K68" s="8" t="n">
        <v>0</v>
      </c>
      <c r="L68" s="8">
        <f>K68-I68</f>
        <v/>
      </c>
      <c r="M68" s="8">
        <f>IF(K68&lt;I68,"✕ INSUFFISANT",IF(K68&lt;I68*1.2,"⚠ STOCK FAIBLE","✓ COUVERT"))</f>
        <v/>
      </c>
      <c r="N68" s="8" t="inlineStr">
        <is>
          <t>DEL</t>
        </is>
      </c>
      <c r="O68" s="8" t="inlineStr">
        <is>
          <t>IMPORTANT</t>
        </is>
      </c>
      <c r="P68" s="8" t="inlineStr">
        <is>
          <t>31/08/2026 02:59</t>
        </is>
      </c>
    </row>
    <row r="69">
      <c r="A69" s="7" t="inlineStr">
        <is>
          <t>WHAP 8x8</t>
        </is>
      </c>
      <c r="B69" s="7" t="inlineStr">
        <is>
          <t>WHAP-0065</t>
        </is>
      </c>
      <c r="C69" s="7" t="inlineStr">
        <is>
          <t>REF-0065</t>
        </is>
      </c>
      <c r="D69" s="7" t="inlineStr">
        <is>
          <t>durite de dérivation</t>
        </is>
      </c>
      <c r="E69" s="7" t="inlineStr">
        <is>
          <t>Refroidissement</t>
        </is>
      </c>
      <c r="F69" s="7" t="inlineStr">
        <is>
          <t>Refroidissement</t>
        </is>
      </c>
      <c r="G69" s="7" t="inlineStr">
        <is>
          <t>PIECE_VEHICULE</t>
        </is>
      </c>
      <c r="H69" s="7" t="n">
        <v>1</v>
      </c>
      <c r="I69" s="7">
        <f>H69*$D$3</f>
        <v/>
      </c>
      <c r="J69" s="7" t="inlineStr">
        <is>
          <t>unité</t>
        </is>
      </c>
      <c r="K69" s="7" t="n">
        <v>0</v>
      </c>
      <c r="L69" s="7">
        <f>K69-I69</f>
        <v/>
      </c>
      <c r="M69" s="7">
        <f>IF(K69&lt;I69,"✕ INSUFFISANT",IF(K69&lt;I69*1.2,"⚠ STOCK FAIBLE","✓ COUVERT"))</f>
        <v/>
      </c>
      <c r="N69" s="7" t="inlineStr">
        <is>
          <t>BOS</t>
        </is>
      </c>
      <c r="O69" s="7" t="inlineStr">
        <is>
          <t>IMPORTANT</t>
        </is>
      </c>
      <c r="P69" s="7" t="inlineStr">
        <is>
          <t>31/08/2026 02:59</t>
        </is>
      </c>
    </row>
    <row r="70">
      <c r="A70" s="8" t="inlineStr">
        <is>
          <t>WHAP 8x8</t>
        </is>
      </c>
      <c r="B70" s="8" t="inlineStr">
        <is>
          <t>WHAP-0066</t>
        </is>
      </c>
      <c r="C70" s="8" t="inlineStr">
        <is>
          <t>REF-0066</t>
        </is>
      </c>
      <c r="D70" s="8" t="inlineStr">
        <is>
          <t>durite chauffage</t>
        </is>
      </c>
      <c r="E70" s="8" t="inlineStr">
        <is>
          <t>Refroidissement</t>
        </is>
      </c>
      <c r="F70" s="8" t="inlineStr">
        <is>
          <t>Refroidissement</t>
        </is>
      </c>
      <c r="G70" s="8" t="inlineStr">
        <is>
          <t>PIECE_VEHICULE</t>
        </is>
      </c>
      <c r="H70" s="8" t="n">
        <v>1</v>
      </c>
      <c r="I70" s="8">
        <f>H70*$D$3</f>
        <v/>
      </c>
      <c r="J70" s="8" t="inlineStr">
        <is>
          <t>unité</t>
        </is>
      </c>
      <c r="K70" s="8" t="n">
        <v>0</v>
      </c>
      <c r="L70" s="8">
        <f>K70-I70</f>
        <v/>
      </c>
      <c r="M70" s="8">
        <f>IF(K70&lt;I70,"✕ INSUFFISANT",IF(K70&lt;I70*1.2,"⚠ STOCK FAIBLE","✓ COUVERT"))</f>
        <v/>
      </c>
      <c r="N70" s="8" t="inlineStr">
        <is>
          <t>VAL</t>
        </is>
      </c>
      <c r="O70" s="8" t="inlineStr">
        <is>
          <t>IMPORTANT</t>
        </is>
      </c>
      <c r="P70" s="8" t="inlineStr">
        <is>
          <t>31/08/2026 02:59</t>
        </is>
      </c>
    </row>
    <row r="71">
      <c r="A71" s="7" t="inlineStr">
        <is>
          <t>WHAP 8x8</t>
        </is>
      </c>
      <c r="B71" s="7" t="inlineStr">
        <is>
          <t>WHAP-0067</t>
        </is>
      </c>
      <c r="C71" s="7" t="inlineStr">
        <is>
          <t>REF-0067</t>
        </is>
      </c>
      <c r="D71" s="7" t="inlineStr">
        <is>
          <t>vase d'expansion</t>
        </is>
      </c>
      <c r="E71" s="7" t="inlineStr">
        <is>
          <t>Refroidissement</t>
        </is>
      </c>
      <c r="F71" s="7" t="inlineStr">
        <is>
          <t>Refroidissement</t>
        </is>
      </c>
      <c r="G71" s="7" t="inlineStr">
        <is>
          <t>PIECE_VEHICULE</t>
        </is>
      </c>
      <c r="H71" s="7" t="n">
        <v>1</v>
      </c>
      <c r="I71" s="7">
        <f>H71*$D$3</f>
        <v/>
      </c>
      <c r="J71" s="7" t="inlineStr">
        <is>
          <t>unité</t>
        </is>
      </c>
      <c r="K71" s="7" t="n">
        <v>0</v>
      </c>
      <c r="L71" s="7">
        <f>K71-I71</f>
        <v/>
      </c>
      <c r="M71" s="7">
        <f>IF(K71&lt;I71,"✕ INSUFFISANT",IF(K71&lt;I71*1.2,"⚠ STOCK FAIBLE","✓ COUVERT"))</f>
        <v/>
      </c>
      <c r="N71" s="7" t="inlineStr">
        <is>
          <t>SKF</t>
        </is>
      </c>
      <c r="O71" s="7" t="inlineStr">
        <is>
          <t>IMPORTANT</t>
        </is>
      </c>
      <c r="P71" s="7" t="inlineStr">
        <is>
          <t>31/08/2026 02:59</t>
        </is>
      </c>
    </row>
    <row r="72">
      <c r="A72" s="8" t="inlineStr">
        <is>
          <t>WHAP 8x8</t>
        </is>
      </c>
      <c r="B72" s="8" t="inlineStr">
        <is>
          <t>WHAP-0068</t>
        </is>
      </c>
      <c r="C72" s="8" t="inlineStr">
        <is>
          <t>REF-0068</t>
        </is>
      </c>
      <c r="D72" s="8" t="inlineStr">
        <is>
          <t>bouchon de vase</t>
        </is>
      </c>
      <c r="E72" s="8" t="inlineStr">
        <is>
          <t>Refroidissement</t>
        </is>
      </c>
      <c r="F72" s="8" t="inlineStr">
        <is>
          <t>Refroidissement</t>
        </is>
      </c>
      <c r="G72" s="8" t="inlineStr">
        <is>
          <t>PIECE_VEHICULE</t>
        </is>
      </c>
      <c r="H72" s="8" t="n">
        <v>1</v>
      </c>
      <c r="I72" s="8">
        <f>H72*$D$3</f>
        <v/>
      </c>
      <c r="J72" s="8" t="inlineStr">
        <is>
          <t>unité</t>
        </is>
      </c>
      <c r="K72" s="8" t="n">
        <v>0</v>
      </c>
      <c r="L72" s="8">
        <f>K72-I72</f>
        <v/>
      </c>
      <c r="M72" s="8">
        <f>IF(K72&lt;I72,"✕ INSUFFISANT",IF(K72&lt;I72*1.2,"⚠ STOCK FAIBLE","✓ COUVERT"))</f>
        <v/>
      </c>
      <c r="N72" s="8" t="inlineStr">
        <is>
          <t>SUM</t>
        </is>
      </c>
      <c r="O72" s="8" t="inlineStr">
        <is>
          <t>IMPORTANT</t>
        </is>
      </c>
      <c r="P72" s="8" t="inlineStr">
        <is>
          <t>31/08/2026 02:59</t>
        </is>
      </c>
    </row>
    <row r="73">
      <c r="A73" s="7" t="inlineStr">
        <is>
          <t>WHAP 8x8</t>
        </is>
      </c>
      <c r="B73" s="7" t="inlineStr">
        <is>
          <t>WHAP-0069</t>
        </is>
      </c>
      <c r="C73" s="7" t="inlineStr">
        <is>
          <t>REF-0069</t>
        </is>
      </c>
      <c r="D73" s="7" t="inlineStr">
        <is>
          <t>échangeur thermique</t>
        </is>
      </c>
      <c r="E73" s="7" t="inlineStr">
        <is>
          <t>Refroidissement</t>
        </is>
      </c>
      <c r="F73" s="7" t="inlineStr">
        <is>
          <t>Refroidissement</t>
        </is>
      </c>
      <c r="G73" s="7" t="inlineStr">
        <is>
          <t>PIECE_VEHICULE</t>
        </is>
      </c>
      <c r="H73" s="7" t="n">
        <v>1</v>
      </c>
      <c r="I73" s="7">
        <f>H73*$D$3</f>
        <v/>
      </c>
      <c r="J73" s="7" t="inlineStr">
        <is>
          <t>unité</t>
        </is>
      </c>
      <c r="K73" s="7" t="n">
        <v>0</v>
      </c>
      <c r="L73" s="7">
        <f>K73-I73</f>
        <v/>
      </c>
      <c r="M73" s="7">
        <f>IF(K73&lt;I73,"✕ INSUFFISANT",IF(K73&lt;I73*1.2,"⚠ STOCK FAIBLE","✓ COUVERT"))</f>
        <v/>
      </c>
      <c r="N73" s="7" t="inlineStr">
        <is>
          <t>HEL</t>
        </is>
      </c>
      <c r="O73" s="7" t="inlineStr">
        <is>
          <t>IMPORTANT</t>
        </is>
      </c>
      <c r="P73" s="7" t="inlineStr">
        <is>
          <t>31/08/2026 02:59</t>
        </is>
      </c>
    </row>
    <row r="74">
      <c r="A74" s="8" t="inlineStr">
        <is>
          <t>WHAP 8x8</t>
        </is>
      </c>
      <c r="B74" s="8" t="inlineStr">
        <is>
          <t>WHAP-0070</t>
        </is>
      </c>
      <c r="C74" s="8" t="inlineStr">
        <is>
          <t>REF-0070</t>
        </is>
      </c>
      <c r="D74" s="8" t="inlineStr">
        <is>
          <t>refroidisseur d'huile</t>
        </is>
      </c>
      <c r="E74" s="8" t="inlineStr">
        <is>
          <t>Refroidissement</t>
        </is>
      </c>
      <c r="F74" s="8" t="inlineStr">
        <is>
          <t>Refroidissement</t>
        </is>
      </c>
      <c r="G74" s="8" t="inlineStr">
        <is>
          <t>PIECE_VEHICULE</t>
        </is>
      </c>
      <c r="H74" s="8" t="n">
        <v>1</v>
      </c>
      <c r="I74" s="8">
        <f>H74*$D$3</f>
        <v/>
      </c>
      <c r="J74" s="8" t="inlineStr">
        <is>
          <t>unité</t>
        </is>
      </c>
      <c r="K74" s="8" t="n">
        <v>0</v>
      </c>
      <c r="L74" s="8">
        <f>K74-I74</f>
        <v/>
      </c>
      <c r="M74" s="8">
        <f>IF(K74&lt;I74,"✕ INSUFFISANT",IF(K74&lt;I74*1.2,"⚠ STOCK FAIBLE","✓ COUVERT"))</f>
        <v/>
      </c>
      <c r="N74" s="8" t="inlineStr">
        <is>
          <t>YZK</t>
        </is>
      </c>
      <c r="O74" s="8" t="inlineStr">
        <is>
          <t>IMPORTANT</t>
        </is>
      </c>
      <c r="P74" s="8" t="inlineStr">
        <is>
          <t>31/08/2026 02:59</t>
        </is>
      </c>
    </row>
    <row r="75">
      <c r="A75" s="7" t="inlineStr">
        <is>
          <t>WHAP 8x8</t>
        </is>
      </c>
      <c r="B75" s="7" t="inlineStr">
        <is>
          <t>WHAP-0071</t>
        </is>
      </c>
      <c r="C75" s="7" t="inlineStr">
        <is>
          <t>REF-0071</t>
        </is>
      </c>
      <c r="D75" s="7" t="inlineStr">
        <is>
          <t>refroidisseur de transmission</t>
        </is>
      </c>
      <c r="E75" s="7" t="inlineStr">
        <is>
          <t>Refroidissement</t>
        </is>
      </c>
      <c r="F75" s="7" t="inlineStr">
        <is>
          <t>Refroidissement</t>
        </is>
      </c>
      <c r="G75" s="7" t="inlineStr">
        <is>
          <t>PIECE_VEHICULE</t>
        </is>
      </c>
      <c r="H75" s="7" t="n">
        <v>1</v>
      </c>
      <c r="I75" s="7">
        <f>H75*$D$3</f>
        <v/>
      </c>
      <c r="J75" s="7" t="inlineStr">
        <is>
          <t>unité</t>
        </is>
      </c>
      <c r="K75" s="7" t="n">
        <v>0</v>
      </c>
      <c r="L75" s="7">
        <f>K75-I75</f>
        <v/>
      </c>
      <c r="M75" s="7">
        <f>IF(K75&lt;I75,"✕ INSUFFISANT",IF(K75&lt;I75*1.2,"⚠ STOCK FAIBLE","✓ COUVERT"))</f>
        <v/>
      </c>
      <c r="N75" s="7" t="inlineStr">
        <is>
          <t>BOS</t>
        </is>
      </c>
      <c r="O75" s="7" t="inlineStr">
        <is>
          <t>IMPORTANT</t>
        </is>
      </c>
      <c r="P75" s="7" t="inlineStr">
        <is>
          <t>31/08/2026 02:59</t>
        </is>
      </c>
    </row>
    <row r="76">
      <c r="A76" s="8" t="inlineStr">
        <is>
          <t>WHAP 8x8</t>
        </is>
      </c>
      <c r="B76" s="8" t="inlineStr">
        <is>
          <t>WHAP-0072</t>
        </is>
      </c>
      <c r="C76" s="8" t="inlineStr">
        <is>
          <t>REF-0072</t>
        </is>
      </c>
      <c r="D76" s="8" t="inlineStr">
        <is>
          <t>pompe de circulation</t>
        </is>
      </c>
      <c r="E76" s="8" t="inlineStr">
        <is>
          <t>Refroidissement</t>
        </is>
      </c>
      <c r="F76" s="8" t="inlineStr">
        <is>
          <t>Refroidissement</t>
        </is>
      </c>
      <c r="G76" s="8" t="inlineStr">
        <is>
          <t>PIECE_VEHICULE</t>
        </is>
      </c>
      <c r="H76" s="8" t="n">
        <v>1</v>
      </c>
      <c r="I76" s="8">
        <f>H76*$D$3</f>
        <v/>
      </c>
      <c r="J76" s="8" t="inlineStr">
        <is>
          <t>unité</t>
        </is>
      </c>
      <c r="K76" s="8" t="n">
        <v>0</v>
      </c>
      <c r="L76" s="8">
        <f>K76-I76</f>
        <v/>
      </c>
      <c r="M76" s="8">
        <f>IF(K76&lt;I76,"✕ INSUFFISANT",IF(K76&lt;I76*1.2,"⚠ STOCK FAIBLE","✓ COUVERT"))</f>
        <v/>
      </c>
      <c r="N76" s="8" t="inlineStr">
        <is>
          <t>FAU</t>
        </is>
      </c>
      <c r="O76" s="8" t="inlineStr">
        <is>
          <t>IMPORTANT</t>
        </is>
      </c>
      <c r="P76" s="8" t="inlineStr">
        <is>
          <t>31/08/2026 02:59</t>
        </is>
      </c>
    </row>
    <row r="77">
      <c r="A77" s="7" t="inlineStr">
        <is>
          <t>WHAP 8x8</t>
        </is>
      </c>
      <c r="B77" s="7" t="inlineStr">
        <is>
          <t>WHAP-0073</t>
        </is>
      </c>
      <c r="C77" s="7" t="inlineStr">
        <is>
          <t>REF-0073</t>
        </is>
      </c>
      <c r="D77" s="7" t="inlineStr">
        <is>
          <t>vanne de régulation</t>
        </is>
      </c>
      <c r="E77" s="7" t="inlineStr">
        <is>
          <t>Refroidissement</t>
        </is>
      </c>
      <c r="F77" s="7" t="inlineStr">
        <is>
          <t>Refroidissement</t>
        </is>
      </c>
      <c r="G77" s="7" t="inlineStr">
        <is>
          <t>PIECE_VEHICULE</t>
        </is>
      </c>
      <c r="H77" s="7" t="n">
        <v>1</v>
      </c>
      <c r="I77" s="7">
        <f>H77*$D$3</f>
        <v/>
      </c>
      <c r="J77" s="7" t="inlineStr">
        <is>
          <t>unité</t>
        </is>
      </c>
      <c r="K77" s="7" t="n">
        <v>0</v>
      </c>
      <c r="L77" s="7">
        <f>K77-I77</f>
        <v/>
      </c>
      <c r="M77" s="7">
        <f>IF(K77&lt;I77,"✕ INSUFFISANT",IF(K77&lt;I77*1.2,"⚠ STOCK FAIBLE","✓ COUVERT"))</f>
        <v/>
      </c>
      <c r="N77" s="7" t="inlineStr">
        <is>
          <t>MAG</t>
        </is>
      </c>
      <c r="O77" s="7" t="inlineStr">
        <is>
          <t>IMPORTANT</t>
        </is>
      </c>
      <c r="P77" s="7" t="inlineStr">
        <is>
          <t>31/08/2026 02:59</t>
        </is>
      </c>
    </row>
    <row r="78">
      <c r="A78" s="8" t="inlineStr">
        <is>
          <t>WHAP 8x8</t>
        </is>
      </c>
      <c r="B78" s="8" t="inlineStr">
        <is>
          <t>WHAP-0074</t>
        </is>
      </c>
      <c r="C78" s="8" t="inlineStr">
        <is>
          <t>REF-0074</t>
        </is>
      </c>
      <c r="D78" s="8" t="inlineStr">
        <is>
          <t>capteur température liquide</t>
        </is>
      </c>
      <c r="E78" s="8" t="inlineStr">
        <is>
          <t>Refroidissement</t>
        </is>
      </c>
      <c r="F78" s="8" t="inlineStr">
        <is>
          <t>Refroidissement</t>
        </is>
      </c>
      <c r="G78" s="8" t="inlineStr">
        <is>
          <t>PIECE_VEHICULE</t>
        </is>
      </c>
      <c r="H78" s="8" t="n">
        <v>1</v>
      </c>
      <c r="I78" s="8">
        <f>H78*$D$3</f>
        <v/>
      </c>
      <c r="J78" s="8" t="inlineStr">
        <is>
          <t>unité</t>
        </is>
      </c>
      <c r="K78" s="8" t="n">
        <v>0</v>
      </c>
      <c r="L78" s="8">
        <f>K78-I78</f>
        <v/>
      </c>
      <c r="M78" s="8">
        <f>IF(K78&lt;I78,"✕ INSUFFISANT",IF(K78&lt;I78*1.2,"⚠ STOCK FAIBLE","✓ COUVERT"))</f>
        <v/>
      </c>
      <c r="N78" s="8" t="inlineStr">
        <is>
          <t>YZK</t>
        </is>
      </c>
      <c r="O78" s="8" t="inlineStr">
        <is>
          <t>IMPORTANT</t>
        </is>
      </c>
      <c r="P78" s="8" t="inlineStr">
        <is>
          <t>31/08/2026 02:59</t>
        </is>
      </c>
    </row>
    <row r="79">
      <c r="A79" s="7" t="inlineStr">
        <is>
          <t>WHAP 8x8</t>
        </is>
      </c>
      <c r="B79" s="7" t="inlineStr">
        <is>
          <t>WHAP-0075</t>
        </is>
      </c>
      <c r="C79" s="7" t="inlineStr">
        <is>
          <t>REF-0075</t>
        </is>
      </c>
      <c r="D79" s="7" t="inlineStr">
        <is>
          <t>sonde niveau liquide</t>
        </is>
      </c>
      <c r="E79" s="7" t="inlineStr">
        <is>
          <t>Refroidissement</t>
        </is>
      </c>
      <c r="F79" s="7" t="inlineStr">
        <is>
          <t>Refroidissement</t>
        </is>
      </c>
      <c r="G79" s="7" t="inlineStr">
        <is>
          <t>PIECE_VEHICULE</t>
        </is>
      </c>
      <c r="H79" s="7" t="n">
        <v>1</v>
      </c>
      <c r="I79" s="7">
        <f>H79*$D$3</f>
        <v/>
      </c>
      <c r="J79" s="7" t="inlineStr">
        <is>
          <t>unité</t>
        </is>
      </c>
      <c r="K79" s="7" t="n">
        <v>0</v>
      </c>
      <c r="L79" s="7">
        <f>K79-I79</f>
        <v/>
      </c>
      <c r="M79" s="7">
        <f>IF(K79&lt;I79,"✕ INSUFFISANT",IF(K79&lt;I79*1.2,"⚠ STOCK FAIBLE","✓ COUVERT"))</f>
        <v/>
      </c>
      <c r="N79" s="7" t="inlineStr">
        <is>
          <t>VAL</t>
        </is>
      </c>
      <c r="O79" s="7" t="inlineStr">
        <is>
          <t>IMPORTANT</t>
        </is>
      </c>
      <c r="P79" s="7" t="inlineStr">
        <is>
          <t>31/08/2026 02:59</t>
        </is>
      </c>
    </row>
    <row r="80">
      <c r="A80" s="8" t="inlineStr">
        <is>
          <t>WHAP 8x8</t>
        </is>
      </c>
      <c r="B80" s="8" t="inlineStr">
        <is>
          <t>WHAP-0076</t>
        </is>
      </c>
      <c r="C80" s="8" t="inlineStr">
        <is>
          <t>REF-0076</t>
        </is>
      </c>
      <c r="D80" s="8" t="inlineStr">
        <is>
          <t>collier de durite</t>
        </is>
      </c>
      <c r="E80" s="8" t="inlineStr">
        <is>
          <t>Refroidissement</t>
        </is>
      </c>
      <c r="F80" s="8" t="inlineStr">
        <is>
          <t>Refroidissement</t>
        </is>
      </c>
      <c r="G80" s="8" t="inlineStr">
        <is>
          <t>PIECE_VEHICULE</t>
        </is>
      </c>
      <c r="H80" s="8" t="n">
        <v>1</v>
      </c>
      <c r="I80" s="8">
        <f>H80*$D$3</f>
        <v/>
      </c>
      <c r="J80" s="8" t="inlineStr">
        <is>
          <t>unité</t>
        </is>
      </c>
      <c r="K80" s="8" t="n">
        <v>0</v>
      </c>
      <c r="L80" s="8">
        <f>K80-I80</f>
        <v/>
      </c>
      <c r="M80" s="8">
        <f>IF(K80&lt;I80,"✕ INSUFFISANT",IF(K80&lt;I80*1.2,"⚠ STOCK FAIBLE","✓ COUVERT"))</f>
        <v/>
      </c>
      <c r="N80" s="8" t="inlineStr">
        <is>
          <t>MAG</t>
        </is>
      </c>
      <c r="O80" s="8" t="inlineStr">
        <is>
          <t>IMPORTANT</t>
        </is>
      </c>
      <c r="P80" s="8" t="inlineStr">
        <is>
          <t>31/08/2026 02:59</t>
        </is>
      </c>
    </row>
    <row r="81">
      <c r="A81" s="7" t="inlineStr">
        <is>
          <t>WHAP 8x8</t>
        </is>
      </c>
      <c r="B81" s="7" t="inlineStr">
        <is>
          <t>WHAP-0077</t>
        </is>
      </c>
      <c r="C81" s="7" t="inlineStr">
        <is>
          <t>REF-0077</t>
        </is>
      </c>
      <c r="D81" s="7" t="inlineStr">
        <is>
          <t>raccord de durite</t>
        </is>
      </c>
      <c r="E81" s="7" t="inlineStr">
        <is>
          <t>Refroidissement</t>
        </is>
      </c>
      <c r="F81" s="7" t="inlineStr">
        <is>
          <t>Refroidissement</t>
        </is>
      </c>
      <c r="G81" s="7" t="inlineStr">
        <is>
          <t>PIECE_VEHICULE</t>
        </is>
      </c>
      <c r="H81" s="7" t="n">
        <v>1</v>
      </c>
      <c r="I81" s="7">
        <f>H81*$D$3</f>
        <v/>
      </c>
      <c r="J81" s="7" t="inlineStr">
        <is>
          <t>unité</t>
        </is>
      </c>
      <c r="K81" s="7" t="n">
        <v>0</v>
      </c>
      <c r="L81" s="7">
        <f>K81-I81</f>
        <v/>
      </c>
      <c r="M81" s="7">
        <f>IF(K81&lt;I81,"✕ INSUFFISANT",IF(K81&lt;I81*1.2,"⚠ STOCK FAIBLE","✓ COUVERT"))</f>
        <v/>
      </c>
      <c r="N81" s="7" t="inlineStr">
        <is>
          <t>FAU</t>
        </is>
      </c>
      <c r="O81" s="7" t="inlineStr">
        <is>
          <t>IMPORTANT</t>
        </is>
      </c>
      <c r="P81" s="7" t="inlineStr">
        <is>
          <t>31/08/2026 02:59</t>
        </is>
      </c>
    </row>
    <row r="82">
      <c r="A82" s="8" t="inlineStr">
        <is>
          <t>WHAP 8x8</t>
        </is>
      </c>
      <c r="B82" s="8" t="inlineStr">
        <is>
          <t>WHAP-0078</t>
        </is>
      </c>
      <c r="C82" s="8" t="inlineStr">
        <is>
          <t>REF-0078</t>
        </is>
      </c>
      <c r="D82" s="8" t="inlineStr">
        <is>
          <t>joint de raccord</t>
        </is>
      </c>
      <c r="E82" s="8" t="inlineStr">
        <is>
          <t>Refroidissement</t>
        </is>
      </c>
      <c r="F82" s="8" t="inlineStr">
        <is>
          <t>Refroidissement</t>
        </is>
      </c>
      <c r="G82" s="8" t="inlineStr">
        <is>
          <t>PIECE_VEHICULE</t>
        </is>
      </c>
      <c r="H82" s="8" t="n">
        <v>1</v>
      </c>
      <c r="I82" s="8">
        <f>H82*$D$3</f>
        <v/>
      </c>
      <c r="J82" s="8" t="inlineStr">
        <is>
          <t>unité</t>
        </is>
      </c>
      <c r="K82" s="8" t="n">
        <v>0</v>
      </c>
      <c r="L82" s="8">
        <f>K82-I82</f>
        <v/>
      </c>
      <c r="M82" s="8">
        <f>IF(K82&lt;I82,"✕ INSUFFISANT",IF(K82&lt;I82*1.2,"⚠ STOCK FAIBLE","✓ COUVERT"))</f>
        <v/>
      </c>
      <c r="N82" s="8" t="inlineStr">
        <is>
          <t>CTL</t>
        </is>
      </c>
      <c r="O82" s="8" t="inlineStr">
        <is>
          <t>IMPORTANT</t>
        </is>
      </c>
      <c r="P82" s="8" t="inlineStr">
        <is>
          <t>31/08/2026 02:59</t>
        </is>
      </c>
    </row>
    <row r="83">
      <c r="A83" s="7" t="inlineStr">
        <is>
          <t>WHAP 8x8</t>
        </is>
      </c>
      <c r="B83" s="7" t="inlineStr">
        <is>
          <t>WHAP-0079</t>
        </is>
      </c>
      <c r="C83" s="7" t="inlineStr">
        <is>
          <t>REF-0079</t>
        </is>
      </c>
      <c r="D83" s="7" t="inlineStr">
        <is>
          <t>support radiateur</t>
        </is>
      </c>
      <c r="E83" s="7" t="inlineStr">
        <is>
          <t>Refroidissement</t>
        </is>
      </c>
      <c r="F83" s="7" t="inlineStr">
        <is>
          <t>Refroidissement</t>
        </is>
      </c>
      <c r="G83" s="7" t="inlineStr">
        <is>
          <t>PIECE_VEHICULE</t>
        </is>
      </c>
      <c r="H83" s="7" t="n">
        <v>1</v>
      </c>
      <c r="I83" s="7">
        <f>H83*$D$3</f>
        <v/>
      </c>
      <c r="J83" s="7" t="inlineStr">
        <is>
          <t>unité</t>
        </is>
      </c>
      <c r="K83" s="7" t="n">
        <v>0</v>
      </c>
      <c r="L83" s="7">
        <f>K83-I83</f>
        <v/>
      </c>
      <c r="M83" s="7">
        <f>IF(K83&lt;I83,"✕ INSUFFISANT",IF(K83&lt;I83*1.2,"⚠ STOCK FAIBLE","✓ COUVERT"))</f>
        <v/>
      </c>
      <c r="N83" s="7" t="inlineStr">
        <is>
          <t>BOS</t>
        </is>
      </c>
      <c r="O83" s="7" t="inlineStr">
        <is>
          <t>IMPORTANT</t>
        </is>
      </c>
      <c r="P83" s="7" t="inlineStr">
        <is>
          <t>31/08/2026 02:59</t>
        </is>
      </c>
    </row>
    <row r="84">
      <c r="A84" s="8" t="inlineStr">
        <is>
          <t>WHAP 8x8</t>
        </is>
      </c>
      <c r="B84" s="8" t="inlineStr">
        <is>
          <t>WHAP-0080</t>
        </is>
      </c>
      <c r="C84" s="8" t="inlineStr">
        <is>
          <t>REF-0080</t>
        </is>
      </c>
      <c r="D84" s="8" t="inlineStr">
        <is>
          <t>grille radiateur</t>
        </is>
      </c>
      <c r="E84" s="8" t="inlineStr">
        <is>
          <t>Refroidissement</t>
        </is>
      </c>
      <c r="F84" s="8" t="inlineStr">
        <is>
          <t>Refroidissement</t>
        </is>
      </c>
      <c r="G84" s="8" t="inlineStr">
        <is>
          <t>PIECE_VEHICULE</t>
        </is>
      </c>
      <c r="H84" s="8" t="n">
        <v>1</v>
      </c>
      <c r="I84" s="8">
        <f>H84*$D$3</f>
        <v/>
      </c>
      <c r="J84" s="8" t="inlineStr">
        <is>
          <t>unité</t>
        </is>
      </c>
      <c r="K84" s="8" t="n">
        <v>0</v>
      </c>
      <c r="L84" s="8">
        <f>K84-I84</f>
        <v/>
      </c>
      <c r="M84" s="8">
        <f>IF(K84&lt;I84,"✕ INSUFFISANT",IF(K84&lt;I84*1.2,"⚠ STOCK FAIBLE","✓ COUVERT"))</f>
        <v/>
      </c>
      <c r="N84" s="8" t="inlineStr">
        <is>
          <t>HEL</t>
        </is>
      </c>
      <c r="O84" s="8" t="inlineStr">
        <is>
          <t>IMPORTANT</t>
        </is>
      </c>
      <c r="P84" s="8" t="inlineStr">
        <is>
          <t>31/08/2026 02:59</t>
        </is>
      </c>
    </row>
    <row r="85">
      <c r="A85" s="7" t="inlineStr">
        <is>
          <t>WHAP 8x8</t>
        </is>
      </c>
      <c r="B85" s="7" t="inlineStr">
        <is>
          <t>WHAP-0081</t>
        </is>
      </c>
      <c r="C85" s="7" t="inlineStr">
        <is>
          <t>CAR-0081</t>
        </is>
      </c>
      <c r="D85" s="7" t="inlineStr">
        <is>
          <t>réservoir principal</t>
        </is>
      </c>
      <c r="E85" s="7" t="inlineStr">
        <is>
          <t>Carburant</t>
        </is>
      </c>
      <c r="F85" s="7" t="inlineStr">
        <is>
          <t>Carburant</t>
        </is>
      </c>
      <c r="G85" s="7" t="inlineStr">
        <is>
          <t>PIECE_VEHICULE</t>
        </is>
      </c>
      <c r="H85" s="7" t="n">
        <v>1</v>
      </c>
      <c r="I85" s="7">
        <f>H85*$D$3</f>
        <v/>
      </c>
      <c r="J85" s="7" t="inlineStr">
        <is>
          <t>unité</t>
        </is>
      </c>
      <c r="K85" s="7" t="n">
        <v>360</v>
      </c>
      <c r="L85" s="7">
        <f>K85-I85</f>
        <v/>
      </c>
      <c r="M85" s="7">
        <f>IF(K85&lt;I85,"✕ INSUFFISANT",IF(K85&lt;I85*1.2,"⚠ STOCK FAIBLE","✓ COUVERT"))</f>
        <v/>
      </c>
      <c r="N85" s="7" t="inlineStr">
        <is>
          <t>SKF</t>
        </is>
      </c>
      <c r="O85" s="7" t="inlineStr">
        <is>
          <t>IMPORTANT</t>
        </is>
      </c>
      <c r="P85" s="7" t="inlineStr">
        <is>
          <t>31/08/2026 02:59</t>
        </is>
      </c>
    </row>
    <row r="86">
      <c r="A86" s="8" t="inlineStr">
        <is>
          <t>WHAP 8x8</t>
        </is>
      </c>
      <c r="B86" s="8" t="inlineStr">
        <is>
          <t>WHAP-0082</t>
        </is>
      </c>
      <c r="C86" s="8" t="inlineStr">
        <is>
          <t>CAR-0082</t>
        </is>
      </c>
      <c r="D86" s="8" t="inlineStr">
        <is>
          <t>réservoir auxiliaire</t>
        </is>
      </c>
      <c r="E86" s="8" t="inlineStr">
        <is>
          <t>Carburant</t>
        </is>
      </c>
      <c r="F86" s="8" t="inlineStr">
        <is>
          <t>Carburant</t>
        </is>
      </c>
      <c r="G86" s="8" t="inlineStr">
        <is>
          <t>PIECE_VEHICULE</t>
        </is>
      </c>
      <c r="H86" s="8" t="n">
        <v>1</v>
      </c>
      <c r="I86" s="8">
        <f>H86*$D$3</f>
        <v/>
      </c>
      <c r="J86" s="8" t="inlineStr">
        <is>
          <t>unité</t>
        </is>
      </c>
      <c r="K86" s="8" t="n">
        <v>960</v>
      </c>
      <c r="L86" s="8">
        <f>K86-I86</f>
        <v/>
      </c>
      <c r="M86" s="8">
        <f>IF(K86&lt;I86,"✕ INSUFFISANT",IF(K86&lt;I86*1.2,"⚠ STOCK FAIBLE","✓ COUVERT"))</f>
        <v/>
      </c>
      <c r="N86" s="8" t="inlineStr">
        <is>
          <t>SKF</t>
        </is>
      </c>
      <c r="O86" s="8" t="inlineStr">
        <is>
          <t>IMPORTANT</t>
        </is>
      </c>
      <c r="P86" s="8" t="inlineStr">
        <is>
          <t>31/08/2026 02:59</t>
        </is>
      </c>
    </row>
    <row r="87">
      <c r="A87" s="7" t="inlineStr">
        <is>
          <t>WHAP 8x8</t>
        </is>
      </c>
      <c r="B87" s="7" t="inlineStr">
        <is>
          <t>WHAP-0083</t>
        </is>
      </c>
      <c r="C87" s="7" t="inlineStr">
        <is>
          <t>CAR-0083</t>
        </is>
      </c>
      <c r="D87" s="7" t="inlineStr">
        <is>
          <t>bouchon de réservoir</t>
        </is>
      </c>
      <c r="E87" s="7" t="inlineStr">
        <is>
          <t>Carburant</t>
        </is>
      </c>
      <c r="F87" s="7" t="inlineStr">
        <is>
          <t>Carburant</t>
        </is>
      </c>
      <c r="G87" s="7" t="inlineStr">
        <is>
          <t>PIECE_VEHICULE</t>
        </is>
      </c>
      <c r="H87" s="7" t="n">
        <v>1</v>
      </c>
      <c r="I87" s="7">
        <f>H87*$D$3</f>
        <v/>
      </c>
      <c r="J87" s="7" t="inlineStr">
        <is>
          <t>unité</t>
        </is>
      </c>
      <c r="K87" s="7" t="n">
        <v>840</v>
      </c>
      <c r="L87" s="7">
        <f>K87-I87</f>
        <v/>
      </c>
      <c r="M87" s="7">
        <f>IF(K87&lt;I87,"✕ INSUFFISANT",IF(K87&lt;I87*1.2,"⚠ STOCK FAIBLE","✓ COUVERT"))</f>
        <v/>
      </c>
      <c r="N87" s="7" t="inlineStr">
        <is>
          <t>MAG</t>
        </is>
      </c>
      <c r="O87" s="7" t="inlineStr">
        <is>
          <t>IMPORTANT</t>
        </is>
      </c>
      <c r="P87" s="7" t="inlineStr">
        <is>
          <t>31/08/2026 02:59</t>
        </is>
      </c>
    </row>
    <row r="88">
      <c r="A88" s="8" t="inlineStr">
        <is>
          <t>WHAP 8x8</t>
        </is>
      </c>
      <c r="B88" s="8" t="inlineStr">
        <is>
          <t>WHAP-0084</t>
        </is>
      </c>
      <c r="C88" s="8" t="inlineStr">
        <is>
          <t>CAR-0084</t>
        </is>
      </c>
      <c r="D88" s="8" t="inlineStr">
        <is>
          <t>goulotte de remplissage</t>
        </is>
      </c>
      <c r="E88" s="8" t="inlineStr">
        <is>
          <t>Carburant</t>
        </is>
      </c>
      <c r="F88" s="8" t="inlineStr">
        <is>
          <t>Carburant</t>
        </is>
      </c>
      <c r="G88" s="8" t="inlineStr">
        <is>
          <t>PIECE_VEHICULE</t>
        </is>
      </c>
      <c r="H88" s="8" t="n">
        <v>1</v>
      </c>
      <c r="I88" s="8">
        <f>H88*$D$3</f>
        <v/>
      </c>
      <c r="J88" s="8" t="inlineStr">
        <is>
          <t>unité</t>
        </is>
      </c>
      <c r="K88" s="8" t="n">
        <v>0</v>
      </c>
      <c r="L88" s="8">
        <f>K88-I88</f>
        <v/>
      </c>
      <c r="M88" s="8">
        <f>IF(K88&lt;I88,"✕ INSUFFISANT",IF(K88&lt;I88*1.2,"⚠ STOCK FAIBLE","✓ COUVERT"))</f>
        <v/>
      </c>
      <c r="N88" s="8" t="inlineStr">
        <is>
          <t>FAU</t>
        </is>
      </c>
      <c r="O88" s="8" t="inlineStr">
        <is>
          <t>IMPORTANT</t>
        </is>
      </c>
      <c r="P88" s="8" t="inlineStr">
        <is>
          <t>31/08/2026 02:59</t>
        </is>
      </c>
    </row>
    <row r="89">
      <c r="A89" s="7" t="inlineStr">
        <is>
          <t>WHAP 8x8</t>
        </is>
      </c>
      <c r="B89" s="7" t="inlineStr">
        <is>
          <t>WHAP-0085</t>
        </is>
      </c>
      <c r="C89" s="7" t="inlineStr">
        <is>
          <t>CAR-0085</t>
        </is>
      </c>
      <c r="D89" s="7" t="inlineStr">
        <is>
          <t>filtre carburant primaire</t>
        </is>
      </c>
      <c r="E89" s="7" t="inlineStr">
        <is>
          <t>Carburant</t>
        </is>
      </c>
      <c r="F89" s="7" t="inlineStr">
        <is>
          <t>Carburant</t>
        </is>
      </c>
      <c r="G89" s="7" t="inlineStr">
        <is>
          <t>PIECE_VEHICULE</t>
        </is>
      </c>
      <c r="H89" s="7" t="n">
        <v>1</v>
      </c>
      <c r="I89" s="7">
        <f>H89*$D$3</f>
        <v/>
      </c>
      <c r="J89" s="7" t="inlineStr">
        <is>
          <t>unité</t>
        </is>
      </c>
      <c r="K89" s="7" t="n">
        <v>0</v>
      </c>
      <c r="L89" s="7">
        <f>K89-I89</f>
        <v/>
      </c>
      <c r="M89" s="7">
        <f>IF(K89&lt;I89,"✕ INSUFFISANT",IF(K89&lt;I89*1.2,"⚠ STOCK FAIBLE","✓ COUVERT"))</f>
        <v/>
      </c>
      <c r="N89" s="7" t="inlineStr">
        <is>
          <t>DEL</t>
        </is>
      </c>
      <c r="O89" s="7" t="inlineStr">
        <is>
          <t>IMPORTANT</t>
        </is>
      </c>
      <c r="P89" s="7" t="inlineStr">
        <is>
          <t>31/08/2026 02:59</t>
        </is>
      </c>
    </row>
    <row r="90">
      <c r="A90" s="8" t="inlineStr">
        <is>
          <t>WHAP 8x8</t>
        </is>
      </c>
      <c r="B90" s="8" t="inlineStr">
        <is>
          <t>WHAP-0086</t>
        </is>
      </c>
      <c r="C90" s="8" t="inlineStr">
        <is>
          <t>CAR-0086</t>
        </is>
      </c>
      <c r="D90" s="8" t="inlineStr">
        <is>
          <t>filtre carburant secondaire</t>
        </is>
      </c>
      <c r="E90" s="8" t="inlineStr">
        <is>
          <t>Carburant</t>
        </is>
      </c>
      <c r="F90" s="8" t="inlineStr">
        <is>
          <t>Carburant</t>
        </is>
      </c>
      <c r="G90" s="8" t="inlineStr">
        <is>
          <t>PIECE_VEHICULE</t>
        </is>
      </c>
      <c r="H90" s="8" t="n">
        <v>1</v>
      </c>
      <c r="I90" s="8">
        <f>H90*$D$3</f>
        <v/>
      </c>
      <c r="J90" s="8" t="inlineStr">
        <is>
          <t>unité</t>
        </is>
      </c>
      <c r="K90" s="8" t="n">
        <v>0</v>
      </c>
      <c r="L90" s="8">
        <f>K90-I90</f>
        <v/>
      </c>
      <c r="M90" s="8">
        <f>IF(K90&lt;I90,"✕ INSUFFISANT",IF(K90&lt;I90*1.2,"⚠ STOCK FAIBLE","✓ COUVERT"))</f>
        <v/>
      </c>
      <c r="N90" s="8" t="inlineStr">
        <is>
          <t>FAU</t>
        </is>
      </c>
      <c r="O90" s="8" t="inlineStr">
        <is>
          <t>IMPORTANT</t>
        </is>
      </c>
      <c r="P90" s="8" t="inlineStr">
        <is>
          <t>31/08/2026 02:59</t>
        </is>
      </c>
    </row>
    <row r="91">
      <c r="A91" s="7" t="inlineStr">
        <is>
          <t>WHAP 8x8</t>
        </is>
      </c>
      <c r="B91" s="7" t="inlineStr">
        <is>
          <t>WHAP-0087</t>
        </is>
      </c>
      <c r="C91" s="7" t="inlineStr">
        <is>
          <t>CAR-0087</t>
        </is>
      </c>
      <c r="D91" s="7" t="inlineStr">
        <is>
          <t>séparateur eau-carburant</t>
        </is>
      </c>
      <c r="E91" s="7" t="inlineStr">
        <is>
          <t>Carburant</t>
        </is>
      </c>
      <c r="F91" s="7" t="inlineStr">
        <is>
          <t>Carburant</t>
        </is>
      </c>
      <c r="G91" s="7" t="inlineStr">
        <is>
          <t>PIECE_VEHICULE</t>
        </is>
      </c>
      <c r="H91" s="7" t="n">
        <v>1</v>
      </c>
      <c r="I91" s="7">
        <f>H91*$D$3</f>
        <v/>
      </c>
      <c r="J91" s="7" t="inlineStr">
        <is>
          <t>unité</t>
        </is>
      </c>
      <c r="K91" s="7" t="n">
        <v>0</v>
      </c>
      <c r="L91" s="7">
        <f>K91-I91</f>
        <v/>
      </c>
      <c r="M91" s="7">
        <f>IF(K91&lt;I91,"✕ INSUFFISANT",IF(K91&lt;I91*1.2,"⚠ STOCK FAIBLE","✓ COUVERT"))</f>
        <v/>
      </c>
      <c r="N91" s="7" t="inlineStr">
        <is>
          <t>SUM</t>
        </is>
      </c>
      <c r="O91" s="7" t="inlineStr">
        <is>
          <t>IMPORTANT</t>
        </is>
      </c>
      <c r="P91" s="7" t="inlineStr">
        <is>
          <t>31/08/2026 02:59</t>
        </is>
      </c>
    </row>
    <row r="92">
      <c r="A92" s="8" t="inlineStr">
        <is>
          <t>WHAP 8x8</t>
        </is>
      </c>
      <c r="B92" s="8" t="inlineStr">
        <is>
          <t>WHAP-0088</t>
        </is>
      </c>
      <c r="C92" s="8" t="inlineStr">
        <is>
          <t>CAR-0088</t>
        </is>
      </c>
      <c r="D92" s="8" t="inlineStr">
        <is>
          <t>pompe de transfert</t>
        </is>
      </c>
      <c r="E92" s="8" t="inlineStr">
        <is>
          <t>Carburant</t>
        </is>
      </c>
      <c r="F92" s="8" t="inlineStr">
        <is>
          <t>Carburant</t>
        </is>
      </c>
      <c r="G92" s="8" t="inlineStr">
        <is>
          <t>PIECE_VEHICULE</t>
        </is>
      </c>
      <c r="H92" s="8" t="n">
        <v>1</v>
      </c>
      <c r="I92" s="8">
        <f>H92*$D$3</f>
        <v/>
      </c>
      <c r="J92" s="8" t="inlineStr">
        <is>
          <t>unité</t>
        </is>
      </c>
      <c r="K92" s="8" t="n">
        <v>0</v>
      </c>
      <c r="L92" s="8">
        <f>K92-I92</f>
        <v/>
      </c>
      <c r="M92" s="8">
        <f>IF(K92&lt;I92,"✕ INSUFFISANT",IF(K92&lt;I92*1.2,"⚠ STOCK FAIBLE","✓ COUVERT"))</f>
        <v/>
      </c>
      <c r="N92" s="8" t="inlineStr">
        <is>
          <t>BOS</t>
        </is>
      </c>
      <c r="O92" s="8" t="inlineStr">
        <is>
          <t>IMPORTANT</t>
        </is>
      </c>
      <c r="P92" s="8" t="inlineStr">
        <is>
          <t>31/08/2026 02:59</t>
        </is>
      </c>
    </row>
    <row r="93">
      <c r="A93" s="7" t="inlineStr">
        <is>
          <t>WHAP 8x8</t>
        </is>
      </c>
      <c r="B93" s="7" t="inlineStr">
        <is>
          <t>WHAP-0089</t>
        </is>
      </c>
      <c r="C93" s="7" t="inlineStr">
        <is>
          <t>CAR-0089</t>
        </is>
      </c>
      <c r="D93" s="7" t="inlineStr">
        <is>
          <t>pompe d'alimentation</t>
        </is>
      </c>
      <c r="E93" s="7" t="inlineStr">
        <is>
          <t>Carburant</t>
        </is>
      </c>
      <c r="F93" s="7" t="inlineStr">
        <is>
          <t>Carburant</t>
        </is>
      </c>
      <c r="G93" s="7" t="inlineStr">
        <is>
          <t>PIECE_VEHICULE</t>
        </is>
      </c>
      <c r="H93" s="7" t="n">
        <v>1</v>
      </c>
      <c r="I93" s="7">
        <f>H93*$D$3</f>
        <v/>
      </c>
      <c r="J93" s="7" t="inlineStr">
        <is>
          <t>unité</t>
        </is>
      </c>
      <c r="K93" s="7" t="n">
        <v>0</v>
      </c>
      <c r="L93" s="7">
        <f>K93-I93</f>
        <v/>
      </c>
      <c r="M93" s="7">
        <f>IF(K93&lt;I93,"✕ INSUFFISANT",IF(K93&lt;I93*1.2,"⚠ STOCK FAIBLE","✓ COUVERT"))</f>
        <v/>
      </c>
      <c r="N93" s="7" t="inlineStr">
        <is>
          <t>YZK</t>
        </is>
      </c>
      <c r="O93" s="7" t="inlineStr">
        <is>
          <t>IMPORTANT</t>
        </is>
      </c>
      <c r="P93" s="7" t="inlineStr">
        <is>
          <t>31/08/2026 02:59</t>
        </is>
      </c>
    </row>
    <row r="94">
      <c r="A94" s="8" t="inlineStr">
        <is>
          <t>WHAP 8x8</t>
        </is>
      </c>
      <c r="B94" s="8" t="inlineStr">
        <is>
          <t>WHAP-0090</t>
        </is>
      </c>
      <c r="C94" s="8" t="inlineStr">
        <is>
          <t>CAR-0090</t>
        </is>
      </c>
      <c r="D94" s="8" t="inlineStr">
        <is>
          <t>conduite carburant</t>
        </is>
      </c>
      <c r="E94" s="8" t="inlineStr">
        <is>
          <t>Carburant</t>
        </is>
      </c>
      <c r="F94" s="8" t="inlineStr">
        <is>
          <t>Carburant</t>
        </is>
      </c>
      <c r="G94" s="8" t="inlineStr">
        <is>
          <t>PIECE_VEHICULE</t>
        </is>
      </c>
      <c r="H94" s="8" t="n">
        <v>1</v>
      </c>
      <c r="I94" s="8">
        <f>H94*$D$3</f>
        <v/>
      </c>
      <c r="J94" s="8" t="inlineStr">
        <is>
          <t>unité</t>
        </is>
      </c>
      <c r="K94" s="8" t="n">
        <v>0</v>
      </c>
      <c r="L94" s="8">
        <f>K94-I94</f>
        <v/>
      </c>
      <c r="M94" s="8">
        <f>IF(K94&lt;I94,"✕ INSUFFISANT",IF(K94&lt;I94*1.2,"⚠ STOCK FAIBLE","✓ COUVERT"))</f>
        <v/>
      </c>
      <c r="N94" s="8" t="inlineStr">
        <is>
          <t>SKF</t>
        </is>
      </c>
      <c r="O94" s="8" t="inlineStr">
        <is>
          <t>IMPORTANT</t>
        </is>
      </c>
      <c r="P94" s="8" t="inlineStr">
        <is>
          <t>31/08/2026 02:59</t>
        </is>
      </c>
    </row>
    <row r="95">
      <c r="A95" s="7" t="inlineStr">
        <is>
          <t>WHAP 8x8</t>
        </is>
      </c>
      <c r="B95" s="7" t="inlineStr">
        <is>
          <t>WHAP-0091</t>
        </is>
      </c>
      <c r="C95" s="7" t="inlineStr">
        <is>
          <t>CAR-0091</t>
        </is>
      </c>
      <c r="D95" s="7" t="inlineStr">
        <is>
          <t>durite carburant</t>
        </is>
      </c>
      <c r="E95" s="7" t="inlineStr">
        <is>
          <t>Carburant</t>
        </is>
      </c>
      <c r="F95" s="7" t="inlineStr">
        <is>
          <t>Carburant</t>
        </is>
      </c>
      <c r="G95" s="7" t="inlineStr">
        <is>
          <t>PIECE_VEHICULE</t>
        </is>
      </c>
      <c r="H95" s="7" t="n">
        <v>1</v>
      </c>
      <c r="I95" s="7">
        <f>H95*$D$3</f>
        <v/>
      </c>
      <c r="J95" s="7" t="inlineStr">
        <is>
          <t>unité</t>
        </is>
      </c>
      <c r="K95" s="7" t="n">
        <v>0</v>
      </c>
      <c r="L95" s="7">
        <f>K95-I95</f>
        <v/>
      </c>
      <c r="M95" s="7">
        <f>IF(K95&lt;I95,"✕ INSUFFISANT",IF(K95&lt;I95*1.2,"⚠ STOCK FAIBLE","✓ COUVERT"))</f>
        <v/>
      </c>
      <c r="N95" s="7" t="inlineStr">
        <is>
          <t>CTL</t>
        </is>
      </c>
      <c r="O95" s="7" t="inlineStr">
        <is>
          <t>IMPORTANT</t>
        </is>
      </c>
      <c r="P95" s="7" t="inlineStr">
        <is>
          <t>31/08/2026 02:59</t>
        </is>
      </c>
    </row>
    <row r="96">
      <c r="A96" s="8" t="inlineStr">
        <is>
          <t>WHAP 8x8</t>
        </is>
      </c>
      <c r="B96" s="8" t="inlineStr">
        <is>
          <t>WHAP-0092</t>
        </is>
      </c>
      <c r="C96" s="8" t="inlineStr">
        <is>
          <t>CAR-0092</t>
        </is>
      </c>
      <c r="D96" s="8" t="inlineStr">
        <is>
          <t>rampe d'injection</t>
        </is>
      </c>
      <c r="E96" s="8" t="inlineStr">
        <is>
          <t>Carburant</t>
        </is>
      </c>
      <c r="F96" s="8" t="inlineStr">
        <is>
          <t>Carburant</t>
        </is>
      </c>
      <c r="G96" s="8" t="inlineStr">
        <is>
          <t>PIECE_VEHICULE</t>
        </is>
      </c>
      <c r="H96" s="8" t="n">
        <v>1</v>
      </c>
      <c r="I96" s="8">
        <f>H96*$D$3</f>
        <v/>
      </c>
      <c r="J96" s="8" t="inlineStr">
        <is>
          <t>unité</t>
        </is>
      </c>
      <c r="K96" s="8" t="n">
        <v>0</v>
      </c>
      <c r="L96" s="8">
        <f>K96-I96</f>
        <v/>
      </c>
      <c r="M96" s="8">
        <f>IF(K96&lt;I96,"✕ INSUFFISANT",IF(K96&lt;I96*1.2,"⚠ STOCK FAIBLE","✓ COUVERT"))</f>
        <v/>
      </c>
      <c r="N96" s="8" t="inlineStr">
        <is>
          <t>VAL</t>
        </is>
      </c>
      <c r="O96" s="8" t="inlineStr">
        <is>
          <t>IMPORTANT</t>
        </is>
      </c>
      <c r="P96" s="8" t="inlineStr">
        <is>
          <t>31/08/2026 02:59</t>
        </is>
      </c>
    </row>
    <row r="97">
      <c r="A97" s="7" t="inlineStr">
        <is>
          <t>WHAP 8x8</t>
        </is>
      </c>
      <c r="B97" s="7" t="inlineStr">
        <is>
          <t>WHAP-0093</t>
        </is>
      </c>
      <c r="C97" s="7" t="inlineStr">
        <is>
          <t>CAR-0093</t>
        </is>
      </c>
      <c r="D97" s="7" t="inlineStr">
        <is>
          <t>injecteur</t>
        </is>
      </c>
      <c r="E97" s="7" t="inlineStr">
        <is>
          <t>Carburant</t>
        </is>
      </c>
      <c r="F97" s="7" t="inlineStr">
        <is>
          <t>Carburant</t>
        </is>
      </c>
      <c r="G97" s="7" t="inlineStr">
        <is>
          <t>PIECE_VEHICULE</t>
        </is>
      </c>
      <c r="H97" s="7" t="n">
        <v>1</v>
      </c>
      <c r="I97" s="7">
        <f>H97*$D$3</f>
        <v/>
      </c>
      <c r="J97" s="7" t="inlineStr">
        <is>
          <t>unité</t>
        </is>
      </c>
      <c r="K97" s="7" t="n">
        <v>0</v>
      </c>
      <c r="L97" s="7">
        <f>K97-I97</f>
        <v/>
      </c>
      <c r="M97" s="7">
        <f>IF(K97&lt;I97,"✕ INSUFFISANT",IF(K97&lt;I97*1.2,"⚠ STOCK FAIBLE","✓ COUVERT"))</f>
        <v/>
      </c>
      <c r="N97" s="7" t="inlineStr">
        <is>
          <t>VAL</t>
        </is>
      </c>
      <c r="O97" s="7" t="inlineStr">
        <is>
          <t>IMPORTANT</t>
        </is>
      </c>
      <c r="P97" s="7" t="inlineStr">
        <is>
          <t>31/08/2026 02:59</t>
        </is>
      </c>
    </row>
    <row r="98">
      <c r="A98" s="8" t="inlineStr">
        <is>
          <t>WHAP 8x8</t>
        </is>
      </c>
      <c r="B98" s="8" t="inlineStr">
        <is>
          <t>WHAP-0094</t>
        </is>
      </c>
      <c r="C98" s="8" t="inlineStr">
        <is>
          <t>CAR-0094</t>
        </is>
      </c>
      <c r="D98" s="8" t="inlineStr">
        <is>
          <t>régulateur de pression</t>
        </is>
      </c>
      <c r="E98" s="8" t="inlineStr">
        <is>
          <t>Carburant</t>
        </is>
      </c>
      <c r="F98" s="8" t="inlineStr">
        <is>
          <t>Carburant</t>
        </is>
      </c>
      <c r="G98" s="8" t="inlineStr">
        <is>
          <t>PIECE_VEHICULE</t>
        </is>
      </c>
      <c r="H98" s="8" t="n">
        <v>1</v>
      </c>
      <c r="I98" s="8">
        <f>H98*$D$3</f>
        <v/>
      </c>
      <c r="J98" s="8" t="inlineStr">
        <is>
          <t>unité</t>
        </is>
      </c>
      <c r="K98" s="8" t="n">
        <v>0</v>
      </c>
      <c r="L98" s="8">
        <f>K98-I98</f>
        <v/>
      </c>
      <c r="M98" s="8">
        <f>IF(K98&lt;I98,"✕ INSUFFISANT",IF(K98&lt;I98*1.2,"⚠ STOCK FAIBLE","✓ COUVERT"))</f>
        <v/>
      </c>
      <c r="N98" s="8" t="inlineStr">
        <is>
          <t>CTL</t>
        </is>
      </c>
      <c r="O98" s="8" t="inlineStr">
        <is>
          <t>IMPORTANT</t>
        </is>
      </c>
      <c r="P98" s="8" t="inlineStr">
        <is>
          <t>31/08/2026 02:59</t>
        </is>
      </c>
    </row>
    <row r="99">
      <c r="A99" s="7" t="inlineStr">
        <is>
          <t>WHAP 8x8</t>
        </is>
      </c>
      <c r="B99" s="7" t="inlineStr">
        <is>
          <t>WHAP-0095</t>
        </is>
      </c>
      <c r="C99" s="7" t="inlineStr">
        <is>
          <t>CAR-0095</t>
        </is>
      </c>
      <c r="D99" s="7" t="inlineStr">
        <is>
          <t>capteur niveau carburant</t>
        </is>
      </c>
      <c r="E99" s="7" t="inlineStr">
        <is>
          <t>Carburant</t>
        </is>
      </c>
      <c r="F99" s="7" t="inlineStr">
        <is>
          <t>Carburant</t>
        </is>
      </c>
      <c r="G99" s="7" t="inlineStr">
        <is>
          <t>PIECE_VEHICULE</t>
        </is>
      </c>
      <c r="H99" s="7" t="n">
        <v>1</v>
      </c>
      <c r="I99" s="7">
        <f>H99*$D$3</f>
        <v/>
      </c>
      <c r="J99" s="7" t="inlineStr">
        <is>
          <t>unité</t>
        </is>
      </c>
      <c r="K99" s="7" t="n">
        <v>0</v>
      </c>
      <c r="L99" s="7">
        <f>K99-I99</f>
        <v/>
      </c>
      <c r="M99" s="7">
        <f>IF(K99&lt;I99,"✕ INSUFFISANT",IF(K99&lt;I99*1.2,"⚠ STOCK FAIBLE","✓ COUVERT"))</f>
        <v/>
      </c>
      <c r="N99" s="7" t="inlineStr">
        <is>
          <t>SKF</t>
        </is>
      </c>
      <c r="O99" s="7" t="inlineStr">
        <is>
          <t>IMPORTANT</t>
        </is>
      </c>
      <c r="P99" s="7" t="inlineStr">
        <is>
          <t>31/08/2026 02:59</t>
        </is>
      </c>
    </row>
    <row r="100">
      <c r="A100" s="8" t="inlineStr">
        <is>
          <t>WHAP 8x8</t>
        </is>
      </c>
      <c r="B100" s="8" t="inlineStr">
        <is>
          <t>WHAP-0096</t>
        </is>
      </c>
      <c r="C100" s="8" t="inlineStr">
        <is>
          <t>CAR-0096</t>
        </is>
      </c>
      <c r="D100" s="8" t="inlineStr">
        <is>
          <t>capteur pression carburant</t>
        </is>
      </c>
      <c r="E100" s="8" t="inlineStr">
        <is>
          <t>Carburant</t>
        </is>
      </c>
      <c r="F100" s="8" t="inlineStr">
        <is>
          <t>Carburant</t>
        </is>
      </c>
      <c r="G100" s="8" t="inlineStr">
        <is>
          <t>PIECE_VEHICULE</t>
        </is>
      </c>
      <c r="H100" s="8" t="n">
        <v>1</v>
      </c>
      <c r="I100" s="8">
        <f>H100*$D$3</f>
        <v/>
      </c>
      <c r="J100" s="8" t="inlineStr">
        <is>
          <t>unité</t>
        </is>
      </c>
      <c r="K100" s="8" t="n">
        <v>0</v>
      </c>
      <c r="L100" s="8">
        <f>K100-I100</f>
        <v/>
      </c>
      <c r="M100" s="8">
        <f>IF(K100&lt;I100,"✕ INSUFFISANT",IF(K100&lt;I100*1.2,"⚠ STOCK FAIBLE","✓ COUVERT"))</f>
        <v/>
      </c>
      <c r="N100" s="8" t="inlineStr">
        <is>
          <t>FAU</t>
        </is>
      </c>
      <c r="O100" s="8" t="inlineStr">
        <is>
          <t>IMPORTANT</t>
        </is>
      </c>
      <c r="P100" s="8" t="inlineStr">
        <is>
          <t>31/08/2026 02:59</t>
        </is>
      </c>
    </row>
    <row r="101">
      <c r="A101" s="7" t="inlineStr">
        <is>
          <t>WHAP 8x8</t>
        </is>
      </c>
      <c r="B101" s="7" t="inlineStr">
        <is>
          <t>WHAP-0097</t>
        </is>
      </c>
      <c r="C101" s="7" t="inlineStr">
        <is>
          <t>CAR-0097</t>
        </is>
      </c>
      <c r="D101" s="7" t="inlineStr">
        <is>
          <t>vanne d'arrêt</t>
        </is>
      </c>
      <c r="E101" s="7" t="inlineStr">
        <is>
          <t>Carburant</t>
        </is>
      </c>
      <c r="F101" s="7" t="inlineStr">
        <is>
          <t>Carburant</t>
        </is>
      </c>
      <c r="G101" s="7" t="inlineStr">
        <is>
          <t>PIECE_VEHICULE</t>
        </is>
      </c>
      <c r="H101" s="7" t="n">
        <v>1</v>
      </c>
      <c r="I101" s="7">
        <f>H101*$D$3</f>
        <v/>
      </c>
      <c r="J101" s="7" t="inlineStr">
        <is>
          <t>unité</t>
        </is>
      </c>
      <c r="K101" s="7" t="n">
        <v>0</v>
      </c>
      <c r="L101" s="7">
        <f>K101-I101</f>
        <v/>
      </c>
      <c r="M101" s="7">
        <f>IF(K101&lt;I101,"✕ INSUFFISANT",IF(K101&lt;I101*1.2,"⚠ STOCK FAIBLE","✓ COUVERT"))</f>
        <v/>
      </c>
      <c r="N101" s="7" t="inlineStr">
        <is>
          <t>BOS</t>
        </is>
      </c>
      <c r="O101" s="7" t="inlineStr">
        <is>
          <t>IMPORTANT</t>
        </is>
      </c>
      <c r="P101" s="7" t="inlineStr">
        <is>
          <t>31/08/2026 02:59</t>
        </is>
      </c>
    </row>
    <row r="102">
      <c r="A102" s="8" t="inlineStr">
        <is>
          <t>WHAP 8x8</t>
        </is>
      </c>
      <c r="B102" s="8" t="inlineStr">
        <is>
          <t>WHAP-0098</t>
        </is>
      </c>
      <c r="C102" s="8" t="inlineStr">
        <is>
          <t>CAR-0098</t>
        </is>
      </c>
      <c r="D102" s="8" t="inlineStr">
        <is>
          <t>clapet anti-retour</t>
        </is>
      </c>
      <c r="E102" s="8" t="inlineStr">
        <is>
          <t>Carburant</t>
        </is>
      </c>
      <c r="F102" s="8" t="inlineStr">
        <is>
          <t>Carburant</t>
        </is>
      </c>
      <c r="G102" s="8" t="inlineStr">
        <is>
          <t>PIECE_VEHICULE</t>
        </is>
      </c>
      <c r="H102" s="8" t="n">
        <v>1</v>
      </c>
      <c r="I102" s="8">
        <f>H102*$D$3</f>
        <v/>
      </c>
      <c r="J102" s="8" t="inlineStr">
        <is>
          <t>unité</t>
        </is>
      </c>
      <c r="K102" s="8" t="n">
        <v>0</v>
      </c>
      <c r="L102" s="8">
        <f>K102-I102</f>
        <v/>
      </c>
      <c r="M102" s="8">
        <f>IF(K102&lt;I102,"✕ INSUFFISANT",IF(K102&lt;I102*1.2,"⚠ STOCK FAIBLE","✓ COUVERT"))</f>
        <v/>
      </c>
      <c r="N102" s="8" t="inlineStr">
        <is>
          <t>YZK</t>
        </is>
      </c>
      <c r="O102" s="8" t="inlineStr">
        <is>
          <t>IMPORTANT</t>
        </is>
      </c>
      <c r="P102" s="8" t="inlineStr">
        <is>
          <t>31/08/2026 02:59</t>
        </is>
      </c>
    </row>
    <row r="103">
      <c r="A103" s="7" t="inlineStr">
        <is>
          <t>WHAP 8x8</t>
        </is>
      </c>
      <c r="B103" s="7" t="inlineStr">
        <is>
          <t>WHAP-0099</t>
        </is>
      </c>
      <c r="C103" s="7" t="inlineStr">
        <is>
          <t>CAR-0099</t>
        </is>
      </c>
      <c r="D103" s="7" t="inlineStr">
        <is>
          <t>raccord carburant</t>
        </is>
      </c>
      <c r="E103" s="7" t="inlineStr">
        <is>
          <t>Carburant</t>
        </is>
      </c>
      <c r="F103" s="7" t="inlineStr">
        <is>
          <t>Carburant</t>
        </is>
      </c>
      <c r="G103" s="7" t="inlineStr">
        <is>
          <t>PIECE_VEHICULE</t>
        </is>
      </c>
      <c r="H103" s="7" t="n">
        <v>1</v>
      </c>
      <c r="I103" s="7">
        <f>H103*$D$3</f>
        <v/>
      </c>
      <c r="J103" s="7" t="inlineStr">
        <is>
          <t>unité</t>
        </is>
      </c>
      <c r="K103" s="7" t="n">
        <v>0</v>
      </c>
      <c r="L103" s="7">
        <f>K103-I103</f>
        <v/>
      </c>
      <c r="M103" s="7">
        <f>IF(K103&lt;I103,"✕ INSUFFISANT",IF(K103&lt;I103*1.2,"⚠ STOCK FAIBLE","✓ COUVERT"))</f>
        <v/>
      </c>
      <c r="N103" s="7" t="inlineStr">
        <is>
          <t>YZK</t>
        </is>
      </c>
      <c r="O103" s="7" t="inlineStr">
        <is>
          <t>IMPORTANT</t>
        </is>
      </c>
      <c r="P103" s="7" t="inlineStr">
        <is>
          <t>31/08/2026 02:59</t>
        </is>
      </c>
    </row>
    <row r="104">
      <c r="A104" s="8" t="inlineStr">
        <is>
          <t>WHAP 8x8</t>
        </is>
      </c>
      <c r="B104" s="8" t="inlineStr">
        <is>
          <t>WHAP-0100</t>
        </is>
      </c>
      <c r="C104" s="8" t="inlineStr">
        <is>
          <t>CAR-0100</t>
        </is>
      </c>
      <c r="D104" s="8" t="inlineStr">
        <is>
          <t>joint de raccord</t>
        </is>
      </c>
      <c r="E104" s="8" t="inlineStr">
        <is>
          <t>Carburant</t>
        </is>
      </c>
      <c r="F104" s="8" t="inlineStr">
        <is>
          <t>Carburant</t>
        </is>
      </c>
      <c r="G104" s="8" t="inlineStr">
        <is>
          <t>PIECE_VEHICULE</t>
        </is>
      </c>
      <c r="H104" s="8" t="n">
        <v>1</v>
      </c>
      <c r="I104" s="8">
        <f>H104*$D$3</f>
        <v/>
      </c>
      <c r="J104" s="8" t="inlineStr">
        <is>
          <t>unité</t>
        </is>
      </c>
      <c r="K104" s="8" t="n">
        <v>0</v>
      </c>
      <c r="L104" s="8">
        <f>K104-I104</f>
        <v/>
      </c>
      <c r="M104" s="8">
        <f>IF(K104&lt;I104,"✕ INSUFFISANT",IF(K104&lt;I104*1.2,"⚠ STOCK FAIBLE","✓ COUVERT"))</f>
        <v/>
      </c>
      <c r="N104" s="8" t="inlineStr">
        <is>
          <t>HEL</t>
        </is>
      </c>
      <c r="O104" s="8" t="inlineStr">
        <is>
          <t>IMPORTANT</t>
        </is>
      </c>
      <c r="P104" s="8" t="inlineStr">
        <is>
          <t>31/08/2026 02:59</t>
        </is>
      </c>
    </row>
    <row r="105">
      <c r="A105" s="7" t="inlineStr">
        <is>
          <t>WHAP 8x8</t>
        </is>
      </c>
      <c r="B105" s="7" t="inlineStr">
        <is>
          <t>WHAP-0101</t>
        </is>
      </c>
      <c r="C105" s="7" t="inlineStr">
        <is>
          <t>CAR-0101</t>
        </is>
      </c>
      <c r="D105" s="7" t="inlineStr">
        <is>
          <t>support réservoir</t>
        </is>
      </c>
      <c r="E105" s="7" t="inlineStr">
        <is>
          <t>Carburant</t>
        </is>
      </c>
      <c r="F105" s="7" t="inlineStr">
        <is>
          <t>Carburant</t>
        </is>
      </c>
      <c r="G105" s="7" t="inlineStr">
        <is>
          <t>PIECE_VEHICULE</t>
        </is>
      </c>
      <c r="H105" s="7" t="n">
        <v>1</v>
      </c>
      <c r="I105" s="7">
        <f>H105*$D$3</f>
        <v/>
      </c>
      <c r="J105" s="7" t="inlineStr">
        <is>
          <t>unité</t>
        </is>
      </c>
      <c r="K105" s="7" t="n">
        <v>0</v>
      </c>
      <c r="L105" s="7">
        <f>K105-I105</f>
        <v/>
      </c>
      <c r="M105" s="7">
        <f>IF(K105&lt;I105,"✕ INSUFFISANT",IF(K105&lt;I105*1.2,"⚠ STOCK FAIBLE","✓ COUVERT"))</f>
        <v/>
      </c>
      <c r="N105" s="7" t="inlineStr">
        <is>
          <t>SKF</t>
        </is>
      </c>
      <c r="O105" s="7" t="inlineStr">
        <is>
          <t>IMPORTANT</t>
        </is>
      </c>
      <c r="P105" s="7" t="inlineStr">
        <is>
          <t>31/08/2026 02:59</t>
        </is>
      </c>
    </row>
    <row r="106">
      <c r="A106" s="8" t="inlineStr">
        <is>
          <t>WHAP 8x8</t>
        </is>
      </c>
      <c r="B106" s="8" t="inlineStr">
        <is>
          <t>WHAP-0102</t>
        </is>
      </c>
      <c r="C106" s="8" t="inlineStr">
        <is>
          <t>CAR-0102</t>
        </is>
      </c>
      <c r="D106" s="8" t="inlineStr">
        <is>
          <t>sangle réservoir</t>
        </is>
      </c>
      <c r="E106" s="8" t="inlineStr">
        <is>
          <t>Carburant</t>
        </is>
      </c>
      <c r="F106" s="8" t="inlineStr">
        <is>
          <t>Carburant</t>
        </is>
      </c>
      <c r="G106" s="8" t="inlineStr">
        <is>
          <t>PIECE_VEHICULE</t>
        </is>
      </c>
      <c r="H106" s="8" t="n">
        <v>1</v>
      </c>
      <c r="I106" s="8">
        <f>H106*$D$3</f>
        <v/>
      </c>
      <c r="J106" s="8" t="inlineStr">
        <is>
          <t>unité</t>
        </is>
      </c>
      <c r="K106" s="8" t="n">
        <v>0</v>
      </c>
      <c r="L106" s="8">
        <f>K106-I106</f>
        <v/>
      </c>
      <c r="M106" s="8">
        <f>IF(K106&lt;I106,"✕ INSUFFISANT",IF(K106&lt;I106*1.2,"⚠ STOCK FAIBLE","✓ COUVERT"))</f>
        <v/>
      </c>
      <c r="N106" s="8" t="inlineStr">
        <is>
          <t>DEL</t>
        </is>
      </c>
      <c r="O106" s="8" t="inlineStr">
        <is>
          <t>IMPORTANT</t>
        </is>
      </c>
      <c r="P106" s="8" t="inlineStr">
        <is>
          <t>31/08/2026 02:59</t>
        </is>
      </c>
    </row>
    <row r="107">
      <c r="A107" s="7" t="inlineStr">
        <is>
          <t>WHAP 8x8</t>
        </is>
      </c>
      <c r="B107" s="7" t="inlineStr">
        <is>
          <t>WHAP-0103</t>
        </is>
      </c>
      <c r="C107" s="7" t="inlineStr">
        <is>
          <t>TRA-0103</t>
        </is>
      </c>
      <c r="D107" s="7" t="inlineStr">
        <is>
          <t>boîte automatique</t>
        </is>
      </c>
      <c r="E107" s="7" t="inlineStr">
        <is>
          <t>Transmission</t>
        </is>
      </c>
      <c r="F107" s="7" t="inlineStr">
        <is>
          <t>Transmission</t>
        </is>
      </c>
      <c r="G107" s="7" t="inlineStr">
        <is>
          <t>PIECE_VEHICULE</t>
        </is>
      </c>
      <c r="H107" s="7" t="n">
        <v>1</v>
      </c>
      <c r="I107" s="7">
        <f>H107*$D$3</f>
        <v/>
      </c>
      <c r="J107" s="7" t="inlineStr">
        <is>
          <t>unité</t>
        </is>
      </c>
      <c r="K107" s="7" t="n">
        <v>0</v>
      </c>
      <c r="L107" s="7">
        <f>K107-I107</f>
        <v/>
      </c>
      <c r="M107" s="7">
        <f>IF(K107&lt;I107,"✕ INSUFFISANT",IF(K107&lt;I107*1.2,"⚠ STOCK FAIBLE","✓ COUVERT"))</f>
        <v/>
      </c>
      <c r="N107" s="7" t="inlineStr">
        <is>
          <t>SUM</t>
        </is>
      </c>
      <c r="O107" s="7" t="inlineStr">
        <is>
          <t>CRITIQUE</t>
        </is>
      </c>
      <c r="P107" s="7" t="inlineStr">
        <is>
          <t>31/08/2026 02:59</t>
        </is>
      </c>
    </row>
    <row r="108">
      <c r="A108" s="8" t="inlineStr">
        <is>
          <t>WHAP 8x8</t>
        </is>
      </c>
      <c r="B108" s="8" t="inlineStr">
        <is>
          <t>WHAP-0104</t>
        </is>
      </c>
      <c r="C108" s="8" t="inlineStr">
        <is>
          <t>TRA-0104</t>
        </is>
      </c>
      <c r="D108" s="8" t="inlineStr">
        <is>
          <t>convertisseur de couple</t>
        </is>
      </c>
      <c r="E108" s="8" t="inlineStr">
        <is>
          <t>Transmission</t>
        </is>
      </c>
      <c r="F108" s="8" t="inlineStr">
        <is>
          <t>Transmission</t>
        </is>
      </c>
      <c r="G108" s="8" t="inlineStr">
        <is>
          <t>PIECE_VEHICULE</t>
        </is>
      </c>
      <c r="H108" s="8" t="n">
        <v>1</v>
      </c>
      <c r="I108" s="8">
        <f>H108*$D$3</f>
        <v/>
      </c>
      <c r="J108" s="8" t="inlineStr">
        <is>
          <t>unité</t>
        </is>
      </c>
      <c r="K108" s="8" t="n">
        <v>50</v>
      </c>
      <c r="L108" s="8">
        <f>K108-I108</f>
        <v/>
      </c>
      <c r="M108" s="8">
        <f>IF(K108&lt;I108,"✕ INSUFFISANT",IF(K108&lt;I108*1.2,"⚠ STOCK FAIBLE","✓ COUVERT"))</f>
        <v/>
      </c>
      <c r="N108" s="8" t="inlineStr">
        <is>
          <t>SUM</t>
        </is>
      </c>
      <c r="O108" s="8" t="inlineStr">
        <is>
          <t>CRITIQUE</t>
        </is>
      </c>
      <c r="P108" s="8" t="inlineStr">
        <is>
          <t>31/08/2026 02:59</t>
        </is>
      </c>
    </row>
    <row r="109">
      <c r="A109" s="7" t="inlineStr">
        <is>
          <t>WHAP 8x8</t>
        </is>
      </c>
      <c r="B109" s="7" t="inlineStr">
        <is>
          <t>WHAP-0105</t>
        </is>
      </c>
      <c r="C109" s="7" t="inlineStr">
        <is>
          <t>TRA-0105</t>
        </is>
      </c>
      <c r="D109" s="7" t="inlineStr">
        <is>
          <t>pompe de boîte</t>
        </is>
      </c>
      <c r="E109" s="7" t="inlineStr">
        <is>
          <t>Transmission</t>
        </is>
      </c>
      <c r="F109" s="7" t="inlineStr">
        <is>
          <t>Transmission</t>
        </is>
      </c>
      <c r="G109" s="7" t="inlineStr">
        <is>
          <t>PIECE_VEHICULE</t>
        </is>
      </c>
      <c r="H109" s="7" t="n">
        <v>1</v>
      </c>
      <c r="I109" s="7">
        <f>H109*$D$3</f>
        <v/>
      </c>
      <c r="J109" s="7" t="inlineStr">
        <is>
          <t>unité</t>
        </is>
      </c>
      <c r="K109" s="7" t="n">
        <v>0</v>
      </c>
      <c r="L109" s="7">
        <f>K109-I109</f>
        <v/>
      </c>
      <c r="M109" s="7">
        <f>IF(K109&lt;I109,"✕ INSUFFISANT",IF(K109&lt;I109*1.2,"⚠ STOCK FAIBLE","✓ COUVERT"))</f>
        <v/>
      </c>
      <c r="N109" s="7" t="inlineStr">
        <is>
          <t>BOS</t>
        </is>
      </c>
      <c r="O109" s="7" t="inlineStr">
        <is>
          <t>CRITIQUE</t>
        </is>
      </c>
      <c r="P109" s="7" t="inlineStr">
        <is>
          <t>31/08/2026 02:59</t>
        </is>
      </c>
    </row>
    <row r="110">
      <c r="A110" s="8" t="inlineStr">
        <is>
          <t>WHAP 8x8</t>
        </is>
      </c>
      <c r="B110" s="8" t="inlineStr">
        <is>
          <t>WHAP-0106</t>
        </is>
      </c>
      <c r="C110" s="8" t="inlineStr">
        <is>
          <t>TRA-0106</t>
        </is>
      </c>
      <c r="D110" s="8" t="inlineStr">
        <is>
          <t>corps de valve</t>
        </is>
      </c>
      <c r="E110" s="8" t="inlineStr">
        <is>
          <t>Transmission</t>
        </is>
      </c>
      <c r="F110" s="8" t="inlineStr">
        <is>
          <t>Transmission</t>
        </is>
      </c>
      <c r="G110" s="8" t="inlineStr">
        <is>
          <t>PIECE_VEHICULE</t>
        </is>
      </c>
      <c r="H110" s="8" t="n">
        <v>1</v>
      </c>
      <c r="I110" s="8">
        <f>H110*$D$3</f>
        <v/>
      </c>
      <c r="J110" s="8" t="inlineStr">
        <is>
          <t>unité</t>
        </is>
      </c>
      <c r="K110" s="8" t="n">
        <v>0</v>
      </c>
      <c r="L110" s="8">
        <f>K110-I110</f>
        <v/>
      </c>
      <c r="M110" s="8">
        <f>IF(K110&lt;I110,"✕ INSUFFISANT",IF(K110&lt;I110*1.2,"⚠ STOCK FAIBLE","✓ COUVERT"))</f>
        <v/>
      </c>
      <c r="N110" s="8" t="inlineStr">
        <is>
          <t>FAU</t>
        </is>
      </c>
      <c r="O110" s="8" t="inlineStr">
        <is>
          <t>CRITIQUE</t>
        </is>
      </c>
      <c r="P110" s="8" t="inlineStr">
        <is>
          <t>31/08/2026 02:59</t>
        </is>
      </c>
    </row>
    <row r="111">
      <c r="A111" s="7" t="inlineStr">
        <is>
          <t>WHAP 8x8</t>
        </is>
      </c>
      <c r="B111" s="7" t="inlineStr">
        <is>
          <t>WHAP-0107</t>
        </is>
      </c>
      <c r="C111" s="7" t="inlineStr">
        <is>
          <t>TRA-0107</t>
        </is>
      </c>
      <c r="D111" s="7" t="inlineStr">
        <is>
          <t>bloc hydraulique</t>
        </is>
      </c>
      <c r="E111" s="7" t="inlineStr">
        <is>
          <t>Transmission</t>
        </is>
      </c>
      <c r="F111" s="7" t="inlineStr">
        <is>
          <t>Transmission</t>
        </is>
      </c>
      <c r="G111" s="7" t="inlineStr">
        <is>
          <t>PIECE_VEHICULE</t>
        </is>
      </c>
      <c r="H111" s="7" t="n">
        <v>1</v>
      </c>
      <c r="I111" s="7">
        <f>H111*$D$3</f>
        <v/>
      </c>
      <c r="J111" s="7" t="inlineStr">
        <is>
          <t>unité</t>
        </is>
      </c>
      <c r="K111" s="7" t="n">
        <v>0</v>
      </c>
      <c r="L111" s="7">
        <f>K111-I111</f>
        <v/>
      </c>
      <c r="M111" s="7">
        <f>IF(K111&lt;I111,"✕ INSUFFISANT",IF(K111&lt;I111*1.2,"⚠ STOCK FAIBLE","✓ COUVERT"))</f>
        <v/>
      </c>
      <c r="N111" s="7" t="inlineStr">
        <is>
          <t>BOS</t>
        </is>
      </c>
      <c r="O111" s="7" t="inlineStr">
        <is>
          <t>CRITIQUE</t>
        </is>
      </c>
      <c r="P111" s="7" t="inlineStr">
        <is>
          <t>31/08/2026 02:59</t>
        </is>
      </c>
    </row>
    <row r="112">
      <c r="A112" s="8" t="inlineStr">
        <is>
          <t>WHAP 8x8</t>
        </is>
      </c>
      <c r="B112" s="8" t="inlineStr">
        <is>
          <t>WHAP-0108</t>
        </is>
      </c>
      <c r="C112" s="8" t="inlineStr">
        <is>
          <t>TRA-0108</t>
        </is>
      </c>
      <c r="D112" s="8" t="inlineStr">
        <is>
          <t>filtre de transmission</t>
        </is>
      </c>
      <c r="E112" s="8" t="inlineStr">
        <is>
          <t>Transmission</t>
        </is>
      </c>
      <c r="F112" s="8" t="inlineStr">
        <is>
          <t>Transmission</t>
        </is>
      </c>
      <c r="G112" s="8" t="inlineStr">
        <is>
          <t>PIECE_VEHICULE</t>
        </is>
      </c>
      <c r="H112" s="8" t="n">
        <v>1</v>
      </c>
      <c r="I112" s="8">
        <f>H112*$D$3</f>
        <v/>
      </c>
      <c r="J112" s="8" t="inlineStr">
        <is>
          <t>unité</t>
        </is>
      </c>
      <c r="K112" s="8" t="n">
        <v>0</v>
      </c>
      <c r="L112" s="8">
        <f>K112-I112</f>
        <v/>
      </c>
      <c r="M112" s="8">
        <f>IF(K112&lt;I112,"✕ INSUFFISANT",IF(K112&lt;I112*1.2,"⚠ STOCK FAIBLE","✓ COUVERT"))</f>
        <v/>
      </c>
      <c r="N112" s="8" t="inlineStr">
        <is>
          <t>FAU</t>
        </is>
      </c>
      <c r="O112" s="8" t="inlineStr">
        <is>
          <t>CRITIQUE</t>
        </is>
      </c>
      <c r="P112" s="8" t="inlineStr">
        <is>
          <t>31/08/2026 02:59</t>
        </is>
      </c>
    </row>
    <row r="113">
      <c r="A113" s="7" t="inlineStr">
        <is>
          <t>WHAP 8x8</t>
        </is>
      </c>
      <c r="B113" s="7" t="inlineStr">
        <is>
          <t>WHAP-0109</t>
        </is>
      </c>
      <c r="C113" s="7" t="inlineStr">
        <is>
          <t>TRA-0109</t>
        </is>
      </c>
      <c r="D113" s="7" t="inlineStr">
        <is>
          <t>carter de transmission</t>
        </is>
      </c>
      <c r="E113" s="7" t="inlineStr">
        <is>
          <t>Transmission</t>
        </is>
      </c>
      <c r="F113" s="7" t="inlineStr">
        <is>
          <t>Transmission</t>
        </is>
      </c>
      <c r="G113" s="7" t="inlineStr">
        <is>
          <t>PIECE_VEHICULE</t>
        </is>
      </c>
      <c r="H113" s="7" t="n">
        <v>1</v>
      </c>
      <c r="I113" s="7">
        <f>H113*$D$3</f>
        <v/>
      </c>
      <c r="J113" s="7" t="inlineStr">
        <is>
          <t>unité</t>
        </is>
      </c>
      <c r="K113" s="7" t="n">
        <v>0</v>
      </c>
      <c r="L113" s="7">
        <f>K113-I113</f>
        <v/>
      </c>
      <c r="M113" s="7">
        <f>IF(K113&lt;I113,"✕ INSUFFISANT",IF(K113&lt;I113*1.2,"⚠ STOCK FAIBLE","✓ COUVERT"))</f>
        <v/>
      </c>
      <c r="N113" s="7" t="inlineStr">
        <is>
          <t>MAG</t>
        </is>
      </c>
      <c r="O113" s="7" t="inlineStr">
        <is>
          <t>CRITIQUE</t>
        </is>
      </c>
      <c r="P113" s="7" t="inlineStr">
        <is>
          <t>31/08/2026 02:59</t>
        </is>
      </c>
    </row>
    <row r="114">
      <c r="A114" s="8" t="inlineStr">
        <is>
          <t>WHAP 8x8</t>
        </is>
      </c>
      <c r="B114" s="8" t="inlineStr">
        <is>
          <t>WHAP-0110</t>
        </is>
      </c>
      <c r="C114" s="8" t="inlineStr">
        <is>
          <t>TRA-0110</t>
        </is>
      </c>
      <c r="D114" s="8" t="inlineStr">
        <is>
          <t>joint de carter</t>
        </is>
      </c>
      <c r="E114" s="8" t="inlineStr">
        <is>
          <t>Transmission</t>
        </is>
      </c>
      <c r="F114" s="8" t="inlineStr">
        <is>
          <t>Transmission</t>
        </is>
      </c>
      <c r="G114" s="8" t="inlineStr">
        <is>
          <t>PIECE_VEHICULE</t>
        </is>
      </c>
      <c r="H114" s="8" t="n">
        <v>1</v>
      </c>
      <c r="I114" s="8">
        <f>H114*$D$3</f>
        <v/>
      </c>
      <c r="J114" s="8" t="inlineStr">
        <is>
          <t>unité</t>
        </is>
      </c>
      <c r="K114" s="8" t="n">
        <v>0</v>
      </c>
      <c r="L114" s="8">
        <f>K114-I114</f>
        <v/>
      </c>
      <c r="M114" s="8">
        <f>IF(K114&lt;I114,"✕ INSUFFISANT",IF(K114&lt;I114*1.2,"⚠ STOCK FAIBLE","✓ COUVERT"))</f>
        <v/>
      </c>
      <c r="N114" s="8" t="inlineStr">
        <is>
          <t>YZK</t>
        </is>
      </c>
      <c r="O114" s="8" t="inlineStr">
        <is>
          <t>CRITIQUE</t>
        </is>
      </c>
      <c r="P114" s="8" t="inlineStr">
        <is>
          <t>31/08/2026 02:59</t>
        </is>
      </c>
    </row>
    <row r="115">
      <c r="A115" s="7" t="inlineStr">
        <is>
          <t>WHAP 8x8</t>
        </is>
      </c>
      <c r="B115" s="7" t="inlineStr">
        <is>
          <t>WHAP-0111</t>
        </is>
      </c>
      <c r="C115" s="7" t="inlineStr">
        <is>
          <t>TRA-0111</t>
        </is>
      </c>
      <c r="D115" s="7" t="inlineStr">
        <is>
          <t>arbre d'entrée</t>
        </is>
      </c>
      <c r="E115" s="7" t="inlineStr">
        <is>
          <t>Transmission</t>
        </is>
      </c>
      <c r="F115" s="7" t="inlineStr">
        <is>
          <t>Transmission</t>
        </is>
      </c>
      <c r="G115" s="7" t="inlineStr">
        <is>
          <t>PIECE_VEHICULE</t>
        </is>
      </c>
      <c r="H115" s="7" t="n">
        <v>1</v>
      </c>
      <c r="I115" s="7">
        <f>H115*$D$3</f>
        <v/>
      </c>
      <c r="J115" s="7" t="inlineStr">
        <is>
          <t>unité</t>
        </is>
      </c>
      <c r="K115" s="7" t="n">
        <v>0</v>
      </c>
      <c r="L115" s="7">
        <f>K115-I115</f>
        <v/>
      </c>
      <c r="M115" s="7">
        <f>IF(K115&lt;I115,"✕ INSUFFISANT",IF(K115&lt;I115*1.2,"⚠ STOCK FAIBLE","✓ COUVERT"))</f>
        <v/>
      </c>
      <c r="N115" s="7" t="inlineStr">
        <is>
          <t>VAL</t>
        </is>
      </c>
      <c r="O115" s="7" t="inlineStr">
        <is>
          <t>CRITIQUE</t>
        </is>
      </c>
      <c r="P115" s="7" t="inlineStr">
        <is>
          <t>31/08/2026 02:59</t>
        </is>
      </c>
    </row>
    <row r="116">
      <c r="A116" s="8" t="inlineStr">
        <is>
          <t>WHAP 8x8</t>
        </is>
      </c>
      <c r="B116" s="8" t="inlineStr">
        <is>
          <t>WHAP-0112</t>
        </is>
      </c>
      <c r="C116" s="8" t="inlineStr">
        <is>
          <t>TRA-0112</t>
        </is>
      </c>
      <c r="D116" s="8" t="inlineStr">
        <is>
          <t>arbre de sortie</t>
        </is>
      </c>
      <c r="E116" s="8" t="inlineStr">
        <is>
          <t>Transmission</t>
        </is>
      </c>
      <c r="F116" s="8" t="inlineStr">
        <is>
          <t>Transmission</t>
        </is>
      </c>
      <c r="G116" s="8" t="inlineStr">
        <is>
          <t>PIECE_VEHICULE</t>
        </is>
      </c>
      <c r="H116" s="8" t="n">
        <v>1</v>
      </c>
      <c r="I116" s="8">
        <f>H116*$D$3</f>
        <v/>
      </c>
      <c r="J116" s="8" t="inlineStr">
        <is>
          <t>unité</t>
        </is>
      </c>
      <c r="K116" s="8" t="n">
        <v>0</v>
      </c>
      <c r="L116" s="8">
        <f>K116-I116</f>
        <v/>
      </c>
      <c r="M116" s="8">
        <f>IF(K116&lt;I116,"✕ INSUFFISANT",IF(K116&lt;I116*1.2,"⚠ STOCK FAIBLE","✓ COUVERT"))</f>
        <v/>
      </c>
      <c r="N116" s="8" t="inlineStr">
        <is>
          <t>MAG</t>
        </is>
      </c>
      <c r="O116" s="8" t="inlineStr">
        <is>
          <t>CRITIQUE</t>
        </is>
      </c>
      <c r="P116" s="8" t="inlineStr">
        <is>
          <t>31/08/2026 02:59</t>
        </is>
      </c>
    </row>
    <row r="117">
      <c r="A117" s="7" t="inlineStr">
        <is>
          <t>WHAP 8x8</t>
        </is>
      </c>
      <c r="B117" s="7" t="inlineStr">
        <is>
          <t>WHAP-0113</t>
        </is>
      </c>
      <c r="C117" s="7" t="inlineStr">
        <is>
          <t>TRA-0113</t>
        </is>
      </c>
      <c r="D117" s="7" t="inlineStr">
        <is>
          <t>embrayage multidisque</t>
        </is>
      </c>
      <c r="E117" s="7" t="inlineStr">
        <is>
          <t>Transmission</t>
        </is>
      </c>
      <c r="F117" s="7" t="inlineStr">
        <is>
          <t>Transmission</t>
        </is>
      </c>
      <c r="G117" s="7" t="inlineStr">
        <is>
          <t>PIECE_VEHICULE</t>
        </is>
      </c>
      <c r="H117" s="7" t="n">
        <v>1</v>
      </c>
      <c r="I117" s="7">
        <f>H117*$D$3</f>
        <v/>
      </c>
      <c r="J117" s="7" t="inlineStr">
        <is>
          <t>unité</t>
        </is>
      </c>
      <c r="K117" s="7" t="n">
        <v>0</v>
      </c>
      <c r="L117" s="7">
        <f>K117-I117</f>
        <v/>
      </c>
      <c r="M117" s="7">
        <f>IF(K117&lt;I117,"✕ INSUFFISANT",IF(K117&lt;I117*1.2,"⚠ STOCK FAIBLE","✓ COUVERT"))</f>
        <v/>
      </c>
      <c r="N117" s="7" t="inlineStr">
        <is>
          <t>SUM</t>
        </is>
      </c>
      <c r="O117" s="7" t="inlineStr">
        <is>
          <t>CRITIQUE</t>
        </is>
      </c>
      <c r="P117" s="7" t="inlineStr">
        <is>
          <t>31/08/2026 02:59</t>
        </is>
      </c>
    </row>
    <row r="118">
      <c r="A118" s="8" t="inlineStr">
        <is>
          <t>WHAP 8x8</t>
        </is>
      </c>
      <c r="B118" s="8" t="inlineStr">
        <is>
          <t>WHAP-0114</t>
        </is>
      </c>
      <c r="C118" s="8" t="inlineStr">
        <is>
          <t>TRA-0114</t>
        </is>
      </c>
      <c r="D118" s="8" t="inlineStr">
        <is>
          <t>disque d'embrayage</t>
        </is>
      </c>
      <c r="E118" s="8" t="inlineStr">
        <is>
          <t>Transmission</t>
        </is>
      </c>
      <c r="F118" s="8" t="inlineStr">
        <is>
          <t>Transmission</t>
        </is>
      </c>
      <c r="G118" s="8" t="inlineStr">
        <is>
          <t>PIECE_VEHICULE</t>
        </is>
      </c>
      <c r="H118" s="8" t="n">
        <v>1</v>
      </c>
      <c r="I118" s="8">
        <f>H118*$D$3</f>
        <v/>
      </c>
      <c r="J118" s="8" t="inlineStr">
        <is>
          <t>unité</t>
        </is>
      </c>
      <c r="K118" s="8" t="n">
        <v>0</v>
      </c>
      <c r="L118" s="8">
        <f>K118-I118</f>
        <v/>
      </c>
      <c r="M118" s="8">
        <f>IF(K118&lt;I118,"✕ INSUFFISANT",IF(K118&lt;I118*1.2,"⚠ STOCK FAIBLE","✓ COUVERT"))</f>
        <v/>
      </c>
      <c r="N118" s="8" t="inlineStr">
        <is>
          <t>SUM</t>
        </is>
      </c>
      <c r="O118" s="8" t="inlineStr">
        <is>
          <t>CRITIQUE</t>
        </is>
      </c>
      <c r="P118" s="8" t="inlineStr">
        <is>
          <t>31/08/2026 02:59</t>
        </is>
      </c>
    </row>
    <row r="119">
      <c r="A119" s="7" t="inlineStr">
        <is>
          <t>WHAP 8x8</t>
        </is>
      </c>
      <c r="B119" s="7" t="inlineStr">
        <is>
          <t>WHAP-0115</t>
        </is>
      </c>
      <c r="C119" s="7" t="inlineStr">
        <is>
          <t>TRA-0115</t>
        </is>
      </c>
      <c r="D119" s="7" t="inlineStr">
        <is>
          <t>piston d'embrayage</t>
        </is>
      </c>
      <c r="E119" s="7" t="inlineStr">
        <is>
          <t>Transmission</t>
        </is>
      </c>
      <c r="F119" s="7" t="inlineStr">
        <is>
          <t>Transmission</t>
        </is>
      </c>
      <c r="G119" s="7" t="inlineStr">
        <is>
          <t>PIECE_VEHICULE</t>
        </is>
      </c>
      <c r="H119" s="7" t="n">
        <v>1</v>
      </c>
      <c r="I119" s="7">
        <f>H119*$D$3</f>
        <v/>
      </c>
      <c r="J119" s="7" t="inlineStr">
        <is>
          <t>unité</t>
        </is>
      </c>
      <c r="K119" s="7" t="n">
        <v>0</v>
      </c>
      <c r="L119" s="7">
        <f>K119-I119</f>
        <v/>
      </c>
      <c r="M119" s="7">
        <f>IF(K119&lt;I119,"✕ INSUFFISANT",IF(K119&lt;I119*1.2,"⚠ STOCK FAIBLE","✓ COUVERT"))</f>
        <v/>
      </c>
      <c r="N119" s="7" t="inlineStr">
        <is>
          <t>SUM</t>
        </is>
      </c>
      <c r="O119" s="7" t="inlineStr">
        <is>
          <t>CRITIQUE</t>
        </is>
      </c>
      <c r="P119" s="7" t="inlineStr">
        <is>
          <t>31/08/2026 02:59</t>
        </is>
      </c>
    </row>
    <row r="120">
      <c r="A120" s="8" t="inlineStr">
        <is>
          <t>WHAP 8x8</t>
        </is>
      </c>
      <c r="B120" s="8" t="inlineStr">
        <is>
          <t>WHAP-0116</t>
        </is>
      </c>
      <c r="C120" s="8" t="inlineStr">
        <is>
          <t>TRA-0116</t>
        </is>
      </c>
      <c r="D120" s="8" t="inlineStr">
        <is>
          <t>train épicycloïdal</t>
        </is>
      </c>
      <c r="E120" s="8" t="inlineStr">
        <is>
          <t>Transmission</t>
        </is>
      </c>
      <c r="F120" s="8" t="inlineStr">
        <is>
          <t>Transmission</t>
        </is>
      </c>
      <c r="G120" s="8" t="inlineStr">
        <is>
          <t>PIECE_VEHICULE</t>
        </is>
      </c>
      <c r="H120" s="8" t="n">
        <v>1</v>
      </c>
      <c r="I120" s="8">
        <f>H120*$D$3</f>
        <v/>
      </c>
      <c r="J120" s="8" t="inlineStr">
        <is>
          <t>unité</t>
        </is>
      </c>
      <c r="K120" s="8" t="n">
        <v>0</v>
      </c>
      <c r="L120" s="8">
        <f>K120-I120</f>
        <v/>
      </c>
      <c r="M120" s="8">
        <f>IF(K120&lt;I120,"✕ INSUFFISANT",IF(K120&lt;I120*1.2,"⚠ STOCK FAIBLE","✓ COUVERT"))</f>
        <v/>
      </c>
      <c r="N120" s="8" t="inlineStr">
        <is>
          <t>VAL</t>
        </is>
      </c>
      <c r="O120" s="8" t="inlineStr">
        <is>
          <t>CRITIQUE</t>
        </is>
      </c>
      <c r="P120" s="8" t="inlineStr">
        <is>
          <t>31/08/2026 02:59</t>
        </is>
      </c>
    </row>
    <row r="121">
      <c r="A121" s="7" t="inlineStr">
        <is>
          <t>WHAP 8x8</t>
        </is>
      </c>
      <c r="B121" s="7" t="inlineStr">
        <is>
          <t>WHAP-0117</t>
        </is>
      </c>
      <c r="C121" s="7" t="inlineStr">
        <is>
          <t>TRA-0117</t>
        </is>
      </c>
      <c r="D121" s="7" t="inlineStr">
        <is>
          <t>pignon planétaire</t>
        </is>
      </c>
      <c r="E121" s="7" t="inlineStr">
        <is>
          <t>Transmission</t>
        </is>
      </c>
      <c r="F121" s="7" t="inlineStr">
        <is>
          <t>Transmission</t>
        </is>
      </c>
      <c r="G121" s="7" t="inlineStr">
        <is>
          <t>PIECE_VEHICULE</t>
        </is>
      </c>
      <c r="H121" s="7" t="n">
        <v>1</v>
      </c>
      <c r="I121" s="7">
        <f>H121*$D$3</f>
        <v/>
      </c>
      <c r="J121" s="7" t="inlineStr">
        <is>
          <t>unité</t>
        </is>
      </c>
      <c r="K121" s="7" t="n">
        <v>0</v>
      </c>
      <c r="L121" s="7">
        <f>K121-I121</f>
        <v/>
      </c>
      <c r="M121" s="7">
        <f>IF(K121&lt;I121,"✕ INSUFFISANT",IF(K121&lt;I121*1.2,"⚠ STOCK FAIBLE","✓ COUVERT"))</f>
        <v/>
      </c>
      <c r="N121" s="7" t="inlineStr">
        <is>
          <t>FAU</t>
        </is>
      </c>
      <c r="O121" s="7" t="inlineStr">
        <is>
          <t>CRITIQUE</t>
        </is>
      </c>
      <c r="P121" s="7" t="inlineStr">
        <is>
          <t>31/08/2026 02:59</t>
        </is>
      </c>
    </row>
    <row r="122">
      <c r="A122" s="8" t="inlineStr">
        <is>
          <t>WHAP 8x8</t>
        </is>
      </c>
      <c r="B122" s="8" t="inlineStr">
        <is>
          <t>WHAP-0118</t>
        </is>
      </c>
      <c r="C122" s="8" t="inlineStr">
        <is>
          <t>TRA-0118</t>
        </is>
      </c>
      <c r="D122" s="8" t="inlineStr">
        <is>
          <t>satellite</t>
        </is>
      </c>
      <c r="E122" s="8" t="inlineStr">
        <is>
          <t>Transmission</t>
        </is>
      </c>
      <c r="F122" s="8" t="inlineStr">
        <is>
          <t>Transmission</t>
        </is>
      </c>
      <c r="G122" s="8" t="inlineStr">
        <is>
          <t>PIECE_VEHICULE</t>
        </is>
      </c>
      <c r="H122" s="8" t="n">
        <v>1</v>
      </c>
      <c r="I122" s="8">
        <f>H122*$D$3</f>
        <v/>
      </c>
      <c r="J122" s="8" t="inlineStr">
        <is>
          <t>unité</t>
        </is>
      </c>
      <c r="K122" s="8" t="n">
        <v>0</v>
      </c>
      <c r="L122" s="8">
        <f>K122-I122</f>
        <v/>
      </c>
      <c r="M122" s="8">
        <f>IF(K122&lt;I122,"✕ INSUFFISANT",IF(K122&lt;I122*1.2,"⚠ STOCK FAIBLE","✓ COUVERT"))</f>
        <v/>
      </c>
      <c r="N122" s="8" t="inlineStr">
        <is>
          <t>VAL</t>
        </is>
      </c>
      <c r="O122" s="8" t="inlineStr">
        <is>
          <t>CRITIQUE</t>
        </is>
      </c>
      <c r="P122" s="8" t="inlineStr">
        <is>
          <t>31/08/2026 02:59</t>
        </is>
      </c>
    </row>
    <row r="123">
      <c r="A123" s="7" t="inlineStr">
        <is>
          <t>WHAP 8x8</t>
        </is>
      </c>
      <c r="B123" s="7" t="inlineStr">
        <is>
          <t>WHAP-0119</t>
        </is>
      </c>
      <c r="C123" s="7" t="inlineStr">
        <is>
          <t>TRA-0119</t>
        </is>
      </c>
      <c r="D123" s="7" t="inlineStr">
        <is>
          <t>couronne</t>
        </is>
      </c>
      <c r="E123" s="7" t="inlineStr">
        <is>
          <t>Transmission</t>
        </is>
      </c>
      <c r="F123" s="7" t="inlineStr">
        <is>
          <t>Transmission</t>
        </is>
      </c>
      <c r="G123" s="7" t="inlineStr">
        <is>
          <t>PIECE_VEHICULE</t>
        </is>
      </c>
      <c r="H123" s="7" t="n">
        <v>1</v>
      </c>
      <c r="I123" s="7">
        <f>H123*$D$3</f>
        <v/>
      </c>
      <c r="J123" s="7" t="inlineStr">
        <is>
          <t>unité</t>
        </is>
      </c>
      <c r="K123" s="7" t="n">
        <v>0</v>
      </c>
      <c r="L123" s="7">
        <f>K123-I123</f>
        <v/>
      </c>
      <c r="M123" s="7">
        <f>IF(K123&lt;I123,"✕ INSUFFISANT",IF(K123&lt;I123*1.2,"⚠ STOCK FAIBLE","✓ COUVERT"))</f>
        <v/>
      </c>
      <c r="N123" s="7" t="inlineStr">
        <is>
          <t>VAL</t>
        </is>
      </c>
      <c r="O123" s="7" t="inlineStr">
        <is>
          <t>CRITIQUE</t>
        </is>
      </c>
      <c r="P123" s="7" t="inlineStr">
        <is>
          <t>31/08/2026 02:59</t>
        </is>
      </c>
    </row>
    <row r="124">
      <c r="A124" s="8" t="inlineStr">
        <is>
          <t>WHAP 8x8</t>
        </is>
      </c>
      <c r="B124" s="8" t="inlineStr">
        <is>
          <t>WHAP-0120</t>
        </is>
      </c>
      <c r="C124" s="8" t="inlineStr">
        <is>
          <t>TRA-0120</t>
        </is>
      </c>
      <c r="D124" s="8" t="inlineStr">
        <is>
          <t>roulement d'arbre</t>
        </is>
      </c>
      <c r="E124" s="8" t="inlineStr">
        <is>
          <t>Transmission</t>
        </is>
      </c>
      <c r="F124" s="8" t="inlineStr">
        <is>
          <t>Transmission</t>
        </is>
      </c>
      <c r="G124" s="8" t="inlineStr">
        <is>
          <t>PIECE_VEHICULE</t>
        </is>
      </c>
      <c r="H124" s="8" t="n">
        <v>1</v>
      </c>
      <c r="I124" s="8">
        <f>H124*$D$3</f>
        <v/>
      </c>
      <c r="J124" s="8" t="inlineStr">
        <is>
          <t>unité</t>
        </is>
      </c>
      <c r="K124" s="8" t="n">
        <v>0</v>
      </c>
      <c r="L124" s="8">
        <f>K124-I124</f>
        <v/>
      </c>
      <c r="M124" s="8">
        <f>IF(K124&lt;I124,"✕ INSUFFISANT",IF(K124&lt;I124*1.2,"⚠ STOCK FAIBLE","✓ COUVERT"))</f>
        <v/>
      </c>
      <c r="N124" s="8" t="inlineStr">
        <is>
          <t>SUM</t>
        </is>
      </c>
      <c r="O124" s="8" t="inlineStr">
        <is>
          <t>CRITIQUE</t>
        </is>
      </c>
      <c r="P124" s="8" t="inlineStr">
        <is>
          <t>31/08/2026 02:59</t>
        </is>
      </c>
    </row>
    <row r="125">
      <c r="A125" s="7" t="inlineStr">
        <is>
          <t>WHAP 8x8</t>
        </is>
      </c>
      <c r="B125" s="7" t="inlineStr">
        <is>
          <t>WHAP-0121</t>
        </is>
      </c>
      <c r="C125" s="7" t="inlineStr">
        <is>
          <t>TRA-0121</t>
        </is>
      </c>
      <c r="D125" s="7" t="inlineStr">
        <is>
          <t>joint spi</t>
        </is>
      </c>
      <c r="E125" s="7" t="inlineStr">
        <is>
          <t>Transmission</t>
        </is>
      </c>
      <c r="F125" s="7" t="inlineStr">
        <is>
          <t>Transmission</t>
        </is>
      </c>
      <c r="G125" s="7" t="inlineStr">
        <is>
          <t>PIECE_VEHICULE</t>
        </is>
      </c>
      <c r="H125" s="7" t="n">
        <v>1</v>
      </c>
      <c r="I125" s="7">
        <f>H125*$D$3</f>
        <v/>
      </c>
      <c r="J125" s="7" t="inlineStr">
        <is>
          <t>unité</t>
        </is>
      </c>
      <c r="K125" s="7" t="n">
        <v>0</v>
      </c>
      <c r="L125" s="7">
        <f>K125-I125</f>
        <v/>
      </c>
      <c r="M125" s="7">
        <f>IF(K125&lt;I125,"✕ INSUFFISANT",IF(K125&lt;I125*1.2,"⚠ STOCK FAIBLE","✓ COUVERT"))</f>
        <v/>
      </c>
      <c r="N125" s="7" t="inlineStr">
        <is>
          <t>MAG</t>
        </is>
      </c>
      <c r="O125" s="7" t="inlineStr">
        <is>
          <t>CRITIQUE</t>
        </is>
      </c>
      <c r="P125" s="7" t="inlineStr">
        <is>
          <t>31/08/2026 02:59</t>
        </is>
      </c>
    </row>
    <row r="126">
      <c r="A126" s="8" t="inlineStr">
        <is>
          <t>WHAP 8x8</t>
        </is>
      </c>
      <c r="B126" s="8" t="inlineStr">
        <is>
          <t>WHAP-0122</t>
        </is>
      </c>
      <c r="C126" s="8" t="inlineStr">
        <is>
          <t>TRA-0122</t>
        </is>
      </c>
      <c r="D126" s="8" t="inlineStr">
        <is>
          <t>capteur vitesse entrée</t>
        </is>
      </c>
      <c r="E126" s="8" t="inlineStr">
        <is>
          <t>Transmission</t>
        </is>
      </c>
      <c r="F126" s="8" t="inlineStr">
        <is>
          <t>Transmission</t>
        </is>
      </c>
      <c r="G126" s="8" t="inlineStr">
        <is>
          <t>PIECE_VEHICULE</t>
        </is>
      </c>
      <c r="H126" s="8" t="n">
        <v>1</v>
      </c>
      <c r="I126" s="8">
        <f>H126*$D$3</f>
        <v/>
      </c>
      <c r="J126" s="8" t="inlineStr">
        <is>
          <t>unité</t>
        </is>
      </c>
      <c r="K126" s="8" t="n">
        <v>0</v>
      </c>
      <c r="L126" s="8">
        <f>K126-I126</f>
        <v/>
      </c>
      <c r="M126" s="8">
        <f>IF(K126&lt;I126,"✕ INSUFFISANT",IF(K126&lt;I126*1.2,"⚠ STOCK FAIBLE","✓ COUVERT"))</f>
        <v/>
      </c>
      <c r="N126" s="8" t="inlineStr">
        <is>
          <t>BOS</t>
        </is>
      </c>
      <c r="O126" s="8" t="inlineStr">
        <is>
          <t>CRITIQUE</t>
        </is>
      </c>
      <c r="P126" s="8" t="inlineStr">
        <is>
          <t>31/08/2026 02:59</t>
        </is>
      </c>
    </row>
    <row r="127">
      <c r="A127" s="7" t="inlineStr">
        <is>
          <t>WHAP 8x8</t>
        </is>
      </c>
      <c r="B127" s="7" t="inlineStr">
        <is>
          <t>WHAP-0123</t>
        </is>
      </c>
      <c r="C127" s="7" t="inlineStr">
        <is>
          <t>TRA-0123</t>
        </is>
      </c>
      <c r="D127" s="7" t="inlineStr">
        <is>
          <t>capteur vitesse sortie</t>
        </is>
      </c>
      <c r="E127" s="7" t="inlineStr">
        <is>
          <t>Transmission</t>
        </is>
      </c>
      <c r="F127" s="7" t="inlineStr">
        <is>
          <t>Transmission</t>
        </is>
      </c>
      <c r="G127" s="7" t="inlineStr">
        <is>
          <t>PIECE_VEHICULE</t>
        </is>
      </c>
      <c r="H127" s="7" t="n">
        <v>1</v>
      </c>
      <c r="I127" s="7">
        <f>H127*$D$3</f>
        <v/>
      </c>
      <c r="J127" s="7" t="inlineStr">
        <is>
          <t>unité</t>
        </is>
      </c>
      <c r="K127" s="7" t="n">
        <v>0</v>
      </c>
      <c r="L127" s="7">
        <f>K127-I127</f>
        <v/>
      </c>
      <c r="M127" s="7">
        <f>IF(K127&lt;I127,"✕ INSUFFISANT",IF(K127&lt;I127*1.2,"⚠ STOCK FAIBLE","✓ COUVERT"))</f>
        <v/>
      </c>
      <c r="N127" s="7" t="inlineStr">
        <is>
          <t>SUM</t>
        </is>
      </c>
      <c r="O127" s="7" t="inlineStr">
        <is>
          <t>CRITIQUE</t>
        </is>
      </c>
      <c r="P127" s="7" t="inlineStr">
        <is>
          <t>31/08/2026 02:59</t>
        </is>
      </c>
    </row>
    <row r="128">
      <c r="A128" s="8" t="inlineStr">
        <is>
          <t>WHAP 8x8</t>
        </is>
      </c>
      <c r="B128" s="8" t="inlineStr">
        <is>
          <t>WHAP-0124</t>
        </is>
      </c>
      <c r="C128" s="8" t="inlineStr">
        <is>
          <t>TRA-0124</t>
        </is>
      </c>
      <c r="D128" s="8" t="inlineStr">
        <is>
          <t>capteur température huile</t>
        </is>
      </c>
      <c r="E128" s="8" t="inlineStr">
        <is>
          <t>Transmission</t>
        </is>
      </c>
      <c r="F128" s="8" t="inlineStr">
        <is>
          <t>Transmission</t>
        </is>
      </c>
      <c r="G128" s="8" t="inlineStr">
        <is>
          <t>PIECE_VEHICULE</t>
        </is>
      </c>
      <c r="H128" s="8" t="n">
        <v>1</v>
      </c>
      <c r="I128" s="8">
        <f>H128*$D$3</f>
        <v/>
      </c>
      <c r="J128" s="8" t="inlineStr">
        <is>
          <t>unité</t>
        </is>
      </c>
      <c r="K128" s="8" t="n">
        <v>0</v>
      </c>
      <c r="L128" s="8">
        <f>K128-I128</f>
        <v/>
      </c>
      <c r="M128" s="8">
        <f>IF(K128&lt;I128,"✕ INSUFFISANT",IF(K128&lt;I128*1.2,"⚠ STOCK FAIBLE","✓ COUVERT"))</f>
        <v/>
      </c>
      <c r="N128" s="8" t="inlineStr">
        <is>
          <t>DEL</t>
        </is>
      </c>
      <c r="O128" s="8" t="inlineStr">
        <is>
          <t>CRITIQUE</t>
        </is>
      </c>
      <c r="P128" s="8" t="inlineStr">
        <is>
          <t>31/08/2026 02:59</t>
        </is>
      </c>
    </row>
    <row r="129">
      <c r="A129" s="7" t="inlineStr">
        <is>
          <t>WHAP 8x8</t>
        </is>
      </c>
      <c r="B129" s="7" t="inlineStr">
        <is>
          <t>WHAP-0125</t>
        </is>
      </c>
      <c r="C129" s="7" t="inlineStr">
        <is>
          <t>TRA-0125</t>
        </is>
      </c>
      <c r="D129" s="7" t="inlineStr">
        <is>
          <t>faisceau transmission</t>
        </is>
      </c>
      <c r="E129" s="7" t="inlineStr">
        <is>
          <t>Transmission</t>
        </is>
      </c>
      <c r="F129" s="7" t="inlineStr">
        <is>
          <t>Transmission</t>
        </is>
      </c>
      <c r="G129" s="7" t="inlineStr">
        <is>
          <t>PIECE_VEHICULE</t>
        </is>
      </c>
      <c r="H129" s="7" t="n">
        <v>1</v>
      </c>
      <c r="I129" s="7">
        <f>H129*$D$3</f>
        <v/>
      </c>
      <c r="J129" s="7" t="inlineStr">
        <is>
          <t>unité</t>
        </is>
      </c>
      <c r="K129" s="7" t="n">
        <v>0</v>
      </c>
      <c r="L129" s="7">
        <f>K129-I129</f>
        <v/>
      </c>
      <c r="M129" s="7">
        <f>IF(K129&lt;I129,"✕ INSUFFISANT",IF(K129&lt;I129*1.2,"⚠ STOCK FAIBLE","✓ COUVERT"))</f>
        <v/>
      </c>
      <c r="N129" s="7" t="inlineStr">
        <is>
          <t>DEL</t>
        </is>
      </c>
      <c r="O129" s="7" t="inlineStr">
        <is>
          <t>CRITIQUE</t>
        </is>
      </c>
      <c r="P129" s="7" t="inlineStr">
        <is>
          <t>31/08/2026 02:59</t>
        </is>
      </c>
    </row>
    <row r="130">
      <c r="A130" s="8" t="inlineStr">
        <is>
          <t>WHAP 8x8</t>
        </is>
      </c>
      <c r="B130" s="8" t="inlineStr">
        <is>
          <t>WHAP-0126</t>
        </is>
      </c>
      <c r="C130" s="8" t="inlineStr">
        <is>
          <t>TRA-0126</t>
        </is>
      </c>
      <c r="D130" s="8" t="inlineStr">
        <is>
          <t>connecteur transmission</t>
        </is>
      </c>
      <c r="E130" s="8" t="inlineStr">
        <is>
          <t>Transmission</t>
        </is>
      </c>
      <c r="F130" s="8" t="inlineStr">
        <is>
          <t>Transmission</t>
        </is>
      </c>
      <c r="G130" s="8" t="inlineStr">
        <is>
          <t>PIECE_VEHICULE</t>
        </is>
      </c>
      <c r="H130" s="8" t="n">
        <v>1</v>
      </c>
      <c r="I130" s="8">
        <f>H130*$D$3</f>
        <v/>
      </c>
      <c r="J130" s="8" t="inlineStr">
        <is>
          <t>unité</t>
        </is>
      </c>
      <c r="K130" s="8" t="n">
        <v>0</v>
      </c>
      <c r="L130" s="8">
        <f>K130-I130</f>
        <v/>
      </c>
      <c r="M130" s="8">
        <f>IF(K130&lt;I130,"✕ INSUFFISANT",IF(K130&lt;I130*1.2,"⚠ STOCK FAIBLE","✓ COUVERT"))</f>
        <v/>
      </c>
      <c r="N130" s="8" t="inlineStr">
        <is>
          <t>YZK</t>
        </is>
      </c>
      <c r="O130" s="8" t="inlineStr">
        <is>
          <t>CRITIQUE</t>
        </is>
      </c>
      <c r="P130" s="8" t="inlineStr">
        <is>
          <t>31/08/2026 02:59</t>
        </is>
      </c>
    </row>
    <row r="131">
      <c r="A131" s="7" t="inlineStr">
        <is>
          <t>WHAP 8x8</t>
        </is>
      </c>
      <c r="B131" s="7" t="inlineStr">
        <is>
          <t>WHAP-0127</t>
        </is>
      </c>
      <c r="C131" s="7" t="inlineStr">
        <is>
          <t>TRA-0127</t>
        </is>
      </c>
      <c r="D131" s="7" t="inlineStr">
        <is>
          <t>échangeur huile</t>
        </is>
      </c>
      <c r="E131" s="7" t="inlineStr">
        <is>
          <t>Transmission</t>
        </is>
      </c>
      <c r="F131" s="7" t="inlineStr">
        <is>
          <t>Transmission</t>
        </is>
      </c>
      <c r="G131" s="7" t="inlineStr">
        <is>
          <t>PIECE_VEHICULE</t>
        </is>
      </c>
      <c r="H131" s="7" t="n">
        <v>1</v>
      </c>
      <c r="I131" s="7">
        <f>H131*$D$3</f>
        <v/>
      </c>
      <c r="J131" s="7" t="inlineStr">
        <is>
          <t>unité</t>
        </is>
      </c>
      <c r="K131" s="7" t="n">
        <v>0</v>
      </c>
      <c r="L131" s="7">
        <f>K131-I131</f>
        <v/>
      </c>
      <c r="M131" s="7">
        <f>IF(K131&lt;I131,"✕ INSUFFISANT",IF(K131&lt;I131*1.2,"⚠ STOCK FAIBLE","✓ COUVERT"))</f>
        <v/>
      </c>
      <c r="N131" s="7" t="inlineStr">
        <is>
          <t>HEL</t>
        </is>
      </c>
      <c r="O131" s="7" t="inlineStr">
        <is>
          <t>CRITIQUE</t>
        </is>
      </c>
      <c r="P131" s="7" t="inlineStr">
        <is>
          <t>31/08/2026 02:59</t>
        </is>
      </c>
    </row>
    <row r="132">
      <c r="A132" s="8" t="inlineStr">
        <is>
          <t>WHAP 8x8</t>
        </is>
      </c>
      <c r="B132" s="8" t="inlineStr">
        <is>
          <t>WHAP-0128</t>
        </is>
      </c>
      <c r="C132" s="8" t="inlineStr">
        <is>
          <t>TRA-0128</t>
        </is>
      </c>
      <c r="D132" s="8" t="inlineStr">
        <is>
          <t>retarder</t>
        </is>
      </c>
      <c r="E132" s="8" t="inlineStr">
        <is>
          <t>Transmission</t>
        </is>
      </c>
      <c r="F132" s="8" t="inlineStr">
        <is>
          <t>Transmission</t>
        </is>
      </c>
      <c r="G132" s="8" t="inlineStr">
        <is>
          <t>PIECE_VEHICULE</t>
        </is>
      </c>
      <c r="H132" s="8" t="n">
        <v>1</v>
      </c>
      <c r="I132" s="8">
        <f>H132*$D$3</f>
        <v/>
      </c>
      <c r="J132" s="8" t="inlineStr">
        <is>
          <t>unité</t>
        </is>
      </c>
      <c r="K132" s="8" t="n">
        <v>0</v>
      </c>
      <c r="L132" s="8">
        <f>K132-I132</f>
        <v/>
      </c>
      <c r="M132" s="8">
        <f>IF(K132&lt;I132,"✕ INSUFFISANT",IF(K132&lt;I132*1.2,"⚠ STOCK FAIBLE","✓ COUVERT"))</f>
        <v/>
      </c>
      <c r="N132" s="8" t="inlineStr">
        <is>
          <t>FAU</t>
        </is>
      </c>
      <c r="O132" s="8" t="inlineStr">
        <is>
          <t>CRITIQUE</t>
        </is>
      </c>
      <c r="P132" s="8" t="inlineStr">
        <is>
          <t>31/08/2026 02:59</t>
        </is>
      </c>
    </row>
    <row r="133">
      <c r="A133" s="7" t="inlineStr">
        <is>
          <t>WHAP 8x8</t>
        </is>
      </c>
      <c r="B133" s="7" t="inlineStr">
        <is>
          <t>WHAP-0129</t>
        </is>
      </c>
      <c r="C133" s="7" t="inlineStr">
        <is>
          <t>TRA-0129</t>
        </is>
      </c>
      <c r="D133" s="7" t="inlineStr">
        <is>
          <t>pompe de retarder</t>
        </is>
      </c>
      <c r="E133" s="7" t="inlineStr">
        <is>
          <t>Transmission</t>
        </is>
      </c>
      <c r="F133" s="7" t="inlineStr">
        <is>
          <t>Transmission</t>
        </is>
      </c>
      <c r="G133" s="7" t="inlineStr">
        <is>
          <t>PIECE_VEHICULE</t>
        </is>
      </c>
      <c r="H133" s="7" t="n">
        <v>1</v>
      </c>
      <c r="I133" s="7">
        <f>H133*$D$3</f>
        <v/>
      </c>
      <c r="J133" s="7" t="inlineStr">
        <is>
          <t>unité</t>
        </is>
      </c>
      <c r="K133" s="7" t="n">
        <v>0</v>
      </c>
      <c r="L133" s="7">
        <f>K133-I133</f>
        <v/>
      </c>
      <c r="M133" s="7">
        <f>IF(K133&lt;I133,"✕ INSUFFISANT",IF(K133&lt;I133*1.2,"⚠ STOCK FAIBLE","✓ COUVERT"))</f>
        <v/>
      </c>
      <c r="N133" s="7" t="inlineStr">
        <is>
          <t>CTL</t>
        </is>
      </c>
      <c r="O133" s="7" t="inlineStr">
        <is>
          <t>CRITIQUE</t>
        </is>
      </c>
      <c r="P133" s="7" t="inlineStr">
        <is>
          <t>31/08/2026 02:59</t>
        </is>
      </c>
    </row>
    <row r="134">
      <c r="A134" s="8" t="inlineStr">
        <is>
          <t>WHAP 8x8</t>
        </is>
      </c>
      <c r="B134" s="8" t="inlineStr">
        <is>
          <t>WHAP-0130</t>
        </is>
      </c>
      <c r="C134" s="8" t="inlineStr">
        <is>
          <t>TRA-0130</t>
        </is>
      </c>
      <c r="D134" s="8" t="inlineStr">
        <is>
          <t>commande de transmission</t>
        </is>
      </c>
      <c r="E134" s="8" t="inlineStr">
        <is>
          <t>Transmission</t>
        </is>
      </c>
      <c r="F134" s="8" t="inlineStr">
        <is>
          <t>Transmission</t>
        </is>
      </c>
      <c r="G134" s="8" t="inlineStr">
        <is>
          <t>PIECE_VEHICULE</t>
        </is>
      </c>
      <c r="H134" s="8" t="n">
        <v>1</v>
      </c>
      <c r="I134" s="8">
        <f>H134*$D$3</f>
        <v/>
      </c>
      <c r="J134" s="8" t="inlineStr">
        <is>
          <t>unité</t>
        </is>
      </c>
      <c r="K134" s="8" t="n">
        <v>0</v>
      </c>
      <c r="L134" s="8">
        <f>K134-I134</f>
        <v/>
      </c>
      <c r="M134" s="8">
        <f>IF(K134&lt;I134,"✕ INSUFFISANT",IF(K134&lt;I134*1.2,"⚠ STOCK FAIBLE","✓ COUVERT"))</f>
        <v/>
      </c>
      <c r="N134" s="8" t="inlineStr">
        <is>
          <t>HEL</t>
        </is>
      </c>
      <c r="O134" s="8" t="inlineStr">
        <is>
          <t>CRITIQUE</t>
        </is>
      </c>
      <c r="P134" s="8" t="inlineStr">
        <is>
          <t>31/08/2026 02:59</t>
        </is>
      </c>
    </row>
    <row r="135">
      <c r="A135" s="7" t="inlineStr">
        <is>
          <t>WHAP 8x8</t>
        </is>
      </c>
      <c r="B135" s="7" t="inlineStr">
        <is>
          <t>WHAP-0131</t>
        </is>
      </c>
      <c r="C135" s="7" t="inlineStr">
        <is>
          <t>BTR-0131</t>
        </is>
      </c>
      <c r="D135" s="7" t="inlineStr">
        <is>
          <t>boîte de transfert</t>
        </is>
      </c>
      <c r="E135" s="7" t="inlineStr">
        <is>
          <t>Boîte de transfert</t>
        </is>
      </c>
      <c r="F135" s="7" t="inlineStr">
        <is>
          <t>Boîte de transfert</t>
        </is>
      </c>
      <c r="G135" s="7" t="inlineStr">
        <is>
          <t>PIECE_VEHICULE</t>
        </is>
      </c>
      <c r="H135" s="7" t="n">
        <v>1</v>
      </c>
      <c r="I135" s="7">
        <f>H135*$D$3</f>
        <v/>
      </c>
      <c r="J135" s="7" t="inlineStr">
        <is>
          <t>unité</t>
        </is>
      </c>
      <c r="K135" s="7" t="n">
        <v>0</v>
      </c>
      <c r="L135" s="7">
        <f>K135-I135</f>
        <v/>
      </c>
      <c r="M135" s="7">
        <f>IF(K135&lt;I135,"✕ INSUFFISANT",IF(K135&lt;I135*1.2,"⚠ STOCK FAIBLE","✓ COUVERT"))</f>
        <v/>
      </c>
      <c r="N135" s="7" t="inlineStr">
        <is>
          <t>SKF</t>
        </is>
      </c>
      <c r="O135" s="7" t="inlineStr">
        <is>
          <t>IMPORTANT</t>
        </is>
      </c>
      <c r="P135" s="7" t="inlineStr">
        <is>
          <t>31/08/2026 02:59</t>
        </is>
      </c>
    </row>
    <row r="136">
      <c r="A136" s="8" t="inlineStr">
        <is>
          <t>WHAP 8x8</t>
        </is>
      </c>
      <c r="B136" s="8" t="inlineStr">
        <is>
          <t>WHAP-0132</t>
        </is>
      </c>
      <c r="C136" s="8" t="inlineStr">
        <is>
          <t>BTR-0132</t>
        </is>
      </c>
      <c r="D136" s="8" t="inlineStr">
        <is>
          <t>carter de transfert</t>
        </is>
      </c>
      <c r="E136" s="8" t="inlineStr">
        <is>
          <t>Boîte de transfert</t>
        </is>
      </c>
      <c r="F136" s="8" t="inlineStr">
        <is>
          <t>Boîte de transfert</t>
        </is>
      </c>
      <c r="G136" s="8" t="inlineStr">
        <is>
          <t>PIECE_VEHICULE</t>
        </is>
      </c>
      <c r="H136" s="8" t="n">
        <v>1</v>
      </c>
      <c r="I136" s="8">
        <f>H136*$D$3</f>
        <v/>
      </c>
      <c r="J136" s="8" t="inlineStr">
        <is>
          <t>unité</t>
        </is>
      </c>
      <c r="K136" s="8" t="n">
        <v>260</v>
      </c>
      <c r="L136" s="8">
        <f>K136-I136</f>
        <v/>
      </c>
      <c r="M136" s="8">
        <f>IF(K136&lt;I136,"✕ INSUFFISANT",IF(K136&lt;I136*1.2,"⚠ STOCK FAIBLE","✓ COUVERT"))</f>
        <v/>
      </c>
      <c r="N136" s="8" t="inlineStr">
        <is>
          <t>DEL</t>
        </is>
      </c>
      <c r="O136" s="8" t="inlineStr">
        <is>
          <t>IMPORTANT</t>
        </is>
      </c>
      <c r="P136" s="8" t="inlineStr">
        <is>
          <t>31/08/2026 02:59</t>
        </is>
      </c>
    </row>
    <row r="137">
      <c r="A137" s="7" t="inlineStr">
        <is>
          <t>WHAP 8x8</t>
        </is>
      </c>
      <c r="B137" s="7" t="inlineStr">
        <is>
          <t>WHAP-0133</t>
        </is>
      </c>
      <c r="C137" s="7" t="inlineStr">
        <is>
          <t>BTR-0133</t>
        </is>
      </c>
      <c r="D137" s="7" t="inlineStr">
        <is>
          <t>arbre primaire</t>
        </is>
      </c>
      <c r="E137" s="7" t="inlineStr">
        <is>
          <t>Boîte de transfert</t>
        </is>
      </c>
      <c r="F137" s="7" t="inlineStr">
        <is>
          <t>Boîte de transfert</t>
        </is>
      </c>
      <c r="G137" s="7" t="inlineStr">
        <is>
          <t>PIECE_VEHICULE</t>
        </is>
      </c>
      <c r="H137" s="7" t="n">
        <v>1</v>
      </c>
      <c r="I137" s="7">
        <f>H137*$D$3</f>
        <v/>
      </c>
      <c r="J137" s="7" t="inlineStr">
        <is>
          <t>unité</t>
        </is>
      </c>
      <c r="K137" s="7" t="n">
        <v>120</v>
      </c>
      <c r="L137" s="7">
        <f>K137-I137</f>
        <v/>
      </c>
      <c r="M137" s="7">
        <f>IF(K137&lt;I137,"✕ INSUFFISANT",IF(K137&lt;I137*1.2,"⚠ STOCK FAIBLE","✓ COUVERT"))</f>
        <v/>
      </c>
      <c r="N137" s="7" t="inlineStr">
        <is>
          <t>CTL</t>
        </is>
      </c>
      <c r="O137" s="7" t="inlineStr">
        <is>
          <t>IMPORTANT</t>
        </is>
      </c>
      <c r="P137" s="7" t="inlineStr">
        <is>
          <t>31/08/2026 02:59</t>
        </is>
      </c>
    </row>
    <row r="138">
      <c r="A138" s="8" t="inlineStr">
        <is>
          <t>WHAP 8x8</t>
        </is>
      </c>
      <c r="B138" s="8" t="inlineStr">
        <is>
          <t>WHAP-0134</t>
        </is>
      </c>
      <c r="C138" s="8" t="inlineStr">
        <is>
          <t>BTR-0134</t>
        </is>
      </c>
      <c r="D138" s="8" t="inlineStr">
        <is>
          <t>arbre secondaire</t>
        </is>
      </c>
      <c r="E138" s="8" t="inlineStr">
        <is>
          <t>Boîte de transfert</t>
        </is>
      </c>
      <c r="F138" s="8" t="inlineStr">
        <is>
          <t>Boîte de transfert</t>
        </is>
      </c>
      <c r="G138" s="8" t="inlineStr">
        <is>
          <t>PIECE_VEHICULE</t>
        </is>
      </c>
      <c r="H138" s="8" t="n">
        <v>1</v>
      </c>
      <c r="I138" s="8">
        <f>H138*$D$3</f>
        <v/>
      </c>
      <c r="J138" s="8" t="inlineStr">
        <is>
          <t>unité</t>
        </is>
      </c>
      <c r="K138" s="8" t="n">
        <v>0</v>
      </c>
      <c r="L138" s="8">
        <f>K138-I138</f>
        <v/>
      </c>
      <c r="M138" s="8">
        <f>IF(K138&lt;I138,"✕ INSUFFISANT",IF(K138&lt;I138*1.2,"⚠ STOCK FAIBLE","✓ COUVERT"))</f>
        <v/>
      </c>
      <c r="N138" s="8" t="inlineStr">
        <is>
          <t>BOS</t>
        </is>
      </c>
      <c r="O138" s="8" t="inlineStr">
        <is>
          <t>IMPORTANT</t>
        </is>
      </c>
      <c r="P138" s="8" t="inlineStr">
        <is>
          <t>31/08/2026 02:59</t>
        </is>
      </c>
    </row>
    <row r="139">
      <c r="A139" s="7" t="inlineStr">
        <is>
          <t>WHAP 8x8</t>
        </is>
      </c>
      <c r="B139" s="7" t="inlineStr">
        <is>
          <t>WHAP-0135</t>
        </is>
      </c>
      <c r="C139" s="7" t="inlineStr">
        <is>
          <t>BTR-0135</t>
        </is>
      </c>
      <c r="D139" s="7" t="inlineStr">
        <is>
          <t>pignon d'entrée</t>
        </is>
      </c>
      <c r="E139" s="7" t="inlineStr">
        <is>
          <t>Boîte de transfert</t>
        </is>
      </c>
      <c r="F139" s="7" t="inlineStr">
        <is>
          <t>Boîte de transfert</t>
        </is>
      </c>
      <c r="G139" s="7" t="inlineStr">
        <is>
          <t>PIECE_VEHICULE</t>
        </is>
      </c>
      <c r="H139" s="7" t="n">
        <v>1</v>
      </c>
      <c r="I139" s="7">
        <f>H139*$D$3</f>
        <v/>
      </c>
      <c r="J139" s="7" t="inlineStr">
        <is>
          <t>unité</t>
        </is>
      </c>
      <c r="K139" s="7" t="n">
        <v>0</v>
      </c>
      <c r="L139" s="7">
        <f>K139-I139</f>
        <v/>
      </c>
      <c r="M139" s="7">
        <f>IF(K139&lt;I139,"✕ INSUFFISANT",IF(K139&lt;I139*1.2,"⚠ STOCK FAIBLE","✓ COUVERT"))</f>
        <v/>
      </c>
      <c r="N139" s="7" t="inlineStr">
        <is>
          <t>VAL</t>
        </is>
      </c>
      <c r="O139" s="7" t="inlineStr">
        <is>
          <t>IMPORTANT</t>
        </is>
      </c>
      <c r="P139" s="7" t="inlineStr">
        <is>
          <t>31/08/2026 02:59</t>
        </is>
      </c>
    </row>
    <row r="140">
      <c r="A140" s="8" t="inlineStr">
        <is>
          <t>WHAP 8x8</t>
        </is>
      </c>
      <c r="B140" s="8" t="inlineStr">
        <is>
          <t>WHAP-0136</t>
        </is>
      </c>
      <c r="C140" s="8" t="inlineStr">
        <is>
          <t>BTR-0136</t>
        </is>
      </c>
      <c r="D140" s="8" t="inlineStr">
        <is>
          <t>pignon de sortie</t>
        </is>
      </c>
      <c r="E140" s="8" t="inlineStr">
        <is>
          <t>Boîte de transfert</t>
        </is>
      </c>
      <c r="F140" s="8" t="inlineStr">
        <is>
          <t>Boîte de transfert</t>
        </is>
      </c>
      <c r="G140" s="8" t="inlineStr">
        <is>
          <t>PIECE_VEHICULE</t>
        </is>
      </c>
      <c r="H140" s="8" t="n">
        <v>1</v>
      </c>
      <c r="I140" s="8">
        <f>H140*$D$3</f>
        <v/>
      </c>
      <c r="J140" s="8" t="inlineStr">
        <is>
          <t>unité</t>
        </is>
      </c>
      <c r="K140" s="8" t="n">
        <v>0</v>
      </c>
      <c r="L140" s="8">
        <f>K140-I140</f>
        <v/>
      </c>
      <c r="M140" s="8">
        <f>IF(K140&lt;I140,"✕ INSUFFISANT",IF(K140&lt;I140*1.2,"⚠ STOCK FAIBLE","✓ COUVERT"))</f>
        <v/>
      </c>
      <c r="N140" s="8" t="inlineStr">
        <is>
          <t>VAL</t>
        </is>
      </c>
      <c r="O140" s="8" t="inlineStr">
        <is>
          <t>IMPORTANT</t>
        </is>
      </c>
      <c r="P140" s="8" t="inlineStr">
        <is>
          <t>31/08/2026 02:59</t>
        </is>
      </c>
    </row>
    <row r="141">
      <c r="A141" s="7" t="inlineStr">
        <is>
          <t>WHAP 8x8</t>
        </is>
      </c>
      <c r="B141" s="7" t="inlineStr">
        <is>
          <t>WHAP-0137</t>
        </is>
      </c>
      <c r="C141" s="7" t="inlineStr">
        <is>
          <t>BTR-0137</t>
        </is>
      </c>
      <c r="D141" s="7" t="inlineStr">
        <is>
          <t>pignon intermédiaire</t>
        </is>
      </c>
      <c r="E141" s="7" t="inlineStr">
        <is>
          <t>Boîte de transfert</t>
        </is>
      </c>
      <c r="F141" s="7" t="inlineStr">
        <is>
          <t>Boîte de transfert</t>
        </is>
      </c>
      <c r="G141" s="7" t="inlineStr">
        <is>
          <t>PIECE_VEHICULE</t>
        </is>
      </c>
      <c r="H141" s="7" t="n">
        <v>1</v>
      </c>
      <c r="I141" s="7">
        <f>H141*$D$3</f>
        <v/>
      </c>
      <c r="J141" s="7" t="inlineStr">
        <is>
          <t>unité</t>
        </is>
      </c>
      <c r="K141" s="7" t="n">
        <v>0</v>
      </c>
      <c r="L141" s="7">
        <f>K141-I141</f>
        <v/>
      </c>
      <c r="M141" s="7">
        <f>IF(K141&lt;I141,"✕ INSUFFISANT",IF(K141&lt;I141*1.2,"⚠ STOCK FAIBLE","✓ COUVERT"))</f>
        <v/>
      </c>
      <c r="N141" s="7" t="inlineStr">
        <is>
          <t>VAL</t>
        </is>
      </c>
      <c r="O141" s="7" t="inlineStr">
        <is>
          <t>IMPORTANT</t>
        </is>
      </c>
      <c r="P141" s="7" t="inlineStr">
        <is>
          <t>31/08/2026 02:59</t>
        </is>
      </c>
    </row>
    <row r="142">
      <c r="A142" s="8" t="inlineStr">
        <is>
          <t>WHAP 8x8</t>
        </is>
      </c>
      <c r="B142" s="8" t="inlineStr">
        <is>
          <t>WHAP-0138</t>
        </is>
      </c>
      <c r="C142" s="8" t="inlineStr">
        <is>
          <t>BTR-0138</t>
        </is>
      </c>
      <c r="D142" s="8" t="inlineStr">
        <is>
          <t>chaîne de transfert</t>
        </is>
      </c>
      <c r="E142" s="8" t="inlineStr">
        <is>
          <t>Boîte de transfert</t>
        </is>
      </c>
      <c r="F142" s="8" t="inlineStr">
        <is>
          <t>Boîte de transfert</t>
        </is>
      </c>
      <c r="G142" s="8" t="inlineStr">
        <is>
          <t>PIECE_VEHICULE</t>
        </is>
      </c>
      <c r="H142" s="8" t="n">
        <v>1</v>
      </c>
      <c r="I142" s="8">
        <f>H142*$D$3</f>
        <v/>
      </c>
      <c r="J142" s="8" t="inlineStr">
        <is>
          <t>unité</t>
        </is>
      </c>
      <c r="K142" s="8" t="n">
        <v>0</v>
      </c>
      <c r="L142" s="8">
        <f>K142-I142</f>
        <v/>
      </c>
      <c r="M142" s="8">
        <f>IF(K142&lt;I142,"✕ INSUFFISANT",IF(K142&lt;I142*1.2,"⚠ STOCK FAIBLE","✓ COUVERT"))</f>
        <v/>
      </c>
      <c r="N142" s="8" t="inlineStr">
        <is>
          <t>BOS</t>
        </is>
      </c>
      <c r="O142" s="8" t="inlineStr">
        <is>
          <t>IMPORTANT</t>
        </is>
      </c>
      <c r="P142" s="8" t="inlineStr">
        <is>
          <t>31/08/2026 02:59</t>
        </is>
      </c>
    </row>
    <row r="143">
      <c r="A143" s="7" t="inlineStr">
        <is>
          <t>WHAP 8x8</t>
        </is>
      </c>
      <c r="B143" s="7" t="inlineStr">
        <is>
          <t>WHAP-0139</t>
        </is>
      </c>
      <c r="C143" s="7" t="inlineStr">
        <is>
          <t>BTR-0139</t>
        </is>
      </c>
      <c r="D143" s="7" t="inlineStr">
        <is>
          <t>fourchette de sélection</t>
        </is>
      </c>
      <c r="E143" s="7" t="inlineStr">
        <is>
          <t>Boîte de transfert</t>
        </is>
      </c>
      <c r="F143" s="7" t="inlineStr">
        <is>
          <t>Boîte de transfert</t>
        </is>
      </c>
      <c r="G143" s="7" t="inlineStr">
        <is>
          <t>PIECE_VEHICULE</t>
        </is>
      </c>
      <c r="H143" s="7" t="n">
        <v>1</v>
      </c>
      <c r="I143" s="7">
        <f>H143*$D$3</f>
        <v/>
      </c>
      <c r="J143" s="7" t="inlineStr">
        <is>
          <t>unité</t>
        </is>
      </c>
      <c r="K143" s="7" t="n">
        <v>0</v>
      </c>
      <c r="L143" s="7">
        <f>K143-I143</f>
        <v/>
      </c>
      <c r="M143" s="7">
        <f>IF(K143&lt;I143,"✕ INSUFFISANT",IF(K143&lt;I143*1.2,"⚠ STOCK FAIBLE","✓ COUVERT"))</f>
        <v/>
      </c>
      <c r="N143" s="7" t="inlineStr">
        <is>
          <t>BOS</t>
        </is>
      </c>
      <c r="O143" s="7" t="inlineStr">
        <is>
          <t>IMPORTANT</t>
        </is>
      </c>
      <c r="P143" s="7" t="inlineStr">
        <is>
          <t>31/08/2026 02:59</t>
        </is>
      </c>
    </row>
    <row r="144">
      <c r="A144" s="8" t="inlineStr">
        <is>
          <t>WHAP 8x8</t>
        </is>
      </c>
      <c r="B144" s="8" t="inlineStr">
        <is>
          <t>WHAP-0140</t>
        </is>
      </c>
      <c r="C144" s="8" t="inlineStr">
        <is>
          <t>BTR-0140</t>
        </is>
      </c>
      <c r="D144" s="8" t="inlineStr">
        <is>
          <t>manchon de crabotage</t>
        </is>
      </c>
      <c r="E144" s="8" t="inlineStr">
        <is>
          <t>Boîte de transfert</t>
        </is>
      </c>
      <c r="F144" s="8" t="inlineStr">
        <is>
          <t>Boîte de transfert</t>
        </is>
      </c>
      <c r="G144" s="8" t="inlineStr">
        <is>
          <t>PIECE_VEHICULE</t>
        </is>
      </c>
      <c r="H144" s="8" t="n">
        <v>1</v>
      </c>
      <c r="I144" s="8">
        <f>H144*$D$3</f>
        <v/>
      </c>
      <c r="J144" s="8" t="inlineStr">
        <is>
          <t>unité</t>
        </is>
      </c>
      <c r="K144" s="8" t="n">
        <v>0</v>
      </c>
      <c r="L144" s="8">
        <f>K144-I144</f>
        <v/>
      </c>
      <c r="M144" s="8">
        <f>IF(K144&lt;I144,"✕ INSUFFISANT",IF(K144&lt;I144*1.2,"⚠ STOCK FAIBLE","✓ COUVERT"))</f>
        <v/>
      </c>
      <c r="N144" s="8" t="inlineStr">
        <is>
          <t>VAL</t>
        </is>
      </c>
      <c r="O144" s="8" t="inlineStr">
        <is>
          <t>IMPORTANT</t>
        </is>
      </c>
      <c r="P144" s="8" t="inlineStr">
        <is>
          <t>31/08/2026 02:59</t>
        </is>
      </c>
    </row>
    <row r="145">
      <c r="A145" s="7" t="inlineStr">
        <is>
          <t>WHAP 8x8</t>
        </is>
      </c>
      <c r="B145" s="7" t="inlineStr">
        <is>
          <t>WHAP-0141</t>
        </is>
      </c>
      <c r="C145" s="7" t="inlineStr">
        <is>
          <t>BTR-0141</t>
        </is>
      </c>
      <c r="D145" s="7" t="inlineStr">
        <is>
          <t>synchroniseur</t>
        </is>
      </c>
      <c r="E145" s="7" t="inlineStr">
        <is>
          <t>Boîte de transfert</t>
        </is>
      </c>
      <c r="F145" s="7" t="inlineStr">
        <is>
          <t>Boîte de transfert</t>
        </is>
      </c>
      <c r="G145" s="7" t="inlineStr">
        <is>
          <t>PIECE_VEHICULE</t>
        </is>
      </c>
      <c r="H145" s="7" t="n">
        <v>1</v>
      </c>
      <c r="I145" s="7">
        <f>H145*$D$3</f>
        <v/>
      </c>
      <c r="J145" s="7" t="inlineStr">
        <is>
          <t>unité</t>
        </is>
      </c>
      <c r="K145" s="7" t="n">
        <v>0</v>
      </c>
      <c r="L145" s="7">
        <f>K145-I145</f>
        <v/>
      </c>
      <c r="M145" s="7">
        <f>IF(K145&lt;I145,"✕ INSUFFISANT",IF(K145&lt;I145*1.2,"⚠ STOCK FAIBLE","✓ COUVERT"))</f>
        <v/>
      </c>
      <c r="N145" s="7" t="inlineStr">
        <is>
          <t>HEL</t>
        </is>
      </c>
      <c r="O145" s="7" t="inlineStr">
        <is>
          <t>IMPORTANT</t>
        </is>
      </c>
      <c r="P145" s="7" t="inlineStr">
        <is>
          <t>31/08/2026 02:59</t>
        </is>
      </c>
    </row>
    <row r="146">
      <c r="A146" s="8" t="inlineStr">
        <is>
          <t>WHAP 8x8</t>
        </is>
      </c>
      <c r="B146" s="8" t="inlineStr">
        <is>
          <t>WHAP-0142</t>
        </is>
      </c>
      <c r="C146" s="8" t="inlineStr">
        <is>
          <t>BTR-0142</t>
        </is>
      </c>
      <c r="D146" s="8" t="inlineStr">
        <is>
          <t>actionneur de gamme</t>
        </is>
      </c>
      <c r="E146" s="8" t="inlineStr">
        <is>
          <t>Boîte de transfert</t>
        </is>
      </c>
      <c r="F146" s="8" t="inlineStr">
        <is>
          <t>Boîte de transfert</t>
        </is>
      </c>
      <c r="G146" s="8" t="inlineStr">
        <is>
          <t>PIECE_VEHICULE</t>
        </is>
      </c>
      <c r="H146" s="8" t="n">
        <v>1</v>
      </c>
      <c r="I146" s="8">
        <f>H146*$D$3</f>
        <v/>
      </c>
      <c r="J146" s="8" t="inlineStr">
        <is>
          <t>unité</t>
        </is>
      </c>
      <c r="K146" s="8" t="n">
        <v>0</v>
      </c>
      <c r="L146" s="8">
        <f>K146-I146</f>
        <v/>
      </c>
      <c r="M146" s="8">
        <f>IF(K146&lt;I146,"✕ INSUFFISANT",IF(K146&lt;I146*1.2,"⚠ STOCK FAIBLE","✓ COUVERT"))</f>
        <v/>
      </c>
      <c r="N146" s="8" t="inlineStr">
        <is>
          <t>HEL</t>
        </is>
      </c>
      <c r="O146" s="8" t="inlineStr">
        <is>
          <t>IMPORTANT</t>
        </is>
      </c>
      <c r="P146" s="8" t="inlineStr">
        <is>
          <t>31/08/2026 02:59</t>
        </is>
      </c>
    </row>
    <row r="147">
      <c r="A147" s="7" t="inlineStr">
        <is>
          <t>WHAP 8x8</t>
        </is>
      </c>
      <c r="B147" s="7" t="inlineStr">
        <is>
          <t>WHAP-0143</t>
        </is>
      </c>
      <c r="C147" s="7" t="inlineStr">
        <is>
          <t>BTR-0143</t>
        </is>
      </c>
      <c r="D147" s="7" t="inlineStr">
        <is>
          <t>capteur de gamme</t>
        </is>
      </c>
      <c r="E147" s="7" t="inlineStr">
        <is>
          <t>Boîte de transfert</t>
        </is>
      </c>
      <c r="F147" s="7" t="inlineStr">
        <is>
          <t>Boîte de transfert</t>
        </is>
      </c>
      <c r="G147" s="7" t="inlineStr">
        <is>
          <t>PIECE_VEHICULE</t>
        </is>
      </c>
      <c r="H147" s="7" t="n">
        <v>1</v>
      </c>
      <c r="I147" s="7">
        <f>H147*$D$3</f>
        <v/>
      </c>
      <c r="J147" s="7" t="inlineStr">
        <is>
          <t>unité</t>
        </is>
      </c>
      <c r="K147" s="7" t="n">
        <v>0</v>
      </c>
      <c r="L147" s="7">
        <f>K147-I147</f>
        <v/>
      </c>
      <c r="M147" s="7">
        <f>IF(K147&lt;I147,"✕ INSUFFISANT",IF(K147&lt;I147*1.2,"⚠ STOCK FAIBLE","✓ COUVERT"))</f>
        <v/>
      </c>
      <c r="N147" s="7" t="inlineStr">
        <is>
          <t>VAL</t>
        </is>
      </c>
      <c r="O147" s="7" t="inlineStr">
        <is>
          <t>IMPORTANT</t>
        </is>
      </c>
      <c r="P147" s="7" t="inlineStr">
        <is>
          <t>31/08/2026 02:59</t>
        </is>
      </c>
    </row>
    <row r="148">
      <c r="A148" s="8" t="inlineStr">
        <is>
          <t>WHAP 8x8</t>
        </is>
      </c>
      <c r="B148" s="8" t="inlineStr">
        <is>
          <t>WHAP-0144</t>
        </is>
      </c>
      <c r="C148" s="8" t="inlineStr">
        <is>
          <t>BTR-0144</t>
        </is>
      </c>
      <c r="D148" s="8" t="inlineStr">
        <is>
          <t>capteur de vitesse</t>
        </is>
      </c>
      <c r="E148" s="8" t="inlineStr">
        <is>
          <t>Boîte de transfert</t>
        </is>
      </c>
      <c r="F148" s="8" t="inlineStr">
        <is>
          <t>Boîte de transfert</t>
        </is>
      </c>
      <c r="G148" s="8" t="inlineStr">
        <is>
          <t>PIECE_VEHICULE</t>
        </is>
      </c>
      <c r="H148" s="8" t="n">
        <v>1</v>
      </c>
      <c r="I148" s="8">
        <f>H148*$D$3</f>
        <v/>
      </c>
      <c r="J148" s="8" t="inlineStr">
        <is>
          <t>unité</t>
        </is>
      </c>
      <c r="K148" s="8" t="n">
        <v>0</v>
      </c>
      <c r="L148" s="8">
        <f>K148-I148</f>
        <v/>
      </c>
      <c r="M148" s="8">
        <f>IF(K148&lt;I148,"✕ INSUFFISANT",IF(K148&lt;I148*1.2,"⚠ STOCK FAIBLE","✓ COUVERT"))</f>
        <v/>
      </c>
      <c r="N148" s="8" t="inlineStr">
        <is>
          <t>HEL</t>
        </is>
      </c>
      <c r="O148" s="8" t="inlineStr">
        <is>
          <t>IMPORTANT</t>
        </is>
      </c>
      <c r="P148" s="8" t="inlineStr">
        <is>
          <t>31/08/2026 02:59</t>
        </is>
      </c>
    </row>
    <row r="149">
      <c r="A149" s="7" t="inlineStr">
        <is>
          <t>WHAP 8x8</t>
        </is>
      </c>
      <c r="B149" s="7" t="inlineStr">
        <is>
          <t>WHAP-0145</t>
        </is>
      </c>
      <c r="C149" s="7" t="inlineStr">
        <is>
          <t>BTR-0145</t>
        </is>
      </c>
      <c r="D149" s="7" t="inlineStr">
        <is>
          <t>pompe de lubrification</t>
        </is>
      </c>
      <c r="E149" s="7" t="inlineStr">
        <is>
          <t>Boîte de transfert</t>
        </is>
      </c>
      <c r="F149" s="7" t="inlineStr">
        <is>
          <t>Boîte de transfert</t>
        </is>
      </c>
      <c r="G149" s="7" t="inlineStr">
        <is>
          <t>PIECE_VEHICULE</t>
        </is>
      </c>
      <c r="H149" s="7" t="n">
        <v>1</v>
      </c>
      <c r="I149" s="7">
        <f>H149*$D$3</f>
        <v/>
      </c>
      <c r="J149" s="7" t="inlineStr">
        <is>
          <t>unité</t>
        </is>
      </c>
      <c r="K149" s="7" t="n">
        <v>0</v>
      </c>
      <c r="L149" s="7">
        <f>K149-I149</f>
        <v/>
      </c>
      <c r="M149" s="7">
        <f>IF(K149&lt;I149,"✕ INSUFFISANT",IF(K149&lt;I149*1.2,"⚠ STOCK FAIBLE","✓ COUVERT"))</f>
        <v/>
      </c>
      <c r="N149" s="7" t="inlineStr">
        <is>
          <t>SUM</t>
        </is>
      </c>
      <c r="O149" s="7" t="inlineStr">
        <is>
          <t>IMPORTANT</t>
        </is>
      </c>
      <c r="P149" s="7" t="inlineStr">
        <is>
          <t>31/08/2026 02:59</t>
        </is>
      </c>
    </row>
    <row r="150">
      <c r="A150" s="8" t="inlineStr">
        <is>
          <t>WHAP 8x8</t>
        </is>
      </c>
      <c r="B150" s="8" t="inlineStr">
        <is>
          <t>WHAP-0146</t>
        </is>
      </c>
      <c r="C150" s="8" t="inlineStr">
        <is>
          <t>BTR-0146</t>
        </is>
      </c>
      <c r="D150" s="8" t="inlineStr">
        <is>
          <t>filtre de lubrification</t>
        </is>
      </c>
      <c r="E150" s="8" t="inlineStr">
        <is>
          <t>Boîte de transfert</t>
        </is>
      </c>
      <c r="F150" s="8" t="inlineStr">
        <is>
          <t>Boîte de transfert</t>
        </is>
      </c>
      <c r="G150" s="8" t="inlineStr">
        <is>
          <t>PIECE_VEHICULE</t>
        </is>
      </c>
      <c r="H150" s="8" t="n">
        <v>1</v>
      </c>
      <c r="I150" s="8">
        <f>H150*$D$3</f>
        <v/>
      </c>
      <c r="J150" s="8" t="inlineStr">
        <is>
          <t>unité</t>
        </is>
      </c>
      <c r="K150" s="8" t="n">
        <v>0</v>
      </c>
      <c r="L150" s="8">
        <f>K150-I150</f>
        <v/>
      </c>
      <c r="M150" s="8">
        <f>IF(K150&lt;I150,"✕ INSUFFISANT",IF(K150&lt;I150*1.2,"⚠ STOCK FAIBLE","✓ COUVERT"))</f>
        <v/>
      </c>
      <c r="N150" s="8" t="inlineStr">
        <is>
          <t>SUM</t>
        </is>
      </c>
      <c r="O150" s="8" t="inlineStr">
        <is>
          <t>IMPORTANT</t>
        </is>
      </c>
      <c r="P150" s="8" t="inlineStr">
        <is>
          <t>31/08/2026 02:59</t>
        </is>
      </c>
    </row>
    <row r="151">
      <c r="A151" s="7" t="inlineStr">
        <is>
          <t>WHAP 8x8</t>
        </is>
      </c>
      <c r="B151" s="7" t="inlineStr">
        <is>
          <t>WHAP-0147</t>
        </is>
      </c>
      <c r="C151" s="7" t="inlineStr">
        <is>
          <t>BTR-0147</t>
        </is>
      </c>
      <c r="D151" s="7" t="inlineStr">
        <is>
          <t>roulement</t>
        </is>
      </c>
      <c r="E151" s="7" t="inlineStr">
        <is>
          <t>Boîte de transfert</t>
        </is>
      </c>
      <c r="F151" s="7" t="inlineStr">
        <is>
          <t>Boîte de transfert</t>
        </is>
      </c>
      <c r="G151" s="7" t="inlineStr">
        <is>
          <t>PIECE_VEHICULE</t>
        </is>
      </c>
      <c r="H151" s="7" t="n">
        <v>1</v>
      </c>
      <c r="I151" s="7">
        <f>H151*$D$3</f>
        <v/>
      </c>
      <c r="J151" s="7" t="inlineStr">
        <is>
          <t>unité</t>
        </is>
      </c>
      <c r="K151" s="7" t="n">
        <v>0</v>
      </c>
      <c r="L151" s="7">
        <f>K151-I151</f>
        <v/>
      </c>
      <c r="M151" s="7">
        <f>IF(K151&lt;I151,"✕ INSUFFISANT",IF(K151&lt;I151*1.2,"⚠ STOCK FAIBLE","✓ COUVERT"))</f>
        <v/>
      </c>
      <c r="N151" s="7" t="inlineStr">
        <is>
          <t>VAL</t>
        </is>
      </c>
      <c r="O151" s="7" t="inlineStr">
        <is>
          <t>IMPORTANT</t>
        </is>
      </c>
      <c r="P151" s="7" t="inlineStr">
        <is>
          <t>31/08/2026 02:59</t>
        </is>
      </c>
    </row>
    <row r="152">
      <c r="A152" s="8" t="inlineStr">
        <is>
          <t>WHAP 8x8</t>
        </is>
      </c>
      <c r="B152" s="8" t="inlineStr">
        <is>
          <t>WHAP-0148</t>
        </is>
      </c>
      <c r="C152" s="8" t="inlineStr">
        <is>
          <t>BTR-0148</t>
        </is>
      </c>
      <c r="D152" s="8" t="inlineStr">
        <is>
          <t>joint spi</t>
        </is>
      </c>
      <c r="E152" s="8" t="inlineStr">
        <is>
          <t>Boîte de transfert</t>
        </is>
      </c>
      <c r="F152" s="8" t="inlineStr">
        <is>
          <t>Boîte de transfert</t>
        </is>
      </c>
      <c r="G152" s="8" t="inlineStr">
        <is>
          <t>PIECE_VEHICULE</t>
        </is>
      </c>
      <c r="H152" s="8" t="n">
        <v>1</v>
      </c>
      <c r="I152" s="8">
        <f>H152*$D$3</f>
        <v/>
      </c>
      <c r="J152" s="8" t="inlineStr">
        <is>
          <t>unité</t>
        </is>
      </c>
      <c r="K152" s="8" t="n">
        <v>0</v>
      </c>
      <c r="L152" s="8">
        <f>K152-I152</f>
        <v/>
      </c>
      <c r="M152" s="8">
        <f>IF(K152&lt;I152,"✕ INSUFFISANT",IF(K152&lt;I152*1.2,"⚠ STOCK FAIBLE","✓ COUVERT"))</f>
        <v/>
      </c>
      <c r="N152" s="8" t="inlineStr">
        <is>
          <t>MAG</t>
        </is>
      </c>
      <c r="O152" s="8" t="inlineStr">
        <is>
          <t>IMPORTANT</t>
        </is>
      </c>
      <c r="P152" s="8" t="inlineStr">
        <is>
          <t>31/08/2026 02:59</t>
        </is>
      </c>
    </row>
    <row r="153">
      <c r="A153" s="7" t="inlineStr">
        <is>
          <t>WHAP 8x8</t>
        </is>
      </c>
      <c r="B153" s="7" t="inlineStr">
        <is>
          <t>WHAP-0149</t>
        </is>
      </c>
      <c r="C153" s="7" t="inlineStr">
        <is>
          <t>BTR-0149</t>
        </is>
      </c>
      <c r="D153" s="7" t="inlineStr">
        <is>
          <t>joint torique</t>
        </is>
      </c>
      <c r="E153" s="7" t="inlineStr">
        <is>
          <t>Boîte de transfert</t>
        </is>
      </c>
      <c r="F153" s="7" t="inlineStr">
        <is>
          <t>Boîte de transfert</t>
        </is>
      </c>
      <c r="G153" s="7" t="inlineStr">
        <is>
          <t>PIECE_VEHICULE</t>
        </is>
      </c>
      <c r="H153" s="7" t="n">
        <v>1</v>
      </c>
      <c r="I153" s="7">
        <f>H153*$D$3</f>
        <v/>
      </c>
      <c r="J153" s="7" t="inlineStr">
        <is>
          <t>unité</t>
        </is>
      </c>
      <c r="K153" s="7" t="n">
        <v>0</v>
      </c>
      <c r="L153" s="7">
        <f>K153-I153</f>
        <v/>
      </c>
      <c r="M153" s="7">
        <f>IF(K153&lt;I153,"✕ INSUFFISANT",IF(K153&lt;I153*1.2,"⚠ STOCK FAIBLE","✓ COUVERT"))</f>
        <v/>
      </c>
      <c r="N153" s="7" t="inlineStr">
        <is>
          <t>FAU</t>
        </is>
      </c>
      <c r="O153" s="7" t="inlineStr">
        <is>
          <t>IMPORTANT</t>
        </is>
      </c>
      <c r="P153" s="7" t="inlineStr">
        <is>
          <t>31/08/2026 02:59</t>
        </is>
      </c>
    </row>
    <row r="154">
      <c r="A154" s="8" t="inlineStr">
        <is>
          <t>WHAP 8x8</t>
        </is>
      </c>
      <c r="B154" s="8" t="inlineStr">
        <is>
          <t>WHAP-0150</t>
        </is>
      </c>
      <c r="C154" s="8" t="inlineStr">
        <is>
          <t>BTR-0150</t>
        </is>
      </c>
      <c r="D154" s="8" t="inlineStr">
        <is>
          <t>bouchon de vidange</t>
        </is>
      </c>
      <c r="E154" s="8" t="inlineStr">
        <is>
          <t>Boîte de transfert</t>
        </is>
      </c>
      <c r="F154" s="8" t="inlineStr">
        <is>
          <t>Boîte de transfert</t>
        </is>
      </c>
      <c r="G154" s="8" t="inlineStr">
        <is>
          <t>PIECE_VEHICULE</t>
        </is>
      </c>
      <c r="H154" s="8" t="n">
        <v>1</v>
      </c>
      <c r="I154" s="8">
        <f>H154*$D$3</f>
        <v/>
      </c>
      <c r="J154" s="8" t="inlineStr">
        <is>
          <t>unité</t>
        </is>
      </c>
      <c r="K154" s="8" t="n">
        <v>0</v>
      </c>
      <c r="L154" s="8">
        <f>K154-I154</f>
        <v/>
      </c>
      <c r="M154" s="8">
        <f>IF(K154&lt;I154,"✕ INSUFFISANT",IF(K154&lt;I154*1.2,"⚠ STOCK FAIBLE","✓ COUVERT"))</f>
        <v/>
      </c>
      <c r="N154" s="8" t="inlineStr">
        <is>
          <t>MAG</t>
        </is>
      </c>
      <c r="O154" s="8" t="inlineStr">
        <is>
          <t>IMPORTANT</t>
        </is>
      </c>
      <c r="P154" s="8" t="inlineStr">
        <is>
          <t>31/08/2026 02:59</t>
        </is>
      </c>
    </row>
    <row r="155">
      <c r="A155" s="7" t="inlineStr">
        <is>
          <t>WHAP 8x8</t>
        </is>
      </c>
      <c r="B155" s="7" t="inlineStr">
        <is>
          <t>WHAP-0151</t>
        </is>
      </c>
      <c r="C155" s="7" t="inlineStr">
        <is>
          <t>ARB-0151</t>
        </is>
      </c>
      <c r="D155" s="7" t="inlineStr">
        <is>
          <t>arbre de transmission avant</t>
        </is>
      </c>
      <c r="E155" s="7" t="inlineStr">
        <is>
          <t>Arbres de transmission</t>
        </is>
      </c>
      <c r="F155" s="7" t="inlineStr">
        <is>
          <t>Arbres de transmission</t>
        </is>
      </c>
      <c r="G155" s="7" t="inlineStr">
        <is>
          <t>PIECE_VEHICULE</t>
        </is>
      </c>
      <c r="H155" s="7" t="n">
        <v>1</v>
      </c>
      <c r="I155" s="7">
        <f>H155*$D$3</f>
        <v/>
      </c>
      <c r="J155" s="7" t="inlineStr">
        <is>
          <t>unité</t>
        </is>
      </c>
      <c r="K155" s="7" t="n">
        <v>72</v>
      </c>
      <c r="L155" s="7">
        <f>K155-I155</f>
        <v/>
      </c>
      <c r="M155" s="7">
        <f>IF(K155&lt;I155,"✕ INSUFFISANT",IF(K155&lt;I155*1.2,"⚠ STOCK FAIBLE","✓ COUVERT"))</f>
        <v/>
      </c>
      <c r="N155" s="7" t="inlineStr">
        <is>
          <t>HEL</t>
        </is>
      </c>
      <c r="O155" s="7" t="inlineStr">
        <is>
          <t>IMPORTANT</t>
        </is>
      </c>
      <c r="P155" s="7" t="inlineStr">
        <is>
          <t>31/08/2026 02:59</t>
        </is>
      </c>
    </row>
    <row r="156">
      <c r="A156" s="8" t="inlineStr">
        <is>
          <t>WHAP 8x8</t>
        </is>
      </c>
      <c r="B156" s="8" t="inlineStr">
        <is>
          <t>WHAP-0152</t>
        </is>
      </c>
      <c r="C156" s="8" t="inlineStr">
        <is>
          <t>ARB-0152</t>
        </is>
      </c>
      <c r="D156" s="8" t="inlineStr">
        <is>
          <t>arbre de transmission arrière</t>
        </is>
      </c>
      <c r="E156" s="8" t="inlineStr">
        <is>
          <t>Arbres de transmission</t>
        </is>
      </c>
      <c r="F156" s="8" t="inlineStr">
        <is>
          <t>Arbres de transmission</t>
        </is>
      </c>
      <c r="G156" s="8" t="inlineStr">
        <is>
          <t>PIECE_VEHICULE</t>
        </is>
      </c>
      <c r="H156" s="8" t="n">
        <v>1</v>
      </c>
      <c r="I156" s="8">
        <f>H156*$D$3</f>
        <v/>
      </c>
      <c r="J156" s="8" t="inlineStr">
        <is>
          <t>unité</t>
        </is>
      </c>
      <c r="K156" s="8" t="n">
        <v>186</v>
      </c>
      <c r="L156" s="8">
        <f>K156-I156</f>
        <v/>
      </c>
      <c r="M156" s="8">
        <f>IF(K156&lt;I156,"✕ INSUFFISANT",IF(K156&lt;I156*1.2,"⚠ STOCK FAIBLE","✓ COUVERT"))</f>
        <v/>
      </c>
      <c r="N156" s="8" t="inlineStr">
        <is>
          <t>FAU</t>
        </is>
      </c>
      <c r="O156" s="8" t="inlineStr">
        <is>
          <t>IMPORTANT</t>
        </is>
      </c>
      <c r="P156" s="8" t="inlineStr">
        <is>
          <t>31/08/2026 02:59</t>
        </is>
      </c>
    </row>
    <row r="157">
      <c r="A157" s="7" t="inlineStr">
        <is>
          <t>WHAP 8x8</t>
        </is>
      </c>
      <c r="B157" s="7" t="inlineStr">
        <is>
          <t>WHAP-0153</t>
        </is>
      </c>
      <c r="C157" s="7" t="inlineStr">
        <is>
          <t>ARB-0153</t>
        </is>
      </c>
      <c r="D157" s="7" t="inlineStr">
        <is>
          <t>arbre intermédiaire</t>
        </is>
      </c>
      <c r="E157" s="7" t="inlineStr">
        <is>
          <t>Arbres de transmission</t>
        </is>
      </c>
      <c r="F157" s="7" t="inlineStr">
        <is>
          <t>Arbres de transmission</t>
        </is>
      </c>
      <c r="G157" s="7" t="inlineStr">
        <is>
          <t>PIECE_VEHICULE</t>
        </is>
      </c>
      <c r="H157" s="7" t="n">
        <v>1</v>
      </c>
      <c r="I157" s="7">
        <f>H157*$D$3</f>
        <v/>
      </c>
      <c r="J157" s="7" t="inlineStr">
        <is>
          <t>unité</t>
        </is>
      </c>
      <c r="K157" s="7" t="n">
        <v>114</v>
      </c>
      <c r="L157" s="7">
        <f>K157-I157</f>
        <v/>
      </c>
      <c r="M157" s="7">
        <f>IF(K157&lt;I157,"✕ INSUFFISANT",IF(K157&lt;I157*1.2,"⚠ STOCK FAIBLE","✓ COUVERT"))</f>
        <v/>
      </c>
      <c r="N157" s="7" t="inlineStr">
        <is>
          <t>VAL</t>
        </is>
      </c>
      <c r="O157" s="7" t="inlineStr">
        <is>
          <t>IMPORTANT</t>
        </is>
      </c>
      <c r="P157" s="7" t="inlineStr">
        <is>
          <t>31/08/2026 02:59</t>
        </is>
      </c>
    </row>
    <row r="158">
      <c r="A158" s="8" t="inlineStr">
        <is>
          <t>WHAP 8x8</t>
        </is>
      </c>
      <c r="B158" s="8" t="inlineStr">
        <is>
          <t>WHAP-0154</t>
        </is>
      </c>
      <c r="C158" s="8" t="inlineStr">
        <is>
          <t>ARB-0154</t>
        </is>
      </c>
      <c r="D158" s="8" t="inlineStr">
        <is>
          <t>tube d'arbre</t>
        </is>
      </c>
      <c r="E158" s="8" t="inlineStr">
        <is>
          <t>Arbres de transmission</t>
        </is>
      </c>
      <c r="F158" s="8" t="inlineStr">
        <is>
          <t>Arbres de transmission</t>
        </is>
      </c>
      <c r="G158" s="8" t="inlineStr">
        <is>
          <t>PIECE_VEHICULE</t>
        </is>
      </c>
      <c r="H158" s="8" t="n">
        <v>1</v>
      </c>
      <c r="I158" s="8">
        <f>H158*$D$3</f>
        <v/>
      </c>
      <c r="J158" s="8" t="inlineStr">
        <is>
          <t>unité</t>
        </is>
      </c>
      <c r="K158" s="8" t="n">
        <v>0</v>
      </c>
      <c r="L158" s="8">
        <f>K158-I158</f>
        <v/>
      </c>
      <c r="M158" s="8">
        <f>IF(K158&lt;I158,"✕ INSUFFISANT",IF(K158&lt;I158*1.2,"⚠ STOCK FAIBLE","✓ COUVERT"))</f>
        <v/>
      </c>
      <c r="N158" s="8" t="inlineStr">
        <is>
          <t>FAU</t>
        </is>
      </c>
      <c r="O158" s="8" t="inlineStr">
        <is>
          <t>IMPORTANT</t>
        </is>
      </c>
      <c r="P158" s="8" t="inlineStr">
        <is>
          <t>31/08/2026 02:59</t>
        </is>
      </c>
    </row>
    <row r="159">
      <c r="A159" s="7" t="inlineStr">
        <is>
          <t>WHAP 8x8</t>
        </is>
      </c>
      <c r="B159" s="7" t="inlineStr">
        <is>
          <t>WHAP-0155</t>
        </is>
      </c>
      <c r="C159" s="7" t="inlineStr">
        <is>
          <t>ARB-0155</t>
        </is>
      </c>
      <c r="D159" s="7" t="inlineStr">
        <is>
          <t>joint homocinétique</t>
        </is>
      </c>
      <c r="E159" s="7" t="inlineStr">
        <is>
          <t>Arbres de transmission</t>
        </is>
      </c>
      <c r="F159" s="7" t="inlineStr">
        <is>
          <t>Arbres de transmission</t>
        </is>
      </c>
      <c r="G159" s="7" t="inlineStr">
        <is>
          <t>PIECE_VEHICULE</t>
        </is>
      </c>
      <c r="H159" s="7" t="n">
        <v>1</v>
      </c>
      <c r="I159" s="7">
        <f>H159*$D$3</f>
        <v/>
      </c>
      <c r="J159" s="7" t="inlineStr">
        <is>
          <t>unité</t>
        </is>
      </c>
      <c r="K159" s="7" t="n">
        <v>0</v>
      </c>
      <c r="L159" s="7">
        <f>K159-I159</f>
        <v/>
      </c>
      <c r="M159" s="7">
        <f>IF(K159&lt;I159,"✕ INSUFFISANT",IF(K159&lt;I159*1.2,"⚠ STOCK FAIBLE","✓ COUVERT"))</f>
        <v/>
      </c>
      <c r="N159" s="7" t="inlineStr">
        <is>
          <t>CTL</t>
        </is>
      </c>
      <c r="O159" s="7" t="inlineStr">
        <is>
          <t>IMPORTANT</t>
        </is>
      </c>
      <c r="P159" s="7" t="inlineStr">
        <is>
          <t>31/08/2026 02:59</t>
        </is>
      </c>
    </row>
    <row r="160">
      <c r="A160" s="8" t="inlineStr">
        <is>
          <t>WHAP 8x8</t>
        </is>
      </c>
      <c r="B160" s="8" t="inlineStr">
        <is>
          <t>WHAP-0156</t>
        </is>
      </c>
      <c r="C160" s="8" t="inlineStr">
        <is>
          <t>ARB-0156</t>
        </is>
      </c>
      <c r="D160" s="8" t="inlineStr">
        <is>
          <t>cardan</t>
        </is>
      </c>
      <c r="E160" s="8" t="inlineStr">
        <is>
          <t>Arbres de transmission</t>
        </is>
      </c>
      <c r="F160" s="8" t="inlineStr">
        <is>
          <t>Arbres de transmission</t>
        </is>
      </c>
      <c r="G160" s="8" t="inlineStr">
        <is>
          <t>PIECE_VEHICULE</t>
        </is>
      </c>
      <c r="H160" s="8" t="n">
        <v>1</v>
      </c>
      <c r="I160" s="8">
        <f>H160*$D$3</f>
        <v/>
      </c>
      <c r="J160" s="8" t="inlineStr">
        <is>
          <t>unité</t>
        </is>
      </c>
      <c r="K160" s="8" t="n">
        <v>0</v>
      </c>
      <c r="L160" s="8">
        <f>K160-I160</f>
        <v/>
      </c>
      <c r="M160" s="8">
        <f>IF(K160&lt;I160,"✕ INSUFFISANT",IF(K160&lt;I160*1.2,"⚠ STOCK FAIBLE","✓ COUVERT"))</f>
        <v/>
      </c>
      <c r="N160" s="8" t="inlineStr">
        <is>
          <t>VAL</t>
        </is>
      </c>
      <c r="O160" s="8" t="inlineStr">
        <is>
          <t>IMPORTANT</t>
        </is>
      </c>
      <c r="P160" s="8" t="inlineStr">
        <is>
          <t>31/08/2026 02:59</t>
        </is>
      </c>
    </row>
    <row r="161">
      <c r="A161" s="7" t="inlineStr">
        <is>
          <t>WHAP 8x8</t>
        </is>
      </c>
      <c r="B161" s="7" t="inlineStr">
        <is>
          <t>WHAP-0157</t>
        </is>
      </c>
      <c r="C161" s="7" t="inlineStr">
        <is>
          <t>ARB-0157</t>
        </is>
      </c>
      <c r="D161" s="7" t="inlineStr">
        <is>
          <t>croisillon</t>
        </is>
      </c>
      <c r="E161" s="7" t="inlineStr">
        <is>
          <t>Arbres de transmission</t>
        </is>
      </c>
      <c r="F161" s="7" t="inlineStr">
        <is>
          <t>Arbres de transmission</t>
        </is>
      </c>
      <c r="G161" s="7" t="inlineStr">
        <is>
          <t>PIECE_VEHICULE</t>
        </is>
      </c>
      <c r="H161" s="7" t="n">
        <v>1</v>
      </c>
      <c r="I161" s="7">
        <f>H161*$D$3</f>
        <v/>
      </c>
      <c r="J161" s="7" t="inlineStr">
        <is>
          <t>unité</t>
        </is>
      </c>
      <c r="K161" s="7" t="n">
        <v>0</v>
      </c>
      <c r="L161" s="7">
        <f>K161-I161</f>
        <v/>
      </c>
      <c r="M161" s="7">
        <f>IF(K161&lt;I161,"✕ INSUFFISANT",IF(K161&lt;I161*1.2,"⚠ STOCK FAIBLE","✓ COUVERT"))</f>
        <v/>
      </c>
      <c r="N161" s="7" t="inlineStr">
        <is>
          <t>HEL</t>
        </is>
      </c>
      <c r="O161" s="7" t="inlineStr">
        <is>
          <t>IMPORTANT</t>
        </is>
      </c>
      <c r="P161" s="7" t="inlineStr">
        <is>
          <t>31/08/2026 02:59</t>
        </is>
      </c>
    </row>
    <row r="162">
      <c r="A162" s="8" t="inlineStr">
        <is>
          <t>WHAP 8x8</t>
        </is>
      </c>
      <c r="B162" s="8" t="inlineStr">
        <is>
          <t>WHAP-0158</t>
        </is>
      </c>
      <c r="C162" s="8" t="inlineStr">
        <is>
          <t>ARB-0158</t>
        </is>
      </c>
      <c r="D162" s="8" t="inlineStr">
        <is>
          <t>palier central</t>
        </is>
      </c>
      <c r="E162" s="8" t="inlineStr">
        <is>
          <t>Arbres de transmission</t>
        </is>
      </c>
      <c r="F162" s="8" t="inlineStr">
        <is>
          <t>Arbres de transmission</t>
        </is>
      </c>
      <c r="G162" s="8" t="inlineStr">
        <is>
          <t>PIECE_VEHICULE</t>
        </is>
      </c>
      <c r="H162" s="8" t="n">
        <v>1</v>
      </c>
      <c r="I162" s="8">
        <f>H162*$D$3</f>
        <v/>
      </c>
      <c r="J162" s="8" t="inlineStr">
        <is>
          <t>unité</t>
        </is>
      </c>
      <c r="K162" s="8" t="n">
        <v>0</v>
      </c>
      <c r="L162" s="8">
        <f>K162-I162</f>
        <v/>
      </c>
      <c r="M162" s="8">
        <f>IF(K162&lt;I162,"✕ INSUFFISANT",IF(K162&lt;I162*1.2,"⚠ STOCK FAIBLE","✓ COUVERT"))</f>
        <v/>
      </c>
      <c r="N162" s="8" t="inlineStr">
        <is>
          <t>FAU</t>
        </is>
      </c>
      <c r="O162" s="8" t="inlineStr">
        <is>
          <t>IMPORTANT</t>
        </is>
      </c>
      <c r="P162" s="8" t="inlineStr">
        <is>
          <t>31/08/2026 02:59</t>
        </is>
      </c>
    </row>
    <row r="163">
      <c r="A163" s="7" t="inlineStr">
        <is>
          <t>WHAP 8x8</t>
        </is>
      </c>
      <c r="B163" s="7" t="inlineStr">
        <is>
          <t>WHAP-0159</t>
        </is>
      </c>
      <c r="C163" s="7" t="inlineStr">
        <is>
          <t>ARB-0159</t>
        </is>
      </c>
      <c r="D163" s="7" t="inlineStr">
        <is>
          <t>support de palier</t>
        </is>
      </c>
      <c r="E163" s="7" t="inlineStr">
        <is>
          <t>Arbres de transmission</t>
        </is>
      </c>
      <c r="F163" s="7" t="inlineStr">
        <is>
          <t>Arbres de transmission</t>
        </is>
      </c>
      <c r="G163" s="7" t="inlineStr">
        <is>
          <t>PIECE_VEHICULE</t>
        </is>
      </c>
      <c r="H163" s="7" t="n">
        <v>1</v>
      </c>
      <c r="I163" s="7">
        <f>H163*$D$3</f>
        <v/>
      </c>
      <c r="J163" s="7" t="inlineStr">
        <is>
          <t>unité</t>
        </is>
      </c>
      <c r="K163" s="7" t="n">
        <v>0</v>
      </c>
      <c r="L163" s="7">
        <f>K163-I163</f>
        <v/>
      </c>
      <c r="M163" s="7">
        <f>IF(K163&lt;I163,"✕ INSUFFISANT",IF(K163&lt;I163*1.2,"⚠ STOCK FAIBLE","✓ COUVERT"))</f>
        <v/>
      </c>
      <c r="N163" s="7" t="inlineStr">
        <is>
          <t>SKF</t>
        </is>
      </c>
      <c r="O163" s="7" t="inlineStr">
        <is>
          <t>IMPORTANT</t>
        </is>
      </c>
      <c r="P163" s="7" t="inlineStr">
        <is>
          <t>31/08/2026 02:59</t>
        </is>
      </c>
    </row>
    <row r="164">
      <c r="A164" s="8" t="inlineStr">
        <is>
          <t>WHAP 8x8</t>
        </is>
      </c>
      <c r="B164" s="8" t="inlineStr">
        <is>
          <t>WHAP-0160</t>
        </is>
      </c>
      <c r="C164" s="8" t="inlineStr">
        <is>
          <t>ARB-0160</t>
        </is>
      </c>
      <c r="D164" s="8" t="inlineStr">
        <is>
          <t>flasque d'arbre</t>
        </is>
      </c>
      <c r="E164" s="8" t="inlineStr">
        <is>
          <t>Arbres de transmission</t>
        </is>
      </c>
      <c r="F164" s="8" t="inlineStr">
        <is>
          <t>Arbres de transmission</t>
        </is>
      </c>
      <c r="G164" s="8" t="inlineStr">
        <is>
          <t>PIECE_VEHICULE</t>
        </is>
      </c>
      <c r="H164" s="8" t="n">
        <v>1</v>
      </c>
      <c r="I164" s="8">
        <f>H164*$D$3</f>
        <v/>
      </c>
      <c r="J164" s="8" t="inlineStr">
        <is>
          <t>unité</t>
        </is>
      </c>
      <c r="K164" s="8" t="n">
        <v>0</v>
      </c>
      <c r="L164" s="8">
        <f>K164-I164</f>
        <v/>
      </c>
      <c r="M164" s="8">
        <f>IF(K164&lt;I164,"✕ INSUFFISANT",IF(K164&lt;I164*1.2,"⚠ STOCK FAIBLE","✓ COUVERT"))</f>
        <v/>
      </c>
      <c r="N164" s="8" t="inlineStr">
        <is>
          <t>FAU</t>
        </is>
      </c>
      <c r="O164" s="8" t="inlineStr">
        <is>
          <t>IMPORTANT</t>
        </is>
      </c>
      <c r="P164" s="8" t="inlineStr">
        <is>
          <t>31/08/2026 02:59</t>
        </is>
      </c>
    </row>
    <row r="165">
      <c r="A165" s="7" t="inlineStr">
        <is>
          <t>WHAP 8x8</t>
        </is>
      </c>
      <c r="B165" s="7" t="inlineStr">
        <is>
          <t>WHAP-0161</t>
        </is>
      </c>
      <c r="C165" s="7" t="inlineStr">
        <is>
          <t>ARB-0161</t>
        </is>
      </c>
      <c r="D165" s="7" t="inlineStr">
        <is>
          <t>fourche d'arbre</t>
        </is>
      </c>
      <c r="E165" s="7" t="inlineStr">
        <is>
          <t>Arbres de transmission</t>
        </is>
      </c>
      <c r="F165" s="7" t="inlineStr">
        <is>
          <t>Arbres de transmission</t>
        </is>
      </c>
      <c r="G165" s="7" t="inlineStr">
        <is>
          <t>PIECE_VEHICULE</t>
        </is>
      </c>
      <c r="H165" s="7" t="n">
        <v>1</v>
      </c>
      <c r="I165" s="7">
        <f>H165*$D$3</f>
        <v/>
      </c>
      <c r="J165" s="7" t="inlineStr">
        <is>
          <t>unité</t>
        </is>
      </c>
      <c r="K165" s="7" t="n">
        <v>0</v>
      </c>
      <c r="L165" s="7">
        <f>K165-I165</f>
        <v/>
      </c>
      <c r="M165" s="7">
        <f>IF(K165&lt;I165,"✕ INSUFFISANT",IF(K165&lt;I165*1.2,"⚠ STOCK FAIBLE","✓ COUVERT"))</f>
        <v/>
      </c>
      <c r="N165" s="7" t="inlineStr">
        <is>
          <t>DEL</t>
        </is>
      </c>
      <c r="O165" s="7" t="inlineStr">
        <is>
          <t>IMPORTANT</t>
        </is>
      </c>
      <c r="P165" s="7" t="inlineStr">
        <is>
          <t>31/08/2026 02:59</t>
        </is>
      </c>
    </row>
    <row r="166">
      <c r="A166" s="8" t="inlineStr">
        <is>
          <t>WHAP 8x8</t>
        </is>
      </c>
      <c r="B166" s="8" t="inlineStr">
        <is>
          <t>WHAP-0162</t>
        </is>
      </c>
      <c r="C166" s="8" t="inlineStr">
        <is>
          <t>ARB-0162</t>
        </is>
      </c>
      <c r="D166" s="8" t="inlineStr">
        <is>
          <t>écrou de flasque</t>
        </is>
      </c>
      <c r="E166" s="8" t="inlineStr">
        <is>
          <t>Arbres de transmission</t>
        </is>
      </c>
      <c r="F166" s="8" t="inlineStr">
        <is>
          <t>Arbres de transmission</t>
        </is>
      </c>
      <c r="G166" s="8" t="inlineStr">
        <is>
          <t>PIECE_VEHICULE</t>
        </is>
      </c>
      <c r="H166" s="8" t="n">
        <v>1</v>
      </c>
      <c r="I166" s="8">
        <f>H166*$D$3</f>
        <v/>
      </c>
      <c r="J166" s="8" t="inlineStr">
        <is>
          <t>unité</t>
        </is>
      </c>
      <c r="K166" s="8" t="n">
        <v>0</v>
      </c>
      <c r="L166" s="8">
        <f>K166-I166</f>
        <v/>
      </c>
      <c r="M166" s="8">
        <f>IF(K166&lt;I166,"✕ INSUFFISANT",IF(K166&lt;I166*1.2,"⚠ STOCK FAIBLE","✓ COUVERT"))</f>
        <v/>
      </c>
      <c r="N166" s="8" t="inlineStr">
        <is>
          <t>VAL</t>
        </is>
      </c>
      <c r="O166" s="8" t="inlineStr">
        <is>
          <t>IMPORTANT</t>
        </is>
      </c>
      <c r="P166" s="8" t="inlineStr">
        <is>
          <t>31/08/2026 02:59</t>
        </is>
      </c>
    </row>
    <row r="167">
      <c r="A167" s="7" t="inlineStr">
        <is>
          <t>WHAP 8x8</t>
        </is>
      </c>
      <c r="B167" s="7" t="inlineStr">
        <is>
          <t>WHAP-0163</t>
        </is>
      </c>
      <c r="C167" s="7" t="inlineStr">
        <is>
          <t>ARB-0163</t>
        </is>
      </c>
      <c r="D167" s="7" t="inlineStr">
        <is>
          <t>boulon de flasque</t>
        </is>
      </c>
      <c r="E167" s="7" t="inlineStr">
        <is>
          <t>Arbres de transmission</t>
        </is>
      </c>
      <c r="F167" s="7" t="inlineStr">
        <is>
          <t>Arbres de transmission</t>
        </is>
      </c>
      <c r="G167" s="7" t="inlineStr">
        <is>
          <t>PIECE_VEHICULE</t>
        </is>
      </c>
      <c r="H167" s="7" t="n">
        <v>1</v>
      </c>
      <c r="I167" s="7">
        <f>H167*$D$3</f>
        <v/>
      </c>
      <c r="J167" s="7" t="inlineStr">
        <is>
          <t>unité</t>
        </is>
      </c>
      <c r="K167" s="7" t="n">
        <v>0</v>
      </c>
      <c r="L167" s="7">
        <f>K167-I167</f>
        <v/>
      </c>
      <c r="M167" s="7">
        <f>IF(K167&lt;I167,"✕ INSUFFISANT",IF(K167&lt;I167*1.2,"⚠ STOCK FAIBLE","✓ COUVERT"))</f>
        <v/>
      </c>
      <c r="N167" s="7" t="inlineStr">
        <is>
          <t>SUM</t>
        </is>
      </c>
      <c r="O167" s="7" t="inlineStr">
        <is>
          <t>IMPORTANT</t>
        </is>
      </c>
      <c r="P167" s="7" t="inlineStr">
        <is>
          <t>31/08/2026 02:59</t>
        </is>
      </c>
    </row>
    <row r="168">
      <c r="A168" s="8" t="inlineStr">
        <is>
          <t>WHAP 8x8</t>
        </is>
      </c>
      <c r="B168" s="8" t="inlineStr">
        <is>
          <t>WHAP-0164</t>
        </is>
      </c>
      <c r="C168" s="8" t="inlineStr">
        <is>
          <t>ARB-0164</t>
        </is>
      </c>
      <c r="D168" s="8" t="inlineStr">
        <is>
          <t>équilibreur d'arbre</t>
        </is>
      </c>
      <c r="E168" s="8" t="inlineStr">
        <is>
          <t>Arbres de transmission</t>
        </is>
      </c>
      <c r="F168" s="8" t="inlineStr">
        <is>
          <t>Arbres de transmission</t>
        </is>
      </c>
      <c r="G168" s="8" t="inlineStr">
        <is>
          <t>PIECE_VEHICULE</t>
        </is>
      </c>
      <c r="H168" s="8" t="n">
        <v>1</v>
      </c>
      <c r="I168" s="8">
        <f>H168*$D$3</f>
        <v/>
      </c>
      <c r="J168" s="8" t="inlineStr">
        <is>
          <t>unité</t>
        </is>
      </c>
      <c r="K168" s="8" t="n">
        <v>0</v>
      </c>
      <c r="L168" s="8">
        <f>K168-I168</f>
        <v/>
      </c>
      <c r="M168" s="8">
        <f>IF(K168&lt;I168,"✕ INSUFFISANT",IF(K168&lt;I168*1.2,"⚠ STOCK FAIBLE","✓ COUVERT"))</f>
        <v/>
      </c>
      <c r="N168" s="8" t="inlineStr">
        <is>
          <t>SKF</t>
        </is>
      </c>
      <c r="O168" s="8" t="inlineStr">
        <is>
          <t>IMPORTANT</t>
        </is>
      </c>
      <c r="P168" s="8" t="inlineStr">
        <is>
          <t>31/08/2026 02:59</t>
        </is>
      </c>
    </row>
    <row r="169">
      <c r="A169" s="7" t="inlineStr">
        <is>
          <t>WHAP 8x8</t>
        </is>
      </c>
      <c r="B169" s="7" t="inlineStr">
        <is>
          <t>WHAP-0165</t>
        </is>
      </c>
      <c r="C169" s="7" t="inlineStr">
        <is>
          <t>ARB-0165</t>
        </is>
      </c>
      <c r="D169" s="7" t="inlineStr">
        <is>
          <t>protecteur d'arbre</t>
        </is>
      </c>
      <c r="E169" s="7" t="inlineStr">
        <is>
          <t>Arbres de transmission</t>
        </is>
      </c>
      <c r="F169" s="7" t="inlineStr">
        <is>
          <t>Arbres de transmission</t>
        </is>
      </c>
      <c r="G169" s="7" t="inlineStr">
        <is>
          <t>PIECE_VEHICULE</t>
        </is>
      </c>
      <c r="H169" s="7" t="n">
        <v>1</v>
      </c>
      <c r="I169" s="7">
        <f>H169*$D$3</f>
        <v/>
      </c>
      <c r="J169" s="7" t="inlineStr">
        <is>
          <t>unité</t>
        </is>
      </c>
      <c r="K169" s="7" t="n">
        <v>0</v>
      </c>
      <c r="L169" s="7">
        <f>K169-I169</f>
        <v/>
      </c>
      <c r="M169" s="7">
        <f>IF(K169&lt;I169,"✕ INSUFFISANT",IF(K169&lt;I169*1.2,"⚠ STOCK FAIBLE","✓ COUVERT"))</f>
        <v/>
      </c>
      <c r="N169" s="7" t="inlineStr">
        <is>
          <t>SUM</t>
        </is>
      </c>
      <c r="O169" s="7" t="inlineStr">
        <is>
          <t>IMPORTANT</t>
        </is>
      </c>
      <c r="P169" s="7" t="inlineStr">
        <is>
          <t>31/08/2026 02:59</t>
        </is>
      </c>
    </row>
    <row r="170">
      <c r="A170" s="8" t="inlineStr">
        <is>
          <t>WHAP 8x8</t>
        </is>
      </c>
      <c r="B170" s="8" t="inlineStr">
        <is>
          <t>WHAP-0166</t>
        </is>
      </c>
      <c r="C170" s="8" t="inlineStr">
        <is>
          <t>ARB-0166</t>
        </is>
      </c>
      <c r="D170" s="8" t="inlineStr">
        <is>
          <t>joint coulissant</t>
        </is>
      </c>
      <c r="E170" s="8" t="inlineStr">
        <is>
          <t>Arbres de transmission</t>
        </is>
      </c>
      <c r="F170" s="8" t="inlineStr">
        <is>
          <t>Arbres de transmission</t>
        </is>
      </c>
      <c r="G170" s="8" t="inlineStr">
        <is>
          <t>PIECE_VEHICULE</t>
        </is>
      </c>
      <c r="H170" s="8" t="n">
        <v>1</v>
      </c>
      <c r="I170" s="8">
        <f>H170*$D$3</f>
        <v/>
      </c>
      <c r="J170" s="8" t="inlineStr">
        <is>
          <t>unité</t>
        </is>
      </c>
      <c r="K170" s="8" t="n">
        <v>0</v>
      </c>
      <c r="L170" s="8">
        <f>K170-I170</f>
        <v/>
      </c>
      <c r="M170" s="8">
        <f>IF(K170&lt;I170,"✕ INSUFFISANT",IF(K170&lt;I170*1.2,"⚠ STOCK FAIBLE","✓ COUVERT"))</f>
        <v/>
      </c>
      <c r="N170" s="8" t="inlineStr">
        <is>
          <t>BOS</t>
        </is>
      </c>
      <c r="O170" s="8" t="inlineStr">
        <is>
          <t>IMPORTANT</t>
        </is>
      </c>
      <c r="P170" s="8" t="inlineStr">
        <is>
          <t>31/08/2026 02:59</t>
        </is>
      </c>
    </row>
    <row r="171">
      <c r="A171" s="7" t="inlineStr">
        <is>
          <t>WHAP 8x8</t>
        </is>
      </c>
      <c r="B171" s="7" t="inlineStr">
        <is>
          <t>WHAP-0167</t>
        </is>
      </c>
      <c r="C171" s="7" t="inlineStr">
        <is>
          <t>ARB-0167</t>
        </is>
      </c>
      <c r="D171" s="7" t="inlineStr">
        <is>
          <t>cannelures d'arbre</t>
        </is>
      </c>
      <c r="E171" s="7" t="inlineStr">
        <is>
          <t>Arbres de transmission</t>
        </is>
      </c>
      <c r="F171" s="7" t="inlineStr">
        <is>
          <t>Arbres de transmission</t>
        </is>
      </c>
      <c r="G171" s="7" t="inlineStr">
        <is>
          <t>PIECE_VEHICULE</t>
        </is>
      </c>
      <c r="H171" s="7" t="n">
        <v>1</v>
      </c>
      <c r="I171" s="7">
        <f>H171*$D$3</f>
        <v/>
      </c>
      <c r="J171" s="7" t="inlineStr">
        <is>
          <t>unité</t>
        </is>
      </c>
      <c r="K171" s="7" t="n">
        <v>0</v>
      </c>
      <c r="L171" s="7">
        <f>K171-I171</f>
        <v/>
      </c>
      <c r="M171" s="7">
        <f>IF(K171&lt;I171,"✕ INSUFFISANT",IF(K171&lt;I171*1.2,"⚠ STOCK FAIBLE","✓ COUVERT"))</f>
        <v/>
      </c>
      <c r="N171" s="7" t="inlineStr">
        <is>
          <t>SKF</t>
        </is>
      </c>
      <c r="O171" s="7" t="inlineStr">
        <is>
          <t>IMPORTANT</t>
        </is>
      </c>
      <c r="P171" s="7" t="inlineStr">
        <is>
          <t>31/08/2026 02:59</t>
        </is>
      </c>
    </row>
    <row r="172">
      <c r="A172" s="8" t="inlineStr">
        <is>
          <t>WHAP 8x8</t>
        </is>
      </c>
      <c r="B172" s="8" t="inlineStr">
        <is>
          <t>WHAP-0168</t>
        </is>
      </c>
      <c r="C172" s="8" t="inlineStr">
        <is>
          <t>ARB-0168</t>
        </is>
      </c>
      <c r="D172" s="8" t="inlineStr">
        <is>
          <t>circlip</t>
        </is>
      </c>
      <c r="E172" s="8" t="inlineStr">
        <is>
          <t>Arbres de transmission</t>
        </is>
      </c>
      <c r="F172" s="8" t="inlineStr">
        <is>
          <t>Arbres de transmission</t>
        </is>
      </c>
      <c r="G172" s="8" t="inlineStr">
        <is>
          <t>PIECE_VEHICULE</t>
        </is>
      </c>
      <c r="H172" s="8" t="n">
        <v>1</v>
      </c>
      <c r="I172" s="8">
        <f>H172*$D$3</f>
        <v/>
      </c>
      <c r="J172" s="8" t="inlineStr">
        <is>
          <t>unité</t>
        </is>
      </c>
      <c r="K172" s="8" t="n">
        <v>0</v>
      </c>
      <c r="L172" s="8">
        <f>K172-I172</f>
        <v/>
      </c>
      <c r="M172" s="8">
        <f>IF(K172&lt;I172,"✕ INSUFFISANT",IF(K172&lt;I172*1.2,"⚠ STOCK FAIBLE","✓ COUVERT"))</f>
        <v/>
      </c>
      <c r="N172" s="8" t="inlineStr">
        <is>
          <t>DEL</t>
        </is>
      </c>
      <c r="O172" s="8" t="inlineStr">
        <is>
          <t>IMPORTANT</t>
        </is>
      </c>
      <c r="P172" s="8" t="inlineStr">
        <is>
          <t>31/08/2026 02:59</t>
        </is>
      </c>
    </row>
    <row r="173">
      <c r="A173" s="7" t="inlineStr">
        <is>
          <t>WHAP 8x8</t>
        </is>
      </c>
      <c r="B173" s="7" t="inlineStr">
        <is>
          <t>WHAP-0169</t>
        </is>
      </c>
      <c r="C173" s="7" t="inlineStr">
        <is>
          <t>ARB-0169</t>
        </is>
      </c>
      <c r="D173" s="7" t="inlineStr">
        <is>
          <t>graisseur</t>
        </is>
      </c>
      <c r="E173" s="7" t="inlineStr">
        <is>
          <t>Arbres de transmission</t>
        </is>
      </c>
      <c r="F173" s="7" t="inlineStr">
        <is>
          <t>Arbres de transmission</t>
        </is>
      </c>
      <c r="G173" s="7" t="inlineStr">
        <is>
          <t>PIECE_VEHICULE</t>
        </is>
      </c>
      <c r="H173" s="7" t="n">
        <v>1</v>
      </c>
      <c r="I173" s="7">
        <f>H173*$D$3</f>
        <v/>
      </c>
      <c r="J173" s="7" t="inlineStr">
        <is>
          <t>unité</t>
        </is>
      </c>
      <c r="K173" s="7" t="n">
        <v>0</v>
      </c>
      <c r="L173" s="7">
        <f>K173-I173</f>
        <v/>
      </c>
      <c r="M173" s="7">
        <f>IF(K173&lt;I173,"✕ INSUFFISANT",IF(K173&lt;I173*1.2,"⚠ STOCK FAIBLE","✓ COUVERT"))</f>
        <v/>
      </c>
      <c r="N173" s="7" t="inlineStr">
        <is>
          <t>SUM</t>
        </is>
      </c>
      <c r="O173" s="7" t="inlineStr">
        <is>
          <t>IMPORTANT</t>
        </is>
      </c>
      <c r="P173" s="7" t="inlineStr">
        <is>
          <t>31/08/2026 02:59</t>
        </is>
      </c>
    </row>
    <row r="174">
      <c r="A174" s="8" t="inlineStr">
        <is>
          <t>WHAP 8x8</t>
        </is>
      </c>
      <c r="B174" s="8" t="inlineStr">
        <is>
          <t>WHAP-0170</t>
        </is>
      </c>
      <c r="C174" s="8" t="inlineStr">
        <is>
          <t>ARB-0170</t>
        </is>
      </c>
      <c r="D174" s="8" t="inlineStr">
        <is>
          <t>bague d'étanchéité</t>
        </is>
      </c>
      <c r="E174" s="8" t="inlineStr">
        <is>
          <t>Arbres de transmission</t>
        </is>
      </c>
      <c r="F174" s="8" t="inlineStr">
        <is>
          <t>Arbres de transmission</t>
        </is>
      </c>
      <c r="G174" s="8" t="inlineStr">
        <is>
          <t>PIECE_VEHICULE</t>
        </is>
      </c>
      <c r="H174" s="8" t="n">
        <v>1</v>
      </c>
      <c r="I174" s="8">
        <f>H174*$D$3</f>
        <v/>
      </c>
      <c r="J174" s="8" t="inlineStr">
        <is>
          <t>unité</t>
        </is>
      </c>
      <c r="K174" s="8" t="n">
        <v>0</v>
      </c>
      <c r="L174" s="8">
        <f>K174-I174</f>
        <v/>
      </c>
      <c r="M174" s="8">
        <f>IF(K174&lt;I174,"✕ INSUFFISANT",IF(K174&lt;I174*1.2,"⚠ STOCK FAIBLE","✓ COUVERT"))</f>
        <v/>
      </c>
      <c r="N174" s="8" t="inlineStr">
        <is>
          <t>MAG</t>
        </is>
      </c>
      <c r="O174" s="8" t="inlineStr">
        <is>
          <t>IMPORTANT</t>
        </is>
      </c>
      <c r="P174" s="8" t="inlineStr">
        <is>
          <t>31/08/2026 02:59</t>
        </is>
      </c>
    </row>
    <row r="175">
      <c r="A175" s="7" t="inlineStr">
        <is>
          <t>WHAP 8x8</t>
        </is>
      </c>
      <c r="B175" s="7" t="inlineStr">
        <is>
          <t>WHAP-0171</t>
        </is>
      </c>
      <c r="C175" s="7" t="inlineStr">
        <is>
          <t>ESS-0171</t>
        </is>
      </c>
      <c r="D175" s="7" t="inlineStr">
        <is>
          <t>essieu avant</t>
        </is>
      </c>
      <c r="E175" s="7" t="inlineStr">
        <is>
          <t>Essieux et différentiels</t>
        </is>
      </c>
      <c r="F175" s="7" t="inlineStr">
        <is>
          <t>Essieux et différentiels</t>
        </is>
      </c>
      <c r="G175" s="7" t="inlineStr">
        <is>
          <t>PIECE_VEHICULE</t>
        </is>
      </c>
      <c r="H175" s="7" t="n">
        <v>1</v>
      </c>
      <c r="I175" s="7">
        <f>H175*$D$3</f>
        <v/>
      </c>
      <c r="J175" s="7" t="inlineStr">
        <is>
          <t>unité</t>
        </is>
      </c>
      <c r="K175" s="7" t="n">
        <v>220</v>
      </c>
      <c r="L175" s="7">
        <f>K175-I175</f>
        <v/>
      </c>
      <c r="M175" s="7">
        <f>IF(K175&lt;I175,"✕ INSUFFISANT",IF(K175&lt;I175*1.2,"⚠ STOCK FAIBLE","✓ COUVERT"))</f>
        <v/>
      </c>
      <c r="N175" s="7" t="inlineStr">
        <is>
          <t>MAG</t>
        </is>
      </c>
      <c r="O175" s="7" t="inlineStr">
        <is>
          <t>CRITIQUE</t>
        </is>
      </c>
      <c r="P175" s="7" t="inlineStr">
        <is>
          <t>31/08/2026 02:59</t>
        </is>
      </c>
    </row>
    <row r="176">
      <c r="A176" s="8" t="inlineStr">
        <is>
          <t>WHAP 8x8</t>
        </is>
      </c>
      <c r="B176" s="8" t="inlineStr">
        <is>
          <t>WHAP-0172</t>
        </is>
      </c>
      <c r="C176" s="8" t="inlineStr">
        <is>
          <t>ESS-0172</t>
        </is>
      </c>
      <c r="D176" s="8" t="inlineStr">
        <is>
          <t>essieu arrière</t>
        </is>
      </c>
      <c r="E176" s="8" t="inlineStr">
        <is>
          <t>Essieux et différentiels</t>
        </is>
      </c>
      <c r="F176" s="8" t="inlineStr">
        <is>
          <t>Essieux et différentiels</t>
        </is>
      </c>
      <c r="G176" s="8" t="inlineStr">
        <is>
          <t>PIECE_VEHICULE</t>
        </is>
      </c>
      <c r="H176" s="8" t="n">
        <v>1</v>
      </c>
      <c r="I176" s="8">
        <f>H176*$D$3</f>
        <v/>
      </c>
      <c r="J176" s="8" t="inlineStr">
        <is>
          <t>unité</t>
        </is>
      </c>
      <c r="K176" s="8" t="n">
        <v>208</v>
      </c>
      <c r="L176" s="8">
        <f>K176-I176</f>
        <v/>
      </c>
      <c r="M176" s="8">
        <f>IF(K176&lt;I176,"✕ INSUFFISANT",IF(K176&lt;I176*1.2,"⚠ STOCK FAIBLE","✓ COUVERT"))</f>
        <v/>
      </c>
      <c r="N176" s="8" t="inlineStr">
        <is>
          <t>VAL</t>
        </is>
      </c>
      <c r="O176" s="8" t="inlineStr">
        <is>
          <t>CRITIQUE</t>
        </is>
      </c>
      <c r="P176" s="8" t="inlineStr">
        <is>
          <t>31/08/2026 02:59</t>
        </is>
      </c>
    </row>
    <row r="177">
      <c r="A177" s="7" t="inlineStr">
        <is>
          <t>WHAP 8x8</t>
        </is>
      </c>
      <c r="B177" s="7" t="inlineStr">
        <is>
          <t>WHAP-0173</t>
        </is>
      </c>
      <c r="C177" s="7" t="inlineStr">
        <is>
          <t>ESS-0173</t>
        </is>
      </c>
      <c r="D177" s="7" t="inlineStr">
        <is>
          <t>carter d'essieu</t>
        </is>
      </c>
      <c r="E177" s="7" t="inlineStr">
        <is>
          <t>Essieux et différentiels</t>
        </is>
      </c>
      <c r="F177" s="7" t="inlineStr">
        <is>
          <t>Essieux et différentiels</t>
        </is>
      </c>
      <c r="G177" s="7" t="inlineStr">
        <is>
          <t>PIECE_VEHICULE</t>
        </is>
      </c>
      <c r="H177" s="7" t="n">
        <v>1</v>
      </c>
      <c r="I177" s="7">
        <f>H177*$D$3</f>
        <v/>
      </c>
      <c r="J177" s="7" t="inlineStr">
        <is>
          <t>unité</t>
        </is>
      </c>
      <c r="K177" s="7" t="n">
        <v>0</v>
      </c>
      <c r="L177" s="7">
        <f>K177-I177</f>
        <v/>
      </c>
      <c r="M177" s="7">
        <f>IF(K177&lt;I177,"✕ INSUFFISANT",IF(K177&lt;I177*1.2,"⚠ STOCK FAIBLE","✓ COUVERT"))</f>
        <v/>
      </c>
      <c r="N177" s="7" t="inlineStr">
        <is>
          <t>SUM</t>
        </is>
      </c>
      <c r="O177" s="7" t="inlineStr">
        <is>
          <t>CRITIQUE</t>
        </is>
      </c>
      <c r="P177" s="7" t="inlineStr">
        <is>
          <t>31/08/2026 02:59</t>
        </is>
      </c>
    </row>
    <row r="178">
      <c r="A178" s="8" t="inlineStr">
        <is>
          <t>WHAP 8x8</t>
        </is>
      </c>
      <c r="B178" s="8" t="inlineStr">
        <is>
          <t>WHAP-0174</t>
        </is>
      </c>
      <c r="C178" s="8" t="inlineStr">
        <is>
          <t>ESS-0174</t>
        </is>
      </c>
      <c r="D178" s="8" t="inlineStr">
        <is>
          <t>pont avant</t>
        </is>
      </c>
      <c r="E178" s="8" t="inlineStr">
        <is>
          <t>Essieux et différentiels</t>
        </is>
      </c>
      <c r="F178" s="8" t="inlineStr">
        <is>
          <t>Essieux et différentiels</t>
        </is>
      </c>
      <c r="G178" s="8" t="inlineStr">
        <is>
          <t>PIECE_VEHICULE</t>
        </is>
      </c>
      <c r="H178" s="8" t="n">
        <v>1</v>
      </c>
      <c r="I178" s="8">
        <f>H178*$D$3</f>
        <v/>
      </c>
      <c r="J178" s="8" t="inlineStr">
        <is>
          <t>unité</t>
        </is>
      </c>
      <c r="K178" s="8" t="n">
        <v>0</v>
      </c>
      <c r="L178" s="8">
        <f>K178-I178</f>
        <v/>
      </c>
      <c r="M178" s="8">
        <f>IF(K178&lt;I178,"✕ INSUFFISANT",IF(K178&lt;I178*1.2,"⚠ STOCK FAIBLE","✓ COUVERT"))</f>
        <v/>
      </c>
      <c r="N178" s="8" t="inlineStr">
        <is>
          <t>HEL</t>
        </is>
      </c>
      <c r="O178" s="8" t="inlineStr">
        <is>
          <t>CRITIQUE</t>
        </is>
      </c>
      <c r="P178" s="8" t="inlineStr">
        <is>
          <t>31/08/2026 02:59</t>
        </is>
      </c>
    </row>
    <row r="179">
      <c r="A179" s="7" t="inlineStr">
        <is>
          <t>WHAP 8x8</t>
        </is>
      </c>
      <c r="B179" s="7" t="inlineStr">
        <is>
          <t>WHAP-0175</t>
        </is>
      </c>
      <c r="C179" s="7" t="inlineStr">
        <is>
          <t>ESS-0175</t>
        </is>
      </c>
      <c r="D179" s="7" t="inlineStr">
        <is>
          <t>pont arrière</t>
        </is>
      </c>
      <c r="E179" s="7" t="inlineStr">
        <is>
          <t>Essieux et différentiels</t>
        </is>
      </c>
      <c r="F179" s="7" t="inlineStr">
        <is>
          <t>Essieux et différentiels</t>
        </is>
      </c>
      <c r="G179" s="7" t="inlineStr">
        <is>
          <t>PIECE_VEHICULE</t>
        </is>
      </c>
      <c r="H179" s="7" t="n">
        <v>1</v>
      </c>
      <c r="I179" s="7">
        <f>H179*$D$3</f>
        <v/>
      </c>
      <c r="J179" s="7" t="inlineStr">
        <is>
          <t>unité</t>
        </is>
      </c>
      <c r="K179" s="7" t="n">
        <v>0</v>
      </c>
      <c r="L179" s="7">
        <f>K179-I179</f>
        <v/>
      </c>
      <c r="M179" s="7">
        <f>IF(K179&lt;I179,"✕ INSUFFISANT",IF(K179&lt;I179*1.2,"⚠ STOCK FAIBLE","✓ COUVERT"))</f>
        <v/>
      </c>
      <c r="N179" s="7" t="inlineStr">
        <is>
          <t>SUM</t>
        </is>
      </c>
      <c r="O179" s="7" t="inlineStr">
        <is>
          <t>CRITIQUE</t>
        </is>
      </c>
      <c r="P179" s="7" t="inlineStr">
        <is>
          <t>31/08/2026 02:59</t>
        </is>
      </c>
    </row>
    <row r="180">
      <c r="A180" s="8" t="inlineStr">
        <is>
          <t>WHAP 8x8</t>
        </is>
      </c>
      <c r="B180" s="8" t="inlineStr">
        <is>
          <t>WHAP-0176</t>
        </is>
      </c>
      <c r="C180" s="8" t="inlineStr">
        <is>
          <t>ESS-0176</t>
        </is>
      </c>
      <c r="D180" s="8" t="inlineStr">
        <is>
          <t>différentiel avant</t>
        </is>
      </c>
      <c r="E180" s="8" t="inlineStr">
        <is>
          <t>Essieux et différentiels</t>
        </is>
      </c>
      <c r="F180" s="8" t="inlineStr">
        <is>
          <t>Essieux et différentiels</t>
        </is>
      </c>
      <c r="G180" s="8" t="inlineStr">
        <is>
          <t>PIECE_VEHICULE</t>
        </is>
      </c>
      <c r="H180" s="8" t="n">
        <v>1</v>
      </c>
      <c r="I180" s="8">
        <f>H180*$D$3</f>
        <v/>
      </c>
      <c r="J180" s="8" t="inlineStr">
        <is>
          <t>unité</t>
        </is>
      </c>
      <c r="K180" s="8" t="n">
        <v>0</v>
      </c>
      <c r="L180" s="8">
        <f>K180-I180</f>
        <v/>
      </c>
      <c r="M180" s="8">
        <f>IF(K180&lt;I180,"✕ INSUFFISANT",IF(K180&lt;I180*1.2,"⚠ STOCK FAIBLE","✓ COUVERT"))</f>
        <v/>
      </c>
      <c r="N180" s="8" t="inlineStr">
        <is>
          <t>MAG</t>
        </is>
      </c>
      <c r="O180" s="8" t="inlineStr">
        <is>
          <t>CRITIQUE</t>
        </is>
      </c>
      <c r="P180" s="8" t="inlineStr">
        <is>
          <t>31/08/2026 02:59</t>
        </is>
      </c>
    </row>
    <row r="181">
      <c r="A181" s="7" t="inlineStr">
        <is>
          <t>WHAP 8x8</t>
        </is>
      </c>
      <c r="B181" s="7" t="inlineStr">
        <is>
          <t>WHAP-0177</t>
        </is>
      </c>
      <c r="C181" s="7" t="inlineStr">
        <is>
          <t>ESS-0177</t>
        </is>
      </c>
      <c r="D181" s="7" t="inlineStr">
        <is>
          <t>différentiel arrière</t>
        </is>
      </c>
      <c r="E181" s="7" t="inlineStr">
        <is>
          <t>Essieux et différentiels</t>
        </is>
      </c>
      <c r="F181" s="7" t="inlineStr">
        <is>
          <t>Essieux et différentiels</t>
        </is>
      </c>
      <c r="G181" s="7" t="inlineStr">
        <is>
          <t>PIECE_VEHICULE</t>
        </is>
      </c>
      <c r="H181" s="7" t="n">
        <v>1</v>
      </c>
      <c r="I181" s="7">
        <f>H181*$D$3</f>
        <v/>
      </c>
      <c r="J181" s="7" t="inlineStr">
        <is>
          <t>unité</t>
        </is>
      </c>
      <c r="K181" s="7" t="n">
        <v>0</v>
      </c>
      <c r="L181" s="7">
        <f>K181-I181</f>
        <v/>
      </c>
      <c r="M181" s="7">
        <f>IF(K181&lt;I181,"✕ INSUFFISANT",IF(K181&lt;I181*1.2,"⚠ STOCK FAIBLE","✓ COUVERT"))</f>
        <v/>
      </c>
      <c r="N181" s="7" t="inlineStr">
        <is>
          <t>SKF</t>
        </is>
      </c>
      <c r="O181" s="7" t="inlineStr">
        <is>
          <t>CRITIQUE</t>
        </is>
      </c>
      <c r="P181" s="7" t="inlineStr">
        <is>
          <t>31/08/2026 02:59</t>
        </is>
      </c>
    </row>
    <row r="182">
      <c r="A182" s="8" t="inlineStr">
        <is>
          <t>WHAP 8x8</t>
        </is>
      </c>
      <c r="B182" s="8" t="inlineStr">
        <is>
          <t>WHAP-0178</t>
        </is>
      </c>
      <c r="C182" s="8" t="inlineStr">
        <is>
          <t>ESS-0178</t>
        </is>
      </c>
      <c r="D182" s="8" t="inlineStr">
        <is>
          <t>différentiel inter-roues</t>
        </is>
      </c>
      <c r="E182" s="8" t="inlineStr">
        <is>
          <t>Essieux et différentiels</t>
        </is>
      </c>
      <c r="F182" s="8" t="inlineStr">
        <is>
          <t>Essieux et différentiels</t>
        </is>
      </c>
      <c r="G182" s="8" t="inlineStr">
        <is>
          <t>PIECE_VEHICULE</t>
        </is>
      </c>
      <c r="H182" s="8" t="n">
        <v>1</v>
      </c>
      <c r="I182" s="8">
        <f>H182*$D$3</f>
        <v/>
      </c>
      <c r="J182" s="8" t="inlineStr">
        <is>
          <t>unité</t>
        </is>
      </c>
      <c r="K182" s="8" t="n">
        <v>0</v>
      </c>
      <c r="L182" s="8">
        <f>K182-I182</f>
        <v/>
      </c>
      <c r="M182" s="8">
        <f>IF(K182&lt;I182,"✕ INSUFFISANT",IF(K182&lt;I182*1.2,"⚠ STOCK FAIBLE","✓ COUVERT"))</f>
        <v/>
      </c>
      <c r="N182" s="8" t="inlineStr">
        <is>
          <t>BOS</t>
        </is>
      </c>
      <c r="O182" s="8" t="inlineStr">
        <is>
          <t>CRITIQUE</t>
        </is>
      </c>
      <c r="P182" s="8" t="inlineStr">
        <is>
          <t>31/08/2026 02:59</t>
        </is>
      </c>
    </row>
    <row r="183">
      <c r="A183" s="7" t="inlineStr">
        <is>
          <t>WHAP 8x8</t>
        </is>
      </c>
      <c r="B183" s="7" t="inlineStr">
        <is>
          <t>WHAP-0179</t>
        </is>
      </c>
      <c r="C183" s="7" t="inlineStr">
        <is>
          <t>ESS-0179</t>
        </is>
      </c>
      <c r="D183" s="7" t="inlineStr">
        <is>
          <t>différentiel inter-ponts</t>
        </is>
      </c>
      <c r="E183" s="7" t="inlineStr">
        <is>
          <t>Essieux et différentiels</t>
        </is>
      </c>
      <c r="F183" s="7" t="inlineStr">
        <is>
          <t>Essieux et différentiels</t>
        </is>
      </c>
      <c r="G183" s="7" t="inlineStr">
        <is>
          <t>PIECE_VEHICULE</t>
        </is>
      </c>
      <c r="H183" s="7" t="n">
        <v>1</v>
      </c>
      <c r="I183" s="7">
        <f>H183*$D$3</f>
        <v/>
      </c>
      <c r="J183" s="7" t="inlineStr">
        <is>
          <t>unité</t>
        </is>
      </c>
      <c r="K183" s="7" t="n">
        <v>0</v>
      </c>
      <c r="L183" s="7">
        <f>K183-I183</f>
        <v/>
      </c>
      <c r="M183" s="7">
        <f>IF(K183&lt;I183,"✕ INSUFFISANT",IF(K183&lt;I183*1.2,"⚠ STOCK FAIBLE","✓ COUVERT"))</f>
        <v/>
      </c>
      <c r="N183" s="7" t="inlineStr">
        <is>
          <t>YZK</t>
        </is>
      </c>
      <c r="O183" s="7" t="inlineStr">
        <is>
          <t>CRITIQUE</t>
        </is>
      </c>
      <c r="P183" s="7" t="inlineStr">
        <is>
          <t>31/08/2026 02:59</t>
        </is>
      </c>
    </row>
    <row r="184">
      <c r="A184" s="8" t="inlineStr">
        <is>
          <t>WHAP 8x8</t>
        </is>
      </c>
      <c r="B184" s="8" t="inlineStr">
        <is>
          <t>WHAP-0180</t>
        </is>
      </c>
      <c r="C184" s="8" t="inlineStr">
        <is>
          <t>ESS-0180</t>
        </is>
      </c>
      <c r="D184" s="8" t="inlineStr">
        <is>
          <t>couronne de différentiel</t>
        </is>
      </c>
      <c r="E184" s="8" t="inlineStr">
        <is>
          <t>Essieux et différentiels</t>
        </is>
      </c>
      <c r="F184" s="8" t="inlineStr">
        <is>
          <t>Essieux et différentiels</t>
        </is>
      </c>
      <c r="G184" s="8" t="inlineStr">
        <is>
          <t>PIECE_VEHICULE</t>
        </is>
      </c>
      <c r="H184" s="8" t="n">
        <v>1</v>
      </c>
      <c r="I184" s="8">
        <f>H184*$D$3</f>
        <v/>
      </c>
      <c r="J184" s="8" t="inlineStr">
        <is>
          <t>unité</t>
        </is>
      </c>
      <c r="K184" s="8" t="n">
        <v>0</v>
      </c>
      <c r="L184" s="8">
        <f>K184-I184</f>
        <v/>
      </c>
      <c r="M184" s="8">
        <f>IF(K184&lt;I184,"✕ INSUFFISANT",IF(K184&lt;I184*1.2,"⚠ STOCK FAIBLE","✓ COUVERT"))</f>
        <v/>
      </c>
      <c r="N184" s="8" t="inlineStr">
        <is>
          <t>HEL</t>
        </is>
      </c>
      <c r="O184" s="8" t="inlineStr">
        <is>
          <t>CRITIQUE</t>
        </is>
      </c>
      <c r="P184" s="8" t="inlineStr">
        <is>
          <t>31/08/2026 02:59</t>
        </is>
      </c>
    </row>
    <row r="185">
      <c r="A185" s="7" t="inlineStr">
        <is>
          <t>WHAP 8x8</t>
        </is>
      </c>
      <c r="B185" s="7" t="inlineStr">
        <is>
          <t>WHAP-0181</t>
        </is>
      </c>
      <c r="C185" s="7" t="inlineStr">
        <is>
          <t>ESS-0181</t>
        </is>
      </c>
      <c r="D185" s="7" t="inlineStr">
        <is>
          <t>pignon d'attaque</t>
        </is>
      </c>
      <c r="E185" s="7" t="inlineStr">
        <is>
          <t>Essieux et différentiels</t>
        </is>
      </c>
      <c r="F185" s="7" t="inlineStr">
        <is>
          <t>Essieux et différentiels</t>
        </is>
      </c>
      <c r="G185" s="7" t="inlineStr">
        <is>
          <t>PIECE_VEHICULE</t>
        </is>
      </c>
      <c r="H185" s="7" t="n">
        <v>1</v>
      </c>
      <c r="I185" s="7">
        <f>H185*$D$3</f>
        <v/>
      </c>
      <c r="J185" s="7" t="inlineStr">
        <is>
          <t>unité</t>
        </is>
      </c>
      <c r="K185" s="7" t="n">
        <v>0</v>
      </c>
      <c r="L185" s="7">
        <f>K185-I185</f>
        <v/>
      </c>
      <c r="M185" s="7">
        <f>IF(K185&lt;I185,"✕ INSUFFISANT",IF(K185&lt;I185*1.2,"⚠ STOCK FAIBLE","✓ COUVERT"))</f>
        <v/>
      </c>
      <c r="N185" s="7" t="inlineStr">
        <is>
          <t>VAL</t>
        </is>
      </c>
      <c r="O185" s="7" t="inlineStr">
        <is>
          <t>CRITIQUE</t>
        </is>
      </c>
      <c r="P185" s="7" t="inlineStr">
        <is>
          <t>31/08/2026 02:59</t>
        </is>
      </c>
    </row>
    <row r="186">
      <c r="A186" s="8" t="inlineStr">
        <is>
          <t>WHAP 8x8</t>
        </is>
      </c>
      <c r="B186" s="8" t="inlineStr">
        <is>
          <t>WHAP-0182</t>
        </is>
      </c>
      <c r="C186" s="8" t="inlineStr">
        <is>
          <t>ESS-0182</t>
        </is>
      </c>
      <c r="D186" s="8" t="inlineStr">
        <is>
          <t>satellites de différentiel</t>
        </is>
      </c>
      <c r="E186" s="8" t="inlineStr">
        <is>
          <t>Essieux et différentiels</t>
        </is>
      </c>
      <c r="F186" s="8" t="inlineStr">
        <is>
          <t>Essieux et différentiels</t>
        </is>
      </c>
      <c r="G186" s="8" t="inlineStr">
        <is>
          <t>PIECE_VEHICULE</t>
        </is>
      </c>
      <c r="H186" s="8" t="n">
        <v>1</v>
      </c>
      <c r="I186" s="8">
        <f>H186*$D$3</f>
        <v/>
      </c>
      <c r="J186" s="8" t="inlineStr">
        <is>
          <t>unité</t>
        </is>
      </c>
      <c r="K186" s="8" t="n">
        <v>0</v>
      </c>
      <c r="L186" s="8">
        <f>K186-I186</f>
        <v/>
      </c>
      <c r="M186" s="8">
        <f>IF(K186&lt;I186,"✕ INSUFFISANT",IF(K186&lt;I186*1.2,"⚠ STOCK FAIBLE","✓ COUVERT"))</f>
        <v/>
      </c>
      <c r="N186" s="8" t="inlineStr">
        <is>
          <t>SUM</t>
        </is>
      </c>
      <c r="O186" s="8" t="inlineStr">
        <is>
          <t>CRITIQUE</t>
        </is>
      </c>
      <c r="P186" s="8" t="inlineStr">
        <is>
          <t>31/08/2026 02:59</t>
        </is>
      </c>
    </row>
    <row r="187">
      <c r="A187" s="7" t="inlineStr">
        <is>
          <t>WHAP 8x8</t>
        </is>
      </c>
      <c r="B187" s="7" t="inlineStr">
        <is>
          <t>WHAP-0183</t>
        </is>
      </c>
      <c r="C187" s="7" t="inlineStr">
        <is>
          <t>ESS-0183</t>
        </is>
      </c>
      <c r="D187" s="7" t="inlineStr">
        <is>
          <t>axes de satellites</t>
        </is>
      </c>
      <c r="E187" s="7" t="inlineStr">
        <is>
          <t>Essieux et différentiels</t>
        </is>
      </c>
      <c r="F187" s="7" t="inlineStr">
        <is>
          <t>Essieux et différentiels</t>
        </is>
      </c>
      <c r="G187" s="7" t="inlineStr">
        <is>
          <t>PIECE_VEHICULE</t>
        </is>
      </c>
      <c r="H187" s="7" t="n">
        <v>1</v>
      </c>
      <c r="I187" s="7">
        <f>H187*$D$3</f>
        <v/>
      </c>
      <c r="J187" s="7" t="inlineStr">
        <is>
          <t>unité</t>
        </is>
      </c>
      <c r="K187" s="7" t="n">
        <v>0</v>
      </c>
      <c r="L187" s="7">
        <f>K187-I187</f>
        <v/>
      </c>
      <c r="M187" s="7">
        <f>IF(K187&lt;I187,"✕ INSUFFISANT",IF(K187&lt;I187*1.2,"⚠ STOCK FAIBLE","✓ COUVERT"))</f>
        <v/>
      </c>
      <c r="N187" s="7" t="inlineStr">
        <is>
          <t>BOS</t>
        </is>
      </c>
      <c r="O187" s="7" t="inlineStr">
        <is>
          <t>CRITIQUE</t>
        </is>
      </c>
      <c r="P187" s="7" t="inlineStr">
        <is>
          <t>31/08/2026 02:59</t>
        </is>
      </c>
    </row>
    <row r="188">
      <c r="A188" s="8" t="inlineStr">
        <is>
          <t>WHAP 8x8</t>
        </is>
      </c>
      <c r="B188" s="8" t="inlineStr">
        <is>
          <t>WHAP-0184</t>
        </is>
      </c>
      <c r="C188" s="8" t="inlineStr">
        <is>
          <t>ESS-0184</t>
        </is>
      </c>
      <c r="D188" s="8" t="inlineStr">
        <is>
          <t>roulement de différentiel</t>
        </is>
      </c>
      <c r="E188" s="8" t="inlineStr">
        <is>
          <t>Essieux et différentiels</t>
        </is>
      </c>
      <c r="F188" s="8" t="inlineStr">
        <is>
          <t>Essieux et différentiels</t>
        </is>
      </c>
      <c r="G188" s="8" t="inlineStr">
        <is>
          <t>PIECE_VEHICULE</t>
        </is>
      </c>
      <c r="H188" s="8" t="n">
        <v>1</v>
      </c>
      <c r="I188" s="8">
        <f>H188*$D$3</f>
        <v/>
      </c>
      <c r="J188" s="8" t="inlineStr">
        <is>
          <t>unité</t>
        </is>
      </c>
      <c r="K188" s="8" t="n">
        <v>0</v>
      </c>
      <c r="L188" s="8">
        <f>K188-I188</f>
        <v/>
      </c>
      <c r="M188" s="8">
        <f>IF(K188&lt;I188,"✕ INSUFFISANT",IF(K188&lt;I188*1.2,"⚠ STOCK FAIBLE","✓ COUVERT"))</f>
        <v/>
      </c>
      <c r="N188" s="8" t="inlineStr">
        <is>
          <t>MAG</t>
        </is>
      </c>
      <c r="O188" s="8" t="inlineStr">
        <is>
          <t>CRITIQUE</t>
        </is>
      </c>
      <c r="P188" s="8" t="inlineStr">
        <is>
          <t>31/08/2026 02:59</t>
        </is>
      </c>
    </row>
    <row r="189">
      <c r="A189" s="7" t="inlineStr">
        <is>
          <t>WHAP 8x8</t>
        </is>
      </c>
      <c r="B189" s="7" t="inlineStr">
        <is>
          <t>WHAP-0185</t>
        </is>
      </c>
      <c r="C189" s="7" t="inlineStr">
        <is>
          <t>ESS-0185</t>
        </is>
      </c>
      <c r="D189" s="7" t="inlineStr">
        <is>
          <t>roulement de pignon</t>
        </is>
      </c>
      <c r="E189" s="7" t="inlineStr">
        <is>
          <t>Essieux et différentiels</t>
        </is>
      </c>
      <c r="F189" s="7" t="inlineStr">
        <is>
          <t>Essieux et différentiels</t>
        </is>
      </c>
      <c r="G189" s="7" t="inlineStr">
        <is>
          <t>PIECE_VEHICULE</t>
        </is>
      </c>
      <c r="H189" s="7" t="n">
        <v>1</v>
      </c>
      <c r="I189" s="7">
        <f>H189*$D$3</f>
        <v/>
      </c>
      <c r="J189" s="7" t="inlineStr">
        <is>
          <t>unité</t>
        </is>
      </c>
      <c r="K189" s="7" t="n">
        <v>0</v>
      </c>
      <c r="L189" s="7">
        <f>K189-I189</f>
        <v/>
      </c>
      <c r="M189" s="7">
        <f>IF(K189&lt;I189,"✕ INSUFFISANT",IF(K189&lt;I189*1.2,"⚠ STOCK FAIBLE","✓ COUVERT"))</f>
        <v/>
      </c>
      <c r="N189" s="7" t="inlineStr">
        <is>
          <t>VAL</t>
        </is>
      </c>
      <c r="O189" s="7" t="inlineStr">
        <is>
          <t>CRITIQUE</t>
        </is>
      </c>
      <c r="P189" s="7" t="inlineStr">
        <is>
          <t>31/08/2026 02:59</t>
        </is>
      </c>
    </row>
    <row r="190">
      <c r="A190" s="8" t="inlineStr">
        <is>
          <t>WHAP 8x8</t>
        </is>
      </c>
      <c r="B190" s="8" t="inlineStr">
        <is>
          <t>WHAP-0186</t>
        </is>
      </c>
      <c r="C190" s="8" t="inlineStr">
        <is>
          <t>ESS-0186</t>
        </is>
      </c>
      <c r="D190" s="8" t="inlineStr">
        <is>
          <t>joint de pont</t>
        </is>
      </c>
      <c r="E190" s="8" t="inlineStr">
        <is>
          <t>Essieux et différentiels</t>
        </is>
      </c>
      <c r="F190" s="8" t="inlineStr">
        <is>
          <t>Essieux et différentiels</t>
        </is>
      </c>
      <c r="G190" s="8" t="inlineStr">
        <is>
          <t>PIECE_VEHICULE</t>
        </is>
      </c>
      <c r="H190" s="8" t="n">
        <v>1</v>
      </c>
      <c r="I190" s="8">
        <f>H190*$D$3</f>
        <v/>
      </c>
      <c r="J190" s="8" t="inlineStr">
        <is>
          <t>unité</t>
        </is>
      </c>
      <c r="K190" s="8" t="n">
        <v>0</v>
      </c>
      <c r="L190" s="8">
        <f>K190-I190</f>
        <v/>
      </c>
      <c r="M190" s="8">
        <f>IF(K190&lt;I190,"✕ INSUFFISANT",IF(K190&lt;I190*1.2,"⚠ STOCK FAIBLE","✓ COUVERT"))</f>
        <v/>
      </c>
      <c r="N190" s="8" t="inlineStr">
        <is>
          <t>DEL</t>
        </is>
      </c>
      <c r="O190" s="8" t="inlineStr">
        <is>
          <t>CRITIQUE</t>
        </is>
      </c>
      <c r="P190" s="8" t="inlineStr">
        <is>
          <t>31/08/2026 02:59</t>
        </is>
      </c>
    </row>
    <row r="191">
      <c r="A191" s="7" t="inlineStr">
        <is>
          <t>WHAP 8x8</t>
        </is>
      </c>
      <c r="B191" s="7" t="inlineStr">
        <is>
          <t>WHAP-0187</t>
        </is>
      </c>
      <c r="C191" s="7" t="inlineStr">
        <is>
          <t>ESS-0187</t>
        </is>
      </c>
      <c r="D191" s="7" t="inlineStr">
        <is>
          <t>joint spi de pont</t>
        </is>
      </c>
      <c r="E191" s="7" t="inlineStr">
        <is>
          <t>Essieux et différentiels</t>
        </is>
      </c>
      <c r="F191" s="7" t="inlineStr">
        <is>
          <t>Essieux et différentiels</t>
        </is>
      </c>
      <c r="G191" s="7" t="inlineStr">
        <is>
          <t>PIECE_VEHICULE</t>
        </is>
      </c>
      <c r="H191" s="7" t="n">
        <v>1</v>
      </c>
      <c r="I191" s="7">
        <f>H191*$D$3</f>
        <v/>
      </c>
      <c r="J191" s="7" t="inlineStr">
        <is>
          <t>unité</t>
        </is>
      </c>
      <c r="K191" s="7" t="n">
        <v>0</v>
      </c>
      <c r="L191" s="7">
        <f>K191-I191</f>
        <v/>
      </c>
      <c r="M191" s="7">
        <f>IF(K191&lt;I191,"✕ INSUFFISANT",IF(K191&lt;I191*1.2,"⚠ STOCK FAIBLE","✓ COUVERT"))</f>
        <v/>
      </c>
      <c r="N191" s="7" t="inlineStr">
        <is>
          <t>SUM</t>
        </is>
      </c>
      <c r="O191" s="7" t="inlineStr">
        <is>
          <t>CRITIQUE</t>
        </is>
      </c>
      <c r="P191" s="7" t="inlineStr">
        <is>
          <t>31/08/2026 02:59</t>
        </is>
      </c>
    </row>
    <row r="192">
      <c r="A192" s="8" t="inlineStr">
        <is>
          <t>WHAP 8x8</t>
        </is>
      </c>
      <c r="B192" s="8" t="inlineStr">
        <is>
          <t>WHAP-0188</t>
        </is>
      </c>
      <c r="C192" s="8" t="inlineStr">
        <is>
          <t>ESS-0188</t>
        </is>
      </c>
      <c r="D192" s="8" t="inlineStr">
        <is>
          <t>arbre de roue</t>
        </is>
      </c>
      <c r="E192" s="8" t="inlineStr">
        <is>
          <t>Essieux et différentiels</t>
        </is>
      </c>
      <c r="F192" s="8" t="inlineStr">
        <is>
          <t>Essieux et différentiels</t>
        </is>
      </c>
      <c r="G192" s="8" t="inlineStr">
        <is>
          <t>PIECE_VEHICULE</t>
        </is>
      </c>
      <c r="H192" s="8" t="n">
        <v>1</v>
      </c>
      <c r="I192" s="8">
        <f>H192*$D$3</f>
        <v/>
      </c>
      <c r="J192" s="8" t="inlineStr">
        <is>
          <t>unité</t>
        </is>
      </c>
      <c r="K192" s="8" t="n">
        <v>0</v>
      </c>
      <c r="L192" s="8">
        <f>K192-I192</f>
        <v/>
      </c>
      <c r="M192" s="8">
        <f>IF(K192&lt;I192,"✕ INSUFFISANT",IF(K192&lt;I192*1.2,"⚠ STOCK FAIBLE","✓ COUVERT"))</f>
        <v/>
      </c>
      <c r="N192" s="8" t="inlineStr">
        <is>
          <t>FAU</t>
        </is>
      </c>
      <c r="O192" s="8" t="inlineStr">
        <is>
          <t>CRITIQUE</t>
        </is>
      </c>
      <c r="P192" s="8" t="inlineStr">
        <is>
          <t>31/08/2026 02:59</t>
        </is>
      </c>
    </row>
    <row r="193">
      <c r="A193" s="7" t="inlineStr">
        <is>
          <t>WHAP 8x8</t>
        </is>
      </c>
      <c r="B193" s="7" t="inlineStr">
        <is>
          <t>WHAP-0189</t>
        </is>
      </c>
      <c r="C193" s="7" t="inlineStr">
        <is>
          <t>ESS-0189</t>
        </is>
      </c>
      <c r="D193" s="7" t="inlineStr">
        <is>
          <t>demi-arbre</t>
        </is>
      </c>
      <c r="E193" s="7" t="inlineStr">
        <is>
          <t>Essieux et différentiels</t>
        </is>
      </c>
      <c r="F193" s="7" t="inlineStr">
        <is>
          <t>Essieux et différentiels</t>
        </is>
      </c>
      <c r="G193" s="7" t="inlineStr">
        <is>
          <t>PIECE_VEHICULE</t>
        </is>
      </c>
      <c r="H193" s="7" t="n">
        <v>1</v>
      </c>
      <c r="I193" s="7">
        <f>H193*$D$3</f>
        <v/>
      </c>
      <c r="J193" s="7" t="inlineStr">
        <is>
          <t>unité</t>
        </is>
      </c>
      <c r="K193" s="7" t="n">
        <v>0</v>
      </c>
      <c r="L193" s="7">
        <f>K193-I193</f>
        <v/>
      </c>
      <c r="M193" s="7">
        <f>IF(K193&lt;I193,"✕ INSUFFISANT",IF(K193&lt;I193*1.2,"⚠ STOCK FAIBLE","✓ COUVERT"))</f>
        <v/>
      </c>
      <c r="N193" s="7" t="inlineStr">
        <is>
          <t>YZK</t>
        </is>
      </c>
      <c r="O193" s="7" t="inlineStr">
        <is>
          <t>CRITIQUE</t>
        </is>
      </c>
      <c r="P193" s="7" t="inlineStr">
        <is>
          <t>31/08/2026 02:59</t>
        </is>
      </c>
    </row>
    <row r="194">
      <c r="A194" s="8" t="inlineStr">
        <is>
          <t>WHAP 8x8</t>
        </is>
      </c>
      <c r="B194" s="8" t="inlineStr">
        <is>
          <t>WHAP-0190</t>
        </is>
      </c>
      <c r="C194" s="8" t="inlineStr">
        <is>
          <t>ESS-0190</t>
        </is>
      </c>
      <c r="D194" s="8" t="inlineStr">
        <is>
          <t>moyeu de roue</t>
        </is>
      </c>
      <c r="E194" s="8" t="inlineStr">
        <is>
          <t>Essieux et différentiels</t>
        </is>
      </c>
      <c r="F194" s="8" t="inlineStr">
        <is>
          <t>Essieux et différentiels</t>
        </is>
      </c>
      <c r="G194" s="8" t="inlineStr">
        <is>
          <t>PIECE_VEHICULE</t>
        </is>
      </c>
      <c r="H194" s="8" t="n">
        <v>1</v>
      </c>
      <c r="I194" s="8">
        <f>H194*$D$3</f>
        <v/>
      </c>
      <c r="J194" s="8" t="inlineStr">
        <is>
          <t>unité</t>
        </is>
      </c>
      <c r="K194" s="8" t="n">
        <v>0</v>
      </c>
      <c r="L194" s="8">
        <f>K194-I194</f>
        <v/>
      </c>
      <c r="M194" s="8">
        <f>IF(K194&lt;I194,"✕ INSUFFISANT",IF(K194&lt;I194*1.2,"⚠ STOCK FAIBLE","✓ COUVERT"))</f>
        <v/>
      </c>
      <c r="N194" s="8" t="inlineStr">
        <is>
          <t>FAU</t>
        </is>
      </c>
      <c r="O194" s="8" t="inlineStr">
        <is>
          <t>CRITIQUE</t>
        </is>
      </c>
      <c r="P194" s="8" t="inlineStr">
        <is>
          <t>31/08/2026 02:59</t>
        </is>
      </c>
    </row>
    <row r="195">
      <c r="A195" s="7" t="inlineStr">
        <is>
          <t>WHAP 8x8</t>
        </is>
      </c>
      <c r="B195" s="7" t="inlineStr">
        <is>
          <t>WHAP-0191</t>
        </is>
      </c>
      <c r="C195" s="7" t="inlineStr">
        <is>
          <t>ESS-0191</t>
        </is>
      </c>
      <c r="D195" s="7" t="inlineStr">
        <is>
          <t>porte-moyeu</t>
        </is>
      </c>
      <c r="E195" s="7" t="inlineStr">
        <is>
          <t>Essieux et différentiels</t>
        </is>
      </c>
      <c r="F195" s="7" t="inlineStr">
        <is>
          <t>Essieux et différentiels</t>
        </is>
      </c>
      <c r="G195" s="7" t="inlineStr">
        <is>
          <t>PIECE_VEHICULE</t>
        </is>
      </c>
      <c r="H195" s="7" t="n">
        <v>1</v>
      </c>
      <c r="I195" s="7">
        <f>H195*$D$3</f>
        <v/>
      </c>
      <c r="J195" s="7" t="inlineStr">
        <is>
          <t>unité</t>
        </is>
      </c>
      <c r="K195" s="7" t="n">
        <v>0</v>
      </c>
      <c r="L195" s="7">
        <f>K195-I195</f>
        <v/>
      </c>
      <c r="M195" s="7">
        <f>IF(K195&lt;I195,"✕ INSUFFISANT",IF(K195&lt;I195*1.2,"⚠ STOCK FAIBLE","✓ COUVERT"))</f>
        <v/>
      </c>
      <c r="N195" s="7" t="inlineStr">
        <is>
          <t>SKF</t>
        </is>
      </c>
      <c r="O195" s="7" t="inlineStr">
        <is>
          <t>CRITIQUE</t>
        </is>
      </c>
      <c r="P195" s="7" t="inlineStr">
        <is>
          <t>31/08/2026 02:59</t>
        </is>
      </c>
    </row>
    <row r="196">
      <c r="A196" s="8" t="inlineStr">
        <is>
          <t>WHAP 8x8</t>
        </is>
      </c>
      <c r="B196" s="8" t="inlineStr">
        <is>
          <t>WHAP-0192</t>
        </is>
      </c>
      <c r="C196" s="8" t="inlineStr">
        <is>
          <t>ESS-0192</t>
        </is>
      </c>
      <c r="D196" s="8" t="inlineStr">
        <is>
          <t>écrou de moyeu</t>
        </is>
      </c>
      <c r="E196" s="8" t="inlineStr">
        <is>
          <t>Essieux et différentiels</t>
        </is>
      </c>
      <c r="F196" s="8" t="inlineStr">
        <is>
          <t>Essieux et différentiels</t>
        </is>
      </c>
      <c r="G196" s="8" t="inlineStr">
        <is>
          <t>PIECE_VEHICULE</t>
        </is>
      </c>
      <c r="H196" s="8" t="n">
        <v>1</v>
      </c>
      <c r="I196" s="8">
        <f>H196*$D$3</f>
        <v/>
      </c>
      <c r="J196" s="8" t="inlineStr">
        <is>
          <t>unité</t>
        </is>
      </c>
      <c r="K196" s="8" t="n">
        <v>0</v>
      </c>
      <c r="L196" s="8">
        <f>K196-I196</f>
        <v/>
      </c>
      <c r="M196" s="8">
        <f>IF(K196&lt;I196,"✕ INSUFFISANT",IF(K196&lt;I196*1.2,"⚠ STOCK FAIBLE","✓ COUVERT"))</f>
        <v/>
      </c>
      <c r="N196" s="8" t="inlineStr">
        <is>
          <t>VAL</t>
        </is>
      </c>
      <c r="O196" s="8" t="inlineStr">
        <is>
          <t>CRITIQUE</t>
        </is>
      </c>
      <c r="P196" s="8" t="inlineStr">
        <is>
          <t>31/08/2026 02:59</t>
        </is>
      </c>
    </row>
    <row r="197">
      <c r="A197" s="7" t="inlineStr">
        <is>
          <t>WHAP 8x8</t>
        </is>
      </c>
      <c r="B197" s="7" t="inlineStr">
        <is>
          <t>WHAP-0193</t>
        </is>
      </c>
      <c r="C197" s="7" t="inlineStr">
        <is>
          <t>ESS-0193</t>
        </is>
      </c>
      <c r="D197" s="7" t="inlineStr">
        <is>
          <t>frein de différentiel</t>
        </is>
      </c>
      <c r="E197" s="7" t="inlineStr">
        <is>
          <t>Essieux et différentiels</t>
        </is>
      </c>
      <c r="F197" s="7" t="inlineStr">
        <is>
          <t>Essieux et différentiels</t>
        </is>
      </c>
      <c r="G197" s="7" t="inlineStr">
        <is>
          <t>PIECE_VEHICULE</t>
        </is>
      </c>
      <c r="H197" s="7" t="n">
        <v>1</v>
      </c>
      <c r="I197" s="7">
        <f>H197*$D$3</f>
        <v/>
      </c>
      <c r="J197" s="7" t="inlineStr">
        <is>
          <t>unité</t>
        </is>
      </c>
      <c r="K197" s="7" t="n">
        <v>0</v>
      </c>
      <c r="L197" s="7">
        <f>K197-I197</f>
        <v/>
      </c>
      <c r="M197" s="7">
        <f>IF(K197&lt;I197,"✕ INSUFFISANT",IF(K197&lt;I197*1.2,"⚠ STOCK FAIBLE","✓ COUVERT"))</f>
        <v/>
      </c>
      <c r="N197" s="7" t="inlineStr">
        <is>
          <t>CTL</t>
        </is>
      </c>
      <c r="O197" s="7" t="inlineStr">
        <is>
          <t>CRITIQUE</t>
        </is>
      </c>
      <c r="P197" s="7" t="inlineStr">
        <is>
          <t>31/08/2026 02:59</t>
        </is>
      </c>
    </row>
    <row r="198">
      <c r="A198" s="8" t="inlineStr">
        <is>
          <t>WHAP 8x8</t>
        </is>
      </c>
      <c r="B198" s="8" t="inlineStr">
        <is>
          <t>WHAP-0194</t>
        </is>
      </c>
      <c r="C198" s="8" t="inlineStr">
        <is>
          <t>ESS-0194</t>
        </is>
      </c>
      <c r="D198" s="8" t="inlineStr">
        <is>
          <t>blocage différentiel</t>
        </is>
      </c>
      <c r="E198" s="8" t="inlineStr">
        <is>
          <t>Essieux et différentiels</t>
        </is>
      </c>
      <c r="F198" s="8" t="inlineStr">
        <is>
          <t>Essieux et différentiels</t>
        </is>
      </c>
      <c r="G198" s="8" t="inlineStr">
        <is>
          <t>PIECE_VEHICULE</t>
        </is>
      </c>
      <c r="H198" s="8" t="n">
        <v>1</v>
      </c>
      <c r="I198" s="8">
        <f>H198*$D$3</f>
        <v/>
      </c>
      <c r="J198" s="8" t="inlineStr">
        <is>
          <t>unité</t>
        </is>
      </c>
      <c r="K198" s="8" t="n">
        <v>0</v>
      </c>
      <c r="L198" s="8">
        <f>K198-I198</f>
        <v/>
      </c>
      <c r="M198" s="8">
        <f>IF(K198&lt;I198,"✕ INSUFFISANT",IF(K198&lt;I198*1.2,"⚠ STOCK FAIBLE","✓ COUVERT"))</f>
        <v/>
      </c>
      <c r="N198" s="8" t="inlineStr">
        <is>
          <t>DEL</t>
        </is>
      </c>
      <c r="O198" s="8" t="inlineStr">
        <is>
          <t>CRITIQUE</t>
        </is>
      </c>
      <c r="P198" s="8" t="inlineStr">
        <is>
          <t>31/08/2026 02:59</t>
        </is>
      </c>
    </row>
    <row r="199">
      <c r="A199" s="7" t="inlineStr">
        <is>
          <t>WHAP 8x8</t>
        </is>
      </c>
      <c r="B199" s="7" t="inlineStr">
        <is>
          <t>WHAP-0195</t>
        </is>
      </c>
      <c r="C199" s="7" t="inlineStr">
        <is>
          <t>ESS-0195</t>
        </is>
      </c>
      <c r="D199" s="7" t="inlineStr">
        <is>
          <t>actionneur de blocage</t>
        </is>
      </c>
      <c r="E199" s="7" t="inlineStr">
        <is>
          <t>Essieux et différentiels</t>
        </is>
      </c>
      <c r="F199" s="7" t="inlineStr">
        <is>
          <t>Essieux et différentiels</t>
        </is>
      </c>
      <c r="G199" s="7" t="inlineStr">
        <is>
          <t>PIECE_VEHICULE</t>
        </is>
      </c>
      <c r="H199" s="7" t="n">
        <v>1</v>
      </c>
      <c r="I199" s="7">
        <f>H199*$D$3</f>
        <v/>
      </c>
      <c r="J199" s="7" t="inlineStr">
        <is>
          <t>unité</t>
        </is>
      </c>
      <c r="K199" s="7" t="n">
        <v>0</v>
      </c>
      <c r="L199" s="7">
        <f>K199-I199</f>
        <v/>
      </c>
      <c r="M199" s="7">
        <f>IF(K199&lt;I199,"✕ INSUFFISANT",IF(K199&lt;I199*1.2,"⚠ STOCK FAIBLE","✓ COUVERT"))</f>
        <v/>
      </c>
      <c r="N199" s="7" t="inlineStr">
        <is>
          <t>MAG</t>
        </is>
      </c>
      <c r="O199" s="7" t="inlineStr">
        <is>
          <t>CRITIQUE</t>
        </is>
      </c>
      <c r="P199" s="7" t="inlineStr">
        <is>
          <t>31/08/2026 02:59</t>
        </is>
      </c>
    </row>
    <row r="200">
      <c r="A200" s="8" t="inlineStr">
        <is>
          <t>WHAP 8x8</t>
        </is>
      </c>
      <c r="B200" s="8" t="inlineStr">
        <is>
          <t>WHAP-0196</t>
        </is>
      </c>
      <c r="C200" s="8" t="inlineStr">
        <is>
          <t>ESS-0196</t>
        </is>
      </c>
      <c r="D200" s="8" t="inlineStr">
        <is>
          <t>capteur de blocage</t>
        </is>
      </c>
      <c r="E200" s="8" t="inlineStr">
        <is>
          <t>Essieux et différentiels</t>
        </is>
      </c>
      <c r="F200" s="8" t="inlineStr">
        <is>
          <t>Essieux et différentiels</t>
        </is>
      </c>
      <c r="G200" s="8" t="inlineStr">
        <is>
          <t>PIECE_VEHICULE</t>
        </is>
      </c>
      <c r="H200" s="8" t="n">
        <v>1</v>
      </c>
      <c r="I200" s="8">
        <f>H200*$D$3</f>
        <v/>
      </c>
      <c r="J200" s="8" t="inlineStr">
        <is>
          <t>unité</t>
        </is>
      </c>
      <c r="K200" s="8" t="n">
        <v>0</v>
      </c>
      <c r="L200" s="8">
        <f>K200-I200</f>
        <v/>
      </c>
      <c r="M200" s="8">
        <f>IF(K200&lt;I200,"✕ INSUFFISANT",IF(K200&lt;I200*1.2,"⚠ STOCK FAIBLE","✓ COUVERT"))</f>
        <v/>
      </c>
      <c r="N200" s="8" t="inlineStr">
        <is>
          <t>CTL</t>
        </is>
      </c>
      <c r="O200" s="8" t="inlineStr">
        <is>
          <t>CRITIQUE</t>
        </is>
      </c>
      <c r="P200" s="8" t="inlineStr">
        <is>
          <t>31/08/2026 02:59</t>
        </is>
      </c>
    </row>
    <row r="201">
      <c r="A201" s="7" t="inlineStr">
        <is>
          <t>WHAP 8x8</t>
        </is>
      </c>
      <c r="B201" s="7" t="inlineStr">
        <is>
          <t>WHAP-0197</t>
        </is>
      </c>
      <c r="C201" s="7" t="inlineStr">
        <is>
          <t>ESS-0197</t>
        </is>
      </c>
      <c r="D201" s="7" t="inlineStr">
        <is>
          <t>bouchon de remplissage</t>
        </is>
      </c>
      <c r="E201" s="7" t="inlineStr">
        <is>
          <t>Essieux et différentiels</t>
        </is>
      </c>
      <c r="F201" s="7" t="inlineStr">
        <is>
          <t>Essieux et différentiels</t>
        </is>
      </c>
      <c r="G201" s="7" t="inlineStr">
        <is>
          <t>PIECE_VEHICULE</t>
        </is>
      </c>
      <c r="H201" s="7" t="n">
        <v>1</v>
      </c>
      <c r="I201" s="7">
        <f>H201*$D$3</f>
        <v/>
      </c>
      <c r="J201" s="7" t="inlineStr">
        <is>
          <t>unité</t>
        </is>
      </c>
      <c r="K201" s="7" t="n">
        <v>0</v>
      </c>
      <c r="L201" s="7">
        <f>K201-I201</f>
        <v/>
      </c>
      <c r="M201" s="7">
        <f>IF(K201&lt;I201,"✕ INSUFFISANT",IF(K201&lt;I201*1.2,"⚠ STOCK FAIBLE","✓ COUVERT"))</f>
        <v/>
      </c>
      <c r="N201" s="7" t="inlineStr">
        <is>
          <t>BOS</t>
        </is>
      </c>
      <c r="O201" s="7" t="inlineStr">
        <is>
          <t>CRITIQUE</t>
        </is>
      </c>
      <c r="P201" s="7" t="inlineStr">
        <is>
          <t>31/08/2026 02:59</t>
        </is>
      </c>
    </row>
    <row r="202">
      <c r="A202" s="8" t="inlineStr">
        <is>
          <t>WHAP 8x8</t>
        </is>
      </c>
      <c r="B202" s="8" t="inlineStr">
        <is>
          <t>WHAP-0198</t>
        </is>
      </c>
      <c r="C202" s="8" t="inlineStr">
        <is>
          <t>ESS-0198</t>
        </is>
      </c>
      <c r="D202" s="8" t="inlineStr">
        <is>
          <t>bouchon magnétique</t>
        </is>
      </c>
      <c r="E202" s="8" t="inlineStr">
        <is>
          <t>Essieux et différentiels</t>
        </is>
      </c>
      <c r="F202" s="8" t="inlineStr">
        <is>
          <t>Essieux et différentiels</t>
        </is>
      </c>
      <c r="G202" s="8" t="inlineStr">
        <is>
          <t>PIECE_VEHICULE</t>
        </is>
      </c>
      <c r="H202" s="8" t="n">
        <v>1</v>
      </c>
      <c r="I202" s="8">
        <f>H202*$D$3</f>
        <v/>
      </c>
      <c r="J202" s="8" t="inlineStr">
        <is>
          <t>unité</t>
        </is>
      </c>
      <c r="K202" s="8" t="n">
        <v>0</v>
      </c>
      <c r="L202" s="8">
        <f>K202-I202</f>
        <v/>
      </c>
      <c r="M202" s="8">
        <f>IF(K202&lt;I202,"✕ INSUFFISANT",IF(K202&lt;I202*1.2,"⚠ STOCK FAIBLE","✓ COUVERT"))</f>
        <v/>
      </c>
      <c r="N202" s="8" t="inlineStr">
        <is>
          <t>SUM</t>
        </is>
      </c>
      <c r="O202" s="8" t="inlineStr">
        <is>
          <t>CRITIQUE</t>
        </is>
      </c>
      <c r="P202" s="8" t="inlineStr">
        <is>
          <t>31/08/2026 02:59</t>
        </is>
      </c>
    </row>
    <row r="203">
      <c r="A203" s="7" t="inlineStr">
        <is>
          <t>WHAP 8x8</t>
        </is>
      </c>
      <c r="B203" s="7" t="inlineStr">
        <is>
          <t>WHAP-0199</t>
        </is>
      </c>
      <c r="C203" s="7" t="inlineStr">
        <is>
          <t>SUS-0199</t>
        </is>
      </c>
      <c r="D203" s="7" t="inlineStr">
        <is>
          <t>bras supérieur</t>
        </is>
      </c>
      <c r="E203" s="7" t="inlineStr">
        <is>
          <t>Suspension</t>
        </is>
      </c>
      <c r="F203" s="7" t="inlineStr">
        <is>
          <t>Suspension</t>
        </is>
      </c>
      <c r="G203" s="7" t="inlineStr">
        <is>
          <t>PIECE_VEHICULE</t>
        </is>
      </c>
      <c r="H203" s="7" t="n">
        <v>1</v>
      </c>
      <c r="I203" s="7">
        <f>H203*$D$3</f>
        <v/>
      </c>
      <c r="J203" s="7" t="inlineStr">
        <is>
          <t>unité</t>
        </is>
      </c>
      <c r="K203" s="7" t="n">
        <v>106</v>
      </c>
      <c r="L203" s="7">
        <f>K203-I203</f>
        <v/>
      </c>
      <c r="M203" s="7">
        <f>IF(K203&lt;I203,"✕ INSUFFISANT",IF(K203&lt;I203*1.2,"⚠ STOCK FAIBLE","✓ COUVERT"))</f>
        <v/>
      </c>
      <c r="N203" s="7" t="inlineStr">
        <is>
          <t>HEL</t>
        </is>
      </c>
      <c r="O203" s="7" t="inlineStr">
        <is>
          <t>IMPORTANT</t>
        </is>
      </c>
      <c r="P203" s="7" t="inlineStr">
        <is>
          <t>31/08/2026 02:59</t>
        </is>
      </c>
    </row>
    <row r="204">
      <c r="A204" s="8" t="inlineStr">
        <is>
          <t>WHAP 8x8</t>
        </is>
      </c>
      <c r="B204" s="8" t="inlineStr">
        <is>
          <t>WHAP-0200</t>
        </is>
      </c>
      <c r="C204" s="8" t="inlineStr">
        <is>
          <t>SUS-0200</t>
        </is>
      </c>
      <c r="D204" s="8" t="inlineStr">
        <is>
          <t>bras inférieur</t>
        </is>
      </c>
      <c r="E204" s="8" t="inlineStr">
        <is>
          <t>Suspension</t>
        </is>
      </c>
      <c r="F204" s="8" t="inlineStr">
        <is>
          <t>Suspension</t>
        </is>
      </c>
      <c r="G204" s="8" t="inlineStr">
        <is>
          <t>PIECE_VEHICULE</t>
        </is>
      </c>
      <c r="H204" s="8" t="n">
        <v>1</v>
      </c>
      <c r="I204" s="8">
        <f>H204*$D$3</f>
        <v/>
      </c>
      <c r="J204" s="8" t="inlineStr">
        <is>
          <t>unité</t>
        </is>
      </c>
      <c r="K204" s="8" t="n">
        <v>116</v>
      </c>
      <c r="L204" s="8">
        <f>K204-I204</f>
        <v/>
      </c>
      <c r="M204" s="8">
        <f>IF(K204&lt;I204,"✕ INSUFFISANT",IF(K204&lt;I204*1.2,"⚠ STOCK FAIBLE","✓ COUVERT"))</f>
        <v/>
      </c>
      <c r="N204" s="8" t="inlineStr">
        <is>
          <t>VAL</t>
        </is>
      </c>
      <c r="O204" s="8" t="inlineStr">
        <is>
          <t>IMPORTANT</t>
        </is>
      </c>
      <c r="P204" s="8" t="inlineStr">
        <is>
          <t>31/08/2026 02:59</t>
        </is>
      </c>
    </row>
    <row r="205">
      <c r="A205" s="7" t="inlineStr">
        <is>
          <t>WHAP 8x8</t>
        </is>
      </c>
      <c r="B205" s="7" t="inlineStr">
        <is>
          <t>WHAP-0201</t>
        </is>
      </c>
      <c r="C205" s="7" t="inlineStr">
        <is>
          <t>SUS-0201</t>
        </is>
      </c>
      <c r="D205" s="7" t="inlineStr">
        <is>
          <t>triangle de suspension</t>
        </is>
      </c>
      <c r="E205" s="7" t="inlineStr">
        <is>
          <t>Suspension</t>
        </is>
      </c>
      <c r="F205" s="7" t="inlineStr">
        <is>
          <t>Suspension</t>
        </is>
      </c>
      <c r="G205" s="7" t="inlineStr">
        <is>
          <t>PIECE_VEHICULE</t>
        </is>
      </c>
      <c r="H205" s="7" t="n">
        <v>1</v>
      </c>
      <c r="I205" s="7">
        <f>H205*$D$3</f>
        <v/>
      </c>
      <c r="J205" s="7" t="inlineStr">
        <is>
          <t>unité</t>
        </is>
      </c>
      <c r="K205" s="7" t="n">
        <v>0</v>
      </c>
      <c r="L205" s="7">
        <f>K205-I205</f>
        <v/>
      </c>
      <c r="M205" s="7">
        <f>IF(K205&lt;I205,"✕ INSUFFISANT",IF(K205&lt;I205*1.2,"⚠ STOCK FAIBLE","✓ COUVERT"))</f>
        <v/>
      </c>
      <c r="N205" s="7" t="inlineStr">
        <is>
          <t>MAG</t>
        </is>
      </c>
      <c r="O205" s="7" t="inlineStr">
        <is>
          <t>IMPORTANT</t>
        </is>
      </c>
      <c r="P205" s="7" t="inlineStr">
        <is>
          <t>31/08/2026 02:59</t>
        </is>
      </c>
    </row>
    <row r="206">
      <c r="A206" s="8" t="inlineStr">
        <is>
          <t>WHAP 8x8</t>
        </is>
      </c>
      <c r="B206" s="8" t="inlineStr">
        <is>
          <t>WHAP-0202</t>
        </is>
      </c>
      <c r="C206" s="8" t="inlineStr">
        <is>
          <t>SUS-0202</t>
        </is>
      </c>
      <c r="D206" s="8" t="inlineStr">
        <is>
          <t>porte-moyeu</t>
        </is>
      </c>
      <c r="E206" s="8" t="inlineStr">
        <is>
          <t>Suspension</t>
        </is>
      </c>
      <c r="F206" s="8" t="inlineStr">
        <is>
          <t>Suspension</t>
        </is>
      </c>
      <c r="G206" s="8" t="inlineStr">
        <is>
          <t>PIECE_VEHICULE</t>
        </is>
      </c>
      <c r="H206" s="8" t="n">
        <v>1</v>
      </c>
      <c r="I206" s="8">
        <f>H206*$D$3</f>
        <v/>
      </c>
      <c r="J206" s="8" t="inlineStr">
        <is>
          <t>unité</t>
        </is>
      </c>
      <c r="K206" s="8" t="n">
        <v>0</v>
      </c>
      <c r="L206" s="8">
        <f>K206-I206</f>
        <v/>
      </c>
      <c r="M206" s="8">
        <f>IF(K206&lt;I206,"✕ INSUFFISANT",IF(K206&lt;I206*1.2,"⚠ STOCK FAIBLE","✓ COUVERT"))</f>
        <v/>
      </c>
      <c r="N206" s="8" t="inlineStr">
        <is>
          <t>SKF</t>
        </is>
      </c>
      <c r="O206" s="8" t="inlineStr">
        <is>
          <t>IMPORTANT</t>
        </is>
      </c>
      <c r="P206" s="8" t="inlineStr">
        <is>
          <t>31/08/2026 02:59</t>
        </is>
      </c>
    </row>
    <row r="207">
      <c r="A207" s="7" t="inlineStr">
        <is>
          <t>WHAP 8x8</t>
        </is>
      </c>
      <c r="B207" s="7" t="inlineStr">
        <is>
          <t>WHAP-0203</t>
        </is>
      </c>
      <c r="C207" s="7" t="inlineStr">
        <is>
          <t>SUS-0203</t>
        </is>
      </c>
      <c r="D207" s="7" t="inlineStr">
        <is>
          <t>rotule supérieure</t>
        </is>
      </c>
      <c r="E207" s="7" t="inlineStr">
        <is>
          <t>Suspension</t>
        </is>
      </c>
      <c r="F207" s="7" t="inlineStr">
        <is>
          <t>Suspension</t>
        </is>
      </c>
      <c r="G207" s="7" t="inlineStr">
        <is>
          <t>PIECE_VEHICULE</t>
        </is>
      </c>
      <c r="H207" s="7" t="n">
        <v>1</v>
      </c>
      <c r="I207" s="7">
        <f>H207*$D$3</f>
        <v/>
      </c>
      <c r="J207" s="7" t="inlineStr">
        <is>
          <t>unité</t>
        </is>
      </c>
      <c r="K207" s="7" t="n">
        <v>0</v>
      </c>
      <c r="L207" s="7">
        <f>K207-I207</f>
        <v/>
      </c>
      <c r="M207" s="7">
        <f>IF(K207&lt;I207,"✕ INSUFFISANT",IF(K207&lt;I207*1.2,"⚠ STOCK FAIBLE","✓ COUVERT"))</f>
        <v/>
      </c>
      <c r="N207" s="7" t="inlineStr">
        <is>
          <t>MAG</t>
        </is>
      </c>
      <c r="O207" s="7" t="inlineStr">
        <is>
          <t>IMPORTANT</t>
        </is>
      </c>
      <c r="P207" s="7" t="inlineStr">
        <is>
          <t>31/08/2026 02:59</t>
        </is>
      </c>
    </row>
    <row r="208">
      <c r="A208" s="8" t="inlineStr">
        <is>
          <t>WHAP 8x8</t>
        </is>
      </c>
      <c r="B208" s="8" t="inlineStr">
        <is>
          <t>WHAP-0204</t>
        </is>
      </c>
      <c r="C208" s="8" t="inlineStr">
        <is>
          <t>SUS-0204</t>
        </is>
      </c>
      <c r="D208" s="8" t="inlineStr">
        <is>
          <t>rotule inférieure</t>
        </is>
      </c>
      <c r="E208" s="8" t="inlineStr">
        <is>
          <t>Suspension</t>
        </is>
      </c>
      <c r="F208" s="8" t="inlineStr">
        <is>
          <t>Suspension</t>
        </is>
      </c>
      <c r="G208" s="8" t="inlineStr">
        <is>
          <t>PIECE_VEHICULE</t>
        </is>
      </c>
      <c r="H208" s="8" t="n">
        <v>1</v>
      </c>
      <c r="I208" s="8">
        <f>H208*$D$3</f>
        <v/>
      </c>
      <c r="J208" s="8" t="inlineStr">
        <is>
          <t>unité</t>
        </is>
      </c>
      <c r="K208" s="8" t="n">
        <v>0</v>
      </c>
      <c r="L208" s="8">
        <f>K208-I208</f>
        <v/>
      </c>
      <c r="M208" s="8">
        <f>IF(K208&lt;I208,"✕ INSUFFISANT",IF(K208&lt;I208*1.2,"⚠ STOCK FAIBLE","✓ COUVERT"))</f>
        <v/>
      </c>
      <c r="N208" s="8" t="inlineStr">
        <is>
          <t>FAU</t>
        </is>
      </c>
      <c r="O208" s="8" t="inlineStr">
        <is>
          <t>IMPORTANT</t>
        </is>
      </c>
      <c r="P208" s="8" t="inlineStr">
        <is>
          <t>31/08/2026 02:59</t>
        </is>
      </c>
    </row>
    <row r="209">
      <c r="A209" s="7" t="inlineStr">
        <is>
          <t>WHAP 8x8</t>
        </is>
      </c>
      <c r="B209" s="7" t="inlineStr">
        <is>
          <t>WHAP-0205</t>
        </is>
      </c>
      <c r="C209" s="7" t="inlineStr">
        <is>
          <t>SUS-0205</t>
        </is>
      </c>
      <c r="D209" s="7" t="inlineStr">
        <is>
          <t>amortisseur</t>
        </is>
      </c>
      <c r="E209" s="7" t="inlineStr">
        <is>
          <t>Suspension</t>
        </is>
      </c>
      <c r="F209" s="7" t="inlineStr">
        <is>
          <t>Suspension</t>
        </is>
      </c>
      <c r="G209" s="7" t="inlineStr">
        <is>
          <t>PIECE_VEHICULE</t>
        </is>
      </c>
      <c r="H209" s="7" t="n">
        <v>1</v>
      </c>
      <c r="I209" s="7">
        <f>H209*$D$3</f>
        <v/>
      </c>
      <c r="J209" s="7" t="inlineStr">
        <is>
          <t>unité</t>
        </is>
      </c>
      <c r="K209" s="7" t="n">
        <v>0</v>
      </c>
      <c r="L209" s="7">
        <f>K209-I209</f>
        <v/>
      </c>
      <c r="M209" s="7">
        <f>IF(K209&lt;I209,"✕ INSUFFISANT",IF(K209&lt;I209*1.2,"⚠ STOCK FAIBLE","✓ COUVERT"))</f>
        <v/>
      </c>
      <c r="N209" s="7" t="inlineStr">
        <is>
          <t>SUM</t>
        </is>
      </c>
      <c r="O209" s="7" t="inlineStr">
        <is>
          <t>IMPORTANT</t>
        </is>
      </c>
      <c r="P209" s="7" t="inlineStr">
        <is>
          <t>31/08/2026 02:59</t>
        </is>
      </c>
    </row>
    <row r="210">
      <c r="A210" s="8" t="inlineStr">
        <is>
          <t>WHAP 8x8</t>
        </is>
      </c>
      <c r="B210" s="8" t="inlineStr">
        <is>
          <t>WHAP-0206</t>
        </is>
      </c>
      <c r="C210" s="8" t="inlineStr">
        <is>
          <t>SUS-0206</t>
        </is>
      </c>
      <c r="D210" s="8" t="inlineStr">
        <is>
          <t>jambe hydropneumatique</t>
        </is>
      </c>
      <c r="E210" s="8" t="inlineStr">
        <is>
          <t>Suspension</t>
        </is>
      </c>
      <c r="F210" s="8" t="inlineStr">
        <is>
          <t>Suspension</t>
        </is>
      </c>
      <c r="G210" s="8" t="inlineStr">
        <is>
          <t>PIECE_VEHICULE</t>
        </is>
      </c>
      <c r="H210" s="8" t="n">
        <v>1</v>
      </c>
      <c r="I210" s="8">
        <f>H210*$D$3</f>
        <v/>
      </c>
      <c r="J210" s="8" t="inlineStr">
        <is>
          <t>unité</t>
        </is>
      </c>
      <c r="K210" s="8" t="n">
        <v>0</v>
      </c>
      <c r="L210" s="8">
        <f>K210-I210</f>
        <v/>
      </c>
      <c r="M210" s="8">
        <f>IF(K210&lt;I210,"✕ INSUFFISANT",IF(K210&lt;I210*1.2,"⚠ STOCK FAIBLE","✓ COUVERT"))</f>
        <v/>
      </c>
      <c r="N210" s="8" t="inlineStr">
        <is>
          <t>MAG</t>
        </is>
      </c>
      <c r="O210" s="8" t="inlineStr">
        <is>
          <t>IMPORTANT</t>
        </is>
      </c>
      <c r="P210" s="8" t="inlineStr">
        <is>
          <t>31/08/2026 02:59</t>
        </is>
      </c>
    </row>
    <row r="211">
      <c r="A211" s="7" t="inlineStr">
        <is>
          <t>WHAP 8x8</t>
        </is>
      </c>
      <c r="B211" s="7" t="inlineStr">
        <is>
          <t>WHAP-0207</t>
        </is>
      </c>
      <c r="C211" s="7" t="inlineStr">
        <is>
          <t>SUS-0207</t>
        </is>
      </c>
      <c r="D211" s="7" t="inlineStr">
        <is>
          <t>accumulateur hydropneumatique</t>
        </is>
      </c>
      <c r="E211" s="7" t="inlineStr">
        <is>
          <t>Suspension</t>
        </is>
      </c>
      <c r="F211" s="7" t="inlineStr">
        <is>
          <t>Suspension</t>
        </is>
      </c>
      <c r="G211" s="7" t="inlineStr">
        <is>
          <t>PIECE_VEHICULE</t>
        </is>
      </c>
      <c r="H211" s="7" t="n">
        <v>1</v>
      </c>
      <c r="I211" s="7">
        <f>H211*$D$3</f>
        <v/>
      </c>
      <c r="J211" s="7" t="inlineStr">
        <is>
          <t>unité</t>
        </is>
      </c>
      <c r="K211" s="7" t="n">
        <v>0</v>
      </c>
      <c r="L211" s="7">
        <f>K211-I211</f>
        <v/>
      </c>
      <c r="M211" s="7">
        <f>IF(K211&lt;I211,"✕ INSUFFISANT",IF(K211&lt;I211*1.2,"⚠ STOCK FAIBLE","✓ COUVERT"))</f>
        <v/>
      </c>
      <c r="N211" s="7" t="inlineStr">
        <is>
          <t>CTL</t>
        </is>
      </c>
      <c r="O211" s="7" t="inlineStr">
        <is>
          <t>IMPORTANT</t>
        </is>
      </c>
      <c r="P211" s="7" t="inlineStr">
        <is>
          <t>31/08/2026 02:59</t>
        </is>
      </c>
    </row>
    <row r="212">
      <c r="A212" s="8" t="inlineStr">
        <is>
          <t>WHAP 8x8</t>
        </is>
      </c>
      <c r="B212" s="8" t="inlineStr">
        <is>
          <t>WHAP-0208</t>
        </is>
      </c>
      <c r="C212" s="8" t="inlineStr">
        <is>
          <t>SUS-0208</t>
        </is>
      </c>
      <c r="D212" s="8" t="inlineStr">
        <is>
          <t>cylindre de suspension</t>
        </is>
      </c>
      <c r="E212" s="8" t="inlineStr">
        <is>
          <t>Suspension</t>
        </is>
      </c>
      <c r="F212" s="8" t="inlineStr">
        <is>
          <t>Suspension</t>
        </is>
      </c>
      <c r="G212" s="8" t="inlineStr">
        <is>
          <t>PIECE_VEHICULE</t>
        </is>
      </c>
      <c r="H212" s="8" t="n">
        <v>1</v>
      </c>
      <c r="I212" s="8">
        <f>H212*$D$3</f>
        <v/>
      </c>
      <c r="J212" s="8" t="inlineStr">
        <is>
          <t>unité</t>
        </is>
      </c>
      <c r="K212" s="8" t="n">
        <v>0</v>
      </c>
      <c r="L212" s="8">
        <f>K212-I212</f>
        <v/>
      </c>
      <c r="M212" s="8">
        <f>IF(K212&lt;I212,"✕ INSUFFISANT",IF(K212&lt;I212*1.2,"⚠ STOCK FAIBLE","✓ COUVERT"))</f>
        <v/>
      </c>
      <c r="N212" s="8" t="inlineStr">
        <is>
          <t>CTL</t>
        </is>
      </c>
      <c r="O212" s="8" t="inlineStr">
        <is>
          <t>IMPORTANT</t>
        </is>
      </c>
      <c r="P212" s="8" t="inlineStr">
        <is>
          <t>31/08/2026 02:59</t>
        </is>
      </c>
    </row>
    <row r="213">
      <c r="A213" s="7" t="inlineStr">
        <is>
          <t>WHAP 8x8</t>
        </is>
      </c>
      <c r="B213" s="7" t="inlineStr">
        <is>
          <t>WHAP-0209</t>
        </is>
      </c>
      <c r="C213" s="7" t="inlineStr">
        <is>
          <t>SUS-0209</t>
        </is>
      </c>
      <c r="D213" s="7" t="inlineStr">
        <is>
          <t>piston de suspension</t>
        </is>
      </c>
      <c r="E213" s="7" t="inlineStr">
        <is>
          <t>Suspension</t>
        </is>
      </c>
      <c r="F213" s="7" t="inlineStr">
        <is>
          <t>Suspension</t>
        </is>
      </c>
      <c r="G213" s="7" t="inlineStr">
        <is>
          <t>PIECE_VEHICULE</t>
        </is>
      </c>
      <c r="H213" s="7" t="n">
        <v>1</v>
      </c>
      <c r="I213" s="7">
        <f>H213*$D$3</f>
        <v/>
      </c>
      <c r="J213" s="7" t="inlineStr">
        <is>
          <t>unité</t>
        </is>
      </c>
      <c r="K213" s="7" t="n">
        <v>0</v>
      </c>
      <c r="L213" s="7">
        <f>K213-I213</f>
        <v/>
      </c>
      <c r="M213" s="7">
        <f>IF(K213&lt;I213,"✕ INSUFFISANT",IF(K213&lt;I213*1.2,"⚠ STOCK FAIBLE","✓ COUVERT"))</f>
        <v/>
      </c>
      <c r="N213" s="7" t="inlineStr">
        <is>
          <t>MAG</t>
        </is>
      </c>
      <c r="O213" s="7" t="inlineStr">
        <is>
          <t>IMPORTANT</t>
        </is>
      </c>
      <c r="P213" s="7" t="inlineStr">
        <is>
          <t>31/08/2026 02:59</t>
        </is>
      </c>
    </row>
    <row r="214">
      <c r="A214" s="8" t="inlineStr">
        <is>
          <t>WHAP 8x8</t>
        </is>
      </c>
      <c r="B214" s="8" t="inlineStr">
        <is>
          <t>WHAP-0210</t>
        </is>
      </c>
      <c r="C214" s="8" t="inlineStr">
        <is>
          <t>SUS-0210</t>
        </is>
      </c>
      <c r="D214" s="8" t="inlineStr">
        <is>
          <t>tige de suspension</t>
        </is>
      </c>
      <c r="E214" s="8" t="inlineStr">
        <is>
          <t>Suspension</t>
        </is>
      </c>
      <c r="F214" s="8" t="inlineStr">
        <is>
          <t>Suspension</t>
        </is>
      </c>
      <c r="G214" s="8" t="inlineStr">
        <is>
          <t>PIECE_VEHICULE</t>
        </is>
      </c>
      <c r="H214" s="8" t="n">
        <v>1</v>
      </c>
      <c r="I214" s="8">
        <f>H214*$D$3</f>
        <v/>
      </c>
      <c r="J214" s="8" t="inlineStr">
        <is>
          <t>unité</t>
        </is>
      </c>
      <c r="K214" s="8" t="n">
        <v>0</v>
      </c>
      <c r="L214" s="8">
        <f>K214-I214</f>
        <v/>
      </c>
      <c r="M214" s="8">
        <f>IF(K214&lt;I214,"✕ INSUFFISANT",IF(K214&lt;I214*1.2,"⚠ STOCK FAIBLE","✓ COUVERT"))</f>
        <v/>
      </c>
      <c r="N214" s="8" t="inlineStr">
        <is>
          <t>HEL</t>
        </is>
      </c>
      <c r="O214" s="8" t="inlineStr">
        <is>
          <t>IMPORTANT</t>
        </is>
      </c>
      <c r="P214" s="8" t="inlineStr">
        <is>
          <t>31/08/2026 02:59</t>
        </is>
      </c>
    </row>
    <row r="215">
      <c r="A215" s="7" t="inlineStr">
        <is>
          <t>WHAP 8x8</t>
        </is>
      </c>
      <c r="B215" s="7" t="inlineStr">
        <is>
          <t>WHAP-0211</t>
        </is>
      </c>
      <c r="C215" s="7" t="inlineStr">
        <is>
          <t>SUS-0211</t>
        </is>
      </c>
      <c r="D215" s="7" t="inlineStr">
        <is>
          <t>joint de tige</t>
        </is>
      </c>
      <c r="E215" s="7" t="inlineStr">
        <is>
          <t>Suspension</t>
        </is>
      </c>
      <c r="F215" s="7" t="inlineStr">
        <is>
          <t>Suspension</t>
        </is>
      </c>
      <c r="G215" s="7" t="inlineStr">
        <is>
          <t>PIECE_VEHICULE</t>
        </is>
      </c>
      <c r="H215" s="7" t="n">
        <v>1</v>
      </c>
      <c r="I215" s="7">
        <f>H215*$D$3</f>
        <v/>
      </c>
      <c r="J215" s="7" t="inlineStr">
        <is>
          <t>unité</t>
        </is>
      </c>
      <c r="K215" s="7" t="n">
        <v>0</v>
      </c>
      <c r="L215" s="7">
        <f>K215-I215</f>
        <v/>
      </c>
      <c r="M215" s="7">
        <f>IF(K215&lt;I215,"✕ INSUFFISANT",IF(K215&lt;I215*1.2,"⚠ STOCK FAIBLE","✓ COUVERT"))</f>
        <v/>
      </c>
      <c r="N215" s="7" t="inlineStr">
        <is>
          <t>SUM</t>
        </is>
      </c>
      <c r="O215" s="7" t="inlineStr">
        <is>
          <t>IMPORTANT</t>
        </is>
      </c>
      <c r="P215" s="7" t="inlineStr">
        <is>
          <t>31/08/2026 02:59</t>
        </is>
      </c>
    </row>
    <row r="216">
      <c r="A216" s="8" t="inlineStr">
        <is>
          <t>WHAP 8x8</t>
        </is>
      </c>
      <c r="B216" s="8" t="inlineStr">
        <is>
          <t>WHAP-0212</t>
        </is>
      </c>
      <c r="C216" s="8" t="inlineStr">
        <is>
          <t>SUS-0212</t>
        </is>
      </c>
      <c r="D216" s="8" t="inlineStr">
        <is>
          <t>bague de guidage</t>
        </is>
      </c>
      <c r="E216" s="8" t="inlineStr">
        <is>
          <t>Suspension</t>
        </is>
      </c>
      <c r="F216" s="8" t="inlineStr">
        <is>
          <t>Suspension</t>
        </is>
      </c>
      <c r="G216" s="8" t="inlineStr">
        <is>
          <t>PIECE_VEHICULE</t>
        </is>
      </c>
      <c r="H216" s="8" t="n">
        <v>1</v>
      </c>
      <c r="I216" s="8">
        <f>H216*$D$3</f>
        <v/>
      </c>
      <c r="J216" s="8" t="inlineStr">
        <is>
          <t>unité</t>
        </is>
      </c>
      <c r="K216" s="8" t="n">
        <v>0</v>
      </c>
      <c r="L216" s="8">
        <f>K216-I216</f>
        <v/>
      </c>
      <c r="M216" s="8">
        <f>IF(K216&lt;I216,"✕ INSUFFISANT",IF(K216&lt;I216*1.2,"⚠ STOCK FAIBLE","✓ COUVERT"))</f>
        <v/>
      </c>
      <c r="N216" s="8" t="inlineStr">
        <is>
          <t>SKF</t>
        </is>
      </c>
      <c r="O216" s="8" t="inlineStr">
        <is>
          <t>IMPORTANT</t>
        </is>
      </c>
      <c r="P216" s="8" t="inlineStr">
        <is>
          <t>31/08/2026 02:59</t>
        </is>
      </c>
    </row>
    <row r="217">
      <c r="A217" s="7" t="inlineStr">
        <is>
          <t>WHAP 8x8</t>
        </is>
      </c>
      <c r="B217" s="7" t="inlineStr">
        <is>
          <t>WHAP-0213</t>
        </is>
      </c>
      <c r="C217" s="7" t="inlineStr">
        <is>
          <t>SUS-0213</t>
        </is>
      </c>
      <c r="D217" s="7" t="inlineStr">
        <is>
          <t>ressort auxiliaire</t>
        </is>
      </c>
      <c r="E217" s="7" t="inlineStr">
        <is>
          <t>Suspension</t>
        </is>
      </c>
      <c r="F217" s="7" t="inlineStr">
        <is>
          <t>Suspension</t>
        </is>
      </c>
      <c r="G217" s="7" t="inlineStr">
        <is>
          <t>PIECE_VEHICULE</t>
        </is>
      </c>
      <c r="H217" s="7" t="n">
        <v>1</v>
      </c>
      <c r="I217" s="7">
        <f>H217*$D$3</f>
        <v/>
      </c>
      <c r="J217" s="7" t="inlineStr">
        <is>
          <t>unité</t>
        </is>
      </c>
      <c r="K217" s="7" t="n">
        <v>0</v>
      </c>
      <c r="L217" s="7">
        <f>K217-I217</f>
        <v/>
      </c>
      <c r="M217" s="7">
        <f>IF(K217&lt;I217,"✕ INSUFFISANT",IF(K217&lt;I217*1.2,"⚠ STOCK FAIBLE","✓ COUVERT"))</f>
        <v/>
      </c>
      <c r="N217" s="7" t="inlineStr">
        <is>
          <t>SUM</t>
        </is>
      </c>
      <c r="O217" s="7" t="inlineStr">
        <is>
          <t>IMPORTANT</t>
        </is>
      </c>
      <c r="P217" s="7" t="inlineStr">
        <is>
          <t>31/08/2026 02:59</t>
        </is>
      </c>
    </row>
    <row r="218">
      <c r="A218" s="8" t="inlineStr">
        <is>
          <t>WHAP 8x8</t>
        </is>
      </c>
      <c r="B218" s="8" t="inlineStr">
        <is>
          <t>WHAP-0214</t>
        </is>
      </c>
      <c r="C218" s="8" t="inlineStr">
        <is>
          <t>SUS-0214</t>
        </is>
      </c>
      <c r="D218" s="8" t="inlineStr">
        <is>
          <t>butée de suspension</t>
        </is>
      </c>
      <c r="E218" s="8" t="inlineStr">
        <is>
          <t>Suspension</t>
        </is>
      </c>
      <c r="F218" s="8" t="inlineStr">
        <is>
          <t>Suspension</t>
        </is>
      </c>
      <c r="G218" s="8" t="inlineStr">
        <is>
          <t>PIECE_VEHICULE</t>
        </is>
      </c>
      <c r="H218" s="8" t="n">
        <v>1</v>
      </c>
      <c r="I218" s="8">
        <f>H218*$D$3</f>
        <v/>
      </c>
      <c r="J218" s="8" t="inlineStr">
        <is>
          <t>unité</t>
        </is>
      </c>
      <c r="K218" s="8" t="n">
        <v>0</v>
      </c>
      <c r="L218" s="8">
        <f>K218-I218</f>
        <v/>
      </c>
      <c r="M218" s="8">
        <f>IF(K218&lt;I218,"✕ INSUFFISANT",IF(K218&lt;I218*1.2,"⚠ STOCK FAIBLE","✓ COUVERT"))</f>
        <v/>
      </c>
      <c r="N218" s="8" t="inlineStr">
        <is>
          <t>HEL</t>
        </is>
      </c>
      <c r="O218" s="8" t="inlineStr">
        <is>
          <t>IMPORTANT</t>
        </is>
      </c>
      <c r="P218" s="8" t="inlineStr">
        <is>
          <t>31/08/2026 02:59</t>
        </is>
      </c>
    </row>
    <row r="219">
      <c r="A219" s="7" t="inlineStr">
        <is>
          <t>WHAP 8x8</t>
        </is>
      </c>
      <c r="B219" s="7" t="inlineStr">
        <is>
          <t>WHAP-0215</t>
        </is>
      </c>
      <c r="C219" s="7" t="inlineStr">
        <is>
          <t>SUS-0215</t>
        </is>
      </c>
      <c r="D219" s="7" t="inlineStr">
        <is>
          <t>silentbloc de bras</t>
        </is>
      </c>
      <c r="E219" s="7" t="inlineStr">
        <is>
          <t>Suspension</t>
        </is>
      </c>
      <c r="F219" s="7" t="inlineStr">
        <is>
          <t>Suspension</t>
        </is>
      </c>
      <c r="G219" s="7" t="inlineStr">
        <is>
          <t>PIECE_VEHICULE</t>
        </is>
      </c>
      <c r="H219" s="7" t="n">
        <v>1</v>
      </c>
      <c r="I219" s="7">
        <f>H219*$D$3</f>
        <v/>
      </c>
      <c r="J219" s="7" t="inlineStr">
        <is>
          <t>unité</t>
        </is>
      </c>
      <c r="K219" s="7" t="n">
        <v>0</v>
      </c>
      <c r="L219" s="7">
        <f>K219-I219</f>
        <v/>
      </c>
      <c r="M219" s="7">
        <f>IF(K219&lt;I219,"✕ INSUFFISANT",IF(K219&lt;I219*1.2,"⚠ STOCK FAIBLE","✓ COUVERT"))</f>
        <v/>
      </c>
      <c r="N219" s="7" t="inlineStr">
        <is>
          <t>FAU</t>
        </is>
      </c>
      <c r="O219" s="7" t="inlineStr">
        <is>
          <t>IMPORTANT</t>
        </is>
      </c>
      <c r="P219" s="7" t="inlineStr">
        <is>
          <t>31/08/2026 02:59</t>
        </is>
      </c>
    </row>
    <row r="220">
      <c r="A220" s="8" t="inlineStr">
        <is>
          <t>WHAP 8x8</t>
        </is>
      </c>
      <c r="B220" s="8" t="inlineStr">
        <is>
          <t>WHAP-0216</t>
        </is>
      </c>
      <c r="C220" s="8" t="inlineStr">
        <is>
          <t>SUS-0216</t>
        </is>
      </c>
      <c r="D220" s="8" t="inlineStr">
        <is>
          <t>support de suspension</t>
        </is>
      </c>
      <c r="E220" s="8" t="inlineStr">
        <is>
          <t>Suspension</t>
        </is>
      </c>
      <c r="F220" s="8" t="inlineStr">
        <is>
          <t>Suspension</t>
        </is>
      </c>
      <c r="G220" s="8" t="inlineStr">
        <is>
          <t>PIECE_VEHICULE</t>
        </is>
      </c>
      <c r="H220" s="8" t="n">
        <v>1</v>
      </c>
      <c r="I220" s="8">
        <f>H220*$D$3</f>
        <v/>
      </c>
      <c r="J220" s="8" t="inlineStr">
        <is>
          <t>unité</t>
        </is>
      </c>
      <c r="K220" s="8" t="n">
        <v>0</v>
      </c>
      <c r="L220" s="8">
        <f>K220-I220</f>
        <v/>
      </c>
      <c r="M220" s="8">
        <f>IF(K220&lt;I220,"✕ INSUFFISANT",IF(K220&lt;I220*1.2,"⚠ STOCK FAIBLE","✓ COUVERT"))</f>
        <v/>
      </c>
      <c r="N220" s="8" t="inlineStr">
        <is>
          <t>SUM</t>
        </is>
      </c>
      <c r="O220" s="8" t="inlineStr">
        <is>
          <t>IMPORTANT</t>
        </is>
      </c>
      <c r="P220" s="8" t="inlineStr">
        <is>
          <t>31/08/2026 02:59</t>
        </is>
      </c>
    </row>
    <row r="221">
      <c r="A221" s="7" t="inlineStr">
        <is>
          <t>WHAP 8x8</t>
        </is>
      </c>
      <c r="B221" s="7" t="inlineStr">
        <is>
          <t>WHAP-0217</t>
        </is>
      </c>
      <c r="C221" s="7" t="inlineStr">
        <is>
          <t>SUS-0217</t>
        </is>
      </c>
      <c r="D221" s="7" t="inlineStr">
        <is>
          <t>capteur de hauteur</t>
        </is>
      </c>
      <c r="E221" s="7" t="inlineStr">
        <is>
          <t>Suspension</t>
        </is>
      </c>
      <c r="F221" s="7" t="inlineStr">
        <is>
          <t>Suspension</t>
        </is>
      </c>
      <c r="G221" s="7" t="inlineStr">
        <is>
          <t>PIECE_VEHICULE</t>
        </is>
      </c>
      <c r="H221" s="7" t="n">
        <v>1</v>
      </c>
      <c r="I221" s="7">
        <f>H221*$D$3</f>
        <v/>
      </c>
      <c r="J221" s="7" t="inlineStr">
        <is>
          <t>unité</t>
        </is>
      </c>
      <c r="K221" s="7" t="n">
        <v>0</v>
      </c>
      <c r="L221" s="7">
        <f>K221-I221</f>
        <v/>
      </c>
      <c r="M221" s="7">
        <f>IF(K221&lt;I221,"✕ INSUFFISANT",IF(K221&lt;I221*1.2,"⚠ STOCK FAIBLE","✓ COUVERT"))</f>
        <v/>
      </c>
      <c r="N221" s="7" t="inlineStr">
        <is>
          <t>FAU</t>
        </is>
      </c>
      <c r="O221" s="7" t="inlineStr">
        <is>
          <t>IMPORTANT</t>
        </is>
      </c>
      <c r="P221" s="7" t="inlineStr">
        <is>
          <t>31/08/2026 02:59</t>
        </is>
      </c>
    </row>
    <row r="222">
      <c r="A222" s="8" t="inlineStr">
        <is>
          <t>WHAP 8x8</t>
        </is>
      </c>
      <c r="B222" s="8" t="inlineStr">
        <is>
          <t>WHAP-0218</t>
        </is>
      </c>
      <c r="C222" s="8" t="inlineStr">
        <is>
          <t>SUS-0218</t>
        </is>
      </c>
      <c r="D222" s="8" t="inlineStr">
        <is>
          <t>valve de suspension</t>
        </is>
      </c>
      <c r="E222" s="8" t="inlineStr">
        <is>
          <t>Suspension</t>
        </is>
      </c>
      <c r="F222" s="8" t="inlineStr">
        <is>
          <t>Suspension</t>
        </is>
      </c>
      <c r="G222" s="8" t="inlineStr">
        <is>
          <t>PIECE_VEHICULE</t>
        </is>
      </c>
      <c r="H222" s="8" t="n">
        <v>1</v>
      </c>
      <c r="I222" s="8">
        <f>H222*$D$3</f>
        <v/>
      </c>
      <c r="J222" s="8" t="inlineStr">
        <is>
          <t>unité</t>
        </is>
      </c>
      <c r="K222" s="8" t="n">
        <v>0</v>
      </c>
      <c r="L222" s="8">
        <f>K222-I222</f>
        <v/>
      </c>
      <c r="M222" s="8">
        <f>IF(K222&lt;I222,"✕ INSUFFISANT",IF(K222&lt;I222*1.2,"⚠ STOCK FAIBLE","✓ COUVERT"))</f>
        <v/>
      </c>
      <c r="N222" s="8" t="inlineStr">
        <is>
          <t>CTL</t>
        </is>
      </c>
      <c r="O222" s="8" t="inlineStr">
        <is>
          <t>IMPORTANT</t>
        </is>
      </c>
      <c r="P222" s="8" t="inlineStr">
        <is>
          <t>31/08/2026 02:59</t>
        </is>
      </c>
    </row>
    <row r="223">
      <c r="A223" s="7" t="inlineStr">
        <is>
          <t>WHAP 8x8</t>
        </is>
      </c>
      <c r="B223" s="7" t="inlineStr">
        <is>
          <t>WHAP-0219</t>
        </is>
      </c>
      <c r="C223" s="7" t="inlineStr">
        <is>
          <t>SUS-0219</t>
        </is>
      </c>
      <c r="D223" s="7" t="inlineStr">
        <is>
          <t>conduite hydraulique</t>
        </is>
      </c>
      <c r="E223" s="7" t="inlineStr">
        <is>
          <t>Suspension</t>
        </is>
      </c>
      <c r="F223" s="7" t="inlineStr">
        <is>
          <t>Suspension</t>
        </is>
      </c>
      <c r="G223" s="7" t="inlineStr">
        <is>
          <t>PIECE_VEHICULE</t>
        </is>
      </c>
      <c r="H223" s="7" t="n">
        <v>1</v>
      </c>
      <c r="I223" s="7">
        <f>H223*$D$3</f>
        <v/>
      </c>
      <c r="J223" s="7" t="inlineStr">
        <is>
          <t>unité</t>
        </is>
      </c>
      <c r="K223" s="7" t="n">
        <v>0</v>
      </c>
      <c r="L223" s="7">
        <f>K223-I223</f>
        <v/>
      </c>
      <c r="M223" s="7">
        <f>IF(K223&lt;I223,"✕ INSUFFISANT",IF(K223&lt;I223*1.2,"⚠ STOCK FAIBLE","✓ COUVERT"))</f>
        <v/>
      </c>
      <c r="N223" s="7" t="inlineStr">
        <is>
          <t>CTL</t>
        </is>
      </c>
      <c r="O223" s="7" t="inlineStr">
        <is>
          <t>IMPORTANT</t>
        </is>
      </c>
      <c r="P223" s="7" t="inlineStr">
        <is>
          <t>31/08/2026 02:59</t>
        </is>
      </c>
    </row>
    <row r="224">
      <c r="A224" s="8" t="inlineStr">
        <is>
          <t>WHAP 8x8</t>
        </is>
      </c>
      <c r="B224" s="8" t="inlineStr">
        <is>
          <t>WHAP-0220</t>
        </is>
      </c>
      <c r="C224" s="8" t="inlineStr">
        <is>
          <t>SUS-0220</t>
        </is>
      </c>
      <c r="D224" s="8" t="inlineStr">
        <is>
          <t>raccord hydraulique</t>
        </is>
      </c>
      <c r="E224" s="8" t="inlineStr">
        <is>
          <t>Suspension</t>
        </is>
      </c>
      <c r="F224" s="8" t="inlineStr">
        <is>
          <t>Suspension</t>
        </is>
      </c>
      <c r="G224" s="8" t="inlineStr">
        <is>
          <t>PIECE_VEHICULE</t>
        </is>
      </c>
      <c r="H224" s="8" t="n">
        <v>1</v>
      </c>
      <c r="I224" s="8">
        <f>H224*$D$3</f>
        <v/>
      </c>
      <c r="J224" s="8" t="inlineStr">
        <is>
          <t>unité</t>
        </is>
      </c>
      <c r="K224" s="8" t="n">
        <v>0</v>
      </c>
      <c r="L224" s="8">
        <f>K224-I224</f>
        <v/>
      </c>
      <c r="M224" s="8">
        <f>IF(K224&lt;I224,"✕ INSUFFISANT",IF(K224&lt;I224*1.2,"⚠ STOCK FAIBLE","✓ COUVERT"))</f>
        <v/>
      </c>
      <c r="N224" s="8" t="inlineStr">
        <is>
          <t>HEL</t>
        </is>
      </c>
      <c r="O224" s="8" t="inlineStr">
        <is>
          <t>IMPORTANT</t>
        </is>
      </c>
      <c r="P224" s="8" t="inlineStr">
        <is>
          <t>31/08/2026 02:59</t>
        </is>
      </c>
    </row>
    <row r="225">
      <c r="A225" s="7" t="inlineStr">
        <is>
          <t>WHAP 8x8</t>
        </is>
      </c>
      <c r="B225" s="7" t="inlineStr">
        <is>
          <t>WHAP-0221</t>
        </is>
      </c>
      <c r="C225" s="7" t="inlineStr">
        <is>
          <t>SUS-0221</t>
        </is>
      </c>
      <c r="D225" s="7" t="inlineStr">
        <is>
          <t>pompe hydraulique</t>
        </is>
      </c>
      <c r="E225" s="7" t="inlineStr">
        <is>
          <t>Suspension</t>
        </is>
      </c>
      <c r="F225" s="7" t="inlineStr">
        <is>
          <t>Suspension</t>
        </is>
      </c>
      <c r="G225" s="7" t="inlineStr">
        <is>
          <t>PIECE_VEHICULE</t>
        </is>
      </c>
      <c r="H225" s="7" t="n">
        <v>1</v>
      </c>
      <c r="I225" s="7">
        <f>H225*$D$3</f>
        <v/>
      </c>
      <c r="J225" s="7" t="inlineStr">
        <is>
          <t>unité</t>
        </is>
      </c>
      <c r="K225" s="7" t="n">
        <v>0</v>
      </c>
      <c r="L225" s="7">
        <f>K225-I225</f>
        <v/>
      </c>
      <c r="M225" s="7">
        <f>IF(K225&lt;I225,"✕ INSUFFISANT",IF(K225&lt;I225*1.2,"⚠ STOCK FAIBLE","✓ COUVERT"))</f>
        <v/>
      </c>
      <c r="N225" s="7" t="inlineStr">
        <is>
          <t>BOS</t>
        </is>
      </c>
      <c r="O225" s="7" t="inlineStr">
        <is>
          <t>IMPORTANT</t>
        </is>
      </c>
      <c r="P225" s="7" t="inlineStr">
        <is>
          <t>31/08/2026 02:59</t>
        </is>
      </c>
    </row>
    <row r="226">
      <c r="A226" s="8" t="inlineStr">
        <is>
          <t>WHAP 8x8</t>
        </is>
      </c>
      <c r="B226" s="8" t="inlineStr">
        <is>
          <t>WHAP-0222</t>
        </is>
      </c>
      <c r="C226" s="8" t="inlineStr">
        <is>
          <t>SUS-0222</t>
        </is>
      </c>
      <c r="D226" s="8" t="inlineStr">
        <is>
          <t>réservoir hydraulique</t>
        </is>
      </c>
      <c r="E226" s="8" t="inlineStr">
        <is>
          <t>Suspension</t>
        </is>
      </c>
      <c r="F226" s="8" t="inlineStr">
        <is>
          <t>Suspension</t>
        </is>
      </c>
      <c r="G226" s="8" t="inlineStr">
        <is>
          <t>PIECE_VEHICULE</t>
        </is>
      </c>
      <c r="H226" s="8" t="n">
        <v>1</v>
      </c>
      <c r="I226" s="8">
        <f>H226*$D$3</f>
        <v/>
      </c>
      <c r="J226" s="8" t="inlineStr">
        <is>
          <t>unité</t>
        </is>
      </c>
      <c r="K226" s="8" t="n">
        <v>0</v>
      </c>
      <c r="L226" s="8">
        <f>K226-I226</f>
        <v/>
      </c>
      <c r="M226" s="8">
        <f>IF(K226&lt;I226,"✕ INSUFFISANT",IF(K226&lt;I226*1.2,"⚠ STOCK FAIBLE","✓ COUVERT"))</f>
        <v/>
      </c>
      <c r="N226" s="8" t="inlineStr">
        <is>
          <t>MAG</t>
        </is>
      </c>
      <c r="O226" s="8" t="inlineStr">
        <is>
          <t>IMPORTANT</t>
        </is>
      </c>
      <c r="P226" s="8" t="inlineStr">
        <is>
          <t>31/08/2026 02:59</t>
        </is>
      </c>
    </row>
    <row r="227">
      <c r="A227" s="7" t="inlineStr">
        <is>
          <t>WHAP 8x8</t>
        </is>
      </c>
      <c r="B227" s="7" t="inlineStr">
        <is>
          <t>WHAP-0223</t>
        </is>
      </c>
      <c r="C227" s="7" t="inlineStr">
        <is>
          <t>SUS-0223</t>
        </is>
      </c>
      <c r="D227" s="7" t="inlineStr">
        <is>
          <t>filtre hydraulique</t>
        </is>
      </c>
      <c r="E227" s="7" t="inlineStr">
        <is>
          <t>Suspension</t>
        </is>
      </c>
      <c r="F227" s="7" t="inlineStr">
        <is>
          <t>Suspension</t>
        </is>
      </c>
      <c r="G227" s="7" t="inlineStr">
        <is>
          <t>PIECE_VEHICULE</t>
        </is>
      </c>
      <c r="H227" s="7" t="n">
        <v>1</v>
      </c>
      <c r="I227" s="7">
        <f>H227*$D$3</f>
        <v/>
      </c>
      <c r="J227" s="7" t="inlineStr">
        <is>
          <t>unité</t>
        </is>
      </c>
      <c r="K227" s="7" t="n">
        <v>0</v>
      </c>
      <c r="L227" s="7">
        <f>K227-I227</f>
        <v/>
      </c>
      <c r="M227" s="7">
        <f>IF(K227&lt;I227,"✕ INSUFFISANT",IF(K227&lt;I227*1.2,"⚠ STOCK FAIBLE","✓ COUVERT"))</f>
        <v/>
      </c>
      <c r="N227" s="7" t="inlineStr">
        <is>
          <t>CTL</t>
        </is>
      </c>
      <c r="O227" s="7" t="inlineStr">
        <is>
          <t>IMPORTANT</t>
        </is>
      </c>
      <c r="P227" s="7" t="inlineStr">
        <is>
          <t>31/08/2026 02:59</t>
        </is>
      </c>
    </row>
    <row r="228">
      <c r="A228" s="8" t="inlineStr">
        <is>
          <t>WHAP 8x8</t>
        </is>
      </c>
      <c r="B228" s="8" t="inlineStr">
        <is>
          <t>WHAP-0224</t>
        </is>
      </c>
      <c r="C228" s="8" t="inlineStr">
        <is>
          <t>DIR-0224</t>
        </is>
      </c>
      <c r="D228" s="8" t="inlineStr">
        <is>
          <t>volant</t>
        </is>
      </c>
      <c r="E228" s="8" t="inlineStr">
        <is>
          <t>Direction</t>
        </is>
      </c>
      <c r="F228" s="8" t="inlineStr">
        <is>
          <t>Direction</t>
        </is>
      </c>
      <c r="G228" s="8" t="inlineStr">
        <is>
          <t>PIECE_VEHICULE</t>
        </is>
      </c>
      <c r="H228" s="8" t="n">
        <v>1</v>
      </c>
      <c r="I228" s="8">
        <f>H228*$D$3</f>
        <v/>
      </c>
      <c r="J228" s="8" t="inlineStr">
        <is>
          <t>unité</t>
        </is>
      </c>
      <c r="K228" s="8" t="n">
        <v>142</v>
      </c>
      <c r="L228" s="8">
        <f>K228-I228</f>
        <v/>
      </c>
      <c r="M228" s="8">
        <f>IF(K228&lt;I228,"✕ INSUFFISANT",IF(K228&lt;I228*1.2,"⚠ STOCK FAIBLE","✓ COUVERT"))</f>
        <v/>
      </c>
      <c r="N228" s="8" t="inlineStr">
        <is>
          <t>VAL</t>
        </is>
      </c>
      <c r="O228" s="8" t="inlineStr">
        <is>
          <t>CRITIQUE</t>
        </is>
      </c>
      <c r="P228" s="8" t="inlineStr">
        <is>
          <t>31/08/2026 02:59</t>
        </is>
      </c>
    </row>
    <row r="229">
      <c r="A229" s="7" t="inlineStr">
        <is>
          <t>WHAP 8x8</t>
        </is>
      </c>
      <c r="B229" s="7" t="inlineStr">
        <is>
          <t>WHAP-0225</t>
        </is>
      </c>
      <c r="C229" s="7" t="inlineStr">
        <is>
          <t>DIR-0225</t>
        </is>
      </c>
      <c r="D229" s="7" t="inlineStr">
        <is>
          <t>colonne de direction</t>
        </is>
      </c>
      <c r="E229" s="7" t="inlineStr">
        <is>
          <t>Direction</t>
        </is>
      </c>
      <c r="F229" s="7" t="inlineStr">
        <is>
          <t>Direction</t>
        </is>
      </c>
      <c r="G229" s="7" t="inlineStr">
        <is>
          <t>PIECE_VEHICULE</t>
        </is>
      </c>
      <c r="H229" s="7" t="n">
        <v>1</v>
      </c>
      <c r="I229" s="7">
        <f>H229*$D$3</f>
        <v/>
      </c>
      <c r="J229" s="7" t="inlineStr">
        <is>
          <t>unité</t>
        </is>
      </c>
      <c r="K229" s="7" t="n">
        <v>252</v>
      </c>
      <c r="L229" s="7">
        <f>K229-I229</f>
        <v/>
      </c>
      <c r="M229" s="7">
        <f>IF(K229&lt;I229,"✕ INSUFFISANT",IF(K229&lt;I229*1.2,"⚠ STOCK FAIBLE","✓ COUVERT"))</f>
        <v/>
      </c>
      <c r="N229" s="7" t="inlineStr">
        <is>
          <t>DEL</t>
        </is>
      </c>
      <c r="O229" s="7" t="inlineStr">
        <is>
          <t>CRITIQUE</t>
        </is>
      </c>
      <c r="P229" s="7" t="inlineStr">
        <is>
          <t>31/08/2026 02:59</t>
        </is>
      </c>
    </row>
    <row r="230">
      <c r="A230" s="8" t="inlineStr">
        <is>
          <t>WHAP 8x8</t>
        </is>
      </c>
      <c r="B230" s="8" t="inlineStr">
        <is>
          <t>WHAP-0226</t>
        </is>
      </c>
      <c r="C230" s="8" t="inlineStr">
        <is>
          <t>DIR-0226</t>
        </is>
      </c>
      <c r="D230" s="8" t="inlineStr">
        <is>
          <t>arbre de direction</t>
        </is>
      </c>
      <c r="E230" s="8" t="inlineStr">
        <is>
          <t>Direction</t>
        </is>
      </c>
      <c r="F230" s="8" t="inlineStr">
        <is>
          <t>Direction</t>
        </is>
      </c>
      <c r="G230" s="8" t="inlineStr">
        <is>
          <t>PIECE_VEHICULE</t>
        </is>
      </c>
      <c r="H230" s="8" t="n">
        <v>1</v>
      </c>
      <c r="I230" s="8">
        <f>H230*$D$3</f>
        <v/>
      </c>
      <c r="J230" s="8" t="inlineStr">
        <is>
          <t>unité</t>
        </is>
      </c>
      <c r="K230" s="8" t="n">
        <v>138</v>
      </c>
      <c r="L230" s="8">
        <f>K230-I230</f>
        <v/>
      </c>
      <c r="M230" s="8">
        <f>IF(K230&lt;I230,"✕ INSUFFISANT",IF(K230&lt;I230*1.2,"⚠ STOCK FAIBLE","✓ COUVERT"))</f>
        <v/>
      </c>
      <c r="N230" s="8" t="inlineStr">
        <is>
          <t>CTL</t>
        </is>
      </c>
      <c r="O230" s="8" t="inlineStr">
        <is>
          <t>CRITIQUE</t>
        </is>
      </c>
      <c r="P230" s="8" t="inlineStr">
        <is>
          <t>31/08/2026 02:59</t>
        </is>
      </c>
    </row>
    <row r="231">
      <c r="A231" s="7" t="inlineStr">
        <is>
          <t>WHAP 8x8</t>
        </is>
      </c>
      <c r="B231" s="7" t="inlineStr">
        <is>
          <t>WHAP-0227</t>
        </is>
      </c>
      <c r="C231" s="7" t="inlineStr">
        <is>
          <t>DIR-0227</t>
        </is>
      </c>
      <c r="D231" s="7" t="inlineStr">
        <is>
          <t>boîtier de direction</t>
        </is>
      </c>
      <c r="E231" s="7" t="inlineStr">
        <is>
          <t>Direction</t>
        </is>
      </c>
      <c r="F231" s="7" t="inlineStr">
        <is>
          <t>Direction</t>
        </is>
      </c>
      <c r="G231" s="7" t="inlineStr">
        <is>
          <t>PIECE_VEHICULE</t>
        </is>
      </c>
      <c r="H231" s="7" t="n">
        <v>1</v>
      </c>
      <c r="I231" s="7">
        <f>H231*$D$3</f>
        <v/>
      </c>
      <c r="J231" s="7" t="inlineStr">
        <is>
          <t>unité</t>
        </is>
      </c>
      <c r="K231" s="7" t="n">
        <v>0</v>
      </c>
      <c r="L231" s="7">
        <f>K231-I231</f>
        <v/>
      </c>
      <c r="M231" s="7">
        <f>IF(K231&lt;I231,"✕ INSUFFISANT",IF(K231&lt;I231*1.2,"⚠ STOCK FAIBLE","✓ COUVERT"))</f>
        <v/>
      </c>
      <c r="N231" s="7" t="inlineStr">
        <is>
          <t>SUM</t>
        </is>
      </c>
      <c r="O231" s="7" t="inlineStr">
        <is>
          <t>CRITIQUE</t>
        </is>
      </c>
      <c r="P231" s="7" t="inlineStr">
        <is>
          <t>31/08/2026 02:59</t>
        </is>
      </c>
    </row>
    <row r="232">
      <c r="A232" s="8" t="inlineStr">
        <is>
          <t>WHAP 8x8</t>
        </is>
      </c>
      <c r="B232" s="8" t="inlineStr">
        <is>
          <t>WHAP-0228</t>
        </is>
      </c>
      <c r="C232" s="8" t="inlineStr">
        <is>
          <t>DIR-0228</t>
        </is>
      </c>
      <c r="D232" s="8" t="inlineStr">
        <is>
          <t>servo-direction</t>
        </is>
      </c>
      <c r="E232" s="8" t="inlineStr">
        <is>
          <t>Direction</t>
        </is>
      </c>
      <c r="F232" s="8" t="inlineStr">
        <is>
          <t>Direction</t>
        </is>
      </c>
      <c r="G232" s="8" t="inlineStr">
        <is>
          <t>PIECE_VEHICULE</t>
        </is>
      </c>
      <c r="H232" s="8" t="n">
        <v>1</v>
      </c>
      <c r="I232" s="8">
        <f>H232*$D$3</f>
        <v/>
      </c>
      <c r="J232" s="8" t="inlineStr">
        <is>
          <t>unité</t>
        </is>
      </c>
      <c r="K232" s="8" t="n">
        <v>0</v>
      </c>
      <c r="L232" s="8">
        <f>K232-I232</f>
        <v/>
      </c>
      <c r="M232" s="8">
        <f>IF(K232&lt;I232,"✕ INSUFFISANT",IF(K232&lt;I232*1.2,"⚠ STOCK FAIBLE","✓ COUVERT"))</f>
        <v/>
      </c>
      <c r="N232" s="8" t="inlineStr">
        <is>
          <t>CTL</t>
        </is>
      </c>
      <c r="O232" s="8" t="inlineStr">
        <is>
          <t>CRITIQUE</t>
        </is>
      </c>
      <c r="P232" s="8" t="inlineStr">
        <is>
          <t>31/08/2026 02:59</t>
        </is>
      </c>
    </row>
    <row r="233">
      <c r="A233" s="7" t="inlineStr">
        <is>
          <t>WHAP 8x8</t>
        </is>
      </c>
      <c r="B233" s="7" t="inlineStr">
        <is>
          <t>WHAP-0229</t>
        </is>
      </c>
      <c r="C233" s="7" t="inlineStr">
        <is>
          <t>DIR-0229</t>
        </is>
      </c>
      <c r="D233" s="7" t="inlineStr">
        <is>
          <t>pompe de direction</t>
        </is>
      </c>
      <c r="E233" s="7" t="inlineStr">
        <is>
          <t>Direction</t>
        </is>
      </c>
      <c r="F233" s="7" t="inlineStr">
        <is>
          <t>Direction</t>
        </is>
      </c>
      <c r="G233" s="7" t="inlineStr">
        <is>
          <t>PIECE_VEHICULE</t>
        </is>
      </c>
      <c r="H233" s="7" t="n">
        <v>1</v>
      </c>
      <c r="I233" s="7">
        <f>H233*$D$3</f>
        <v/>
      </c>
      <c r="J233" s="7" t="inlineStr">
        <is>
          <t>unité</t>
        </is>
      </c>
      <c r="K233" s="7" t="n">
        <v>0</v>
      </c>
      <c r="L233" s="7">
        <f>K233-I233</f>
        <v/>
      </c>
      <c r="M233" s="7">
        <f>IF(K233&lt;I233,"✕ INSUFFISANT",IF(K233&lt;I233*1.2,"⚠ STOCK FAIBLE","✓ COUVERT"))</f>
        <v/>
      </c>
      <c r="N233" s="7" t="inlineStr">
        <is>
          <t>VAL</t>
        </is>
      </c>
      <c r="O233" s="7" t="inlineStr">
        <is>
          <t>CRITIQUE</t>
        </is>
      </c>
      <c r="P233" s="7" t="inlineStr">
        <is>
          <t>31/08/2026 02:59</t>
        </is>
      </c>
    </row>
    <row r="234">
      <c r="A234" s="8" t="inlineStr">
        <is>
          <t>WHAP 8x8</t>
        </is>
      </c>
      <c r="B234" s="8" t="inlineStr">
        <is>
          <t>WHAP-0230</t>
        </is>
      </c>
      <c r="C234" s="8" t="inlineStr">
        <is>
          <t>DIR-0230</t>
        </is>
      </c>
      <c r="D234" s="8" t="inlineStr">
        <is>
          <t>réservoir de direction</t>
        </is>
      </c>
      <c r="E234" s="8" t="inlineStr">
        <is>
          <t>Direction</t>
        </is>
      </c>
      <c r="F234" s="8" t="inlineStr">
        <is>
          <t>Direction</t>
        </is>
      </c>
      <c r="G234" s="8" t="inlineStr">
        <is>
          <t>PIECE_VEHICULE</t>
        </is>
      </c>
      <c r="H234" s="8" t="n">
        <v>1</v>
      </c>
      <c r="I234" s="8">
        <f>H234*$D$3</f>
        <v/>
      </c>
      <c r="J234" s="8" t="inlineStr">
        <is>
          <t>unité</t>
        </is>
      </c>
      <c r="K234" s="8" t="n">
        <v>0</v>
      </c>
      <c r="L234" s="8">
        <f>K234-I234</f>
        <v/>
      </c>
      <c r="M234" s="8">
        <f>IF(K234&lt;I234,"✕ INSUFFISANT",IF(K234&lt;I234*1.2,"⚠ STOCK FAIBLE","✓ COUVERT"))</f>
        <v/>
      </c>
      <c r="N234" s="8" t="inlineStr">
        <is>
          <t>DEL</t>
        </is>
      </c>
      <c r="O234" s="8" t="inlineStr">
        <is>
          <t>CRITIQUE</t>
        </is>
      </c>
      <c r="P234" s="8" t="inlineStr">
        <is>
          <t>31/08/2026 02:59</t>
        </is>
      </c>
    </row>
    <row r="235">
      <c r="A235" s="7" t="inlineStr">
        <is>
          <t>WHAP 8x8</t>
        </is>
      </c>
      <c r="B235" s="7" t="inlineStr">
        <is>
          <t>WHAP-0231</t>
        </is>
      </c>
      <c r="C235" s="7" t="inlineStr">
        <is>
          <t>DIR-0231</t>
        </is>
      </c>
      <c r="D235" s="7" t="inlineStr">
        <is>
          <t>crémaillère</t>
        </is>
      </c>
      <c r="E235" s="7" t="inlineStr">
        <is>
          <t>Direction</t>
        </is>
      </c>
      <c r="F235" s="7" t="inlineStr">
        <is>
          <t>Direction</t>
        </is>
      </c>
      <c r="G235" s="7" t="inlineStr">
        <is>
          <t>PIECE_VEHICULE</t>
        </is>
      </c>
      <c r="H235" s="7" t="n">
        <v>1</v>
      </c>
      <c r="I235" s="7">
        <f>H235*$D$3</f>
        <v/>
      </c>
      <c r="J235" s="7" t="inlineStr">
        <is>
          <t>unité</t>
        </is>
      </c>
      <c r="K235" s="7" t="n">
        <v>0</v>
      </c>
      <c r="L235" s="7">
        <f>K235-I235</f>
        <v/>
      </c>
      <c r="M235" s="7">
        <f>IF(K235&lt;I235,"✕ INSUFFISANT",IF(K235&lt;I235*1.2,"⚠ STOCK FAIBLE","✓ COUVERT"))</f>
        <v/>
      </c>
      <c r="N235" s="7" t="inlineStr">
        <is>
          <t>VAL</t>
        </is>
      </c>
      <c r="O235" s="7" t="inlineStr">
        <is>
          <t>CRITIQUE</t>
        </is>
      </c>
      <c r="P235" s="7" t="inlineStr">
        <is>
          <t>31/08/2026 02:59</t>
        </is>
      </c>
    </row>
    <row r="236">
      <c r="A236" s="8" t="inlineStr">
        <is>
          <t>WHAP 8x8</t>
        </is>
      </c>
      <c r="B236" s="8" t="inlineStr">
        <is>
          <t>WHAP-0232</t>
        </is>
      </c>
      <c r="C236" s="8" t="inlineStr">
        <is>
          <t>DIR-0232</t>
        </is>
      </c>
      <c r="D236" s="8" t="inlineStr">
        <is>
          <t>biellette de direction</t>
        </is>
      </c>
      <c r="E236" s="8" t="inlineStr">
        <is>
          <t>Direction</t>
        </is>
      </c>
      <c r="F236" s="8" t="inlineStr">
        <is>
          <t>Direction</t>
        </is>
      </c>
      <c r="G236" s="8" t="inlineStr">
        <is>
          <t>PIECE_VEHICULE</t>
        </is>
      </c>
      <c r="H236" s="8" t="n">
        <v>1</v>
      </c>
      <c r="I236" s="8">
        <f>H236*$D$3</f>
        <v/>
      </c>
      <c r="J236" s="8" t="inlineStr">
        <is>
          <t>unité</t>
        </is>
      </c>
      <c r="K236" s="8" t="n">
        <v>0</v>
      </c>
      <c r="L236" s="8">
        <f>K236-I236</f>
        <v/>
      </c>
      <c r="M236" s="8">
        <f>IF(K236&lt;I236,"✕ INSUFFISANT",IF(K236&lt;I236*1.2,"⚠ STOCK FAIBLE","✓ COUVERT"))</f>
        <v/>
      </c>
      <c r="N236" s="8" t="inlineStr">
        <is>
          <t>CTL</t>
        </is>
      </c>
      <c r="O236" s="8" t="inlineStr">
        <is>
          <t>CRITIQUE</t>
        </is>
      </c>
      <c r="P236" s="8" t="inlineStr">
        <is>
          <t>31/08/2026 02:59</t>
        </is>
      </c>
    </row>
    <row r="237">
      <c r="A237" s="7" t="inlineStr">
        <is>
          <t>WHAP 8x8</t>
        </is>
      </c>
      <c r="B237" s="7" t="inlineStr">
        <is>
          <t>WHAP-0233</t>
        </is>
      </c>
      <c r="C237" s="7" t="inlineStr">
        <is>
          <t>DIR-0233</t>
        </is>
      </c>
      <c r="D237" s="7" t="inlineStr">
        <is>
          <t>barre d'accouplement</t>
        </is>
      </c>
      <c r="E237" s="7" t="inlineStr">
        <is>
          <t>Direction</t>
        </is>
      </c>
      <c r="F237" s="7" t="inlineStr">
        <is>
          <t>Direction</t>
        </is>
      </c>
      <c r="G237" s="7" t="inlineStr">
        <is>
          <t>PIECE_VEHICULE</t>
        </is>
      </c>
      <c r="H237" s="7" t="n">
        <v>1</v>
      </c>
      <c r="I237" s="7">
        <f>H237*$D$3</f>
        <v/>
      </c>
      <c r="J237" s="7" t="inlineStr">
        <is>
          <t>unité</t>
        </is>
      </c>
      <c r="K237" s="7" t="n">
        <v>0</v>
      </c>
      <c r="L237" s="7">
        <f>K237-I237</f>
        <v/>
      </c>
      <c r="M237" s="7">
        <f>IF(K237&lt;I237,"✕ INSUFFISANT",IF(K237&lt;I237*1.2,"⚠ STOCK FAIBLE","✓ COUVERT"))</f>
        <v/>
      </c>
      <c r="N237" s="7" t="inlineStr">
        <is>
          <t>MAG</t>
        </is>
      </c>
      <c r="O237" s="7" t="inlineStr">
        <is>
          <t>CRITIQUE</t>
        </is>
      </c>
      <c r="P237" s="7" t="inlineStr">
        <is>
          <t>31/08/2026 02:59</t>
        </is>
      </c>
    </row>
    <row r="238">
      <c r="A238" s="8" t="inlineStr">
        <is>
          <t>WHAP 8x8</t>
        </is>
      </c>
      <c r="B238" s="8" t="inlineStr">
        <is>
          <t>WHAP-0234</t>
        </is>
      </c>
      <c r="C238" s="8" t="inlineStr">
        <is>
          <t>DIR-0234</t>
        </is>
      </c>
      <c r="D238" s="8" t="inlineStr">
        <is>
          <t>rotule de direction</t>
        </is>
      </c>
      <c r="E238" s="8" t="inlineStr">
        <is>
          <t>Direction</t>
        </is>
      </c>
      <c r="F238" s="8" t="inlineStr">
        <is>
          <t>Direction</t>
        </is>
      </c>
      <c r="G238" s="8" t="inlineStr">
        <is>
          <t>PIECE_VEHICULE</t>
        </is>
      </c>
      <c r="H238" s="8" t="n">
        <v>1</v>
      </c>
      <c r="I238" s="8">
        <f>H238*$D$3</f>
        <v/>
      </c>
      <c r="J238" s="8" t="inlineStr">
        <is>
          <t>unité</t>
        </is>
      </c>
      <c r="K238" s="8" t="n">
        <v>0</v>
      </c>
      <c r="L238" s="8">
        <f>K238-I238</f>
        <v/>
      </c>
      <c r="M238" s="8">
        <f>IF(K238&lt;I238,"✕ INSUFFISANT",IF(K238&lt;I238*1.2,"⚠ STOCK FAIBLE","✓ COUVERT"))</f>
        <v/>
      </c>
      <c r="N238" s="8" t="inlineStr">
        <is>
          <t>MAG</t>
        </is>
      </c>
      <c r="O238" s="8" t="inlineStr">
        <is>
          <t>CRITIQUE</t>
        </is>
      </c>
      <c r="P238" s="8" t="inlineStr">
        <is>
          <t>31/08/2026 02:59</t>
        </is>
      </c>
    </row>
    <row r="239">
      <c r="A239" s="7" t="inlineStr">
        <is>
          <t>WHAP 8x8</t>
        </is>
      </c>
      <c r="B239" s="7" t="inlineStr">
        <is>
          <t>WHAP-0235</t>
        </is>
      </c>
      <c r="C239" s="7" t="inlineStr">
        <is>
          <t>DIR-0235</t>
        </is>
      </c>
      <c r="D239" s="7" t="inlineStr">
        <is>
          <t>bras de direction</t>
        </is>
      </c>
      <c r="E239" s="7" t="inlineStr">
        <is>
          <t>Direction</t>
        </is>
      </c>
      <c r="F239" s="7" t="inlineStr">
        <is>
          <t>Direction</t>
        </is>
      </c>
      <c r="G239" s="7" t="inlineStr">
        <is>
          <t>PIECE_VEHICULE</t>
        </is>
      </c>
      <c r="H239" s="7" t="n">
        <v>1</v>
      </c>
      <c r="I239" s="7">
        <f>H239*$D$3</f>
        <v/>
      </c>
      <c r="J239" s="7" t="inlineStr">
        <is>
          <t>unité</t>
        </is>
      </c>
      <c r="K239" s="7" t="n">
        <v>0</v>
      </c>
      <c r="L239" s="7">
        <f>K239-I239</f>
        <v/>
      </c>
      <c r="M239" s="7">
        <f>IF(K239&lt;I239,"✕ INSUFFISANT",IF(K239&lt;I239*1.2,"⚠ STOCK FAIBLE","✓ COUVERT"))</f>
        <v/>
      </c>
      <c r="N239" s="7" t="inlineStr">
        <is>
          <t>SUM</t>
        </is>
      </c>
      <c r="O239" s="7" t="inlineStr">
        <is>
          <t>CRITIQUE</t>
        </is>
      </c>
      <c r="P239" s="7" t="inlineStr">
        <is>
          <t>31/08/2026 02:59</t>
        </is>
      </c>
    </row>
    <row r="240">
      <c r="A240" s="8" t="inlineStr">
        <is>
          <t>WHAP 8x8</t>
        </is>
      </c>
      <c r="B240" s="8" t="inlineStr">
        <is>
          <t>WHAP-0236</t>
        </is>
      </c>
      <c r="C240" s="8" t="inlineStr">
        <is>
          <t>DIR-0236</t>
        </is>
      </c>
      <c r="D240" s="8" t="inlineStr">
        <is>
          <t>fusée</t>
        </is>
      </c>
      <c r="E240" s="8" t="inlineStr">
        <is>
          <t>Direction</t>
        </is>
      </c>
      <c r="F240" s="8" t="inlineStr">
        <is>
          <t>Direction</t>
        </is>
      </c>
      <c r="G240" s="8" t="inlineStr">
        <is>
          <t>PIECE_VEHICULE</t>
        </is>
      </c>
      <c r="H240" s="8" t="n">
        <v>1</v>
      </c>
      <c r="I240" s="8">
        <f>H240*$D$3</f>
        <v/>
      </c>
      <c r="J240" s="8" t="inlineStr">
        <is>
          <t>unité</t>
        </is>
      </c>
      <c r="K240" s="8" t="n">
        <v>0</v>
      </c>
      <c r="L240" s="8">
        <f>K240-I240</f>
        <v/>
      </c>
      <c r="M240" s="8">
        <f>IF(K240&lt;I240,"✕ INSUFFISANT",IF(K240&lt;I240*1.2,"⚠ STOCK FAIBLE","✓ COUVERT"))</f>
        <v/>
      </c>
      <c r="N240" s="8" t="inlineStr">
        <is>
          <t>YZK</t>
        </is>
      </c>
      <c r="O240" s="8" t="inlineStr">
        <is>
          <t>CRITIQUE</t>
        </is>
      </c>
      <c r="P240" s="8" t="inlineStr">
        <is>
          <t>31/08/2026 02:59</t>
        </is>
      </c>
    </row>
    <row r="241">
      <c r="A241" s="7" t="inlineStr">
        <is>
          <t>WHAP 8x8</t>
        </is>
      </c>
      <c r="B241" s="7" t="inlineStr">
        <is>
          <t>WHAP-0237</t>
        </is>
      </c>
      <c r="C241" s="7" t="inlineStr">
        <is>
          <t>DIR-0237</t>
        </is>
      </c>
      <c r="D241" s="7" t="inlineStr">
        <is>
          <t>porte-fusée</t>
        </is>
      </c>
      <c r="E241" s="7" t="inlineStr">
        <is>
          <t>Direction</t>
        </is>
      </c>
      <c r="F241" s="7" t="inlineStr">
        <is>
          <t>Direction</t>
        </is>
      </c>
      <c r="G241" s="7" t="inlineStr">
        <is>
          <t>PIECE_VEHICULE</t>
        </is>
      </c>
      <c r="H241" s="7" t="n">
        <v>1</v>
      </c>
      <c r="I241" s="7">
        <f>H241*$D$3</f>
        <v/>
      </c>
      <c r="J241" s="7" t="inlineStr">
        <is>
          <t>unité</t>
        </is>
      </c>
      <c r="K241" s="7" t="n">
        <v>0</v>
      </c>
      <c r="L241" s="7">
        <f>K241-I241</f>
        <v/>
      </c>
      <c r="M241" s="7">
        <f>IF(K241&lt;I241,"✕ INSUFFISANT",IF(K241&lt;I241*1.2,"⚠ STOCK FAIBLE","✓ COUVERT"))</f>
        <v/>
      </c>
      <c r="N241" s="7" t="inlineStr">
        <is>
          <t>DEL</t>
        </is>
      </c>
      <c r="O241" s="7" t="inlineStr">
        <is>
          <t>CRITIQUE</t>
        </is>
      </c>
      <c r="P241" s="7" t="inlineStr">
        <is>
          <t>31/08/2026 02:59</t>
        </is>
      </c>
    </row>
    <row r="242">
      <c r="A242" s="8" t="inlineStr">
        <is>
          <t>WHAP 8x8</t>
        </is>
      </c>
      <c r="B242" s="8" t="inlineStr">
        <is>
          <t>WHAP-0238</t>
        </is>
      </c>
      <c r="C242" s="8" t="inlineStr">
        <is>
          <t>DIR-0238</t>
        </is>
      </c>
      <c r="D242" s="8" t="inlineStr">
        <is>
          <t>amortisseur de direction</t>
        </is>
      </c>
      <c r="E242" s="8" t="inlineStr">
        <is>
          <t>Direction</t>
        </is>
      </c>
      <c r="F242" s="8" t="inlineStr">
        <is>
          <t>Direction</t>
        </is>
      </c>
      <c r="G242" s="8" t="inlineStr">
        <is>
          <t>PIECE_VEHICULE</t>
        </is>
      </c>
      <c r="H242" s="8" t="n">
        <v>1</v>
      </c>
      <c r="I242" s="8">
        <f>H242*$D$3</f>
        <v/>
      </c>
      <c r="J242" s="8" t="inlineStr">
        <is>
          <t>unité</t>
        </is>
      </c>
      <c r="K242" s="8" t="n">
        <v>0</v>
      </c>
      <c r="L242" s="8">
        <f>K242-I242</f>
        <v/>
      </c>
      <c r="M242" s="8">
        <f>IF(K242&lt;I242,"✕ INSUFFISANT",IF(K242&lt;I242*1.2,"⚠ STOCK FAIBLE","✓ COUVERT"))</f>
        <v/>
      </c>
      <c r="N242" s="8" t="inlineStr">
        <is>
          <t>DEL</t>
        </is>
      </c>
      <c r="O242" s="8" t="inlineStr">
        <is>
          <t>CRITIQUE</t>
        </is>
      </c>
      <c r="P242" s="8" t="inlineStr">
        <is>
          <t>31/08/2026 02:59</t>
        </is>
      </c>
    </row>
    <row r="243">
      <c r="A243" s="7" t="inlineStr">
        <is>
          <t>WHAP 8x8</t>
        </is>
      </c>
      <c r="B243" s="7" t="inlineStr">
        <is>
          <t>WHAP-0239</t>
        </is>
      </c>
      <c r="C243" s="7" t="inlineStr">
        <is>
          <t>DIR-0239</t>
        </is>
      </c>
      <c r="D243" s="7" t="inlineStr">
        <is>
          <t>flexible hydraulique</t>
        </is>
      </c>
      <c r="E243" s="7" t="inlineStr">
        <is>
          <t>Direction</t>
        </is>
      </c>
      <c r="F243" s="7" t="inlineStr">
        <is>
          <t>Direction</t>
        </is>
      </c>
      <c r="G243" s="7" t="inlineStr">
        <is>
          <t>PIECE_VEHICULE</t>
        </is>
      </c>
      <c r="H243" s="7" t="n">
        <v>1</v>
      </c>
      <c r="I243" s="7">
        <f>H243*$D$3</f>
        <v/>
      </c>
      <c r="J243" s="7" t="inlineStr">
        <is>
          <t>unité</t>
        </is>
      </c>
      <c r="K243" s="7" t="n">
        <v>0</v>
      </c>
      <c r="L243" s="7">
        <f>K243-I243</f>
        <v/>
      </c>
      <c r="M243" s="7">
        <f>IF(K243&lt;I243,"✕ INSUFFISANT",IF(K243&lt;I243*1.2,"⚠ STOCK FAIBLE","✓ COUVERT"))</f>
        <v/>
      </c>
      <c r="N243" s="7" t="inlineStr">
        <is>
          <t>MAG</t>
        </is>
      </c>
      <c r="O243" s="7" t="inlineStr">
        <is>
          <t>CRITIQUE</t>
        </is>
      </c>
      <c r="P243" s="7" t="inlineStr">
        <is>
          <t>31/08/2026 02:59</t>
        </is>
      </c>
    </row>
    <row r="244">
      <c r="A244" s="8" t="inlineStr">
        <is>
          <t>WHAP 8x8</t>
        </is>
      </c>
      <c r="B244" s="8" t="inlineStr">
        <is>
          <t>WHAP-0240</t>
        </is>
      </c>
      <c r="C244" s="8" t="inlineStr">
        <is>
          <t>DIR-0240</t>
        </is>
      </c>
      <c r="D244" s="8" t="inlineStr">
        <is>
          <t>capteur angle volant</t>
        </is>
      </c>
      <c r="E244" s="8" t="inlineStr">
        <is>
          <t>Direction</t>
        </is>
      </c>
      <c r="F244" s="8" t="inlineStr">
        <is>
          <t>Direction</t>
        </is>
      </c>
      <c r="G244" s="8" t="inlineStr">
        <is>
          <t>PIECE_VEHICULE</t>
        </is>
      </c>
      <c r="H244" s="8" t="n">
        <v>1</v>
      </c>
      <c r="I244" s="8">
        <f>H244*$D$3</f>
        <v/>
      </c>
      <c r="J244" s="8" t="inlineStr">
        <is>
          <t>unité</t>
        </is>
      </c>
      <c r="K244" s="8" t="n">
        <v>0</v>
      </c>
      <c r="L244" s="8">
        <f>K244-I244</f>
        <v/>
      </c>
      <c r="M244" s="8">
        <f>IF(K244&lt;I244,"✕ INSUFFISANT",IF(K244&lt;I244*1.2,"⚠ STOCK FAIBLE","✓ COUVERT"))</f>
        <v/>
      </c>
      <c r="N244" s="8" t="inlineStr">
        <is>
          <t>FAU</t>
        </is>
      </c>
      <c r="O244" s="8" t="inlineStr">
        <is>
          <t>CRITIQUE</t>
        </is>
      </c>
      <c r="P244" s="8" t="inlineStr">
        <is>
          <t>31/08/2026 02:59</t>
        </is>
      </c>
    </row>
    <row r="245">
      <c r="A245" s="7" t="inlineStr">
        <is>
          <t>WHAP 8x8</t>
        </is>
      </c>
      <c r="B245" s="7" t="inlineStr">
        <is>
          <t>WHAP-0241</t>
        </is>
      </c>
      <c r="C245" s="7" t="inlineStr">
        <is>
          <t>DIR-0241</t>
        </is>
      </c>
      <c r="D245" s="7" t="inlineStr">
        <is>
          <t>capteur pression direction</t>
        </is>
      </c>
      <c r="E245" s="7" t="inlineStr">
        <is>
          <t>Direction</t>
        </is>
      </c>
      <c r="F245" s="7" t="inlineStr">
        <is>
          <t>Direction</t>
        </is>
      </c>
      <c r="G245" s="7" t="inlineStr">
        <is>
          <t>PIECE_VEHICULE</t>
        </is>
      </c>
      <c r="H245" s="7" t="n">
        <v>1</v>
      </c>
      <c r="I245" s="7">
        <f>H245*$D$3</f>
        <v/>
      </c>
      <c r="J245" s="7" t="inlineStr">
        <is>
          <t>unité</t>
        </is>
      </c>
      <c r="K245" s="7" t="n">
        <v>0</v>
      </c>
      <c r="L245" s="7">
        <f>K245-I245</f>
        <v/>
      </c>
      <c r="M245" s="7">
        <f>IF(K245&lt;I245,"✕ INSUFFISANT",IF(K245&lt;I245*1.2,"⚠ STOCK FAIBLE","✓ COUVERT"))</f>
        <v/>
      </c>
      <c r="N245" s="7" t="inlineStr">
        <is>
          <t>SKF</t>
        </is>
      </c>
      <c r="O245" s="7" t="inlineStr">
        <is>
          <t>CRITIQUE</t>
        </is>
      </c>
      <c r="P245" s="7" t="inlineStr">
        <is>
          <t>31/08/2026 02:59</t>
        </is>
      </c>
    </row>
    <row r="246">
      <c r="A246" s="8" t="inlineStr">
        <is>
          <t>WHAP 8x8</t>
        </is>
      </c>
      <c r="B246" s="8" t="inlineStr">
        <is>
          <t>WHAP-0242</t>
        </is>
      </c>
      <c r="C246" s="8" t="inlineStr">
        <is>
          <t>DIR-0242</t>
        </is>
      </c>
      <c r="D246" s="8" t="inlineStr">
        <is>
          <t>vérin de direction</t>
        </is>
      </c>
      <c r="E246" s="8" t="inlineStr">
        <is>
          <t>Direction</t>
        </is>
      </c>
      <c r="F246" s="8" t="inlineStr">
        <is>
          <t>Direction</t>
        </is>
      </c>
      <c r="G246" s="8" t="inlineStr">
        <is>
          <t>PIECE_VEHICULE</t>
        </is>
      </c>
      <c r="H246" s="8" t="n">
        <v>1</v>
      </c>
      <c r="I246" s="8">
        <f>H246*$D$3</f>
        <v/>
      </c>
      <c r="J246" s="8" t="inlineStr">
        <is>
          <t>unité</t>
        </is>
      </c>
      <c r="K246" s="8" t="n">
        <v>0</v>
      </c>
      <c r="L246" s="8">
        <f>K246-I246</f>
        <v/>
      </c>
      <c r="M246" s="8">
        <f>IF(K246&lt;I246,"✕ INSUFFISANT",IF(K246&lt;I246*1.2,"⚠ STOCK FAIBLE","✓ COUVERT"))</f>
        <v/>
      </c>
      <c r="N246" s="8" t="inlineStr">
        <is>
          <t>SUM</t>
        </is>
      </c>
      <c r="O246" s="8" t="inlineStr">
        <is>
          <t>CRITIQUE</t>
        </is>
      </c>
      <c r="P246" s="8" t="inlineStr">
        <is>
          <t>31/08/2026 02:59</t>
        </is>
      </c>
    </row>
    <row r="247">
      <c r="A247" s="7" t="inlineStr">
        <is>
          <t>WHAP 8x8</t>
        </is>
      </c>
      <c r="B247" s="7" t="inlineStr">
        <is>
          <t>WHAP-0243</t>
        </is>
      </c>
      <c r="C247" s="7" t="inlineStr">
        <is>
          <t>DIR-0243</t>
        </is>
      </c>
      <c r="D247" s="7" t="inlineStr">
        <is>
          <t>joint de colonne</t>
        </is>
      </c>
      <c r="E247" s="7" t="inlineStr">
        <is>
          <t>Direction</t>
        </is>
      </c>
      <c r="F247" s="7" t="inlineStr">
        <is>
          <t>Direction</t>
        </is>
      </c>
      <c r="G247" s="7" t="inlineStr">
        <is>
          <t>PIECE_VEHICULE</t>
        </is>
      </c>
      <c r="H247" s="7" t="n">
        <v>1</v>
      </c>
      <c r="I247" s="7">
        <f>H247*$D$3</f>
        <v/>
      </c>
      <c r="J247" s="7" t="inlineStr">
        <is>
          <t>unité</t>
        </is>
      </c>
      <c r="K247" s="7" t="n">
        <v>0</v>
      </c>
      <c r="L247" s="7">
        <f>K247-I247</f>
        <v/>
      </c>
      <c r="M247" s="7">
        <f>IF(K247&lt;I247,"✕ INSUFFISANT",IF(K247&lt;I247*1.2,"⚠ STOCK FAIBLE","✓ COUVERT"))</f>
        <v/>
      </c>
      <c r="N247" s="7" t="inlineStr">
        <is>
          <t>YZK</t>
        </is>
      </c>
      <c r="O247" s="7" t="inlineStr">
        <is>
          <t>CRITIQUE</t>
        </is>
      </c>
      <c r="P247" s="7" t="inlineStr">
        <is>
          <t>31/08/2026 02:59</t>
        </is>
      </c>
    </row>
    <row r="248">
      <c r="A248" s="8" t="inlineStr">
        <is>
          <t>WHAP 8x8</t>
        </is>
      </c>
      <c r="B248" s="8" t="inlineStr">
        <is>
          <t>WHAP-0244</t>
        </is>
      </c>
      <c r="C248" s="8" t="inlineStr">
        <is>
          <t>DIR-0244</t>
        </is>
      </c>
      <c r="D248" s="8" t="inlineStr">
        <is>
          <t>croisillon de colonne</t>
        </is>
      </c>
      <c r="E248" s="8" t="inlineStr">
        <is>
          <t>Direction</t>
        </is>
      </c>
      <c r="F248" s="8" t="inlineStr">
        <is>
          <t>Direction</t>
        </is>
      </c>
      <c r="G248" s="8" t="inlineStr">
        <is>
          <t>PIECE_VEHICULE</t>
        </is>
      </c>
      <c r="H248" s="8" t="n">
        <v>1</v>
      </c>
      <c r="I248" s="8">
        <f>H248*$D$3</f>
        <v/>
      </c>
      <c r="J248" s="8" t="inlineStr">
        <is>
          <t>unité</t>
        </is>
      </c>
      <c r="K248" s="8" t="n">
        <v>0</v>
      </c>
      <c r="L248" s="8">
        <f>K248-I248</f>
        <v/>
      </c>
      <c r="M248" s="8">
        <f>IF(K248&lt;I248,"✕ INSUFFISANT",IF(K248&lt;I248*1.2,"⚠ STOCK FAIBLE","✓ COUVERT"))</f>
        <v/>
      </c>
      <c r="N248" s="8" t="inlineStr">
        <is>
          <t>YZK</t>
        </is>
      </c>
      <c r="O248" s="8" t="inlineStr">
        <is>
          <t>CRITIQUE</t>
        </is>
      </c>
      <c r="P248" s="8" t="inlineStr">
        <is>
          <t>31/08/2026 02:59</t>
        </is>
      </c>
    </row>
    <row r="249">
      <c r="A249" s="7" t="inlineStr">
        <is>
          <t>WHAP 8x8</t>
        </is>
      </c>
      <c r="B249" s="7" t="inlineStr">
        <is>
          <t>WHAP-0245</t>
        </is>
      </c>
      <c r="C249" s="7" t="inlineStr">
        <is>
          <t>FRE-0245</t>
        </is>
      </c>
      <c r="D249" s="7" t="inlineStr">
        <is>
          <t>disque de frein</t>
        </is>
      </c>
      <c r="E249" s="7" t="inlineStr">
        <is>
          <t>Freinage</t>
        </is>
      </c>
      <c r="F249" s="7" t="inlineStr">
        <is>
          <t>Freinage</t>
        </is>
      </c>
      <c r="G249" s="7" t="inlineStr">
        <is>
          <t>PIECE_VEHICULE</t>
        </is>
      </c>
      <c r="H249" s="7" t="n">
        <v>1</v>
      </c>
      <c r="I249" s="7">
        <f>H249*$D$3</f>
        <v/>
      </c>
      <c r="J249" s="7" t="inlineStr">
        <is>
          <t>unité</t>
        </is>
      </c>
      <c r="K249" s="7" t="n">
        <v>440</v>
      </c>
      <c r="L249" s="7">
        <f>K249-I249</f>
        <v/>
      </c>
      <c r="M249" s="7">
        <f>IF(K249&lt;I249,"✕ INSUFFISANT",IF(K249&lt;I249*1.2,"⚠ STOCK FAIBLE","✓ COUVERT"))</f>
        <v/>
      </c>
      <c r="N249" s="7" t="inlineStr">
        <is>
          <t>SUM</t>
        </is>
      </c>
      <c r="O249" s="7" t="inlineStr">
        <is>
          <t>CRITIQUE</t>
        </is>
      </c>
      <c r="P249" s="7" t="inlineStr">
        <is>
          <t>31/08/2026 02:59</t>
        </is>
      </c>
    </row>
    <row r="250">
      <c r="A250" s="8" t="inlineStr">
        <is>
          <t>WHAP 8x8</t>
        </is>
      </c>
      <c r="B250" s="8" t="inlineStr">
        <is>
          <t>WHAP-0246</t>
        </is>
      </c>
      <c r="C250" s="8" t="inlineStr">
        <is>
          <t>FRE-0246</t>
        </is>
      </c>
      <c r="D250" s="8" t="inlineStr">
        <is>
          <t>étrier de frein</t>
        </is>
      </c>
      <c r="E250" s="8" t="inlineStr">
        <is>
          <t>Freinage</t>
        </is>
      </c>
      <c r="F250" s="8" t="inlineStr">
        <is>
          <t>Freinage</t>
        </is>
      </c>
      <c r="G250" s="8" t="inlineStr">
        <is>
          <t>PIECE_VEHICULE</t>
        </is>
      </c>
      <c r="H250" s="8" t="n">
        <v>1</v>
      </c>
      <c r="I250" s="8">
        <f>H250*$D$3</f>
        <v/>
      </c>
      <c r="J250" s="8" t="inlineStr">
        <is>
          <t>unité</t>
        </is>
      </c>
      <c r="K250" s="8" t="n">
        <v>740</v>
      </c>
      <c r="L250" s="8">
        <f>K250-I250</f>
        <v/>
      </c>
      <c r="M250" s="8">
        <f>IF(K250&lt;I250,"✕ INSUFFISANT",IF(K250&lt;I250*1.2,"⚠ STOCK FAIBLE","✓ COUVERT"))</f>
        <v/>
      </c>
      <c r="N250" s="8" t="inlineStr">
        <is>
          <t>SKF</t>
        </is>
      </c>
      <c r="O250" s="8" t="inlineStr">
        <is>
          <t>CRITIQUE</t>
        </is>
      </c>
      <c r="P250" s="8" t="inlineStr">
        <is>
          <t>31/08/2026 02:59</t>
        </is>
      </c>
    </row>
    <row r="251">
      <c r="A251" s="7" t="inlineStr">
        <is>
          <t>WHAP 8x8</t>
        </is>
      </c>
      <c r="B251" s="7" t="inlineStr">
        <is>
          <t>WHAP-0247</t>
        </is>
      </c>
      <c r="C251" s="7" t="inlineStr">
        <is>
          <t>FRE-0247</t>
        </is>
      </c>
      <c r="D251" s="7" t="inlineStr">
        <is>
          <t>plaquette de frein</t>
        </is>
      </c>
      <c r="E251" s="7" t="inlineStr">
        <is>
          <t>Freinage</t>
        </is>
      </c>
      <c r="F251" s="7" t="inlineStr">
        <is>
          <t>Freinage</t>
        </is>
      </c>
      <c r="G251" s="7" t="inlineStr">
        <is>
          <t>PIECE_VEHICULE</t>
        </is>
      </c>
      <c r="H251" s="7" t="n">
        <v>1</v>
      </c>
      <c r="I251" s="7">
        <f>H251*$D$3</f>
        <v/>
      </c>
      <c r="J251" s="7" t="inlineStr">
        <is>
          <t>unité</t>
        </is>
      </c>
      <c r="K251" s="7" t="n">
        <v>0</v>
      </c>
      <c r="L251" s="7">
        <f>K251-I251</f>
        <v/>
      </c>
      <c r="M251" s="7">
        <f>IF(K251&lt;I251,"✕ INSUFFISANT",IF(K251&lt;I251*1.2,"⚠ STOCK FAIBLE","✓ COUVERT"))</f>
        <v/>
      </c>
      <c r="N251" s="7" t="inlineStr">
        <is>
          <t>YZK</t>
        </is>
      </c>
      <c r="O251" s="7" t="inlineStr">
        <is>
          <t>CRITIQUE</t>
        </is>
      </c>
      <c r="P251" s="7" t="inlineStr">
        <is>
          <t>31/08/2026 02:59</t>
        </is>
      </c>
    </row>
    <row r="252">
      <c r="A252" s="8" t="inlineStr">
        <is>
          <t>WHAP 8x8</t>
        </is>
      </c>
      <c r="B252" s="8" t="inlineStr">
        <is>
          <t>WHAP-0248</t>
        </is>
      </c>
      <c r="C252" s="8" t="inlineStr">
        <is>
          <t>FRE-0248</t>
        </is>
      </c>
      <c r="D252" s="8" t="inlineStr">
        <is>
          <t>porte-plaquette</t>
        </is>
      </c>
      <c r="E252" s="8" t="inlineStr">
        <is>
          <t>Freinage</t>
        </is>
      </c>
      <c r="F252" s="8" t="inlineStr">
        <is>
          <t>Freinage</t>
        </is>
      </c>
      <c r="G252" s="8" t="inlineStr">
        <is>
          <t>PIECE_VEHICULE</t>
        </is>
      </c>
      <c r="H252" s="8" t="n">
        <v>1</v>
      </c>
      <c r="I252" s="8">
        <f>H252*$D$3</f>
        <v/>
      </c>
      <c r="J252" s="8" t="inlineStr">
        <is>
          <t>unité</t>
        </is>
      </c>
      <c r="K252" s="8" t="n">
        <v>0</v>
      </c>
      <c r="L252" s="8">
        <f>K252-I252</f>
        <v/>
      </c>
      <c r="M252" s="8">
        <f>IF(K252&lt;I252,"✕ INSUFFISANT",IF(K252&lt;I252*1.2,"⚠ STOCK FAIBLE","✓ COUVERT"))</f>
        <v/>
      </c>
      <c r="N252" s="8" t="inlineStr">
        <is>
          <t>VAL</t>
        </is>
      </c>
      <c r="O252" s="8" t="inlineStr">
        <is>
          <t>CRITIQUE</t>
        </is>
      </c>
      <c r="P252" s="8" t="inlineStr">
        <is>
          <t>31/08/2026 02:59</t>
        </is>
      </c>
    </row>
    <row r="253">
      <c r="A253" s="7" t="inlineStr">
        <is>
          <t>WHAP 8x8</t>
        </is>
      </c>
      <c r="B253" s="7" t="inlineStr">
        <is>
          <t>WHAP-0249</t>
        </is>
      </c>
      <c r="C253" s="7" t="inlineStr">
        <is>
          <t>FRE-0249</t>
        </is>
      </c>
      <c r="D253" s="7" t="inlineStr">
        <is>
          <t>piston d'étrier</t>
        </is>
      </c>
      <c r="E253" s="7" t="inlineStr">
        <is>
          <t>Freinage</t>
        </is>
      </c>
      <c r="F253" s="7" t="inlineStr">
        <is>
          <t>Freinage</t>
        </is>
      </c>
      <c r="G253" s="7" t="inlineStr">
        <is>
          <t>PIECE_VEHICULE</t>
        </is>
      </c>
      <c r="H253" s="7" t="n">
        <v>1</v>
      </c>
      <c r="I253" s="7">
        <f>H253*$D$3</f>
        <v/>
      </c>
      <c r="J253" s="7" t="inlineStr">
        <is>
          <t>unité</t>
        </is>
      </c>
      <c r="K253" s="7" t="n">
        <v>0</v>
      </c>
      <c r="L253" s="7">
        <f>K253-I253</f>
        <v/>
      </c>
      <c r="M253" s="7">
        <f>IF(K253&lt;I253,"✕ INSUFFISANT",IF(K253&lt;I253*1.2,"⚠ STOCK FAIBLE","✓ COUVERT"))</f>
        <v/>
      </c>
      <c r="N253" s="7" t="inlineStr">
        <is>
          <t>VAL</t>
        </is>
      </c>
      <c r="O253" s="7" t="inlineStr">
        <is>
          <t>CRITIQUE</t>
        </is>
      </c>
      <c r="P253" s="7" t="inlineStr">
        <is>
          <t>31/08/2026 02:59</t>
        </is>
      </c>
    </row>
    <row r="254">
      <c r="A254" s="8" t="inlineStr">
        <is>
          <t>WHAP 8x8</t>
        </is>
      </c>
      <c r="B254" s="8" t="inlineStr">
        <is>
          <t>WHAP-0250</t>
        </is>
      </c>
      <c r="C254" s="8" t="inlineStr">
        <is>
          <t>FRE-0250</t>
        </is>
      </c>
      <c r="D254" s="8" t="inlineStr">
        <is>
          <t>joint de piston</t>
        </is>
      </c>
      <c r="E254" s="8" t="inlineStr">
        <is>
          <t>Freinage</t>
        </is>
      </c>
      <c r="F254" s="8" t="inlineStr">
        <is>
          <t>Freinage</t>
        </is>
      </c>
      <c r="G254" s="8" t="inlineStr">
        <is>
          <t>PIECE_VEHICULE</t>
        </is>
      </c>
      <c r="H254" s="8" t="n">
        <v>1</v>
      </c>
      <c r="I254" s="8">
        <f>H254*$D$3</f>
        <v/>
      </c>
      <c r="J254" s="8" t="inlineStr">
        <is>
          <t>unité</t>
        </is>
      </c>
      <c r="K254" s="8" t="n">
        <v>0</v>
      </c>
      <c r="L254" s="8">
        <f>K254-I254</f>
        <v/>
      </c>
      <c r="M254" s="8">
        <f>IF(K254&lt;I254,"✕ INSUFFISANT",IF(K254&lt;I254*1.2,"⚠ STOCK FAIBLE","✓ COUVERT"))</f>
        <v/>
      </c>
      <c r="N254" s="8" t="inlineStr">
        <is>
          <t>BOS</t>
        </is>
      </c>
      <c r="O254" s="8" t="inlineStr">
        <is>
          <t>CRITIQUE</t>
        </is>
      </c>
      <c r="P254" s="8" t="inlineStr">
        <is>
          <t>31/08/2026 02:59</t>
        </is>
      </c>
    </row>
    <row r="255">
      <c r="A255" s="7" t="inlineStr">
        <is>
          <t>WHAP 8x8</t>
        </is>
      </c>
      <c r="B255" s="7" t="inlineStr">
        <is>
          <t>WHAP-0251</t>
        </is>
      </c>
      <c r="C255" s="7" t="inlineStr">
        <is>
          <t>FRE-0251</t>
        </is>
      </c>
      <c r="D255" s="7" t="inlineStr">
        <is>
          <t>flexible de frein</t>
        </is>
      </c>
      <c r="E255" s="7" t="inlineStr">
        <is>
          <t>Freinage</t>
        </is>
      </c>
      <c r="F255" s="7" t="inlineStr">
        <is>
          <t>Freinage</t>
        </is>
      </c>
      <c r="G255" s="7" t="inlineStr">
        <is>
          <t>PIECE_VEHICULE</t>
        </is>
      </c>
      <c r="H255" s="7" t="n">
        <v>1</v>
      </c>
      <c r="I255" s="7">
        <f>H255*$D$3</f>
        <v/>
      </c>
      <c r="J255" s="7" t="inlineStr">
        <is>
          <t>unité</t>
        </is>
      </c>
      <c r="K255" s="7" t="n">
        <v>0</v>
      </c>
      <c r="L255" s="7">
        <f>K255-I255</f>
        <v/>
      </c>
      <c r="M255" s="7">
        <f>IF(K255&lt;I255,"✕ INSUFFISANT",IF(K255&lt;I255*1.2,"⚠ STOCK FAIBLE","✓ COUVERT"))</f>
        <v/>
      </c>
      <c r="N255" s="7" t="inlineStr">
        <is>
          <t>SKF</t>
        </is>
      </c>
      <c r="O255" s="7" t="inlineStr">
        <is>
          <t>CRITIQUE</t>
        </is>
      </c>
      <c r="P255" s="7" t="inlineStr">
        <is>
          <t>31/08/2026 02:59</t>
        </is>
      </c>
    </row>
    <row r="256">
      <c r="A256" s="8" t="inlineStr">
        <is>
          <t>WHAP 8x8</t>
        </is>
      </c>
      <c r="B256" s="8" t="inlineStr">
        <is>
          <t>WHAP-0252</t>
        </is>
      </c>
      <c r="C256" s="8" t="inlineStr">
        <is>
          <t>FRE-0252</t>
        </is>
      </c>
      <c r="D256" s="8" t="inlineStr">
        <is>
          <t>conduite de frein</t>
        </is>
      </c>
      <c r="E256" s="8" t="inlineStr">
        <is>
          <t>Freinage</t>
        </is>
      </c>
      <c r="F256" s="8" t="inlineStr">
        <is>
          <t>Freinage</t>
        </is>
      </c>
      <c r="G256" s="8" t="inlineStr">
        <is>
          <t>PIECE_VEHICULE</t>
        </is>
      </c>
      <c r="H256" s="8" t="n">
        <v>1</v>
      </c>
      <c r="I256" s="8">
        <f>H256*$D$3</f>
        <v/>
      </c>
      <c r="J256" s="8" t="inlineStr">
        <is>
          <t>unité</t>
        </is>
      </c>
      <c r="K256" s="8" t="n">
        <v>0</v>
      </c>
      <c r="L256" s="8">
        <f>K256-I256</f>
        <v/>
      </c>
      <c r="M256" s="8">
        <f>IF(K256&lt;I256,"✕ INSUFFISANT",IF(K256&lt;I256*1.2,"⚠ STOCK FAIBLE","✓ COUVERT"))</f>
        <v/>
      </c>
      <c r="N256" s="8" t="inlineStr">
        <is>
          <t>VAL</t>
        </is>
      </c>
      <c r="O256" s="8" t="inlineStr">
        <is>
          <t>CRITIQUE</t>
        </is>
      </c>
      <c r="P256" s="8" t="inlineStr">
        <is>
          <t>31/08/2026 02:59</t>
        </is>
      </c>
    </row>
    <row r="257">
      <c r="A257" s="7" t="inlineStr">
        <is>
          <t>WHAP 8x8</t>
        </is>
      </c>
      <c r="B257" s="7" t="inlineStr">
        <is>
          <t>WHAP-0253</t>
        </is>
      </c>
      <c r="C257" s="7" t="inlineStr">
        <is>
          <t>FRE-0253</t>
        </is>
      </c>
      <c r="D257" s="7" t="inlineStr">
        <is>
          <t>maître-cylindre</t>
        </is>
      </c>
      <c r="E257" s="7" t="inlineStr">
        <is>
          <t>Freinage</t>
        </is>
      </c>
      <c r="F257" s="7" t="inlineStr">
        <is>
          <t>Freinage</t>
        </is>
      </c>
      <c r="G257" s="7" t="inlineStr">
        <is>
          <t>PIECE_VEHICULE</t>
        </is>
      </c>
      <c r="H257" s="7" t="n">
        <v>1</v>
      </c>
      <c r="I257" s="7">
        <f>H257*$D$3</f>
        <v/>
      </c>
      <c r="J257" s="7" t="inlineStr">
        <is>
          <t>unité</t>
        </is>
      </c>
      <c r="K257" s="7" t="n">
        <v>0</v>
      </c>
      <c r="L257" s="7">
        <f>K257-I257</f>
        <v/>
      </c>
      <c r="M257" s="7">
        <f>IF(K257&lt;I257,"✕ INSUFFISANT",IF(K257&lt;I257*1.2,"⚠ STOCK FAIBLE","✓ COUVERT"))</f>
        <v/>
      </c>
      <c r="N257" s="7" t="inlineStr">
        <is>
          <t>MAG</t>
        </is>
      </c>
      <c r="O257" s="7" t="inlineStr">
        <is>
          <t>CRITIQUE</t>
        </is>
      </c>
      <c r="P257" s="7" t="inlineStr">
        <is>
          <t>31/08/2026 02:59</t>
        </is>
      </c>
    </row>
    <row r="258">
      <c r="A258" s="8" t="inlineStr">
        <is>
          <t>WHAP 8x8</t>
        </is>
      </c>
      <c r="B258" s="8" t="inlineStr">
        <is>
          <t>WHAP-0254</t>
        </is>
      </c>
      <c r="C258" s="8" t="inlineStr">
        <is>
          <t>FRE-0254</t>
        </is>
      </c>
      <c r="D258" s="8" t="inlineStr">
        <is>
          <t>servofrein</t>
        </is>
      </c>
      <c r="E258" s="8" t="inlineStr">
        <is>
          <t>Freinage</t>
        </is>
      </c>
      <c r="F258" s="8" t="inlineStr">
        <is>
          <t>Freinage</t>
        </is>
      </c>
      <c r="G258" s="8" t="inlineStr">
        <is>
          <t>PIECE_VEHICULE</t>
        </is>
      </c>
      <c r="H258" s="8" t="n">
        <v>1</v>
      </c>
      <c r="I258" s="8">
        <f>H258*$D$3</f>
        <v/>
      </c>
      <c r="J258" s="8" t="inlineStr">
        <is>
          <t>unité</t>
        </is>
      </c>
      <c r="K258" s="8" t="n">
        <v>0</v>
      </c>
      <c r="L258" s="8">
        <f>K258-I258</f>
        <v/>
      </c>
      <c r="M258" s="8">
        <f>IF(K258&lt;I258,"✕ INSUFFISANT",IF(K258&lt;I258*1.2,"⚠ STOCK FAIBLE","✓ COUVERT"))</f>
        <v/>
      </c>
      <c r="N258" s="8" t="inlineStr">
        <is>
          <t>SUM</t>
        </is>
      </c>
      <c r="O258" s="8" t="inlineStr">
        <is>
          <t>CRITIQUE</t>
        </is>
      </c>
      <c r="P258" s="8" t="inlineStr">
        <is>
          <t>31/08/2026 02:59</t>
        </is>
      </c>
    </row>
    <row r="259">
      <c r="A259" s="7" t="inlineStr">
        <is>
          <t>WHAP 8x8</t>
        </is>
      </c>
      <c r="B259" s="7" t="inlineStr">
        <is>
          <t>WHAP-0255</t>
        </is>
      </c>
      <c r="C259" s="7" t="inlineStr">
        <is>
          <t>FRE-0255</t>
        </is>
      </c>
      <c r="D259" s="7" t="inlineStr">
        <is>
          <t>compresseur d'air</t>
        </is>
      </c>
      <c r="E259" s="7" t="inlineStr">
        <is>
          <t>Freinage</t>
        </is>
      </c>
      <c r="F259" s="7" t="inlineStr">
        <is>
          <t>Freinage</t>
        </is>
      </c>
      <c r="G259" s="7" t="inlineStr">
        <is>
          <t>PIECE_VEHICULE</t>
        </is>
      </c>
      <c r="H259" s="7" t="n">
        <v>1</v>
      </c>
      <c r="I259" s="7">
        <f>H259*$D$3</f>
        <v/>
      </c>
      <c r="J259" s="7" t="inlineStr">
        <is>
          <t>unité</t>
        </is>
      </c>
      <c r="K259" s="7" t="n">
        <v>0</v>
      </c>
      <c r="L259" s="7">
        <f>K259-I259</f>
        <v/>
      </c>
      <c r="M259" s="7">
        <f>IF(K259&lt;I259,"✕ INSUFFISANT",IF(K259&lt;I259*1.2,"⚠ STOCK FAIBLE","✓ COUVERT"))</f>
        <v/>
      </c>
      <c r="N259" s="7" t="inlineStr">
        <is>
          <t>SUM</t>
        </is>
      </c>
      <c r="O259" s="7" t="inlineStr">
        <is>
          <t>CRITIQUE</t>
        </is>
      </c>
      <c r="P259" s="7" t="inlineStr">
        <is>
          <t>31/08/2026 02:59</t>
        </is>
      </c>
    </row>
    <row r="260">
      <c r="A260" s="8" t="inlineStr">
        <is>
          <t>WHAP 8x8</t>
        </is>
      </c>
      <c r="B260" s="8" t="inlineStr">
        <is>
          <t>WHAP-0256</t>
        </is>
      </c>
      <c r="C260" s="8" t="inlineStr">
        <is>
          <t>FRE-0256</t>
        </is>
      </c>
      <c r="D260" s="8" t="inlineStr">
        <is>
          <t>réservoir d'air</t>
        </is>
      </c>
      <c r="E260" s="8" t="inlineStr">
        <is>
          <t>Freinage</t>
        </is>
      </c>
      <c r="F260" s="8" t="inlineStr">
        <is>
          <t>Freinage</t>
        </is>
      </c>
      <c r="G260" s="8" t="inlineStr">
        <is>
          <t>PIECE_VEHICULE</t>
        </is>
      </c>
      <c r="H260" s="8" t="n">
        <v>1</v>
      </c>
      <c r="I260" s="8">
        <f>H260*$D$3</f>
        <v/>
      </c>
      <c r="J260" s="8" t="inlineStr">
        <is>
          <t>unité</t>
        </is>
      </c>
      <c r="K260" s="8" t="n">
        <v>0</v>
      </c>
      <c r="L260" s="8">
        <f>K260-I260</f>
        <v/>
      </c>
      <c r="M260" s="8">
        <f>IF(K260&lt;I260,"✕ INSUFFISANT",IF(K260&lt;I260*1.2,"⚠ STOCK FAIBLE","✓ COUVERT"))</f>
        <v/>
      </c>
      <c r="N260" s="8" t="inlineStr">
        <is>
          <t>HEL</t>
        </is>
      </c>
      <c r="O260" s="8" t="inlineStr">
        <is>
          <t>CRITIQUE</t>
        </is>
      </c>
      <c r="P260" s="8" t="inlineStr">
        <is>
          <t>31/08/2026 02:59</t>
        </is>
      </c>
    </row>
    <row r="261">
      <c r="A261" s="7" t="inlineStr">
        <is>
          <t>WHAP 8x8</t>
        </is>
      </c>
      <c r="B261" s="7" t="inlineStr">
        <is>
          <t>WHAP-0257</t>
        </is>
      </c>
      <c r="C261" s="7" t="inlineStr">
        <is>
          <t>FRE-0257</t>
        </is>
      </c>
      <c r="D261" s="7" t="inlineStr">
        <is>
          <t>valve de frein</t>
        </is>
      </c>
      <c r="E261" s="7" t="inlineStr">
        <is>
          <t>Freinage</t>
        </is>
      </c>
      <c r="F261" s="7" t="inlineStr">
        <is>
          <t>Freinage</t>
        </is>
      </c>
      <c r="G261" s="7" t="inlineStr">
        <is>
          <t>PIECE_VEHICULE</t>
        </is>
      </c>
      <c r="H261" s="7" t="n">
        <v>1</v>
      </c>
      <c r="I261" s="7">
        <f>H261*$D$3</f>
        <v/>
      </c>
      <c r="J261" s="7" t="inlineStr">
        <is>
          <t>unité</t>
        </is>
      </c>
      <c r="K261" s="7" t="n">
        <v>0</v>
      </c>
      <c r="L261" s="7">
        <f>K261-I261</f>
        <v/>
      </c>
      <c r="M261" s="7">
        <f>IF(K261&lt;I261,"✕ INSUFFISANT",IF(K261&lt;I261*1.2,"⚠ STOCK FAIBLE","✓ COUVERT"))</f>
        <v/>
      </c>
      <c r="N261" s="7" t="inlineStr">
        <is>
          <t>HEL</t>
        </is>
      </c>
      <c r="O261" s="7" t="inlineStr">
        <is>
          <t>CRITIQUE</t>
        </is>
      </c>
      <c r="P261" s="7" t="inlineStr">
        <is>
          <t>31/08/2026 02:59</t>
        </is>
      </c>
    </row>
    <row r="262">
      <c r="A262" s="8" t="inlineStr">
        <is>
          <t>WHAP 8x8</t>
        </is>
      </c>
      <c r="B262" s="8" t="inlineStr">
        <is>
          <t>WHAP-0258</t>
        </is>
      </c>
      <c r="C262" s="8" t="inlineStr">
        <is>
          <t>FRE-0258</t>
        </is>
      </c>
      <c r="D262" s="8" t="inlineStr">
        <is>
          <t>valve relais</t>
        </is>
      </c>
      <c r="E262" s="8" t="inlineStr">
        <is>
          <t>Freinage</t>
        </is>
      </c>
      <c r="F262" s="8" t="inlineStr">
        <is>
          <t>Freinage</t>
        </is>
      </c>
      <c r="G262" s="8" t="inlineStr">
        <is>
          <t>PIECE_VEHICULE</t>
        </is>
      </c>
      <c r="H262" s="8" t="n">
        <v>1</v>
      </c>
      <c r="I262" s="8">
        <f>H262*$D$3</f>
        <v/>
      </c>
      <c r="J262" s="8" t="inlineStr">
        <is>
          <t>unité</t>
        </is>
      </c>
      <c r="K262" s="8" t="n">
        <v>0</v>
      </c>
      <c r="L262" s="8">
        <f>K262-I262</f>
        <v/>
      </c>
      <c r="M262" s="8">
        <f>IF(K262&lt;I262,"✕ INSUFFISANT",IF(K262&lt;I262*1.2,"⚠ STOCK FAIBLE","✓ COUVERT"))</f>
        <v/>
      </c>
      <c r="N262" s="8" t="inlineStr">
        <is>
          <t>CTL</t>
        </is>
      </c>
      <c r="O262" s="8" t="inlineStr">
        <is>
          <t>CRITIQUE</t>
        </is>
      </c>
      <c r="P262" s="8" t="inlineStr">
        <is>
          <t>31/08/2026 02:59</t>
        </is>
      </c>
    </row>
    <row r="263">
      <c r="A263" s="7" t="inlineStr">
        <is>
          <t>WHAP 8x8</t>
        </is>
      </c>
      <c r="B263" s="7" t="inlineStr">
        <is>
          <t>WHAP-0259</t>
        </is>
      </c>
      <c r="C263" s="7" t="inlineStr">
        <is>
          <t>FRE-0259</t>
        </is>
      </c>
      <c r="D263" s="7" t="inlineStr">
        <is>
          <t>valve de protection</t>
        </is>
      </c>
      <c r="E263" s="7" t="inlineStr">
        <is>
          <t>Freinage</t>
        </is>
      </c>
      <c r="F263" s="7" t="inlineStr">
        <is>
          <t>Freinage</t>
        </is>
      </c>
      <c r="G263" s="7" t="inlineStr">
        <is>
          <t>PIECE_VEHICULE</t>
        </is>
      </c>
      <c r="H263" s="7" t="n">
        <v>1</v>
      </c>
      <c r="I263" s="7">
        <f>H263*$D$3</f>
        <v/>
      </c>
      <c r="J263" s="7" t="inlineStr">
        <is>
          <t>unité</t>
        </is>
      </c>
      <c r="K263" s="7" t="n">
        <v>0</v>
      </c>
      <c r="L263" s="7">
        <f>K263-I263</f>
        <v/>
      </c>
      <c r="M263" s="7">
        <f>IF(K263&lt;I263,"✕ INSUFFISANT",IF(K263&lt;I263*1.2,"⚠ STOCK FAIBLE","✓ COUVERT"))</f>
        <v/>
      </c>
      <c r="N263" s="7" t="inlineStr">
        <is>
          <t>FAU</t>
        </is>
      </c>
      <c r="O263" s="7" t="inlineStr">
        <is>
          <t>CRITIQUE</t>
        </is>
      </c>
      <c r="P263" s="7" t="inlineStr">
        <is>
          <t>31/08/2026 02:59</t>
        </is>
      </c>
    </row>
    <row r="264">
      <c r="A264" s="8" t="inlineStr">
        <is>
          <t>WHAP 8x8</t>
        </is>
      </c>
      <c r="B264" s="8" t="inlineStr">
        <is>
          <t>WHAP-0260</t>
        </is>
      </c>
      <c r="C264" s="8" t="inlineStr">
        <is>
          <t>FRE-0260</t>
        </is>
      </c>
      <c r="D264" s="8" t="inlineStr">
        <is>
          <t>modulateur ABS</t>
        </is>
      </c>
      <c r="E264" s="8" t="inlineStr">
        <is>
          <t>Freinage</t>
        </is>
      </c>
      <c r="F264" s="8" t="inlineStr">
        <is>
          <t>Freinage</t>
        </is>
      </c>
      <c r="G264" s="8" t="inlineStr">
        <is>
          <t>PIECE_VEHICULE</t>
        </is>
      </c>
      <c r="H264" s="8" t="n">
        <v>1</v>
      </c>
      <c r="I264" s="8">
        <f>H264*$D$3</f>
        <v/>
      </c>
      <c r="J264" s="8" t="inlineStr">
        <is>
          <t>unité</t>
        </is>
      </c>
      <c r="K264" s="8" t="n">
        <v>0</v>
      </c>
      <c r="L264" s="8">
        <f>K264-I264</f>
        <v/>
      </c>
      <c r="M264" s="8">
        <f>IF(K264&lt;I264,"✕ INSUFFISANT",IF(K264&lt;I264*1.2,"⚠ STOCK FAIBLE","✓ COUVERT"))</f>
        <v/>
      </c>
      <c r="N264" s="8" t="inlineStr">
        <is>
          <t>YZK</t>
        </is>
      </c>
      <c r="O264" s="8" t="inlineStr">
        <is>
          <t>CRITIQUE</t>
        </is>
      </c>
      <c r="P264" s="8" t="inlineStr">
        <is>
          <t>31/08/2026 02:59</t>
        </is>
      </c>
    </row>
    <row r="265">
      <c r="A265" s="7" t="inlineStr">
        <is>
          <t>WHAP 8x8</t>
        </is>
      </c>
      <c r="B265" s="7" t="inlineStr">
        <is>
          <t>WHAP-0261</t>
        </is>
      </c>
      <c r="C265" s="7" t="inlineStr">
        <is>
          <t>FRE-0261</t>
        </is>
      </c>
      <c r="D265" s="7" t="inlineStr">
        <is>
          <t>capteur ABS</t>
        </is>
      </c>
      <c r="E265" s="7" t="inlineStr">
        <is>
          <t>Freinage</t>
        </is>
      </c>
      <c r="F265" s="7" t="inlineStr">
        <is>
          <t>Freinage</t>
        </is>
      </c>
      <c r="G265" s="7" t="inlineStr">
        <is>
          <t>PIECE_VEHICULE</t>
        </is>
      </c>
      <c r="H265" s="7" t="n">
        <v>1</v>
      </c>
      <c r="I265" s="7">
        <f>H265*$D$3</f>
        <v/>
      </c>
      <c r="J265" s="7" t="inlineStr">
        <is>
          <t>unité</t>
        </is>
      </c>
      <c r="K265" s="7" t="n">
        <v>0</v>
      </c>
      <c r="L265" s="7">
        <f>K265-I265</f>
        <v/>
      </c>
      <c r="M265" s="7">
        <f>IF(K265&lt;I265,"✕ INSUFFISANT",IF(K265&lt;I265*1.2,"⚠ STOCK FAIBLE","✓ COUVERT"))</f>
        <v/>
      </c>
      <c r="N265" s="7" t="inlineStr">
        <is>
          <t>BOS</t>
        </is>
      </c>
      <c r="O265" s="7" t="inlineStr">
        <is>
          <t>CRITIQUE</t>
        </is>
      </c>
      <c r="P265" s="7" t="inlineStr">
        <is>
          <t>31/08/2026 02:59</t>
        </is>
      </c>
    </row>
    <row r="266">
      <c r="A266" s="8" t="inlineStr">
        <is>
          <t>WHAP 8x8</t>
        </is>
      </c>
      <c r="B266" s="8" t="inlineStr">
        <is>
          <t>WHAP-0262</t>
        </is>
      </c>
      <c r="C266" s="8" t="inlineStr">
        <is>
          <t>FRE-0262</t>
        </is>
      </c>
      <c r="D266" s="8" t="inlineStr">
        <is>
          <t>couronne ABS</t>
        </is>
      </c>
      <c r="E266" s="8" t="inlineStr">
        <is>
          <t>Freinage</t>
        </is>
      </c>
      <c r="F266" s="8" t="inlineStr">
        <is>
          <t>Freinage</t>
        </is>
      </c>
      <c r="G266" s="8" t="inlineStr">
        <is>
          <t>PIECE_VEHICULE</t>
        </is>
      </c>
      <c r="H266" s="8" t="n">
        <v>1</v>
      </c>
      <c r="I266" s="8">
        <f>H266*$D$3</f>
        <v/>
      </c>
      <c r="J266" s="8" t="inlineStr">
        <is>
          <t>unité</t>
        </is>
      </c>
      <c r="K266" s="8" t="n">
        <v>0</v>
      </c>
      <c r="L266" s="8">
        <f>K266-I266</f>
        <v/>
      </c>
      <c r="M266" s="8">
        <f>IF(K266&lt;I266,"✕ INSUFFISANT",IF(K266&lt;I266*1.2,"⚠ STOCK FAIBLE","✓ COUVERT"))</f>
        <v/>
      </c>
      <c r="N266" s="8" t="inlineStr">
        <is>
          <t>SKF</t>
        </is>
      </c>
      <c r="O266" s="8" t="inlineStr">
        <is>
          <t>CRITIQUE</t>
        </is>
      </c>
      <c r="P266" s="8" t="inlineStr">
        <is>
          <t>31/08/2026 02:59</t>
        </is>
      </c>
    </row>
    <row r="267">
      <c r="A267" s="7" t="inlineStr">
        <is>
          <t>WHAP 8x8</t>
        </is>
      </c>
      <c r="B267" s="7" t="inlineStr">
        <is>
          <t>WHAP-0263</t>
        </is>
      </c>
      <c r="C267" s="7" t="inlineStr">
        <is>
          <t>FRE-0263</t>
        </is>
      </c>
      <c r="D267" s="7" t="inlineStr">
        <is>
          <t>actionneur frein de parc</t>
        </is>
      </c>
      <c r="E267" s="7" t="inlineStr">
        <is>
          <t>Freinage</t>
        </is>
      </c>
      <c r="F267" s="7" t="inlineStr">
        <is>
          <t>Freinage</t>
        </is>
      </c>
      <c r="G267" s="7" t="inlineStr">
        <is>
          <t>PIECE_VEHICULE</t>
        </is>
      </c>
      <c r="H267" s="7" t="n">
        <v>1</v>
      </c>
      <c r="I267" s="7">
        <f>H267*$D$3</f>
        <v/>
      </c>
      <c r="J267" s="7" t="inlineStr">
        <is>
          <t>unité</t>
        </is>
      </c>
      <c r="K267" s="7" t="n">
        <v>0</v>
      </c>
      <c r="L267" s="7">
        <f>K267-I267</f>
        <v/>
      </c>
      <c r="M267" s="7">
        <f>IF(K267&lt;I267,"✕ INSUFFISANT",IF(K267&lt;I267*1.2,"⚠ STOCK FAIBLE","✓ COUVERT"))</f>
        <v/>
      </c>
      <c r="N267" s="7" t="inlineStr">
        <is>
          <t>FAU</t>
        </is>
      </c>
      <c r="O267" s="7" t="inlineStr">
        <is>
          <t>CRITIQUE</t>
        </is>
      </c>
      <c r="P267" s="7" t="inlineStr">
        <is>
          <t>31/08/2026 02:59</t>
        </is>
      </c>
    </row>
    <row r="268">
      <c r="A268" s="8" t="inlineStr">
        <is>
          <t>WHAP 8x8</t>
        </is>
      </c>
      <c r="B268" s="8" t="inlineStr">
        <is>
          <t>WHAP-0264</t>
        </is>
      </c>
      <c r="C268" s="8" t="inlineStr">
        <is>
          <t>FRE-0264</t>
        </is>
      </c>
      <c r="D268" s="8" t="inlineStr">
        <is>
          <t>câble de frein</t>
        </is>
      </c>
      <c r="E268" s="8" t="inlineStr">
        <is>
          <t>Freinage</t>
        </is>
      </c>
      <c r="F268" s="8" t="inlineStr">
        <is>
          <t>Freinage</t>
        </is>
      </c>
      <c r="G268" s="8" t="inlineStr">
        <is>
          <t>PIECE_VEHICULE</t>
        </is>
      </c>
      <c r="H268" s="8" t="n">
        <v>1</v>
      </c>
      <c r="I268" s="8">
        <f>H268*$D$3</f>
        <v/>
      </c>
      <c r="J268" s="8" t="inlineStr">
        <is>
          <t>unité</t>
        </is>
      </c>
      <c r="K268" s="8" t="n">
        <v>0</v>
      </c>
      <c r="L268" s="8">
        <f>K268-I268</f>
        <v/>
      </c>
      <c r="M268" s="8">
        <f>IF(K268&lt;I268,"✕ INSUFFISANT",IF(K268&lt;I268*1.2,"⚠ STOCK FAIBLE","✓ COUVERT"))</f>
        <v/>
      </c>
      <c r="N268" s="8" t="inlineStr">
        <is>
          <t>HEL</t>
        </is>
      </c>
      <c r="O268" s="8" t="inlineStr">
        <is>
          <t>CRITIQUE</t>
        </is>
      </c>
      <c r="P268" s="8" t="inlineStr">
        <is>
          <t>31/08/2026 02:59</t>
        </is>
      </c>
    </row>
    <row r="269">
      <c r="A269" s="7" t="inlineStr">
        <is>
          <t>WHAP 8x8</t>
        </is>
      </c>
      <c r="B269" s="7" t="inlineStr">
        <is>
          <t>WHAP-0265</t>
        </is>
      </c>
      <c r="C269" s="7" t="inlineStr">
        <is>
          <t>FRE-0265</t>
        </is>
      </c>
      <c r="D269" s="7" t="inlineStr">
        <is>
          <t>ressort de frein</t>
        </is>
      </c>
      <c r="E269" s="7" t="inlineStr">
        <is>
          <t>Freinage</t>
        </is>
      </c>
      <c r="F269" s="7" t="inlineStr">
        <is>
          <t>Freinage</t>
        </is>
      </c>
      <c r="G269" s="7" t="inlineStr">
        <is>
          <t>PIECE_VEHICULE</t>
        </is>
      </c>
      <c r="H269" s="7" t="n">
        <v>1</v>
      </c>
      <c r="I269" s="7">
        <f>H269*$D$3</f>
        <v/>
      </c>
      <c r="J269" s="7" t="inlineStr">
        <is>
          <t>unité</t>
        </is>
      </c>
      <c r="K269" s="7" t="n">
        <v>0</v>
      </c>
      <c r="L269" s="7">
        <f>K269-I269</f>
        <v/>
      </c>
      <c r="M269" s="7">
        <f>IF(K269&lt;I269,"✕ INSUFFISANT",IF(K269&lt;I269*1.2,"⚠ STOCK FAIBLE","✓ COUVERT"))</f>
        <v/>
      </c>
      <c r="N269" s="7" t="inlineStr">
        <is>
          <t>SKF</t>
        </is>
      </c>
      <c r="O269" s="7" t="inlineStr">
        <is>
          <t>CRITIQUE</t>
        </is>
      </c>
      <c r="P269" s="7" t="inlineStr">
        <is>
          <t>31/08/2026 02:59</t>
        </is>
      </c>
    </row>
    <row r="270">
      <c r="A270" s="8" t="inlineStr">
        <is>
          <t>WHAP 8x8</t>
        </is>
      </c>
      <c r="B270" s="8" t="inlineStr">
        <is>
          <t>WHAP-0266</t>
        </is>
      </c>
      <c r="C270" s="8" t="inlineStr">
        <is>
          <t>FRE-0266</t>
        </is>
      </c>
      <c r="D270" s="8" t="inlineStr">
        <is>
          <t>tambour de frein</t>
        </is>
      </c>
      <c r="E270" s="8" t="inlineStr">
        <is>
          <t>Freinage</t>
        </is>
      </c>
      <c r="F270" s="8" t="inlineStr">
        <is>
          <t>Freinage</t>
        </is>
      </c>
      <c r="G270" s="8" t="inlineStr">
        <is>
          <t>PIECE_VEHICULE</t>
        </is>
      </c>
      <c r="H270" s="8" t="n">
        <v>1</v>
      </c>
      <c r="I270" s="8">
        <f>H270*$D$3</f>
        <v/>
      </c>
      <c r="J270" s="8" t="inlineStr">
        <is>
          <t>unité</t>
        </is>
      </c>
      <c r="K270" s="8" t="n">
        <v>0</v>
      </c>
      <c r="L270" s="8">
        <f>K270-I270</f>
        <v/>
      </c>
      <c r="M270" s="8">
        <f>IF(K270&lt;I270,"✕ INSUFFISANT",IF(K270&lt;I270*1.2,"⚠ STOCK FAIBLE","✓ COUVERT"))</f>
        <v/>
      </c>
      <c r="N270" s="8" t="inlineStr">
        <is>
          <t>VAL</t>
        </is>
      </c>
      <c r="O270" s="8" t="inlineStr">
        <is>
          <t>CRITIQUE</t>
        </is>
      </c>
      <c r="P270" s="8" t="inlineStr">
        <is>
          <t>31/08/2026 02:59</t>
        </is>
      </c>
    </row>
    <row r="271">
      <c r="A271" s="7" t="inlineStr">
        <is>
          <t>WHAP 8x8</t>
        </is>
      </c>
      <c r="B271" s="7" t="inlineStr">
        <is>
          <t>WHAP-0267</t>
        </is>
      </c>
      <c r="C271" s="7" t="inlineStr">
        <is>
          <t>FRE-0267</t>
        </is>
      </c>
      <c r="D271" s="7" t="inlineStr">
        <is>
          <t>garniture de frein</t>
        </is>
      </c>
      <c r="E271" s="7" t="inlineStr">
        <is>
          <t>Freinage</t>
        </is>
      </c>
      <c r="F271" s="7" t="inlineStr">
        <is>
          <t>Freinage</t>
        </is>
      </c>
      <c r="G271" s="7" t="inlineStr">
        <is>
          <t>PIECE_VEHICULE</t>
        </is>
      </c>
      <c r="H271" s="7" t="n">
        <v>1</v>
      </c>
      <c r="I271" s="7">
        <f>H271*$D$3</f>
        <v/>
      </c>
      <c r="J271" s="7" t="inlineStr">
        <is>
          <t>unité</t>
        </is>
      </c>
      <c r="K271" s="7" t="n">
        <v>0</v>
      </c>
      <c r="L271" s="7">
        <f>K271-I271</f>
        <v/>
      </c>
      <c r="M271" s="7">
        <f>IF(K271&lt;I271,"✕ INSUFFISANT",IF(K271&lt;I271*1.2,"⚠ STOCK FAIBLE","✓ COUVERT"))</f>
        <v/>
      </c>
      <c r="N271" s="7" t="inlineStr">
        <is>
          <t>VAL</t>
        </is>
      </c>
      <c r="O271" s="7" t="inlineStr">
        <is>
          <t>CRITIQUE</t>
        </is>
      </c>
      <c r="P271" s="7" t="inlineStr">
        <is>
          <t>31/08/2026 02:59</t>
        </is>
      </c>
    </row>
    <row r="272">
      <c r="A272" s="8" t="inlineStr">
        <is>
          <t>WHAP 8x8</t>
        </is>
      </c>
      <c r="B272" s="8" t="inlineStr">
        <is>
          <t>WHAP-0268</t>
        </is>
      </c>
      <c r="C272" s="8" t="inlineStr">
        <is>
          <t>FRE-0268</t>
        </is>
      </c>
      <c r="D272" s="8" t="inlineStr">
        <is>
          <t>purgeur</t>
        </is>
      </c>
      <c r="E272" s="8" t="inlineStr">
        <is>
          <t>Freinage</t>
        </is>
      </c>
      <c r="F272" s="8" t="inlineStr">
        <is>
          <t>Freinage</t>
        </is>
      </c>
      <c r="G272" s="8" t="inlineStr">
        <is>
          <t>PIECE_VEHICULE</t>
        </is>
      </c>
      <c r="H272" s="8" t="n">
        <v>1</v>
      </c>
      <c r="I272" s="8">
        <f>H272*$D$3</f>
        <v/>
      </c>
      <c r="J272" s="8" t="inlineStr">
        <is>
          <t>unité</t>
        </is>
      </c>
      <c r="K272" s="8" t="n">
        <v>0</v>
      </c>
      <c r="L272" s="8">
        <f>K272-I272</f>
        <v/>
      </c>
      <c r="M272" s="8">
        <f>IF(K272&lt;I272,"✕ INSUFFISANT",IF(K272&lt;I272*1.2,"⚠ STOCK FAIBLE","✓ COUVERT"))</f>
        <v/>
      </c>
      <c r="N272" s="8" t="inlineStr">
        <is>
          <t>BOS</t>
        </is>
      </c>
      <c r="O272" s="8" t="inlineStr">
        <is>
          <t>CRITIQUE</t>
        </is>
      </c>
      <c r="P272" s="8" t="inlineStr">
        <is>
          <t>31/08/2026 02:59</t>
        </is>
      </c>
    </row>
    <row r="273">
      <c r="A273" s="7" t="inlineStr">
        <is>
          <t>WHAP 8x8</t>
        </is>
      </c>
      <c r="B273" s="7" t="inlineStr">
        <is>
          <t>WHAP-0269</t>
        </is>
      </c>
      <c r="C273" s="7" t="inlineStr">
        <is>
          <t>FRE-0269</t>
        </is>
      </c>
      <c r="D273" s="7" t="inlineStr">
        <is>
          <t>raccord pneumatique</t>
        </is>
      </c>
      <c r="E273" s="7" t="inlineStr">
        <is>
          <t>Freinage</t>
        </is>
      </c>
      <c r="F273" s="7" t="inlineStr">
        <is>
          <t>Freinage</t>
        </is>
      </c>
      <c r="G273" s="7" t="inlineStr">
        <is>
          <t>PIECE_VEHICULE</t>
        </is>
      </c>
      <c r="H273" s="7" t="n">
        <v>1</v>
      </c>
      <c r="I273" s="7">
        <f>H273*$D$3</f>
        <v/>
      </c>
      <c r="J273" s="7" t="inlineStr">
        <is>
          <t>unité</t>
        </is>
      </c>
      <c r="K273" s="7" t="n">
        <v>0</v>
      </c>
      <c r="L273" s="7">
        <f>K273-I273</f>
        <v/>
      </c>
      <c r="M273" s="7">
        <f>IF(K273&lt;I273,"✕ INSUFFISANT",IF(K273&lt;I273*1.2,"⚠ STOCK FAIBLE","✓ COUVERT"))</f>
        <v/>
      </c>
      <c r="N273" s="7" t="inlineStr">
        <is>
          <t>YZK</t>
        </is>
      </c>
      <c r="O273" s="7" t="inlineStr">
        <is>
          <t>CRITIQUE</t>
        </is>
      </c>
      <c r="P273" s="7" t="inlineStr">
        <is>
          <t>31/08/2026 02:59</t>
        </is>
      </c>
    </row>
    <row r="274">
      <c r="A274" s="8" t="inlineStr">
        <is>
          <t>WHAP 8x8</t>
        </is>
      </c>
      <c r="B274" s="8" t="inlineStr">
        <is>
          <t>WHAP-0270</t>
        </is>
      </c>
      <c r="C274" s="8" t="inlineStr">
        <is>
          <t>ROU-0270</t>
        </is>
      </c>
      <c r="D274" s="8" t="inlineStr">
        <is>
          <t>jante</t>
        </is>
      </c>
      <c r="E274" s="8" t="inlineStr">
        <is>
          <t>Roues et pneus</t>
        </is>
      </c>
      <c r="F274" s="8" t="inlineStr">
        <is>
          <t>Roues et pneus</t>
        </is>
      </c>
      <c r="G274" s="8" t="inlineStr">
        <is>
          <t>PIECE_VEHICULE</t>
        </is>
      </c>
      <c r="H274" s="8" t="n">
        <v>1</v>
      </c>
      <c r="I274" s="8">
        <f>H274*$D$3</f>
        <v/>
      </c>
      <c r="J274" s="8" t="inlineStr">
        <is>
          <t>unité</t>
        </is>
      </c>
      <c r="K274" s="8" t="n">
        <v>64</v>
      </c>
      <c r="L274" s="8">
        <f>K274-I274</f>
        <v/>
      </c>
      <c r="M274" s="8">
        <f>IF(K274&lt;I274,"✕ INSUFFISANT",IF(K274&lt;I274*1.2,"⚠ STOCK FAIBLE","✓ COUVERT"))</f>
        <v/>
      </c>
      <c r="N274" s="8" t="inlineStr">
        <is>
          <t>SKF</t>
        </is>
      </c>
      <c r="O274" s="8" t="inlineStr">
        <is>
          <t>IMPORTANT</t>
        </is>
      </c>
      <c r="P274" s="8" t="inlineStr">
        <is>
          <t>31/08/2026 02:59</t>
        </is>
      </c>
    </row>
    <row r="275">
      <c r="A275" s="7" t="inlineStr">
        <is>
          <t>WHAP 8x8</t>
        </is>
      </c>
      <c r="B275" s="7" t="inlineStr">
        <is>
          <t>WHAP-0271</t>
        </is>
      </c>
      <c r="C275" s="7" t="inlineStr">
        <is>
          <t>ROU-0271</t>
        </is>
      </c>
      <c r="D275" s="7" t="inlineStr">
        <is>
          <t>roue complète</t>
        </is>
      </c>
      <c r="E275" s="7" t="inlineStr">
        <is>
          <t>Roues et pneus</t>
        </is>
      </c>
      <c r="F275" s="7" t="inlineStr">
        <is>
          <t>Roues et pneus</t>
        </is>
      </c>
      <c r="G275" s="7" t="inlineStr">
        <is>
          <t>PIECE_VEHICULE</t>
        </is>
      </c>
      <c r="H275" s="7" t="n">
        <v>1</v>
      </c>
      <c r="I275" s="7">
        <f>H275*$D$3</f>
        <v/>
      </c>
      <c r="J275" s="7" t="inlineStr">
        <is>
          <t>unité</t>
        </is>
      </c>
      <c r="K275" s="7" t="n">
        <v>0</v>
      </c>
      <c r="L275" s="7">
        <f>K275-I275</f>
        <v/>
      </c>
      <c r="M275" s="7">
        <f>IF(K275&lt;I275,"✕ INSUFFISANT",IF(K275&lt;I275*1.2,"⚠ STOCK FAIBLE","✓ COUVERT"))</f>
        <v/>
      </c>
      <c r="N275" s="7" t="inlineStr">
        <is>
          <t>FAU</t>
        </is>
      </c>
      <c r="O275" s="7" t="inlineStr">
        <is>
          <t>IMPORTANT</t>
        </is>
      </c>
      <c r="P275" s="7" t="inlineStr">
        <is>
          <t>31/08/2026 02:59</t>
        </is>
      </c>
    </row>
    <row r="276">
      <c r="A276" s="8" t="inlineStr">
        <is>
          <t>WHAP 8x8</t>
        </is>
      </c>
      <c r="B276" s="8" t="inlineStr">
        <is>
          <t>WHAP-0272</t>
        </is>
      </c>
      <c r="C276" s="8" t="inlineStr">
        <is>
          <t>ROU-0272</t>
        </is>
      </c>
      <c r="D276" s="8" t="inlineStr">
        <is>
          <t>pneu</t>
        </is>
      </c>
      <c r="E276" s="8" t="inlineStr">
        <is>
          <t>Roues et pneus</t>
        </is>
      </c>
      <c r="F276" s="8" t="inlineStr">
        <is>
          <t>Roues et pneus</t>
        </is>
      </c>
      <c r="G276" s="8" t="inlineStr">
        <is>
          <t>PIECE_VEHICULE</t>
        </is>
      </c>
      <c r="H276" s="8" t="n">
        <v>1</v>
      </c>
      <c r="I276" s="8">
        <f>H276*$D$3</f>
        <v/>
      </c>
      <c r="J276" s="8" t="inlineStr">
        <is>
          <t>unité</t>
        </is>
      </c>
      <c r="K276" s="8" t="n">
        <v>0</v>
      </c>
      <c r="L276" s="8">
        <f>K276-I276</f>
        <v/>
      </c>
      <c r="M276" s="8">
        <f>IF(K276&lt;I276,"✕ INSUFFISANT",IF(K276&lt;I276*1.2,"⚠ STOCK FAIBLE","✓ COUVERT"))</f>
        <v/>
      </c>
      <c r="N276" s="8" t="inlineStr">
        <is>
          <t>HEL</t>
        </is>
      </c>
      <c r="O276" s="8" t="inlineStr">
        <is>
          <t>IMPORTANT</t>
        </is>
      </c>
      <c r="P276" s="8" t="inlineStr">
        <is>
          <t>31/08/2026 02:59</t>
        </is>
      </c>
    </row>
    <row r="277">
      <c r="A277" s="7" t="inlineStr">
        <is>
          <t>WHAP 8x8</t>
        </is>
      </c>
      <c r="B277" s="7" t="inlineStr">
        <is>
          <t>WHAP-0273</t>
        </is>
      </c>
      <c r="C277" s="7" t="inlineStr">
        <is>
          <t>ROU-0273</t>
        </is>
      </c>
      <c r="D277" s="7" t="inlineStr">
        <is>
          <t>insert run-flat</t>
        </is>
      </c>
      <c r="E277" s="7" t="inlineStr">
        <is>
          <t>Roues et pneus</t>
        </is>
      </c>
      <c r="F277" s="7" t="inlineStr">
        <is>
          <t>Roues et pneus</t>
        </is>
      </c>
      <c r="G277" s="7" t="inlineStr">
        <is>
          <t>PIECE_VEHICULE</t>
        </is>
      </c>
      <c r="H277" s="7" t="n">
        <v>1</v>
      </c>
      <c r="I277" s="7">
        <f>H277*$D$3</f>
        <v/>
      </c>
      <c r="J277" s="7" t="inlineStr">
        <is>
          <t>unité</t>
        </is>
      </c>
      <c r="K277" s="7" t="n">
        <v>0</v>
      </c>
      <c r="L277" s="7">
        <f>K277-I277</f>
        <v/>
      </c>
      <c r="M277" s="7">
        <f>IF(K277&lt;I277,"✕ INSUFFISANT",IF(K277&lt;I277*1.2,"⚠ STOCK FAIBLE","✓ COUVERT"))</f>
        <v/>
      </c>
      <c r="N277" s="7" t="inlineStr">
        <is>
          <t>MAG</t>
        </is>
      </c>
      <c r="O277" s="7" t="inlineStr">
        <is>
          <t>IMPORTANT</t>
        </is>
      </c>
      <c r="P277" s="7" t="inlineStr">
        <is>
          <t>31/08/2026 02:59</t>
        </is>
      </c>
    </row>
    <row r="278">
      <c r="A278" s="8" t="inlineStr">
        <is>
          <t>WHAP 8x8</t>
        </is>
      </c>
      <c r="B278" s="8" t="inlineStr">
        <is>
          <t>WHAP-0274</t>
        </is>
      </c>
      <c r="C278" s="8" t="inlineStr">
        <is>
          <t>ROU-0274</t>
        </is>
      </c>
      <c r="D278" s="8" t="inlineStr">
        <is>
          <t>valve de pneu</t>
        </is>
      </c>
      <c r="E278" s="8" t="inlineStr">
        <is>
          <t>Roues et pneus</t>
        </is>
      </c>
      <c r="F278" s="8" t="inlineStr">
        <is>
          <t>Roues et pneus</t>
        </is>
      </c>
      <c r="G278" s="8" t="inlineStr">
        <is>
          <t>PIECE_VEHICULE</t>
        </is>
      </c>
      <c r="H278" s="8" t="n">
        <v>1</v>
      </c>
      <c r="I278" s="8">
        <f>H278*$D$3</f>
        <v/>
      </c>
      <c r="J278" s="8" t="inlineStr">
        <is>
          <t>unité</t>
        </is>
      </c>
      <c r="K278" s="8" t="n">
        <v>0</v>
      </c>
      <c r="L278" s="8">
        <f>K278-I278</f>
        <v/>
      </c>
      <c r="M278" s="8">
        <f>IF(K278&lt;I278,"✕ INSUFFISANT",IF(K278&lt;I278*1.2,"⚠ STOCK FAIBLE","✓ COUVERT"))</f>
        <v/>
      </c>
      <c r="N278" s="8" t="inlineStr">
        <is>
          <t>SKF</t>
        </is>
      </c>
      <c r="O278" s="8" t="inlineStr">
        <is>
          <t>IMPORTANT</t>
        </is>
      </c>
      <c r="P278" s="8" t="inlineStr">
        <is>
          <t>31/08/2026 02:59</t>
        </is>
      </c>
    </row>
    <row r="279">
      <c r="A279" s="7" t="inlineStr">
        <is>
          <t>WHAP 8x8</t>
        </is>
      </c>
      <c r="B279" s="7" t="inlineStr">
        <is>
          <t>WHAP-0275</t>
        </is>
      </c>
      <c r="C279" s="7" t="inlineStr">
        <is>
          <t>ROU-0275</t>
        </is>
      </c>
      <c r="D279" s="7" t="inlineStr">
        <is>
          <t>capteur pression pneu</t>
        </is>
      </c>
      <c r="E279" s="7" t="inlineStr">
        <is>
          <t>Roues et pneus</t>
        </is>
      </c>
      <c r="F279" s="7" t="inlineStr">
        <is>
          <t>Roues et pneus</t>
        </is>
      </c>
      <c r="G279" s="7" t="inlineStr">
        <is>
          <t>PIECE_VEHICULE</t>
        </is>
      </c>
      <c r="H279" s="7" t="n">
        <v>1</v>
      </c>
      <c r="I279" s="7">
        <f>H279*$D$3</f>
        <v/>
      </c>
      <c r="J279" s="7" t="inlineStr">
        <is>
          <t>unité</t>
        </is>
      </c>
      <c r="K279" s="7" t="n">
        <v>0</v>
      </c>
      <c r="L279" s="7">
        <f>K279-I279</f>
        <v/>
      </c>
      <c r="M279" s="7">
        <f>IF(K279&lt;I279,"✕ INSUFFISANT",IF(K279&lt;I279*1.2,"⚠ STOCK FAIBLE","✓ COUVERT"))</f>
        <v/>
      </c>
      <c r="N279" s="7" t="inlineStr">
        <is>
          <t>MAG</t>
        </is>
      </c>
      <c r="O279" s="7" t="inlineStr">
        <is>
          <t>IMPORTANT</t>
        </is>
      </c>
      <c r="P279" s="7" t="inlineStr">
        <is>
          <t>31/08/2026 02:59</t>
        </is>
      </c>
    </row>
    <row r="280">
      <c r="A280" s="8" t="inlineStr">
        <is>
          <t>WHAP 8x8</t>
        </is>
      </c>
      <c r="B280" s="8" t="inlineStr">
        <is>
          <t>WHAP-0276</t>
        </is>
      </c>
      <c r="C280" s="8" t="inlineStr">
        <is>
          <t>ROU-0276</t>
        </is>
      </c>
      <c r="D280" s="8" t="inlineStr">
        <is>
          <t>écrou de roue</t>
        </is>
      </c>
      <c r="E280" s="8" t="inlineStr">
        <is>
          <t>Roues et pneus</t>
        </is>
      </c>
      <c r="F280" s="8" t="inlineStr">
        <is>
          <t>Roues et pneus</t>
        </is>
      </c>
      <c r="G280" s="8" t="inlineStr">
        <is>
          <t>PIECE_VEHICULE</t>
        </is>
      </c>
      <c r="H280" s="8" t="n">
        <v>1</v>
      </c>
      <c r="I280" s="8">
        <f>H280*$D$3</f>
        <v/>
      </c>
      <c r="J280" s="8" t="inlineStr">
        <is>
          <t>unité</t>
        </is>
      </c>
      <c r="K280" s="8" t="n">
        <v>0</v>
      </c>
      <c r="L280" s="8">
        <f>K280-I280</f>
        <v/>
      </c>
      <c r="M280" s="8">
        <f>IF(K280&lt;I280,"✕ INSUFFISANT",IF(K280&lt;I280*1.2,"⚠ STOCK FAIBLE","✓ COUVERT"))</f>
        <v/>
      </c>
      <c r="N280" s="8" t="inlineStr">
        <is>
          <t>BOS</t>
        </is>
      </c>
      <c r="O280" s="8" t="inlineStr">
        <is>
          <t>IMPORTANT</t>
        </is>
      </c>
      <c r="P280" s="8" t="inlineStr">
        <is>
          <t>31/08/2026 02:59</t>
        </is>
      </c>
    </row>
    <row r="281">
      <c r="A281" s="7" t="inlineStr">
        <is>
          <t>WHAP 8x8</t>
        </is>
      </c>
      <c r="B281" s="7" t="inlineStr">
        <is>
          <t>WHAP-0277</t>
        </is>
      </c>
      <c r="C281" s="7" t="inlineStr">
        <is>
          <t>ROU-0277</t>
        </is>
      </c>
      <c r="D281" s="7" t="inlineStr">
        <is>
          <t>goujon de roue</t>
        </is>
      </c>
      <c r="E281" s="7" t="inlineStr">
        <is>
          <t>Roues et pneus</t>
        </is>
      </c>
      <c r="F281" s="7" t="inlineStr">
        <is>
          <t>Roues et pneus</t>
        </is>
      </c>
      <c r="G281" s="7" t="inlineStr">
        <is>
          <t>PIECE_VEHICULE</t>
        </is>
      </c>
      <c r="H281" s="7" t="n">
        <v>1</v>
      </c>
      <c r="I281" s="7">
        <f>H281*$D$3</f>
        <v/>
      </c>
      <c r="J281" s="7" t="inlineStr">
        <is>
          <t>unité</t>
        </is>
      </c>
      <c r="K281" s="7" t="n">
        <v>0</v>
      </c>
      <c r="L281" s="7">
        <f>K281-I281</f>
        <v/>
      </c>
      <c r="M281" s="7">
        <f>IF(K281&lt;I281,"✕ INSUFFISANT",IF(K281&lt;I281*1.2,"⚠ STOCK FAIBLE","✓ COUVERT"))</f>
        <v/>
      </c>
      <c r="N281" s="7" t="inlineStr">
        <is>
          <t>FAU</t>
        </is>
      </c>
      <c r="O281" s="7" t="inlineStr">
        <is>
          <t>IMPORTANT</t>
        </is>
      </c>
      <c r="P281" s="7" t="inlineStr">
        <is>
          <t>31/08/2026 02:59</t>
        </is>
      </c>
    </row>
    <row r="282">
      <c r="A282" s="8" t="inlineStr">
        <is>
          <t>WHAP 8x8</t>
        </is>
      </c>
      <c r="B282" s="8" t="inlineStr">
        <is>
          <t>WHAP-0278</t>
        </is>
      </c>
      <c r="C282" s="8" t="inlineStr">
        <is>
          <t>ROU-0278</t>
        </is>
      </c>
      <c r="D282" s="8" t="inlineStr">
        <is>
          <t>entretoise de roue</t>
        </is>
      </c>
      <c r="E282" s="8" t="inlineStr">
        <is>
          <t>Roues et pneus</t>
        </is>
      </c>
      <c r="F282" s="8" t="inlineStr">
        <is>
          <t>Roues et pneus</t>
        </is>
      </c>
      <c r="G282" s="8" t="inlineStr">
        <is>
          <t>PIECE_VEHICULE</t>
        </is>
      </c>
      <c r="H282" s="8" t="n">
        <v>1</v>
      </c>
      <c r="I282" s="8">
        <f>H282*$D$3</f>
        <v/>
      </c>
      <c r="J282" s="8" t="inlineStr">
        <is>
          <t>unité</t>
        </is>
      </c>
      <c r="K282" s="8" t="n">
        <v>0</v>
      </c>
      <c r="L282" s="8">
        <f>K282-I282</f>
        <v/>
      </c>
      <c r="M282" s="8">
        <f>IF(K282&lt;I282,"✕ INSUFFISANT",IF(K282&lt;I282*1.2,"⚠ STOCK FAIBLE","✓ COUVERT"))</f>
        <v/>
      </c>
      <c r="N282" s="8" t="inlineStr">
        <is>
          <t>VAL</t>
        </is>
      </c>
      <c r="O282" s="8" t="inlineStr">
        <is>
          <t>IMPORTANT</t>
        </is>
      </c>
      <c r="P282" s="8" t="inlineStr">
        <is>
          <t>31/08/2026 02:59</t>
        </is>
      </c>
    </row>
    <row r="283">
      <c r="A283" s="7" t="inlineStr">
        <is>
          <t>WHAP 8x8</t>
        </is>
      </c>
      <c r="B283" s="7" t="inlineStr">
        <is>
          <t>WHAP-0279</t>
        </is>
      </c>
      <c r="C283" s="7" t="inlineStr">
        <is>
          <t>ROU-0279</t>
        </is>
      </c>
      <c r="D283" s="7" t="inlineStr">
        <is>
          <t>moyeu</t>
        </is>
      </c>
      <c r="E283" s="7" t="inlineStr">
        <is>
          <t>Roues et pneus</t>
        </is>
      </c>
      <c r="F283" s="7" t="inlineStr">
        <is>
          <t>Roues et pneus</t>
        </is>
      </c>
      <c r="G283" s="7" t="inlineStr">
        <is>
          <t>PIECE_VEHICULE</t>
        </is>
      </c>
      <c r="H283" s="7" t="n">
        <v>1</v>
      </c>
      <c r="I283" s="7">
        <f>H283*$D$3</f>
        <v/>
      </c>
      <c r="J283" s="7" t="inlineStr">
        <is>
          <t>unité</t>
        </is>
      </c>
      <c r="K283" s="7" t="n">
        <v>0</v>
      </c>
      <c r="L283" s="7">
        <f>K283-I283</f>
        <v/>
      </c>
      <c r="M283" s="7">
        <f>IF(K283&lt;I283,"✕ INSUFFISANT",IF(K283&lt;I283*1.2,"⚠ STOCK FAIBLE","✓ COUVERT"))</f>
        <v/>
      </c>
      <c r="N283" s="7" t="inlineStr">
        <is>
          <t>MAG</t>
        </is>
      </c>
      <c r="O283" s="7" t="inlineStr">
        <is>
          <t>IMPORTANT</t>
        </is>
      </c>
      <c r="P283" s="7" t="inlineStr">
        <is>
          <t>31/08/2026 02:59</t>
        </is>
      </c>
    </row>
    <row r="284">
      <c r="A284" s="8" t="inlineStr">
        <is>
          <t>WHAP 8x8</t>
        </is>
      </c>
      <c r="B284" s="8" t="inlineStr">
        <is>
          <t>WHAP-0280</t>
        </is>
      </c>
      <c r="C284" s="8" t="inlineStr">
        <is>
          <t>ROU-0280</t>
        </is>
      </c>
      <c r="D284" s="8" t="inlineStr">
        <is>
          <t>cache-moyeu</t>
        </is>
      </c>
      <c r="E284" s="8" t="inlineStr">
        <is>
          <t>Roues et pneus</t>
        </is>
      </c>
      <c r="F284" s="8" t="inlineStr">
        <is>
          <t>Roues et pneus</t>
        </is>
      </c>
      <c r="G284" s="8" t="inlineStr">
        <is>
          <t>PIECE_VEHICULE</t>
        </is>
      </c>
      <c r="H284" s="8" t="n">
        <v>1</v>
      </c>
      <c r="I284" s="8">
        <f>H284*$D$3</f>
        <v/>
      </c>
      <c r="J284" s="8" t="inlineStr">
        <is>
          <t>unité</t>
        </is>
      </c>
      <c r="K284" s="8" t="n">
        <v>0</v>
      </c>
      <c r="L284" s="8">
        <f>K284-I284</f>
        <v/>
      </c>
      <c r="M284" s="8">
        <f>IF(K284&lt;I284,"✕ INSUFFISANT",IF(K284&lt;I284*1.2,"⚠ STOCK FAIBLE","✓ COUVERT"))</f>
        <v/>
      </c>
      <c r="N284" s="8" t="inlineStr">
        <is>
          <t>VAL</t>
        </is>
      </c>
      <c r="O284" s="8" t="inlineStr">
        <is>
          <t>IMPORTANT</t>
        </is>
      </c>
      <c r="P284" s="8" t="inlineStr">
        <is>
          <t>31/08/2026 02:59</t>
        </is>
      </c>
    </row>
    <row r="285">
      <c r="A285" s="7" t="inlineStr">
        <is>
          <t>WHAP 8x8</t>
        </is>
      </c>
      <c r="B285" s="7" t="inlineStr">
        <is>
          <t>WHAP-0281</t>
        </is>
      </c>
      <c r="C285" s="7" t="inlineStr">
        <is>
          <t>ROU-0281</t>
        </is>
      </c>
      <c r="D285" s="7" t="inlineStr">
        <is>
          <t>joint de moyeu</t>
        </is>
      </c>
      <c r="E285" s="7" t="inlineStr">
        <is>
          <t>Roues et pneus</t>
        </is>
      </c>
      <c r="F285" s="7" t="inlineStr">
        <is>
          <t>Roues et pneus</t>
        </is>
      </c>
      <c r="G285" s="7" t="inlineStr">
        <is>
          <t>PIECE_VEHICULE</t>
        </is>
      </c>
      <c r="H285" s="7" t="n">
        <v>1</v>
      </c>
      <c r="I285" s="7">
        <f>H285*$D$3</f>
        <v/>
      </c>
      <c r="J285" s="7" t="inlineStr">
        <is>
          <t>unité</t>
        </is>
      </c>
      <c r="K285" s="7" t="n">
        <v>0</v>
      </c>
      <c r="L285" s="7">
        <f>K285-I285</f>
        <v/>
      </c>
      <c r="M285" s="7">
        <f>IF(K285&lt;I285,"✕ INSUFFISANT",IF(K285&lt;I285*1.2,"⚠ STOCK FAIBLE","✓ COUVERT"))</f>
        <v/>
      </c>
      <c r="N285" s="7" t="inlineStr">
        <is>
          <t>HEL</t>
        </is>
      </c>
      <c r="O285" s="7" t="inlineStr">
        <is>
          <t>IMPORTANT</t>
        </is>
      </c>
      <c r="P285" s="7" t="inlineStr">
        <is>
          <t>31/08/2026 02:59</t>
        </is>
      </c>
    </row>
    <row r="286">
      <c r="A286" s="8" t="inlineStr">
        <is>
          <t>WHAP 8x8</t>
        </is>
      </c>
      <c r="B286" s="8" t="inlineStr">
        <is>
          <t>WHAP-0282</t>
        </is>
      </c>
      <c r="C286" s="8" t="inlineStr">
        <is>
          <t>ROU-0282</t>
        </is>
      </c>
      <c r="D286" s="8" t="inlineStr">
        <is>
          <t>roulement de roue</t>
        </is>
      </c>
      <c r="E286" s="8" t="inlineStr">
        <is>
          <t>Roues et pneus</t>
        </is>
      </c>
      <c r="F286" s="8" t="inlineStr">
        <is>
          <t>Roues et pneus</t>
        </is>
      </c>
      <c r="G286" s="8" t="inlineStr">
        <is>
          <t>PIECE_VEHICULE</t>
        </is>
      </c>
      <c r="H286" s="8" t="n">
        <v>1</v>
      </c>
      <c r="I286" s="8">
        <f>H286*$D$3</f>
        <v/>
      </c>
      <c r="J286" s="8" t="inlineStr">
        <is>
          <t>unité</t>
        </is>
      </c>
      <c r="K286" s="8" t="n">
        <v>0</v>
      </c>
      <c r="L286" s="8">
        <f>K286-I286</f>
        <v/>
      </c>
      <c r="M286" s="8">
        <f>IF(K286&lt;I286,"✕ INSUFFISANT",IF(K286&lt;I286*1.2,"⚠ STOCK FAIBLE","✓ COUVERT"))</f>
        <v/>
      </c>
      <c r="N286" s="8" t="inlineStr">
        <is>
          <t>DEL</t>
        </is>
      </c>
      <c r="O286" s="8" t="inlineStr">
        <is>
          <t>IMPORTANT</t>
        </is>
      </c>
      <c r="P286" s="8" t="inlineStr">
        <is>
          <t>31/08/2026 02:59</t>
        </is>
      </c>
    </row>
    <row r="287">
      <c r="A287" s="7" t="inlineStr">
        <is>
          <t>WHAP 8x8</t>
        </is>
      </c>
      <c r="B287" s="7" t="inlineStr">
        <is>
          <t>WHAP-0283</t>
        </is>
      </c>
      <c r="C287" s="7" t="inlineStr">
        <is>
          <t>ROU-0283</t>
        </is>
      </c>
      <c r="D287" s="7" t="inlineStr">
        <is>
          <t>bague de roulement</t>
        </is>
      </c>
      <c r="E287" s="7" t="inlineStr">
        <is>
          <t>Roues et pneus</t>
        </is>
      </c>
      <c r="F287" s="7" t="inlineStr">
        <is>
          <t>Roues et pneus</t>
        </is>
      </c>
      <c r="G287" s="7" t="inlineStr">
        <is>
          <t>PIECE_VEHICULE</t>
        </is>
      </c>
      <c r="H287" s="7" t="n">
        <v>1</v>
      </c>
      <c r="I287" s="7">
        <f>H287*$D$3</f>
        <v/>
      </c>
      <c r="J287" s="7" t="inlineStr">
        <is>
          <t>unité</t>
        </is>
      </c>
      <c r="K287" s="7" t="n">
        <v>0</v>
      </c>
      <c r="L287" s="7">
        <f>K287-I287</f>
        <v/>
      </c>
      <c r="M287" s="7">
        <f>IF(K287&lt;I287,"✕ INSUFFISANT",IF(K287&lt;I287*1.2,"⚠ STOCK FAIBLE","✓ COUVERT"))</f>
        <v/>
      </c>
      <c r="N287" s="7" t="inlineStr">
        <is>
          <t>SKF</t>
        </is>
      </c>
      <c r="O287" s="7" t="inlineStr">
        <is>
          <t>IMPORTANT</t>
        </is>
      </c>
      <c r="P287" s="7" t="inlineStr">
        <is>
          <t>31/08/2026 02:59</t>
        </is>
      </c>
    </row>
    <row r="288">
      <c r="A288" s="8" t="inlineStr">
        <is>
          <t>WHAP 8x8</t>
        </is>
      </c>
      <c r="B288" s="8" t="inlineStr">
        <is>
          <t>WHAP-0284</t>
        </is>
      </c>
      <c r="C288" s="8" t="inlineStr">
        <is>
          <t>ROU-0284</t>
        </is>
      </c>
      <c r="D288" s="8" t="inlineStr">
        <is>
          <t>anneau de retenue</t>
        </is>
      </c>
      <c r="E288" s="8" t="inlineStr">
        <is>
          <t>Roues et pneus</t>
        </is>
      </c>
      <c r="F288" s="8" t="inlineStr">
        <is>
          <t>Roues et pneus</t>
        </is>
      </c>
      <c r="G288" s="8" t="inlineStr">
        <is>
          <t>PIECE_VEHICULE</t>
        </is>
      </c>
      <c r="H288" s="8" t="n">
        <v>1</v>
      </c>
      <c r="I288" s="8">
        <f>H288*$D$3</f>
        <v/>
      </c>
      <c r="J288" s="8" t="inlineStr">
        <is>
          <t>unité</t>
        </is>
      </c>
      <c r="K288" s="8" t="n">
        <v>0</v>
      </c>
      <c r="L288" s="8">
        <f>K288-I288</f>
        <v/>
      </c>
      <c r="M288" s="8">
        <f>IF(K288&lt;I288,"✕ INSUFFISANT",IF(K288&lt;I288*1.2,"⚠ STOCK FAIBLE","✓ COUVERT"))</f>
        <v/>
      </c>
      <c r="N288" s="8" t="inlineStr">
        <is>
          <t>CTL</t>
        </is>
      </c>
      <c r="O288" s="8" t="inlineStr">
        <is>
          <t>IMPORTANT</t>
        </is>
      </c>
      <c r="P288" s="8" t="inlineStr">
        <is>
          <t>31/08/2026 02:59</t>
        </is>
      </c>
    </row>
    <row r="289">
      <c r="A289" s="7" t="inlineStr">
        <is>
          <t>WHAP 8x8</t>
        </is>
      </c>
      <c r="B289" s="7" t="inlineStr">
        <is>
          <t>WHAP-0285</t>
        </is>
      </c>
      <c r="C289" s="7" t="inlineStr">
        <is>
          <t>ROU-0285</t>
        </is>
      </c>
      <c r="D289" s="7" t="inlineStr">
        <is>
          <t>disque de jante</t>
        </is>
      </c>
      <c r="E289" s="7" t="inlineStr">
        <is>
          <t>Roues et pneus</t>
        </is>
      </c>
      <c r="F289" s="7" t="inlineStr">
        <is>
          <t>Roues et pneus</t>
        </is>
      </c>
      <c r="G289" s="7" t="inlineStr">
        <is>
          <t>PIECE_VEHICULE</t>
        </is>
      </c>
      <c r="H289" s="7" t="n">
        <v>1</v>
      </c>
      <c r="I289" s="7">
        <f>H289*$D$3</f>
        <v/>
      </c>
      <c r="J289" s="7" t="inlineStr">
        <is>
          <t>unité</t>
        </is>
      </c>
      <c r="K289" s="7" t="n">
        <v>0</v>
      </c>
      <c r="L289" s="7">
        <f>K289-I289</f>
        <v/>
      </c>
      <c r="M289" s="7">
        <f>IF(K289&lt;I289,"✕ INSUFFISANT",IF(K289&lt;I289*1.2,"⚠ STOCK FAIBLE","✓ COUVERT"))</f>
        <v/>
      </c>
      <c r="N289" s="7" t="inlineStr">
        <is>
          <t>SUM</t>
        </is>
      </c>
      <c r="O289" s="7" t="inlineStr">
        <is>
          <t>IMPORTANT</t>
        </is>
      </c>
      <c r="P289" s="7" t="inlineStr">
        <is>
          <t>31/08/2026 02:59</t>
        </is>
      </c>
    </row>
    <row r="290">
      <c r="A290" s="8" t="inlineStr">
        <is>
          <t>WHAP 8x8</t>
        </is>
      </c>
      <c r="B290" s="8" t="inlineStr">
        <is>
          <t>WHAP-0286</t>
        </is>
      </c>
      <c r="C290" s="8" t="inlineStr">
        <is>
          <t>ROU-0286</t>
        </is>
      </c>
      <c r="D290" s="8" t="inlineStr">
        <is>
          <t>cerclage de jante</t>
        </is>
      </c>
      <c r="E290" s="8" t="inlineStr">
        <is>
          <t>Roues et pneus</t>
        </is>
      </c>
      <c r="F290" s="8" t="inlineStr">
        <is>
          <t>Roues et pneus</t>
        </is>
      </c>
      <c r="G290" s="8" t="inlineStr">
        <is>
          <t>PIECE_VEHICULE</t>
        </is>
      </c>
      <c r="H290" s="8" t="n">
        <v>1</v>
      </c>
      <c r="I290" s="8">
        <f>H290*$D$3</f>
        <v/>
      </c>
      <c r="J290" s="8" t="inlineStr">
        <is>
          <t>unité</t>
        </is>
      </c>
      <c r="K290" s="8" t="n">
        <v>0</v>
      </c>
      <c r="L290" s="8">
        <f>K290-I290</f>
        <v/>
      </c>
      <c r="M290" s="8">
        <f>IF(K290&lt;I290,"✕ INSUFFISANT",IF(K290&lt;I290*1.2,"⚠ STOCK FAIBLE","✓ COUVERT"))</f>
        <v/>
      </c>
      <c r="N290" s="8" t="inlineStr">
        <is>
          <t>CTL</t>
        </is>
      </c>
      <c r="O290" s="8" t="inlineStr">
        <is>
          <t>IMPORTANT</t>
        </is>
      </c>
      <c r="P290" s="8" t="inlineStr">
        <is>
          <t>31/08/2026 02:59</t>
        </is>
      </c>
    </row>
    <row r="291">
      <c r="A291" s="7" t="inlineStr">
        <is>
          <t>WHAP 8x8</t>
        </is>
      </c>
      <c r="B291" s="7" t="inlineStr">
        <is>
          <t>WHAP-0287</t>
        </is>
      </c>
      <c r="C291" s="7" t="inlineStr">
        <is>
          <t>ROU-0287</t>
        </is>
      </c>
      <c r="D291" s="7" t="inlineStr">
        <is>
          <t>système CTIS</t>
        </is>
      </c>
      <c r="E291" s="7" t="inlineStr">
        <is>
          <t>Roues et pneus</t>
        </is>
      </c>
      <c r="F291" s="7" t="inlineStr">
        <is>
          <t>Roues et pneus</t>
        </is>
      </c>
      <c r="G291" s="7" t="inlineStr">
        <is>
          <t>PIECE_VEHICULE</t>
        </is>
      </c>
      <c r="H291" s="7" t="n">
        <v>1</v>
      </c>
      <c r="I291" s="7">
        <f>H291*$D$3</f>
        <v/>
      </c>
      <c r="J291" s="7" t="inlineStr">
        <is>
          <t>unité</t>
        </is>
      </c>
      <c r="K291" s="7" t="n">
        <v>0</v>
      </c>
      <c r="L291" s="7">
        <f>K291-I291</f>
        <v/>
      </c>
      <c r="M291" s="7">
        <f>IF(K291&lt;I291,"✕ INSUFFISANT",IF(K291&lt;I291*1.2,"⚠ STOCK FAIBLE","✓ COUVERT"))</f>
        <v/>
      </c>
      <c r="N291" s="7" t="inlineStr">
        <is>
          <t>CTL</t>
        </is>
      </c>
      <c r="O291" s="7" t="inlineStr">
        <is>
          <t>IMPORTANT</t>
        </is>
      </c>
      <c r="P291" s="7" t="inlineStr">
        <is>
          <t>31/08/2026 02:59</t>
        </is>
      </c>
    </row>
    <row r="292">
      <c r="A292" s="8" t="inlineStr">
        <is>
          <t>WHAP 8x8</t>
        </is>
      </c>
      <c r="B292" s="8" t="inlineStr">
        <is>
          <t>WHAP-0288</t>
        </is>
      </c>
      <c r="C292" s="8" t="inlineStr">
        <is>
          <t>ROU-0288</t>
        </is>
      </c>
      <c r="D292" s="8" t="inlineStr">
        <is>
          <t>rotor CTIS</t>
        </is>
      </c>
      <c r="E292" s="8" t="inlineStr">
        <is>
          <t>Roues et pneus</t>
        </is>
      </c>
      <c r="F292" s="8" t="inlineStr">
        <is>
          <t>Roues et pneus</t>
        </is>
      </c>
      <c r="G292" s="8" t="inlineStr">
        <is>
          <t>PIECE_VEHICULE</t>
        </is>
      </c>
      <c r="H292" s="8" t="n">
        <v>1</v>
      </c>
      <c r="I292" s="8">
        <f>H292*$D$3</f>
        <v/>
      </c>
      <c r="J292" s="8" t="inlineStr">
        <is>
          <t>unité</t>
        </is>
      </c>
      <c r="K292" s="8" t="n">
        <v>0</v>
      </c>
      <c r="L292" s="8">
        <f>K292-I292</f>
        <v/>
      </c>
      <c r="M292" s="8">
        <f>IF(K292&lt;I292,"✕ INSUFFISANT",IF(K292&lt;I292*1.2,"⚠ STOCK FAIBLE","✓ COUVERT"))</f>
        <v/>
      </c>
      <c r="N292" s="8" t="inlineStr">
        <is>
          <t>HEL</t>
        </is>
      </c>
      <c r="O292" s="8" t="inlineStr">
        <is>
          <t>IMPORTANT</t>
        </is>
      </c>
      <c r="P292" s="8" t="inlineStr">
        <is>
          <t>31/08/2026 02:59</t>
        </is>
      </c>
    </row>
    <row r="293">
      <c r="A293" s="7" t="inlineStr">
        <is>
          <t>WHAP 8x8</t>
        </is>
      </c>
      <c r="B293" s="7" t="inlineStr">
        <is>
          <t>WHAP-0289</t>
        </is>
      </c>
      <c r="C293" s="7" t="inlineStr">
        <is>
          <t>ROU-0289</t>
        </is>
      </c>
      <c r="D293" s="7" t="inlineStr">
        <is>
          <t>joint tournant CTIS</t>
        </is>
      </c>
      <c r="E293" s="7" t="inlineStr">
        <is>
          <t>Roues et pneus</t>
        </is>
      </c>
      <c r="F293" s="7" t="inlineStr">
        <is>
          <t>Roues et pneus</t>
        </is>
      </c>
      <c r="G293" s="7" t="inlineStr">
        <is>
          <t>PIECE_VEHICULE</t>
        </is>
      </c>
      <c r="H293" s="7" t="n">
        <v>1</v>
      </c>
      <c r="I293" s="7">
        <f>H293*$D$3</f>
        <v/>
      </c>
      <c r="J293" s="7" t="inlineStr">
        <is>
          <t>unité</t>
        </is>
      </c>
      <c r="K293" s="7" t="n">
        <v>0</v>
      </c>
      <c r="L293" s="7">
        <f>K293-I293</f>
        <v/>
      </c>
      <c r="M293" s="7">
        <f>IF(K293&lt;I293,"✕ INSUFFISANT",IF(K293&lt;I293*1.2,"⚠ STOCK FAIBLE","✓ COUVERT"))</f>
        <v/>
      </c>
      <c r="N293" s="7" t="inlineStr">
        <is>
          <t>CTL</t>
        </is>
      </c>
      <c r="O293" s="7" t="inlineStr">
        <is>
          <t>IMPORTANT</t>
        </is>
      </c>
      <c r="P293" s="7" t="inlineStr">
        <is>
          <t>31/08/2026 02:59</t>
        </is>
      </c>
    </row>
    <row r="294">
      <c r="A294" s="8" t="inlineStr">
        <is>
          <t>WHAP 8x8</t>
        </is>
      </c>
      <c r="B294" s="8" t="inlineStr">
        <is>
          <t>WHAP-0290</t>
        </is>
      </c>
      <c r="C294" s="8" t="inlineStr">
        <is>
          <t>ROU-0290</t>
        </is>
      </c>
      <c r="D294" s="8" t="inlineStr">
        <is>
          <t>flexible CTIS</t>
        </is>
      </c>
      <c r="E294" s="8" t="inlineStr">
        <is>
          <t>Roues et pneus</t>
        </is>
      </c>
      <c r="F294" s="8" t="inlineStr">
        <is>
          <t>Roues et pneus</t>
        </is>
      </c>
      <c r="G294" s="8" t="inlineStr">
        <is>
          <t>PIECE_VEHICULE</t>
        </is>
      </c>
      <c r="H294" s="8" t="n">
        <v>1</v>
      </c>
      <c r="I294" s="8">
        <f>H294*$D$3</f>
        <v/>
      </c>
      <c r="J294" s="8" t="inlineStr">
        <is>
          <t>unité</t>
        </is>
      </c>
      <c r="K294" s="8" t="n">
        <v>0</v>
      </c>
      <c r="L294" s="8">
        <f>K294-I294</f>
        <v/>
      </c>
      <c r="M294" s="8">
        <f>IF(K294&lt;I294,"✕ INSUFFISANT",IF(K294&lt;I294*1.2,"⚠ STOCK FAIBLE","✓ COUVERT"))</f>
        <v/>
      </c>
      <c r="N294" s="8" t="inlineStr">
        <is>
          <t>CTL</t>
        </is>
      </c>
      <c r="O294" s="8" t="inlineStr">
        <is>
          <t>IMPORTANT</t>
        </is>
      </c>
      <c r="P294" s="8" t="inlineStr">
        <is>
          <t>31/08/2026 02:59</t>
        </is>
      </c>
    </row>
    <row r="295">
      <c r="A295" s="7" t="inlineStr">
        <is>
          <t>WHAP 8x8</t>
        </is>
      </c>
      <c r="B295" s="7" t="inlineStr">
        <is>
          <t>WHAP-0291</t>
        </is>
      </c>
      <c r="C295" s="7" t="inlineStr">
        <is>
          <t>ROU-0291</t>
        </is>
      </c>
      <c r="D295" s="7" t="inlineStr">
        <is>
          <t>raccord CTIS</t>
        </is>
      </c>
      <c r="E295" s="7" t="inlineStr">
        <is>
          <t>Roues et pneus</t>
        </is>
      </c>
      <c r="F295" s="7" t="inlineStr">
        <is>
          <t>Roues et pneus</t>
        </is>
      </c>
      <c r="G295" s="7" t="inlineStr">
        <is>
          <t>PIECE_VEHICULE</t>
        </is>
      </c>
      <c r="H295" s="7" t="n">
        <v>1</v>
      </c>
      <c r="I295" s="7">
        <f>H295*$D$3</f>
        <v/>
      </c>
      <c r="J295" s="7" t="inlineStr">
        <is>
          <t>unité</t>
        </is>
      </c>
      <c r="K295" s="7" t="n">
        <v>0</v>
      </c>
      <c r="L295" s="7">
        <f>K295-I295</f>
        <v/>
      </c>
      <c r="M295" s="7">
        <f>IF(K295&lt;I295,"✕ INSUFFISANT",IF(K295&lt;I295*1.2,"⚠ STOCK FAIBLE","✓ COUVERT"))</f>
        <v/>
      </c>
      <c r="N295" s="7" t="inlineStr">
        <is>
          <t>SKF</t>
        </is>
      </c>
      <c r="O295" s="7" t="inlineStr">
        <is>
          <t>IMPORTANT</t>
        </is>
      </c>
      <c r="P295" s="7" t="inlineStr">
        <is>
          <t>31/08/2026 02:59</t>
        </is>
      </c>
    </row>
    <row r="296">
      <c r="A296" s="8" t="inlineStr">
        <is>
          <t>WHAP 8x8</t>
        </is>
      </c>
      <c r="B296" s="8" t="inlineStr">
        <is>
          <t>WHAP-0292</t>
        </is>
      </c>
      <c r="C296" s="8" t="inlineStr">
        <is>
          <t>ROU-0292</t>
        </is>
      </c>
      <c r="D296" s="8" t="inlineStr">
        <is>
          <t>valve CTIS</t>
        </is>
      </c>
      <c r="E296" s="8" t="inlineStr">
        <is>
          <t>Roues et pneus</t>
        </is>
      </c>
      <c r="F296" s="8" t="inlineStr">
        <is>
          <t>Roues et pneus</t>
        </is>
      </c>
      <c r="G296" s="8" t="inlineStr">
        <is>
          <t>PIECE_VEHICULE</t>
        </is>
      </c>
      <c r="H296" s="8" t="n">
        <v>1</v>
      </c>
      <c r="I296" s="8">
        <f>H296*$D$3</f>
        <v/>
      </c>
      <c r="J296" s="8" t="inlineStr">
        <is>
          <t>unité</t>
        </is>
      </c>
      <c r="K296" s="8" t="n">
        <v>0</v>
      </c>
      <c r="L296" s="8">
        <f>K296-I296</f>
        <v/>
      </c>
      <c r="M296" s="8">
        <f>IF(K296&lt;I296,"✕ INSUFFISANT",IF(K296&lt;I296*1.2,"⚠ STOCK FAIBLE","✓ COUVERT"))</f>
        <v/>
      </c>
      <c r="N296" s="8" t="inlineStr">
        <is>
          <t>DEL</t>
        </is>
      </c>
      <c r="O296" s="8" t="inlineStr">
        <is>
          <t>IMPORTANT</t>
        </is>
      </c>
      <c r="P296" s="8" t="inlineStr">
        <is>
          <t>31/08/2026 02:59</t>
        </is>
      </c>
    </row>
    <row r="297">
      <c r="A297" s="7" t="inlineStr">
        <is>
          <t>WHAP 8x8</t>
        </is>
      </c>
      <c r="B297" s="7" t="inlineStr">
        <is>
          <t>WHAP-0293</t>
        </is>
      </c>
      <c r="C297" s="7" t="inlineStr">
        <is>
          <t>ROU-0293</t>
        </is>
      </c>
      <c r="D297" s="7" t="inlineStr">
        <is>
          <t>manomètre CTIS</t>
        </is>
      </c>
      <c r="E297" s="7" t="inlineStr">
        <is>
          <t>Roues et pneus</t>
        </is>
      </c>
      <c r="F297" s="7" t="inlineStr">
        <is>
          <t>Roues et pneus</t>
        </is>
      </c>
      <c r="G297" s="7" t="inlineStr">
        <is>
          <t>PIECE_VEHICULE</t>
        </is>
      </c>
      <c r="H297" s="7" t="n">
        <v>1</v>
      </c>
      <c r="I297" s="7">
        <f>H297*$D$3</f>
        <v/>
      </c>
      <c r="J297" s="7" t="inlineStr">
        <is>
          <t>unité</t>
        </is>
      </c>
      <c r="K297" s="7" t="n">
        <v>0</v>
      </c>
      <c r="L297" s="7">
        <f>K297-I297</f>
        <v/>
      </c>
      <c r="M297" s="7">
        <f>IF(K297&lt;I297,"✕ INSUFFISANT",IF(K297&lt;I297*1.2,"⚠ STOCK FAIBLE","✓ COUVERT"))</f>
        <v/>
      </c>
      <c r="N297" s="7" t="inlineStr">
        <is>
          <t>SKF</t>
        </is>
      </c>
      <c r="O297" s="7" t="inlineStr">
        <is>
          <t>IMPORTANT</t>
        </is>
      </c>
      <c r="P297" s="7" t="inlineStr">
        <is>
          <t>31/08/2026 02:59</t>
        </is>
      </c>
    </row>
    <row r="298">
      <c r="A298" s="8" t="inlineStr">
        <is>
          <t>WHAP 8x8</t>
        </is>
      </c>
      <c r="B298" s="8" t="inlineStr">
        <is>
          <t>WHAP-0294</t>
        </is>
      </c>
      <c r="C298" s="8" t="inlineStr">
        <is>
          <t>ROU-0294</t>
        </is>
      </c>
      <c r="D298" s="8" t="inlineStr">
        <is>
          <t>bloc distributeur CTIS</t>
        </is>
      </c>
      <c r="E298" s="8" t="inlineStr">
        <is>
          <t>Roues et pneus</t>
        </is>
      </c>
      <c r="F298" s="8" t="inlineStr">
        <is>
          <t>Roues et pneus</t>
        </is>
      </c>
      <c r="G298" s="8" t="inlineStr">
        <is>
          <t>PIECE_VEHICULE</t>
        </is>
      </c>
      <c r="H298" s="8" t="n">
        <v>1</v>
      </c>
      <c r="I298" s="8">
        <f>H298*$D$3</f>
        <v/>
      </c>
      <c r="J298" s="8" t="inlineStr">
        <is>
          <t>unité</t>
        </is>
      </c>
      <c r="K298" s="8" t="n">
        <v>0</v>
      </c>
      <c r="L298" s="8">
        <f>K298-I298</f>
        <v/>
      </c>
      <c r="M298" s="8">
        <f>IF(K298&lt;I298,"✕ INSUFFISANT",IF(K298&lt;I298*1.2,"⚠ STOCK FAIBLE","✓ COUVERT"))</f>
        <v/>
      </c>
      <c r="N298" s="8" t="inlineStr">
        <is>
          <t>VAL</t>
        </is>
      </c>
      <c r="O298" s="8" t="inlineStr">
        <is>
          <t>IMPORTANT</t>
        </is>
      </c>
      <c r="P298" s="8" t="inlineStr">
        <is>
          <t>31/08/2026 02:59</t>
        </is>
      </c>
    </row>
    <row r="299">
      <c r="A299" s="7" t="inlineStr">
        <is>
          <t>WHAP 8x8</t>
        </is>
      </c>
      <c r="B299" s="7" t="inlineStr">
        <is>
          <t>WHAP-0295</t>
        </is>
      </c>
      <c r="C299" s="7" t="inlineStr">
        <is>
          <t>PNE-0295</t>
        </is>
      </c>
      <c r="D299" s="7" t="inlineStr">
        <is>
          <t>compresseur d'air</t>
        </is>
      </c>
      <c r="E299" s="7" t="inlineStr">
        <is>
          <t>Pneumatique</t>
        </is>
      </c>
      <c r="F299" s="7" t="inlineStr">
        <is>
          <t>Pneumatique</t>
        </is>
      </c>
      <c r="G299" s="7" t="inlineStr">
        <is>
          <t>PIECE_VEHICULE</t>
        </is>
      </c>
      <c r="H299" s="7" t="n">
        <v>1</v>
      </c>
      <c r="I299" s="7">
        <f>H299*$D$3</f>
        <v/>
      </c>
      <c r="J299" s="7" t="inlineStr">
        <is>
          <t>unité</t>
        </is>
      </c>
      <c r="K299" s="7" t="n">
        <v>0</v>
      </c>
      <c r="L299" s="7">
        <f>K299-I299</f>
        <v/>
      </c>
      <c r="M299" s="7">
        <f>IF(K299&lt;I299,"✕ INSUFFISANT",IF(K299&lt;I299*1.2,"⚠ STOCK FAIBLE","✓ COUVERT"))</f>
        <v/>
      </c>
      <c r="N299" s="7" t="inlineStr">
        <is>
          <t>BOS</t>
        </is>
      </c>
      <c r="O299" s="7" t="inlineStr">
        <is>
          <t>STANDARD</t>
        </is>
      </c>
      <c r="P299" s="7" t="inlineStr">
        <is>
          <t>31/08/2026 02:59</t>
        </is>
      </c>
    </row>
    <row r="300">
      <c r="A300" s="8" t="inlineStr">
        <is>
          <t>WHAP 8x8</t>
        </is>
      </c>
      <c r="B300" s="8" t="inlineStr">
        <is>
          <t>WHAP-0296</t>
        </is>
      </c>
      <c r="C300" s="8" t="inlineStr">
        <is>
          <t>PNE-0296</t>
        </is>
      </c>
      <c r="D300" s="8" t="inlineStr">
        <is>
          <t>sécheur d'air</t>
        </is>
      </c>
      <c r="E300" s="8" t="inlineStr">
        <is>
          <t>Pneumatique</t>
        </is>
      </c>
      <c r="F300" s="8" t="inlineStr">
        <is>
          <t>Pneumatique</t>
        </is>
      </c>
      <c r="G300" s="8" t="inlineStr">
        <is>
          <t>PIECE_VEHICULE</t>
        </is>
      </c>
      <c r="H300" s="8" t="n">
        <v>1</v>
      </c>
      <c r="I300" s="8">
        <f>H300*$D$3</f>
        <v/>
      </c>
      <c r="J300" s="8" t="inlineStr">
        <is>
          <t>unité</t>
        </is>
      </c>
      <c r="K300" s="8" t="n">
        <v>660</v>
      </c>
      <c r="L300" s="8">
        <f>K300-I300</f>
        <v/>
      </c>
      <c r="M300" s="8">
        <f>IF(K300&lt;I300,"✕ INSUFFISANT",IF(K300&lt;I300*1.2,"⚠ STOCK FAIBLE","✓ COUVERT"))</f>
        <v/>
      </c>
      <c r="N300" s="8" t="inlineStr">
        <is>
          <t>DEL</t>
        </is>
      </c>
      <c r="O300" s="8" t="inlineStr">
        <is>
          <t>STANDARD</t>
        </is>
      </c>
      <c r="P300" s="8" t="inlineStr">
        <is>
          <t>31/08/2026 02:59</t>
        </is>
      </c>
    </row>
    <row r="301">
      <c r="A301" s="7" t="inlineStr">
        <is>
          <t>WHAP 8x8</t>
        </is>
      </c>
      <c r="B301" s="7" t="inlineStr">
        <is>
          <t>WHAP-0297</t>
        </is>
      </c>
      <c r="C301" s="7" t="inlineStr">
        <is>
          <t>PNE-0297</t>
        </is>
      </c>
      <c r="D301" s="7" t="inlineStr">
        <is>
          <t>cartouche dessiccante</t>
        </is>
      </c>
      <c r="E301" s="7" t="inlineStr">
        <is>
          <t>Pneumatique</t>
        </is>
      </c>
      <c r="F301" s="7" t="inlineStr">
        <is>
          <t>Pneumatique</t>
        </is>
      </c>
      <c r="G301" s="7" t="inlineStr">
        <is>
          <t>PIECE_VEHICULE</t>
        </is>
      </c>
      <c r="H301" s="7" t="n">
        <v>1</v>
      </c>
      <c r="I301" s="7">
        <f>H301*$D$3</f>
        <v/>
      </c>
      <c r="J301" s="7" t="inlineStr">
        <is>
          <t>unité</t>
        </is>
      </c>
      <c r="K301" s="7" t="n">
        <v>0</v>
      </c>
      <c r="L301" s="7">
        <f>K301-I301</f>
        <v/>
      </c>
      <c r="M301" s="7">
        <f>IF(K301&lt;I301,"✕ INSUFFISANT",IF(K301&lt;I301*1.2,"⚠ STOCK FAIBLE","✓ COUVERT"))</f>
        <v/>
      </c>
      <c r="N301" s="7" t="inlineStr">
        <is>
          <t>VAL</t>
        </is>
      </c>
      <c r="O301" s="7" t="inlineStr">
        <is>
          <t>STANDARD</t>
        </is>
      </c>
      <c r="P301" s="7" t="inlineStr">
        <is>
          <t>31/08/2026 02:59</t>
        </is>
      </c>
    </row>
    <row r="302">
      <c r="A302" s="8" t="inlineStr">
        <is>
          <t>WHAP 8x8</t>
        </is>
      </c>
      <c r="B302" s="8" t="inlineStr">
        <is>
          <t>WHAP-0298</t>
        </is>
      </c>
      <c r="C302" s="8" t="inlineStr">
        <is>
          <t>PNE-0298</t>
        </is>
      </c>
      <c r="D302" s="8" t="inlineStr">
        <is>
          <t>réservoir d'air</t>
        </is>
      </c>
      <c r="E302" s="8" t="inlineStr">
        <is>
          <t>Pneumatique</t>
        </is>
      </c>
      <c r="F302" s="8" t="inlineStr">
        <is>
          <t>Pneumatique</t>
        </is>
      </c>
      <c r="G302" s="8" t="inlineStr">
        <is>
          <t>PIECE_VEHICULE</t>
        </is>
      </c>
      <c r="H302" s="8" t="n">
        <v>1</v>
      </c>
      <c r="I302" s="8">
        <f>H302*$D$3</f>
        <v/>
      </c>
      <c r="J302" s="8" t="inlineStr">
        <is>
          <t>unité</t>
        </is>
      </c>
      <c r="K302" s="8" t="n">
        <v>0</v>
      </c>
      <c r="L302" s="8">
        <f>K302-I302</f>
        <v/>
      </c>
      <c r="M302" s="8">
        <f>IF(K302&lt;I302,"✕ INSUFFISANT",IF(K302&lt;I302*1.2,"⚠ STOCK FAIBLE","✓ COUVERT"))</f>
        <v/>
      </c>
      <c r="N302" s="8" t="inlineStr">
        <is>
          <t>FAU</t>
        </is>
      </c>
      <c r="O302" s="8" t="inlineStr">
        <is>
          <t>STANDARD</t>
        </is>
      </c>
      <c r="P302" s="8" t="inlineStr">
        <is>
          <t>31/08/2026 02:59</t>
        </is>
      </c>
    </row>
    <row r="303">
      <c r="A303" s="7" t="inlineStr">
        <is>
          <t>WHAP 8x8</t>
        </is>
      </c>
      <c r="B303" s="7" t="inlineStr">
        <is>
          <t>WHAP-0299</t>
        </is>
      </c>
      <c r="C303" s="7" t="inlineStr">
        <is>
          <t>PNE-0299</t>
        </is>
      </c>
      <c r="D303" s="7" t="inlineStr">
        <is>
          <t>valve de sécurité</t>
        </is>
      </c>
      <c r="E303" s="7" t="inlineStr">
        <is>
          <t>Pneumatique</t>
        </is>
      </c>
      <c r="F303" s="7" t="inlineStr">
        <is>
          <t>Pneumatique</t>
        </is>
      </c>
      <c r="G303" s="7" t="inlineStr">
        <is>
          <t>PIECE_VEHICULE</t>
        </is>
      </c>
      <c r="H303" s="7" t="n">
        <v>1</v>
      </c>
      <c r="I303" s="7">
        <f>H303*$D$3</f>
        <v/>
      </c>
      <c r="J303" s="7" t="inlineStr">
        <is>
          <t>unité</t>
        </is>
      </c>
      <c r="K303" s="7" t="n">
        <v>0</v>
      </c>
      <c r="L303" s="7">
        <f>K303-I303</f>
        <v/>
      </c>
      <c r="M303" s="7">
        <f>IF(K303&lt;I303,"✕ INSUFFISANT",IF(K303&lt;I303*1.2,"⚠ STOCK FAIBLE","✓ COUVERT"))</f>
        <v/>
      </c>
      <c r="N303" s="7" t="inlineStr">
        <is>
          <t>YZK</t>
        </is>
      </c>
      <c r="O303" s="7" t="inlineStr">
        <is>
          <t>STANDARD</t>
        </is>
      </c>
      <c r="P303" s="7" t="inlineStr">
        <is>
          <t>31/08/2026 02:59</t>
        </is>
      </c>
    </row>
    <row r="304">
      <c r="A304" s="8" t="inlineStr">
        <is>
          <t>WHAP 8x8</t>
        </is>
      </c>
      <c r="B304" s="8" t="inlineStr">
        <is>
          <t>WHAP-0300</t>
        </is>
      </c>
      <c r="C304" s="8" t="inlineStr">
        <is>
          <t>PNE-0300</t>
        </is>
      </c>
      <c r="D304" s="8" t="inlineStr">
        <is>
          <t>valve quatre voies</t>
        </is>
      </c>
      <c r="E304" s="8" t="inlineStr">
        <is>
          <t>Pneumatique</t>
        </is>
      </c>
      <c r="F304" s="8" t="inlineStr">
        <is>
          <t>Pneumatique</t>
        </is>
      </c>
      <c r="G304" s="8" t="inlineStr">
        <is>
          <t>PIECE_VEHICULE</t>
        </is>
      </c>
      <c r="H304" s="8" t="n">
        <v>1</v>
      </c>
      <c r="I304" s="8">
        <f>H304*$D$3</f>
        <v/>
      </c>
      <c r="J304" s="8" t="inlineStr">
        <is>
          <t>unité</t>
        </is>
      </c>
      <c r="K304" s="8" t="n">
        <v>0</v>
      </c>
      <c r="L304" s="8">
        <f>K304-I304</f>
        <v/>
      </c>
      <c r="M304" s="8">
        <f>IF(K304&lt;I304,"✕ INSUFFISANT",IF(K304&lt;I304*1.2,"⚠ STOCK FAIBLE","✓ COUVERT"))</f>
        <v/>
      </c>
      <c r="N304" s="8" t="inlineStr">
        <is>
          <t>DEL</t>
        </is>
      </c>
      <c r="O304" s="8" t="inlineStr">
        <is>
          <t>STANDARD</t>
        </is>
      </c>
      <c r="P304" s="8" t="inlineStr">
        <is>
          <t>31/08/2026 02:59</t>
        </is>
      </c>
    </row>
    <row r="305">
      <c r="A305" s="7" t="inlineStr">
        <is>
          <t>WHAP 8x8</t>
        </is>
      </c>
      <c r="B305" s="7" t="inlineStr">
        <is>
          <t>WHAP-0301</t>
        </is>
      </c>
      <c r="C305" s="7" t="inlineStr">
        <is>
          <t>PNE-0301</t>
        </is>
      </c>
      <c r="D305" s="7" t="inlineStr">
        <is>
          <t>valve de protection</t>
        </is>
      </c>
      <c r="E305" s="7" t="inlineStr">
        <is>
          <t>Pneumatique</t>
        </is>
      </c>
      <c r="F305" s="7" t="inlineStr">
        <is>
          <t>Pneumatique</t>
        </is>
      </c>
      <c r="G305" s="7" t="inlineStr">
        <is>
          <t>PIECE_VEHICULE</t>
        </is>
      </c>
      <c r="H305" s="7" t="n">
        <v>1</v>
      </c>
      <c r="I305" s="7">
        <f>H305*$D$3</f>
        <v/>
      </c>
      <c r="J305" s="7" t="inlineStr">
        <is>
          <t>unité</t>
        </is>
      </c>
      <c r="K305" s="7" t="n">
        <v>0</v>
      </c>
      <c r="L305" s="7">
        <f>K305-I305</f>
        <v/>
      </c>
      <c r="M305" s="7">
        <f>IF(K305&lt;I305,"✕ INSUFFISANT",IF(K305&lt;I305*1.2,"⚠ STOCK FAIBLE","✓ COUVERT"))</f>
        <v/>
      </c>
      <c r="N305" s="7" t="inlineStr">
        <is>
          <t>BOS</t>
        </is>
      </c>
      <c r="O305" s="7" t="inlineStr">
        <is>
          <t>STANDARD</t>
        </is>
      </c>
      <c r="P305" s="7" t="inlineStr">
        <is>
          <t>31/08/2026 02:59</t>
        </is>
      </c>
    </row>
    <row r="306">
      <c r="A306" s="8" t="inlineStr">
        <is>
          <t>WHAP 8x8</t>
        </is>
      </c>
      <c r="B306" s="8" t="inlineStr">
        <is>
          <t>WHAP-0302</t>
        </is>
      </c>
      <c r="C306" s="8" t="inlineStr">
        <is>
          <t>PNE-0302</t>
        </is>
      </c>
      <c r="D306" s="8" t="inlineStr">
        <is>
          <t>régulateur de pression</t>
        </is>
      </c>
      <c r="E306" s="8" t="inlineStr">
        <is>
          <t>Pneumatique</t>
        </is>
      </c>
      <c r="F306" s="8" t="inlineStr">
        <is>
          <t>Pneumatique</t>
        </is>
      </c>
      <c r="G306" s="8" t="inlineStr">
        <is>
          <t>PIECE_VEHICULE</t>
        </is>
      </c>
      <c r="H306" s="8" t="n">
        <v>1</v>
      </c>
      <c r="I306" s="8">
        <f>H306*$D$3</f>
        <v/>
      </c>
      <c r="J306" s="8" t="inlineStr">
        <is>
          <t>unité</t>
        </is>
      </c>
      <c r="K306" s="8" t="n">
        <v>0</v>
      </c>
      <c r="L306" s="8">
        <f>K306-I306</f>
        <v/>
      </c>
      <c r="M306" s="8">
        <f>IF(K306&lt;I306,"✕ INSUFFISANT",IF(K306&lt;I306*1.2,"⚠ STOCK FAIBLE","✓ COUVERT"))</f>
        <v/>
      </c>
      <c r="N306" s="8" t="inlineStr">
        <is>
          <t>DEL</t>
        </is>
      </c>
      <c r="O306" s="8" t="inlineStr">
        <is>
          <t>STANDARD</t>
        </is>
      </c>
      <c r="P306" s="8" t="inlineStr">
        <is>
          <t>31/08/2026 02:59</t>
        </is>
      </c>
    </row>
    <row r="307">
      <c r="A307" s="7" t="inlineStr">
        <is>
          <t>WHAP 8x8</t>
        </is>
      </c>
      <c r="B307" s="7" t="inlineStr">
        <is>
          <t>WHAP-0303</t>
        </is>
      </c>
      <c r="C307" s="7" t="inlineStr">
        <is>
          <t>PNE-0303</t>
        </is>
      </c>
      <c r="D307" s="7" t="inlineStr">
        <is>
          <t>manomètre</t>
        </is>
      </c>
      <c r="E307" s="7" t="inlineStr">
        <is>
          <t>Pneumatique</t>
        </is>
      </c>
      <c r="F307" s="7" t="inlineStr">
        <is>
          <t>Pneumatique</t>
        </is>
      </c>
      <c r="G307" s="7" t="inlineStr">
        <is>
          <t>PIECE_VEHICULE</t>
        </is>
      </c>
      <c r="H307" s="7" t="n">
        <v>1</v>
      </c>
      <c r="I307" s="7">
        <f>H307*$D$3</f>
        <v/>
      </c>
      <c r="J307" s="7" t="inlineStr">
        <is>
          <t>unité</t>
        </is>
      </c>
      <c r="K307" s="7" t="n">
        <v>0</v>
      </c>
      <c r="L307" s="7">
        <f>K307-I307</f>
        <v/>
      </c>
      <c r="M307" s="7">
        <f>IF(K307&lt;I307,"✕ INSUFFISANT",IF(K307&lt;I307*1.2,"⚠ STOCK FAIBLE","✓ COUVERT"))</f>
        <v/>
      </c>
      <c r="N307" s="7" t="inlineStr">
        <is>
          <t>YZK</t>
        </is>
      </c>
      <c r="O307" s="7" t="inlineStr">
        <is>
          <t>STANDARD</t>
        </is>
      </c>
      <c r="P307" s="7" t="inlineStr">
        <is>
          <t>31/08/2026 02:59</t>
        </is>
      </c>
    </row>
    <row r="308">
      <c r="A308" s="8" t="inlineStr">
        <is>
          <t>WHAP 8x8</t>
        </is>
      </c>
      <c r="B308" s="8" t="inlineStr">
        <is>
          <t>WHAP-0304</t>
        </is>
      </c>
      <c r="C308" s="8" t="inlineStr">
        <is>
          <t>PNE-0304</t>
        </is>
      </c>
      <c r="D308" s="8" t="inlineStr">
        <is>
          <t>pressostat</t>
        </is>
      </c>
      <c r="E308" s="8" t="inlineStr">
        <is>
          <t>Pneumatique</t>
        </is>
      </c>
      <c r="F308" s="8" t="inlineStr">
        <is>
          <t>Pneumatique</t>
        </is>
      </c>
      <c r="G308" s="8" t="inlineStr">
        <is>
          <t>PIECE_VEHICULE</t>
        </is>
      </c>
      <c r="H308" s="8" t="n">
        <v>1</v>
      </c>
      <c r="I308" s="8">
        <f>H308*$D$3</f>
        <v/>
      </c>
      <c r="J308" s="8" t="inlineStr">
        <is>
          <t>unité</t>
        </is>
      </c>
      <c r="K308" s="8" t="n">
        <v>0</v>
      </c>
      <c r="L308" s="8">
        <f>K308-I308</f>
        <v/>
      </c>
      <c r="M308" s="8">
        <f>IF(K308&lt;I308,"✕ INSUFFISANT",IF(K308&lt;I308*1.2,"⚠ STOCK FAIBLE","✓ COUVERT"))</f>
        <v/>
      </c>
      <c r="N308" s="8" t="inlineStr">
        <is>
          <t>YZK</t>
        </is>
      </c>
      <c r="O308" s="8" t="inlineStr">
        <is>
          <t>STANDARD</t>
        </is>
      </c>
      <c r="P308" s="8" t="inlineStr">
        <is>
          <t>31/08/2026 02:59</t>
        </is>
      </c>
    </row>
    <row r="309">
      <c r="A309" s="7" t="inlineStr">
        <is>
          <t>WHAP 8x8</t>
        </is>
      </c>
      <c r="B309" s="7" t="inlineStr">
        <is>
          <t>WHAP-0305</t>
        </is>
      </c>
      <c r="C309" s="7" t="inlineStr">
        <is>
          <t>PNE-0305</t>
        </is>
      </c>
      <c r="D309" s="7" t="inlineStr">
        <is>
          <t>électrovanne</t>
        </is>
      </c>
      <c r="E309" s="7" t="inlineStr">
        <is>
          <t>Pneumatique</t>
        </is>
      </c>
      <c r="F309" s="7" t="inlineStr">
        <is>
          <t>Pneumatique</t>
        </is>
      </c>
      <c r="G309" s="7" t="inlineStr">
        <is>
          <t>PIECE_VEHICULE</t>
        </is>
      </c>
      <c r="H309" s="7" t="n">
        <v>1</v>
      </c>
      <c r="I309" s="7">
        <f>H309*$D$3</f>
        <v/>
      </c>
      <c r="J309" s="7" t="inlineStr">
        <is>
          <t>unité</t>
        </is>
      </c>
      <c r="K309" s="7" t="n">
        <v>0</v>
      </c>
      <c r="L309" s="7">
        <f>K309-I309</f>
        <v/>
      </c>
      <c r="M309" s="7">
        <f>IF(K309&lt;I309,"✕ INSUFFISANT",IF(K309&lt;I309*1.2,"⚠ STOCK FAIBLE","✓ COUVERT"))</f>
        <v/>
      </c>
      <c r="N309" s="7" t="inlineStr">
        <is>
          <t>YZK</t>
        </is>
      </c>
      <c r="O309" s="7" t="inlineStr">
        <is>
          <t>STANDARD</t>
        </is>
      </c>
      <c r="P309" s="7" t="inlineStr">
        <is>
          <t>31/08/2026 02:59</t>
        </is>
      </c>
    </row>
    <row r="310">
      <c r="A310" s="8" t="inlineStr">
        <is>
          <t>WHAP 8x8</t>
        </is>
      </c>
      <c r="B310" s="8" t="inlineStr">
        <is>
          <t>WHAP-0306</t>
        </is>
      </c>
      <c r="C310" s="8" t="inlineStr">
        <is>
          <t>PNE-0306</t>
        </is>
      </c>
      <c r="D310" s="8" t="inlineStr">
        <is>
          <t>flexible pneumatique</t>
        </is>
      </c>
      <c r="E310" s="8" t="inlineStr">
        <is>
          <t>Pneumatique</t>
        </is>
      </c>
      <c r="F310" s="8" t="inlineStr">
        <is>
          <t>Pneumatique</t>
        </is>
      </c>
      <c r="G310" s="8" t="inlineStr">
        <is>
          <t>PIECE_VEHICULE</t>
        </is>
      </c>
      <c r="H310" s="8" t="n">
        <v>1</v>
      </c>
      <c r="I310" s="8">
        <f>H310*$D$3</f>
        <v/>
      </c>
      <c r="J310" s="8" t="inlineStr">
        <is>
          <t>unité</t>
        </is>
      </c>
      <c r="K310" s="8" t="n">
        <v>0</v>
      </c>
      <c r="L310" s="8">
        <f>K310-I310</f>
        <v/>
      </c>
      <c r="M310" s="8">
        <f>IF(K310&lt;I310,"✕ INSUFFISANT",IF(K310&lt;I310*1.2,"⚠ STOCK FAIBLE","✓ COUVERT"))</f>
        <v/>
      </c>
      <c r="N310" s="8" t="inlineStr">
        <is>
          <t>VAL</t>
        </is>
      </c>
      <c r="O310" s="8" t="inlineStr">
        <is>
          <t>STANDARD</t>
        </is>
      </c>
      <c r="P310" s="8" t="inlineStr">
        <is>
          <t>31/08/2026 02:59</t>
        </is>
      </c>
    </row>
    <row r="311">
      <c r="A311" s="7" t="inlineStr">
        <is>
          <t>WHAP 8x8</t>
        </is>
      </c>
      <c r="B311" s="7" t="inlineStr">
        <is>
          <t>WHAP-0307</t>
        </is>
      </c>
      <c r="C311" s="7" t="inlineStr">
        <is>
          <t>PNE-0307</t>
        </is>
      </c>
      <c r="D311" s="7" t="inlineStr">
        <is>
          <t>tube pneumatique</t>
        </is>
      </c>
      <c r="E311" s="7" t="inlineStr">
        <is>
          <t>Pneumatique</t>
        </is>
      </c>
      <c r="F311" s="7" t="inlineStr">
        <is>
          <t>Pneumatique</t>
        </is>
      </c>
      <c r="G311" s="7" t="inlineStr">
        <is>
          <t>PIECE_VEHICULE</t>
        </is>
      </c>
      <c r="H311" s="7" t="n">
        <v>1</v>
      </c>
      <c r="I311" s="7">
        <f>H311*$D$3</f>
        <v/>
      </c>
      <c r="J311" s="7" t="inlineStr">
        <is>
          <t>unité</t>
        </is>
      </c>
      <c r="K311" s="7" t="n">
        <v>0</v>
      </c>
      <c r="L311" s="7">
        <f>K311-I311</f>
        <v/>
      </c>
      <c r="M311" s="7">
        <f>IF(K311&lt;I311,"✕ INSUFFISANT",IF(K311&lt;I311*1.2,"⚠ STOCK FAIBLE","✓ COUVERT"))</f>
        <v/>
      </c>
      <c r="N311" s="7" t="inlineStr">
        <is>
          <t>YZK</t>
        </is>
      </c>
      <c r="O311" s="7" t="inlineStr">
        <is>
          <t>STANDARD</t>
        </is>
      </c>
      <c r="P311" s="7" t="inlineStr">
        <is>
          <t>31/08/2026 02:59</t>
        </is>
      </c>
    </row>
    <row r="312">
      <c r="A312" s="8" t="inlineStr">
        <is>
          <t>WHAP 8x8</t>
        </is>
      </c>
      <c r="B312" s="8" t="inlineStr">
        <is>
          <t>WHAP-0308</t>
        </is>
      </c>
      <c r="C312" s="8" t="inlineStr">
        <is>
          <t>PNE-0308</t>
        </is>
      </c>
      <c r="D312" s="8" t="inlineStr">
        <is>
          <t>raccord rapide</t>
        </is>
      </c>
      <c r="E312" s="8" t="inlineStr">
        <is>
          <t>Pneumatique</t>
        </is>
      </c>
      <c r="F312" s="8" t="inlineStr">
        <is>
          <t>Pneumatique</t>
        </is>
      </c>
      <c r="G312" s="8" t="inlineStr">
        <is>
          <t>PIECE_VEHICULE</t>
        </is>
      </c>
      <c r="H312" s="8" t="n">
        <v>1</v>
      </c>
      <c r="I312" s="8">
        <f>H312*$D$3</f>
        <v/>
      </c>
      <c r="J312" s="8" t="inlineStr">
        <is>
          <t>unité</t>
        </is>
      </c>
      <c r="K312" s="8" t="n">
        <v>0</v>
      </c>
      <c r="L312" s="8">
        <f>K312-I312</f>
        <v/>
      </c>
      <c r="M312" s="8">
        <f>IF(K312&lt;I312,"✕ INSUFFISANT",IF(K312&lt;I312*1.2,"⚠ STOCK FAIBLE","✓ COUVERT"))</f>
        <v/>
      </c>
      <c r="N312" s="8" t="inlineStr">
        <is>
          <t>HEL</t>
        </is>
      </c>
      <c r="O312" s="8" t="inlineStr">
        <is>
          <t>STANDARD</t>
        </is>
      </c>
      <c r="P312" s="8" t="inlineStr">
        <is>
          <t>31/08/2026 02:59</t>
        </is>
      </c>
    </row>
    <row r="313">
      <c r="A313" s="7" t="inlineStr">
        <is>
          <t>WHAP 8x8</t>
        </is>
      </c>
      <c r="B313" s="7" t="inlineStr">
        <is>
          <t>WHAP-0309</t>
        </is>
      </c>
      <c r="C313" s="7" t="inlineStr">
        <is>
          <t>PNE-0309</t>
        </is>
      </c>
      <c r="D313" s="7" t="inlineStr">
        <is>
          <t>coude pneumatique</t>
        </is>
      </c>
      <c r="E313" s="7" t="inlineStr">
        <is>
          <t>Pneumatique</t>
        </is>
      </c>
      <c r="F313" s="7" t="inlineStr">
        <is>
          <t>Pneumatique</t>
        </is>
      </c>
      <c r="G313" s="7" t="inlineStr">
        <is>
          <t>PIECE_VEHICULE</t>
        </is>
      </c>
      <c r="H313" s="7" t="n">
        <v>1</v>
      </c>
      <c r="I313" s="7">
        <f>H313*$D$3</f>
        <v/>
      </c>
      <c r="J313" s="7" t="inlineStr">
        <is>
          <t>unité</t>
        </is>
      </c>
      <c r="K313" s="7" t="n">
        <v>0</v>
      </c>
      <c r="L313" s="7">
        <f>K313-I313</f>
        <v/>
      </c>
      <c r="M313" s="7">
        <f>IF(K313&lt;I313,"✕ INSUFFISANT",IF(K313&lt;I313*1.2,"⚠ STOCK FAIBLE","✓ COUVERT"))</f>
        <v/>
      </c>
      <c r="N313" s="7" t="inlineStr">
        <is>
          <t>SKF</t>
        </is>
      </c>
      <c r="O313" s="7" t="inlineStr">
        <is>
          <t>STANDARD</t>
        </is>
      </c>
      <c r="P313" s="7" t="inlineStr">
        <is>
          <t>31/08/2026 02:59</t>
        </is>
      </c>
    </row>
    <row r="314">
      <c r="A314" s="8" t="inlineStr">
        <is>
          <t>WHAP 8x8</t>
        </is>
      </c>
      <c r="B314" s="8" t="inlineStr">
        <is>
          <t>WHAP-0310</t>
        </is>
      </c>
      <c r="C314" s="8" t="inlineStr">
        <is>
          <t>PNE-0310</t>
        </is>
      </c>
      <c r="D314" s="8" t="inlineStr">
        <is>
          <t>té pneumatique</t>
        </is>
      </c>
      <c r="E314" s="8" t="inlineStr">
        <is>
          <t>Pneumatique</t>
        </is>
      </c>
      <c r="F314" s="8" t="inlineStr">
        <is>
          <t>Pneumatique</t>
        </is>
      </c>
      <c r="G314" s="8" t="inlineStr">
        <is>
          <t>PIECE_VEHICULE</t>
        </is>
      </c>
      <c r="H314" s="8" t="n">
        <v>1</v>
      </c>
      <c r="I314" s="8">
        <f>H314*$D$3</f>
        <v/>
      </c>
      <c r="J314" s="8" t="inlineStr">
        <is>
          <t>unité</t>
        </is>
      </c>
      <c r="K314" s="8" t="n">
        <v>0</v>
      </c>
      <c r="L314" s="8">
        <f>K314-I314</f>
        <v/>
      </c>
      <c r="M314" s="8">
        <f>IF(K314&lt;I314,"✕ INSUFFISANT",IF(K314&lt;I314*1.2,"⚠ STOCK FAIBLE","✓ COUVERT"))</f>
        <v/>
      </c>
      <c r="N314" s="8" t="inlineStr">
        <is>
          <t>SUM</t>
        </is>
      </c>
      <c r="O314" s="8" t="inlineStr">
        <is>
          <t>STANDARD</t>
        </is>
      </c>
      <c r="P314" s="8" t="inlineStr">
        <is>
          <t>31/08/2026 02:59</t>
        </is>
      </c>
    </row>
    <row r="315">
      <c r="A315" s="7" t="inlineStr">
        <is>
          <t>WHAP 8x8</t>
        </is>
      </c>
      <c r="B315" s="7" t="inlineStr">
        <is>
          <t>WHAP-0311</t>
        </is>
      </c>
      <c r="C315" s="7" t="inlineStr">
        <is>
          <t>PNE-0311</t>
        </is>
      </c>
      <c r="D315" s="7" t="inlineStr">
        <is>
          <t>clapet anti-retour</t>
        </is>
      </c>
      <c r="E315" s="7" t="inlineStr">
        <is>
          <t>Pneumatique</t>
        </is>
      </c>
      <c r="F315" s="7" t="inlineStr">
        <is>
          <t>Pneumatique</t>
        </is>
      </c>
      <c r="G315" s="7" t="inlineStr">
        <is>
          <t>PIECE_VEHICULE</t>
        </is>
      </c>
      <c r="H315" s="7" t="n">
        <v>1</v>
      </c>
      <c r="I315" s="7">
        <f>H315*$D$3</f>
        <v/>
      </c>
      <c r="J315" s="7" t="inlineStr">
        <is>
          <t>unité</t>
        </is>
      </c>
      <c r="K315" s="7" t="n">
        <v>0</v>
      </c>
      <c r="L315" s="7">
        <f>K315-I315</f>
        <v/>
      </c>
      <c r="M315" s="7">
        <f>IF(K315&lt;I315,"✕ INSUFFISANT",IF(K315&lt;I315*1.2,"⚠ STOCK FAIBLE","✓ COUVERT"))</f>
        <v/>
      </c>
      <c r="N315" s="7" t="inlineStr">
        <is>
          <t>FAU</t>
        </is>
      </c>
      <c r="O315" s="7" t="inlineStr">
        <is>
          <t>STANDARD</t>
        </is>
      </c>
      <c r="P315" s="7" t="inlineStr">
        <is>
          <t>31/08/2026 02:59</t>
        </is>
      </c>
    </row>
    <row r="316">
      <c r="A316" s="8" t="inlineStr">
        <is>
          <t>WHAP 8x8</t>
        </is>
      </c>
      <c r="B316" s="8" t="inlineStr">
        <is>
          <t>WHAP-0312</t>
        </is>
      </c>
      <c r="C316" s="8" t="inlineStr">
        <is>
          <t>PNE-0312</t>
        </is>
      </c>
      <c r="D316" s="8" t="inlineStr">
        <is>
          <t>silencieux pneumatique</t>
        </is>
      </c>
      <c r="E316" s="8" t="inlineStr">
        <is>
          <t>Pneumatique</t>
        </is>
      </c>
      <c r="F316" s="8" t="inlineStr">
        <is>
          <t>Pneumatique</t>
        </is>
      </c>
      <c r="G316" s="8" t="inlineStr">
        <is>
          <t>PIECE_VEHICULE</t>
        </is>
      </c>
      <c r="H316" s="8" t="n">
        <v>1</v>
      </c>
      <c r="I316" s="8">
        <f>H316*$D$3</f>
        <v/>
      </c>
      <c r="J316" s="8" t="inlineStr">
        <is>
          <t>unité</t>
        </is>
      </c>
      <c r="K316" s="8" t="n">
        <v>0</v>
      </c>
      <c r="L316" s="8">
        <f>K316-I316</f>
        <v/>
      </c>
      <c r="M316" s="8">
        <f>IF(K316&lt;I316,"✕ INSUFFISANT",IF(K316&lt;I316*1.2,"⚠ STOCK FAIBLE","✓ COUVERT"))</f>
        <v/>
      </c>
      <c r="N316" s="8" t="inlineStr">
        <is>
          <t>MAG</t>
        </is>
      </c>
      <c r="O316" s="8" t="inlineStr">
        <is>
          <t>STANDARD</t>
        </is>
      </c>
      <c r="P316" s="8" t="inlineStr">
        <is>
          <t>31/08/2026 02:59</t>
        </is>
      </c>
    </row>
    <row r="317">
      <c r="A317" s="7" t="inlineStr">
        <is>
          <t>WHAP 8x8</t>
        </is>
      </c>
      <c r="B317" s="7" t="inlineStr">
        <is>
          <t>WHAP-0313</t>
        </is>
      </c>
      <c r="C317" s="7" t="inlineStr">
        <is>
          <t>PNE-0313</t>
        </is>
      </c>
      <c r="D317" s="7" t="inlineStr">
        <is>
          <t>filtre pneumatique</t>
        </is>
      </c>
      <c r="E317" s="7" t="inlineStr">
        <is>
          <t>Pneumatique</t>
        </is>
      </c>
      <c r="F317" s="7" t="inlineStr">
        <is>
          <t>Pneumatique</t>
        </is>
      </c>
      <c r="G317" s="7" t="inlineStr">
        <is>
          <t>PIECE_VEHICULE</t>
        </is>
      </c>
      <c r="H317" s="7" t="n">
        <v>1</v>
      </c>
      <c r="I317" s="7">
        <f>H317*$D$3</f>
        <v/>
      </c>
      <c r="J317" s="7" t="inlineStr">
        <is>
          <t>unité</t>
        </is>
      </c>
      <c r="K317" s="7" t="n">
        <v>0</v>
      </c>
      <c r="L317" s="7">
        <f>K317-I317</f>
        <v/>
      </c>
      <c r="M317" s="7">
        <f>IF(K317&lt;I317,"✕ INSUFFISANT",IF(K317&lt;I317*1.2,"⚠ STOCK FAIBLE","✓ COUVERT"))</f>
        <v/>
      </c>
      <c r="N317" s="7" t="inlineStr">
        <is>
          <t>HEL</t>
        </is>
      </c>
      <c r="O317" s="7" t="inlineStr">
        <is>
          <t>STANDARD</t>
        </is>
      </c>
      <c r="P317" s="7" t="inlineStr">
        <is>
          <t>31/08/2026 02:59</t>
        </is>
      </c>
    </row>
    <row r="318">
      <c r="A318" s="8" t="inlineStr">
        <is>
          <t>WHAP 8x8</t>
        </is>
      </c>
      <c r="B318" s="8" t="inlineStr">
        <is>
          <t>WHAP-0314</t>
        </is>
      </c>
      <c r="C318" s="8" t="inlineStr">
        <is>
          <t>PNE-0314</t>
        </is>
      </c>
      <c r="D318" s="8" t="inlineStr">
        <is>
          <t>purgeur automatique</t>
        </is>
      </c>
      <c r="E318" s="8" t="inlineStr">
        <is>
          <t>Pneumatique</t>
        </is>
      </c>
      <c r="F318" s="8" t="inlineStr">
        <is>
          <t>Pneumatique</t>
        </is>
      </c>
      <c r="G318" s="8" t="inlineStr">
        <is>
          <t>PIECE_VEHICULE</t>
        </is>
      </c>
      <c r="H318" s="8" t="n">
        <v>1</v>
      </c>
      <c r="I318" s="8">
        <f>H318*$D$3</f>
        <v/>
      </c>
      <c r="J318" s="8" t="inlineStr">
        <is>
          <t>unité</t>
        </is>
      </c>
      <c r="K318" s="8" t="n">
        <v>0</v>
      </c>
      <c r="L318" s="8">
        <f>K318-I318</f>
        <v/>
      </c>
      <c r="M318" s="8">
        <f>IF(K318&lt;I318,"✕ INSUFFISANT",IF(K318&lt;I318*1.2,"⚠ STOCK FAIBLE","✓ COUVERT"))</f>
        <v/>
      </c>
      <c r="N318" s="8" t="inlineStr">
        <is>
          <t>SKF</t>
        </is>
      </c>
      <c r="O318" s="8" t="inlineStr">
        <is>
          <t>STANDARD</t>
        </is>
      </c>
      <c r="P318" s="8" t="inlineStr">
        <is>
          <t>31/08/2026 02:59</t>
        </is>
      </c>
    </row>
    <row r="319">
      <c r="A319" s="7" t="inlineStr">
        <is>
          <t>WHAP 8x8</t>
        </is>
      </c>
      <c r="B319" s="7" t="inlineStr">
        <is>
          <t>WHAP-0315</t>
        </is>
      </c>
      <c r="C319" s="7" t="inlineStr">
        <is>
          <t>HYD-0315</t>
        </is>
      </c>
      <c r="D319" s="7" t="inlineStr">
        <is>
          <t>pompe hydraulique</t>
        </is>
      </c>
      <c r="E319" s="7" t="inlineStr">
        <is>
          <t>Hydraulique</t>
        </is>
      </c>
      <c r="F319" s="7" t="inlineStr">
        <is>
          <t>Hydraulique</t>
        </is>
      </c>
      <c r="G319" s="7" t="inlineStr">
        <is>
          <t>PIECE_VEHICULE</t>
        </is>
      </c>
      <c r="H319" s="7" t="n">
        <v>1</v>
      </c>
      <c r="I319" s="7">
        <f>H319*$D$3</f>
        <v/>
      </c>
      <c r="J319" s="7" t="inlineStr">
        <is>
          <t>unité</t>
        </is>
      </c>
      <c r="K319" s="7" t="n">
        <v>1690</v>
      </c>
      <c r="L319" s="7">
        <f>K319-I319</f>
        <v/>
      </c>
      <c r="M319" s="7">
        <f>IF(K319&lt;I319,"✕ INSUFFISANT",IF(K319&lt;I319*1.2,"⚠ STOCK FAIBLE","✓ COUVERT"))</f>
        <v/>
      </c>
      <c r="N319" s="7" t="inlineStr">
        <is>
          <t>FAU</t>
        </is>
      </c>
      <c r="O319" s="7" t="inlineStr">
        <is>
          <t>IMPORTANT</t>
        </is>
      </c>
      <c r="P319" s="7" t="inlineStr">
        <is>
          <t>31/08/2026 02:59</t>
        </is>
      </c>
    </row>
    <row r="320">
      <c r="A320" s="8" t="inlineStr">
        <is>
          <t>WHAP 8x8</t>
        </is>
      </c>
      <c r="B320" s="8" t="inlineStr">
        <is>
          <t>WHAP-0316</t>
        </is>
      </c>
      <c r="C320" s="8" t="inlineStr">
        <is>
          <t>HYD-0316</t>
        </is>
      </c>
      <c r="D320" s="8" t="inlineStr">
        <is>
          <t>réservoir hydraulique</t>
        </is>
      </c>
      <c r="E320" s="8" t="inlineStr">
        <is>
          <t>Hydraulique</t>
        </is>
      </c>
      <c r="F320" s="8" t="inlineStr">
        <is>
          <t>Hydraulique</t>
        </is>
      </c>
      <c r="G320" s="8" t="inlineStr">
        <is>
          <t>PIECE_VEHICULE</t>
        </is>
      </c>
      <c r="H320" s="8" t="n">
        <v>1</v>
      </c>
      <c r="I320" s="8">
        <f>H320*$D$3</f>
        <v/>
      </c>
      <c r="J320" s="8" t="inlineStr">
        <is>
          <t>unité</t>
        </is>
      </c>
      <c r="K320" s="8" t="n">
        <v>1140</v>
      </c>
      <c r="L320" s="8">
        <f>K320-I320</f>
        <v/>
      </c>
      <c r="M320" s="8">
        <f>IF(K320&lt;I320,"✕ INSUFFISANT",IF(K320&lt;I320*1.2,"⚠ STOCK FAIBLE","✓ COUVERT"))</f>
        <v/>
      </c>
      <c r="N320" s="8" t="inlineStr">
        <is>
          <t>HEL</t>
        </is>
      </c>
      <c r="O320" s="8" t="inlineStr">
        <is>
          <t>IMPORTANT</t>
        </is>
      </c>
      <c r="P320" s="8" t="inlineStr">
        <is>
          <t>31/08/2026 02:59</t>
        </is>
      </c>
    </row>
    <row r="321">
      <c r="A321" s="7" t="inlineStr">
        <is>
          <t>WHAP 8x8</t>
        </is>
      </c>
      <c r="B321" s="7" t="inlineStr">
        <is>
          <t>WHAP-0317</t>
        </is>
      </c>
      <c r="C321" s="7" t="inlineStr">
        <is>
          <t>HYD-0317</t>
        </is>
      </c>
      <c r="D321" s="7" t="inlineStr">
        <is>
          <t>filtre hydraulique</t>
        </is>
      </c>
      <c r="E321" s="7" t="inlineStr">
        <is>
          <t>Hydraulique</t>
        </is>
      </c>
      <c r="F321" s="7" t="inlineStr">
        <is>
          <t>Hydraulique</t>
        </is>
      </c>
      <c r="G321" s="7" t="inlineStr">
        <is>
          <t>PIECE_VEHICULE</t>
        </is>
      </c>
      <c r="H321" s="7" t="n">
        <v>1</v>
      </c>
      <c r="I321" s="7">
        <f>H321*$D$3</f>
        <v/>
      </c>
      <c r="J321" s="7" t="inlineStr">
        <is>
          <t>unité</t>
        </is>
      </c>
      <c r="K321" s="7" t="n">
        <v>0</v>
      </c>
      <c r="L321" s="7">
        <f>K321-I321</f>
        <v/>
      </c>
      <c r="M321" s="7">
        <f>IF(K321&lt;I321,"✕ INSUFFISANT",IF(K321&lt;I321*1.2,"⚠ STOCK FAIBLE","✓ COUVERT"))</f>
        <v/>
      </c>
      <c r="N321" s="7" t="inlineStr">
        <is>
          <t>HEL</t>
        </is>
      </c>
      <c r="O321" s="7" t="inlineStr">
        <is>
          <t>IMPORTANT</t>
        </is>
      </c>
      <c r="P321" s="7" t="inlineStr">
        <is>
          <t>31/08/2026 02:59</t>
        </is>
      </c>
    </row>
    <row r="322">
      <c r="A322" s="8" t="inlineStr">
        <is>
          <t>WHAP 8x8</t>
        </is>
      </c>
      <c r="B322" s="8" t="inlineStr">
        <is>
          <t>WHAP-0318</t>
        </is>
      </c>
      <c r="C322" s="8" t="inlineStr">
        <is>
          <t>HYD-0318</t>
        </is>
      </c>
      <c r="D322" s="8" t="inlineStr">
        <is>
          <t>clapet anti-retour</t>
        </is>
      </c>
      <c r="E322" s="8" t="inlineStr">
        <is>
          <t>Hydraulique</t>
        </is>
      </c>
      <c r="F322" s="8" t="inlineStr">
        <is>
          <t>Hydraulique</t>
        </is>
      </c>
      <c r="G322" s="8" t="inlineStr">
        <is>
          <t>PIECE_VEHICULE</t>
        </is>
      </c>
      <c r="H322" s="8" t="n">
        <v>1</v>
      </c>
      <c r="I322" s="8">
        <f>H322*$D$3</f>
        <v/>
      </c>
      <c r="J322" s="8" t="inlineStr">
        <is>
          <t>unité</t>
        </is>
      </c>
      <c r="K322" s="8" t="n">
        <v>0</v>
      </c>
      <c r="L322" s="8">
        <f>K322-I322</f>
        <v/>
      </c>
      <c r="M322" s="8">
        <f>IF(K322&lt;I322,"✕ INSUFFISANT",IF(K322&lt;I322*1.2,"⚠ STOCK FAIBLE","✓ COUVERT"))</f>
        <v/>
      </c>
      <c r="N322" s="8" t="inlineStr">
        <is>
          <t>SKF</t>
        </is>
      </c>
      <c r="O322" s="8" t="inlineStr">
        <is>
          <t>IMPORTANT</t>
        </is>
      </c>
      <c r="P322" s="8" t="inlineStr">
        <is>
          <t>31/08/2026 02:59</t>
        </is>
      </c>
    </row>
    <row r="323">
      <c r="A323" s="7" t="inlineStr">
        <is>
          <t>WHAP 8x8</t>
        </is>
      </c>
      <c r="B323" s="7" t="inlineStr">
        <is>
          <t>WHAP-0319</t>
        </is>
      </c>
      <c r="C323" s="7" t="inlineStr">
        <is>
          <t>HYD-0319</t>
        </is>
      </c>
      <c r="D323" s="7" t="inlineStr">
        <is>
          <t>valve de priorité</t>
        </is>
      </c>
      <c r="E323" s="7" t="inlineStr">
        <is>
          <t>Hydraulique</t>
        </is>
      </c>
      <c r="F323" s="7" t="inlineStr">
        <is>
          <t>Hydraulique</t>
        </is>
      </c>
      <c r="G323" s="7" t="inlineStr">
        <is>
          <t>PIECE_VEHICULE</t>
        </is>
      </c>
      <c r="H323" s="7" t="n">
        <v>1</v>
      </c>
      <c r="I323" s="7">
        <f>H323*$D$3</f>
        <v/>
      </c>
      <c r="J323" s="7" t="inlineStr">
        <is>
          <t>unité</t>
        </is>
      </c>
      <c r="K323" s="7" t="n">
        <v>0</v>
      </c>
      <c r="L323" s="7">
        <f>K323-I323</f>
        <v/>
      </c>
      <c r="M323" s="7">
        <f>IF(K323&lt;I323,"✕ INSUFFISANT",IF(K323&lt;I323*1.2,"⚠ STOCK FAIBLE","✓ COUVERT"))</f>
        <v/>
      </c>
      <c r="N323" s="7" t="inlineStr">
        <is>
          <t>BOS</t>
        </is>
      </c>
      <c r="O323" s="7" t="inlineStr">
        <is>
          <t>IMPORTANT</t>
        </is>
      </c>
      <c r="P323" s="7" t="inlineStr">
        <is>
          <t>31/08/2026 02:59</t>
        </is>
      </c>
    </row>
    <row r="324">
      <c r="A324" s="8" t="inlineStr">
        <is>
          <t>WHAP 8x8</t>
        </is>
      </c>
      <c r="B324" s="8" t="inlineStr">
        <is>
          <t>WHAP-0320</t>
        </is>
      </c>
      <c r="C324" s="8" t="inlineStr">
        <is>
          <t>HYD-0320</t>
        </is>
      </c>
      <c r="D324" s="8" t="inlineStr">
        <is>
          <t>distributeur hydraulique</t>
        </is>
      </c>
      <c r="E324" s="8" t="inlineStr">
        <is>
          <t>Hydraulique</t>
        </is>
      </c>
      <c r="F324" s="8" t="inlineStr">
        <is>
          <t>Hydraulique</t>
        </is>
      </c>
      <c r="G324" s="8" t="inlineStr">
        <is>
          <t>PIECE_VEHICULE</t>
        </is>
      </c>
      <c r="H324" s="8" t="n">
        <v>1</v>
      </c>
      <c r="I324" s="8">
        <f>H324*$D$3</f>
        <v/>
      </c>
      <c r="J324" s="8" t="inlineStr">
        <is>
          <t>unité</t>
        </is>
      </c>
      <c r="K324" s="8" t="n">
        <v>0</v>
      </c>
      <c r="L324" s="8">
        <f>K324-I324</f>
        <v/>
      </c>
      <c r="M324" s="8">
        <f>IF(K324&lt;I324,"✕ INSUFFISANT",IF(K324&lt;I324*1.2,"⚠ STOCK FAIBLE","✓ COUVERT"))</f>
        <v/>
      </c>
      <c r="N324" s="8" t="inlineStr">
        <is>
          <t>SUM</t>
        </is>
      </c>
      <c r="O324" s="8" t="inlineStr">
        <is>
          <t>IMPORTANT</t>
        </is>
      </c>
      <c r="P324" s="8" t="inlineStr">
        <is>
          <t>31/08/2026 02:59</t>
        </is>
      </c>
    </row>
    <row r="325">
      <c r="A325" s="7" t="inlineStr">
        <is>
          <t>WHAP 8x8</t>
        </is>
      </c>
      <c r="B325" s="7" t="inlineStr">
        <is>
          <t>WHAP-0321</t>
        </is>
      </c>
      <c r="C325" s="7" t="inlineStr">
        <is>
          <t>HYD-0321</t>
        </is>
      </c>
      <c r="D325" s="7" t="inlineStr">
        <is>
          <t>électrovanne hydraulique</t>
        </is>
      </c>
      <c r="E325" s="7" t="inlineStr">
        <is>
          <t>Hydraulique</t>
        </is>
      </c>
      <c r="F325" s="7" t="inlineStr">
        <is>
          <t>Hydraulique</t>
        </is>
      </c>
      <c r="G325" s="7" t="inlineStr">
        <is>
          <t>PIECE_VEHICULE</t>
        </is>
      </c>
      <c r="H325" s="7" t="n">
        <v>1</v>
      </c>
      <c r="I325" s="7">
        <f>H325*$D$3</f>
        <v/>
      </c>
      <c r="J325" s="7" t="inlineStr">
        <is>
          <t>unité</t>
        </is>
      </c>
      <c r="K325" s="7" t="n">
        <v>0</v>
      </c>
      <c r="L325" s="7">
        <f>K325-I325</f>
        <v/>
      </c>
      <c r="M325" s="7">
        <f>IF(K325&lt;I325,"✕ INSUFFISANT",IF(K325&lt;I325*1.2,"⚠ STOCK FAIBLE","✓ COUVERT"))</f>
        <v/>
      </c>
      <c r="N325" s="7" t="inlineStr">
        <is>
          <t>CTL</t>
        </is>
      </c>
      <c r="O325" s="7" t="inlineStr">
        <is>
          <t>IMPORTANT</t>
        </is>
      </c>
      <c r="P325" s="7" t="inlineStr">
        <is>
          <t>31/08/2026 02:59</t>
        </is>
      </c>
    </row>
    <row r="326">
      <c r="A326" s="8" t="inlineStr">
        <is>
          <t>WHAP 8x8</t>
        </is>
      </c>
      <c r="B326" s="8" t="inlineStr">
        <is>
          <t>WHAP-0322</t>
        </is>
      </c>
      <c r="C326" s="8" t="inlineStr">
        <is>
          <t>HYD-0322</t>
        </is>
      </c>
      <c r="D326" s="8" t="inlineStr">
        <is>
          <t>vérin hydraulique</t>
        </is>
      </c>
      <c r="E326" s="8" t="inlineStr">
        <is>
          <t>Hydraulique</t>
        </is>
      </c>
      <c r="F326" s="8" t="inlineStr">
        <is>
          <t>Hydraulique</t>
        </is>
      </c>
      <c r="G326" s="8" t="inlineStr">
        <is>
          <t>PIECE_VEHICULE</t>
        </is>
      </c>
      <c r="H326" s="8" t="n">
        <v>1</v>
      </c>
      <c r="I326" s="8">
        <f>H326*$D$3</f>
        <v/>
      </c>
      <c r="J326" s="8" t="inlineStr">
        <is>
          <t>unité</t>
        </is>
      </c>
      <c r="K326" s="8" t="n">
        <v>0</v>
      </c>
      <c r="L326" s="8">
        <f>K326-I326</f>
        <v/>
      </c>
      <c r="M326" s="8">
        <f>IF(K326&lt;I326,"✕ INSUFFISANT",IF(K326&lt;I326*1.2,"⚠ STOCK FAIBLE","✓ COUVERT"))</f>
        <v/>
      </c>
      <c r="N326" s="8" t="inlineStr">
        <is>
          <t>SKF</t>
        </is>
      </c>
      <c r="O326" s="8" t="inlineStr">
        <is>
          <t>IMPORTANT</t>
        </is>
      </c>
      <c r="P326" s="8" t="inlineStr">
        <is>
          <t>31/08/2026 02:59</t>
        </is>
      </c>
    </row>
    <row r="327">
      <c r="A327" s="7" t="inlineStr">
        <is>
          <t>WHAP 8x8</t>
        </is>
      </c>
      <c r="B327" s="7" t="inlineStr">
        <is>
          <t>WHAP-0323</t>
        </is>
      </c>
      <c r="C327" s="7" t="inlineStr">
        <is>
          <t>HYD-0323</t>
        </is>
      </c>
      <c r="D327" s="7" t="inlineStr">
        <is>
          <t>piston hydraulique</t>
        </is>
      </c>
      <c r="E327" s="7" t="inlineStr">
        <is>
          <t>Hydraulique</t>
        </is>
      </c>
      <c r="F327" s="7" t="inlineStr">
        <is>
          <t>Hydraulique</t>
        </is>
      </c>
      <c r="G327" s="7" t="inlineStr">
        <is>
          <t>PIECE_VEHICULE</t>
        </is>
      </c>
      <c r="H327" s="7" t="n">
        <v>1</v>
      </c>
      <c r="I327" s="7">
        <f>H327*$D$3</f>
        <v/>
      </c>
      <c r="J327" s="7" t="inlineStr">
        <is>
          <t>unité</t>
        </is>
      </c>
      <c r="K327" s="7" t="n">
        <v>0</v>
      </c>
      <c r="L327" s="7">
        <f>K327-I327</f>
        <v/>
      </c>
      <c r="M327" s="7">
        <f>IF(K327&lt;I327,"✕ INSUFFISANT",IF(K327&lt;I327*1.2,"⚠ STOCK FAIBLE","✓ COUVERT"))</f>
        <v/>
      </c>
      <c r="N327" s="7" t="inlineStr">
        <is>
          <t>DEL</t>
        </is>
      </c>
      <c r="O327" s="7" t="inlineStr">
        <is>
          <t>IMPORTANT</t>
        </is>
      </c>
      <c r="P327" s="7" t="inlineStr">
        <is>
          <t>31/08/2026 02:59</t>
        </is>
      </c>
    </row>
    <row r="328">
      <c r="A328" s="8" t="inlineStr">
        <is>
          <t>WHAP 8x8</t>
        </is>
      </c>
      <c r="B328" s="8" t="inlineStr">
        <is>
          <t>WHAP-0324</t>
        </is>
      </c>
      <c r="C328" s="8" t="inlineStr">
        <is>
          <t>HYD-0324</t>
        </is>
      </c>
      <c r="D328" s="8" t="inlineStr">
        <is>
          <t>tige hydraulique</t>
        </is>
      </c>
      <c r="E328" s="8" t="inlineStr">
        <is>
          <t>Hydraulique</t>
        </is>
      </c>
      <c r="F328" s="8" t="inlineStr">
        <is>
          <t>Hydraulique</t>
        </is>
      </c>
      <c r="G328" s="8" t="inlineStr">
        <is>
          <t>PIECE_VEHICULE</t>
        </is>
      </c>
      <c r="H328" s="8" t="n">
        <v>1</v>
      </c>
      <c r="I328" s="8">
        <f>H328*$D$3</f>
        <v/>
      </c>
      <c r="J328" s="8" t="inlineStr">
        <is>
          <t>unité</t>
        </is>
      </c>
      <c r="K328" s="8" t="n">
        <v>0</v>
      </c>
      <c r="L328" s="8">
        <f>K328-I328</f>
        <v/>
      </c>
      <c r="M328" s="8">
        <f>IF(K328&lt;I328,"✕ INSUFFISANT",IF(K328&lt;I328*1.2,"⚠ STOCK FAIBLE","✓ COUVERT"))</f>
        <v/>
      </c>
      <c r="N328" s="8" t="inlineStr">
        <is>
          <t>YZK</t>
        </is>
      </c>
      <c r="O328" s="8" t="inlineStr">
        <is>
          <t>IMPORTANT</t>
        </is>
      </c>
      <c r="P328" s="8" t="inlineStr">
        <is>
          <t>31/08/2026 02:59</t>
        </is>
      </c>
    </row>
    <row r="329">
      <c r="A329" s="7" t="inlineStr">
        <is>
          <t>WHAP 8x8</t>
        </is>
      </c>
      <c r="B329" s="7" t="inlineStr">
        <is>
          <t>WHAP-0325</t>
        </is>
      </c>
      <c r="C329" s="7" t="inlineStr">
        <is>
          <t>HYD-0325</t>
        </is>
      </c>
      <c r="D329" s="7" t="inlineStr">
        <is>
          <t>joint de vérin</t>
        </is>
      </c>
      <c r="E329" s="7" t="inlineStr">
        <is>
          <t>Hydraulique</t>
        </is>
      </c>
      <c r="F329" s="7" t="inlineStr">
        <is>
          <t>Hydraulique</t>
        </is>
      </c>
      <c r="G329" s="7" t="inlineStr">
        <is>
          <t>PIECE_VEHICULE</t>
        </is>
      </c>
      <c r="H329" s="7" t="n">
        <v>1</v>
      </c>
      <c r="I329" s="7">
        <f>H329*$D$3</f>
        <v/>
      </c>
      <c r="J329" s="7" t="inlineStr">
        <is>
          <t>unité</t>
        </is>
      </c>
      <c r="K329" s="7" t="n">
        <v>0</v>
      </c>
      <c r="L329" s="7">
        <f>K329-I329</f>
        <v/>
      </c>
      <c r="M329" s="7">
        <f>IF(K329&lt;I329,"✕ INSUFFISANT",IF(K329&lt;I329*1.2,"⚠ STOCK FAIBLE","✓ COUVERT"))</f>
        <v/>
      </c>
      <c r="N329" s="7" t="inlineStr">
        <is>
          <t>CTL</t>
        </is>
      </c>
      <c r="O329" s="7" t="inlineStr">
        <is>
          <t>IMPORTANT</t>
        </is>
      </c>
      <c r="P329" s="7" t="inlineStr">
        <is>
          <t>31/08/2026 02:59</t>
        </is>
      </c>
    </row>
    <row r="330">
      <c r="A330" s="8" t="inlineStr">
        <is>
          <t>WHAP 8x8</t>
        </is>
      </c>
      <c r="B330" s="8" t="inlineStr">
        <is>
          <t>WHAP-0326</t>
        </is>
      </c>
      <c r="C330" s="8" t="inlineStr">
        <is>
          <t>HYD-0326</t>
        </is>
      </c>
      <c r="D330" s="8" t="inlineStr">
        <is>
          <t>racleur</t>
        </is>
      </c>
      <c r="E330" s="8" t="inlineStr">
        <is>
          <t>Hydraulique</t>
        </is>
      </c>
      <c r="F330" s="8" t="inlineStr">
        <is>
          <t>Hydraulique</t>
        </is>
      </c>
      <c r="G330" s="8" t="inlineStr">
        <is>
          <t>PIECE_VEHICULE</t>
        </is>
      </c>
      <c r="H330" s="8" t="n">
        <v>1</v>
      </c>
      <c r="I330" s="8">
        <f>H330*$D$3</f>
        <v/>
      </c>
      <c r="J330" s="8" t="inlineStr">
        <is>
          <t>unité</t>
        </is>
      </c>
      <c r="K330" s="8" t="n">
        <v>0</v>
      </c>
      <c r="L330" s="8">
        <f>K330-I330</f>
        <v/>
      </c>
      <c r="M330" s="8">
        <f>IF(K330&lt;I330,"✕ INSUFFISANT",IF(K330&lt;I330*1.2,"⚠ STOCK FAIBLE","✓ COUVERT"))</f>
        <v/>
      </c>
      <c r="N330" s="8" t="inlineStr">
        <is>
          <t>HEL</t>
        </is>
      </c>
      <c r="O330" s="8" t="inlineStr">
        <is>
          <t>IMPORTANT</t>
        </is>
      </c>
      <c r="P330" s="8" t="inlineStr">
        <is>
          <t>31/08/2026 02:59</t>
        </is>
      </c>
    </row>
    <row r="331">
      <c r="A331" s="7" t="inlineStr">
        <is>
          <t>WHAP 8x8</t>
        </is>
      </c>
      <c r="B331" s="7" t="inlineStr">
        <is>
          <t>WHAP-0327</t>
        </is>
      </c>
      <c r="C331" s="7" t="inlineStr">
        <is>
          <t>HYD-0327</t>
        </is>
      </c>
      <c r="D331" s="7" t="inlineStr">
        <is>
          <t>accumulateur hydraulique</t>
        </is>
      </c>
      <c r="E331" s="7" t="inlineStr">
        <is>
          <t>Hydraulique</t>
        </is>
      </c>
      <c r="F331" s="7" t="inlineStr">
        <is>
          <t>Hydraulique</t>
        </is>
      </c>
      <c r="G331" s="7" t="inlineStr">
        <is>
          <t>PIECE_VEHICULE</t>
        </is>
      </c>
      <c r="H331" s="7" t="n">
        <v>1</v>
      </c>
      <c r="I331" s="7">
        <f>H331*$D$3</f>
        <v/>
      </c>
      <c r="J331" s="7" t="inlineStr">
        <is>
          <t>unité</t>
        </is>
      </c>
      <c r="K331" s="7" t="n">
        <v>0</v>
      </c>
      <c r="L331" s="7">
        <f>K331-I331</f>
        <v/>
      </c>
      <c r="M331" s="7">
        <f>IF(K331&lt;I331,"✕ INSUFFISANT",IF(K331&lt;I331*1.2,"⚠ STOCK FAIBLE","✓ COUVERT"))</f>
        <v/>
      </c>
      <c r="N331" s="7" t="inlineStr">
        <is>
          <t>YZK</t>
        </is>
      </c>
      <c r="O331" s="7" t="inlineStr">
        <is>
          <t>IMPORTANT</t>
        </is>
      </c>
      <c r="P331" s="7" t="inlineStr">
        <is>
          <t>31/08/2026 02:59</t>
        </is>
      </c>
    </row>
    <row r="332">
      <c r="A332" s="8" t="inlineStr">
        <is>
          <t>WHAP 8x8</t>
        </is>
      </c>
      <c r="B332" s="8" t="inlineStr">
        <is>
          <t>WHAP-0328</t>
        </is>
      </c>
      <c r="C332" s="8" t="inlineStr">
        <is>
          <t>HYD-0328</t>
        </is>
      </c>
      <c r="D332" s="8" t="inlineStr">
        <is>
          <t>flexible haute pression</t>
        </is>
      </c>
      <c r="E332" s="8" t="inlineStr">
        <is>
          <t>Hydraulique</t>
        </is>
      </c>
      <c r="F332" s="8" t="inlineStr">
        <is>
          <t>Hydraulique</t>
        </is>
      </c>
      <c r="G332" s="8" t="inlineStr">
        <is>
          <t>PIECE_VEHICULE</t>
        </is>
      </c>
      <c r="H332" s="8" t="n">
        <v>1</v>
      </c>
      <c r="I332" s="8">
        <f>H332*$D$3</f>
        <v/>
      </c>
      <c r="J332" s="8" t="inlineStr">
        <is>
          <t>unité</t>
        </is>
      </c>
      <c r="K332" s="8" t="n">
        <v>0</v>
      </c>
      <c r="L332" s="8">
        <f>K332-I332</f>
        <v/>
      </c>
      <c r="M332" s="8">
        <f>IF(K332&lt;I332,"✕ INSUFFISANT",IF(K332&lt;I332*1.2,"⚠ STOCK FAIBLE","✓ COUVERT"))</f>
        <v/>
      </c>
      <c r="N332" s="8" t="inlineStr">
        <is>
          <t>MAG</t>
        </is>
      </c>
      <c r="O332" s="8" t="inlineStr">
        <is>
          <t>IMPORTANT</t>
        </is>
      </c>
      <c r="P332" s="8" t="inlineStr">
        <is>
          <t>31/08/2026 02:59</t>
        </is>
      </c>
    </row>
    <row r="333">
      <c r="A333" s="7" t="inlineStr">
        <is>
          <t>WHAP 8x8</t>
        </is>
      </c>
      <c r="B333" s="7" t="inlineStr">
        <is>
          <t>WHAP-0329</t>
        </is>
      </c>
      <c r="C333" s="7" t="inlineStr">
        <is>
          <t>HYD-0329</t>
        </is>
      </c>
      <c r="D333" s="7" t="inlineStr">
        <is>
          <t>flexible basse pression</t>
        </is>
      </c>
      <c r="E333" s="7" t="inlineStr">
        <is>
          <t>Hydraulique</t>
        </is>
      </c>
      <c r="F333" s="7" t="inlineStr">
        <is>
          <t>Hydraulique</t>
        </is>
      </c>
      <c r="G333" s="7" t="inlineStr">
        <is>
          <t>PIECE_VEHICULE</t>
        </is>
      </c>
      <c r="H333" s="7" t="n">
        <v>1</v>
      </c>
      <c r="I333" s="7">
        <f>H333*$D$3</f>
        <v/>
      </c>
      <c r="J333" s="7" t="inlineStr">
        <is>
          <t>unité</t>
        </is>
      </c>
      <c r="K333" s="7" t="n">
        <v>0</v>
      </c>
      <c r="L333" s="7">
        <f>K333-I333</f>
        <v/>
      </c>
      <c r="M333" s="7">
        <f>IF(K333&lt;I333,"✕ INSUFFISANT",IF(K333&lt;I333*1.2,"⚠ STOCK FAIBLE","✓ COUVERT"))</f>
        <v/>
      </c>
      <c r="N333" s="7" t="inlineStr">
        <is>
          <t>MAG</t>
        </is>
      </c>
      <c r="O333" s="7" t="inlineStr">
        <is>
          <t>IMPORTANT</t>
        </is>
      </c>
      <c r="P333" s="7" t="inlineStr">
        <is>
          <t>31/08/2026 02:59</t>
        </is>
      </c>
    </row>
    <row r="334">
      <c r="A334" s="8" t="inlineStr">
        <is>
          <t>WHAP 8x8</t>
        </is>
      </c>
      <c r="B334" s="8" t="inlineStr">
        <is>
          <t>WHAP-0330</t>
        </is>
      </c>
      <c r="C334" s="8" t="inlineStr">
        <is>
          <t>HYD-0330</t>
        </is>
      </c>
      <c r="D334" s="8" t="inlineStr">
        <is>
          <t>tube hydraulique</t>
        </is>
      </c>
      <c r="E334" s="8" t="inlineStr">
        <is>
          <t>Hydraulique</t>
        </is>
      </c>
      <c r="F334" s="8" t="inlineStr">
        <is>
          <t>Hydraulique</t>
        </is>
      </c>
      <c r="G334" s="8" t="inlineStr">
        <is>
          <t>PIECE_VEHICULE</t>
        </is>
      </c>
      <c r="H334" s="8" t="n">
        <v>1</v>
      </c>
      <c r="I334" s="8">
        <f>H334*$D$3</f>
        <v/>
      </c>
      <c r="J334" s="8" t="inlineStr">
        <is>
          <t>unité</t>
        </is>
      </c>
      <c r="K334" s="8" t="n">
        <v>0</v>
      </c>
      <c r="L334" s="8">
        <f>K334-I334</f>
        <v/>
      </c>
      <c r="M334" s="8">
        <f>IF(K334&lt;I334,"✕ INSUFFISANT",IF(K334&lt;I334*1.2,"⚠ STOCK FAIBLE","✓ COUVERT"))</f>
        <v/>
      </c>
      <c r="N334" s="8" t="inlineStr">
        <is>
          <t>BOS</t>
        </is>
      </c>
      <c r="O334" s="8" t="inlineStr">
        <is>
          <t>IMPORTANT</t>
        </is>
      </c>
      <c r="P334" s="8" t="inlineStr">
        <is>
          <t>31/08/2026 02:59</t>
        </is>
      </c>
    </row>
    <row r="335">
      <c r="A335" s="7" t="inlineStr">
        <is>
          <t>WHAP 8x8</t>
        </is>
      </c>
      <c r="B335" s="7" t="inlineStr">
        <is>
          <t>WHAP-0331</t>
        </is>
      </c>
      <c r="C335" s="7" t="inlineStr">
        <is>
          <t>HYD-0331</t>
        </is>
      </c>
      <c r="D335" s="7" t="inlineStr">
        <is>
          <t>raccord hydraulique</t>
        </is>
      </c>
      <c r="E335" s="7" t="inlineStr">
        <is>
          <t>Hydraulique</t>
        </is>
      </c>
      <c r="F335" s="7" t="inlineStr">
        <is>
          <t>Hydraulique</t>
        </is>
      </c>
      <c r="G335" s="7" t="inlineStr">
        <is>
          <t>PIECE_VEHICULE</t>
        </is>
      </c>
      <c r="H335" s="7" t="n">
        <v>1</v>
      </c>
      <c r="I335" s="7">
        <f>H335*$D$3</f>
        <v/>
      </c>
      <c r="J335" s="7" t="inlineStr">
        <is>
          <t>unité</t>
        </is>
      </c>
      <c r="K335" s="7" t="n">
        <v>0</v>
      </c>
      <c r="L335" s="7">
        <f>K335-I335</f>
        <v/>
      </c>
      <c r="M335" s="7">
        <f>IF(K335&lt;I335,"✕ INSUFFISANT",IF(K335&lt;I335*1.2,"⚠ STOCK FAIBLE","✓ COUVERT"))</f>
        <v/>
      </c>
      <c r="N335" s="7" t="inlineStr">
        <is>
          <t>CTL</t>
        </is>
      </c>
      <c r="O335" s="7" t="inlineStr">
        <is>
          <t>IMPORTANT</t>
        </is>
      </c>
      <c r="P335" s="7" t="inlineStr">
        <is>
          <t>31/08/2026 02:59</t>
        </is>
      </c>
    </row>
    <row r="336">
      <c r="A336" s="8" t="inlineStr">
        <is>
          <t>WHAP 8x8</t>
        </is>
      </c>
      <c r="B336" s="8" t="inlineStr">
        <is>
          <t>WHAP-0332</t>
        </is>
      </c>
      <c r="C336" s="8" t="inlineStr">
        <is>
          <t>HYD-0332</t>
        </is>
      </c>
      <c r="D336" s="8" t="inlineStr">
        <is>
          <t>manomètre hydraulique</t>
        </is>
      </c>
      <c r="E336" s="8" t="inlineStr">
        <is>
          <t>Hydraulique</t>
        </is>
      </c>
      <c r="F336" s="8" t="inlineStr">
        <is>
          <t>Hydraulique</t>
        </is>
      </c>
      <c r="G336" s="8" t="inlineStr">
        <is>
          <t>PIECE_VEHICULE</t>
        </is>
      </c>
      <c r="H336" s="8" t="n">
        <v>1</v>
      </c>
      <c r="I336" s="8">
        <f>H336*$D$3</f>
        <v/>
      </c>
      <c r="J336" s="8" t="inlineStr">
        <is>
          <t>unité</t>
        </is>
      </c>
      <c r="K336" s="8" t="n">
        <v>0</v>
      </c>
      <c r="L336" s="8">
        <f>K336-I336</f>
        <v/>
      </c>
      <c r="M336" s="8">
        <f>IF(K336&lt;I336,"✕ INSUFFISANT",IF(K336&lt;I336*1.2,"⚠ STOCK FAIBLE","✓ COUVERT"))</f>
        <v/>
      </c>
      <c r="N336" s="8" t="inlineStr">
        <is>
          <t>DEL</t>
        </is>
      </c>
      <c r="O336" s="8" t="inlineStr">
        <is>
          <t>IMPORTANT</t>
        </is>
      </c>
      <c r="P336" s="8" t="inlineStr">
        <is>
          <t>31/08/2026 02:59</t>
        </is>
      </c>
    </row>
    <row r="337">
      <c r="A337" s="7" t="inlineStr">
        <is>
          <t>WHAP 8x8</t>
        </is>
      </c>
      <c r="B337" s="7" t="inlineStr">
        <is>
          <t>WHAP-0333</t>
        </is>
      </c>
      <c r="C337" s="7" t="inlineStr">
        <is>
          <t>HYD-0333</t>
        </is>
      </c>
      <c r="D337" s="7" t="inlineStr">
        <is>
          <t>capteur pression hydraulique</t>
        </is>
      </c>
      <c r="E337" s="7" t="inlineStr">
        <is>
          <t>Hydraulique</t>
        </is>
      </c>
      <c r="F337" s="7" t="inlineStr">
        <is>
          <t>Hydraulique</t>
        </is>
      </c>
      <c r="G337" s="7" t="inlineStr">
        <is>
          <t>PIECE_VEHICULE</t>
        </is>
      </c>
      <c r="H337" s="7" t="n">
        <v>1</v>
      </c>
      <c r="I337" s="7">
        <f>H337*$D$3</f>
        <v/>
      </c>
      <c r="J337" s="7" t="inlineStr">
        <is>
          <t>unité</t>
        </is>
      </c>
      <c r="K337" s="7" t="n">
        <v>0</v>
      </c>
      <c r="L337" s="7">
        <f>K337-I337</f>
        <v/>
      </c>
      <c r="M337" s="7">
        <f>IF(K337&lt;I337,"✕ INSUFFISANT",IF(K337&lt;I337*1.2,"⚠ STOCK FAIBLE","✓ COUVERT"))</f>
        <v/>
      </c>
      <c r="N337" s="7" t="inlineStr">
        <is>
          <t>SKF</t>
        </is>
      </c>
      <c r="O337" s="7" t="inlineStr">
        <is>
          <t>IMPORTANT</t>
        </is>
      </c>
      <c r="P337" s="7" t="inlineStr">
        <is>
          <t>31/08/2026 02:59</t>
        </is>
      </c>
    </row>
    <row r="338">
      <c r="A338" s="8" t="inlineStr">
        <is>
          <t>WHAP 8x8</t>
        </is>
      </c>
      <c r="B338" s="8" t="inlineStr">
        <is>
          <t>WHAP-0334</t>
        </is>
      </c>
      <c r="C338" s="8" t="inlineStr">
        <is>
          <t>HYD-0334</t>
        </is>
      </c>
      <c r="D338" s="8" t="inlineStr">
        <is>
          <t>refroidisseur d'huile hydraulique</t>
        </is>
      </c>
      <c r="E338" s="8" t="inlineStr">
        <is>
          <t>Hydraulique</t>
        </is>
      </c>
      <c r="F338" s="8" t="inlineStr">
        <is>
          <t>Hydraulique</t>
        </is>
      </c>
      <c r="G338" s="8" t="inlineStr">
        <is>
          <t>PIECE_VEHICULE</t>
        </is>
      </c>
      <c r="H338" s="8" t="n">
        <v>1</v>
      </c>
      <c r="I338" s="8">
        <f>H338*$D$3</f>
        <v/>
      </c>
      <c r="J338" s="8" t="inlineStr">
        <is>
          <t>unité</t>
        </is>
      </c>
      <c r="K338" s="8" t="n">
        <v>0</v>
      </c>
      <c r="L338" s="8">
        <f>K338-I338</f>
        <v/>
      </c>
      <c r="M338" s="8">
        <f>IF(K338&lt;I338,"✕ INSUFFISANT",IF(K338&lt;I338*1.2,"⚠ STOCK FAIBLE","✓ COUVERT"))</f>
        <v/>
      </c>
      <c r="N338" s="8" t="inlineStr">
        <is>
          <t>VAL</t>
        </is>
      </c>
      <c r="O338" s="8" t="inlineStr">
        <is>
          <t>IMPORTANT</t>
        </is>
      </c>
      <c r="P338" s="8" t="inlineStr">
        <is>
          <t>31/08/2026 02:59</t>
        </is>
      </c>
    </row>
    <row r="339">
      <c r="A339" s="7" t="inlineStr">
        <is>
          <t>WHAP 8x8</t>
        </is>
      </c>
      <c r="B339" s="7" t="inlineStr">
        <is>
          <t>WHAP-0335</t>
        </is>
      </c>
      <c r="C339" s="7" t="inlineStr">
        <is>
          <t>HYD-0335</t>
        </is>
      </c>
      <c r="D339" s="7" t="inlineStr">
        <is>
          <t>bloc hydraulique</t>
        </is>
      </c>
      <c r="E339" s="7" t="inlineStr">
        <is>
          <t>Hydraulique</t>
        </is>
      </c>
      <c r="F339" s="7" t="inlineStr">
        <is>
          <t>Hydraulique</t>
        </is>
      </c>
      <c r="G339" s="7" t="inlineStr">
        <is>
          <t>PIECE_VEHICULE</t>
        </is>
      </c>
      <c r="H339" s="7" t="n">
        <v>1</v>
      </c>
      <c r="I339" s="7">
        <f>H339*$D$3</f>
        <v/>
      </c>
      <c r="J339" s="7" t="inlineStr">
        <is>
          <t>unité</t>
        </is>
      </c>
      <c r="K339" s="7" t="n">
        <v>0</v>
      </c>
      <c r="L339" s="7">
        <f>K339-I339</f>
        <v/>
      </c>
      <c r="M339" s="7">
        <f>IF(K339&lt;I339,"✕ INSUFFISANT",IF(K339&lt;I339*1.2,"⚠ STOCK FAIBLE","✓ COUVERT"))</f>
        <v/>
      </c>
      <c r="N339" s="7" t="inlineStr">
        <is>
          <t>CTL</t>
        </is>
      </c>
      <c r="O339" s="7" t="inlineStr">
        <is>
          <t>IMPORTANT</t>
        </is>
      </c>
      <c r="P339" s="7" t="inlineStr">
        <is>
          <t>31/08/2026 02:59</t>
        </is>
      </c>
    </row>
    <row r="340">
      <c r="A340" s="8" t="inlineStr">
        <is>
          <t>WHAP 8x8</t>
        </is>
      </c>
      <c r="B340" s="8" t="inlineStr">
        <is>
          <t>WHAP-0336</t>
        </is>
      </c>
      <c r="C340" s="8" t="inlineStr">
        <is>
          <t>HYD-0336</t>
        </is>
      </c>
      <c r="D340" s="8" t="inlineStr">
        <is>
          <t>collecteur hydraulique</t>
        </is>
      </c>
      <c r="E340" s="8" t="inlineStr">
        <is>
          <t>Hydraulique</t>
        </is>
      </c>
      <c r="F340" s="8" t="inlineStr">
        <is>
          <t>Hydraulique</t>
        </is>
      </c>
      <c r="G340" s="8" t="inlineStr">
        <is>
          <t>PIECE_VEHICULE</t>
        </is>
      </c>
      <c r="H340" s="8" t="n">
        <v>1</v>
      </c>
      <c r="I340" s="8">
        <f>H340*$D$3</f>
        <v/>
      </c>
      <c r="J340" s="8" t="inlineStr">
        <is>
          <t>unité</t>
        </is>
      </c>
      <c r="K340" s="8" t="n">
        <v>0</v>
      </c>
      <c r="L340" s="8">
        <f>K340-I340</f>
        <v/>
      </c>
      <c r="M340" s="8">
        <f>IF(K340&lt;I340,"✕ INSUFFISANT",IF(K340&lt;I340*1.2,"⚠ STOCK FAIBLE","✓ COUVERT"))</f>
        <v/>
      </c>
      <c r="N340" s="8" t="inlineStr">
        <is>
          <t>SUM</t>
        </is>
      </c>
      <c r="O340" s="8" t="inlineStr">
        <is>
          <t>IMPORTANT</t>
        </is>
      </c>
      <c r="P340" s="8" t="inlineStr">
        <is>
          <t>31/08/2026 02:59</t>
        </is>
      </c>
    </row>
    <row r="341">
      <c r="A341" s="7" t="inlineStr">
        <is>
          <t>WHAP 8x8</t>
        </is>
      </c>
      <c r="B341" s="7" t="inlineStr">
        <is>
          <t>WHAP-0337</t>
        </is>
      </c>
      <c r="C341" s="7" t="inlineStr">
        <is>
          <t>ELE-0337</t>
        </is>
      </c>
      <c r="D341" s="7" t="inlineStr">
        <is>
          <t>batterie</t>
        </is>
      </c>
      <c r="E341" s="7" t="inlineStr">
        <is>
          <t>Électricité</t>
        </is>
      </c>
      <c r="F341" s="7" t="inlineStr">
        <is>
          <t>Électricité</t>
        </is>
      </c>
      <c r="G341" s="7" t="inlineStr">
        <is>
          <t>PIECE_VEHICULE</t>
        </is>
      </c>
      <c r="H341" s="7" t="n">
        <v>1</v>
      </c>
      <c r="I341" s="7">
        <f>H341*$D$3</f>
        <v/>
      </c>
      <c r="J341" s="7" t="inlineStr">
        <is>
          <t>unité</t>
        </is>
      </c>
      <c r="K341" s="7" t="n">
        <v>160</v>
      </c>
      <c r="L341" s="7">
        <f>K341-I341</f>
        <v/>
      </c>
      <c r="M341" s="7">
        <f>IF(K341&lt;I341,"✕ INSUFFISANT",IF(K341&lt;I341*1.2,"⚠ STOCK FAIBLE","✓ COUVERT"))</f>
        <v/>
      </c>
      <c r="N341" s="7" t="inlineStr">
        <is>
          <t>BOS</t>
        </is>
      </c>
      <c r="O341" s="7" t="inlineStr">
        <is>
          <t>IMPORTANT</t>
        </is>
      </c>
      <c r="P341" s="7" t="inlineStr">
        <is>
          <t>31/08/2026 02:59</t>
        </is>
      </c>
    </row>
    <row r="342">
      <c r="A342" s="8" t="inlineStr">
        <is>
          <t>WHAP 8x8</t>
        </is>
      </c>
      <c r="B342" s="8" t="inlineStr">
        <is>
          <t>WHAP-0338</t>
        </is>
      </c>
      <c r="C342" s="8" t="inlineStr">
        <is>
          <t>ELE-0338</t>
        </is>
      </c>
      <c r="D342" s="8" t="inlineStr">
        <is>
          <t>bac batterie</t>
        </is>
      </c>
      <c r="E342" s="8" t="inlineStr">
        <is>
          <t>Électricité</t>
        </is>
      </c>
      <c r="F342" s="8" t="inlineStr">
        <is>
          <t>Électricité</t>
        </is>
      </c>
      <c r="G342" s="8" t="inlineStr">
        <is>
          <t>PIECE_VEHICULE</t>
        </is>
      </c>
      <c r="H342" s="8" t="n">
        <v>1</v>
      </c>
      <c r="I342" s="8">
        <f>H342*$D$3</f>
        <v/>
      </c>
      <c r="J342" s="8" t="inlineStr">
        <is>
          <t>unité</t>
        </is>
      </c>
      <c r="K342" s="8" t="n">
        <v>90</v>
      </c>
      <c r="L342" s="8">
        <f>K342-I342</f>
        <v/>
      </c>
      <c r="M342" s="8">
        <f>IF(K342&lt;I342,"✕ INSUFFISANT",IF(K342&lt;I342*1.2,"⚠ STOCK FAIBLE","✓ COUVERT"))</f>
        <v/>
      </c>
      <c r="N342" s="8" t="inlineStr">
        <is>
          <t>MAG</t>
        </is>
      </c>
      <c r="O342" s="8" t="inlineStr">
        <is>
          <t>IMPORTANT</t>
        </is>
      </c>
      <c r="P342" s="8" t="inlineStr">
        <is>
          <t>31/08/2026 02:59</t>
        </is>
      </c>
    </row>
    <row r="343">
      <c r="A343" s="7" t="inlineStr">
        <is>
          <t>WHAP 8x8</t>
        </is>
      </c>
      <c r="B343" s="7" t="inlineStr">
        <is>
          <t>WHAP-0339</t>
        </is>
      </c>
      <c r="C343" s="7" t="inlineStr">
        <is>
          <t>ELE-0339</t>
        </is>
      </c>
      <c r="D343" s="7" t="inlineStr">
        <is>
          <t>coupe-batterie</t>
        </is>
      </c>
      <c r="E343" s="7" t="inlineStr">
        <is>
          <t>Électricité</t>
        </is>
      </c>
      <c r="F343" s="7" t="inlineStr">
        <is>
          <t>Électricité</t>
        </is>
      </c>
      <c r="G343" s="7" t="inlineStr">
        <is>
          <t>PIECE_VEHICULE</t>
        </is>
      </c>
      <c r="H343" s="7" t="n">
        <v>1</v>
      </c>
      <c r="I343" s="7">
        <f>H343*$D$3</f>
        <v/>
      </c>
      <c r="J343" s="7" t="inlineStr">
        <is>
          <t>unité</t>
        </is>
      </c>
      <c r="K343" s="7" t="n">
        <v>0</v>
      </c>
      <c r="L343" s="7">
        <f>K343-I343</f>
        <v/>
      </c>
      <c r="M343" s="7">
        <f>IF(K343&lt;I343,"✕ INSUFFISANT",IF(K343&lt;I343*1.2,"⚠ STOCK FAIBLE","✓ COUVERT"))</f>
        <v/>
      </c>
      <c r="N343" s="7" t="inlineStr">
        <is>
          <t>HEL</t>
        </is>
      </c>
      <c r="O343" s="7" t="inlineStr">
        <is>
          <t>IMPORTANT</t>
        </is>
      </c>
      <c r="P343" s="7" t="inlineStr">
        <is>
          <t>31/08/2026 02:59</t>
        </is>
      </c>
    </row>
    <row r="344">
      <c r="A344" s="8" t="inlineStr">
        <is>
          <t>WHAP 8x8</t>
        </is>
      </c>
      <c r="B344" s="8" t="inlineStr">
        <is>
          <t>WHAP-0340</t>
        </is>
      </c>
      <c r="C344" s="8" t="inlineStr">
        <is>
          <t>ELE-0340</t>
        </is>
      </c>
      <c r="D344" s="8" t="inlineStr">
        <is>
          <t>câble positif</t>
        </is>
      </c>
      <c r="E344" s="8" t="inlineStr">
        <is>
          <t>Électricité</t>
        </is>
      </c>
      <c r="F344" s="8" t="inlineStr">
        <is>
          <t>Électricité</t>
        </is>
      </c>
      <c r="G344" s="8" t="inlineStr">
        <is>
          <t>PIECE_VEHICULE</t>
        </is>
      </c>
      <c r="H344" s="8" t="n">
        <v>1</v>
      </c>
      <c r="I344" s="8">
        <f>H344*$D$3</f>
        <v/>
      </c>
      <c r="J344" s="8" t="inlineStr">
        <is>
          <t>unité</t>
        </is>
      </c>
      <c r="K344" s="8" t="n">
        <v>0</v>
      </c>
      <c r="L344" s="8">
        <f>K344-I344</f>
        <v/>
      </c>
      <c r="M344" s="8">
        <f>IF(K344&lt;I344,"✕ INSUFFISANT",IF(K344&lt;I344*1.2,"⚠ STOCK FAIBLE","✓ COUVERT"))</f>
        <v/>
      </c>
      <c r="N344" s="8" t="inlineStr">
        <is>
          <t>BOS</t>
        </is>
      </c>
      <c r="O344" s="8" t="inlineStr">
        <is>
          <t>IMPORTANT</t>
        </is>
      </c>
      <c r="P344" s="8" t="inlineStr">
        <is>
          <t>31/08/2026 02:59</t>
        </is>
      </c>
    </row>
    <row r="345">
      <c r="A345" s="7" t="inlineStr">
        <is>
          <t>WHAP 8x8</t>
        </is>
      </c>
      <c r="B345" s="7" t="inlineStr">
        <is>
          <t>WHAP-0341</t>
        </is>
      </c>
      <c r="C345" s="7" t="inlineStr">
        <is>
          <t>ELE-0341</t>
        </is>
      </c>
      <c r="D345" s="7" t="inlineStr">
        <is>
          <t>câble négatif</t>
        </is>
      </c>
      <c r="E345" s="7" t="inlineStr">
        <is>
          <t>Électricité</t>
        </is>
      </c>
      <c r="F345" s="7" t="inlineStr">
        <is>
          <t>Électricité</t>
        </is>
      </c>
      <c r="G345" s="7" t="inlineStr">
        <is>
          <t>PIECE_VEHICULE</t>
        </is>
      </c>
      <c r="H345" s="7" t="n">
        <v>1</v>
      </c>
      <c r="I345" s="7">
        <f>H345*$D$3</f>
        <v/>
      </c>
      <c r="J345" s="7" t="inlineStr">
        <is>
          <t>unité</t>
        </is>
      </c>
      <c r="K345" s="7" t="n">
        <v>0</v>
      </c>
      <c r="L345" s="7">
        <f>K345-I345</f>
        <v/>
      </c>
      <c r="M345" s="7">
        <f>IF(K345&lt;I345,"✕ INSUFFISANT",IF(K345&lt;I345*1.2,"⚠ STOCK FAIBLE","✓ COUVERT"))</f>
        <v/>
      </c>
      <c r="N345" s="7" t="inlineStr">
        <is>
          <t>SUM</t>
        </is>
      </c>
      <c r="O345" s="7" t="inlineStr">
        <is>
          <t>IMPORTANT</t>
        </is>
      </c>
      <c r="P345" s="7" t="inlineStr">
        <is>
          <t>31/08/2026 02:59</t>
        </is>
      </c>
    </row>
    <row r="346">
      <c r="A346" s="8" t="inlineStr">
        <is>
          <t>WHAP 8x8</t>
        </is>
      </c>
      <c r="B346" s="8" t="inlineStr">
        <is>
          <t>WHAP-0342</t>
        </is>
      </c>
      <c r="C346" s="8" t="inlineStr">
        <is>
          <t>ELE-0342</t>
        </is>
      </c>
      <c r="D346" s="8" t="inlineStr">
        <is>
          <t>cosse batterie</t>
        </is>
      </c>
      <c r="E346" s="8" t="inlineStr">
        <is>
          <t>Électricité</t>
        </is>
      </c>
      <c r="F346" s="8" t="inlineStr">
        <is>
          <t>Électricité</t>
        </is>
      </c>
      <c r="G346" s="8" t="inlineStr">
        <is>
          <t>PIECE_VEHICULE</t>
        </is>
      </c>
      <c r="H346" s="8" t="n">
        <v>1</v>
      </c>
      <c r="I346" s="8">
        <f>H346*$D$3</f>
        <v/>
      </c>
      <c r="J346" s="8" t="inlineStr">
        <is>
          <t>unité</t>
        </is>
      </c>
      <c r="K346" s="8" t="n">
        <v>0</v>
      </c>
      <c r="L346" s="8">
        <f>K346-I346</f>
        <v/>
      </c>
      <c r="M346" s="8">
        <f>IF(K346&lt;I346,"✕ INSUFFISANT",IF(K346&lt;I346*1.2,"⚠ STOCK FAIBLE","✓ COUVERT"))</f>
        <v/>
      </c>
      <c r="N346" s="8" t="inlineStr">
        <is>
          <t>CTL</t>
        </is>
      </c>
      <c r="O346" s="8" t="inlineStr">
        <is>
          <t>IMPORTANT</t>
        </is>
      </c>
      <c r="P346" s="8" t="inlineStr">
        <is>
          <t>31/08/2026 02:59</t>
        </is>
      </c>
    </row>
    <row r="347">
      <c r="A347" s="7" t="inlineStr">
        <is>
          <t>WHAP 8x8</t>
        </is>
      </c>
      <c r="B347" s="7" t="inlineStr">
        <is>
          <t>WHAP-0343</t>
        </is>
      </c>
      <c r="C347" s="7" t="inlineStr">
        <is>
          <t>ELE-0343</t>
        </is>
      </c>
      <c r="D347" s="7" t="inlineStr">
        <is>
          <t>alternateur</t>
        </is>
      </c>
      <c r="E347" s="7" t="inlineStr">
        <is>
          <t>Électricité</t>
        </is>
      </c>
      <c r="F347" s="7" t="inlineStr">
        <is>
          <t>Électricité</t>
        </is>
      </c>
      <c r="G347" s="7" t="inlineStr">
        <is>
          <t>PIECE_VEHICULE</t>
        </is>
      </c>
      <c r="H347" s="7" t="n">
        <v>1</v>
      </c>
      <c r="I347" s="7">
        <f>H347*$D$3</f>
        <v/>
      </c>
      <c r="J347" s="7" t="inlineStr">
        <is>
          <t>unité</t>
        </is>
      </c>
      <c r="K347" s="7" t="n">
        <v>0</v>
      </c>
      <c r="L347" s="7">
        <f>K347-I347</f>
        <v/>
      </c>
      <c r="M347" s="7">
        <f>IF(K347&lt;I347,"✕ INSUFFISANT",IF(K347&lt;I347*1.2,"⚠ STOCK FAIBLE","✓ COUVERT"))</f>
        <v/>
      </c>
      <c r="N347" s="7" t="inlineStr">
        <is>
          <t>YZK</t>
        </is>
      </c>
      <c r="O347" s="7" t="inlineStr">
        <is>
          <t>IMPORTANT</t>
        </is>
      </c>
      <c r="P347" s="7" t="inlineStr">
        <is>
          <t>31/08/2026 02:59</t>
        </is>
      </c>
    </row>
    <row r="348">
      <c r="A348" s="8" t="inlineStr">
        <is>
          <t>WHAP 8x8</t>
        </is>
      </c>
      <c r="B348" s="8" t="inlineStr">
        <is>
          <t>WHAP-0344</t>
        </is>
      </c>
      <c r="C348" s="8" t="inlineStr">
        <is>
          <t>ELE-0344</t>
        </is>
      </c>
      <c r="D348" s="8" t="inlineStr">
        <is>
          <t>démarreur</t>
        </is>
      </c>
      <c r="E348" s="8" t="inlineStr">
        <is>
          <t>Électricité</t>
        </is>
      </c>
      <c r="F348" s="8" t="inlineStr">
        <is>
          <t>Électricité</t>
        </is>
      </c>
      <c r="G348" s="8" t="inlineStr">
        <is>
          <t>PIECE_VEHICULE</t>
        </is>
      </c>
      <c r="H348" s="8" t="n">
        <v>1</v>
      </c>
      <c r="I348" s="8">
        <f>H348*$D$3</f>
        <v/>
      </c>
      <c r="J348" s="8" t="inlineStr">
        <is>
          <t>unité</t>
        </is>
      </c>
      <c r="K348" s="8" t="n">
        <v>0</v>
      </c>
      <c r="L348" s="8">
        <f>K348-I348</f>
        <v/>
      </c>
      <c r="M348" s="8">
        <f>IF(K348&lt;I348,"✕ INSUFFISANT",IF(K348&lt;I348*1.2,"⚠ STOCK FAIBLE","✓ COUVERT"))</f>
        <v/>
      </c>
      <c r="N348" s="8" t="inlineStr">
        <is>
          <t>SUM</t>
        </is>
      </c>
      <c r="O348" s="8" t="inlineStr">
        <is>
          <t>IMPORTANT</t>
        </is>
      </c>
      <c r="P348" s="8" t="inlineStr">
        <is>
          <t>31/08/2026 02:59</t>
        </is>
      </c>
    </row>
    <row r="349">
      <c r="A349" s="7" t="inlineStr">
        <is>
          <t>WHAP 8x8</t>
        </is>
      </c>
      <c r="B349" s="7" t="inlineStr">
        <is>
          <t>WHAP-0345</t>
        </is>
      </c>
      <c r="C349" s="7" t="inlineStr">
        <is>
          <t>ELE-0345</t>
        </is>
      </c>
      <c r="D349" s="7" t="inlineStr">
        <is>
          <t>relais principal</t>
        </is>
      </c>
      <c r="E349" s="7" t="inlineStr">
        <is>
          <t>Électricité</t>
        </is>
      </c>
      <c r="F349" s="7" t="inlineStr">
        <is>
          <t>Électricité</t>
        </is>
      </c>
      <c r="G349" s="7" t="inlineStr">
        <is>
          <t>PIECE_VEHICULE</t>
        </is>
      </c>
      <c r="H349" s="7" t="n">
        <v>1</v>
      </c>
      <c r="I349" s="7">
        <f>H349*$D$3</f>
        <v/>
      </c>
      <c r="J349" s="7" t="inlineStr">
        <is>
          <t>unité</t>
        </is>
      </c>
      <c r="K349" s="7" t="n">
        <v>0</v>
      </c>
      <c r="L349" s="7">
        <f>K349-I349</f>
        <v/>
      </c>
      <c r="M349" s="7">
        <f>IF(K349&lt;I349,"✕ INSUFFISANT",IF(K349&lt;I349*1.2,"⚠ STOCK FAIBLE","✓ COUVERT"))</f>
        <v/>
      </c>
      <c r="N349" s="7" t="inlineStr">
        <is>
          <t>SKF</t>
        </is>
      </c>
      <c r="O349" s="7" t="inlineStr">
        <is>
          <t>IMPORTANT</t>
        </is>
      </c>
      <c r="P349" s="7" t="inlineStr">
        <is>
          <t>31/08/2026 02:59</t>
        </is>
      </c>
    </row>
    <row r="350">
      <c r="A350" s="8" t="inlineStr">
        <is>
          <t>WHAP 8x8</t>
        </is>
      </c>
      <c r="B350" s="8" t="inlineStr">
        <is>
          <t>WHAP-0346</t>
        </is>
      </c>
      <c r="C350" s="8" t="inlineStr">
        <is>
          <t>ELE-0346</t>
        </is>
      </c>
      <c r="D350" s="8" t="inlineStr">
        <is>
          <t>boîtier fusibles</t>
        </is>
      </c>
      <c r="E350" s="8" t="inlineStr">
        <is>
          <t>Électricité</t>
        </is>
      </c>
      <c r="F350" s="8" t="inlineStr">
        <is>
          <t>Électricité</t>
        </is>
      </c>
      <c r="G350" s="8" t="inlineStr">
        <is>
          <t>PIECE_VEHICULE</t>
        </is>
      </c>
      <c r="H350" s="8" t="n">
        <v>1</v>
      </c>
      <c r="I350" s="8">
        <f>H350*$D$3</f>
        <v/>
      </c>
      <c r="J350" s="8" t="inlineStr">
        <is>
          <t>unité</t>
        </is>
      </c>
      <c r="K350" s="8" t="n">
        <v>0</v>
      </c>
      <c r="L350" s="8">
        <f>K350-I350</f>
        <v/>
      </c>
      <c r="M350" s="8">
        <f>IF(K350&lt;I350,"✕ INSUFFISANT",IF(K350&lt;I350*1.2,"⚠ STOCK FAIBLE","✓ COUVERT"))</f>
        <v/>
      </c>
      <c r="N350" s="8" t="inlineStr">
        <is>
          <t>YZK</t>
        </is>
      </c>
      <c r="O350" s="8" t="inlineStr">
        <is>
          <t>IMPORTANT</t>
        </is>
      </c>
      <c r="P350" s="8" t="inlineStr">
        <is>
          <t>31/08/2026 02:59</t>
        </is>
      </c>
    </row>
    <row r="351">
      <c r="A351" s="7" t="inlineStr">
        <is>
          <t>WHAP 8x8</t>
        </is>
      </c>
      <c r="B351" s="7" t="inlineStr">
        <is>
          <t>WHAP-0347</t>
        </is>
      </c>
      <c r="C351" s="7" t="inlineStr">
        <is>
          <t>ELE-0347</t>
        </is>
      </c>
      <c r="D351" s="7" t="inlineStr">
        <is>
          <t>fusible</t>
        </is>
      </c>
      <c r="E351" s="7" t="inlineStr">
        <is>
          <t>Électricité</t>
        </is>
      </c>
      <c r="F351" s="7" t="inlineStr">
        <is>
          <t>Électricité</t>
        </is>
      </c>
      <c r="G351" s="7" t="inlineStr">
        <is>
          <t>PIECE_VEHICULE</t>
        </is>
      </c>
      <c r="H351" s="7" t="n">
        <v>1</v>
      </c>
      <c r="I351" s="7">
        <f>H351*$D$3</f>
        <v/>
      </c>
      <c r="J351" s="7" t="inlineStr">
        <is>
          <t>unité</t>
        </is>
      </c>
      <c r="K351" s="7" t="n">
        <v>0</v>
      </c>
      <c r="L351" s="7">
        <f>K351-I351</f>
        <v/>
      </c>
      <c r="M351" s="7">
        <f>IF(K351&lt;I351,"✕ INSUFFISANT",IF(K351&lt;I351*1.2,"⚠ STOCK FAIBLE","✓ COUVERT"))</f>
        <v/>
      </c>
      <c r="N351" s="7" t="inlineStr">
        <is>
          <t>CTL</t>
        </is>
      </c>
      <c r="O351" s="7" t="inlineStr">
        <is>
          <t>IMPORTANT</t>
        </is>
      </c>
      <c r="P351" s="7" t="inlineStr">
        <is>
          <t>31/08/2026 02:59</t>
        </is>
      </c>
    </row>
    <row r="352">
      <c r="A352" s="8" t="inlineStr">
        <is>
          <t>WHAP 8x8</t>
        </is>
      </c>
      <c r="B352" s="8" t="inlineStr">
        <is>
          <t>WHAP-0348</t>
        </is>
      </c>
      <c r="C352" s="8" t="inlineStr">
        <is>
          <t>ELE-0348</t>
        </is>
      </c>
      <c r="D352" s="8" t="inlineStr">
        <is>
          <t>disjoncteur</t>
        </is>
      </c>
      <c r="E352" s="8" t="inlineStr">
        <is>
          <t>Électricité</t>
        </is>
      </c>
      <c r="F352" s="8" t="inlineStr">
        <is>
          <t>Électricité</t>
        </is>
      </c>
      <c r="G352" s="8" t="inlineStr">
        <is>
          <t>PIECE_VEHICULE</t>
        </is>
      </c>
      <c r="H352" s="8" t="n">
        <v>1</v>
      </c>
      <c r="I352" s="8">
        <f>H352*$D$3</f>
        <v/>
      </c>
      <c r="J352" s="8" t="inlineStr">
        <is>
          <t>unité</t>
        </is>
      </c>
      <c r="K352" s="8" t="n">
        <v>0</v>
      </c>
      <c r="L352" s="8">
        <f>K352-I352</f>
        <v/>
      </c>
      <c r="M352" s="8">
        <f>IF(K352&lt;I352,"✕ INSUFFISANT",IF(K352&lt;I352*1.2,"⚠ STOCK FAIBLE","✓ COUVERT"))</f>
        <v/>
      </c>
      <c r="N352" s="8" t="inlineStr">
        <is>
          <t>FAU</t>
        </is>
      </c>
      <c r="O352" s="8" t="inlineStr">
        <is>
          <t>IMPORTANT</t>
        </is>
      </c>
      <c r="P352" s="8" t="inlineStr">
        <is>
          <t>31/08/2026 02:59</t>
        </is>
      </c>
    </row>
    <row r="353">
      <c r="A353" s="7" t="inlineStr">
        <is>
          <t>WHAP 8x8</t>
        </is>
      </c>
      <c r="B353" s="7" t="inlineStr">
        <is>
          <t>WHAP-0349</t>
        </is>
      </c>
      <c r="C353" s="7" t="inlineStr">
        <is>
          <t>ELE-0349</t>
        </is>
      </c>
      <c r="D353" s="7" t="inlineStr">
        <is>
          <t>contacteur</t>
        </is>
      </c>
      <c r="E353" s="7" t="inlineStr">
        <is>
          <t>Électricité</t>
        </is>
      </c>
      <c r="F353" s="7" t="inlineStr">
        <is>
          <t>Électricité</t>
        </is>
      </c>
      <c r="G353" s="7" t="inlineStr">
        <is>
          <t>PIECE_VEHICULE</t>
        </is>
      </c>
      <c r="H353" s="7" t="n">
        <v>1</v>
      </c>
      <c r="I353" s="7">
        <f>H353*$D$3</f>
        <v/>
      </c>
      <c r="J353" s="7" t="inlineStr">
        <is>
          <t>unité</t>
        </is>
      </c>
      <c r="K353" s="7" t="n">
        <v>0</v>
      </c>
      <c r="L353" s="7">
        <f>K353-I353</f>
        <v/>
      </c>
      <c r="M353" s="7">
        <f>IF(K353&lt;I353,"✕ INSUFFISANT",IF(K353&lt;I353*1.2,"⚠ STOCK FAIBLE","✓ COUVERT"))</f>
        <v/>
      </c>
      <c r="N353" s="7" t="inlineStr">
        <is>
          <t>CTL</t>
        </is>
      </c>
      <c r="O353" s="7" t="inlineStr">
        <is>
          <t>IMPORTANT</t>
        </is>
      </c>
      <c r="P353" s="7" t="inlineStr">
        <is>
          <t>31/08/2026 02:59</t>
        </is>
      </c>
    </row>
    <row r="354">
      <c r="A354" s="8" t="inlineStr">
        <is>
          <t>WHAP 8x8</t>
        </is>
      </c>
      <c r="B354" s="8" t="inlineStr">
        <is>
          <t>WHAP-0350</t>
        </is>
      </c>
      <c r="C354" s="8" t="inlineStr">
        <is>
          <t>ELE-0350</t>
        </is>
      </c>
      <c r="D354" s="8" t="inlineStr">
        <is>
          <t>convertisseur DC-DC</t>
        </is>
      </c>
      <c r="E354" s="8" t="inlineStr">
        <is>
          <t>Électricité</t>
        </is>
      </c>
      <c r="F354" s="8" t="inlineStr">
        <is>
          <t>Électricité</t>
        </is>
      </c>
      <c r="G354" s="8" t="inlineStr">
        <is>
          <t>PIECE_VEHICULE</t>
        </is>
      </c>
      <c r="H354" s="8" t="n">
        <v>1</v>
      </c>
      <c r="I354" s="8">
        <f>H354*$D$3</f>
        <v/>
      </c>
      <c r="J354" s="8" t="inlineStr">
        <is>
          <t>unité</t>
        </is>
      </c>
      <c r="K354" s="8" t="n">
        <v>0</v>
      </c>
      <c r="L354" s="8">
        <f>K354-I354</f>
        <v/>
      </c>
      <c r="M354" s="8">
        <f>IF(K354&lt;I354,"✕ INSUFFISANT",IF(K354&lt;I354*1.2,"⚠ STOCK FAIBLE","✓ COUVERT"))</f>
        <v/>
      </c>
      <c r="N354" s="8" t="inlineStr">
        <is>
          <t>CTL</t>
        </is>
      </c>
      <c r="O354" s="8" t="inlineStr">
        <is>
          <t>IMPORTANT</t>
        </is>
      </c>
      <c r="P354" s="8" t="inlineStr">
        <is>
          <t>31/08/2026 02:59</t>
        </is>
      </c>
    </row>
    <row r="355">
      <c r="A355" s="7" t="inlineStr">
        <is>
          <t>WHAP 8x8</t>
        </is>
      </c>
      <c r="B355" s="7" t="inlineStr">
        <is>
          <t>WHAP-0351</t>
        </is>
      </c>
      <c r="C355" s="7" t="inlineStr">
        <is>
          <t>ELE-0351</t>
        </is>
      </c>
      <c r="D355" s="7" t="inlineStr">
        <is>
          <t>onduleur</t>
        </is>
      </c>
      <c r="E355" s="7" t="inlineStr">
        <is>
          <t>Électricité</t>
        </is>
      </c>
      <c r="F355" s="7" t="inlineStr">
        <is>
          <t>Électricité</t>
        </is>
      </c>
      <c r="G355" s="7" t="inlineStr">
        <is>
          <t>PIECE_VEHICULE</t>
        </is>
      </c>
      <c r="H355" s="7" t="n">
        <v>1</v>
      </c>
      <c r="I355" s="7">
        <f>H355*$D$3</f>
        <v/>
      </c>
      <c r="J355" s="7" t="inlineStr">
        <is>
          <t>unité</t>
        </is>
      </c>
      <c r="K355" s="7" t="n">
        <v>0</v>
      </c>
      <c r="L355" s="7">
        <f>K355-I355</f>
        <v/>
      </c>
      <c r="M355" s="7">
        <f>IF(K355&lt;I355,"✕ INSUFFISANT",IF(K355&lt;I355*1.2,"⚠ STOCK FAIBLE","✓ COUVERT"))</f>
        <v/>
      </c>
      <c r="N355" s="7" t="inlineStr">
        <is>
          <t>DEL</t>
        </is>
      </c>
      <c r="O355" s="7" t="inlineStr">
        <is>
          <t>IMPORTANT</t>
        </is>
      </c>
      <c r="P355" s="7" t="inlineStr">
        <is>
          <t>31/08/2026 02:59</t>
        </is>
      </c>
    </row>
    <row r="356">
      <c r="A356" s="8" t="inlineStr">
        <is>
          <t>WHAP 8x8</t>
        </is>
      </c>
      <c r="B356" s="8" t="inlineStr">
        <is>
          <t>WHAP-0352</t>
        </is>
      </c>
      <c r="C356" s="8" t="inlineStr">
        <is>
          <t>ELE-0352</t>
        </is>
      </c>
      <c r="D356" s="8" t="inlineStr">
        <is>
          <t>chargeur</t>
        </is>
      </c>
      <c r="E356" s="8" t="inlineStr">
        <is>
          <t>Électricité</t>
        </is>
      </c>
      <c r="F356" s="8" t="inlineStr">
        <is>
          <t>Électricité</t>
        </is>
      </c>
      <c r="G356" s="8" t="inlineStr">
        <is>
          <t>PIECE_VEHICULE</t>
        </is>
      </c>
      <c r="H356" s="8" t="n">
        <v>1</v>
      </c>
      <c r="I356" s="8">
        <f>H356*$D$3</f>
        <v/>
      </c>
      <c r="J356" s="8" t="inlineStr">
        <is>
          <t>unité</t>
        </is>
      </c>
      <c r="K356" s="8" t="n">
        <v>0</v>
      </c>
      <c r="L356" s="8">
        <f>K356-I356</f>
        <v/>
      </c>
      <c r="M356" s="8">
        <f>IF(K356&lt;I356,"✕ INSUFFISANT",IF(K356&lt;I356*1.2,"⚠ STOCK FAIBLE","✓ COUVERT"))</f>
        <v/>
      </c>
      <c r="N356" s="8" t="inlineStr">
        <is>
          <t>BOS</t>
        </is>
      </c>
      <c r="O356" s="8" t="inlineStr">
        <is>
          <t>IMPORTANT</t>
        </is>
      </c>
      <c r="P356" s="8" t="inlineStr">
        <is>
          <t>31/08/2026 02:59</t>
        </is>
      </c>
    </row>
    <row r="357">
      <c r="A357" s="7" t="inlineStr">
        <is>
          <t>WHAP 8x8</t>
        </is>
      </c>
      <c r="B357" s="7" t="inlineStr">
        <is>
          <t>WHAP-0353</t>
        </is>
      </c>
      <c r="C357" s="7" t="inlineStr">
        <is>
          <t>ELE-0353</t>
        </is>
      </c>
      <c r="D357" s="7" t="inlineStr">
        <is>
          <t>barrette de masse</t>
        </is>
      </c>
      <c r="E357" s="7" t="inlineStr">
        <is>
          <t>Électricité</t>
        </is>
      </c>
      <c r="F357" s="7" t="inlineStr">
        <is>
          <t>Électricité</t>
        </is>
      </c>
      <c r="G357" s="7" t="inlineStr">
        <is>
          <t>PIECE_VEHICULE</t>
        </is>
      </c>
      <c r="H357" s="7" t="n">
        <v>1</v>
      </c>
      <c r="I357" s="7">
        <f>H357*$D$3</f>
        <v/>
      </c>
      <c r="J357" s="7" t="inlineStr">
        <is>
          <t>unité</t>
        </is>
      </c>
      <c r="K357" s="7" t="n">
        <v>0</v>
      </c>
      <c r="L357" s="7">
        <f>K357-I357</f>
        <v/>
      </c>
      <c r="M357" s="7">
        <f>IF(K357&lt;I357,"✕ INSUFFISANT",IF(K357&lt;I357*1.2,"⚠ STOCK FAIBLE","✓ COUVERT"))</f>
        <v/>
      </c>
      <c r="N357" s="7" t="inlineStr">
        <is>
          <t>CTL</t>
        </is>
      </c>
      <c r="O357" s="7" t="inlineStr">
        <is>
          <t>IMPORTANT</t>
        </is>
      </c>
      <c r="P357" s="7" t="inlineStr">
        <is>
          <t>31/08/2026 02:59</t>
        </is>
      </c>
    </row>
    <row r="358">
      <c r="A358" s="8" t="inlineStr">
        <is>
          <t>WHAP 8x8</t>
        </is>
      </c>
      <c r="B358" s="8" t="inlineStr">
        <is>
          <t>WHAP-0354</t>
        </is>
      </c>
      <c r="C358" s="8" t="inlineStr">
        <is>
          <t>ELE-0354</t>
        </is>
      </c>
      <c r="D358" s="8" t="inlineStr">
        <is>
          <t>point de masse</t>
        </is>
      </c>
      <c r="E358" s="8" t="inlineStr">
        <is>
          <t>Électricité</t>
        </is>
      </c>
      <c r="F358" s="8" t="inlineStr">
        <is>
          <t>Électricité</t>
        </is>
      </c>
      <c r="G358" s="8" t="inlineStr">
        <is>
          <t>PIECE_VEHICULE</t>
        </is>
      </c>
      <c r="H358" s="8" t="n">
        <v>1</v>
      </c>
      <c r="I358" s="8">
        <f>H358*$D$3</f>
        <v/>
      </c>
      <c r="J358" s="8" t="inlineStr">
        <is>
          <t>unité</t>
        </is>
      </c>
      <c r="K358" s="8" t="n">
        <v>0</v>
      </c>
      <c r="L358" s="8">
        <f>K358-I358</f>
        <v/>
      </c>
      <c r="M358" s="8">
        <f>IF(K358&lt;I358,"✕ INSUFFISANT",IF(K358&lt;I358*1.2,"⚠ STOCK FAIBLE","✓ COUVERT"))</f>
        <v/>
      </c>
      <c r="N358" s="8" t="inlineStr">
        <is>
          <t>YZK</t>
        </is>
      </c>
      <c r="O358" s="8" t="inlineStr">
        <is>
          <t>IMPORTANT</t>
        </is>
      </c>
      <c r="P358" s="8" t="inlineStr">
        <is>
          <t>31/08/2026 02:59</t>
        </is>
      </c>
    </row>
    <row r="359">
      <c r="A359" s="7" t="inlineStr">
        <is>
          <t>WHAP 8x8</t>
        </is>
      </c>
      <c r="B359" s="7" t="inlineStr">
        <is>
          <t>WHAP-0355</t>
        </is>
      </c>
      <c r="C359" s="7" t="inlineStr">
        <is>
          <t>ELE-0355</t>
        </is>
      </c>
      <c r="D359" s="7" t="inlineStr">
        <is>
          <t>faisceau moteur</t>
        </is>
      </c>
      <c r="E359" s="7" t="inlineStr">
        <is>
          <t>Électricité</t>
        </is>
      </c>
      <c r="F359" s="7" t="inlineStr">
        <is>
          <t>Électricité</t>
        </is>
      </c>
      <c r="G359" s="7" t="inlineStr">
        <is>
          <t>PIECE_VEHICULE</t>
        </is>
      </c>
      <c r="H359" s="7" t="n">
        <v>1</v>
      </c>
      <c r="I359" s="7">
        <f>H359*$D$3</f>
        <v/>
      </c>
      <c r="J359" s="7" t="inlineStr">
        <is>
          <t>unité</t>
        </is>
      </c>
      <c r="K359" s="7" t="n">
        <v>0</v>
      </c>
      <c r="L359" s="7">
        <f>K359-I359</f>
        <v/>
      </c>
      <c r="M359" s="7">
        <f>IF(K359&lt;I359,"✕ INSUFFISANT",IF(K359&lt;I359*1.2,"⚠ STOCK FAIBLE","✓ COUVERT"))</f>
        <v/>
      </c>
      <c r="N359" s="7" t="inlineStr">
        <is>
          <t>BOS</t>
        </is>
      </c>
      <c r="O359" s="7" t="inlineStr">
        <is>
          <t>IMPORTANT</t>
        </is>
      </c>
      <c r="P359" s="7" t="inlineStr">
        <is>
          <t>31/08/2026 02:59</t>
        </is>
      </c>
    </row>
    <row r="360">
      <c r="A360" s="8" t="inlineStr">
        <is>
          <t>WHAP 8x8</t>
        </is>
      </c>
      <c r="B360" s="8" t="inlineStr">
        <is>
          <t>WHAP-0356</t>
        </is>
      </c>
      <c r="C360" s="8" t="inlineStr">
        <is>
          <t>ELE-0356</t>
        </is>
      </c>
      <c r="D360" s="8" t="inlineStr">
        <is>
          <t>faisceau châssis</t>
        </is>
      </c>
      <c r="E360" s="8" t="inlineStr">
        <is>
          <t>Électricité</t>
        </is>
      </c>
      <c r="F360" s="8" t="inlineStr">
        <is>
          <t>Électricité</t>
        </is>
      </c>
      <c r="G360" s="8" t="inlineStr">
        <is>
          <t>PIECE_VEHICULE</t>
        </is>
      </c>
      <c r="H360" s="8" t="n">
        <v>1</v>
      </c>
      <c r="I360" s="8">
        <f>H360*$D$3</f>
        <v/>
      </c>
      <c r="J360" s="8" t="inlineStr">
        <is>
          <t>unité</t>
        </is>
      </c>
      <c r="K360" s="8" t="n">
        <v>0</v>
      </c>
      <c r="L360" s="8">
        <f>K360-I360</f>
        <v/>
      </c>
      <c r="M360" s="8">
        <f>IF(K360&lt;I360,"✕ INSUFFISANT",IF(K360&lt;I360*1.2,"⚠ STOCK FAIBLE","✓ COUVERT"))</f>
        <v/>
      </c>
      <c r="N360" s="8" t="inlineStr">
        <is>
          <t>BOS</t>
        </is>
      </c>
      <c r="O360" s="8" t="inlineStr">
        <is>
          <t>IMPORTANT</t>
        </is>
      </c>
      <c r="P360" s="8" t="inlineStr">
        <is>
          <t>31/08/2026 02:59</t>
        </is>
      </c>
    </row>
    <row r="361">
      <c r="A361" s="7" t="inlineStr">
        <is>
          <t>WHAP 8x8</t>
        </is>
      </c>
      <c r="B361" s="7" t="inlineStr">
        <is>
          <t>WHAP-0357</t>
        </is>
      </c>
      <c r="C361" s="7" t="inlineStr">
        <is>
          <t>ELE-0357</t>
        </is>
      </c>
      <c r="D361" s="7" t="inlineStr">
        <is>
          <t>faisceau habitacle</t>
        </is>
      </c>
      <c r="E361" s="7" t="inlineStr">
        <is>
          <t>Électricité</t>
        </is>
      </c>
      <c r="F361" s="7" t="inlineStr">
        <is>
          <t>Électricité</t>
        </is>
      </c>
      <c r="G361" s="7" t="inlineStr">
        <is>
          <t>PIECE_VEHICULE</t>
        </is>
      </c>
      <c r="H361" s="7" t="n">
        <v>1</v>
      </c>
      <c r="I361" s="7">
        <f>H361*$D$3</f>
        <v/>
      </c>
      <c r="J361" s="7" t="inlineStr">
        <is>
          <t>unité</t>
        </is>
      </c>
      <c r="K361" s="7" t="n">
        <v>0</v>
      </c>
      <c r="L361" s="7">
        <f>K361-I361</f>
        <v/>
      </c>
      <c r="M361" s="7">
        <f>IF(K361&lt;I361,"✕ INSUFFISANT",IF(K361&lt;I361*1.2,"⚠ STOCK FAIBLE","✓ COUVERT"))</f>
        <v/>
      </c>
      <c r="N361" s="7" t="inlineStr">
        <is>
          <t>MAG</t>
        </is>
      </c>
      <c r="O361" s="7" t="inlineStr">
        <is>
          <t>IMPORTANT</t>
        </is>
      </c>
      <c r="P361" s="7" t="inlineStr">
        <is>
          <t>31/08/2026 02:59</t>
        </is>
      </c>
    </row>
    <row r="362">
      <c r="A362" s="8" t="inlineStr">
        <is>
          <t>WHAP 8x8</t>
        </is>
      </c>
      <c r="B362" s="8" t="inlineStr">
        <is>
          <t>WHAP-0358</t>
        </is>
      </c>
      <c r="C362" s="8" t="inlineStr">
        <is>
          <t>ELE-0358</t>
        </is>
      </c>
      <c r="D362" s="8" t="inlineStr">
        <is>
          <t>faisceau éclairage</t>
        </is>
      </c>
      <c r="E362" s="8" t="inlineStr">
        <is>
          <t>Électricité</t>
        </is>
      </c>
      <c r="F362" s="8" t="inlineStr">
        <is>
          <t>Électricité</t>
        </is>
      </c>
      <c r="G362" s="8" t="inlineStr">
        <is>
          <t>PIECE_VEHICULE</t>
        </is>
      </c>
      <c r="H362" s="8" t="n">
        <v>1</v>
      </c>
      <c r="I362" s="8">
        <f>H362*$D$3</f>
        <v/>
      </c>
      <c r="J362" s="8" t="inlineStr">
        <is>
          <t>unité</t>
        </is>
      </c>
      <c r="K362" s="8" t="n">
        <v>0</v>
      </c>
      <c r="L362" s="8">
        <f>K362-I362</f>
        <v/>
      </c>
      <c r="M362" s="8">
        <f>IF(K362&lt;I362,"✕ INSUFFISANT",IF(K362&lt;I362*1.2,"⚠ STOCK FAIBLE","✓ COUVERT"))</f>
        <v/>
      </c>
      <c r="N362" s="8" t="inlineStr">
        <is>
          <t>SUM</t>
        </is>
      </c>
      <c r="O362" s="8" t="inlineStr">
        <is>
          <t>IMPORTANT</t>
        </is>
      </c>
      <c r="P362" s="8" t="inlineStr">
        <is>
          <t>31/08/2026 02:59</t>
        </is>
      </c>
    </row>
    <row r="363">
      <c r="A363" s="7" t="inlineStr">
        <is>
          <t>WHAP 8x8</t>
        </is>
      </c>
      <c r="B363" s="7" t="inlineStr">
        <is>
          <t>WHAP-0359</t>
        </is>
      </c>
      <c r="C363" s="7" t="inlineStr">
        <is>
          <t>ELE-0359</t>
        </is>
      </c>
      <c r="D363" s="7" t="inlineStr">
        <is>
          <t>connecteur étanche</t>
        </is>
      </c>
      <c r="E363" s="7" t="inlineStr">
        <is>
          <t>Électricité</t>
        </is>
      </c>
      <c r="F363" s="7" t="inlineStr">
        <is>
          <t>Électricité</t>
        </is>
      </c>
      <c r="G363" s="7" t="inlineStr">
        <is>
          <t>PIECE_VEHICULE</t>
        </is>
      </c>
      <c r="H363" s="7" t="n">
        <v>1</v>
      </c>
      <c r="I363" s="7">
        <f>H363*$D$3</f>
        <v/>
      </c>
      <c r="J363" s="7" t="inlineStr">
        <is>
          <t>unité</t>
        </is>
      </c>
      <c r="K363" s="7" t="n">
        <v>0</v>
      </c>
      <c r="L363" s="7">
        <f>K363-I363</f>
        <v/>
      </c>
      <c r="M363" s="7">
        <f>IF(K363&lt;I363,"✕ INSUFFISANT",IF(K363&lt;I363*1.2,"⚠ STOCK FAIBLE","✓ COUVERT"))</f>
        <v/>
      </c>
      <c r="N363" s="7" t="inlineStr">
        <is>
          <t>DEL</t>
        </is>
      </c>
      <c r="O363" s="7" t="inlineStr">
        <is>
          <t>IMPORTANT</t>
        </is>
      </c>
      <c r="P363" s="7" t="inlineStr">
        <is>
          <t>31/08/2026 02:59</t>
        </is>
      </c>
    </row>
    <row r="364">
      <c r="A364" s="8" t="inlineStr">
        <is>
          <t>WHAP 8x8</t>
        </is>
      </c>
      <c r="B364" s="8" t="inlineStr">
        <is>
          <t>WHAP-0360</t>
        </is>
      </c>
      <c r="C364" s="8" t="inlineStr">
        <is>
          <t>ELE-0360</t>
        </is>
      </c>
      <c r="D364" s="8" t="inlineStr">
        <is>
          <t>borne électrique</t>
        </is>
      </c>
      <c r="E364" s="8" t="inlineStr">
        <is>
          <t>Électricité</t>
        </is>
      </c>
      <c r="F364" s="8" t="inlineStr">
        <is>
          <t>Électricité</t>
        </is>
      </c>
      <c r="G364" s="8" t="inlineStr">
        <is>
          <t>PIECE_VEHICULE</t>
        </is>
      </c>
      <c r="H364" s="8" t="n">
        <v>1</v>
      </c>
      <c r="I364" s="8">
        <f>H364*$D$3</f>
        <v/>
      </c>
      <c r="J364" s="8" t="inlineStr">
        <is>
          <t>unité</t>
        </is>
      </c>
      <c r="K364" s="8" t="n">
        <v>0</v>
      </c>
      <c r="L364" s="8">
        <f>K364-I364</f>
        <v/>
      </c>
      <c r="M364" s="8">
        <f>IF(K364&lt;I364,"✕ INSUFFISANT",IF(K364&lt;I364*1.2,"⚠ STOCK FAIBLE","✓ COUVERT"))</f>
        <v/>
      </c>
      <c r="N364" s="8" t="inlineStr">
        <is>
          <t>BOS</t>
        </is>
      </c>
      <c r="O364" s="8" t="inlineStr">
        <is>
          <t>IMPORTANT</t>
        </is>
      </c>
      <c r="P364" s="8" t="inlineStr">
        <is>
          <t>31/08/2026 02:59</t>
        </is>
      </c>
    </row>
    <row r="365">
      <c r="A365" s="7" t="inlineStr">
        <is>
          <t>WHAP 8x8</t>
        </is>
      </c>
      <c r="B365" s="7" t="inlineStr">
        <is>
          <t>WHAP-0361</t>
        </is>
      </c>
      <c r="C365" s="7" t="inlineStr">
        <is>
          <t>ELE-0361</t>
        </is>
      </c>
      <c r="D365" s="7" t="inlineStr">
        <is>
          <t>gaine électrique</t>
        </is>
      </c>
      <c r="E365" s="7" t="inlineStr">
        <is>
          <t>Électricité</t>
        </is>
      </c>
      <c r="F365" s="7" t="inlineStr">
        <is>
          <t>Électricité</t>
        </is>
      </c>
      <c r="G365" s="7" t="inlineStr">
        <is>
          <t>PIECE_VEHICULE</t>
        </is>
      </c>
      <c r="H365" s="7" t="n">
        <v>1</v>
      </c>
      <c r="I365" s="7">
        <f>H365*$D$3</f>
        <v/>
      </c>
      <c r="J365" s="7" t="inlineStr">
        <is>
          <t>unité</t>
        </is>
      </c>
      <c r="K365" s="7" t="n">
        <v>0</v>
      </c>
      <c r="L365" s="7">
        <f>K365-I365</f>
        <v/>
      </c>
      <c r="M365" s="7">
        <f>IF(K365&lt;I365,"✕ INSUFFISANT",IF(K365&lt;I365*1.2,"⚠ STOCK FAIBLE","✓ COUVERT"))</f>
        <v/>
      </c>
      <c r="N365" s="7" t="inlineStr">
        <is>
          <t>BOS</t>
        </is>
      </c>
      <c r="O365" s="7" t="inlineStr">
        <is>
          <t>IMPORTANT</t>
        </is>
      </c>
      <c r="P365" s="7" t="inlineStr">
        <is>
          <t>31/08/2026 02:59</t>
        </is>
      </c>
    </row>
    <row r="366">
      <c r="A366" s="8" t="inlineStr">
        <is>
          <t>WHAP 8x8</t>
        </is>
      </c>
      <c r="B366" s="8" t="inlineStr">
        <is>
          <t>WHAP-0362</t>
        </is>
      </c>
      <c r="C366" s="8" t="inlineStr">
        <is>
          <t>ELE-0362</t>
        </is>
      </c>
      <c r="D366" s="8" t="inlineStr">
        <is>
          <t>passe-fil</t>
        </is>
      </c>
      <c r="E366" s="8" t="inlineStr">
        <is>
          <t>Électricité</t>
        </is>
      </c>
      <c r="F366" s="8" t="inlineStr">
        <is>
          <t>Électricité</t>
        </is>
      </c>
      <c r="G366" s="8" t="inlineStr">
        <is>
          <t>PIECE_VEHICULE</t>
        </is>
      </c>
      <c r="H366" s="8" t="n">
        <v>1</v>
      </c>
      <c r="I366" s="8">
        <f>H366*$D$3</f>
        <v/>
      </c>
      <c r="J366" s="8" t="inlineStr">
        <is>
          <t>unité</t>
        </is>
      </c>
      <c r="K366" s="8" t="n">
        <v>0</v>
      </c>
      <c r="L366" s="8">
        <f>K366-I366</f>
        <v/>
      </c>
      <c r="M366" s="8">
        <f>IF(K366&lt;I366,"✕ INSUFFISANT",IF(K366&lt;I366*1.2,"⚠ STOCK FAIBLE","✓ COUVERT"))</f>
        <v/>
      </c>
      <c r="N366" s="8" t="inlineStr">
        <is>
          <t>HEL</t>
        </is>
      </c>
      <c r="O366" s="8" t="inlineStr">
        <is>
          <t>IMPORTANT</t>
        </is>
      </c>
      <c r="P366" s="8" t="inlineStr">
        <is>
          <t>31/08/2026 02:59</t>
        </is>
      </c>
    </row>
    <row r="367">
      <c r="A367" s="7" t="inlineStr">
        <is>
          <t>WHAP 8x8</t>
        </is>
      </c>
      <c r="B367" s="7" t="inlineStr">
        <is>
          <t>WHAP-0363</t>
        </is>
      </c>
      <c r="C367" s="7" t="inlineStr">
        <is>
          <t>ELE-0363</t>
        </is>
      </c>
      <c r="D367" s="7" t="inlineStr">
        <is>
          <t>porte-fusible</t>
        </is>
      </c>
      <c r="E367" s="7" t="inlineStr">
        <is>
          <t>Électricité</t>
        </is>
      </c>
      <c r="F367" s="7" t="inlineStr">
        <is>
          <t>Électricité</t>
        </is>
      </c>
      <c r="G367" s="7" t="inlineStr">
        <is>
          <t>PIECE_VEHICULE</t>
        </is>
      </c>
      <c r="H367" s="7" t="n">
        <v>1</v>
      </c>
      <c r="I367" s="7">
        <f>H367*$D$3</f>
        <v/>
      </c>
      <c r="J367" s="7" t="inlineStr">
        <is>
          <t>unité</t>
        </is>
      </c>
      <c r="K367" s="7" t="n">
        <v>0</v>
      </c>
      <c r="L367" s="7">
        <f>K367-I367</f>
        <v/>
      </c>
      <c r="M367" s="7">
        <f>IF(K367&lt;I367,"✕ INSUFFISANT",IF(K367&lt;I367*1.2,"⚠ STOCK FAIBLE","✓ COUVERT"))</f>
        <v/>
      </c>
      <c r="N367" s="7" t="inlineStr">
        <is>
          <t>HEL</t>
        </is>
      </c>
      <c r="O367" s="7" t="inlineStr">
        <is>
          <t>IMPORTANT</t>
        </is>
      </c>
      <c r="P367" s="7" t="inlineStr">
        <is>
          <t>31/08/2026 02:59</t>
        </is>
      </c>
    </row>
    <row r="368">
      <c r="A368" s="8" t="inlineStr">
        <is>
          <t>WHAP 8x8</t>
        </is>
      </c>
      <c r="B368" s="8" t="inlineStr">
        <is>
          <t>WHAP-0364</t>
        </is>
      </c>
      <c r="C368" s="8" t="inlineStr">
        <is>
          <t>ELE-0364</t>
        </is>
      </c>
      <c r="D368" s="8" t="inlineStr">
        <is>
          <t>boîtier de distribution</t>
        </is>
      </c>
      <c r="E368" s="8" t="inlineStr">
        <is>
          <t>Électricité</t>
        </is>
      </c>
      <c r="F368" s="8" t="inlineStr">
        <is>
          <t>Électricité</t>
        </is>
      </c>
      <c r="G368" s="8" t="inlineStr">
        <is>
          <t>PIECE_VEHICULE</t>
        </is>
      </c>
      <c r="H368" s="8" t="n">
        <v>1</v>
      </c>
      <c r="I368" s="8">
        <f>H368*$D$3</f>
        <v/>
      </c>
      <c r="J368" s="8" t="inlineStr">
        <is>
          <t>unité</t>
        </is>
      </c>
      <c r="K368" s="8" t="n">
        <v>0</v>
      </c>
      <c r="L368" s="8">
        <f>K368-I368</f>
        <v/>
      </c>
      <c r="M368" s="8">
        <f>IF(K368&lt;I368,"✕ INSUFFISANT",IF(K368&lt;I368*1.2,"⚠ STOCK FAIBLE","✓ COUVERT"))</f>
        <v/>
      </c>
      <c r="N368" s="8" t="inlineStr">
        <is>
          <t>HEL</t>
        </is>
      </c>
      <c r="O368" s="8" t="inlineStr">
        <is>
          <t>IMPORTANT</t>
        </is>
      </c>
      <c r="P368" s="8" t="inlineStr">
        <is>
          <t>31/08/2026 02:59</t>
        </is>
      </c>
    </row>
    <row r="369">
      <c r="A369" s="7" t="inlineStr">
        <is>
          <t>WHAP 8x8</t>
        </is>
      </c>
      <c r="B369" s="7" t="inlineStr">
        <is>
          <t>WHAP-0365</t>
        </is>
      </c>
      <c r="C369" s="7" t="inlineStr">
        <is>
          <t>ELC-0365</t>
        </is>
      </c>
      <c r="D369" s="7" t="inlineStr">
        <is>
          <t>calculateur moteur</t>
        </is>
      </c>
      <c r="E369" s="7" t="inlineStr">
        <is>
          <t>Électronique et capteurs</t>
        </is>
      </c>
      <c r="F369" s="7" t="inlineStr">
        <is>
          <t>Électronique et capteurs</t>
        </is>
      </c>
      <c r="G369" s="7" t="inlineStr">
        <is>
          <t>PIECE_VEHICULE</t>
        </is>
      </c>
      <c r="H369" s="7" t="n">
        <v>1</v>
      </c>
      <c r="I369" s="7">
        <f>H369*$D$3</f>
        <v/>
      </c>
      <c r="J369" s="7" t="inlineStr">
        <is>
          <t>unité</t>
        </is>
      </c>
      <c r="K369" s="7" t="n">
        <v>1320</v>
      </c>
      <c r="L369" s="7">
        <f>K369-I369</f>
        <v/>
      </c>
      <c r="M369" s="7">
        <f>IF(K369&lt;I369,"✕ INSUFFISANT",IF(K369&lt;I369*1.2,"⚠ STOCK FAIBLE","✓ COUVERT"))</f>
        <v/>
      </c>
      <c r="N369" s="7" t="inlineStr">
        <is>
          <t>MAG</t>
        </is>
      </c>
      <c r="O369" s="7" t="inlineStr">
        <is>
          <t>IMPORTANT</t>
        </is>
      </c>
      <c r="P369" s="7" t="inlineStr">
        <is>
          <t>31/08/2026 02:59</t>
        </is>
      </c>
    </row>
    <row r="370">
      <c r="A370" s="8" t="inlineStr">
        <is>
          <t>WHAP 8x8</t>
        </is>
      </c>
      <c r="B370" s="8" t="inlineStr">
        <is>
          <t>WHAP-0366</t>
        </is>
      </c>
      <c r="C370" s="8" t="inlineStr">
        <is>
          <t>ELC-0366</t>
        </is>
      </c>
      <c r="D370" s="8" t="inlineStr">
        <is>
          <t>calculateur transmission</t>
        </is>
      </c>
      <c r="E370" s="8" t="inlineStr">
        <is>
          <t>Électronique et capteurs</t>
        </is>
      </c>
      <c r="F370" s="8" t="inlineStr">
        <is>
          <t>Électronique et capteurs</t>
        </is>
      </c>
      <c r="G370" s="8" t="inlineStr">
        <is>
          <t>PIECE_VEHICULE</t>
        </is>
      </c>
      <c r="H370" s="8" t="n">
        <v>1</v>
      </c>
      <c r="I370" s="8">
        <f>H370*$D$3</f>
        <v/>
      </c>
      <c r="J370" s="8" t="inlineStr">
        <is>
          <t>unité</t>
        </is>
      </c>
      <c r="K370" s="8" t="n">
        <v>1880</v>
      </c>
      <c r="L370" s="8">
        <f>K370-I370</f>
        <v/>
      </c>
      <c r="M370" s="8">
        <f>IF(K370&lt;I370,"✕ INSUFFISANT",IF(K370&lt;I370*1.2,"⚠ STOCK FAIBLE","✓ COUVERT"))</f>
        <v/>
      </c>
      <c r="N370" s="8" t="inlineStr">
        <is>
          <t>VAL</t>
        </is>
      </c>
      <c r="O370" s="8" t="inlineStr">
        <is>
          <t>IMPORTANT</t>
        </is>
      </c>
      <c r="P370" s="8" t="inlineStr">
        <is>
          <t>31/08/2026 02:59</t>
        </is>
      </c>
    </row>
    <row r="371">
      <c r="A371" s="7" t="inlineStr">
        <is>
          <t>WHAP 8x8</t>
        </is>
      </c>
      <c r="B371" s="7" t="inlineStr">
        <is>
          <t>WHAP-0367</t>
        </is>
      </c>
      <c r="C371" s="7" t="inlineStr">
        <is>
          <t>ELC-0367</t>
        </is>
      </c>
      <c r="D371" s="7" t="inlineStr">
        <is>
          <t>calculateur ABS</t>
        </is>
      </c>
      <c r="E371" s="7" t="inlineStr">
        <is>
          <t>Électronique et capteurs</t>
        </is>
      </c>
      <c r="F371" s="7" t="inlineStr">
        <is>
          <t>Électronique et capteurs</t>
        </is>
      </c>
      <c r="G371" s="7" t="inlineStr">
        <is>
          <t>PIECE_VEHICULE</t>
        </is>
      </c>
      <c r="H371" s="7" t="n">
        <v>1</v>
      </c>
      <c r="I371" s="7">
        <f>H371*$D$3</f>
        <v/>
      </c>
      <c r="J371" s="7" t="inlineStr">
        <is>
          <t>unité</t>
        </is>
      </c>
      <c r="K371" s="7" t="n">
        <v>0</v>
      </c>
      <c r="L371" s="7">
        <f>K371-I371</f>
        <v/>
      </c>
      <c r="M371" s="7">
        <f>IF(K371&lt;I371,"✕ INSUFFISANT",IF(K371&lt;I371*1.2,"⚠ STOCK FAIBLE","✓ COUVERT"))</f>
        <v/>
      </c>
      <c r="N371" s="7" t="inlineStr">
        <is>
          <t>SUM</t>
        </is>
      </c>
      <c r="O371" s="7" t="inlineStr">
        <is>
          <t>IMPORTANT</t>
        </is>
      </c>
      <c r="P371" s="7" t="inlineStr">
        <is>
          <t>31/08/2026 02:59</t>
        </is>
      </c>
    </row>
    <row r="372">
      <c r="A372" s="8" t="inlineStr">
        <is>
          <t>WHAP 8x8</t>
        </is>
      </c>
      <c r="B372" s="8" t="inlineStr">
        <is>
          <t>WHAP-0368</t>
        </is>
      </c>
      <c r="C372" s="8" t="inlineStr">
        <is>
          <t>ELC-0368</t>
        </is>
      </c>
      <c r="D372" s="8" t="inlineStr">
        <is>
          <t>calculateur CTIS</t>
        </is>
      </c>
      <c r="E372" s="8" t="inlineStr">
        <is>
          <t>Électronique et capteurs</t>
        </is>
      </c>
      <c r="F372" s="8" t="inlineStr">
        <is>
          <t>Électronique et capteurs</t>
        </is>
      </c>
      <c r="G372" s="8" t="inlineStr">
        <is>
          <t>PIECE_VEHICULE</t>
        </is>
      </c>
      <c r="H372" s="8" t="n">
        <v>1</v>
      </c>
      <c r="I372" s="8">
        <f>H372*$D$3</f>
        <v/>
      </c>
      <c r="J372" s="8" t="inlineStr">
        <is>
          <t>unité</t>
        </is>
      </c>
      <c r="K372" s="8" t="n">
        <v>0</v>
      </c>
      <c r="L372" s="8">
        <f>K372-I372</f>
        <v/>
      </c>
      <c r="M372" s="8">
        <f>IF(K372&lt;I372,"✕ INSUFFISANT",IF(K372&lt;I372*1.2,"⚠ STOCK FAIBLE","✓ COUVERT"))</f>
        <v/>
      </c>
      <c r="N372" s="8" t="inlineStr">
        <is>
          <t>MAG</t>
        </is>
      </c>
      <c r="O372" s="8" t="inlineStr">
        <is>
          <t>IMPORTANT</t>
        </is>
      </c>
      <c r="P372" s="8" t="inlineStr">
        <is>
          <t>31/08/2026 02:59</t>
        </is>
      </c>
    </row>
    <row r="373">
      <c r="A373" s="7" t="inlineStr">
        <is>
          <t>WHAP 8x8</t>
        </is>
      </c>
      <c r="B373" s="7" t="inlineStr">
        <is>
          <t>WHAP-0369</t>
        </is>
      </c>
      <c r="C373" s="7" t="inlineStr">
        <is>
          <t>ELC-0369</t>
        </is>
      </c>
      <c r="D373" s="7" t="inlineStr">
        <is>
          <t>unité de contrôle véhicule</t>
        </is>
      </c>
      <c r="E373" s="7" t="inlineStr">
        <is>
          <t>Électronique et capteurs</t>
        </is>
      </c>
      <c r="F373" s="7" t="inlineStr">
        <is>
          <t>Électronique et capteurs</t>
        </is>
      </c>
      <c r="G373" s="7" t="inlineStr">
        <is>
          <t>PIECE_VEHICULE</t>
        </is>
      </c>
      <c r="H373" s="7" t="n">
        <v>1</v>
      </c>
      <c r="I373" s="7">
        <f>H373*$D$3</f>
        <v/>
      </c>
      <c r="J373" s="7" t="inlineStr">
        <is>
          <t>unité</t>
        </is>
      </c>
      <c r="K373" s="7" t="n">
        <v>0</v>
      </c>
      <c r="L373" s="7">
        <f>K373-I373</f>
        <v/>
      </c>
      <c r="M373" s="7">
        <f>IF(K373&lt;I373,"✕ INSUFFISANT",IF(K373&lt;I373*1.2,"⚠ STOCK FAIBLE","✓ COUVERT"))</f>
        <v/>
      </c>
      <c r="N373" s="7" t="inlineStr">
        <is>
          <t>MAG</t>
        </is>
      </c>
      <c r="O373" s="7" t="inlineStr">
        <is>
          <t>IMPORTANT</t>
        </is>
      </c>
      <c r="P373" s="7" t="inlineStr">
        <is>
          <t>31/08/2026 02:59</t>
        </is>
      </c>
    </row>
    <row r="374">
      <c r="A374" s="8" t="inlineStr">
        <is>
          <t>WHAP 8x8</t>
        </is>
      </c>
      <c r="B374" s="8" t="inlineStr">
        <is>
          <t>WHAP-0370</t>
        </is>
      </c>
      <c r="C374" s="8" t="inlineStr">
        <is>
          <t>ELC-0370</t>
        </is>
      </c>
      <c r="D374" s="8" t="inlineStr">
        <is>
          <t>module I/O</t>
        </is>
      </c>
      <c r="E374" s="8" t="inlineStr">
        <is>
          <t>Électronique et capteurs</t>
        </is>
      </c>
      <c r="F374" s="8" t="inlineStr">
        <is>
          <t>Électronique et capteurs</t>
        </is>
      </c>
      <c r="G374" s="8" t="inlineStr">
        <is>
          <t>PIECE_VEHICULE</t>
        </is>
      </c>
      <c r="H374" s="8" t="n">
        <v>1</v>
      </c>
      <c r="I374" s="8">
        <f>H374*$D$3</f>
        <v/>
      </c>
      <c r="J374" s="8" t="inlineStr">
        <is>
          <t>unité</t>
        </is>
      </c>
      <c r="K374" s="8" t="n">
        <v>0</v>
      </c>
      <c r="L374" s="8">
        <f>K374-I374</f>
        <v/>
      </c>
      <c r="M374" s="8">
        <f>IF(K374&lt;I374,"✕ INSUFFISANT",IF(K374&lt;I374*1.2,"⚠ STOCK FAIBLE","✓ COUVERT"))</f>
        <v/>
      </c>
      <c r="N374" s="8" t="inlineStr">
        <is>
          <t>SKF</t>
        </is>
      </c>
      <c r="O374" s="8" t="inlineStr">
        <is>
          <t>IMPORTANT</t>
        </is>
      </c>
      <c r="P374" s="8" t="inlineStr">
        <is>
          <t>31/08/2026 02:59</t>
        </is>
      </c>
    </row>
    <row r="375">
      <c r="A375" s="7" t="inlineStr">
        <is>
          <t>WHAP 8x8</t>
        </is>
      </c>
      <c r="B375" s="7" t="inlineStr">
        <is>
          <t>WHAP-0371</t>
        </is>
      </c>
      <c r="C375" s="7" t="inlineStr">
        <is>
          <t>ELC-0371</t>
        </is>
      </c>
      <c r="D375" s="7" t="inlineStr">
        <is>
          <t>capteur température</t>
        </is>
      </c>
      <c r="E375" s="7" t="inlineStr">
        <is>
          <t>Électronique et capteurs</t>
        </is>
      </c>
      <c r="F375" s="7" t="inlineStr">
        <is>
          <t>Électronique et capteurs</t>
        </is>
      </c>
      <c r="G375" s="7" t="inlineStr">
        <is>
          <t>PIECE_VEHICULE</t>
        </is>
      </c>
      <c r="H375" s="7" t="n">
        <v>1</v>
      </c>
      <c r="I375" s="7">
        <f>H375*$D$3</f>
        <v/>
      </c>
      <c r="J375" s="7" t="inlineStr">
        <is>
          <t>unité</t>
        </is>
      </c>
      <c r="K375" s="7" t="n">
        <v>0</v>
      </c>
      <c r="L375" s="7">
        <f>K375-I375</f>
        <v/>
      </c>
      <c r="M375" s="7">
        <f>IF(K375&lt;I375,"✕ INSUFFISANT",IF(K375&lt;I375*1.2,"⚠ STOCK FAIBLE","✓ COUVERT"))</f>
        <v/>
      </c>
      <c r="N375" s="7" t="inlineStr">
        <is>
          <t>CTL</t>
        </is>
      </c>
      <c r="O375" s="7" t="inlineStr">
        <is>
          <t>IMPORTANT</t>
        </is>
      </c>
      <c r="P375" s="7" t="inlineStr">
        <is>
          <t>31/08/2026 02:59</t>
        </is>
      </c>
    </row>
    <row r="376">
      <c r="A376" s="8" t="inlineStr">
        <is>
          <t>WHAP 8x8</t>
        </is>
      </c>
      <c r="B376" s="8" t="inlineStr">
        <is>
          <t>WHAP-0372</t>
        </is>
      </c>
      <c r="C376" s="8" t="inlineStr">
        <is>
          <t>ELC-0372</t>
        </is>
      </c>
      <c r="D376" s="8" t="inlineStr">
        <is>
          <t>capteur pression</t>
        </is>
      </c>
      <c r="E376" s="8" t="inlineStr">
        <is>
          <t>Électronique et capteurs</t>
        </is>
      </c>
      <c r="F376" s="8" t="inlineStr">
        <is>
          <t>Électronique et capteurs</t>
        </is>
      </c>
      <c r="G376" s="8" t="inlineStr">
        <is>
          <t>PIECE_VEHICULE</t>
        </is>
      </c>
      <c r="H376" s="8" t="n">
        <v>1</v>
      </c>
      <c r="I376" s="8">
        <f>H376*$D$3</f>
        <v/>
      </c>
      <c r="J376" s="8" t="inlineStr">
        <is>
          <t>unité</t>
        </is>
      </c>
      <c r="K376" s="8" t="n">
        <v>0</v>
      </c>
      <c r="L376" s="8">
        <f>K376-I376</f>
        <v/>
      </c>
      <c r="M376" s="8">
        <f>IF(K376&lt;I376,"✕ INSUFFISANT",IF(K376&lt;I376*1.2,"⚠ STOCK FAIBLE","✓ COUVERT"))</f>
        <v/>
      </c>
      <c r="N376" s="8" t="inlineStr">
        <is>
          <t>YZK</t>
        </is>
      </c>
      <c r="O376" s="8" t="inlineStr">
        <is>
          <t>IMPORTANT</t>
        </is>
      </c>
      <c r="P376" s="8" t="inlineStr">
        <is>
          <t>31/08/2026 02:59</t>
        </is>
      </c>
    </row>
    <row r="377">
      <c r="A377" s="7" t="inlineStr">
        <is>
          <t>WHAP 8x8</t>
        </is>
      </c>
      <c r="B377" s="7" t="inlineStr">
        <is>
          <t>WHAP-0373</t>
        </is>
      </c>
      <c r="C377" s="7" t="inlineStr">
        <is>
          <t>ELC-0373</t>
        </is>
      </c>
      <c r="D377" s="7" t="inlineStr">
        <is>
          <t>capteur vitesse</t>
        </is>
      </c>
      <c r="E377" s="7" t="inlineStr">
        <is>
          <t>Électronique et capteurs</t>
        </is>
      </c>
      <c r="F377" s="7" t="inlineStr">
        <is>
          <t>Électronique et capteurs</t>
        </is>
      </c>
      <c r="G377" s="7" t="inlineStr">
        <is>
          <t>PIECE_VEHICULE</t>
        </is>
      </c>
      <c r="H377" s="7" t="n">
        <v>1</v>
      </c>
      <c r="I377" s="7">
        <f>H377*$D$3</f>
        <v/>
      </c>
      <c r="J377" s="7" t="inlineStr">
        <is>
          <t>unité</t>
        </is>
      </c>
      <c r="K377" s="7" t="n">
        <v>0</v>
      </c>
      <c r="L377" s="7">
        <f>K377-I377</f>
        <v/>
      </c>
      <c r="M377" s="7">
        <f>IF(K377&lt;I377,"✕ INSUFFISANT",IF(K377&lt;I377*1.2,"⚠ STOCK FAIBLE","✓ COUVERT"))</f>
        <v/>
      </c>
      <c r="N377" s="7" t="inlineStr">
        <is>
          <t>CTL</t>
        </is>
      </c>
      <c r="O377" s="7" t="inlineStr">
        <is>
          <t>IMPORTANT</t>
        </is>
      </c>
      <c r="P377" s="7" t="inlineStr">
        <is>
          <t>31/08/2026 02:59</t>
        </is>
      </c>
    </row>
    <row r="378">
      <c r="A378" s="8" t="inlineStr">
        <is>
          <t>WHAP 8x8</t>
        </is>
      </c>
      <c r="B378" s="8" t="inlineStr">
        <is>
          <t>WHAP-0374</t>
        </is>
      </c>
      <c r="C378" s="8" t="inlineStr">
        <is>
          <t>ELC-0374</t>
        </is>
      </c>
      <c r="D378" s="8" t="inlineStr">
        <is>
          <t>capteur position</t>
        </is>
      </c>
      <c r="E378" s="8" t="inlineStr">
        <is>
          <t>Électronique et capteurs</t>
        </is>
      </c>
      <c r="F378" s="8" t="inlineStr">
        <is>
          <t>Électronique et capteurs</t>
        </is>
      </c>
      <c r="G378" s="8" t="inlineStr">
        <is>
          <t>PIECE_VEHICULE</t>
        </is>
      </c>
      <c r="H378" s="8" t="n">
        <v>1</v>
      </c>
      <c r="I378" s="8">
        <f>H378*$D$3</f>
        <v/>
      </c>
      <c r="J378" s="8" t="inlineStr">
        <is>
          <t>unité</t>
        </is>
      </c>
      <c r="K378" s="8" t="n">
        <v>0</v>
      </c>
      <c r="L378" s="8">
        <f>K378-I378</f>
        <v/>
      </c>
      <c r="M378" s="8">
        <f>IF(K378&lt;I378,"✕ INSUFFISANT",IF(K378&lt;I378*1.2,"⚠ STOCK FAIBLE","✓ COUVERT"))</f>
        <v/>
      </c>
      <c r="N378" s="8" t="inlineStr">
        <is>
          <t>FAU</t>
        </is>
      </c>
      <c r="O378" s="8" t="inlineStr">
        <is>
          <t>IMPORTANT</t>
        </is>
      </c>
      <c r="P378" s="8" t="inlineStr">
        <is>
          <t>31/08/2026 02:59</t>
        </is>
      </c>
    </row>
    <row r="379">
      <c r="A379" s="7" t="inlineStr">
        <is>
          <t>WHAP 8x8</t>
        </is>
      </c>
      <c r="B379" s="7" t="inlineStr">
        <is>
          <t>WHAP-0375</t>
        </is>
      </c>
      <c r="C379" s="7" t="inlineStr">
        <is>
          <t>ELC-0375</t>
        </is>
      </c>
      <c r="D379" s="7" t="inlineStr">
        <is>
          <t>capteur niveau</t>
        </is>
      </c>
      <c r="E379" s="7" t="inlineStr">
        <is>
          <t>Électronique et capteurs</t>
        </is>
      </c>
      <c r="F379" s="7" t="inlineStr">
        <is>
          <t>Électronique et capteurs</t>
        </is>
      </c>
      <c r="G379" s="7" t="inlineStr">
        <is>
          <t>PIECE_VEHICULE</t>
        </is>
      </c>
      <c r="H379" s="7" t="n">
        <v>1</v>
      </c>
      <c r="I379" s="7">
        <f>H379*$D$3</f>
        <v/>
      </c>
      <c r="J379" s="7" t="inlineStr">
        <is>
          <t>unité</t>
        </is>
      </c>
      <c r="K379" s="7" t="n">
        <v>0</v>
      </c>
      <c r="L379" s="7">
        <f>K379-I379</f>
        <v/>
      </c>
      <c r="M379" s="7">
        <f>IF(K379&lt;I379,"✕ INSUFFISANT",IF(K379&lt;I379*1.2,"⚠ STOCK FAIBLE","✓ COUVERT"))</f>
        <v/>
      </c>
      <c r="N379" s="7" t="inlineStr">
        <is>
          <t>FAU</t>
        </is>
      </c>
      <c r="O379" s="7" t="inlineStr">
        <is>
          <t>IMPORTANT</t>
        </is>
      </c>
      <c r="P379" s="7" t="inlineStr">
        <is>
          <t>31/08/2026 02:59</t>
        </is>
      </c>
    </row>
    <row r="380">
      <c r="A380" s="8" t="inlineStr">
        <is>
          <t>WHAP 8x8</t>
        </is>
      </c>
      <c r="B380" s="8" t="inlineStr">
        <is>
          <t>WHAP-0376</t>
        </is>
      </c>
      <c r="C380" s="8" t="inlineStr">
        <is>
          <t>ELC-0376</t>
        </is>
      </c>
      <c r="D380" s="8" t="inlineStr">
        <is>
          <t>capteur débit</t>
        </is>
      </c>
      <c r="E380" s="8" t="inlineStr">
        <is>
          <t>Électronique et capteurs</t>
        </is>
      </c>
      <c r="F380" s="8" t="inlineStr">
        <is>
          <t>Électronique et capteurs</t>
        </is>
      </c>
      <c r="G380" s="8" t="inlineStr">
        <is>
          <t>PIECE_VEHICULE</t>
        </is>
      </c>
      <c r="H380" s="8" t="n">
        <v>1</v>
      </c>
      <c r="I380" s="8">
        <f>H380*$D$3</f>
        <v/>
      </c>
      <c r="J380" s="8" t="inlineStr">
        <is>
          <t>unité</t>
        </is>
      </c>
      <c r="K380" s="8" t="n">
        <v>0</v>
      </c>
      <c r="L380" s="8">
        <f>K380-I380</f>
        <v/>
      </c>
      <c r="M380" s="8">
        <f>IF(K380&lt;I380,"✕ INSUFFISANT",IF(K380&lt;I380*1.2,"⚠ STOCK FAIBLE","✓ COUVERT"))</f>
        <v/>
      </c>
      <c r="N380" s="8" t="inlineStr">
        <is>
          <t>BOS</t>
        </is>
      </c>
      <c r="O380" s="8" t="inlineStr">
        <is>
          <t>IMPORTANT</t>
        </is>
      </c>
      <c r="P380" s="8" t="inlineStr">
        <is>
          <t>31/08/2026 02:59</t>
        </is>
      </c>
    </row>
    <row r="381">
      <c r="A381" s="7" t="inlineStr">
        <is>
          <t>WHAP 8x8</t>
        </is>
      </c>
      <c r="B381" s="7" t="inlineStr">
        <is>
          <t>WHAP-0377</t>
        </is>
      </c>
      <c r="C381" s="7" t="inlineStr">
        <is>
          <t>ELC-0377</t>
        </is>
      </c>
      <c r="D381" s="7" t="inlineStr">
        <is>
          <t>capteur accélération</t>
        </is>
      </c>
      <c r="E381" s="7" t="inlineStr">
        <is>
          <t>Électronique et capteurs</t>
        </is>
      </c>
      <c r="F381" s="7" t="inlineStr">
        <is>
          <t>Électronique et capteurs</t>
        </is>
      </c>
      <c r="G381" s="7" t="inlineStr">
        <is>
          <t>PIECE_VEHICULE</t>
        </is>
      </c>
      <c r="H381" s="7" t="n">
        <v>1</v>
      </c>
      <c r="I381" s="7">
        <f>H381*$D$3</f>
        <v/>
      </c>
      <c r="J381" s="7" t="inlineStr">
        <is>
          <t>unité</t>
        </is>
      </c>
      <c r="K381" s="7" t="n">
        <v>0</v>
      </c>
      <c r="L381" s="7">
        <f>K381-I381</f>
        <v/>
      </c>
      <c r="M381" s="7">
        <f>IF(K381&lt;I381,"✕ INSUFFISANT",IF(K381&lt;I381*1.2,"⚠ STOCK FAIBLE","✓ COUVERT"))</f>
        <v/>
      </c>
      <c r="N381" s="7" t="inlineStr">
        <is>
          <t>DEL</t>
        </is>
      </c>
      <c r="O381" s="7" t="inlineStr">
        <is>
          <t>IMPORTANT</t>
        </is>
      </c>
      <c r="P381" s="7" t="inlineStr">
        <is>
          <t>31/08/2026 02:59</t>
        </is>
      </c>
    </row>
    <row r="382">
      <c r="A382" s="8" t="inlineStr">
        <is>
          <t>WHAP 8x8</t>
        </is>
      </c>
      <c r="B382" s="8" t="inlineStr">
        <is>
          <t>WHAP-0378</t>
        </is>
      </c>
      <c r="C382" s="8" t="inlineStr">
        <is>
          <t>ELC-0378</t>
        </is>
      </c>
      <c r="D382" s="8" t="inlineStr">
        <is>
          <t>capteur inclinaison</t>
        </is>
      </c>
      <c r="E382" s="8" t="inlineStr">
        <is>
          <t>Électronique et capteurs</t>
        </is>
      </c>
      <c r="F382" s="8" t="inlineStr">
        <is>
          <t>Électronique et capteurs</t>
        </is>
      </c>
      <c r="G382" s="8" t="inlineStr">
        <is>
          <t>PIECE_VEHICULE</t>
        </is>
      </c>
      <c r="H382" s="8" t="n">
        <v>1</v>
      </c>
      <c r="I382" s="8">
        <f>H382*$D$3</f>
        <v/>
      </c>
      <c r="J382" s="8" t="inlineStr">
        <is>
          <t>unité</t>
        </is>
      </c>
      <c r="K382" s="8" t="n">
        <v>0</v>
      </c>
      <c r="L382" s="8">
        <f>K382-I382</f>
        <v/>
      </c>
      <c r="M382" s="8">
        <f>IF(K382&lt;I382,"✕ INSUFFISANT",IF(K382&lt;I382*1.2,"⚠ STOCK FAIBLE","✓ COUVERT"))</f>
        <v/>
      </c>
      <c r="N382" s="8" t="inlineStr">
        <is>
          <t>HEL</t>
        </is>
      </c>
      <c r="O382" s="8" t="inlineStr">
        <is>
          <t>IMPORTANT</t>
        </is>
      </c>
      <c r="P382" s="8" t="inlineStr">
        <is>
          <t>31/08/2026 02:59</t>
        </is>
      </c>
    </row>
    <row r="383">
      <c r="A383" s="7" t="inlineStr">
        <is>
          <t>WHAP 8x8</t>
        </is>
      </c>
      <c r="B383" s="7" t="inlineStr">
        <is>
          <t>WHAP-0379</t>
        </is>
      </c>
      <c r="C383" s="7" t="inlineStr">
        <is>
          <t>ELC-0379</t>
        </is>
      </c>
      <c r="D383" s="7" t="inlineStr">
        <is>
          <t>capteur ouverture porte</t>
        </is>
      </c>
      <c r="E383" s="7" t="inlineStr">
        <is>
          <t>Électronique et capteurs</t>
        </is>
      </c>
      <c r="F383" s="7" t="inlineStr">
        <is>
          <t>Électronique et capteurs</t>
        </is>
      </c>
      <c r="G383" s="7" t="inlineStr">
        <is>
          <t>PIECE_VEHICULE</t>
        </is>
      </c>
      <c r="H383" s="7" t="n">
        <v>1</v>
      </c>
      <c r="I383" s="7">
        <f>H383*$D$3</f>
        <v/>
      </c>
      <c r="J383" s="7" t="inlineStr">
        <is>
          <t>unité</t>
        </is>
      </c>
      <c r="K383" s="7" t="n">
        <v>0</v>
      </c>
      <c r="L383" s="7">
        <f>K383-I383</f>
        <v/>
      </c>
      <c r="M383" s="7">
        <f>IF(K383&lt;I383,"✕ INSUFFISANT",IF(K383&lt;I383*1.2,"⚠ STOCK FAIBLE","✓ COUVERT"))</f>
        <v/>
      </c>
      <c r="N383" s="7" t="inlineStr">
        <is>
          <t>SUM</t>
        </is>
      </c>
      <c r="O383" s="7" t="inlineStr">
        <is>
          <t>IMPORTANT</t>
        </is>
      </c>
      <c r="P383" s="7" t="inlineStr">
        <is>
          <t>31/08/2026 02:59</t>
        </is>
      </c>
    </row>
    <row r="384">
      <c r="A384" s="8" t="inlineStr">
        <is>
          <t>WHAP 8x8</t>
        </is>
      </c>
      <c r="B384" s="8" t="inlineStr">
        <is>
          <t>WHAP-0380</t>
        </is>
      </c>
      <c r="C384" s="8" t="inlineStr">
        <is>
          <t>ELC-0380</t>
        </is>
      </c>
      <c r="D384" s="8" t="inlineStr">
        <is>
          <t>capteur présence</t>
        </is>
      </c>
      <c r="E384" s="8" t="inlineStr">
        <is>
          <t>Électronique et capteurs</t>
        </is>
      </c>
      <c r="F384" s="8" t="inlineStr">
        <is>
          <t>Électronique et capteurs</t>
        </is>
      </c>
      <c r="G384" s="8" t="inlineStr">
        <is>
          <t>PIECE_VEHICULE</t>
        </is>
      </c>
      <c r="H384" s="8" t="n">
        <v>1</v>
      </c>
      <c r="I384" s="8">
        <f>H384*$D$3</f>
        <v/>
      </c>
      <c r="J384" s="8" t="inlineStr">
        <is>
          <t>unité</t>
        </is>
      </c>
      <c r="K384" s="8" t="n">
        <v>0</v>
      </c>
      <c r="L384" s="8">
        <f>K384-I384</f>
        <v/>
      </c>
      <c r="M384" s="8">
        <f>IF(K384&lt;I384,"✕ INSUFFISANT",IF(K384&lt;I384*1.2,"⚠ STOCK FAIBLE","✓ COUVERT"))</f>
        <v/>
      </c>
      <c r="N384" s="8" t="inlineStr">
        <is>
          <t>SUM</t>
        </is>
      </c>
      <c r="O384" s="8" t="inlineStr">
        <is>
          <t>IMPORTANT</t>
        </is>
      </c>
      <c r="P384" s="8" t="inlineStr">
        <is>
          <t>31/08/2026 02:59</t>
        </is>
      </c>
    </row>
    <row r="385">
      <c r="A385" s="7" t="inlineStr">
        <is>
          <t>WHAP 8x8</t>
        </is>
      </c>
      <c r="B385" s="7" t="inlineStr">
        <is>
          <t>WHAP-0381</t>
        </is>
      </c>
      <c r="C385" s="7" t="inlineStr">
        <is>
          <t>ELC-0381</t>
        </is>
      </c>
      <c r="D385" s="7" t="inlineStr">
        <is>
          <t>capteur fumée</t>
        </is>
      </c>
      <c r="E385" s="7" t="inlineStr">
        <is>
          <t>Électronique et capteurs</t>
        </is>
      </c>
      <c r="F385" s="7" t="inlineStr">
        <is>
          <t>Électronique et capteurs</t>
        </is>
      </c>
      <c r="G385" s="7" t="inlineStr">
        <is>
          <t>PIECE_VEHICULE</t>
        </is>
      </c>
      <c r="H385" s="7" t="n">
        <v>1</v>
      </c>
      <c r="I385" s="7">
        <f>H385*$D$3</f>
        <v/>
      </c>
      <c r="J385" s="7" t="inlineStr">
        <is>
          <t>unité</t>
        </is>
      </c>
      <c r="K385" s="7" t="n">
        <v>0</v>
      </c>
      <c r="L385" s="7">
        <f>K385-I385</f>
        <v/>
      </c>
      <c r="M385" s="7">
        <f>IF(K385&lt;I385,"✕ INSUFFISANT",IF(K385&lt;I385*1.2,"⚠ STOCK FAIBLE","✓ COUVERT"))</f>
        <v/>
      </c>
      <c r="N385" s="7" t="inlineStr">
        <is>
          <t>BOS</t>
        </is>
      </c>
      <c r="O385" s="7" t="inlineStr">
        <is>
          <t>IMPORTANT</t>
        </is>
      </c>
      <c r="P385" s="7" t="inlineStr">
        <is>
          <t>31/08/2026 02:59</t>
        </is>
      </c>
    </row>
    <row r="386">
      <c r="A386" s="8" t="inlineStr">
        <is>
          <t>WHAP 8x8</t>
        </is>
      </c>
      <c r="B386" s="8" t="inlineStr">
        <is>
          <t>WHAP-0382</t>
        </is>
      </c>
      <c r="C386" s="8" t="inlineStr">
        <is>
          <t>ELC-0382</t>
        </is>
      </c>
      <c r="D386" s="8" t="inlineStr">
        <is>
          <t>capteur flamme</t>
        </is>
      </c>
      <c r="E386" s="8" t="inlineStr">
        <is>
          <t>Électronique et capteurs</t>
        </is>
      </c>
      <c r="F386" s="8" t="inlineStr">
        <is>
          <t>Électronique et capteurs</t>
        </is>
      </c>
      <c r="G386" s="8" t="inlineStr">
        <is>
          <t>PIECE_VEHICULE</t>
        </is>
      </c>
      <c r="H386" s="8" t="n">
        <v>1</v>
      </c>
      <c r="I386" s="8">
        <f>H386*$D$3</f>
        <v/>
      </c>
      <c r="J386" s="8" t="inlineStr">
        <is>
          <t>unité</t>
        </is>
      </c>
      <c r="K386" s="8" t="n">
        <v>0</v>
      </c>
      <c r="L386" s="8">
        <f>K386-I386</f>
        <v/>
      </c>
      <c r="M386" s="8">
        <f>IF(K386&lt;I386,"✕ INSUFFISANT",IF(K386&lt;I386*1.2,"⚠ STOCK FAIBLE","✓ COUVERT"))</f>
        <v/>
      </c>
      <c r="N386" s="8" t="inlineStr">
        <is>
          <t>SUM</t>
        </is>
      </c>
      <c r="O386" s="8" t="inlineStr">
        <is>
          <t>IMPORTANT</t>
        </is>
      </c>
      <c r="P386" s="8" t="inlineStr">
        <is>
          <t>31/08/2026 02:59</t>
        </is>
      </c>
    </row>
    <row r="387">
      <c r="A387" s="7" t="inlineStr">
        <is>
          <t>WHAP 8x8</t>
        </is>
      </c>
      <c r="B387" s="7" t="inlineStr">
        <is>
          <t>WHAP-0383</t>
        </is>
      </c>
      <c r="C387" s="7" t="inlineStr">
        <is>
          <t>ELC-0383</t>
        </is>
      </c>
      <c r="D387" s="7" t="inlineStr">
        <is>
          <t>capteur CO2</t>
        </is>
      </c>
      <c r="E387" s="7" t="inlineStr">
        <is>
          <t>Électronique et capteurs</t>
        </is>
      </c>
      <c r="F387" s="7" t="inlineStr">
        <is>
          <t>Électronique et capteurs</t>
        </is>
      </c>
      <c r="G387" s="7" t="inlineStr">
        <is>
          <t>PIECE_VEHICULE</t>
        </is>
      </c>
      <c r="H387" s="7" t="n">
        <v>1</v>
      </c>
      <c r="I387" s="7">
        <f>H387*$D$3</f>
        <v/>
      </c>
      <c r="J387" s="7" t="inlineStr">
        <is>
          <t>unité</t>
        </is>
      </c>
      <c r="K387" s="7" t="n">
        <v>0</v>
      </c>
      <c r="L387" s="7">
        <f>K387-I387</f>
        <v/>
      </c>
      <c r="M387" s="7">
        <f>IF(K387&lt;I387,"✕ INSUFFISANT",IF(K387&lt;I387*1.2,"⚠ STOCK FAIBLE","✓ COUVERT"))</f>
        <v/>
      </c>
      <c r="N387" s="7" t="inlineStr">
        <is>
          <t>SUM</t>
        </is>
      </c>
      <c r="O387" s="7" t="inlineStr">
        <is>
          <t>IMPORTANT</t>
        </is>
      </c>
      <c r="P387" s="7" t="inlineStr">
        <is>
          <t>31/08/2026 02:59</t>
        </is>
      </c>
    </row>
    <row r="388">
      <c r="A388" s="8" t="inlineStr">
        <is>
          <t>WHAP 8x8</t>
        </is>
      </c>
      <c r="B388" s="8" t="inlineStr">
        <is>
          <t>WHAP-0384</t>
        </is>
      </c>
      <c r="C388" s="8" t="inlineStr">
        <is>
          <t>ELC-0384</t>
        </is>
      </c>
      <c r="D388" s="8" t="inlineStr">
        <is>
          <t>capteur humidité</t>
        </is>
      </c>
      <c r="E388" s="8" t="inlineStr">
        <is>
          <t>Électronique et capteurs</t>
        </is>
      </c>
      <c r="F388" s="8" t="inlineStr">
        <is>
          <t>Électronique et capteurs</t>
        </is>
      </c>
      <c r="G388" s="8" t="inlineStr">
        <is>
          <t>PIECE_VEHICULE</t>
        </is>
      </c>
      <c r="H388" s="8" t="n">
        <v>1</v>
      </c>
      <c r="I388" s="8">
        <f>H388*$D$3</f>
        <v/>
      </c>
      <c r="J388" s="8" t="inlineStr">
        <is>
          <t>unité</t>
        </is>
      </c>
      <c r="K388" s="8" t="n">
        <v>0</v>
      </c>
      <c r="L388" s="8">
        <f>K388-I388</f>
        <v/>
      </c>
      <c r="M388" s="8">
        <f>IF(K388&lt;I388,"✕ INSUFFISANT",IF(K388&lt;I388*1.2,"⚠ STOCK FAIBLE","✓ COUVERT"))</f>
        <v/>
      </c>
      <c r="N388" s="8" t="inlineStr">
        <is>
          <t>HEL</t>
        </is>
      </c>
      <c r="O388" s="8" t="inlineStr">
        <is>
          <t>IMPORTANT</t>
        </is>
      </c>
      <c r="P388" s="8" t="inlineStr">
        <is>
          <t>31/08/2026 02:59</t>
        </is>
      </c>
    </row>
    <row r="389">
      <c r="A389" s="7" t="inlineStr">
        <is>
          <t>WHAP 8x8</t>
        </is>
      </c>
      <c r="B389" s="7" t="inlineStr">
        <is>
          <t>WHAP-0385</t>
        </is>
      </c>
      <c r="C389" s="7" t="inlineStr">
        <is>
          <t>ELC-0385</t>
        </is>
      </c>
      <c r="D389" s="7" t="inlineStr">
        <is>
          <t>capteur vibration</t>
        </is>
      </c>
      <c r="E389" s="7" t="inlineStr">
        <is>
          <t>Électronique et capteurs</t>
        </is>
      </c>
      <c r="F389" s="7" t="inlineStr">
        <is>
          <t>Électronique et capteurs</t>
        </is>
      </c>
      <c r="G389" s="7" t="inlineStr">
        <is>
          <t>PIECE_VEHICULE</t>
        </is>
      </c>
      <c r="H389" s="7" t="n">
        <v>1</v>
      </c>
      <c r="I389" s="7">
        <f>H389*$D$3</f>
        <v/>
      </c>
      <c r="J389" s="7" t="inlineStr">
        <is>
          <t>unité</t>
        </is>
      </c>
      <c r="K389" s="7" t="n">
        <v>0</v>
      </c>
      <c r="L389" s="7">
        <f>K389-I389</f>
        <v/>
      </c>
      <c r="M389" s="7">
        <f>IF(K389&lt;I389,"✕ INSUFFISANT",IF(K389&lt;I389*1.2,"⚠ STOCK FAIBLE","✓ COUVERT"))</f>
        <v/>
      </c>
      <c r="N389" s="7" t="inlineStr">
        <is>
          <t>CTL</t>
        </is>
      </c>
      <c r="O389" s="7" t="inlineStr">
        <is>
          <t>IMPORTANT</t>
        </is>
      </c>
      <c r="P389" s="7" t="inlineStr">
        <is>
          <t>31/08/2026 02:59</t>
        </is>
      </c>
    </row>
    <row r="390">
      <c r="A390" s="8" t="inlineStr">
        <is>
          <t>WHAP 8x8</t>
        </is>
      </c>
      <c r="B390" s="8" t="inlineStr">
        <is>
          <t>WHAP-0386</t>
        </is>
      </c>
      <c r="C390" s="8" t="inlineStr">
        <is>
          <t>ELC-0386</t>
        </is>
      </c>
      <c r="D390" s="8" t="inlineStr">
        <is>
          <t>antenne</t>
        </is>
      </c>
      <c r="E390" s="8" t="inlineStr">
        <is>
          <t>Électronique et capteurs</t>
        </is>
      </c>
      <c r="F390" s="8" t="inlineStr">
        <is>
          <t>Électronique et capteurs</t>
        </is>
      </c>
      <c r="G390" s="8" t="inlineStr">
        <is>
          <t>PIECE_VEHICULE</t>
        </is>
      </c>
      <c r="H390" s="8" t="n">
        <v>1</v>
      </c>
      <c r="I390" s="8">
        <f>H390*$D$3</f>
        <v/>
      </c>
      <c r="J390" s="8" t="inlineStr">
        <is>
          <t>unité</t>
        </is>
      </c>
      <c r="K390" s="8" t="n">
        <v>0</v>
      </c>
      <c r="L390" s="8">
        <f>K390-I390</f>
        <v/>
      </c>
      <c r="M390" s="8">
        <f>IF(K390&lt;I390,"✕ INSUFFISANT",IF(K390&lt;I390*1.2,"⚠ STOCK FAIBLE","✓ COUVERT"))</f>
        <v/>
      </c>
      <c r="N390" s="8" t="inlineStr">
        <is>
          <t>BOS</t>
        </is>
      </c>
      <c r="O390" s="8" t="inlineStr">
        <is>
          <t>IMPORTANT</t>
        </is>
      </c>
      <c r="P390" s="8" t="inlineStr">
        <is>
          <t>31/08/2026 02:59</t>
        </is>
      </c>
    </row>
    <row r="391">
      <c r="A391" s="7" t="inlineStr">
        <is>
          <t>WHAP 8x8</t>
        </is>
      </c>
      <c r="B391" s="7" t="inlineStr">
        <is>
          <t>WHAP-0387</t>
        </is>
      </c>
      <c r="C391" s="7" t="inlineStr">
        <is>
          <t>ELC-0387</t>
        </is>
      </c>
      <c r="D391" s="7" t="inlineStr">
        <is>
          <t>module GPS</t>
        </is>
      </c>
      <c r="E391" s="7" t="inlineStr">
        <is>
          <t>Électronique et capteurs</t>
        </is>
      </c>
      <c r="F391" s="7" t="inlineStr">
        <is>
          <t>Électronique et capteurs</t>
        </is>
      </c>
      <c r="G391" s="7" t="inlineStr">
        <is>
          <t>PIECE_VEHICULE</t>
        </is>
      </c>
      <c r="H391" s="7" t="n">
        <v>1</v>
      </c>
      <c r="I391" s="7">
        <f>H391*$D$3</f>
        <v/>
      </c>
      <c r="J391" s="7" t="inlineStr">
        <is>
          <t>unité</t>
        </is>
      </c>
      <c r="K391" s="7" t="n">
        <v>0</v>
      </c>
      <c r="L391" s="7">
        <f>K391-I391</f>
        <v/>
      </c>
      <c r="M391" s="7">
        <f>IF(K391&lt;I391,"✕ INSUFFISANT",IF(K391&lt;I391*1.2,"⚠ STOCK FAIBLE","✓ COUVERT"))</f>
        <v/>
      </c>
      <c r="N391" s="7" t="inlineStr">
        <is>
          <t>DEL</t>
        </is>
      </c>
      <c r="O391" s="7" t="inlineStr">
        <is>
          <t>IMPORTANT</t>
        </is>
      </c>
      <c r="P391" s="7" t="inlineStr">
        <is>
          <t>31/08/2026 02:59</t>
        </is>
      </c>
    </row>
    <row r="392">
      <c r="A392" s="8" t="inlineStr">
        <is>
          <t>WHAP 8x8</t>
        </is>
      </c>
      <c r="B392" s="8" t="inlineStr">
        <is>
          <t>WHAP-0388</t>
        </is>
      </c>
      <c r="C392" s="8" t="inlineStr">
        <is>
          <t>ELC-0388</t>
        </is>
      </c>
      <c r="D392" s="8" t="inlineStr">
        <is>
          <t>module communication</t>
        </is>
      </c>
      <c r="E392" s="8" t="inlineStr">
        <is>
          <t>Électronique et capteurs</t>
        </is>
      </c>
      <c r="F392" s="8" t="inlineStr">
        <is>
          <t>Électronique et capteurs</t>
        </is>
      </c>
      <c r="G392" s="8" t="inlineStr">
        <is>
          <t>PIECE_VEHICULE</t>
        </is>
      </c>
      <c r="H392" s="8" t="n">
        <v>1</v>
      </c>
      <c r="I392" s="8">
        <f>H392*$D$3</f>
        <v/>
      </c>
      <c r="J392" s="8" t="inlineStr">
        <is>
          <t>unité</t>
        </is>
      </c>
      <c r="K392" s="8" t="n">
        <v>0</v>
      </c>
      <c r="L392" s="8">
        <f>K392-I392</f>
        <v/>
      </c>
      <c r="M392" s="8">
        <f>IF(K392&lt;I392,"✕ INSUFFISANT",IF(K392&lt;I392*1.2,"⚠ STOCK FAIBLE","✓ COUVERT"))</f>
        <v/>
      </c>
      <c r="N392" s="8" t="inlineStr">
        <is>
          <t>SKF</t>
        </is>
      </c>
      <c r="O392" s="8" t="inlineStr">
        <is>
          <t>IMPORTANT</t>
        </is>
      </c>
      <c r="P392" s="8" t="inlineStr">
        <is>
          <t>31/08/2026 02:59</t>
        </is>
      </c>
    </row>
    <row r="393">
      <c r="A393" s="7" t="inlineStr">
        <is>
          <t>WHAP 8x8</t>
        </is>
      </c>
      <c r="B393" s="7" t="inlineStr">
        <is>
          <t>WHAP-0389</t>
        </is>
      </c>
      <c r="C393" s="7" t="inlineStr">
        <is>
          <t>ELC-0389</t>
        </is>
      </c>
      <c r="D393" s="7" t="inlineStr">
        <is>
          <t>écran multifonction</t>
        </is>
      </c>
      <c r="E393" s="7" t="inlineStr">
        <is>
          <t>Électronique et capteurs</t>
        </is>
      </c>
      <c r="F393" s="7" t="inlineStr">
        <is>
          <t>Électronique et capteurs</t>
        </is>
      </c>
      <c r="G393" s="7" t="inlineStr">
        <is>
          <t>PIECE_VEHICULE</t>
        </is>
      </c>
      <c r="H393" s="7" t="n">
        <v>1</v>
      </c>
      <c r="I393" s="7">
        <f>H393*$D$3</f>
        <v/>
      </c>
      <c r="J393" s="7" t="inlineStr">
        <is>
          <t>unité</t>
        </is>
      </c>
      <c r="K393" s="7" t="n">
        <v>0</v>
      </c>
      <c r="L393" s="7">
        <f>K393-I393</f>
        <v/>
      </c>
      <c r="M393" s="7">
        <f>IF(K393&lt;I393,"✕ INSUFFISANT",IF(K393&lt;I393*1.2,"⚠ STOCK FAIBLE","✓ COUVERT"))</f>
        <v/>
      </c>
      <c r="N393" s="7" t="inlineStr">
        <is>
          <t>BOS</t>
        </is>
      </c>
      <c r="O393" s="7" t="inlineStr">
        <is>
          <t>IMPORTANT</t>
        </is>
      </c>
      <c r="P393" s="7" t="inlineStr">
        <is>
          <t>31/08/2026 02:59</t>
        </is>
      </c>
    </row>
    <row r="394">
      <c r="A394" s="8" t="inlineStr">
        <is>
          <t>WHAP 8x8</t>
        </is>
      </c>
      <c r="B394" s="8" t="inlineStr">
        <is>
          <t>WHAP-0390</t>
        </is>
      </c>
      <c r="C394" s="8" t="inlineStr">
        <is>
          <t>ELC-0390</t>
        </is>
      </c>
      <c r="D394" s="8" t="inlineStr">
        <is>
          <t>unité de diagnostic</t>
        </is>
      </c>
      <c r="E394" s="8" t="inlineStr">
        <is>
          <t>Électronique et capteurs</t>
        </is>
      </c>
      <c r="F394" s="8" t="inlineStr">
        <is>
          <t>Électronique et capteurs</t>
        </is>
      </c>
      <c r="G394" s="8" t="inlineStr">
        <is>
          <t>PIECE_VEHICULE</t>
        </is>
      </c>
      <c r="H394" s="8" t="n">
        <v>1</v>
      </c>
      <c r="I394" s="8">
        <f>H394*$D$3</f>
        <v/>
      </c>
      <c r="J394" s="8" t="inlineStr">
        <is>
          <t>unité</t>
        </is>
      </c>
      <c r="K394" s="8" t="n">
        <v>0</v>
      </c>
      <c r="L394" s="8">
        <f>K394-I394</f>
        <v/>
      </c>
      <c r="M394" s="8">
        <f>IF(K394&lt;I394,"✕ INSUFFISANT",IF(K394&lt;I394*1.2,"⚠ STOCK FAIBLE","✓ COUVERT"))</f>
        <v/>
      </c>
      <c r="N394" s="8" t="inlineStr">
        <is>
          <t>DEL</t>
        </is>
      </c>
      <c r="O394" s="8" t="inlineStr">
        <is>
          <t>IMPORTANT</t>
        </is>
      </c>
      <c r="P394" s="8" t="inlineStr">
        <is>
          <t>31/08/2026 02:59</t>
        </is>
      </c>
    </row>
    <row r="395">
      <c r="A395" s="7" t="inlineStr">
        <is>
          <t>WHAP 8x8</t>
        </is>
      </c>
      <c r="B395" s="7" t="inlineStr">
        <is>
          <t>WHAP-0391</t>
        </is>
      </c>
      <c r="C395" s="7" t="inlineStr">
        <is>
          <t>ELC-0391</t>
        </is>
      </c>
      <c r="D395" s="7" t="inlineStr">
        <is>
          <t>connecteur CAN</t>
        </is>
      </c>
      <c r="E395" s="7" t="inlineStr">
        <is>
          <t>Électronique et capteurs</t>
        </is>
      </c>
      <c r="F395" s="7" t="inlineStr">
        <is>
          <t>Électronique et capteurs</t>
        </is>
      </c>
      <c r="G395" s="7" t="inlineStr">
        <is>
          <t>PIECE_VEHICULE</t>
        </is>
      </c>
      <c r="H395" s="7" t="n">
        <v>1</v>
      </c>
      <c r="I395" s="7">
        <f>H395*$D$3</f>
        <v/>
      </c>
      <c r="J395" s="7" t="inlineStr">
        <is>
          <t>unité</t>
        </is>
      </c>
      <c r="K395" s="7" t="n">
        <v>0</v>
      </c>
      <c r="L395" s="7">
        <f>K395-I395</f>
        <v/>
      </c>
      <c r="M395" s="7">
        <f>IF(K395&lt;I395,"✕ INSUFFISANT",IF(K395&lt;I395*1.2,"⚠ STOCK FAIBLE","✓ COUVERT"))</f>
        <v/>
      </c>
      <c r="N395" s="7" t="inlineStr">
        <is>
          <t>HEL</t>
        </is>
      </c>
      <c r="O395" s="7" t="inlineStr">
        <is>
          <t>IMPORTANT</t>
        </is>
      </c>
      <c r="P395" s="7" t="inlineStr">
        <is>
          <t>31/08/2026 02:59</t>
        </is>
      </c>
    </row>
    <row r="396">
      <c r="A396" s="8" t="inlineStr">
        <is>
          <t>WHAP 8x8</t>
        </is>
      </c>
      <c r="B396" s="8" t="inlineStr">
        <is>
          <t>WHAP-0392</t>
        </is>
      </c>
      <c r="C396" s="8" t="inlineStr">
        <is>
          <t>ELC-0392</t>
        </is>
      </c>
      <c r="D396" s="8" t="inlineStr">
        <is>
          <t>terminaison CAN</t>
        </is>
      </c>
      <c r="E396" s="8" t="inlineStr">
        <is>
          <t>Électronique et capteurs</t>
        </is>
      </c>
      <c r="F396" s="8" t="inlineStr">
        <is>
          <t>Électronique et capteurs</t>
        </is>
      </c>
      <c r="G396" s="8" t="inlineStr">
        <is>
          <t>PIECE_VEHICULE</t>
        </is>
      </c>
      <c r="H396" s="8" t="n">
        <v>1</v>
      </c>
      <c r="I396" s="8">
        <f>H396*$D$3</f>
        <v/>
      </c>
      <c r="J396" s="8" t="inlineStr">
        <is>
          <t>unité</t>
        </is>
      </c>
      <c r="K396" s="8" t="n">
        <v>0</v>
      </c>
      <c r="L396" s="8">
        <f>K396-I396</f>
        <v/>
      </c>
      <c r="M396" s="8">
        <f>IF(K396&lt;I396,"✕ INSUFFISANT",IF(K396&lt;I396*1.2,"⚠ STOCK FAIBLE","✓ COUVERT"))</f>
        <v/>
      </c>
      <c r="N396" s="8" t="inlineStr">
        <is>
          <t>BOS</t>
        </is>
      </c>
      <c r="O396" s="8" t="inlineStr">
        <is>
          <t>IMPORTANT</t>
        </is>
      </c>
      <c r="P396" s="8" t="inlineStr">
        <is>
          <t>31/08/2026 02:59</t>
        </is>
      </c>
    </row>
    <row r="397">
      <c r="A397" s="7" t="inlineStr">
        <is>
          <t>WHAP 8x8</t>
        </is>
      </c>
      <c r="B397" s="7" t="inlineStr">
        <is>
          <t>WHAP-0393</t>
        </is>
      </c>
      <c r="C397" s="7" t="inlineStr">
        <is>
          <t>ELC-0393</t>
        </is>
      </c>
      <c r="D397" s="7" t="inlineStr">
        <is>
          <t>câble CAN</t>
        </is>
      </c>
      <c r="E397" s="7" t="inlineStr">
        <is>
          <t>Électronique et capteurs</t>
        </is>
      </c>
      <c r="F397" s="7" t="inlineStr">
        <is>
          <t>Électronique et capteurs</t>
        </is>
      </c>
      <c r="G397" s="7" t="inlineStr">
        <is>
          <t>PIECE_VEHICULE</t>
        </is>
      </c>
      <c r="H397" s="7" t="n">
        <v>1</v>
      </c>
      <c r="I397" s="7">
        <f>H397*$D$3</f>
        <v/>
      </c>
      <c r="J397" s="7" t="inlineStr">
        <is>
          <t>unité</t>
        </is>
      </c>
      <c r="K397" s="7" t="n">
        <v>0</v>
      </c>
      <c r="L397" s="7">
        <f>K397-I397</f>
        <v/>
      </c>
      <c r="M397" s="7">
        <f>IF(K397&lt;I397,"✕ INSUFFISANT",IF(K397&lt;I397*1.2,"⚠ STOCK FAIBLE","✓ COUVERT"))</f>
        <v/>
      </c>
      <c r="N397" s="7" t="inlineStr">
        <is>
          <t>FAU</t>
        </is>
      </c>
      <c r="O397" s="7" t="inlineStr">
        <is>
          <t>IMPORTANT</t>
        </is>
      </c>
      <c r="P397" s="7" t="inlineStr">
        <is>
          <t>31/08/2026 02:59</t>
        </is>
      </c>
    </row>
    <row r="398">
      <c r="A398" s="8" t="inlineStr">
        <is>
          <t>WHAP 8x8</t>
        </is>
      </c>
      <c r="B398" s="8" t="inlineStr">
        <is>
          <t>WHAP-0394</t>
        </is>
      </c>
      <c r="C398" s="8" t="inlineStr">
        <is>
          <t>ELC-0394</t>
        </is>
      </c>
      <c r="D398" s="8" t="inlineStr">
        <is>
          <t>boîtier électronique</t>
        </is>
      </c>
      <c r="E398" s="8" t="inlineStr">
        <is>
          <t>Électronique et capteurs</t>
        </is>
      </c>
      <c r="F398" s="8" t="inlineStr">
        <is>
          <t>Électronique et capteurs</t>
        </is>
      </c>
      <c r="G398" s="8" t="inlineStr">
        <is>
          <t>PIECE_VEHICULE</t>
        </is>
      </c>
      <c r="H398" s="8" t="n">
        <v>1</v>
      </c>
      <c r="I398" s="8">
        <f>H398*$D$3</f>
        <v/>
      </c>
      <c r="J398" s="8" t="inlineStr">
        <is>
          <t>unité</t>
        </is>
      </c>
      <c r="K398" s="8" t="n">
        <v>0</v>
      </c>
      <c r="L398" s="8">
        <f>K398-I398</f>
        <v/>
      </c>
      <c r="M398" s="8">
        <f>IF(K398&lt;I398,"✕ INSUFFISANT",IF(K398&lt;I398*1.2,"⚠ STOCK FAIBLE","✓ COUVERT"))</f>
        <v/>
      </c>
      <c r="N398" s="8" t="inlineStr">
        <is>
          <t>SKF</t>
        </is>
      </c>
      <c r="O398" s="8" t="inlineStr">
        <is>
          <t>IMPORTANT</t>
        </is>
      </c>
      <c r="P398" s="8" t="inlineStr">
        <is>
          <t>31/08/2026 02:59</t>
        </is>
      </c>
    </row>
    <row r="399">
      <c r="A399" s="7" t="inlineStr">
        <is>
          <t>WHAP 8x8</t>
        </is>
      </c>
      <c r="B399" s="7" t="inlineStr">
        <is>
          <t>WHAP-0395</t>
        </is>
      </c>
      <c r="C399" s="7" t="inlineStr">
        <is>
          <t>ECL-0395</t>
        </is>
      </c>
      <c r="D399" s="7" t="inlineStr">
        <is>
          <t>phare avant</t>
        </is>
      </c>
      <c r="E399" s="7" t="inlineStr">
        <is>
          <t>Éclairage</t>
        </is>
      </c>
      <c r="F399" s="7" t="inlineStr">
        <is>
          <t>Éclairage</t>
        </is>
      </c>
      <c r="G399" s="7" t="inlineStr">
        <is>
          <t>PIECE_VEHICULE</t>
        </is>
      </c>
      <c r="H399" s="7" t="n">
        <v>1</v>
      </c>
      <c r="I399" s="7">
        <f>H399*$D$3</f>
        <v/>
      </c>
      <c r="J399" s="7" t="inlineStr">
        <is>
          <t>unité</t>
        </is>
      </c>
      <c r="K399" s="7" t="n">
        <v>60</v>
      </c>
      <c r="L399" s="7">
        <f>K399-I399</f>
        <v/>
      </c>
      <c r="M399" s="7">
        <f>IF(K399&lt;I399,"✕ INSUFFISANT",IF(K399&lt;I399*1.2,"⚠ STOCK FAIBLE","✓ COUVERT"))</f>
        <v/>
      </c>
      <c r="N399" s="7" t="inlineStr">
        <is>
          <t>HEL</t>
        </is>
      </c>
      <c r="O399" s="7" t="inlineStr">
        <is>
          <t>STANDARD</t>
        </is>
      </c>
      <c r="P399" s="7" t="inlineStr">
        <is>
          <t>31/08/2026 02:59</t>
        </is>
      </c>
    </row>
    <row r="400">
      <c r="A400" s="8" t="inlineStr">
        <is>
          <t>WHAP 8x8</t>
        </is>
      </c>
      <c r="B400" s="8" t="inlineStr">
        <is>
          <t>WHAP-0396</t>
        </is>
      </c>
      <c r="C400" s="8" t="inlineStr">
        <is>
          <t>ECL-0396</t>
        </is>
      </c>
      <c r="D400" s="8" t="inlineStr">
        <is>
          <t>projecteur LED</t>
        </is>
      </c>
      <c r="E400" s="8" t="inlineStr">
        <is>
          <t>Éclairage</t>
        </is>
      </c>
      <c r="F400" s="8" t="inlineStr">
        <is>
          <t>Éclairage</t>
        </is>
      </c>
      <c r="G400" s="8" t="inlineStr">
        <is>
          <t>PIECE_VEHICULE</t>
        </is>
      </c>
      <c r="H400" s="8" t="n">
        <v>1</v>
      </c>
      <c r="I400" s="8">
        <f>H400*$D$3</f>
        <v/>
      </c>
      <c r="J400" s="8" t="inlineStr">
        <is>
          <t>unité</t>
        </is>
      </c>
      <c r="K400" s="8" t="n">
        <v>420</v>
      </c>
      <c r="L400" s="8">
        <f>K400-I400</f>
        <v/>
      </c>
      <c r="M400" s="8">
        <f>IF(K400&lt;I400,"✕ INSUFFISANT",IF(K400&lt;I400*1.2,"⚠ STOCK FAIBLE","✓ COUVERT"))</f>
        <v/>
      </c>
      <c r="N400" s="8" t="inlineStr">
        <is>
          <t>CTL</t>
        </is>
      </c>
      <c r="O400" s="8" t="inlineStr">
        <is>
          <t>STANDARD</t>
        </is>
      </c>
      <c r="P400" s="8" t="inlineStr">
        <is>
          <t>31/08/2026 02:59</t>
        </is>
      </c>
    </row>
    <row r="401">
      <c r="A401" s="7" t="inlineStr">
        <is>
          <t>WHAP 8x8</t>
        </is>
      </c>
      <c r="B401" s="7" t="inlineStr">
        <is>
          <t>WHAP-0397</t>
        </is>
      </c>
      <c r="C401" s="7" t="inlineStr">
        <is>
          <t>ECL-0397</t>
        </is>
      </c>
      <c r="D401" s="7" t="inlineStr">
        <is>
          <t>feu de position</t>
        </is>
      </c>
      <c r="E401" s="7" t="inlineStr">
        <is>
          <t>Éclairage</t>
        </is>
      </c>
      <c r="F401" s="7" t="inlineStr">
        <is>
          <t>Éclairage</t>
        </is>
      </c>
      <c r="G401" s="7" t="inlineStr">
        <is>
          <t>PIECE_VEHICULE</t>
        </is>
      </c>
      <c r="H401" s="7" t="n">
        <v>1</v>
      </c>
      <c r="I401" s="7">
        <f>H401*$D$3</f>
        <v/>
      </c>
      <c r="J401" s="7" t="inlineStr">
        <is>
          <t>unité</t>
        </is>
      </c>
      <c r="K401" s="7" t="n">
        <v>0</v>
      </c>
      <c r="L401" s="7">
        <f>K401-I401</f>
        <v/>
      </c>
      <c r="M401" s="7">
        <f>IF(K401&lt;I401,"✕ INSUFFISANT",IF(K401&lt;I401*1.2,"⚠ STOCK FAIBLE","✓ COUVERT"))</f>
        <v/>
      </c>
      <c r="N401" s="7" t="inlineStr">
        <is>
          <t>MAG</t>
        </is>
      </c>
      <c r="O401" s="7" t="inlineStr">
        <is>
          <t>STANDARD</t>
        </is>
      </c>
      <c r="P401" s="7" t="inlineStr">
        <is>
          <t>31/08/2026 02:59</t>
        </is>
      </c>
    </row>
    <row r="402">
      <c r="A402" s="8" t="inlineStr">
        <is>
          <t>WHAP 8x8</t>
        </is>
      </c>
      <c r="B402" s="8" t="inlineStr">
        <is>
          <t>WHAP-0398</t>
        </is>
      </c>
      <c r="C402" s="8" t="inlineStr">
        <is>
          <t>ECL-0398</t>
        </is>
      </c>
      <c r="D402" s="8" t="inlineStr">
        <is>
          <t>feu arrière</t>
        </is>
      </c>
      <c r="E402" s="8" t="inlineStr">
        <is>
          <t>Éclairage</t>
        </is>
      </c>
      <c r="F402" s="8" t="inlineStr">
        <is>
          <t>Éclairage</t>
        </is>
      </c>
      <c r="G402" s="8" t="inlineStr">
        <is>
          <t>PIECE_VEHICULE</t>
        </is>
      </c>
      <c r="H402" s="8" t="n">
        <v>1</v>
      </c>
      <c r="I402" s="8">
        <f>H402*$D$3</f>
        <v/>
      </c>
      <c r="J402" s="8" t="inlineStr">
        <is>
          <t>unité</t>
        </is>
      </c>
      <c r="K402" s="8" t="n">
        <v>0</v>
      </c>
      <c r="L402" s="8">
        <f>K402-I402</f>
        <v/>
      </c>
      <c r="M402" s="8">
        <f>IF(K402&lt;I402,"✕ INSUFFISANT",IF(K402&lt;I402*1.2,"⚠ STOCK FAIBLE","✓ COUVERT"))</f>
        <v/>
      </c>
      <c r="N402" s="8" t="inlineStr">
        <is>
          <t>MAG</t>
        </is>
      </c>
      <c r="O402" s="8" t="inlineStr">
        <is>
          <t>STANDARD</t>
        </is>
      </c>
      <c r="P402" s="8" t="inlineStr">
        <is>
          <t>31/08/2026 02:59</t>
        </is>
      </c>
    </row>
    <row r="403">
      <c r="A403" s="7" t="inlineStr">
        <is>
          <t>WHAP 8x8</t>
        </is>
      </c>
      <c r="B403" s="7" t="inlineStr">
        <is>
          <t>WHAP-0399</t>
        </is>
      </c>
      <c r="C403" s="7" t="inlineStr">
        <is>
          <t>ECL-0399</t>
        </is>
      </c>
      <c r="D403" s="7" t="inlineStr">
        <is>
          <t>feu stop</t>
        </is>
      </c>
      <c r="E403" s="7" t="inlineStr">
        <is>
          <t>Éclairage</t>
        </is>
      </c>
      <c r="F403" s="7" t="inlineStr">
        <is>
          <t>Éclairage</t>
        </is>
      </c>
      <c r="G403" s="7" t="inlineStr">
        <is>
          <t>PIECE_VEHICULE</t>
        </is>
      </c>
      <c r="H403" s="7" t="n">
        <v>1</v>
      </c>
      <c r="I403" s="7">
        <f>H403*$D$3</f>
        <v/>
      </c>
      <c r="J403" s="7" t="inlineStr">
        <is>
          <t>unité</t>
        </is>
      </c>
      <c r="K403" s="7" t="n">
        <v>0</v>
      </c>
      <c r="L403" s="7">
        <f>K403-I403</f>
        <v/>
      </c>
      <c r="M403" s="7">
        <f>IF(K403&lt;I403,"✕ INSUFFISANT",IF(K403&lt;I403*1.2,"⚠ STOCK FAIBLE","✓ COUVERT"))</f>
        <v/>
      </c>
      <c r="N403" s="7" t="inlineStr">
        <is>
          <t>HEL</t>
        </is>
      </c>
      <c r="O403" s="7" t="inlineStr">
        <is>
          <t>STANDARD</t>
        </is>
      </c>
      <c r="P403" s="7" t="inlineStr">
        <is>
          <t>31/08/2026 02:59</t>
        </is>
      </c>
    </row>
    <row r="404">
      <c r="A404" s="8" t="inlineStr">
        <is>
          <t>WHAP 8x8</t>
        </is>
      </c>
      <c r="B404" s="8" t="inlineStr">
        <is>
          <t>WHAP-0400</t>
        </is>
      </c>
      <c r="C404" s="8" t="inlineStr">
        <is>
          <t>ECL-0400</t>
        </is>
      </c>
      <c r="D404" s="8" t="inlineStr">
        <is>
          <t>clignotant</t>
        </is>
      </c>
      <c r="E404" s="8" t="inlineStr">
        <is>
          <t>Éclairage</t>
        </is>
      </c>
      <c r="F404" s="8" t="inlineStr">
        <is>
          <t>Éclairage</t>
        </is>
      </c>
      <c r="G404" s="8" t="inlineStr">
        <is>
          <t>PIECE_VEHICULE</t>
        </is>
      </c>
      <c r="H404" s="8" t="n">
        <v>1</v>
      </c>
      <c r="I404" s="8">
        <f>H404*$D$3</f>
        <v/>
      </c>
      <c r="J404" s="8" t="inlineStr">
        <is>
          <t>unité</t>
        </is>
      </c>
      <c r="K404" s="8" t="n">
        <v>0</v>
      </c>
      <c r="L404" s="8">
        <f>K404-I404</f>
        <v/>
      </c>
      <c r="M404" s="8">
        <f>IF(K404&lt;I404,"✕ INSUFFISANT",IF(K404&lt;I404*1.2,"⚠ STOCK FAIBLE","✓ COUVERT"))</f>
        <v/>
      </c>
      <c r="N404" s="8" t="inlineStr">
        <is>
          <t>VAL</t>
        </is>
      </c>
      <c r="O404" s="8" t="inlineStr">
        <is>
          <t>STANDARD</t>
        </is>
      </c>
      <c r="P404" s="8" t="inlineStr">
        <is>
          <t>31/08/2026 02:59</t>
        </is>
      </c>
    </row>
    <row r="405">
      <c r="A405" s="7" t="inlineStr">
        <is>
          <t>WHAP 8x8</t>
        </is>
      </c>
      <c r="B405" s="7" t="inlineStr">
        <is>
          <t>WHAP-0401</t>
        </is>
      </c>
      <c r="C405" s="7" t="inlineStr">
        <is>
          <t>ECL-0401</t>
        </is>
      </c>
      <c r="D405" s="7" t="inlineStr">
        <is>
          <t>feu de recul</t>
        </is>
      </c>
      <c r="E405" s="7" t="inlineStr">
        <is>
          <t>Éclairage</t>
        </is>
      </c>
      <c r="F405" s="7" t="inlineStr">
        <is>
          <t>Éclairage</t>
        </is>
      </c>
      <c r="G405" s="7" t="inlineStr">
        <is>
          <t>PIECE_VEHICULE</t>
        </is>
      </c>
      <c r="H405" s="7" t="n">
        <v>1</v>
      </c>
      <c r="I405" s="7">
        <f>H405*$D$3</f>
        <v/>
      </c>
      <c r="J405" s="7" t="inlineStr">
        <is>
          <t>unité</t>
        </is>
      </c>
      <c r="K405" s="7" t="n">
        <v>0</v>
      </c>
      <c r="L405" s="7">
        <f>K405-I405</f>
        <v/>
      </c>
      <c r="M405" s="7">
        <f>IF(K405&lt;I405,"✕ INSUFFISANT",IF(K405&lt;I405*1.2,"⚠ STOCK FAIBLE","✓ COUVERT"))</f>
        <v/>
      </c>
      <c r="N405" s="7" t="inlineStr">
        <is>
          <t>DEL</t>
        </is>
      </c>
      <c r="O405" s="7" t="inlineStr">
        <is>
          <t>STANDARD</t>
        </is>
      </c>
      <c r="P405" s="7" t="inlineStr">
        <is>
          <t>31/08/2026 02:59</t>
        </is>
      </c>
    </row>
    <row r="406">
      <c r="A406" s="8" t="inlineStr">
        <is>
          <t>WHAP 8x8</t>
        </is>
      </c>
      <c r="B406" s="8" t="inlineStr">
        <is>
          <t>WHAP-0402</t>
        </is>
      </c>
      <c r="C406" s="8" t="inlineStr">
        <is>
          <t>ECL-0402</t>
        </is>
      </c>
      <c r="D406" s="8" t="inlineStr">
        <is>
          <t>feu antibrouillard</t>
        </is>
      </c>
      <c r="E406" s="8" t="inlineStr">
        <is>
          <t>Éclairage</t>
        </is>
      </c>
      <c r="F406" s="8" t="inlineStr">
        <is>
          <t>Éclairage</t>
        </is>
      </c>
      <c r="G406" s="8" t="inlineStr">
        <is>
          <t>PIECE_VEHICULE</t>
        </is>
      </c>
      <c r="H406" s="8" t="n">
        <v>1</v>
      </c>
      <c r="I406" s="8">
        <f>H406*$D$3</f>
        <v/>
      </c>
      <c r="J406" s="8" t="inlineStr">
        <is>
          <t>unité</t>
        </is>
      </c>
      <c r="K406" s="8" t="n">
        <v>0</v>
      </c>
      <c r="L406" s="8">
        <f>K406-I406</f>
        <v/>
      </c>
      <c r="M406" s="8">
        <f>IF(K406&lt;I406,"✕ INSUFFISANT",IF(K406&lt;I406*1.2,"⚠ STOCK FAIBLE","✓ COUVERT"))</f>
        <v/>
      </c>
      <c r="N406" s="8" t="inlineStr">
        <is>
          <t>MAG</t>
        </is>
      </c>
      <c r="O406" s="8" t="inlineStr">
        <is>
          <t>STANDARD</t>
        </is>
      </c>
      <c r="P406" s="8" t="inlineStr">
        <is>
          <t>31/08/2026 02:59</t>
        </is>
      </c>
    </row>
    <row r="407">
      <c r="A407" s="7" t="inlineStr">
        <is>
          <t>WHAP 8x8</t>
        </is>
      </c>
      <c r="B407" s="7" t="inlineStr">
        <is>
          <t>WHAP-0403</t>
        </is>
      </c>
      <c r="C407" s="7" t="inlineStr">
        <is>
          <t>ECL-0403</t>
        </is>
      </c>
      <c r="D407" s="7" t="inlineStr">
        <is>
          <t>éclairage intérieur</t>
        </is>
      </c>
      <c r="E407" s="7" t="inlineStr">
        <is>
          <t>Éclairage</t>
        </is>
      </c>
      <c r="F407" s="7" t="inlineStr">
        <is>
          <t>Éclairage</t>
        </is>
      </c>
      <c r="G407" s="7" t="inlineStr">
        <is>
          <t>PIECE_VEHICULE</t>
        </is>
      </c>
      <c r="H407" s="7" t="n">
        <v>1</v>
      </c>
      <c r="I407" s="7">
        <f>H407*$D$3</f>
        <v/>
      </c>
      <c r="J407" s="7" t="inlineStr">
        <is>
          <t>unité</t>
        </is>
      </c>
      <c r="K407" s="7" t="n">
        <v>0</v>
      </c>
      <c r="L407" s="7">
        <f>K407-I407</f>
        <v/>
      </c>
      <c r="M407" s="7">
        <f>IF(K407&lt;I407,"✕ INSUFFISANT",IF(K407&lt;I407*1.2,"⚠ STOCK FAIBLE","✓ COUVERT"))</f>
        <v/>
      </c>
      <c r="N407" s="7" t="inlineStr">
        <is>
          <t>YZK</t>
        </is>
      </c>
      <c r="O407" s="7" t="inlineStr">
        <is>
          <t>STANDARD</t>
        </is>
      </c>
      <c r="P407" s="7" t="inlineStr">
        <is>
          <t>31/08/2026 02:59</t>
        </is>
      </c>
    </row>
    <row r="408">
      <c r="A408" s="8" t="inlineStr">
        <is>
          <t>WHAP 8x8</t>
        </is>
      </c>
      <c r="B408" s="8" t="inlineStr">
        <is>
          <t>WHAP-0404</t>
        </is>
      </c>
      <c r="C408" s="8" t="inlineStr">
        <is>
          <t>ECL-0404</t>
        </is>
      </c>
      <c r="D408" s="8" t="inlineStr">
        <is>
          <t>éclairage compartiment moteur</t>
        </is>
      </c>
      <c r="E408" s="8" t="inlineStr">
        <is>
          <t>Éclairage</t>
        </is>
      </c>
      <c r="F408" s="8" t="inlineStr">
        <is>
          <t>Éclairage</t>
        </is>
      </c>
      <c r="G408" s="8" t="inlineStr">
        <is>
          <t>PIECE_VEHICULE</t>
        </is>
      </c>
      <c r="H408" s="8" t="n">
        <v>1</v>
      </c>
      <c r="I408" s="8">
        <f>H408*$D$3</f>
        <v/>
      </c>
      <c r="J408" s="8" t="inlineStr">
        <is>
          <t>unité</t>
        </is>
      </c>
      <c r="K408" s="8" t="n">
        <v>0</v>
      </c>
      <c r="L408" s="8">
        <f>K408-I408</f>
        <v/>
      </c>
      <c r="M408" s="8">
        <f>IF(K408&lt;I408,"✕ INSUFFISANT",IF(K408&lt;I408*1.2,"⚠ STOCK FAIBLE","✓ COUVERT"))</f>
        <v/>
      </c>
      <c r="N408" s="8" t="inlineStr">
        <is>
          <t>SUM</t>
        </is>
      </c>
      <c r="O408" s="8" t="inlineStr">
        <is>
          <t>STANDARD</t>
        </is>
      </c>
      <c r="P408" s="8" t="inlineStr">
        <is>
          <t>31/08/2026 02:59</t>
        </is>
      </c>
    </row>
    <row r="409">
      <c r="A409" s="7" t="inlineStr">
        <is>
          <t>WHAP 8x8</t>
        </is>
      </c>
      <c r="B409" s="7" t="inlineStr">
        <is>
          <t>WHAP-0405</t>
        </is>
      </c>
      <c r="C409" s="7" t="inlineStr">
        <is>
          <t>ECL-0405</t>
        </is>
      </c>
      <c r="D409" s="7" t="inlineStr">
        <is>
          <t>éclairage poste de conduite</t>
        </is>
      </c>
      <c r="E409" s="7" t="inlineStr">
        <is>
          <t>Éclairage</t>
        </is>
      </c>
      <c r="F409" s="7" t="inlineStr">
        <is>
          <t>Éclairage</t>
        </is>
      </c>
      <c r="G409" s="7" t="inlineStr">
        <is>
          <t>PIECE_VEHICULE</t>
        </is>
      </c>
      <c r="H409" s="7" t="n">
        <v>1</v>
      </c>
      <c r="I409" s="7">
        <f>H409*$D$3</f>
        <v/>
      </c>
      <c r="J409" s="7" t="inlineStr">
        <is>
          <t>unité</t>
        </is>
      </c>
      <c r="K409" s="7" t="n">
        <v>0</v>
      </c>
      <c r="L409" s="7">
        <f>K409-I409</f>
        <v/>
      </c>
      <c r="M409" s="7">
        <f>IF(K409&lt;I409,"✕ INSUFFISANT",IF(K409&lt;I409*1.2,"⚠ STOCK FAIBLE","✓ COUVERT"))</f>
        <v/>
      </c>
      <c r="N409" s="7" t="inlineStr">
        <is>
          <t>DEL</t>
        </is>
      </c>
      <c r="O409" s="7" t="inlineStr">
        <is>
          <t>STANDARD</t>
        </is>
      </c>
      <c r="P409" s="7" t="inlineStr">
        <is>
          <t>31/08/2026 02:59</t>
        </is>
      </c>
    </row>
    <row r="410">
      <c r="A410" s="8" t="inlineStr">
        <is>
          <t>WHAP 8x8</t>
        </is>
      </c>
      <c r="B410" s="8" t="inlineStr">
        <is>
          <t>WHAP-0406</t>
        </is>
      </c>
      <c r="C410" s="8" t="inlineStr">
        <is>
          <t>ECL-0406</t>
        </is>
      </c>
      <c r="D410" s="8" t="inlineStr">
        <is>
          <t>gyrophare</t>
        </is>
      </c>
      <c r="E410" s="8" t="inlineStr">
        <is>
          <t>Éclairage</t>
        </is>
      </c>
      <c r="F410" s="8" t="inlineStr">
        <is>
          <t>Éclairage</t>
        </is>
      </c>
      <c r="G410" s="8" t="inlineStr">
        <is>
          <t>PIECE_VEHICULE</t>
        </is>
      </c>
      <c r="H410" s="8" t="n">
        <v>1</v>
      </c>
      <c r="I410" s="8">
        <f>H410*$D$3</f>
        <v/>
      </c>
      <c r="J410" s="8" t="inlineStr">
        <is>
          <t>unité</t>
        </is>
      </c>
      <c r="K410" s="8" t="n">
        <v>0</v>
      </c>
      <c r="L410" s="8">
        <f>K410-I410</f>
        <v/>
      </c>
      <c r="M410" s="8">
        <f>IF(K410&lt;I410,"✕ INSUFFISANT",IF(K410&lt;I410*1.2,"⚠ STOCK FAIBLE","✓ COUVERT"))</f>
        <v/>
      </c>
      <c r="N410" s="8" t="inlineStr">
        <is>
          <t>MAG</t>
        </is>
      </c>
      <c r="O410" s="8" t="inlineStr">
        <is>
          <t>STANDARD</t>
        </is>
      </c>
      <c r="P410" s="8" t="inlineStr">
        <is>
          <t>31/08/2026 02:59</t>
        </is>
      </c>
    </row>
    <row r="411">
      <c r="A411" s="7" t="inlineStr">
        <is>
          <t>WHAP 8x8</t>
        </is>
      </c>
      <c r="B411" s="7" t="inlineStr">
        <is>
          <t>WHAP-0407</t>
        </is>
      </c>
      <c r="C411" s="7" t="inlineStr">
        <is>
          <t>ECL-0407</t>
        </is>
      </c>
      <c r="D411" s="7" t="inlineStr">
        <is>
          <t>lampe de lecture</t>
        </is>
      </c>
      <c r="E411" s="7" t="inlineStr">
        <is>
          <t>Éclairage</t>
        </is>
      </c>
      <c r="F411" s="7" t="inlineStr">
        <is>
          <t>Éclairage</t>
        </is>
      </c>
      <c r="G411" s="7" t="inlineStr">
        <is>
          <t>PIECE_VEHICULE</t>
        </is>
      </c>
      <c r="H411" s="7" t="n">
        <v>1</v>
      </c>
      <c r="I411" s="7">
        <f>H411*$D$3</f>
        <v/>
      </c>
      <c r="J411" s="7" t="inlineStr">
        <is>
          <t>unité</t>
        </is>
      </c>
      <c r="K411" s="7" t="n">
        <v>0</v>
      </c>
      <c r="L411" s="7">
        <f>K411-I411</f>
        <v/>
      </c>
      <c r="M411" s="7">
        <f>IF(K411&lt;I411,"✕ INSUFFISANT",IF(K411&lt;I411*1.2,"⚠ STOCK FAIBLE","✓ COUVERT"))</f>
        <v/>
      </c>
      <c r="N411" s="7" t="inlineStr">
        <is>
          <t>FAU</t>
        </is>
      </c>
      <c r="O411" s="7" t="inlineStr">
        <is>
          <t>STANDARD</t>
        </is>
      </c>
      <c r="P411" s="7" t="inlineStr">
        <is>
          <t>31/08/2026 02:59</t>
        </is>
      </c>
    </row>
    <row r="412">
      <c r="A412" s="8" t="inlineStr">
        <is>
          <t>WHAP 8x8</t>
        </is>
      </c>
      <c r="B412" s="8" t="inlineStr">
        <is>
          <t>WHAP-0408</t>
        </is>
      </c>
      <c r="C412" s="8" t="inlineStr">
        <is>
          <t>ECL-0408</t>
        </is>
      </c>
      <c r="D412" s="8" t="inlineStr">
        <is>
          <t>projecteur de recherche</t>
        </is>
      </c>
      <c r="E412" s="8" t="inlineStr">
        <is>
          <t>Éclairage</t>
        </is>
      </c>
      <c r="F412" s="8" t="inlineStr">
        <is>
          <t>Éclairage</t>
        </is>
      </c>
      <c r="G412" s="8" t="inlineStr">
        <is>
          <t>PIECE_VEHICULE</t>
        </is>
      </c>
      <c r="H412" s="8" t="n">
        <v>1</v>
      </c>
      <c r="I412" s="8">
        <f>H412*$D$3</f>
        <v/>
      </c>
      <c r="J412" s="8" t="inlineStr">
        <is>
          <t>unité</t>
        </is>
      </c>
      <c r="K412" s="8" t="n">
        <v>0</v>
      </c>
      <c r="L412" s="8">
        <f>K412-I412</f>
        <v/>
      </c>
      <c r="M412" s="8">
        <f>IF(K412&lt;I412,"✕ INSUFFISANT",IF(K412&lt;I412*1.2,"⚠ STOCK FAIBLE","✓ COUVERT"))</f>
        <v/>
      </c>
      <c r="N412" s="8" t="inlineStr">
        <is>
          <t>BOS</t>
        </is>
      </c>
      <c r="O412" s="8" t="inlineStr">
        <is>
          <t>STANDARD</t>
        </is>
      </c>
      <c r="P412" s="8" t="inlineStr">
        <is>
          <t>31/08/2026 02:59</t>
        </is>
      </c>
    </row>
    <row r="413">
      <c r="A413" s="7" t="inlineStr">
        <is>
          <t>WHAP 8x8</t>
        </is>
      </c>
      <c r="B413" s="7" t="inlineStr">
        <is>
          <t>WHAP-0409</t>
        </is>
      </c>
      <c r="C413" s="7" t="inlineStr">
        <is>
          <t>ECL-0409</t>
        </is>
      </c>
      <c r="D413" s="7" t="inlineStr">
        <is>
          <t>module LED</t>
        </is>
      </c>
      <c r="E413" s="7" t="inlineStr">
        <is>
          <t>Éclairage</t>
        </is>
      </c>
      <c r="F413" s="7" t="inlineStr">
        <is>
          <t>Éclairage</t>
        </is>
      </c>
      <c r="G413" s="7" t="inlineStr">
        <is>
          <t>PIECE_VEHICULE</t>
        </is>
      </c>
      <c r="H413" s="7" t="n">
        <v>1</v>
      </c>
      <c r="I413" s="7">
        <f>H413*$D$3</f>
        <v/>
      </c>
      <c r="J413" s="7" t="inlineStr">
        <is>
          <t>unité</t>
        </is>
      </c>
      <c r="K413" s="7" t="n">
        <v>0</v>
      </c>
      <c r="L413" s="7">
        <f>K413-I413</f>
        <v/>
      </c>
      <c r="M413" s="7">
        <f>IF(K413&lt;I413,"✕ INSUFFISANT",IF(K413&lt;I413*1.2,"⚠ STOCK FAIBLE","✓ COUVERT"))</f>
        <v/>
      </c>
      <c r="N413" s="7" t="inlineStr">
        <is>
          <t>YZK</t>
        </is>
      </c>
      <c r="O413" s="7" t="inlineStr">
        <is>
          <t>STANDARD</t>
        </is>
      </c>
      <c r="P413" s="7" t="inlineStr">
        <is>
          <t>31/08/2026 02:59</t>
        </is>
      </c>
    </row>
    <row r="414">
      <c r="A414" s="8" t="inlineStr">
        <is>
          <t>WHAP 8x8</t>
        </is>
      </c>
      <c r="B414" s="8" t="inlineStr">
        <is>
          <t>WHAP-0410</t>
        </is>
      </c>
      <c r="C414" s="8" t="inlineStr">
        <is>
          <t>ECL-0410</t>
        </is>
      </c>
      <c r="D414" s="8" t="inlineStr">
        <is>
          <t>lentille</t>
        </is>
      </c>
      <c r="E414" s="8" t="inlineStr">
        <is>
          <t>Éclairage</t>
        </is>
      </c>
      <c r="F414" s="8" t="inlineStr">
        <is>
          <t>Éclairage</t>
        </is>
      </c>
      <c r="G414" s="8" t="inlineStr">
        <is>
          <t>PIECE_VEHICULE</t>
        </is>
      </c>
      <c r="H414" s="8" t="n">
        <v>1</v>
      </c>
      <c r="I414" s="8">
        <f>H414*$D$3</f>
        <v/>
      </c>
      <c r="J414" s="8" t="inlineStr">
        <is>
          <t>unité</t>
        </is>
      </c>
      <c r="K414" s="8" t="n">
        <v>0</v>
      </c>
      <c r="L414" s="8">
        <f>K414-I414</f>
        <v/>
      </c>
      <c r="M414" s="8">
        <f>IF(K414&lt;I414,"✕ INSUFFISANT",IF(K414&lt;I414*1.2,"⚠ STOCK FAIBLE","✓ COUVERT"))</f>
        <v/>
      </c>
      <c r="N414" s="8" t="inlineStr">
        <is>
          <t>HEL</t>
        </is>
      </c>
      <c r="O414" s="8" t="inlineStr">
        <is>
          <t>STANDARD</t>
        </is>
      </c>
      <c r="P414" s="8" t="inlineStr">
        <is>
          <t>31/08/2026 02:59</t>
        </is>
      </c>
    </row>
    <row r="415">
      <c r="A415" s="7" t="inlineStr">
        <is>
          <t>WHAP 8x8</t>
        </is>
      </c>
      <c r="B415" s="7" t="inlineStr">
        <is>
          <t>WHAP-0411</t>
        </is>
      </c>
      <c r="C415" s="7" t="inlineStr">
        <is>
          <t>ECL-0411</t>
        </is>
      </c>
      <c r="D415" s="7" t="inlineStr">
        <is>
          <t>réflecteur</t>
        </is>
      </c>
      <c r="E415" s="7" t="inlineStr">
        <is>
          <t>Éclairage</t>
        </is>
      </c>
      <c r="F415" s="7" t="inlineStr">
        <is>
          <t>Éclairage</t>
        </is>
      </c>
      <c r="G415" s="7" t="inlineStr">
        <is>
          <t>PIECE_VEHICULE</t>
        </is>
      </c>
      <c r="H415" s="7" t="n">
        <v>1</v>
      </c>
      <c r="I415" s="7">
        <f>H415*$D$3</f>
        <v/>
      </c>
      <c r="J415" s="7" t="inlineStr">
        <is>
          <t>unité</t>
        </is>
      </c>
      <c r="K415" s="7" t="n">
        <v>0</v>
      </c>
      <c r="L415" s="7">
        <f>K415-I415</f>
        <v/>
      </c>
      <c r="M415" s="7">
        <f>IF(K415&lt;I415,"✕ INSUFFISANT",IF(K415&lt;I415*1.2,"⚠ STOCK FAIBLE","✓ COUVERT"))</f>
        <v/>
      </c>
      <c r="N415" s="7" t="inlineStr">
        <is>
          <t>HEL</t>
        </is>
      </c>
      <c r="O415" s="7" t="inlineStr">
        <is>
          <t>STANDARD</t>
        </is>
      </c>
      <c r="P415" s="7" t="inlineStr">
        <is>
          <t>31/08/2026 02:59</t>
        </is>
      </c>
    </row>
    <row r="416">
      <c r="A416" s="8" t="inlineStr">
        <is>
          <t>WHAP 8x8</t>
        </is>
      </c>
      <c r="B416" s="8" t="inlineStr">
        <is>
          <t>WHAP-0412</t>
        </is>
      </c>
      <c r="C416" s="8" t="inlineStr">
        <is>
          <t>ECL-0412</t>
        </is>
      </c>
      <c r="D416" s="8" t="inlineStr">
        <is>
          <t>support de phare</t>
        </is>
      </c>
      <c r="E416" s="8" t="inlineStr">
        <is>
          <t>Éclairage</t>
        </is>
      </c>
      <c r="F416" s="8" t="inlineStr">
        <is>
          <t>Éclairage</t>
        </is>
      </c>
      <c r="G416" s="8" t="inlineStr">
        <is>
          <t>PIECE_VEHICULE</t>
        </is>
      </c>
      <c r="H416" s="8" t="n">
        <v>1</v>
      </c>
      <c r="I416" s="8">
        <f>H416*$D$3</f>
        <v/>
      </c>
      <c r="J416" s="8" t="inlineStr">
        <is>
          <t>unité</t>
        </is>
      </c>
      <c r="K416" s="8" t="n">
        <v>0</v>
      </c>
      <c r="L416" s="8">
        <f>K416-I416</f>
        <v/>
      </c>
      <c r="M416" s="8">
        <f>IF(K416&lt;I416,"✕ INSUFFISANT",IF(K416&lt;I416*1.2,"⚠ STOCK FAIBLE","✓ COUVERT"))</f>
        <v/>
      </c>
      <c r="N416" s="8" t="inlineStr">
        <is>
          <t>BOS</t>
        </is>
      </c>
      <c r="O416" s="8" t="inlineStr">
        <is>
          <t>STANDARD</t>
        </is>
      </c>
      <c r="P416" s="8" t="inlineStr">
        <is>
          <t>31/08/2026 02:59</t>
        </is>
      </c>
    </row>
    <row r="417">
      <c r="A417" s="7" t="inlineStr">
        <is>
          <t>WHAP 8x8</t>
        </is>
      </c>
      <c r="B417" s="7" t="inlineStr">
        <is>
          <t>WHAP-0413</t>
        </is>
      </c>
      <c r="C417" s="7" t="inlineStr">
        <is>
          <t>ECL-0413</t>
        </is>
      </c>
      <c r="D417" s="7" t="inlineStr">
        <is>
          <t>interrupteur éclairage</t>
        </is>
      </c>
      <c r="E417" s="7" t="inlineStr">
        <is>
          <t>Éclairage</t>
        </is>
      </c>
      <c r="F417" s="7" t="inlineStr">
        <is>
          <t>Éclairage</t>
        </is>
      </c>
      <c r="G417" s="7" t="inlineStr">
        <is>
          <t>PIECE_VEHICULE</t>
        </is>
      </c>
      <c r="H417" s="7" t="n">
        <v>1</v>
      </c>
      <c r="I417" s="7">
        <f>H417*$D$3</f>
        <v/>
      </c>
      <c r="J417" s="7" t="inlineStr">
        <is>
          <t>unité</t>
        </is>
      </c>
      <c r="K417" s="7" t="n">
        <v>0</v>
      </c>
      <c r="L417" s="7">
        <f>K417-I417</f>
        <v/>
      </c>
      <c r="M417" s="7">
        <f>IF(K417&lt;I417,"✕ INSUFFISANT",IF(K417&lt;I417*1.2,"⚠ STOCK FAIBLE","✓ COUVERT"))</f>
        <v/>
      </c>
      <c r="N417" s="7" t="inlineStr">
        <is>
          <t>SKF</t>
        </is>
      </c>
      <c r="O417" s="7" t="inlineStr">
        <is>
          <t>STANDARD</t>
        </is>
      </c>
      <c r="P417" s="7" t="inlineStr">
        <is>
          <t>31/08/2026 02:59</t>
        </is>
      </c>
    </row>
    <row r="418">
      <c r="A418" s="8" t="inlineStr">
        <is>
          <t>WHAP 8x8</t>
        </is>
      </c>
      <c r="B418" s="8" t="inlineStr">
        <is>
          <t>WHAP-0414</t>
        </is>
      </c>
      <c r="C418" s="8" t="inlineStr">
        <is>
          <t>ECL-0414</t>
        </is>
      </c>
      <c r="D418" s="8" t="inlineStr">
        <is>
          <t>faisceau éclairage</t>
        </is>
      </c>
      <c r="E418" s="8" t="inlineStr">
        <is>
          <t>Éclairage</t>
        </is>
      </c>
      <c r="F418" s="8" t="inlineStr">
        <is>
          <t>Éclairage</t>
        </is>
      </c>
      <c r="G418" s="8" t="inlineStr">
        <is>
          <t>PIECE_VEHICULE</t>
        </is>
      </c>
      <c r="H418" s="8" t="n">
        <v>1</v>
      </c>
      <c r="I418" s="8">
        <f>H418*$D$3</f>
        <v/>
      </c>
      <c r="J418" s="8" t="inlineStr">
        <is>
          <t>unité</t>
        </is>
      </c>
      <c r="K418" s="8" t="n">
        <v>0</v>
      </c>
      <c r="L418" s="8">
        <f>K418-I418</f>
        <v/>
      </c>
      <c r="M418" s="8">
        <f>IF(K418&lt;I418,"✕ INSUFFISANT",IF(K418&lt;I418*1.2,"⚠ STOCK FAIBLE","✓ COUVERT"))</f>
        <v/>
      </c>
      <c r="N418" s="8" t="inlineStr">
        <is>
          <t>SKF</t>
        </is>
      </c>
      <c r="O418" s="8" t="inlineStr">
        <is>
          <t>STANDARD</t>
        </is>
      </c>
      <c r="P418" s="8" t="inlineStr">
        <is>
          <t>31/08/2026 02:59</t>
        </is>
      </c>
    </row>
    <row r="419">
      <c r="A419" s="7" t="inlineStr">
        <is>
          <t>WHAP 8x8</t>
        </is>
      </c>
      <c r="B419" s="7" t="inlineStr">
        <is>
          <t>WHAP-0415</t>
        </is>
      </c>
      <c r="C419" s="7" t="inlineStr">
        <is>
          <t>ECL-0415</t>
        </is>
      </c>
      <c r="D419" s="7" t="inlineStr">
        <is>
          <t>connecteur de phare</t>
        </is>
      </c>
      <c r="E419" s="7" t="inlineStr">
        <is>
          <t>Éclairage</t>
        </is>
      </c>
      <c r="F419" s="7" t="inlineStr">
        <is>
          <t>Éclairage</t>
        </is>
      </c>
      <c r="G419" s="7" t="inlineStr">
        <is>
          <t>PIECE_VEHICULE</t>
        </is>
      </c>
      <c r="H419" s="7" t="n">
        <v>1</v>
      </c>
      <c r="I419" s="7">
        <f>H419*$D$3</f>
        <v/>
      </c>
      <c r="J419" s="7" t="inlineStr">
        <is>
          <t>unité</t>
        </is>
      </c>
      <c r="K419" s="7" t="n">
        <v>0</v>
      </c>
      <c r="L419" s="7">
        <f>K419-I419</f>
        <v/>
      </c>
      <c r="M419" s="7">
        <f>IF(K419&lt;I419,"✕ INSUFFISANT",IF(K419&lt;I419*1.2,"⚠ STOCK FAIBLE","✓ COUVERT"))</f>
        <v/>
      </c>
      <c r="N419" s="7" t="inlineStr">
        <is>
          <t>DEL</t>
        </is>
      </c>
      <c r="O419" s="7" t="inlineStr">
        <is>
          <t>STANDARD</t>
        </is>
      </c>
      <c r="P419" s="7" t="inlineStr">
        <is>
          <t>31/08/2026 02:59</t>
        </is>
      </c>
    </row>
    <row r="420">
      <c r="A420" s="8" t="inlineStr">
        <is>
          <t>WHAP 8x8</t>
        </is>
      </c>
      <c r="B420" s="8" t="inlineStr">
        <is>
          <t>WHAP-0416</t>
        </is>
      </c>
      <c r="C420" s="8" t="inlineStr">
        <is>
          <t>ECL-0416</t>
        </is>
      </c>
      <c r="D420" s="8" t="inlineStr">
        <is>
          <t>fusible éclairage</t>
        </is>
      </c>
      <c r="E420" s="8" t="inlineStr">
        <is>
          <t>Éclairage</t>
        </is>
      </c>
      <c r="F420" s="8" t="inlineStr">
        <is>
          <t>Éclairage</t>
        </is>
      </c>
      <c r="G420" s="8" t="inlineStr">
        <is>
          <t>PIECE_VEHICULE</t>
        </is>
      </c>
      <c r="H420" s="8" t="n">
        <v>1</v>
      </c>
      <c r="I420" s="8">
        <f>H420*$D$3</f>
        <v/>
      </c>
      <c r="J420" s="8" t="inlineStr">
        <is>
          <t>unité</t>
        </is>
      </c>
      <c r="K420" s="8" t="n">
        <v>0</v>
      </c>
      <c r="L420" s="8">
        <f>K420-I420</f>
        <v/>
      </c>
      <c r="M420" s="8">
        <f>IF(K420&lt;I420,"✕ INSUFFISANT",IF(K420&lt;I420*1.2,"⚠ STOCK FAIBLE","✓ COUVERT"))</f>
        <v/>
      </c>
      <c r="N420" s="8" t="inlineStr">
        <is>
          <t>HEL</t>
        </is>
      </c>
      <c r="O420" s="8" t="inlineStr">
        <is>
          <t>STANDARD</t>
        </is>
      </c>
      <c r="P420" s="8" t="inlineStr">
        <is>
          <t>31/08/2026 02:59</t>
        </is>
      </c>
    </row>
    <row r="421">
      <c r="A421" s="7" t="inlineStr">
        <is>
          <t>WHAP 8x8</t>
        </is>
      </c>
      <c r="B421" s="7" t="inlineStr">
        <is>
          <t>WHAP-0417</t>
        </is>
      </c>
      <c r="C421" s="7" t="inlineStr">
        <is>
          <t>CAR2-0417</t>
        </is>
      </c>
      <c r="D421" s="7" t="inlineStr">
        <is>
          <t>coque blindée</t>
        </is>
      </c>
      <c r="E421" s="7" t="inlineStr">
        <is>
          <t>Carrosserie et coque</t>
        </is>
      </c>
      <c r="F421" s="7" t="inlineStr">
        <is>
          <t>Carrosserie et coque</t>
        </is>
      </c>
      <c r="G421" s="7" t="inlineStr">
        <is>
          <t>PIECE_VEHICULE</t>
        </is>
      </c>
      <c r="H421" s="7" t="n">
        <v>1</v>
      </c>
      <c r="I421" s="7">
        <f>H421*$D$3</f>
        <v/>
      </c>
      <c r="J421" s="7" t="inlineStr">
        <is>
          <t>unité</t>
        </is>
      </c>
      <c r="K421" s="7" t="n">
        <v>54</v>
      </c>
      <c r="L421" s="7">
        <f>K421-I421</f>
        <v/>
      </c>
      <c r="M421" s="7">
        <f>IF(K421&lt;I421,"✕ INSUFFISANT",IF(K421&lt;I421*1.2,"⚠ STOCK FAIBLE","✓ COUVERT"))</f>
        <v/>
      </c>
      <c r="N421" s="7" t="inlineStr">
        <is>
          <t>BOS</t>
        </is>
      </c>
      <c r="O421" s="7" t="inlineStr">
        <is>
          <t>STANDARD</t>
        </is>
      </c>
      <c r="P421" s="7" t="inlineStr">
        <is>
          <t>31/08/2026 02:59</t>
        </is>
      </c>
    </row>
    <row r="422">
      <c r="A422" s="8" t="inlineStr">
        <is>
          <t>WHAP 8x8</t>
        </is>
      </c>
      <c r="B422" s="8" t="inlineStr">
        <is>
          <t>WHAP-0418</t>
        </is>
      </c>
      <c r="C422" s="8" t="inlineStr">
        <is>
          <t>CAR2-0418</t>
        </is>
      </c>
      <c r="D422" s="8" t="inlineStr">
        <is>
          <t>panneau latéral</t>
        </is>
      </c>
      <c r="E422" s="8" t="inlineStr">
        <is>
          <t>Carrosserie et coque</t>
        </is>
      </c>
      <c r="F422" s="8" t="inlineStr">
        <is>
          <t>Carrosserie et coque</t>
        </is>
      </c>
      <c r="G422" s="8" t="inlineStr">
        <is>
          <t>PIECE_VEHICULE</t>
        </is>
      </c>
      <c r="H422" s="8" t="n">
        <v>1</v>
      </c>
      <c r="I422" s="8">
        <f>H422*$D$3</f>
        <v/>
      </c>
      <c r="J422" s="8" t="inlineStr">
        <is>
          <t>unité</t>
        </is>
      </c>
      <c r="K422" s="8" t="n">
        <v>60</v>
      </c>
      <c r="L422" s="8">
        <f>K422-I422</f>
        <v/>
      </c>
      <c r="M422" s="8">
        <f>IF(K422&lt;I422,"✕ INSUFFISANT",IF(K422&lt;I422*1.2,"⚠ STOCK FAIBLE","✓ COUVERT"))</f>
        <v/>
      </c>
      <c r="N422" s="8" t="inlineStr">
        <is>
          <t>BOS</t>
        </is>
      </c>
      <c r="O422" s="8" t="inlineStr">
        <is>
          <t>STANDARD</t>
        </is>
      </c>
      <c r="P422" s="8" t="inlineStr">
        <is>
          <t>31/08/2026 02:59</t>
        </is>
      </c>
    </row>
    <row r="423">
      <c r="A423" s="7" t="inlineStr">
        <is>
          <t>WHAP 8x8</t>
        </is>
      </c>
      <c r="B423" s="7" t="inlineStr">
        <is>
          <t>WHAP-0419</t>
        </is>
      </c>
      <c r="C423" s="7" t="inlineStr">
        <is>
          <t>CAR2-0419</t>
        </is>
      </c>
      <c r="D423" s="7" t="inlineStr">
        <is>
          <t>panneau avant</t>
        </is>
      </c>
      <c r="E423" s="7" t="inlineStr">
        <is>
          <t>Carrosserie et coque</t>
        </is>
      </c>
      <c r="F423" s="7" t="inlineStr">
        <is>
          <t>Carrosserie et coque</t>
        </is>
      </c>
      <c r="G423" s="7" t="inlineStr">
        <is>
          <t>PIECE_VEHICULE</t>
        </is>
      </c>
      <c r="H423" s="7" t="n">
        <v>1</v>
      </c>
      <c r="I423" s="7">
        <f>H423*$D$3</f>
        <v/>
      </c>
      <c r="J423" s="7" t="inlineStr">
        <is>
          <t>unité</t>
        </is>
      </c>
      <c r="K423" s="7" t="n">
        <v>36</v>
      </c>
      <c r="L423" s="7">
        <f>K423-I423</f>
        <v/>
      </c>
      <c r="M423" s="7">
        <f>IF(K423&lt;I423,"✕ INSUFFISANT",IF(K423&lt;I423*1.2,"⚠ STOCK FAIBLE","✓ COUVERT"))</f>
        <v/>
      </c>
      <c r="N423" s="7" t="inlineStr">
        <is>
          <t>VAL</t>
        </is>
      </c>
      <c r="O423" s="7" t="inlineStr">
        <is>
          <t>STANDARD</t>
        </is>
      </c>
      <c r="P423" s="7" t="inlineStr">
        <is>
          <t>31/08/2026 02:59</t>
        </is>
      </c>
    </row>
    <row r="424">
      <c r="A424" s="8" t="inlineStr">
        <is>
          <t>WHAP 8x8</t>
        </is>
      </c>
      <c r="B424" s="8" t="inlineStr">
        <is>
          <t>WHAP-0420</t>
        </is>
      </c>
      <c r="C424" s="8" t="inlineStr">
        <is>
          <t>CAR2-0420</t>
        </is>
      </c>
      <c r="D424" s="8" t="inlineStr">
        <is>
          <t>panneau arrière</t>
        </is>
      </c>
      <c r="E424" s="8" t="inlineStr">
        <is>
          <t>Carrosserie et coque</t>
        </is>
      </c>
      <c r="F424" s="8" t="inlineStr">
        <is>
          <t>Carrosserie et coque</t>
        </is>
      </c>
      <c r="G424" s="8" t="inlineStr">
        <is>
          <t>PIECE_VEHICULE</t>
        </is>
      </c>
      <c r="H424" s="8" t="n">
        <v>1</v>
      </c>
      <c r="I424" s="8">
        <f>H424*$D$3</f>
        <v/>
      </c>
      <c r="J424" s="8" t="inlineStr">
        <is>
          <t>unité</t>
        </is>
      </c>
      <c r="K424" s="8" t="n">
        <v>0</v>
      </c>
      <c r="L424" s="8">
        <f>K424-I424</f>
        <v/>
      </c>
      <c r="M424" s="8">
        <f>IF(K424&lt;I424,"✕ INSUFFISANT",IF(K424&lt;I424*1.2,"⚠ STOCK FAIBLE","✓ COUVERT"))</f>
        <v/>
      </c>
      <c r="N424" s="8" t="inlineStr">
        <is>
          <t>SUM</t>
        </is>
      </c>
      <c r="O424" s="8" t="inlineStr">
        <is>
          <t>STANDARD</t>
        </is>
      </c>
      <c r="P424" s="8" t="inlineStr">
        <is>
          <t>31/08/2026 02:59</t>
        </is>
      </c>
    </row>
    <row r="425">
      <c r="A425" s="7" t="inlineStr">
        <is>
          <t>WHAP 8x8</t>
        </is>
      </c>
      <c r="B425" s="7" t="inlineStr">
        <is>
          <t>WHAP-0421</t>
        </is>
      </c>
      <c r="C425" s="7" t="inlineStr">
        <is>
          <t>CAR2-0421</t>
        </is>
      </c>
      <c r="D425" s="7" t="inlineStr">
        <is>
          <t>toit</t>
        </is>
      </c>
      <c r="E425" s="7" t="inlineStr">
        <is>
          <t>Carrosserie et coque</t>
        </is>
      </c>
      <c r="F425" s="7" t="inlineStr">
        <is>
          <t>Carrosserie et coque</t>
        </is>
      </c>
      <c r="G425" s="7" t="inlineStr">
        <is>
          <t>PIECE_VEHICULE</t>
        </is>
      </c>
      <c r="H425" s="7" t="n">
        <v>1</v>
      </c>
      <c r="I425" s="7">
        <f>H425*$D$3</f>
        <v/>
      </c>
      <c r="J425" s="7" t="inlineStr">
        <is>
          <t>unité</t>
        </is>
      </c>
      <c r="K425" s="7" t="n">
        <v>0</v>
      </c>
      <c r="L425" s="7">
        <f>K425-I425</f>
        <v/>
      </c>
      <c r="M425" s="7">
        <f>IF(K425&lt;I425,"✕ INSUFFISANT",IF(K425&lt;I425*1.2,"⚠ STOCK FAIBLE","✓ COUVERT"))</f>
        <v/>
      </c>
      <c r="N425" s="7" t="inlineStr">
        <is>
          <t>SKF</t>
        </is>
      </c>
      <c r="O425" s="7" t="inlineStr">
        <is>
          <t>STANDARD</t>
        </is>
      </c>
      <c r="P425" s="7" t="inlineStr">
        <is>
          <t>31/08/2026 02:59</t>
        </is>
      </c>
    </row>
    <row r="426">
      <c r="A426" s="8" t="inlineStr">
        <is>
          <t>WHAP 8x8</t>
        </is>
      </c>
      <c r="B426" s="8" t="inlineStr">
        <is>
          <t>WHAP-0422</t>
        </is>
      </c>
      <c r="C426" s="8" t="inlineStr">
        <is>
          <t>CAR2-0422</t>
        </is>
      </c>
      <c r="D426" s="8" t="inlineStr">
        <is>
          <t>plancher</t>
        </is>
      </c>
      <c r="E426" s="8" t="inlineStr">
        <is>
          <t>Carrosserie et coque</t>
        </is>
      </c>
      <c r="F426" s="8" t="inlineStr">
        <is>
          <t>Carrosserie et coque</t>
        </is>
      </c>
      <c r="G426" s="8" t="inlineStr">
        <is>
          <t>PIECE_VEHICULE</t>
        </is>
      </c>
      <c r="H426" s="8" t="n">
        <v>1</v>
      </c>
      <c r="I426" s="8">
        <f>H426*$D$3</f>
        <v/>
      </c>
      <c r="J426" s="8" t="inlineStr">
        <is>
          <t>unité</t>
        </is>
      </c>
      <c r="K426" s="8" t="n">
        <v>0</v>
      </c>
      <c r="L426" s="8">
        <f>K426-I426</f>
        <v/>
      </c>
      <c r="M426" s="8">
        <f>IF(K426&lt;I426,"✕ INSUFFISANT",IF(K426&lt;I426*1.2,"⚠ STOCK FAIBLE","✓ COUVERT"))</f>
        <v/>
      </c>
      <c r="N426" s="8" t="inlineStr">
        <is>
          <t>HEL</t>
        </is>
      </c>
      <c r="O426" s="8" t="inlineStr">
        <is>
          <t>STANDARD</t>
        </is>
      </c>
      <c r="P426" s="8" t="inlineStr">
        <is>
          <t>31/08/2026 02:59</t>
        </is>
      </c>
    </row>
    <row r="427">
      <c r="A427" s="7" t="inlineStr">
        <is>
          <t>WHAP 8x8</t>
        </is>
      </c>
      <c r="B427" s="7" t="inlineStr">
        <is>
          <t>WHAP-0423</t>
        </is>
      </c>
      <c r="C427" s="7" t="inlineStr">
        <is>
          <t>CAR2-0423</t>
        </is>
      </c>
      <c r="D427" s="7" t="inlineStr">
        <is>
          <t>double fond en V</t>
        </is>
      </c>
      <c r="E427" s="7" t="inlineStr">
        <is>
          <t>Carrosserie et coque</t>
        </is>
      </c>
      <c r="F427" s="7" t="inlineStr">
        <is>
          <t>Carrosserie et coque</t>
        </is>
      </c>
      <c r="G427" s="7" t="inlineStr">
        <is>
          <t>PIECE_VEHICULE</t>
        </is>
      </c>
      <c r="H427" s="7" t="n">
        <v>1</v>
      </c>
      <c r="I427" s="7">
        <f>H427*$D$3</f>
        <v/>
      </c>
      <c r="J427" s="7" t="inlineStr">
        <is>
          <t>unité</t>
        </is>
      </c>
      <c r="K427" s="7" t="n">
        <v>0</v>
      </c>
      <c r="L427" s="7">
        <f>K427-I427</f>
        <v/>
      </c>
      <c r="M427" s="7">
        <f>IF(K427&lt;I427,"✕ INSUFFISANT",IF(K427&lt;I427*1.2,"⚠ STOCK FAIBLE","✓ COUVERT"))</f>
        <v/>
      </c>
      <c r="N427" s="7" t="inlineStr">
        <is>
          <t>DEL</t>
        </is>
      </c>
      <c r="O427" s="7" t="inlineStr">
        <is>
          <t>STANDARD</t>
        </is>
      </c>
      <c r="P427" s="7" t="inlineStr">
        <is>
          <t>31/08/2026 02:59</t>
        </is>
      </c>
    </row>
    <row r="428">
      <c r="A428" s="8" t="inlineStr">
        <is>
          <t>WHAP 8x8</t>
        </is>
      </c>
      <c r="B428" s="8" t="inlineStr">
        <is>
          <t>WHAP-0424</t>
        </is>
      </c>
      <c r="C428" s="8" t="inlineStr">
        <is>
          <t>CAR2-0424</t>
        </is>
      </c>
      <c r="D428" s="8" t="inlineStr">
        <is>
          <t>panneau de plancher</t>
        </is>
      </c>
      <c r="E428" s="8" t="inlineStr">
        <is>
          <t>Carrosserie et coque</t>
        </is>
      </c>
      <c r="F428" s="8" t="inlineStr">
        <is>
          <t>Carrosserie et coque</t>
        </is>
      </c>
      <c r="G428" s="8" t="inlineStr">
        <is>
          <t>PIECE_VEHICULE</t>
        </is>
      </c>
      <c r="H428" s="8" t="n">
        <v>1</v>
      </c>
      <c r="I428" s="8">
        <f>H428*$D$3</f>
        <v/>
      </c>
      <c r="J428" s="8" t="inlineStr">
        <is>
          <t>unité</t>
        </is>
      </c>
      <c r="K428" s="8" t="n">
        <v>0</v>
      </c>
      <c r="L428" s="8">
        <f>K428-I428</f>
        <v/>
      </c>
      <c r="M428" s="8">
        <f>IF(K428&lt;I428,"✕ INSUFFISANT",IF(K428&lt;I428*1.2,"⚠ STOCK FAIBLE","✓ COUVERT"))</f>
        <v/>
      </c>
      <c r="N428" s="8" t="inlineStr">
        <is>
          <t>MAG</t>
        </is>
      </c>
      <c r="O428" s="8" t="inlineStr">
        <is>
          <t>STANDARD</t>
        </is>
      </c>
      <c r="P428" s="8" t="inlineStr">
        <is>
          <t>31/08/2026 02:59</t>
        </is>
      </c>
    </row>
    <row r="429">
      <c r="A429" s="7" t="inlineStr">
        <is>
          <t>WHAP 8x8</t>
        </is>
      </c>
      <c r="B429" s="7" t="inlineStr">
        <is>
          <t>WHAP-0425</t>
        </is>
      </c>
      <c r="C429" s="7" t="inlineStr">
        <is>
          <t>CAR2-0425</t>
        </is>
      </c>
      <c r="D429" s="7" t="inlineStr">
        <is>
          <t>panneau de plafond</t>
        </is>
      </c>
      <c r="E429" s="7" t="inlineStr">
        <is>
          <t>Carrosserie et coque</t>
        </is>
      </c>
      <c r="F429" s="7" t="inlineStr">
        <is>
          <t>Carrosserie et coque</t>
        </is>
      </c>
      <c r="G429" s="7" t="inlineStr">
        <is>
          <t>PIECE_VEHICULE</t>
        </is>
      </c>
      <c r="H429" s="7" t="n">
        <v>1</v>
      </c>
      <c r="I429" s="7">
        <f>H429*$D$3</f>
        <v/>
      </c>
      <c r="J429" s="7" t="inlineStr">
        <is>
          <t>unité</t>
        </is>
      </c>
      <c r="K429" s="7" t="n">
        <v>0</v>
      </c>
      <c r="L429" s="7">
        <f>K429-I429</f>
        <v/>
      </c>
      <c r="M429" s="7">
        <f>IF(K429&lt;I429,"✕ INSUFFISANT",IF(K429&lt;I429*1.2,"⚠ STOCK FAIBLE","✓ COUVERT"))</f>
        <v/>
      </c>
      <c r="N429" s="7" t="inlineStr">
        <is>
          <t>SKF</t>
        </is>
      </c>
      <c r="O429" s="7" t="inlineStr">
        <is>
          <t>STANDARD</t>
        </is>
      </c>
      <c r="P429" s="7" t="inlineStr">
        <is>
          <t>31/08/2026 02:59</t>
        </is>
      </c>
    </row>
    <row r="430">
      <c r="A430" s="8" t="inlineStr">
        <is>
          <t>WHAP 8x8</t>
        </is>
      </c>
      <c r="B430" s="8" t="inlineStr">
        <is>
          <t>WHAP-0426</t>
        </is>
      </c>
      <c r="C430" s="8" t="inlineStr">
        <is>
          <t>CAR2-0426</t>
        </is>
      </c>
      <c r="D430" s="8" t="inlineStr">
        <is>
          <t>cloison</t>
        </is>
      </c>
      <c r="E430" s="8" t="inlineStr">
        <is>
          <t>Carrosserie et coque</t>
        </is>
      </c>
      <c r="F430" s="8" t="inlineStr">
        <is>
          <t>Carrosserie et coque</t>
        </is>
      </c>
      <c r="G430" s="8" t="inlineStr">
        <is>
          <t>PIECE_VEHICULE</t>
        </is>
      </c>
      <c r="H430" s="8" t="n">
        <v>1</v>
      </c>
      <c r="I430" s="8">
        <f>H430*$D$3</f>
        <v/>
      </c>
      <c r="J430" s="8" t="inlineStr">
        <is>
          <t>unité</t>
        </is>
      </c>
      <c r="K430" s="8" t="n">
        <v>0</v>
      </c>
      <c r="L430" s="8">
        <f>K430-I430</f>
        <v/>
      </c>
      <c r="M430" s="8">
        <f>IF(K430&lt;I430,"✕ INSUFFISANT",IF(K430&lt;I430*1.2,"⚠ STOCK FAIBLE","✓ COUVERT"))</f>
        <v/>
      </c>
      <c r="N430" s="8" t="inlineStr">
        <is>
          <t>YZK</t>
        </is>
      </c>
      <c r="O430" s="8" t="inlineStr">
        <is>
          <t>STANDARD</t>
        </is>
      </c>
      <c r="P430" s="8" t="inlineStr">
        <is>
          <t>31/08/2026 02:59</t>
        </is>
      </c>
    </row>
    <row r="431">
      <c r="A431" s="7" t="inlineStr">
        <is>
          <t>WHAP 8x8</t>
        </is>
      </c>
      <c r="B431" s="7" t="inlineStr">
        <is>
          <t>WHAP-0427</t>
        </is>
      </c>
      <c r="C431" s="7" t="inlineStr">
        <is>
          <t>CAR2-0427</t>
        </is>
      </c>
      <c r="D431" s="7" t="inlineStr">
        <is>
          <t>traverse</t>
        </is>
      </c>
      <c r="E431" s="7" t="inlineStr">
        <is>
          <t>Carrosserie et coque</t>
        </is>
      </c>
      <c r="F431" s="7" t="inlineStr">
        <is>
          <t>Carrosserie et coque</t>
        </is>
      </c>
      <c r="G431" s="7" t="inlineStr">
        <is>
          <t>PIECE_VEHICULE</t>
        </is>
      </c>
      <c r="H431" s="7" t="n">
        <v>1</v>
      </c>
      <c r="I431" s="7">
        <f>H431*$D$3</f>
        <v/>
      </c>
      <c r="J431" s="7" t="inlineStr">
        <is>
          <t>unité</t>
        </is>
      </c>
      <c r="K431" s="7" t="n">
        <v>0</v>
      </c>
      <c r="L431" s="7">
        <f>K431-I431</f>
        <v/>
      </c>
      <c r="M431" s="7">
        <f>IF(K431&lt;I431,"✕ INSUFFISANT",IF(K431&lt;I431*1.2,"⚠ STOCK FAIBLE","✓ COUVERT"))</f>
        <v/>
      </c>
      <c r="N431" s="7" t="inlineStr">
        <is>
          <t>MAG</t>
        </is>
      </c>
      <c r="O431" s="7" t="inlineStr">
        <is>
          <t>STANDARD</t>
        </is>
      </c>
      <c r="P431" s="7" t="inlineStr">
        <is>
          <t>31/08/2026 02:59</t>
        </is>
      </c>
    </row>
    <row r="432">
      <c r="A432" s="8" t="inlineStr">
        <is>
          <t>WHAP 8x8</t>
        </is>
      </c>
      <c r="B432" s="8" t="inlineStr">
        <is>
          <t>WHAP-0428</t>
        </is>
      </c>
      <c r="C432" s="8" t="inlineStr">
        <is>
          <t>CAR2-0428</t>
        </is>
      </c>
      <c r="D432" s="8" t="inlineStr">
        <is>
          <t>renfort</t>
        </is>
      </c>
      <c r="E432" s="8" t="inlineStr">
        <is>
          <t>Carrosserie et coque</t>
        </is>
      </c>
      <c r="F432" s="8" t="inlineStr">
        <is>
          <t>Carrosserie et coque</t>
        </is>
      </c>
      <c r="G432" s="8" t="inlineStr">
        <is>
          <t>PIECE_VEHICULE</t>
        </is>
      </c>
      <c r="H432" s="8" t="n">
        <v>1</v>
      </c>
      <c r="I432" s="8">
        <f>H432*$D$3</f>
        <v/>
      </c>
      <c r="J432" s="8" t="inlineStr">
        <is>
          <t>unité</t>
        </is>
      </c>
      <c r="K432" s="8" t="n">
        <v>0</v>
      </c>
      <c r="L432" s="8">
        <f>K432-I432</f>
        <v/>
      </c>
      <c r="M432" s="8">
        <f>IF(K432&lt;I432,"✕ INSUFFISANT",IF(K432&lt;I432*1.2,"⚠ STOCK FAIBLE","✓ COUVERT"))</f>
        <v/>
      </c>
      <c r="N432" s="8" t="inlineStr">
        <is>
          <t>CTL</t>
        </is>
      </c>
      <c r="O432" s="8" t="inlineStr">
        <is>
          <t>STANDARD</t>
        </is>
      </c>
      <c r="P432" s="8" t="inlineStr">
        <is>
          <t>31/08/2026 02:59</t>
        </is>
      </c>
    </row>
    <row r="433">
      <c r="A433" s="7" t="inlineStr">
        <is>
          <t>WHAP 8x8</t>
        </is>
      </c>
      <c r="B433" s="7" t="inlineStr">
        <is>
          <t>WHAP-0429</t>
        </is>
      </c>
      <c r="C433" s="7" t="inlineStr">
        <is>
          <t>CAR2-0429</t>
        </is>
      </c>
      <c r="D433" s="7" t="inlineStr">
        <is>
          <t>support</t>
        </is>
      </c>
      <c r="E433" s="7" t="inlineStr">
        <is>
          <t>Carrosserie et coque</t>
        </is>
      </c>
      <c r="F433" s="7" t="inlineStr">
        <is>
          <t>Carrosserie et coque</t>
        </is>
      </c>
      <c r="G433" s="7" t="inlineStr">
        <is>
          <t>PIECE_VEHICULE</t>
        </is>
      </c>
      <c r="H433" s="7" t="n">
        <v>1</v>
      </c>
      <c r="I433" s="7">
        <f>H433*$D$3</f>
        <v/>
      </c>
      <c r="J433" s="7" t="inlineStr">
        <is>
          <t>unité</t>
        </is>
      </c>
      <c r="K433" s="7" t="n">
        <v>0</v>
      </c>
      <c r="L433" s="7">
        <f>K433-I433</f>
        <v/>
      </c>
      <c r="M433" s="7">
        <f>IF(K433&lt;I433,"✕ INSUFFISANT",IF(K433&lt;I433*1.2,"⚠ STOCK FAIBLE","✓ COUVERT"))</f>
        <v/>
      </c>
      <c r="N433" s="7" t="inlineStr">
        <is>
          <t>FAU</t>
        </is>
      </c>
      <c r="O433" s="7" t="inlineStr">
        <is>
          <t>STANDARD</t>
        </is>
      </c>
      <c r="P433" s="7" t="inlineStr">
        <is>
          <t>31/08/2026 02:59</t>
        </is>
      </c>
    </row>
    <row r="434">
      <c r="A434" s="8" t="inlineStr">
        <is>
          <t>WHAP 8x8</t>
        </is>
      </c>
      <c r="B434" s="8" t="inlineStr">
        <is>
          <t>WHAP-0430</t>
        </is>
      </c>
      <c r="C434" s="8" t="inlineStr">
        <is>
          <t>CAR2-0430</t>
        </is>
      </c>
      <c r="D434" s="8" t="inlineStr">
        <is>
          <t>équerre</t>
        </is>
      </c>
      <c r="E434" s="8" t="inlineStr">
        <is>
          <t>Carrosserie et coque</t>
        </is>
      </c>
      <c r="F434" s="8" t="inlineStr">
        <is>
          <t>Carrosserie et coque</t>
        </is>
      </c>
      <c r="G434" s="8" t="inlineStr">
        <is>
          <t>PIECE_VEHICULE</t>
        </is>
      </c>
      <c r="H434" s="8" t="n">
        <v>1</v>
      </c>
      <c r="I434" s="8">
        <f>H434*$D$3</f>
        <v/>
      </c>
      <c r="J434" s="8" t="inlineStr">
        <is>
          <t>unité</t>
        </is>
      </c>
      <c r="K434" s="8" t="n">
        <v>0</v>
      </c>
      <c r="L434" s="8">
        <f>K434-I434</f>
        <v/>
      </c>
      <c r="M434" s="8">
        <f>IF(K434&lt;I434,"✕ INSUFFISANT",IF(K434&lt;I434*1.2,"⚠ STOCK FAIBLE","✓ COUVERT"))</f>
        <v/>
      </c>
      <c r="N434" s="8" t="inlineStr">
        <is>
          <t>HEL</t>
        </is>
      </c>
      <c r="O434" s="8" t="inlineStr">
        <is>
          <t>STANDARD</t>
        </is>
      </c>
      <c r="P434" s="8" t="inlineStr">
        <is>
          <t>31/08/2026 02:59</t>
        </is>
      </c>
    </row>
    <row r="435">
      <c r="A435" s="7" t="inlineStr">
        <is>
          <t>WHAP 8x8</t>
        </is>
      </c>
      <c r="B435" s="7" t="inlineStr">
        <is>
          <t>WHAP-0431</t>
        </is>
      </c>
      <c r="C435" s="7" t="inlineStr">
        <is>
          <t>CAR2-0431</t>
        </is>
      </c>
      <c r="D435" s="7" t="inlineStr">
        <is>
          <t>profilé</t>
        </is>
      </c>
      <c r="E435" s="7" t="inlineStr">
        <is>
          <t>Carrosserie et coque</t>
        </is>
      </c>
      <c r="F435" s="7" t="inlineStr">
        <is>
          <t>Carrosserie et coque</t>
        </is>
      </c>
      <c r="G435" s="7" t="inlineStr">
        <is>
          <t>PIECE_VEHICULE</t>
        </is>
      </c>
      <c r="H435" s="7" t="n">
        <v>1</v>
      </c>
      <c r="I435" s="7">
        <f>H435*$D$3</f>
        <v/>
      </c>
      <c r="J435" s="7" t="inlineStr">
        <is>
          <t>unité</t>
        </is>
      </c>
      <c r="K435" s="7" t="n">
        <v>0</v>
      </c>
      <c r="L435" s="7">
        <f>K435-I435</f>
        <v/>
      </c>
      <c r="M435" s="7">
        <f>IF(K435&lt;I435,"✕ INSUFFISANT",IF(K435&lt;I435*1.2,"⚠ STOCK FAIBLE","✓ COUVERT"))</f>
        <v/>
      </c>
      <c r="N435" s="7" t="inlineStr">
        <is>
          <t>CTL</t>
        </is>
      </c>
      <c r="O435" s="7" t="inlineStr">
        <is>
          <t>STANDARD</t>
        </is>
      </c>
      <c r="P435" s="7" t="inlineStr">
        <is>
          <t>31/08/2026 02:59</t>
        </is>
      </c>
    </row>
    <row r="436">
      <c r="A436" s="8" t="inlineStr">
        <is>
          <t>WHAP 8x8</t>
        </is>
      </c>
      <c r="B436" s="8" t="inlineStr">
        <is>
          <t>WHAP-0432</t>
        </is>
      </c>
      <c r="C436" s="8" t="inlineStr">
        <is>
          <t>CAR2-0432</t>
        </is>
      </c>
      <c r="D436" s="8" t="inlineStr">
        <is>
          <t>panneau d'accès</t>
        </is>
      </c>
      <c r="E436" s="8" t="inlineStr">
        <is>
          <t>Carrosserie et coque</t>
        </is>
      </c>
      <c r="F436" s="8" t="inlineStr">
        <is>
          <t>Carrosserie et coque</t>
        </is>
      </c>
      <c r="G436" s="8" t="inlineStr">
        <is>
          <t>PIECE_VEHICULE</t>
        </is>
      </c>
      <c r="H436" s="8" t="n">
        <v>1</v>
      </c>
      <c r="I436" s="8">
        <f>H436*$D$3</f>
        <v/>
      </c>
      <c r="J436" s="8" t="inlineStr">
        <is>
          <t>unité</t>
        </is>
      </c>
      <c r="K436" s="8" t="n">
        <v>0</v>
      </c>
      <c r="L436" s="8">
        <f>K436-I436</f>
        <v/>
      </c>
      <c r="M436" s="8">
        <f>IF(K436&lt;I436,"✕ INSUFFISANT",IF(K436&lt;I436*1.2,"⚠ STOCK FAIBLE","✓ COUVERT"))</f>
        <v/>
      </c>
      <c r="N436" s="8" t="inlineStr">
        <is>
          <t>SKF</t>
        </is>
      </c>
      <c r="O436" s="8" t="inlineStr">
        <is>
          <t>STANDARD</t>
        </is>
      </c>
      <c r="P436" s="8" t="inlineStr">
        <is>
          <t>31/08/2026 02:59</t>
        </is>
      </c>
    </row>
    <row r="437">
      <c r="A437" s="7" t="inlineStr">
        <is>
          <t>WHAP 8x8</t>
        </is>
      </c>
      <c r="B437" s="7" t="inlineStr">
        <is>
          <t>WHAP-0433</t>
        </is>
      </c>
      <c r="C437" s="7" t="inlineStr">
        <is>
          <t>CAR2-0433</t>
        </is>
      </c>
      <c r="D437" s="7" t="inlineStr">
        <is>
          <t>trappe de maintenance</t>
        </is>
      </c>
      <c r="E437" s="7" t="inlineStr">
        <is>
          <t>Carrosserie et coque</t>
        </is>
      </c>
      <c r="F437" s="7" t="inlineStr">
        <is>
          <t>Carrosserie et coque</t>
        </is>
      </c>
      <c r="G437" s="7" t="inlineStr">
        <is>
          <t>PIECE_VEHICULE</t>
        </is>
      </c>
      <c r="H437" s="7" t="n">
        <v>1</v>
      </c>
      <c r="I437" s="7">
        <f>H437*$D$3</f>
        <v/>
      </c>
      <c r="J437" s="7" t="inlineStr">
        <is>
          <t>unité</t>
        </is>
      </c>
      <c r="K437" s="7" t="n">
        <v>0</v>
      </c>
      <c r="L437" s="7">
        <f>K437-I437</f>
        <v/>
      </c>
      <c r="M437" s="7">
        <f>IF(K437&lt;I437,"✕ INSUFFISANT",IF(K437&lt;I437*1.2,"⚠ STOCK FAIBLE","✓ COUVERT"))</f>
        <v/>
      </c>
      <c r="N437" s="7" t="inlineStr">
        <is>
          <t>SUM</t>
        </is>
      </c>
      <c r="O437" s="7" t="inlineStr">
        <is>
          <t>STANDARD</t>
        </is>
      </c>
      <c r="P437" s="7" t="inlineStr">
        <is>
          <t>31/08/2026 02:59</t>
        </is>
      </c>
    </row>
    <row r="438">
      <c r="A438" s="8" t="inlineStr">
        <is>
          <t>WHAP 8x8</t>
        </is>
      </c>
      <c r="B438" s="8" t="inlineStr">
        <is>
          <t>WHAP-0434</t>
        </is>
      </c>
      <c r="C438" s="8" t="inlineStr">
        <is>
          <t>CAR2-0434</t>
        </is>
      </c>
      <c r="D438" s="8" t="inlineStr">
        <is>
          <t>trappe d'évacuation</t>
        </is>
      </c>
      <c r="E438" s="8" t="inlineStr">
        <is>
          <t>Carrosserie et coque</t>
        </is>
      </c>
      <c r="F438" s="8" t="inlineStr">
        <is>
          <t>Carrosserie et coque</t>
        </is>
      </c>
      <c r="G438" s="8" t="inlineStr">
        <is>
          <t>PIECE_VEHICULE</t>
        </is>
      </c>
      <c r="H438" s="8" t="n">
        <v>1</v>
      </c>
      <c r="I438" s="8">
        <f>H438*$D$3</f>
        <v/>
      </c>
      <c r="J438" s="8" t="inlineStr">
        <is>
          <t>unité</t>
        </is>
      </c>
      <c r="K438" s="8" t="n">
        <v>0</v>
      </c>
      <c r="L438" s="8">
        <f>K438-I438</f>
        <v/>
      </c>
      <c r="M438" s="8">
        <f>IF(K438&lt;I438,"✕ INSUFFISANT",IF(K438&lt;I438*1.2,"⚠ STOCK FAIBLE","✓ COUVERT"))</f>
        <v/>
      </c>
      <c r="N438" s="8" t="inlineStr">
        <is>
          <t>MAG</t>
        </is>
      </c>
      <c r="O438" s="8" t="inlineStr">
        <is>
          <t>STANDARD</t>
        </is>
      </c>
      <c r="P438" s="8" t="inlineStr">
        <is>
          <t>31/08/2026 02:59</t>
        </is>
      </c>
    </row>
    <row r="439">
      <c r="A439" s="7" t="inlineStr">
        <is>
          <t>WHAP 8x8</t>
        </is>
      </c>
      <c r="B439" s="7" t="inlineStr">
        <is>
          <t>WHAP-0435</t>
        </is>
      </c>
      <c r="C439" s="7" t="inlineStr">
        <is>
          <t>CAR2-0435</t>
        </is>
      </c>
      <c r="D439" s="7" t="inlineStr">
        <is>
          <t>rampe arrière</t>
        </is>
      </c>
      <c r="E439" s="7" t="inlineStr">
        <is>
          <t>Carrosserie et coque</t>
        </is>
      </c>
      <c r="F439" s="7" t="inlineStr">
        <is>
          <t>Carrosserie et coque</t>
        </is>
      </c>
      <c r="G439" s="7" t="inlineStr">
        <is>
          <t>PIECE_VEHICULE</t>
        </is>
      </c>
      <c r="H439" s="7" t="n">
        <v>1</v>
      </c>
      <c r="I439" s="7">
        <f>H439*$D$3</f>
        <v/>
      </c>
      <c r="J439" s="7" t="inlineStr">
        <is>
          <t>unité</t>
        </is>
      </c>
      <c r="K439" s="7" t="n">
        <v>0</v>
      </c>
      <c r="L439" s="7">
        <f>K439-I439</f>
        <v/>
      </c>
      <c r="M439" s="7">
        <f>IF(K439&lt;I439,"✕ INSUFFISANT",IF(K439&lt;I439*1.2,"⚠ STOCK FAIBLE","✓ COUVERT"))</f>
        <v/>
      </c>
      <c r="N439" s="7" t="inlineStr">
        <is>
          <t>HEL</t>
        </is>
      </c>
      <c r="O439" s="7" t="inlineStr">
        <is>
          <t>STANDARD</t>
        </is>
      </c>
      <c r="P439" s="7" t="inlineStr">
        <is>
          <t>31/08/2026 02:59</t>
        </is>
      </c>
    </row>
    <row r="440">
      <c r="A440" s="8" t="inlineStr">
        <is>
          <t>WHAP 8x8</t>
        </is>
      </c>
      <c r="B440" s="8" t="inlineStr">
        <is>
          <t>WHAP-0436</t>
        </is>
      </c>
      <c r="C440" s="8" t="inlineStr">
        <is>
          <t>CAR2-0436</t>
        </is>
      </c>
      <c r="D440" s="8" t="inlineStr">
        <is>
          <t>charnière de rampe</t>
        </is>
      </c>
      <c r="E440" s="8" t="inlineStr">
        <is>
          <t>Carrosserie et coque</t>
        </is>
      </c>
      <c r="F440" s="8" t="inlineStr">
        <is>
          <t>Carrosserie et coque</t>
        </is>
      </c>
      <c r="G440" s="8" t="inlineStr">
        <is>
          <t>PIECE_VEHICULE</t>
        </is>
      </c>
      <c r="H440" s="8" t="n">
        <v>1</v>
      </c>
      <c r="I440" s="8">
        <f>H440*$D$3</f>
        <v/>
      </c>
      <c r="J440" s="8" t="inlineStr">
        <is>
          <t>unité</t>
        </is>
      </c>
      <c r="K440" s="8" t="n">
        <v>0</v>
      </c>
      <c r="L440" s="8">
        <f>K440-I440</f>
        <v/>
      </c>
      <c r="M440" s="8">
        <f>IF(K440&lt;I440,"✕ INSUFFISANT",IF(K440&lt;I440*1.2,"⚠ STOCK FAIBLE","✓ COUVERT"))</f>
        <v/>
      </c>
      <c r="N440" s="8" t="inlineStr">
        <is>
          <t>MAG</t>
        </is>
      </c>
      <c r="O440" s="8" t="inlineStr">
        <is>
          <t>STANDARD</t>
        </is>
      </c>
      <c r="P440" s="8" t="inlineStr">
        <is>
          <t>31/08/2026 02:59</t>
        </is>
      </c>
    </row>
    <row r="441">
      <c r="A441" s="7" t="inlineStr">
        <is>
          <t>WHAP 8x8</t>
        </is>
      </c>
      <c r="B441" s="7" t="inlineStr">
        <is>
          <t>WHAP-0437</t>
        </is>
      </c>
      <c r="C441" s="7" t="inlineStr">
        <is>
          <t>CAR2-0437</t>
        </is>
      </c>
      <c r="D441" s="7" t="inlineStr">
        <is>
          <t>verrou de rampe</t>
        </is>
      </c>
      <c r="E441" s="7" t="inlineStr">
        <is>
          <t>Carrosserie et coque</t>
        </is>
      </c>
      <c r="F441" s="7" t="inlineStr">
        <is>
          <t>Carrosserie et coque</t>
        </is>
      </c>
      <c r="G441" s="7" t="inlineStr">
        <is>
          <t>PIECE_VEHICULE</t>
        </is>
      </c>
      <c r="H441" s="7" t="n">
        <v>1</v>
      </c>
      <c r="I441" s="7">
        <f>H441*$D$3</f>
        <v/>
      </c>
      <c r="J441" s="7" t="inlineStr">
        <is>
          <t>unité</t>
        </is>
      </c>
      <c r="K441" s="7" t="n">
        <v>0</v>
      </c>
      <c r="L441" s="7">
        <f>K441-I441</f>
        <v/>
      </c>
      <c r="M441" s="7">
        <f>IF(K441&lt;I441,"✕ INSUFFISANT",IF(K441&lt;I441*1.2,"⚠ STOCK FAIBLE","✓ COUVERT"))</f>
        <v/>
      </c>
      <c r="N441" s="7" t="inlineStr">
        <is>
          <t>YZK</t>
        </is>
      </c>
      <c r="O441" s="7" t="inlineStr">
        <is>
          <t>STANDARD</t>
        </is>
      </c>
      <c r="P441" s="7" t="inlineStr">
        <is>
          <t>31/08/2026 02:59</t>
        </is>
      </c>
    </row>
    <row r="442">
      <c r="A442" s="8" t="inlineStr">
        <is>
          <t>WHAP 8x8</t>
        </is>
      </c>
      <c r="B442" s="8" t="inlineStr">
        <is>
          <t>WHAP-0438</t>
        </is>
      </c>
      <c r="C442" s="8" t="inlineStr">
        <is>
          <t>CAR2-0438</t>
        </is>
      </c>
      <c r="D442" s="8" t="inlineStr">
        <is>
          <t>vérin de rampe</t>
        </is>
      </c>
      <c r="E442" s="8" t="inlineStr">
        <is>
          <t>Carrosserie et coque</t>
        </is>
      </c>
      <c r="F442" s="8" t="inlineStr">
        <is>
          <t>Carrosserie et coque</t>
        </is>
      </c>
      <c r="G442" s="8" t="inlineStr">
        <is>
          <t>PIECE_VEHICULE</t>
        </is>
      </c>
      <c r="H442" s="8" t="n">
        <v>1</v>
      </c>
      <c r="I442" s="8">
        <f>H442*$D$3</f>
        <v/>
      </c>
      <c r="J442" s="8" t="inlineStr">
        <is>
          <t>unité</t>
        </is>
      </c>
      <c r="K442" s="8" t="n">
        <v>0</v>
      </c>
      <c r="L442" s="8">
        <f>K442-I442</f>
        <v/>
      </c>
      <c r="M442" s="8">
        <f>IF(K442&lt;I442,"✕ INSUFFISANT",IF(K442&lt;I442*1.2,"⚠ STOCK FAIBLE","✓ COUVERT"))</f>
        <v/>
      </c>
      <c r="N442" s="8" t="inlineStr">
        <is>
          <t>DEL</t>
        </is>
      </c>
      <c r="O442" s="8" t="inlineStr">
        <is>
          <t>STANDARD</t>
        </is>
      </c>
      <c r="P442" s="8" t="inlineStr">
        <is>
          <t>31/08/2026 02:59</t>
        </is>
      </c>
    </row>
    <row r="443">
      <c r="A443" s="7" t="inlineStr">
        <is>
          <t>WHAP 8x8</t>
        </is>
      </c>
      <c r="B443" s="7" t="inlineStr">
        <is>
          <t>WHAP-0439</t>
        </is>
      </c>
      <c r="C443" s="7" t="inlineStr">
        <is>
          <t>CAR2-0439</t>
        </is>
      </c>
      <c r="D443" s="7" t="inlineStr">
        <is>
          <t>butée de porte</t>
        </is>
      </c>
      <c r="E443" s="7" t="inlineStr">
        <is>
          <t>Carrosserie et coque</t>
        </is>
      </c>
      <c r="F443" s="7" t="inlineStr">
        <is>
          <t>Carrosserie et coque</t>
        </is>
      </c>
      <c r="G443" s="7" t="inlineStr">
        <is>
          <t>PIECE_VEHICULE</t>
        </is>
      </c>
      <c r="H443" s="7" t="n">
        <v>1</v>
      </c>
      <c r="I443" s="7">
        <f>H443*$D$3</f>
        <v/>
      </c>
      <c r="J443" s="7" t="inlineStr">
        <is>
          <t>unité</t>
        </is>
      </c>
      <c r="K443" s="7" t="n">
        <v>0</v>
      </c>
      <c r="L443" s="7">
        <f>K443-I443</f>
        <v/>
      </c>
      <c r="M443" s="7">
        <f>IF(K443&lt;I443,"✕ INSUFFISANT",IF(K443&lt;I443*1.2,"⚠ STOCK FAIBLE","✓ COUVERT"))</f>
        <v/>
      </c>
      <c r="N443" s="7" t="inlineStr">
        <is>
          <t>VAL</t>
        </is>
      </c>
      <c r="O443" s="7" t="inlineStr">
        <is>
          <t>STANDARD</t>
        </is>
      </c>
      <c r="P443" s="7" t="inlineStr">
        <is>
          <t>31/08/2026 02:59</t>
        </is>
      </c>
    </row>
    <row r="444">
      <c r="A444" s="8" t="inlineStr">
        <is>
          <t>WHAP 8x8</t>
        </is>
      </c>
      <c r="B444" s="8" t="inlineStr">
        <is>
          <t>WHAP-0440</t>
        </is>
      </c>
      <c r="C444" s="8" t="inlineStr">
        <is>
          <t>CAR2-0440</t>
        </is>
      </c>
      <c r="D444" s="8" t="inlineStr">
        <is>
          <t>joint de carrosserie</t>
        </is>
      </c>
      <c r="E444" s="8" t="inlineStr">
        <is>
          <t>Carrosserie et coque</t>
        </is>
      </c>
      <c r="F444" s="8" t="inlineStr">
        <is>
          <t>Carrosserie et coque</t>
        </is>
      </c>
      <c r="G444" s="8" t="inlineStr">
        <is>
          <t>PIECE_VEHICULE</t>
        </is>
      </c>
      <c r="H444" s="8" t="n">
        <v>1</v>
      </c>
      <c r="I444" s="8">
        <f>H444*$D$3</f>
        <v/>
      </c>
      <c r="J444" s="8" t="inlineStr">
        <is>
          <t>unité</t>
        </is>
      </c>
      <c r="K444" s="8" t="n">
        <v>0</v>
      </c>
      <c r="L444" s="8">
        <f>K444-I444</f>
        <v/>
      </c>
      <c r="M444" s="8">
        <f>IF(K444&lt;I444,"✕ INSUFFISANT",IF(K444&lt;I444*1.2,"⚠ STOCK FAIBLE","✓ COUVERT"))</f>
        <v/>
      </c>
      <c r="N444" s="8" t="inlineStr">
        <is>
          <t>BOS</t>
        </is>
      </c>
      <c r="O444" s="8" t="inlineStr">
        <is>
          <t>STANDARD</t>
        </is>
      </c>
      <c r="P444" s="8" t="inlineStr">
        <is>
          <t>31/08/2026 02:59</t>
        </is>
      </c>
    </row>
    <row r="445">
      <c r="A445" s="7" t="inlineStr">
        <is>
          <t>WHAP 8x8</t>
        </is>
      </c>
      <c r="B445" s="7" t="inlineStr">
        <is>
          <t>WHAP-0441</t>
        </is>
      </c>
      <c r="C445" s="7" t="inlineStr">
        <is>
          <t>CAR2-0441</t>
        </is>
      </c>
      <c r="D445" s="7" t="inlineStr">
        <is>
          <t>joint de trappe</t>
        </is>
      </c>
      <c r="E445" s="7" t="inlineStr">
        <is>
          <t>Carrosserie et coque</t>
        </is>
      </c>
      <c r="F445" s="7" t="inlineStr">
        <is>
          <t>Carrosserie et coque</t>
        </is>
      </c>
      <c r="G445" s="7" t="inlineStr">
        <is>
          <t>PIECE_VEHICULE</t>
        </is>
      </c>
      <c r="H445" s="7" t="n">
        <v>1</v>
      </c>
      <c r="I445" s="7">
        <f>H445*$D$3</f>
        <v/>
      </c>
      <c r="J445" s="7" t="inlineStr">
        <is>
          <t>unité</t>
        </is>
      </c>
      <c r="K445" s="7" t="n">
        <v>0</v>
      </c>
      <c r="L445" s="7">
        <f>K445-I445</f>
        <v/>
      </c>
      <c r="M445" s="7">
        <f>IF(K445&lt;I445,"✕ INSUFFISANT",IF(K445&lt;I445*1.2,"⚠ STOCK FAIBLE","✓ COUVERT"))</f>
        <v/>
      </c>
      <c r="N445" s="7" t="inlineStr">
        <is>
          <t>VAL</t>
        </is>
      </c>
      <c r="O445" s="7" t="inlineStr">
        <is>
          <t>STANDARD</t>
        </is>
      </c>
      <c r="P445" s="7" t="inlineStr">
        <is>
          <t>31/08/2026 02:59</t>
        </is>
      </c>
    </row>
    <row r="446">
      <c r="A446" s="8" t="inlineStr">
        <is>
          <t>WHAP 8x8</t>
        </is>
      </c>
      <c r="B446" s="8" t="inlineStr">
        <is>
          <t>WHAP-0442</t>
        </is>
      </c>
      <c r="C446" s="8" t="inlineStr">
        <is>
          <t>CAR2-0442</t>
        </is>
      </c>
      <c r="D446" s="8" t="inlineStr">
        <is>
          <t>isolant acoustique</t>
        </is>
      </c>
      <c r="E446" s="8" t="inlineStr">
        <is>
          <t>Carrosserie et coque</t>
        </is>
      </c>
      <c r="F446" s="8" t="inlineStr">
        <is>
          <t>Carrosserie et coque</t>
        </is>
      </c>
      <c r="G446" s="8" t="inlineStr">
        <is>
          <t>PIECE_VEHICULE</t>
        </is>
      </c>
      <c r="H446" s="8" t="n">
        <v>1</v>
      </c>
      <c r="I446" s="8">
        <f>H446*$D$3</f>
        <v/>
      </c>
      <c r="J446" s="8" t="inlineStr">
        <is>
          <t>unité</t>
        </is>
      </c>
      <c r="K446" s="8" t="n">
        <v>0</v>
      </c>
      <c r="L446" s="8">
        <f>K446-I446</f>
        <v/>
      </c>
      <c r="M446" s="8">
        <f>IF(K446&lt;I446,"✕ INSUFFISANT",IF(K446&lt;I446*1.2,"⚠ STOCK FAIBLE","✓ COUVERT"))</f>
        <v/>
      </c>
      <c r="N446" s="8" t="inlineStr">
        <is>
          <t>SKF</t>
        </is>
      </c>
      <c r="O446" s="8" t="inlineStr">
        <is>
          <t>STANDARD</t>
        </is>
      </c>
      <c r="P446" s="8" t="inlineStr">
        <is>
          <t>31/08/2026 02:59</t>
        </is>
      </c>
    </row>
    <row r="447">
      <c r="A447" s="7" t="inlineStr">
        <is>
          <t>WHAP 8x8</t>
        </is>
      </c>
      <c r="B447" s="7" t="inlineStr">
        <is>
          <t>WHAP-0443</t>
        </is>
      </c>
      <c r="C447" s="7" t="inlineStr">
        <is>
          <t>CAR2-0443</t>
        </is>
      </c>
      <c r="D447" s="7" t="inlineStr">
        <is>
          <t>isolant thermique</t>
        </is>
      </c>
      <c r="E447" s="7" t="inlineStr">
        <is>
          <t>Carrosserie et coque</t>
        </is>
      </c>
      <c r="F447" s="7" t="inlineStr">
        <is>
          <t>Carrosserie et coque</t>
        </is>
      </c>
      <c r="G447" s="7" t="inlineStr">
        <is>
          <t>PIECE_VEHICULE</t>
        </is>
      </c>
      <c r="H447" s="7" t="n">
        <v>1</v>
      </c>
      <c r="I447" s="7">
        <f>H447*$D$3</f>
        <v/>
      </c>
      <c r="J447" s="7" t="inlineStr">
        <is>
          <t>unité</t>
        </is>
      </c>
      <c r="K447" s="7" t="n">
        <v>0</v>
      </c>
      <c r="L447" s="7">
        <f>K447-I447</f>
        <v/>
      </c>
      <c r="M447" s="7">
        <f>IF(K447&lt;I447,"✕ INSUFFISANT",IF(K447&lt;I447*1.2,"⚠ STOCK FAIBLE","✓ COUVERT"))</f>
        <v/>
      </c>
      <c r="N447" s="7" t="inlineStr">
        <is>
          <t>HEL</t>
        </is>
      </c>
      <c r="O447" s="7" t="inlineStr">
        <is>
          <t>STANDARD</t>
        </is>
      </c>
      <c r="P447" s="7" t="inlineStr">
        <is>
          <t>31/08/2026 02:59</t>
        </is>
      </c>
    </row>
    <row r="448">
      <c r="A448" s="8" t="inlineStr">
        <is>
          <t>WHAP 8x8</t>
        </is>
      </c>
      <c r="B448" s="8" t="inlineStr">
        <is>
          <t>WHAP-0444</t>
        </is>
      </c>
      <c r="C448" s="8" t="inlineStr">
        <is>
          <t>CAR2-0444</t>
        </is>
      </c>
      <c r="D448" s="8" t="inlineStr">
        <is>
          <t>revêtement intérieur</t>
        </is>
      </c>
      <c r="E448" s="8" t="inlineStr">
        <is>
          <t>Carrosserie et coque</t>
        </is>
      </c>
      <c r="F448" s="8" t="inlineStr">
        <is>
          <t>Carrosserie et coque</t>
        </is>
      </c>
      <c r="G448" s="8" t="inlineStr">
        <is>
          <t>PIECE_VEHICULE</t>
        </is>
      </c>
      <c r="H448" s="8" t="n">
        <v>1</v>
      </c>
      <c r="I448" s="8">
        <f>H448*$D$3</f>
        <v/>
      </c>
      <c r="J448" s="8" t="inlineStr">
        <is>
          <t>unité</t>
        </is>
      </c>
      <c r="K448" s="8" t="n">
        <v>0</v>
      </c>
      <c r="L448" s="8">
        <f>K448-I448</f>
        <v/>
      </c>
      <c r="M448" s="8">
        <f>IF(K448&lt;I448,"✕ INSUFFISANT",IF(K448&lt;I448*1.2,"⚠ STOCK FAIBLE","✓ COUVERT"))</f>
        <v/>
      </c>
      <c r="N448" s="8" t="inlineStr">
        <is>
          <t>DEL</t>
        </is>
      </c>
      <c r="O448" s="8" t="inlineStr">
        <is>
          <t>STANDARD</t>
        </is>
      </c>
      <c r="P448" s="8" t="inlineStr">
        <is>
          <t>31/08/2026 02:59</t>
        </is>
      </c>
    </row>
    <row r="449">
      <c r="A449" s="7" t="inlineStr">
        <is>
          <t>WHAP 8x8</t>
        </is>
      </c>
      <c r="B449" s="7" t="inlineStr">
        <is>
          <t>WHAP-0445</t>
        </is>
      </c>
      <c r="C449" s="7" t="inlineStr">
        <is>
          <t>CAR2-0445</t>
        </is>
      </c>
      <c r="D449" s="7" t="inlineStr">
        <is>
          <t>protection anti-éclats</t>
        </is>
      </c>
      <c r="E449" s="7" t="inlineStr">
        <is>
          <t>Carrosserie et coque</t>
        </is>
      </c>
      <c r="F449" s="7" t="inlineStr">
        <is>
          <t>Carrosserie et coque</t>
        </is>
      </c>
      <c r="G449" s="7" t="inlineStr">
        <is>
          <t>PIECE_VEHICULE</t>
        </is>
      </c>
      <c r="H449" s="7" t="n">
        <v>1</v>
      </c>
      <c r="I449" s="7">
        <f>H449*$D$3</f>
        <v/>
      </c>
      <c r="J449" s="7" t="inlineStr">
        <is>
          <t>unité</t>
        </is>
      </c>
      <c r="K449" s="7" t="n">
        <v>0</v>
      </c>
      <c r="L449" s="7">
        <f>K449-I449</f>
        <v/>
      </c>
      <c r="M449" s="7">
        <f>IF(K449&lt;I449,"✕ INSUFFISANT",IF(K449&lt;I449*1.2,"⚠ STOCK FAIBLE","✓ COUVERT"))</f>
        <v/>
      </c>
      <c r="N449" s="7" t="inlineStr">
        <is>
          <t>YZK</t>
        </is>
      </c>
      <c r="O449" s="7" t="inlineStr">
        <is>
          <t>STANDARD</t>
        </is>
      </c>
      <c r="P449" s="7" t="inlineStr">
        <is>
          <t>31/08/2026 02:59</t>
        </is>
      </c>
    </row>
    <row r="450">
      <c r="A450" s="8" t="inlineStr">
        <is>
          <t>WHAP 8x8</t>
        </is>
      </c>
      <c r="B450" s="8" t="inlineStr">
        <is>
          <t>WHAP-0446</t>
        </is>
      </c>
      <c r="C450" s="8" t="inlineStr">
        <is>
          <t>POR-0446</t>
        </is>
      </c>
      <c r="D450" s="8" t="inlineStr">
        <is>
          <t>porte conducteur</t>
        </is>
      </c>
      <c r="E450" s="8" t="inlineStr">
        <is>
          <t>Portes et trappes</t>
        </is>
      </c>
      <c r="F450" s="8" t="inlineStr">
        <is>
          <t>Portes et trappes</t>
        </is>
      </c>
      <c r="G450" s="8" t="inlineStr">
        <is>
          <t>PIECE_VEHICULE</t>
        </is>
      </c>
      <c r="H450" s="8" t="n">
        <v>1</v>
      </c>
      <c r="I450" s="8">
        <f>H450*$D$3</f>
        <v/>
      </c>
      <c r="J450" s="8" t="inlineStr">
        <is>
          <t>unité</t>
        </is>
      </c>
      <c r="K450" s="8" t="n">
        <v>32</v>
      </c>
      <c r="L450" s="8">
        <f>K450-I450</f>
        <v/>
      </c>
      <c r="M450" s="8">
        <f>IF(K450&lt;I450,"✕ INSUFFISANT",IF(K450&lt;I450*1.2,"⚠ STOCK FAIBLE","✓ COUVERT"))</f>
        <v/>
      </c>
      <c r="N450" s="8" t="inlineStr">
        <is>
          <t>SUM</t>
        </is>
      </c>
      <c r="O450" s="8" t="inlineStr">
        <is>
          <t>STANDARD</t>
        </is>
      </c>
      <c r="P450" s="8" t="inlineStr">
        <is>
          <t>31/08/2026 02:59</t>
        </is>
      </c>
    </row>
    <row r="451">
      <c r="A451" s="7" t="inlineStr">
        <is>
          <t>WHAP 8x8</t>
        </is>
      </c>
      <c r="B451" s="7" t="inlineStr">
        <is>
          <t>WHAP-0447</t>
        </is>
      </c>
      <c r="C451" s="7" t="inlineStr">
        <is>
          <t>POR-0447</t>
        </is>
      </c>
      <c r="D451" s="7" t="inlineStr">
        <is>
          <t>porte équipage</t>
        </is>
      </c>
      <c r="E451" s="7" t="inlineStr">
        <is>
          <t>Portes et trappes</t>
        </is>
      </c>
      <c r="F451" s="7" t="inlineStr">
        <is>
          <t>Portes et trappes</t>
        </is>
      </c>
      <c r="G451" s="7" t="inlineStr">
        <is>
          <t>PIECE_VEHICULE</t>
        </is>
      </c>
      <c r="H451" s="7" t="n">
        <v>1</v>
      </c>
      <c r="I451" s="7">
        <f>H451*$D$3</f>
        <v/>
      </c>
      <c r="J451" s="7" t="inlineStr">
        <is>
          <t>unité</t>
        </is>
      </c>
      <c r="K451" s="7" t="n">
        <v>45</v>
      </c>
      <c r="L451" s="7">
        <f>K451-I451</f>
        <v/>
      </c>
      <c r="M451" s="7">
        <f>IF(K451&lt;I451,"✕ INSUFFISANT",IF(K451&lt;I451*1.2,"⚠ STOCK FAIBLE","✓ COUVERT"))</f>
        <v/>
      </c>
      <c r="N451" s="7" t="inlineStr">
        <is>
          <t>FAU</t>
        </is>
      </c>
      <c r="O451" s="7" t="inlineStr">
        <is>
          <t>STANDARD</t>
        </is>
      </c>
      <c r="P451" s="7" t="inlineStr">
        <is>
          <t>31/08/2026 02:59</t>
        </is>
      </c>
    </row>
    <row r="452">
      <c r="A452" s="8" t="inlineStr">
        <is>
          <t>WHAP 8x8</t>
        </is>
      </c>
      <c r="B452" s="8" t="inlineStr">
        <is>
          <t>WHAP-0448</t>
        </is>
      </c>
      <c r="C452" s="8" t="inlineStr">
        <is>
          <t>POR-0448</t>
        </is>
      </c>
      <c r="D452" s="8" t="inlineStr">
        <is>
          <t>porte arrière</t>
        </is>
      </c>
      <c r="E452" s="8" t="inlineStr">
        <is>
          <t>Portes et trappes</t>
        </is>
      </c>
      <c r="F452" s="8" t="inlineStr">
        <is>
          <t>Portes et trappes</t>
        </is>
      </c>
      <c r="G452" s="8" t="inlineStr">
        <is>
          <t>PIECE_VEHICULE</t>
        </is>
      </c>
      <c r="H452" s="8" t="n">
        <v>1</v>
      </c>
      <c r="I452" s="8">
        <f>H452*$D$3</f>
        <v/>
      </c>
      <c r="J452" s="8" t="inlineStr">
        <is>
          <t>unité</t>
        </is>
      </c>
      <c r="K452" s="8" t="n">
        <v>0</v>
      </c>
      <c r="L452" s="8">
        <f>K452-I452</f>
        <v/>
      </c>
      <c r="M452" s="8">
        <f>IF(K452&lt;I452,"✕ INSUFFISANT",IF(K452&lt;I452*1.2,"⚠ STOCK FAIBLE","✓ COUVERT"))</f>
        <v/>
      </c>
      <c r="N452" s="8" t="inlineStr">
        <is>
          <t>BOS</t>
        </is>
      </c>
      <c r="O452" s="8" t="inlineStr">
        <is>
          <t>STANDARD</t>
        </is>
      </c>
      <c r="P452" s="8" t="inlineStr">
        <is>
          <t>31/08/2026 02:59</t>
        </is>
      </c>
    </row>
    <row r="453">
      <c r="A453" s="7" t="inlineStr">
        <is>
          <t>WHAP 8x8</t>
        </is>
      </c>
      <c r="B453" s="7" t="inlineStr">
        <is>
          <t>WHAP-0449</t>
        </is>
      </c>
      <c r="C453" s="7" t="inlineStr">
        <is>
          <t>POR-0449</t>
        </is>
      </c>
      <c r="D453" s="7" t="inlineStr">
        <is>
          <t>trappe supérieure</t>
        </is>
      </c>
      <c r="E453" s="7" t="inlineStr">
        <is>
          <t>Portes et trappes</t>
        </is>
      </c>
      <c r="F453" s="7" t="inlineStr">
        <is>
          <t>Portes et trappes</t>
        </is>
      </c>
      <c r="G453" s="7" t="inlineStr">
        <is>
          <t>PIECE_VEHICULE</t>
        </is>
      </c>
      <c r="H453" s="7" t="n">
        <v>1</v>
      </c>
      <c r="I453" s="7">
        <f>H453*$D$3</f>
        <v/>
      </c>
      <c r="J453" s="7" t="inlineStr">
        <is>
          <t>unité</t>
        </is>
      </c>
      <c r="K453" s="7" t="n">
        <v>0</v>
      </c>
      <c r="L453" s="7">
        <f>K453-I453</f>
        <v/>
      </c>
      <c r="M453" s="7">
        <f>IF(K453&lt;I453,"✕ INSUFFISANT",IF(K453&lt;I453*1.2,"⚠ STOCK FAIBLE","✓ COUVERT"))</f>
        <v/>
      </c>
      <c r="N453" s="7" t="inlineStr">
        <is>
          <t>BOS</t>
        </is>
      </c>
      <c r="O453" s="7" t="inlineStr">
        <is>
          <t>STANDARD</t>
        </is>
      </c>
      <c r="P453" s="7" t="inlineStr">
        <is>
          <t>31/08/2026 02:59</t>
        </is>
      </c>
    </row>
    <row r="454">
      <c r="A454" s="8" t="inlineStr">
        <is>
          <t>WHAP 8x8</t>
        </is>
      </c>
      <c r="B454" s="8" t="inlineStr">
        <is>
          <t>WHAP-0450</t>
        </is>
      </c>
      <c r="C454" s="8" t="inlineStr">
        <is>
          <t>POR-0450</t>
        </is>
      </c>
      <c r="D454" s="8" t="inlineStr">
        <is>
          <t>trappe latérale</t>
        </is>
      </c>
      <c r="E454" s="8" t="inlineStr">
        <is>
          <t>Portes et trappes</t>
        </is>
      </c>
      <c r="F454" s="8" t="inlineStr">
        <is>
          <t>Portes et trappes</t>
        </is>
      </c>
      <c r="G454" s="8" t="inlineStr">
        <is>
          <t>PIECE_VEHICULE</t>
        </is>
      </c>
      <c r="H454" s="8" t="n">
        <v>1</v>
      </c>
      <c r="I454" s="8">
        <f>H454*$D$3</f>
        <v/>
      </c>
      <c r="J454" s="8" t="inlineStr">
        <is>
          <t>unité</t>
        </is>
      </c>
      <c r="K454" s="8" t="n">
        <v>0</v>
      </c>
      <c r="L454" s="8">
        <f>K454-I454</f>
        <v/>
      </c>
      <c r="M454" s="8">
        <f>IF(K454&lt;I454,"✕ INSUFFISANT",IF(K454&lt;I454*1.2,"⚠ STOCK FAIBLE","✓ COUVERT"))</f>
        <v/>
      </c>
      <c r="N454" s="8" t="inlineStr">
        <is>
          <t>DEL</t>
        </is>
      </c>
      <c r="O454" s="8" t="inlineStr">
        <is>
          <t>STANDARD</t>
        </is>
      </c>
      <c r="P454" s="8" t="inlineStr">
        <is>
          <t>31/08/2026 02:59</t>
        </is>
      </c>
    </row>
    <row r="455">
      <c r="A455" s="7" t="inlineStr">
        <is>
          <t>WHAP 8x8</t>
        </is>
      </c>
      <c r="B455" s="7" t="inlineStr">
        <is>
          <t>WHAP-0451</t>
        </is>
      </c>
      <c r="C455" s="7" t="inlineStr">
        <is>
          <t>POR-0451</t>
        </is>
      </c>
      <c r="D455" s="7" t="inlineStr">
        <is>
          <t>trappe moteur</t>
        </is>
      </c>
      <c r="E455" s="7" t="inlineStr">
        <is>
          <t>Portes et trappes</t>
        </is>
      </c>
      <c r="F455" s="7" t="inlineStr">
        <is>
          <t>Portes et trappes</t>
        </is>
      </c>
      <c r="G455" s="7" t="inlineStr">
        <is>
          <t>PIECE_VEHICULE</t>
        </is>
      </c>
      <c r="H455" s="7" t="n">
        <v>1</v>
      </c>
      <c r="I455" s="7">
        <f>H455*$D$3</f>
        <v/>
      </c>
      <c r="J455" s="7" t="inlineStr">
        <is>
          <t>unité</t>
        </is>
      </c>
      <c r="K455" s="7" t="n">
        <v>0</v>
      </c>
      <c r="L455" s="7">
        <f>K455-I455</f>
        <v/>
      </c>
      <c r="M455" s="7">
        <f>IF(K455&lt;I455,"✕ INSUFFISANT",IF(K455&lt;I455*1.2,"⚠ STOCK FAIBLE","✓ COUVERT"))</f>
        <v/>
      </c>
      <c r="N455" s="7" t="inlineStr">
        <is>
          <t>FAU</t>
        </is>
      </c>
      <c r="O455" s="7" t="inlineStr">
        <is>
          <t>STANDARD</t>
        </is>
      </c>
      <c r="P455" s="7" t="inlineStr">
        <is>
          <t>31/08/2026 02:59</t>
        </is>
      </c>
    </row>
    <row r="456">
      <c r="A456" s="8" t="inlineStr">
        <is>
          <t>WHAP 8x8</t>
        </is>
      </c>
      <c r="B456" s="8" t="inlineStr">
        <is>
          <t>WHAP-0452</t>
        </is>
      </c>
      <c r="C456" s="8" t="inlineStr">
        <is>
          <t>POR-0452</t>
        </is>
      </c>
      <c r="D456" s="8" t="inlineStr">
        <is>
          <t>charnière</t>
        </is>
      </c>
      <c r="E456" s="8" t="inlineStr">
        <is>
          <t>Portes et trappes</t>
        </is>
      </c>
      <c r="F456" s="8" t="inlineStr">
        <is>
          <t>Portes et trappes</t>
        </is>
      </c>
      <c r="G456" s="8" t="inlineStr">
        <is>
          <t>PIECE_VEHICULE</t>
        </is>
      </c>
      <c r="H456" s="8" t="n">
        <v>1</v>
      </c>
      <c r="I456" s="8">
        <f>H456*$D$3</f>
        <v/>
      </c>
      <c r="J456" s="8" t="inlineStr">
        <is>
          <t>unité</t>
        </is>
      </c>
      <c r="K456" s="8" t="n">
        <v>0</v>
      </c>
      <c r="L456" s="8">
        <f>K456-I456</f>
        <v/>
      </c>
      <c r="M456" s="8">
        <f>IF(K456&lt;I456,"✕ INSUFFISANT",IF(K456&lt;I456*1.2,"⚠ STOCK FAIBLE","✓ COUVERT"))</f>
        <v/>
      </c>
      <c r="N456" s="8" t="inlineStr">
        <is>
          <t>HEL</t>
        </is>
      </c>
      <c r="O456" s="8" t="inlineStr">
        <is>
          <t>STANDARD</t>
        </is>
      </c>
      <c r="P456" s="8" t="inlineStr">
        <is>
          <t>31/08/2026 02:59</t>
        </is>
      </c>
    </row>
    <row r="457">
      <c r="A457" s="7" t="inlineStr">
        <is>
          <t>WHAP 8x8</t>
        </is>
      </c>
      <c r="B457" s="7" t="inlineStr">
        <is>
          <t>WHAP-0453</t>
        </is>
      </c>
      <c r="C457" s="7" t="inlineStr">
        <is>
          <t>POR-0453</t>
        </is>
      </c>
      <c r="D457" s="7" t="inlineStr">
        <is>
          <t>serrure</t>
        </is>
      </c>
      <c r="E457" s="7" t="inlineStr">
        <is>
          <t>Portes et trappes</t>
        </is>
      </c>
      <c r="F457" s="7" t="inlineStr">
        <is>
          <t>Portes et trappes</t>
        </is>
      </c>
      <c r="G457" s="7" t="inlineStr">
        <is>
          <t>PIECE_VEHICULE</t>
        </is>
      </c>
      <c r="H457" s="7" t="n">
        <v>1</v>
      </c>
      <c r="I457" s="7">
        <f>H457*$D$3</f>
        <v/>
      </c>
      <c r="J457" s="7" t="inlineStr">
        <is>
          <t>unité</t>
        </is>
      </c>
      <c r="K457" s="7" t="n">
        <v>0</v>
      </c>
      <c r="L457" s="7">
        <f>K457-I457</f>
        <v/>
      </c>
      <c r="M457" s="7">
        <f>IF(K457&lt;I457,"✕ INSUFFISANT",IF(K457&lt;I457*1.2,"⚠ STOCK FAIBLE","✓ COUVERT"))</f>
        <v/>
      </c>
      <c r="N457" s="7" t="inlineStr">
        <is>
          <t>SUM</t>
        </is>
      </c>
      <c r="O457" s="7" t="inlineStr">
        <is>
          <t>STANDARD</t>
        </is>
      </c>
      <c r="P457" s="7" t="inlineStr">
        <is>
          <t>31/08/2026 02:59</t>
        </is>
      </c>
    </row>
    <row r="458">
      <c r="A458" s="8" t="inlineStr">
        <is>
          <t>WHAP 8x8</t>
        </is>
      </c>
      <c r="B458" s="8" t="inlineStr">
        <is>
          <t>WHAP-0454</t>
        </is>
      </c>
      <c r="C458" s="8" t="inlineStr">
        <is>
          <t>POR-0454</t>
        </is>
      </c>
      <c r="D458" s="8" t="inlineStr">
        <is>
          <t>loquet</t>
        </is>
      </c>
      <c r="E458" s="8" t="inlineStr">
        <is>
          <t>Portes et trappes</t>
        </is>
      </c>
      <c r="F458" s="8" t="inlineStr">
        <is>
          <t>Portes et trappes</t>
        </is>
      </c>
      <c r="G458" s="8" t="inlineStr">
        <is>
          <t>PIECE_VEHICULE</t>
        </is>
      </c>
      <c r="H458" s="8" t="n">
        <v>1</v>
      </c>
      <c r="I458" s="8">
        <f>H458*$D$3</f>
        <v/>
      </c>
      <c r="J458" s="8" t="inlineStr">
        <is>
          <t>unité</t>
        </is>
      </c>
      <c r="K458" s="8" t="n">
        <v>0</v>
      </c>
      <c r="L458" s="8">
        <f>K458-I458</f>
        <v/>
      </c>
      <c r="M458" s="8">
        <f>IF(K458&lt;I458,"✕ INSUFFISANT",IF(K458&lt;I458*1.2,"⚠ STOCK FAIBLE","✓ COUVERT"))</f>
        <v/>
      </c>
      <c r="N458" s="8" t="inlineStr">
        <is>
          <t>SKF</t>
        </is>
      </c>
      <c r="O458" s="8" t="inlineStr">
        <is>
          <t>STANDARD</t>
        </is>
      </c>
      <c r="P458" s="8" t="inlineStr">
        <is>
          <t>31/08/2026 02:59</t>
        </is>
      </c>
    </row>
    <row r="459">
      <c r="A459" s="7" t="inlineStr">
        <is>
          <t>WHAP 8x8</t>
        </is>
      </c>
      <c r="B459" s="7" t="inlineStr">
        <is>
          <t>WHAP-0455</t>
        </is>
      </c>
      <c r="C459" s="7" t="inlineStr">
        <is>
          <t>POR-0455</t>
        </is>
      </c>
      <c r="D459" s="7" t="inlineStr">
        <is>
          <t>verrou rotatif</t>
        </is>
      </c>
      <c r="E459" s="7" t="inlineStr">
        <is>
          <t>Portes et trappes</t>
        </is>
      </c>
      <c r="F459" s="7" t="inlineStr">
        <is>
          <t>Portes et trappes</t>
        </is>
      </c>
      <c r="G459" s="7" t="inlineStr">
        <is>
          <t>PIECE_VEHICULE</t>
        </is>
      </c>
      <c r="H459" s="7" t="n">
        <v>1</v>
      </c>
      <c r="I459" s="7">
        <f>H459*$D$3</f>
        <v/>
      </c>
      <c r="J459" s="7" t="inlineStr">
        <is>
          <t>unité</t>
        </is>
      </c>
      <c r="K459" s="7" t="n">
        <v>0</v>
      </c>
      <c r="L459" s="7">
        <f>K459-I459</f>
        <v/>
      </c>
      <c r="M459" s="7">
        <f>IF(K459&lt;I459,"✕ INSUFFISANT",IF(K459&lt;I459*1.2,"⚠ STOCK FAIBLE","✓ COUVERT"))</f>
        <v/>
      </c>
      <c r="N459" s="7" t="inlineStr">
        <is>
          <t>BOS</t>
        </is>
      </c>
      <c r="O459" s="7" t="inlineStr">
        <is>
          <t>STANDARD</t>
        </is>
      </c>
      <c r="P459" s="7" t="inlineStr">
        <is>
          <t>31/08/2026 02:59</t>
        </is>
      </c>
    </row>
    <row r="460">
      <c r="A460" s="8" t="inlineStr">
        <is>
          <t>WHAP 8x8</t>
        </is>
      </c>
      <c r="B460" s="8" t="inlineStr">
        <is>
          <t>WHAP-0456</t>
        </is>
      </c>
      <c r="C460" s="8" t="inlineStr">
        <is>
          <t>POR-0456</t>
        </is>
      </c>
      <c r="D460" s="8" t="inlineStr">
        <is>
          <t>poignée intérieure</t>
        </is>
      </c>
      <c r="E460" s="8" t="inlineStr">
        <is>
          <t>Portes et trappes</t>
        </is>
      </c>
      <c r="F460" s="8" t="inlineStr">
        <is>
          <t>Portes et trappes</t>
        </is>
      </c>
      <c r="G460" s="8" t="inlineStr">
        <is>
          <t>PIECE_VEHICULE</t>
        </is>
      </c>
      <c r="H460" s="8" t="n">
        <v>1</v>
      </c>
      <c r="I460" s="8">
        <f>H460*$D$3</f>
        <v/>
      </c>
      <c r="J460" s="8" t="inlineStr">
        <is>
          <t>unité</t>
        </is>
      </c>
      <c r="K460" s="8" t="n">
        <v>0</v>
      </c>
      <c r="L460" s="8">
        <f>K460-I460</f>
        <v/>
      </c>
      <c r="M460" s="8">
        <f>IF(K460&lt;I460,"✕ INSUFFISANT",IF(K460&lt;I460*1.2,"⚠ STOCK FAIBLE","✓ COUVERT"))</f>
        <v/>
      </c>
      <c r="N460" s="8" t="inlineStr">
        <is>
          <t>FAU</t>
        </is>
      </c>
      <c r="O460" s="8" t="inlineStr">
        <is>
          <t>STANDARD</t>
        </is>
      </c>
      <c r="P460" s="8" t="inlineStr">
        <is>
          <t>31/08/2026 02:59</t>
        </is>
      </c>
    </row>
    <row r="461">
      <c r="A461" s="7" t="inlineStr">
        <is>
          <t>WHAP 8x8</t>
        </is>
      </c>
      <c r="B461" s="7" t="inlineStr">
        <is>
          <t>WHAP-0457</t>
        </is>
      </c>
      <c r="C461" s="7" t="inlineStr">
        <is>
          <t>POR-0457</t>
        </is>
      </c>
      <c r="D461" s="7" t="inlineStr">
        <is>
          <t>poignée extérieure</t>
        </is>
      </c>
      <c r="E461" s="7" t="inlineStr">
        <is>
          <t>Portes et trappes</t>
        </is>
      </c>
      <c r="F461" s="7" t="inlineStr">
        <is>
          <t>Portes et trappes</t>
        </is>
      </c>
      <c r="G461" s="7" t="inlineStr">
        <is>
          <t>PIECE_VEHICULE</t>
        </is>
      </c>
      <c r="H461" s="7" t="n">
        <v>1</v>
      </c>
      <c r="I461" s="7">
        <f>H461*$D$3</f>
        <v/>
      </c>
      <c r="J461" s="7" t="inlineStr">
        <is>
          <t>unité</t>
        </is>
      </c>
      <c r="K461" s="7" t="n">
        <v>0</v>
      </c>
      <c r="L461" s="7">
        <f>K461-I461</f>
        <v/>
      </c>
      <c r="M461" s="7">
        <f>IF(K461&lt;I461,"✕ INSUFFISANT",IF(K461&lt;I461*1.2,"⚠ STOCK FAIBLE","✓ COUVERT"))</f>
        <v/>
      </c>
      <c r="N461" s="7" t="inlineStr">
        <is>
          <t>HEL</t>
        </is>
      </c>
      <c r="O461" s="7" t="inlineStr">
        <is>
          <t>STANDARD</t>
        </is>
      </c>
      <c r="P461" s="7" t="inlineStr">
        <is>
          <t>31/08/2026 02:59</t>
        </is>
      </c>
    </row>
    <row r="462">
      <c r="A462" s="8" t="inlineStr">
        <is>
          <t>WHAP 8x8</t>
        </is>
      </c>
      <c r="B462" s="8" t="inlineStr">
        <is>
          <t>WHAP-0458</t>
        </is>
      </c>
      <c r="C462" s="8" t="inlineStr">
        <is>
          <t>POR-0458</t>
        </is>
      </c>
      <c r="D462" s="8" t="inlineStr">
        <is>
          <t>câble de commande</t>
        </is>
      </c>
      <c r="E462" s="8" t="inlineStr">
        <is>
          <t>Portes et trappes</t>
        </is>
      </c>
      <c r="F462" s="8" t="inlineStr">
        <is>
          <t>Portes et trappes</t>
        </is>
      </c>
      <c r="G462" s="8" t="inlineStr">
        <is>
          <t>PIECE_VEHICULE</t>
        </is>
      </c>
      <c r="H462" s="8" t="n">
        <v>1</v>
      </c>
      <c r="I462" s="8">
        <f>H462*$D$3</f>
        <v/>
      </c>
      <c r="J462" s="8" t="inlineStr">
        <is>
          <t>unité</t>
        </is>
      </c>
      <c r="K462" s="8" t="n">
        <v>0</v>
      </c>
      <c r="L462" s="8">
        <f>K462-I462</f>
        <v/>
      </c>
      <c r="M462" s="8">
        <f>IF(K462&lt;I462,"✕ INSUFFISANT",IF(K462&lt;I462*1.2,"⚠ STOCK FAIBLE","✓ COUVERT"))</f>
        <v/>
      </c>
      <c r="N462" s="8" t="inlineStr">
        <is>
          <t>SKF</t>
        </is>
      </c>
      <c r="O462" s="8" t="inlineStr">
        <is>
          <t>STANDARD</t>
        </is>
      </c>
      <c r="P462" s="8" t="inlineStr">
        <is>
          <t>31/08/2026 02:59</t>
        </is>
      </c>
    </row>
    <row r="463">
      <c r="A463" s="7" t="inlineStr">
        <is>
          <t>WHAP 8x8</t>
        </is>
      </c>
      <c r="B463" s="7" t="inlineStr">
        <is>
          <t>WHAP-0459</t>
        </is>
      </c>
      <c r="C463" s="7" t="inlineStr">
        <is>
          <t>POR-0459</t>
        </is>
      </c>
      <c r="D463" s="7" t="inlineStr">
        <is>
          <t>vérin à gaz</t>
        </is>
      </c>
      <c r="E463" s="7" t="inlineStr">
        <is>
          <t>Portes et trappes</t>
        </is>
      </c>
      <c r="F463" s="7" t="inlineStr">
        <is>
          <t>Portes et trappes</t>
        </is>
      </c>
      <c r="G463" s="7" t="inlineStr">
        <is>
          <t>PIECE_VEHICULE</t>
        </is>
      </c>
      <c r="H463" s="7" t="n">
        <v>1</v>
      </c>
      <c r="I463" s="7">
        <f>H463*$D$3</f>
        <v/>
      </c>
      <c r="J463" s="7" t="inlineStr">
        <is>
          <t>unité</t>
        </is>
      </c>
      <c r="K463" s="7" t="n">
        <v>0</v>
      </c>
      <c r="L463" s="7">
        <f>K463-I463</f>
        <v/>
      </c>
      <c r="M463" s="7">
        <f>IF(K463&lt;I463,"✕ INSUFFISANT",IF(K463&lt;I463*1.2,"⚠ STOCK FAIBLE","✓ COUVERT"))</f>
        <v/>
      </c>
      <c r="N463" s="7" t="inlineStr">
        <is>
          <t>VAL</t>
        </is>
      </c>
      <c r="O463" s="7" t="inlineStr">
        <is>
          <t>STANDARD</t>
        </is>
      </c>
      <c r="P463" s="7" t="inlineStr">
        <is>
          <t>31/08/2026 02:59</t>
        </is>
      </c>
    </row>
    <row r="464">
      <c r="A464" s="8" t="inlineStr">
        <is>
          <t>WHAP 8x8</t>
        </is>
      </c>
      <c r="B464" s="8" t="inlineStr">
        <is>
          <t>WHAP-0460</t>
        </is>
      </c>
      <c r="C464" s="8" t="inlineStr">
        <is>
          <t>POR-0460</t>
        </is>
      </c>
      <c r="D464" s="8" t="inlineStr">
        <is>
          <t>vérin hydraulique</t>
        </is>
      </c>
      <c r="E464" s="8" t="inlineStr">
        <is>
          <t>Portes et trappes</t>
        </is>
      </c>
      <c r="F464" s="8" t="inlineStr">
        <is>
          <t>Portes et trappes</t>
        </is>
      </c>
      <c r="G464" s="8" t="inlineStr">
        <is>
          <t>PIECE_VEHICULE</t>
        </is>
      </c>
      <c r="H464" s="8" t="n">
        <v>1</v>
      </c>
      <c r="I464" s="8">
        <f>H464*$D$3</f>
        <v/>
      </c>
      <c r="J464" s="8" t="inlineStr">
        <is>
          <t>unité</t>
        </is>
      </c>
      <c r="K464" s="8" t="n">
        <v>0</v>
      </c>
      <c r="L464" s="8">
        <f>K464-I464</f>
        <v/>
      </c>
      <c r="M464" s="8">
        <f>IF(K464&lt;I464,"✕ INSUFFISANT",IF(K464&lt;I464*1.2,"⚠ STOCK FAIBLE","✓ COUVERT"))</f>
        <v/>
      </c>
      <c r="N464" s="8" t="inlineStr">
        <is>
          <t>DEL</t>
        </is>
      </c>
      <c r="O464" s="8" t="inlineStr">
        <is>
          <t>STANDARD</t>
        </is>
      </c>
      <c r="P464" s="8" t="inlineStr">
        <is>
          <t>31/08/2026 02:59</t>
        </is>
      </c>
    </row>
    <row r="465">
      <c r="A465" s="7" t="inlineStr">
        <is>
          <t>WHAP 8x8</t>
        </is>
      </c>
      <c r="B465" s="7" t="inlineStr">
        <is>
          <t>WHAP-0461</t>
        </is>
      </c>
      <c r="C465" s="7" t="inlineStr">
        <is>
          <t>POR-0461</t>
        </is>
      </c>
      <c r="D465" s="7" t="inlineStr">
        <is>
          <t>joint de porte</t>
        </is>
      </c>
      <c r="E465" s="7" t="inlineStr">
        <is>
          <t>Portes et trappes</t>
        </is>
      </c>
      <c r="F465" s="7" t="inlineStr">
        <is>
          <t>Portes et trappes</t>
        </is>
      </c>
      <c r="G465" s="7" t="inlineStr">
        <is>
          <t>PIECE_VEHICULE</t>
        </is>
      </c>
      <c r="H465" s="7" t="n">
        <v>1</v>
      </c>
      <c r="I465" s="7">
        <f>H465*$D$3</f>
        <v/>
      </c>
      <c r="J465" s="7" t="inlineStr">
        <is>
          <t>unité</t>
        </is>
      </c>
      <c r="K465" s="7" t="n">
        <v>0</v>
      </c>
      <c r="L465" s="7">
        <f>K465-I465</f>
        <v/>
      </c>
      <c r="M465" s="7">
        <f>IF(K465&lt;I465,"✕ INSUFFISANT",IF(K465&lt;I465*1.2,"⚠ STOCK FAIBLE","✓ COUVERT"))</f>
        <v/>
      </c>
      <c r="N465" s="7" t="inlineStr">
        <is>
          <t>SKF</t>
        </is>
      </c>
      <c r="O465" s="7" t="inlineStr">
        <is>
          <t>STANDARD</t>
        </is>
      </c>
      <c r="P465" s="7" t="inlineStr">
        <is>
          <t>31/08/2026 02:59</t>
        </is>
      </c>
    </row>
    <row r="466">
      <c r="A466" s="8" t="inlineStr">
        <is>
          <t>WHAP 8x8</t>
        </is>
      </c>
      <c r="B466" s="8" t="inlineStr">
        <is>
          <t>WHAP-0462</t>
        </is>
      </c>
      <c r="C466" s="8" t="inlineStr">
        <is>
          <t>POR-0462</t>
        </is>
      </c>
      <c r="D466" s="8" t="inlineStr">
        <is>
          <t>joint de trappe</t>
        </is>
      </c>
      <c r="E466" s="8" t="inlineStr">
        <is>
          <t>Portes et trappes</t>
        </is>
      </c>
      <c r="F466" s="8" t="inlineStr">
        <is>
          <t>Portes et trappes</t>
        </is>
      </c>
      <c r="G466" s="8" t="inlineStr">
        <is>
          <t>PIECE_VEHICULE</t>
        </is>
      </c>
      <c r="H466" s="8" t="n">
        <v>1</v>
      </c>
      <c r="I466" s="8">
        <f>H466*$D$3</f>
        <v/>
      </c>
      <c r="J466" s="8" t="inlineStr">
        <is>
          <t>unité</t>
        </is>
      </c>
      <c r="K466" s="8" t="n">
        <v>0</v>
      </c>
      <c r="L466" s="8">
        <f>K466-I466</f>
        <v/>
      </c>
      <c r="M466" s="8">
        <f>IF(K466&lt;I466,"✕ INSUFFISANT",IF(K466&lt;I466*1.2,"⚠ STOCK FAIBLE","✓ COUVERT"))</f>
        <v/>
      </c>
      <c r="N466" s="8" t="inlineStr">
        <is>
          <t>FAU</t>
        </is>
      </c>
      <c r="O466" s="8" t="inlineStr">
        <is>
          <t>STANDARD</t>
        </is>
      </c>
      <c r="P466" s="8" t="inlineStr">
        <is>
          <t>31/08/2026 02:59</t>
        </is>
      </c>
    </row>
    <row r="467">
      <c r="A467" s="7" t="inlineStr">
        <is>
          <t>WHAP 8x8</t>
        </is>
      </c>
      <c r="B467" s="7" t="inlineStr">
        <is>
          <t>WHAP-0463</t>
        </is>
      </c>
      <c r="C467" s="7" t="inlineStr">
        <is>
          <t>POR-0463</t>
        </is>
      </c>
      <c r="D467" s="7" t="inlineStr">
        <is>
          <t>vitre blindée</t>
        </is>
      </c>
      <c r="E467" s="7" t="inlineStr">
        <is>
          <t>Portes et trappes</t>
        </is>
      </c>
      <c r="F467" s="7" t="inlineStr">
        <is>
          <t>Portes et trappes</t>
        </is>
      </c>
      <c r="G467" s="7" t="inlineStr">
        <is>
          <t>PIECE_VEHICULE</t>
        </is>
      </c>
      <c r="H467" s="7" t="n">
        <v>1</v>
      </c>
      <c r="I467" s="7">
        <f>H467*$D$3</f>
        <v/>
      </c>
      <c r="J467" s="7" t="inlineStr">
        <is>
          <t>unité</t>
        </is>
      </c>
      <c r="K467" s="7" t="n">
        <v>0</v>
      </c>
      <c r="L467" s="7">
        <f>K467-I467</f>
        <v/>
      </c>
      <c r="M467" s="7">
        <f>IF(K467&lt;I467,"✕ INSUFFISANT",IF(K467&lt;I467*1.2,"⚠ STOCK FAIBLE","✓ COUVERT"))</f>
        <v/>
      </c>
      <c r="N467" s="7" t="inlineStr">
        <is>
          <t>YZK</t>
        </is>
      </c>
      <c r="O467" s="7" t="inlineStr">
        <is>
          <t>STANDARD</t>
        </is>
      </c>
      <c r="P467" s="7" t="inlineStr">
        <is>
          <t>31/08/2026 02:59</t>
        </is>
      </c>
    </row>
    <row r="468">
      <c r="A468" s="8" t="inlineStr">
        <is>
          <t>WHAP 8x8</t>
        </is>
      </c>
      <c r="B468" s="8" t="inlineStr">
        <is>
          <t>WHAP-0464</t>
        </is>
      </c>
      <c r="C468" s="8" t="inlineStr">
        <is>
          <t>POR-0464</t>
        </is>
      </c>
      <c r="D468" s="8" t="inlineStr">
        <is>
          <t>cadre de vitre</t>
        </is>
      </c>
      <c r="E468" s="8" t="inlineStr">
        <is>
          <t>Portes et trappes</t>
        </is>
      </c>
      <c r="F468" s="8" t="inlineStr">
        <is>
          <t>Portes et trappes</t>
        </is>
      </c>
      <c r="G468" s="8" t="inlineStr">
        <is>
          <t>PIECE_VEHICULE</t>
        </is>
      </c>
      <c r="H468" s="8" t="n">
        <v>1</v>
      </c>
      <c r="I468" s="8">
        <f>H468*$D$3</f>
        <v/>
      </c>
      <c r="J468" s="8" t="inlineStr">
        <is>
          <t>unité</t>
        </is>
      </c>
      <c r="K468" s="8" t="n">
        <v>0</v>
      </c>
      <c r="L468" s="8">
        <f>K468-I468</f>
        <v/>
      </c>
      <c r="M468" s="8">
        <f>IF(K468&lt;I468,"✕ INSUFFISANT",IF(K468&lt;I468*1.2,"⚠ STOCK FAIBLE","✓ COUVERT"))</f>
        <v/>
      </c>
      <c r="N468" s="8" t="inlineStr">
        <is>
          <t>VAL</t>
        </is>
      </c>
      <c r="O468" s="8" t="inlineStr">
        <is>
          <t>STANDARD</t>
        </is>
      </c>
      <c r="P468" s="8" t="inlineStr">
        <is>
          <t>31/08/2026 02:59</t>
        </is>
      </c>
    </row>
    <row r="469">
      <c r="A469" s="7" t="inlineStr">
        <is>
          <t>WHAP 8x8</t>
        </is>
      </c>
      <c r="B469" s="7" t="inlineStr">
        <is>
          <t>WHAP-0465</t>
        </is>
      </c>
      <c r="C469" s="7" t="inlineStr">
        <is>
          <t>POR-0465</t>
        </is>
      </c>
      <c r="D469" s="7" t="inlineStr">
        <is>
          <t>lève-vitre</t>
        </is>
      </c>
      <c r="E469" s="7" t="inlineStr">
        <is>
          <t>Portes et trappes</t>
        </is>
      </c>
      <c r="F469" s="7" t="inlineStr">
        <is>
          <t>Portes et trappes</t>
        </is>
      </c>
      <c r="G469" s="7" t="inlineStr">
        <is>
          <t>PIECE_VEHICULE</t>
        </is>
      </c>
      <c r="H469" s="7" t="n">
        <v>1</v>
      </c>
      <c r="I469" s="7">
        <f>H469*$D$3</f>
        <v/>
      </c>
      <c r="J469" s="7" t="inlineStr">
        <is>
          <t>unité</t>
        </is>
      </c>
      <c r="K469" s="7" t="n">
        <v>0</v>
      </c>
      <c r="L469" s="7">
        <f>K469-I469</f>
        <v/>
      </c>
      <c r="M469" s="7">
        <f>IF(K469&lt;I469,"✕ INSUFFISANT",IF(K469&lt;I469*1.2,"⚠ STOCK FAIBLE","✓ COUVERT"))</f>
        <v/>
      </c>
      <c r="N469" s="7" t="inlineStr">
        <is>
          <t>SUM</t>
        </is>
      </c>
      <c r="O469" s="7" t="inlineStr">
        <is>
          <t>STANDARD</t>
        </is>
      </c>
      <c r="P469" s="7" t="inlineStr">
        <is>
          <t>31/08/2026 02:59</t>
        </is>
      </c>
    </row>
    <row r="470">
      <c r="A470" s="8" t="inlineStr">
        <is>
          <t>WHAP 8x8</t>
        </is>
      </c>
      <c r="B470" s="8" t="inlineStr">
        <is>
          <t>WHAP-0466</t>
        </is>
      </c>
      <c r="C470" s="8" t="inlineStr">
        <is>
          <t>POR-0466</t>
        </is>
      </c>
      <c r="D470" s="8" t="inlineStr">
        <is>
          <t>mécanisme de vitre</t>
        </is>
      </c>
      <c r="E470" s="8" t="inlineStr">
        <is>
          <t>Portes et trappes</t>
        </is>
      </c>
      <c r="F470" s="8" t="inlineStr">
        <is>
          <t>Portes et trappes</t>
        </is>
      </c>
      <c r="G470" s="8" t="inlineStr">
        <is>
          <t>PIECE_VEHICULE</t>
        </is>
      </c>
      <c r="H470" s="8" t="n">
        <v>1</v>
      </c>
      <c r="I470" s="8">
        <f>H470*$D$3</f>
        <v/>
      </c>
      <c r="J470" s="8" t="inlineStr">
        <is>
          <t>unité</t>
        </is>
      </c>
      <c r="K470" s="8" t="n">
        <v>0</v>
      </c>
      <c r="L470" s="8">
        <f>K470-I470</f>
        <v/>
      </c>
      <c r="M470" s="8">
        <f>IF(K470&lt;I470,"✕ INSUFFISANT",IF(K470&lt;I470*1.2,"⚠ STOCK FAIBLE","✓ COUVERT"))</f>
        <v/>
      </c>
      <c r="N470" s="8" t="inlineStr">
        <is>
          <t>DEL</t>
        </is>
      </c>
      <c r="O470" s="8" t="inlineStr">
        <is>
          <t>STANDARD</t>
        </is>
      </c>
      <c r="P470" s="8" t="inlineStr">
        <is>
          <t>31/08/2026 02:59</t>
        </is>
      </c>
    </row>
    <row r="471">
      <c r="A471" s="7" t="inlineStr">
        <is>
          <t>WHAP 8x8</t>
        </is>
      </c>
      <c r="B471" s="7" t="inlineStr">
        <is>
          <t>WHAP-0467</t>
        </is>
      </c>
      <c r="C471" s="7" t="inlineStr">
        <is>
          <t>POR-0467</t>
        </is>
      </c>
      <c r="D471" s="7" t="inlineStr">
        <is>
          <t>butée</t>
        </is>
      </c>
      <c r="E471" s="7" t="inlineStr">
        <is>
          <t>Portes et trappes</t>
        </is>
      </c>
      <c r="F471" s="7" t="inlineStr">
        <is>
          <t>Portes et trappes</t>
        </is>
      </c>
      <c r="G471" s="7" t="inlineStr">
        <is>
          <t>PIECE_VEHICULE</t>
        </is>
      </c>
      <c r="H471" s="7" t="n">
        <v>1</v>
      </c>
      <c r="I471" s="7">
        <f>H471*$D$3</f>
        <v/>
      </c>
      <c r="J471" s="7" t="inlineStr">
        <is>
          <t>unité</t>
        </is>
      </c>
      <c r="K471" s="7" t="n">
        <v>0</v>
      </c>
      <c r="L471" s="7">
        <f>K471-I471</f>
        <v/>
      </c>
      <c r="M471" s="7">
        <f>IF(K471&lt;I471,"✕ INSUFFISANT",IF(K471&lt;I471*1.2,"⚠ STOCK FAIBLE","✓ COUVERT"))</f>
        <v/>
      </c>
      <c r="N471" s="7" t="inlineStr">
        <is>
          <t>DEL</t>
        </is>
      </c>
      <c r="O471" s="7" t="inlineStr">
        <is>
          <t>STANDARD</t>
        </is>
      </c>
      <c r="P471" s="7" t="inlineStr">
        <is>
          <t>31/08/2026 02:59</t>
        </is>
      </c>
    </row>
    <row r="472">
      <c r="A472" s="8" t="inlineStr">
        <is>
          <t>WHAP 8x8</t>
        </is>
      </c>
      <c r="B472" s="8" t="inlineStr">
        <is>
          <t>WHAP-0468</t>
        </is>
      </c>
      <c r="C472" s="8" t="inlineStr">
        <is>
          <t>POR-0468</t>
        </is>
      </c>
      <c r="D472" s="8" t="inlineStr">
        <is>
          <t>gâche</t>
        </is>
      </c>
      <c r="E472" s="8" t="inlineStr">
        <is>
          <t>Portes et trappes</t>
        </is>
      </c>
      <c r="F472" s="8" t="inlineStr">
        <is>
          <t>Portes et trappes</t>
        </is>
      </c>
      <c r="G472" s="8" t="inlineStr">
        <is>
          <t>PIECE_VEHICULE</t>
        </is>
      </c>
      <c r="H472" s="8" t="n">
        <v>1</v>
      </c>
      <c r="I472" s="8">
        <f>H472*$D$3</f>
        <v/>
      </c>
      <c r="J472" s="8" t="inlineStr">
        <is>
          <t>unité</t>
        </is>
      </c>
      <c r="K472" s="8" t="n">
        <v>0</v>
      </c>
      <c r="L472" s="8">
        <f>K472-I472</f>
        <v/>
      </c>
      <c r="M472" s="8">
        <f>IF(K472&lt;I472,"✕ INSUFFISANT",IF(K472&lt;I472*1.2,"⚠ STOCK FAIBLE","✓ COUVERT"))</f>
        <v/>
      </c>
      <c r="N472" s="8" t="inlineStr">
        <is>
          <t>BOS</t>
        </is>
      </c>
      <c r="O472" s="8" t="inlineStr">
        <is>
          <t>STANDARD</t>
        </is>
      </c>
      <c r="P472" s="8" t="inlineStr">
        <is>
          <t>31/08/2026 02:59</t>
        </is>
      </c>
    </row>
    <row r="473">
      <c r="A473" s="7" t="inlineStr">
        <is>
          <t>WHAP 8x8</t>
        </is>
      </c>
      <c r="B473" s="7" t="inlineStr">
        <is>
          <t>WHAP-0469</t>
        </is>
      </c>
      <c r="C473" s="7" t="inlineStr">
        <is>
          <t>POR-0469</t>
        </is>
      </c>
      <c r="D473" s="7" t="inlineStr">
        <is>
          <t>axe de charnière</t>
        </is>
      </c>
      <c r="E473" s="7" t="inlineStr">
        <is>
          <t>Portes et trappes</t>
        </is>
      </c>
      <c r="F473" s="7" t="inlineStr">
        <is>
          <t>Portes et trappes</t>
        </is>
      </c>
      <c r="G473" s="7" t="inlineStr">
        <is>
          <t>PIECE_VEHICULE</t>
        </is>
      </c>
      <c r="H473" s="7" t="n">
        <v>1</v>
      </c>
      <c r="I473" s="7">
        <f>H473*$D$3</f>
        <v/>
      </c>
      <c r="J473" s="7" t="inlineStr">
        <is>
          <t>unité</t>
        </is>
      </c>
      <c r="K473" s="7" t="n">
        <v>0</v>
      </c>
      <c r="L473" s="7">
        <f>K473-I473</f>
        <v/>
      </c>
      <c r="M473" s="7">
        <f>IF(K473&lt;I473,"✕ INSUFFISANT",IF(K473&lt;I473*1.2,"⚠ STOCK FAIBLE","✓ COUVERT"))</f>
        <v/>
      </c>
      <c r="N473" s="7" t="inlineStr">
        <is>
          <t>VAL</t>
        </is>
      </c>
      <c r="O473" s="7" t="inlineStr">
        <is>
          <t>STANDARD</t>
        </is>
      </c>
      <c r="P473" s="7" t="inlineStr">
        <is>
          <t>31/08/2026 02:59</t>
        </is>
      </c>
    </row>
    <row r="474">
      <c r="A474" s="8" t="inlineStr">
        <is>
          <t>WHAP 8x8</t>
        </is>
      </c>
      <c r="B474" s="8" t="inlineStr">
        <is>
          <t>WHAP-0470</t>
        </is>
      </c>
      <c r="C474" s="8" t="inlineStr">
        <is>
          <t>HAB-0470</t>
        </is>
      </c>
      <c r="D474" s="8" t="inlineStr">
        <is>
          <t>siège conducteur</t>
        </is>
      </c>
      <c r="E474" s="8" t="inlineStr">
        <is>
          <t>Habitacle</t>
        </is>
      </c>
      <c r="F474" s="8" t="inlineStr">
        <is>
          <t>Habitacle</t>
        </is>
      </c>
      <c r="G474" s="8" t="inlineStr">
        <is>
          <t>PIECE_VEHICULE</t>
        </is>
      </c>
      <c r="H474" s="8" t="n">
        <v>1</v>
      </c>
      <c r="I474" s="8">
        <f>H474*$D$3</f>
        <v/>
      </c>
      <c r="J474" s="8" t="inlineStr">
        <is>
          <t>unité</t>
        </is>
      </c>
      <c r="K474" s="8" t="n">
        <v>98</v>
      </c>
      <c r="L474" s="8">
        <f>K474-I474</f>
        <v/>
      </c>
      <c r="M474" s="8">
        <f>IF(K474&lt;I474,"✕ INSUFFISANT",IF(K474&lt;I474*1.2,"⚠ STOCK FAIBLE","✓ COUVERT"))</f>
        <v/>
      </c>
      <c r="N474" s="8" t="inlineStr">
        <is>
          <t>YZK</t>
        </is>
      </c>
      <c r="O474" s="8" t="inlineStr">
        <is>
          <t>STANDARD</t>
        </is>
      </c>
      <c r="P474" s="8" t="inlineStr">
        <is>
          <t>31/08/2026 02:59</t>
        </is>
      </c>
    </row>
    <row r="475">
      <c r="A475" s="7" t="inlineStr">
        <is>
          <t>WHAP 8x8</t>
        </is>
      </c>
      <c r="B475" s="7" t="inlineStr">
        <is>
          <t>WHAP-0471</t>
        </is>
      </c>
      <c r="C475" s="7" t="inlineStr">
        <is>
          <t>HAB-0471</t>
        </is>
      </c>
      <c r="D475" s="7" t="inlineStr">
        <is>
          <t>siège chef de bord</t>
        </is>
      </c>
      <c r="E475" s="7" t="inlineStr">
        <is>
          <t>Habitacle</t>
        </is>
      </c>
      <c r="F475" s="7" t="inlineStr">
        <is>
          <t>Habitacle</t>
        </is>
      </c>
      <c r="G475" s="7" t="inlineStr">
        <is>
          <t>PIECE_VEHICULE</t>
        </is>
      </c>
      <c r="H475" s="7" t="n">
        <v>1</v>
      </c>
      <c r="I475" s="7">
        <f>H475*$D$3</f>
        <v/>
      </c>
      <c r="J475" s="7" t="inlineStr">
        <is>
          <t>unité</t>
        </is>
      </c>
      <c r="K475" s="7" t="n">
        <v>0</v>
      </c>
      <c r="L475" s="7">
        <f>K475-I475</f>
        <v/>
      </c>
      <c r="M475" s="7">
        <f>IF(K475&lt;I475,"✕ INSUFFISANT",IF(K475&lt;I475*1.2,"⚠ STOCK FAIBLE","✓ COUVERT"))</f>
        <v/>
      </c>
      <c r="N475" s="7" t="inlineStr">
        <is>
          <t>YZK</t>
        </is>
      </c>
      <c r="O475" s="7" t="inlineStr">
        <is>
          <t>STANDARD</t>
        </is>
      </c>
      <c r="P475" s="7" t="inlineStr">
        <is>
          <t>31/08/2026 02:59</t>
        </is>
      </c>
    </row>
    <row r="476">
      <c r="A476" s="8" t="inlineStr">
        <is>
          <t>WHAP 8x8</t>
        </is>
      </c>
      <c r="B476" s="8" t="inlineStr">
        <is>
          <t>WHAP-0472</t>
        </is>
      </c>
      <c r="C476" s="8" t="inlineStr">
        <is>
          <t>HAB-0472</t>
        </is>
      </c>
      <c r="D476" s="8" t="inlineStr">
        <is>
          <t>siège opérateur</t>
        </is>
      </c>
      <c r="E476" s="8" t="inlineStr">
        <is>
          <t>Habitacle</t>
        </is>
      </c>
      <c r="F476" s="8" t="inlineStr">
        <is>
          <t>Habitacle</t>
        </is>
      </c>
      <c r="G476" s="8" t="inlineStr">
        <is>
          <t>PIECE_VEHICULE</t>
        </is>
      </c>
      <c r="H476" s="8" t="n">
        <v>1</v>
      </c>
      <c r="I476" s="8">
        <f>H476*$D$3</f>
        <v/>
      </c>
      <c r="J476" s="8" t="inlineStr">
        <is>
          <t>unité</t>
        </is>
      </c>
      <c r="K476" s="8" t="n">
        <v>0</v>
      </c>
      <c r="L476" s="8">
        <f>K476-I476</f>
        <v/>
      </c>
      <c r="M476" s="8">
        <f>IF(K476&lt;I476,"✕ INSUFFISANT",IF(K476&lt;I476*1.2,"⚠ STOCK FAIBLE","✓ COUVERT"))</f>
        <v/>
      </c>
      <c r="N476" s="8" t="inlineStr">
        <is>
          <t>DEL</t>
        </is>
      </c>
      <c r="O476" s="8" t="inlineStr">
        <is>
          <t>STANDARD</t>
        </is>
      </c>
      <c r="P476" s="8" t="inlineStr">
        <is>
          <t>31/08/2026 02:59</t>
        </is>
      </c>
    </row>
    <row r="477">
      <c r="A477" s="7" t="inlineStr">
        <is>
          <t>WHAP 8x8</t>
        </is>
      </c>
      <c r="B477" s="7" t="inlineStr">
        <is>
          <t>WHAP-0473</t>
        </is>
      </c>
      <c r="C477" s="7" t="inlineStr">
        <is>
          <t>HAB-0473</t>
        </is>
      </c>
      <c r="D477" s="7" t="inlineStr">
        <is>
          <t>siège anti-souffle</t>
        </is>
      </c>
      <c r="E477" s="7" t="inlineStr">
        <is>
          <t>Habitacle</t>
        </is>
      </c>
      <c r="F477" s="7" t="inlineStr">
        <is>
          <t>Habitacle</t>
        </is>
      </c>
      <c r="G477" s="7" t="inlineStr">
        <is>
          <t>PIECE_VEHICULE</t>
        </is>
      </c>
      <c r="H477" s="7" t="n">
        <v>1</v>
      </c>
      <c r="I477" s="7">
        <f>H477*$D$3</f>
        <v/>
      </c>
      <c r="J477" s="7" t="inlineStr">
        <is>
          <t>unité</t>
        </is>
      </c>
      <c r="K477" s="7" t="n">
        <v>0</v>
      </c>
      <c r="L477" s="7">
        <f>K477-I477</f>
        <v/>
      </c>
      <c r="M477" s="7">
        <f>IF(K477&lt;I477,"✕ INSUFFISANT",IF(K477&lt;I477*1.2,"⚠ STOCK FAIBLE","✓ COUVERT"))</f>
        <v/>
      </c>
      <c r="N477" s="7" t="inlineStr">
        <is>
          <t>SUM</t>
        </is>
      </c>
      <c r="O477" s="7" t="inlineStr">
        <is>
          <t>STANDARD</t>
        </is>
      </c>
      <c r="P477" s="7" t="inlineStr">
        <is>
          <t>31/08/2026 02:59</t>
        </is>
      </c>
    </row>
    <row r="478">
      <c r="A478" s="8" t="inlineStr">
        <is>
          <t>WHAP 8x8</t>
        </is>
      </c>
      <c r="B478" s="8" t="inlineStr">
        <is>
          <t>WHAP-0474</t>
        </is>
      </c>
      <c r="C478" s="8" t="inlineStr">
        <is>
          <t>HAB-0474</t>
        </is>
      </c>
      <c r="D478" s="8" t="inlineStr">
        <is>
          <t>support de siège</t>
        </is>
      </c>
      <c r="E478" s="8" t="inlineStr">
        <is>
          <t>Habitacle</t>
        </is>
      </c>
      <c r="F478" s="8" t="inlineStr">
        <is>
          <t>Habitacle</t>
        </is>
      </c>
      <c r="G478" s="8" t="inlineStr">
        <is>
          <t>PIECE_VEHICULE</t>
        </is>
      </c>
      <c r="H478" s="8" t="n">
        <v>1</v>
      </c>
      <c r="I478" s="8">
        <f>H478*$D$3</f>
        <v/>
      </c>
      <c r="J478" s="8" t="inlineStr">
        <is>
          <t>unité</t>
        </is>
      </c>
      <c r="K478" s="8" t="n">
        <v>0</v>
      </c>
      <c r="L478" s="8">
        <f>K478-I478</f>
        <v/>
      </c>
      <c r="M478" s="8">
        <f>IF(K478&lt;I478,"✕ INSUFFISANT",IF(K478&lt;I478*1.2,"⚠ STOCK FAIBLE","✓ COUVERT"))</f>
        <v/>
      </c>
      <c r="N478" s="8" t="inlineStr">
        <is>
          <t>SUM</t>
        </is>
      </c>
      <c r="O478" s="8" t="inlineStr">
        <is>
          <t>STANDARD</t>
        </is>
      </c>
      <c r="P478" s="8" t="inlineStr">
        <is>
          <t>31/08/2026 02:59</t>
        </is>
      </c>
    </row>
    <row r="479">
      <c r="A479" s="7" t="inlineStr">
        <is>
          <t>WHAP 8x8</t>
        </is>
      </c>
      <c r="B479" s="7" t="inlineStr">
        <is>
          <t>WHAP-0475</t>
        </is>
      </c>
      <c r="C479" s="7" t="inlineStr">
        <is>
          <t>HAB-0475</t>
        </is>
      </c>
      <c r="D479" s="7" t="inlineStr">
        <is>
          <t>ceinture de sécurité</t>
        </is>
      </c>
      <c r="E479" s="7" t="inlineStr">
        <is>
          <t>Habitacle</t>
        </is>
      </c>
      <c r="F479" s="7" t="inlineStr">
        <is>
          <t>Habitacle</t>
        </is>
      </c>
      <c r="G479" s="7" t="inlineStr">
        <is>
          <t>PIECE_VEHICULE</t>
        </is>
      </c>
      <c r="H479" s="7" t="n">
        <v>1</v>
      </c>
      <c r="I479" s="7">
        <f>H479*$D$3</f>
        <v/>
      </c>
      <c r="J479" s="7" t="inlineStr">
        <is>
          <t>unité</t>
        </is>
      </c>
      <c r="K479" s="7" t="n">
        <v>0</v>
      </c>
      <c r="L479" s="7">
        <f>K479-I479</f>
        <v/>
      </c>
      <c r="M479" s="7">
        <f>IF(K479&lt;I479,"✕ INSUFFISANT",IF(K479&lt;I479*1.2,"⚠ STOCK FAIBLE","✓ COUVERT"))</f>
        <v/>
      </c>
      <c r="N479" s="7" t="inlineStr">
        <is>
          <t>CTL</t>
        </is>
      </c>
      <c r="O479" s="7" t="inlineStr">
        <is>
          <t>STANDARD</t>
        </is>
      </c>
      <c r="P479" s="7" t="inlineStr">
        <is>
          <t>31/08/2026 02:59</t>
        </is>
      </c>
    </row>
    <row r="480">
      <c r="A480" s="8" t="inlineStr">
        <is>
          <t>WHAP 8x8</t>
        </is>
      </c>
      <c r="B480" s="8" t="inlineStr">
        <is>
          <t>WHAP-0476</t>
        </is>
      </c>
      <c r="C480" s="8" t="inlineStr">
        <is>
          <t>HAB-0476</t>
        </is>
      </c>
      <c r="D480" s="8" t="inlineStr">
        <is>
          <t>enrouleur de ceinture</t>
        </is>
      </c>
      <c r="E480" s="8" t="inlineStr">
        <is>
          <t>Habitacle</t>
        </is>
      </c>
      <c r="F480" s="8" t="inlineStr">
        <is>
          <t>Habitacle</t>
        </is>
      </c>
      <c r="G480" s="8" t="inlineStr">
        <is>
          <t>PIECE_VEHICULE</t>
        </is>
      </c>
      <c r="H480" s="8" t="n">
        <v>1</v>
      </c>
      <c r="I480" s="8">
        <f>H480*$D$3</f>
        <v/>
      </c>
      <c r="J480" s="8" t="inlineStr">
        <is>
          <t>unité</t>
        </is>
      </c>
      <c r="K480" s="8" t="n">
        <v>0</v>
      </c>
      <c r="L480" s="8">
        <f>K480-I480</f>
        <v/>
      </c>
      <c r="M480" s="8">
        <f>IF(K480&lt;I480,"✕ INSUFFISANT",IF(K480&lt;I480*1.2,"⚠ STOCK FAIBLE","✓ COUVERT"))</f>
        <v/>
      </c>
      <c r="N480" s="8" t="inlineStr">
        <is>
          <t>MAG</t>
        </is>
      </c>
      <c r="O480" s="8" t="inlineStr">
        <is>
          <t>STANDARD</t>
        </is>
      </c>
      <c r="P480" s="8" t="inlineStr">
        <is>
          <t>31/08/2026 02:59</t>
        </is>
      </c>
    </row>
    <row r="481">
      <c r="A481" s="7" t="inlineStr">
        <is>
          <t>WHAP 8x8</t>
        </is>
      </c>
      <c r="B481" s="7" t="inlineStr">
        <is>
          <t>WHAP-0477</t>
        </is>
      </c>
      <c r="C481" s="7" t="inlineStr">
        <is>
          <t>HAB-0477</t>
        </is>
      </c>
      <c r="D481" s="7" t="inlineStr">
        <is>
          <t>boucle de ceinture</t>
        </is>
      </c>
      <c r="E481" s="7" t="inlineStr">
        <is>
          <t>Habitacle</t>
        </is>
      </c>
      <c r="F481" s="7" t="inlineStr">
        <is>
          <t>Habitacle</t>
        </is>
      </c>
      <c r="G481" s="7" t="inlineStr">
        <is>
          <t>PIECE_VEHICULE</t>
        </is>
      </c>
      <c r="H481" s="7" t="n">
        <v>1</v>
      </c>
      <c r="I481" s="7">
        <f>H481*$D$3</f>
        <v/>
      </c>
      <c r="J481" s="7" t="inlineStr">
        <is>
          <t>unité</t>
        </is>
      </c>
      <c r="K481" s="7" t="n">
        <v>0</v>
      </c>
      <c r="L481" s="7">
        <f>K481-I481</f>
        <v/>
      </c>
      <c r="M481" s="7">
        <f>IF(K481&lt;I481,"✕ INSUFFISANT",IF(K481&lt;I481*1.2,"⚠ STOCK FAIBLE","✓ COUVERT"))</f>
        <v/>
      </c>
      <c r="N481" s="7" t="inlineStr">
        <is>
          <t>SUM</t>
        </is>
      </c>
      <c r="O481" s="7" t="inlineStr">
        <is>
          <t>STANDARD</t>
        </is>
      </c>
      <c r="P481" s="7" t="inlineStr">
        <is>
          <t>31/08/2026 02:59</t>
        </is>
      </c>
    </row>
    <row r="482">
      <c r="A482" s="8" t="inlineStr">
        <is>
          <t>WHAP 8x8</t>
        </is>
      </c>
      <c r="B482" s="8" t="inlineStr">
        <is>
          <t>WHAP-0478</t>
        </is>
      </c>
      <c r="C482" s="8" t="inlineStr">
        <is>
          <t>HAB-0478</t>
        </is>
      </c>
      <c r="D482" s="8" t="inlineStr">
        <is>
          <t>tableau de bord</t>
        </is>
      </c>
      <c r="E482" s="8" t="inlineStr">
        <is>
          <t>Habitacle</t>
        </is>
      </c>
      <c r="F482" s="8" t="inlineStr">
        <is>
          <t>Habitacle</t>
        </is>
      </c>
      <c r="G482" s="8" t="inlineStr">
        <is>
          <t>PIECE_VEHICULE</t>
        </is>
      </c>
      <c r="H482" s="8" t="n">
        <v>1</v>
      </c>
      <c r="I482" s="8">
        <f>H482*$D$3</f>
        <v/>
      </c>
      <c r="J482" s="8" t="inlineStr">
        <is>
          <t>unité</t>
        </is>
      </c>
      <c r="K482" s="8" t="n">
        <v>0</v>
      </c>
      <c r="L482" s="8">
        <f>K482-I482</f>
        <v/>
      </c>
      <c r="M482" s="8">
        <f>IF(K482&lt;I482,"✕ INSUFFISANT",IF(K482&lt;I482*1.2,"⚠ STOCK FAIBLE","✓ COUVERT"))</f>
        <v/>
      </c>
      <c r="N482" s="8" t="inlineStr">
        <is>
          <t>HEL</t>
        </is>
      </c>
      <c r="O482" s="8" t="inlineStr">
        <is>
          <t>STANDARD</t>
        </is>
      </c>
      <c r="P482" s="8" t="inlineStr">
        <is>
          <t>31/08/2026 02:59</t>
        </is>
      </c>
    </row>
    <row r="483">
      <c r="A483" s="7" t="inlineStr">
        <is>
          <t>WHAP 8x8</t>
        </is>
      </c>
      <c r="B483" s="7" t="inlineStr">
        <is>
          <t>WHAP-0479</t>
        </is>
      </c>
      <c r="C483" s="7" t="inlineStr">
        <is>
          <t>HAB-0479</t>
        </is>
      </c>
      <c r="D483" s="7" t="inlineStr">
        <is>
          <t>console centrale</t>
        </is>
      </c>
      <c r="E483" s="7" t="inlineStr">
        <is>
          <t>Habitacle</t>
        </is>
      </c>
      <c r="F483" s="7" t="inlineStr">
        <is>
          <t>Habitacle</t>
        </is>
      </c>
      <c r="G483" s="7" t="inlineStr">
        <is>
          <t>PIECE_VEHICULE</t>
        </is>
      </c>
      <c r="H483" s="7" t="n">
        <v>1</v>
      </c>
      <c r="I483" s="7">
        <f>H483*$D$3</f>
        <v/>
      </c>
      <c r="J483" s="7" t="inlineStr">
        <is>
          <t>unité</t>
        </is>
      </c>
      <c r="K483" s="7" t="n">
        <v>0</v>
      </c>
      <c r="L483" s="7">
        <f>K483-I483</f>
        <v/>
      </c>
      <c r="M483" s="7">
        <f>IF(K483&lt;I483,"✕ INSUFFISANT",IF(K483&lt;I483*1.2,"⚠ STOCK FAIBLE","✓ COUVERT"))</f>
        <v/>
      </c>
      <c r="N483" s="7" t="inlineStr">
        <is>
          <t>HEL</t>
        </is>
      </c>
      <c r="O483" s="7" t="inlineStr">
        <is>
          <t>STANDARD</t>
        </is>
      </c>
      <c r="P483" s="7" t="inlineStr">
        <is>
          <t>31/08/2026 02:59</t>
        </is>
      </c>
    </row>
    <row r="484">
      <c r="A484" s="8" t="inlineStr">
        <is>
          <t>WHAP 8x8</t>
        </is>
      </c>
      <c r="B484" s="8" t="inlineStr">
        <is>
          <t>WHAP-0480</t>
        </is>
      </c>
      <c r="C484" s="8" t="inlineStr">
        <is>
          <t>HAB-0480</t>
        </is>
      </c>
      <c r="D484" s="8" t="inlineStr">
        <is>
          <t>panneau de commande</t>
        </is>
      </c>
      <c r="E484" s="8" t="inlineStr">
        <is>
          <t>Habitacle</t>
        </is>
      </c>
      <c r="F484" s="8" t="inlineStr">
        <is>
          <t>Habitacle</t>
        </is>
      </c>
      <c r="G484" s="8" t="inlineStr">
        <is>
          <t>PIECE_VEHICULE</t>
        </is>
      </c>
      <c r="H484" s="8" t="n">
        <v>1</v>
      </c>
      <c r="I484" s="8">
        <f>H484*$D$3</f>
        <v/>
      </c>
      <c r="J484" s="8" t="inlineStr">
        <is>
          <t>unité</t>
        </is>
      </c>
      <c r="K484" s="8" t="n">
        <v>0</v>
      </c>
      <c r="L484" s="8">
        <f>K484-I484</f>
        <v/>
      </c>
      <c r="M484" s="8">
        <f>IF(K484&lt;I484,"✕ INSUFFISANT",IF(K484&lt;I484*1.2,"⚠ STOCK FAIBLE","✓ COUVERT"))</f>
        <v/>
      </c>
      <c r="N484" s="8" t="inlineStr">
        <is>
          <t>MAG</t>
        </is>
      </c>
      <c r="O484" s="8" t="inlineStr">
        <is>
          <t>STANDARD</t>
        </is>
      </c>
      <c r="P484" s="8" t="inlineStr">
        <is>
          <t>31/08/2026 02:59</t>
        </is>
      </c>
    </row>
    <row r="485">
      <c r="A485" s="7" t="inlineStr">
        <is>
          <t>WHAP 8x8</t>
        </is>
      </c>
      <c r="B485" s="7" t="inlineStr">
        <is>
          <t>WHAP-0481</t>
        </is>
      </c>
      <c r="C485" s="7" t="inlineStr">
        <is>
          <t>HAB-0481</t>
        </is>
      </c>
      <c r="D485" s="7" t="inlineStr">
        <is>
          <t>interrupteur</t>
        </is>
      </c>
      <c r="E485" s="7" t="inlineStr">
        <is>
          <t>Habitacle</t>
        </is>
      </c>
      <c r="F485" s="7" t="inlineStr">
        <is>
          <t>Habitacle</t>
        </is>
      </c>
      <c r="G485" s="7" t="inlineStr">
        <is>
          <t>PIECE_VEHICULE</t>
        </is>
      </c>
      <c r="H485" s="7" t="n">
        <v>1</v>
      </c>
      <c r="I485" s="7">
        <f>H485*$D$3</f>
        <v/>
      </c>
      <c r="J485" s="7" t="inlineStr">
        <is>
          <t>unité</t>
        </is>
      </c>
      <c r="K485" s="7" t="n">
        <v>0</v>
      </c>
      <c r="L485" s="7">
        <f>K485-I485</f>
        <v/>
      </c>
      <c r="M485" s="7">
        <f>IF(K485&lt;I485,"✕ INSUFFISANT",IF(K485&lt;I485*1.2,"⚠ STOCK FAIBLE","✓ COUVERT"))</f>
        <v/>
      </c>
      <c r="N485" s="7" t="inlineStr">
        <is>
          <t>BOS</t>
        </is>
      </c>
      <c r="O485" s="7" t="inlineStr">
        <is>
          <t>STANDARD</t>
        </is>
      </c>
      <c r="P485" s="7" t="inlineStr">
        <is>
          <t>31/08/2026 02:59</t>
        </is>
      </c>
    </row>
    <row r="486">
      <c r="A486" s="8" t="inlineStr">
        <is>
          <t>WHAP 8x8</t>
        </is>
      </c>
      <c r="B486" s="8" t="inlineStr">
        <is>
          <t>WHAP-0482</t>
        </is>
      </c>
      <c r="C486" s="8" t="inlineStr">
        <is>
          <t>HAB-0482</t>
        </is>
      </c>
      <c r="D486" s="8" t="inlineStr">
        <is>
          <t>commutateur</t>
        </is>
      </c>
      <c r="E486" s="8" t="inlineStr">
        <is>
          <t>Habitacle</t>
        </is>
      </c>
      <c r="F486" s="8" t="inlineStr">
        <is>
          <t>Habitacle</t>
        </is>
      </c>
      <c r="G486" s="8" t="inlineStr">
        <is>
          <t>PIECE_VEHICULE</t>
        </is>
      </c>
      <c r="H486" s="8" t="n">
        <v>1</v>
      </c>
      <c r="I486" s="8">
        <f>H486*$D$3</f>
        <v/>
      </c>
      <c r="J486" s="8" t="inlineStr">
        <is>
          <t>unité</t>
        </is>
      </c>
      <c r="K486" s="8" t="n">
        <v>0</v>
      </c>
      <c r="L486" s="8">
        <f>K486-I486</f>
        <v/>
      </c>
      <c r="M486" s="8">
        <f>IF(K486&lt;I486,"✕ INSUFFISANT",IF(K486&lt;I486*1.2,"⚠ STOCK FAIBLE","✓ COUVERT"))</f>
        <v/>
      </c>
      <c r="N486" s="8" t="inlineStr">
        <is>
          <t>FAU</t>
        </is>
      </c>
      <c r="O486" s="8" t="inlineStr">
        <is>
          <t>STANDARD</t>
        </is>
      </c>
      <c r="P486" s="8" t="inlineStr">
        <is>
          <t>31/08/2026 02:59</t>
        </is>
      </c>
    </row>
    <row r="487">
      <c r="A487" s="7" t="inlineStr">
        <is>
          <t>WHAP 8x8</t>
        </is>
      </c>
      <c r="B487" s="7" t="inlineStr">
        <is>
          <t>WHAP-0483</t>
        </is>
      </c>
      <c r="C487" s="7" t="inlineStr">
        <is>
          <t>HAB-0483</t>
        </is>
      </c>
      <c r="D487" s="7" t="inlineStr">
        <is>
          <t>bouton poussoir</t>
        </is>
      </c>
      <c r="E487" s="7" t="inlineStr">
        <is>
          <t>Habitacle</t>
        </is>
      </c>
      <c r="F487" s="7" t="inlineStr">
        <is>
          <t>Habitacle</t>
        </is>
      </c>
      <c r="G487" s="7" t="inlineStr">
        <is>
          <t>PIECE_VEHICULE</t>
        </is>
      </c>
      <c r="H487" s="7" t="n">
        <v>1</v>
      </c>
      <c r="I487" s="7">
        <f>H487*$D$3</f>
        <v/>
      </c>
      <c r="J487" s="7" t="inlineStr">
        <is>
          <t>unité</t>
        </is>
      </c>
      <c r="K487" s="7" t="n">
        <v>0</v>
      </c>
      <c r="L487" s="7">
        <f>K487-I487</f>
        <v/>
      </c>
      <c r="M487" s="7">
        <f>IF(K487&lt;I487,"✕ INSUFFISANT",IF(K487&lt;I487*1.2,"⚠ STOCK FAIBLE","✓ COUVERT"))</f>
        <v/>
      </c>
      <c r="N487" s="7" t="inlineStr">
        <is>
          <t>YZK</t>
        </is>
      </c>
      <c r="O487" s="7" t="inlineStr">
        <is>
          <t>STANDARD</t>
        </is>
      </c>
      <c r="P487" s="7" t="inlineStr">
        <is>
          <t>31/08/2026 02:59</t>
        </is>
      </c>
    </row>
    <row r="488">
      <c r="A488" s="8" t="inlineStr">
        <is>
          <t>WHAP 8x8</t>
        </is>
      </c>
      <c r="B488" s="8" t="inlineStr">
        <is>
          <t>WHAP-0484</t>
        </is>
      </c>
      <c r="C488" s="8" t="inlineStr">
        <is>
          <t>HAB-0484</t>
        </is>
      </c>
      <c r="D488" s="8" t="inlineStr">
        <is>
          <t>voyant</t>
        </is>
      </c>
      <c r="E488" s="8" t="inlineStr">
        <is>
          <t>Habitacle</t>
        </is>
      </c>
      <c r="F488" s="8" t="inlineStr">
        <is>
          <t>Habitacle</t>
        </is>
      </c>
      <c r="G488" s="8" t="inlineStr">
        <is>
          <t>PIECE_VEHICULE</t>
        </is>
      </c>
      <c r="H488" s="8" t="n">
        <v>1</v>
      </c>
      <c r="I488" s="8">
        <f>H488*$D$3</f>
        <v/>
      </c>
      <c r="J488" s="8" t="inlineStr">
        <is>
          <t>unité</t>
        </is>
      </c>
      <c r="K488" s="8" t="n">
        <v>0</v>
      </c>
      <c r="L488" s="8">
        <f>K488-I488</f>
        <v/>
      </c>
      <c r="M488" s="8">
        <f>IF(K488&lt;I488,"✕ INSUFFISANT",IF(K488&lt;I488*1.2,"⚠ STOCK FAIBLE","✓ COUVERT"))</f>
        <v/>
      </c>
      <c r="N488" s="8" t="inlineStr">
        <is>
          <t>DEL</t>
        </is>
      </c>
      <c r="O488" s="8" t="inlineStr">
        <is>
          <t>STANDARD</t>
        </is>
      </c>
      <c r="P488" s="8" t="inlineStr">
        <is>
          <t>31/08/2026 02:59</t>
        </is>
      </c>
    </row>
    <row r="489">
      <c r="A489" s="7" t="inlineStr">
        <is>
          <t>WHAP 8x8</t>
        </is>
      </c>
      <c r="B489" s="7" t="inlineStr">
        <is>
          <t>WHAP-0485</t>
        </is>
      </c>
      <c r="C489" s="7" t="inlineStr">
        <is>
          <t>HAB-0485</t>
        </is>
      </c>
      <c r="D489" s="7" t="inlineStr">
        <is>
          <t>prise 24 V</t>
        </is>
      </c>
      <c r="E489" s="7" t="inlineStr">
        <is>
          <t>Habitacle</t>
        </is>
      </c>
      <c r="F489" s="7" t="inlineStr">
        <is>
          <t>Habitacle</t>
        </is>
      </c>
      <c r="G489" s="7" t="inlineStr">
        <is>
          <t>PIECE_VEHICULE</t>
        </is>
      </c>
      <c r="H489" s="7" t="n">
        <v>1</v>
      </c>
      <c r="I489" s="7">
        <f>H489*$D$3</f>
        <v/>
      </c>
      <c r="J489" s="7" t="inlineStr">
        <is>
          <t>unité</t>
        </is>
      </c>
      <c r="K489" s="7" t="n">
        <v>0</v>
      </c>
      <c r="L489" s="7">
        <f>K489-I489</f>
        <v/>
      </c>
      <c r="M489" s="7">
        <f>IF(K489&lt;I489,"✕ INSUFFISANT",IF(K489&lt;I489*1.2,"⚠ STOCK FAIBLE","✓ COUVERT"))</f>
        <v/>
      </c>
      <c r="N489" s="7" t="inlineStr">
        <is>
          <t>CTL</t>
        </is>
      </c>
      <c r="O489" s="7" t="inlineStr">
        <is>
          <t>STANDARD</t>
        </is>
      </c>
      <c r="P489" s="7" t="inlineStr">
        <is>
          <t>31/08/2026 02:59</t>
        </is>
      </c>
    </row>
    <row r="490">
      <c r="A490" s="8" t="inlineStr">
        <is>
          <t>WHAP 8x8</t>
        </is>
      </c>
      <c r="B490" s="8" t="inlineStr">
        <is>
          <t>WHAP-0486</t>
        </is>
      </c>
      <c r="C490" s="8" t="inlineStr">
        <is>
          <t>HAB-0486</t>
        </is>
      </c>
      <c r="D490" s="8" t="inlineStr">
        <is>
          <t>prise diagnostic</t>
        </is>
      </c>
      <c r="E490" s="8" t="inlineStr">
        <is>
          <t>Habitacle</t>
        </is>
      </c>
      <c r="F490" s="8" t="inlineStr">
        <is>
          <t>Habitacle</t>
        </is>
      </c>
      <c r="G490" s="8" t="inlineStr">
        <is>
          <t>PIECE_VEHICULE</t>
        </is>
      </c>
      <c r="H490" s="8" t="n">
        <v>1</v>
      </c>
      <c r="I490" s="8">
        <f>H490*$D$3</f>
        <v/>
      </c>
      <c r="J490" s="8" t="inlineStr">
        <is>
          <t>unité</t>
        </is>
      </c>
      <c r="K490" s="8" t="n">
        <v>0</v>
      </c>
      <c r="L490" s="8">
        <f>K490-I490</f>
        <v/>
      </c>
      <c r="M490" s="8">
        <f>IF(K490&lt;I490,"✕ INSUFFISANT",IF(K490&lt;I490*1.2,"⚠ STOCK FAIBLE","✓ COUVERT"))</f>
        <v/>
      </c>
      <c r="N490" s="8" t="inlineStr">
        <is>
          <t>CTL</t>
        </is>
      </c>
      <c r="O490" s="8" t="inlineStr">
        <is>
          <t>STANDARD</t>
        </is>
      </c>
      <c r="P490" s="8" t="inlineStr">
        <is>
          <t>31/08/2026 02:59</t>
        </is>
      </c>
    </row>
    <row r="491">
      <c r="A491" s="7" t="inlineStr">
        <is>
          <t>WHAP 8x8</t>
        </is>
      </c>
      <c r="B491" s="7" t="inlineStr">
        <is>
          <t>WHAP-0487</t>
        </is>
      </c>
      <c r="C491" s="7" t="inlineStr">
        <is>
          <t>HAB-0487</t>
        </is>
      </c>
      <c r="D491" s="7" t="inlineStr">
        <is>
          <t>rétroviseur</t>
        </is>
      </c>
      <c r="E491" s="7" t="inlineStr">
        <is>
          <t>Habitacle</t>
        </is>
      </c>
      <c r="F491" s="7" t="inlineStr">
        <is>
          <t>Habitacle</t>
        </is>
      </c>
      <c r="G491" s="7" t="inlineStr">
        <is>
          <t>PIECE_VEHICULE</t>
        </is>
      </c>
      <c r="H491" s="7" t="n">
        <v>1</v>
      </c>
      <c r="I491" s="7">
        <f>H491*$D$3</f>
        <v/>
      </c>
      <c r="J491" s="7" t="inlineStr">
        <is>
          <t>unité</t>
        </is>
      </c>
      <c r="K491" s="7" t="n">
        <v>0</v>
      </c>
      <c r="L491" s="7">
        <f>K491-I491</f>
        <v/>
      </c>
      <c r="M491" s="7">
        <f>IF(K491&lt;I491,"✕ INSUFFISANT",IF(K491&lt;I491*1.2,"⚠ STOCK FAIBLE","✓ COUVERT"))</f>
        <v/>
      </c>
      <c r="N491" s="7" t="inlineStr">
        <is>
          <t>MAG</t>
        </is>
      </c>
      <c r="O491" s="7" t="inlineStr">
        <is>
          <t>STANDARD</t>
        </is>
      </c>
      <c r="P491" s="7" t="inlineStr">
        <is>
          <t>31/08/2026 02:59</t>
        </is>
      </c>
    </row>
    <row r="492">
      <c r="A492" s="8" t="inlineStr">
        <is>
          <t>WHAP 8x8</t>
        </is>
      </c>
      <c r="B492" s="8" t="inlineStr">
        <is>
          <t>WHAP-0488</t>
        </is>
      </c>
      <c r="C492" s="8" t="inlineStr">
        <is>
          <t>HAB-0488</t>
        </is>
      </c>
      <c r="D492" s="8" t="inlineStr">
        <is>
          <t>support rétroviseur</t>
        </is>
      </c>
      <c r="E492" s="8" t="inlineStr">
        <is>
          <t>Habitacle</t>
        </is>
      </c>
      <c r="F492" s="8" t="inlineStr">
        <is>
          <t>Habitacle</t>
        </is>
      </c>
      <c r="G492" s="8" t="inlineStr">
        <is>
          <t>PIECE_VEHICULE</t>
        </is>
      </c>
      <c r="H492" s="8" t="n">
        <v>1</v>
      </c>
      <c r="I492" s="8">
        <f>H492*$D$3</f>
        <v/>
      </c>
      <c r="J492" s="8" t="inlineStr">
        <is>
          <t>unité</t>
        </is>
      </c>
      <c r="K492" s="8" t="n">
        <v>0</v>
      </c>
      <c r="L492" s="8">
        <f>K492-I492</f>
        <v/>
      </c>
      <c r="M492" s="8">
        <f>IF(K492&lt;I492,"✕ INSUFFISANT",IF(K492&lt;I492*1.2,"⚠ STOCK FAIBLE","✓ COUVERT"))</f>
        <v/>
      </c>
      <c r="N492" s="8" t="inlineStr">
        <is>
          <t>YZK</t>
        </is>
      </c>
      <c r="O492" s="8" t="inlineStr">
        <is>
          <t>STANDARD</t>
        </is>
      </c>
      <c r="P492" s="8" t="inlineStr">
        <is>
          <t>31/08/2026 02:59</t>
        </is>
      </c>
    </row>
    <row r="493">
      <c r="A493" s="7" t="inlineStr">
        <is>
          <t>WHAP 8x8</t>
        </is>
      </c>
      <c r="B493" s="7" t="inlineStr">
        <is>
          <t>WHAP-0489</t>
        </is>
      </c>
      <c r="C493" s="7" t="inlineStr">
        <is>
          <t>HAB-0489</t>
        </is>
      </c>
      <c r="D493" s="7" t="inlineStr">
        <is>
          <t>essuie-glace</t>
        </is>
      </c>
      <c r="E493" s="7" t="inlineStr">
        <is>
          <t>Habitacle</t>
        </is>
      </c>
      <c r="F493" s="7" t="inlineStr">
        <is>
          <t>Habitacle</t>
        </is>
      </c>
      <c r="G493" s="7" t="inlineStr">
        <is>
          <t>PIECE_VEHICULE</t>
        </is>
      </c>
      <c r="H493" s="7" t="n">
        <v>1</v>
      </c>
      <c r="I493" s="7">
        <f>H493*$D$3</f>
        <v/>
      </c>
      <c r="J493" s="7" t="inlineStr">
        <is>
          <t>unité</t>
        </is>
      </c>
      <c r="K493" s="7" t="n">
        <v>0</v>
      </c>
      <c r="L493" s="7">
        <f>K493-I493</f>
        <v/>
      </c>
      <c r="M493" s="7">
        <f>IF(K493&lt;I493,"✕ INSUFFISANT",IF(K493&lt;I493*1.2,"⚠ STOCK FAIBLE","✓ COUVERT"))</f>
        <v/>
      </c>
      <c r="N493" s="7" t="inlineStr">
        <is>
          <t>VAL</t>
        </is>
      </c>
      <c r="O493" s="7" t="inlineStr">
        <is>
          <t>STANDARD</t>
        </is>
      </c>
      <c r="P493" s="7" t="inlineStr">
        <is>
          <t>31/08/2026 02:59</t>
        </is>
      </c>
    </row>
    <row r="494">
      <c r="A494" s="8" t="inlineStr">
        <is>
          <t>WHAP 8x8</t>
        </is>
      </c>
      <c r="B494" s="8" t="inlineStr">
        <is>
          <t>WHAP-0490</t>
        </is>
      </c>
      <c r="C494" s="8" t="inlineStr">
        <is>
          <t>HAB-0490</t>
        </is>
      </c>
      <c r="D494" s="8" t="inlineStr">
        <is>
          <t>bras d'essuie-glace</t>
        </is>
      </c>
      <c r="E494" s="8" t="inlineStr">
        <is>
          <t>Habitacle</t>
        </is>
      </c>
      <c r="F494" s="8" t="inlineStr">
        <is>
          <t>Habitacle</t>
        </is>
      </c>
      <c r="G494" s="8" t="inlineStr">
        <is>
          <t>PIECE_VEHICULE</t>
        </is>
      </c>
      <c r="H494" s="8" t="n">
        <v>1</v>
      </c>
      <c r="I494" s="8">
        <f>H494*$D$3</f>
        <v/>
      </c>
      <c r="J494" s="8" t="inlineStr">
        <is>
          <t>unité</t>
        </is>
      </c>
      <c r="K494" s="8" t="n">
        <v>0</v>
      </c>
      <c r="L494" s="8">
        <f>K494-I494</f>
        <v/>
      </c>
      <c r="M494" s="8">
        <f>IF(K494&lt;I494,"✕ INSUFFISANT",IF(K494&lt;I494*1.2,"⚠ STOCK FAIBLE","✓ COUVERT"))</f>
        <v/>
      </c>
      <c r="N494" s="8" t="inlineStr">
        <is>
          <t>DEL</t>
        </is>
      </c>
      <c r="O494" s="8" t="inlineStr">
        <is>
          <t>STANDARD</t>
        </is>
      </c>
      <c r="P494" s="8" t="inlineStr">
        <is>
          <t>31/08/2026 02:59</t>
        </is>
      </c>
    </row>
    <row r="495">
      <c r="A495" s="7" t="inlineStr">
        <is>
          <t>WHAP 8x8</t>
        </is>
      </c>
      <c r="B495" s="7" t="inlineStr">
        <is>
          <t>WHAP-0491</t>
        </is>
      </c>
      <c r="C495" s="7" t="inlineStr">
        <is>
          <t>HAB-0491</t>
        </is>
      </c>
      <c r="D495" s="7" t="inlineStr">
        <is>
          <t>balai d'essuie-glace</t>
        </is>
      </c>
      <c r="E495" s="7" t="inlineStr">
        <is>
          <t>Habitacle</t>
        </is>
      </c>
      <c r="F495" s="7" t="inlineStr">
        <is>
          <t>Habitacle</t>
        </is>
      </c>
      <c r="G495" s="7" t="inlineStr">
        <is>
          <t>PIECE_VEHICULE</t>
        </is>
      </c>
      <c r="H495" s="7" t="n">
        <v>1</v>
      </c>
      <c r="I495" s="7">
        <f>H495*$D$3</f>
        <v/>
      </c>
      <c r="J495" s="7" t="inlineStr">
        <is>
          <t>unité</t>
        </is>
      </c>
      <c r="K495" s="7" t="n">
        <v>0</v>
      </c>
      <c r="L495" s="7">
        <f>K495-I495</f>
        <v/>
      </c>
      <c r="M495" s="7">
        <f>IF(K495&lt;I495,"✕ INSUFFISANT",IF(K495&lt;I495*1.2,"⚠ STOCK FAIBLE","✓ COUVERT"))</f>
        <v/>
      </c>
      <c r="N495" s="7" t="inlineStr">
        <is>
          <t>FAU</t>
        </is>
      </c>
      <c r="O495" s="7" t="inlineStr">
        <is>
          <t>STANDARD</t>
        </is>
      </c>
      <c r="P495" s="7" t="inlineStr">
        <is>
          <t>31/08/2026 02:59</t>
        </is>
      </c>
    </row>
    <row r="496">
      <c r="A496" s="8" t="inlineStr">
        <is>
          <t>WHAP 8x8</t>
        </is>
      </c>
      <c r="B496" s="8" t="inlineStr">
        <is>
          <t>WHAP-0492</t>
        </is>
      </c>
      <c r="C496" s="8" t="inlineStr">
        <is>
          <t>HAB-0492</t>
        </is>
      </c>
      <c r="D496" s="8" t="inlineStr">
        <is>
          <t>moteur d'essuie-glace</t>
        </is>
      </c>
      <c r="E496" s="8" t="inlineStr">
        <is>
          <t>Habitacle</t>
        </is>
      </c>
      <c r="F496" s="8" t="inlineStr">
        <is>
          <t>Habitacle</t>
        </is>
      </c>
      <c r="G496" s="8" t="inlineStr">
        <is>
          <t>PIECE_VEHICULE</t>
        </is>
      </c>
      <c r="H496" s="8" t="n">
        <v>1</v>
      </c>
      <c r="I496" s="8">
        <f>H496*$D$3</f>
        <v/>
      </c>
      <c r="J496" s="8" t="inlineStr">
        <is>
          <t>unité</t>
        </is>
      </c>
      <c r="K496" s="8" t="n">
        <v>0</v>
      </c>
      <c r="L496" s="8">
        <f>K496-I496</f>
        <v/>
      </c>
      <c r="M496" s="8">
        <f>IF(K496&lt;I496,"✕ INSUFFISANT",IF(K496&lt;I496*1.2,"⚠ STOCK FAIBLE","✓ COUVERT"))</f>
        <v/>
      </c>
      <c r="N496" s="8" t="inlineStr">
        <is>
          <t>SUM</t>
        </is>
      </c>
      <c r="O496" s="8" t="inlineStr">
        <is>
          <t>STANDARD</t>
        </is>
      </c>
      <c r="P496" s="8" t="inlineStr">
        <is>
          <t>31/08/2026 02:59</t>
        </is>
      </c>
    </row>
    <row r="497">
      <c r="A497" s="7" t="inlineStr">
        <is>
          <t>WHAP 8x8</t>
        </is>
      </c>
      <c r="B497" s="7" t="inlineStr">
        <is>
          <t>WHAP-0493</t>
        </is>
      </c>
      <c r="C497" s="7" t="inlineStr">
        <is>
          <t>HAB-0493</t>
        </is>
      </c>
      <c r="D497" s="7" t="inlineStr">
        <is>
          <t>lave-glace</t>
        </is>
      </c>
      <c r="E497" s="7" t="inlineStr">
        <is>
          <t>Habitacle</t>
        </is>
      </c>
      <c r="F497" s="7" t="inlineStr">
        <is>
          <t>Habitacle</t>
        </is>
      </c>
      <c r="G497" s="7" t="inlineStr">
        <is>
          <t>PIECE_VEHICULE</t>
        </is>
      </c>
      <c r="H497" s="7" t="n">
        <v>1</v>
      </c>
      <c r="I497" s="7">
        <f>H497*$D$3</f>
        <v/>
      </c>
      <c r="J497" s="7" t="inlineStr">
        <is>
          <t>unité</t>
        </is>
      </c>
      <c r="K497" s="7" t="n">
        <v>0</v>
      </c>
      <c r="L497" s="7">
        <f>K497-I497</f>
        <v/>
      </c>
      <c r="M497" s="7">
        <f>IF(K497&lt;I497,"✕ INSUFFISANT",IF(K497&lt;I497*1.2,"⚠ STOCK FAIBLE","✓ COUVERT"))</f>
        <v/>
      </c>
      <c r="N497" s="7" t="inlineStr">
        <is>
          <t>MAG</t>
        </is>
      </c>
      <c r="O497" s="7" t="inlineStr">
        <is>
          <t>STANDARD</t>
        </is>
      </c>
      <c r="P497" s="7" t="inlineStr">
        <is>
          <t>31/08/2026 02:59</t>
        </is>
      </c>
    </row>
    <row r="498">
      <c r="A498" s="8" t="inlineStr">
        <is>
          <t>WHAP 8x8</t>
        </is>
      </c>
      <c r="B498" s="8" t="inlineStr">
        <is>
          <t>WHAP-0494</t>
        </is>
      </c>
      <c r="C498" s="8" t="inlineStr">
        <is>
          <t>HAB-0494</t>
        </is>
      </c>
      <c r="D498" s="8" t="inlineStr">
        <is>
          <t>réservoir lave-glace</t>
        </is>
      </c>
      <c r="E498" s="8" t="inlineStr">
        <is>
          <t>Habitacle</t>
        </is>
      </c>
      <c r="F498" s="8" t="inlineStr">
        <is>
          <t>Habitacle</t>
        </is>
      </c>
      <c r="G498" s="8" t="inlineStr">
        <is>
          <t>PIECE_VEHICULE</t>
        </is>
      </c>
      <c r="H498" s="8" t="n">
        <v>1</v>
      </c>
      <c r="I498" s="8">
        <f>H498*$D$3</f>
        <v/>
      </c>
      <c r="J498" s="8" t="inlineStr">
        <is>
          <t>unité</t>
        </is>
      </c>
      <c r="K498" s="8" t="n">
        <v>0</v>
      </c>
      <c r="L498" s="8">
        <f>K498-I498</f>
        <v/>
      </c>
      <c r="M498" s="8">
        <f>IF(K498&lt;I498,"✕ INSUFFISANT",IF(K498&lt;I498*1.2,"⚠ STOCK FAIBLE","✓ COUVERT"))</f>
        <v/>
      </c>
      <c r="N498" s="8" t="inlineStr">
        <is>
          <t>SUM</t>
        </is>
      </c>
      <c r="O498" s="8" t="inlineStr">
        <is>
          <t>STANDARD</t>
        </is>
      </c>
      <c r="P498" s="8" t="inlineStr">
        <is>
          <t>31/08/2026 02:59</t>
        </is>
      </c>
    </row>
    <row r="499">
      <c r="A499" s="7" t="inlineStr">
        <is>
          <t>WHAP 8x8</t>
        </is>
      </c>
      <c r="B499" s="7" t="inlineStr">
        <is>
          <t>WHAP-0495</t>
        </is>
      </c>
      <c r="C499" s="7" t="inlineStr">
        <is>
          <t>HAB-0495</t>
        </is>
      </c>
      <c r="D499" s="7" t="inlineStr">
        <is>
          <t>pompe lave-glace</t>
        </is>
      </c>
      <c r="E499" s="7" t="inlineStr">
        <is>
          <t>Habitacle</t>
        </is>
      </c>
      <c r="F499" s="7" t="inlineStr">
        <is>
          <t>Habitacle</t>
        </is>
      </c>
      <c r="G499" s="7" t="inlineStr">
        <is>
          <t>PIECE_VEHICULE</t>
        </is>
      </c>
      <c r="H499" s="7" t="n">
        <v>1</v>
      </c>
      <c r="I499" s="7">
        <f>H499*$D$3</f>
        <v/>
      </c>
      <c r="J499" s="7" t="inlineStr">
        <is>
          <t>unité</t>
        </is>
      </c>
      <c r="K499" s="7" t="n">
        <v>0</v>
      </c>
      <c r="L499" s="7">
        <f>K499-I499</f>
        <v/>
      </c>
      <c r="M499" s="7">
        <f>IF(K499&lt;I499,"✕ INSUFFISANT",IF(K499&lt;I499*1.2,"⚠ STOCK FAIBLE","✓ COUVERT"))</f>
        <v/>
      </c>
      <c r="N499" s="7" t="inlineStr">
        <is>
          <t>CTL</t>
        </is>
      </c>
      <c r="O499" s="7" t="inlineStr">
        <is>
          <t>STANDARD</t>
        </is>
      </c>
      <c r="P499" s="7" t="inlineStr">
        <is>
          <t>31/08/2026 02:59</t>
        </is>
      </c>
    </row>
    <row r="500">
      <c r="A500" s="8" t="inlineStr">
        <is>
          <t>WHAP 8x8</t>
        </is>
      </c>
      <c r="B500" s="8" t="inlineStr">
        <is>
          <t>WHAP-0496</t>
        </is>
      </c>
      <c r="C500" s="8" t="inlineStr">
        <is>
          <t>HVA-0496</t>
        </is>
      </c>
      <c r="D500" s="8" t="inlineStr">
        <is>
          <t>compresseur climatisation</t>
        </is>
      </c>
      <c r="E500" s="8" t="inlineStr">
        <is>
          <t>HVAC</t>
        </is>
      </c>
      <c r="F500" s="8" t="inlineStr">
        <is>
          <t>HVAC</t>
        </is>
      </c>
      <c r="G500" s="8" t="inlineStr">
        <is>
          <t>PIECE_VEHICULE</t>
        </is>
      </c>
      <c r="H500" s="8" t="n">
        <v>1</v>
      </c>
      <c r="I500" s="8">
        <f>H500*$D$3</f>
        <v/>
      </c>
      <c r="J500" s="8" t="inlineStr">
        <is>
          <t>unité</t>
        </is>
      </c>
      <c r="K500" s="8" t="n">
        <v>0</v>
      </c>
      <c r="L500" s="8">
        <f>K500-I500</f>
        <v/>
      </c>
      <c r="M500" s="8">
        <f>IF(K500&lt;I500,"✕ INSUFFISANT",IF(K500&lt;I500*1.2,"⚠ STOCK FAIBLE","✓ COUVERT"))</f>
        <v/>
      </c>
      <c r="N500" s="8" t="inlineStr">
        <is>
          <t>BOS</t>
        </is>
      </c>
      <c r="O500" s="8" t="inlineStr">
        <is>
          <t>STANDARD</t>
        </is>
      </c>
      <c r="P500" s="8" t="inlineStr">
        <is>
          <t>31/08/2026 02:59</t>
        </is>
      </c>
    </row>
    <row r="501">
      <c r="A501" s="7" t="inlineStr">
        <is>
          <t>WHAP 8x8</t>
        </is>
      </c>
      <c r="B501" s="7" t="inlineStr">
        <is>
          <t>WHAP-0497</t>
        </is>
      </c>
      <c r="C501" s="7" t="inlineStr">
        <is>
          <t>HVA-0497</t>
        </is>
      </c>
      <c r="D501" s="7" t="inlineStr">
        <is>
          <t>condenseur</t>
        </is>
      </c>
      <c r="E501" s="7" t="inlineStr">
        <is>
          <t>HVAC</t>
        </is>
      </c>
      <c r="F501" s="7" t="inlineStr">
        <is>
          <t>HVAC</t>
        </is>
      </c>
      <c r="G501" s="7" t="inlineStr">
        <is>
          <t>PIECE_VEHICULE</t>
        </is>
      </c>
      <c r="H501" s="7" t="n">
        <v>1</v>
      </c>
      <c r="I501" s="7">
        <f>H501*$D$3</f>
        <v/>
      </c>
      <c r="J501" s="7" t="inlineStr">
        <is>
          <t>unité</t>
        </is>
      </c>
      <c r="K501" s="7" t="n">
        <v>820</v>
      </c>
      <c r="L501" s="7">
        <f>K501-I501</f>
        <v/>
      </c>
      <c r="M501" s="7">
        <f>IF(K501&lt;I501,"✕ INSUFFISANT",IF(K501&lt;I501*1.2,"⚠ STOCK FAIBLE","✓ COUVERT"))</f>
        <v/>
      </c>
      <c r="N501" s="7" t="inlineStr">
        <is>
          <t>HEL</t>
        </is>
      </c>
      <c r="O501" s="7" t="inlineStr">
        <is>
          <t>STANDARD</t>
        </is>
      </c>
      <c r="P501" s="7" t="inlineStr">
        <is>
          <t>31/08/2026 02:59</t>
        </is>
      </c>
    </row>
    <row r="502">
      <c r="A502" s="8" t="inlineStr">
        <is>
          <t>WHAP 8x8</t>
        </is>
      </c>
      <c r="B502" s="8" t="inlineStr">
        <is>
          <t>WHAP-0498</t>
        </is>
      </c>
      <c r="C502" s="8" t="inlineStr">
        <is>
          <t>HVA-0498</t>
        </is>
      </c>
      <c r="D502" s="8" t="inlineStr">
        <is>
          <t>évaporateur</t>
        </is>
      </c>
      <c r="E502" s="8" t="inlineStr">
        <is>
          <t>HVAC</t>
        </is>
      </c>
      <c r="F502" s="8" t="inlineStr">
        <is>
          <t>HVAC</t>
        </is>
      </c>
      <c r="G502" s="8" t="inlineStr">
        <is>
          <t>PIECE_VEHICULE</t>
        </is>
      </c>
      <c r="H502" s="8" t="n">
        <v>1</v>
      </c>
      <c r="I502" s="8">
        <f>H502*$D$3</f>
        <v/>
      </c>
      <c r="J502" s="8" t="inlineStr">
        <is>
          <t>unité</t>
        </is>
      </c>
      <c r="K502" s="8" t="n">
        <v>0</v>
      </c>
      <c r="L502" s="8">
        <f>K502-I502</f>
        <v/>
      </c>
      <c r="M502" s="8">
        <f>IF(K502&lt;I502,"✕ INSUFFISANT",IF(K502&lt;I502*1.2,"⚠ STOCK FAIBLE","✓ COUVERT"))</f>
        <v/>
      </c>
      <c r="N502" s="8" t="inlineStr">
        <is>
          <t>SUM</t>
        </is>
      </c>
      <c r="O502" s="8" t="inlineStr">
        <is>
          <t>STANDARD</t>
        </is>
      </c>
      <c r="P502" s="8" t="inlineStr">
        <is>
          <t>31/08/2026 02:59</t>
        </is>
      </c>
    </row>
    <row r="503">
      <c r="A503" s="7" t="inlineStr">
        <is>
          <t>WHAP 8x8</t>
        </is>
      </c>
      <c r="B503" s="7" t="inlineStr">
        <is>
          <t>WHAP-0499</t>
        </is>
      </c>
      <c r="C503" s="7" t="inlineStr">
        <is>
          <t>HVA-0499</t>
        </is>
      </c>
      <c r="D503" s="7" t="inlineStr">
        <is>
          <t>détendeur</t>
        </is>
      </c>
      <c r="E503" s="7" t="inlineStr">
        <is>
          <t>HVAC</t>
        </is>
      </c>
      <c r="F503" s="7" t="inlineStr">
        <is>
          <t>HVAC</t>
        </is>
      </c>
      <c r="G503" s="7" t="inlineStr">
        <is>
          <t>PIECE_VEHICULE</t>
        </is>
      </c>
      <c r="H503" s="7" t="n">
        <v>1</v>
      </c>
      <c r="I503" s="7">
        <f>H503*$D$3</f>
        <v/>
      </c>
      <c r="J503" s="7" t="inlineStr">
        <is>
          <t>unité</t>
        </is>
      </c>
      <c r="K503" s="7" t="n">
        <v>0</v>
      </c>
      <c r="L503" s="7">
        <f>K503-I503</f>
        <v/>
      </c>
      <c r="M503" s="7">
        <f>IF(K503&lt;I503,"✕ INSUFFISANT",IF(K503&lt;I503*1.2,"⚠ STOCK FAIBLE","✓ COUVERT"))</f>
        <v/>
      </c>
      <c r="N503" s="7" t="inlineStr">
        <is>
          <t>CTL</t>
        </is>
      </c>
      <c r="O503" s="7" t="inlineStr">
        <is>
          <t>STANDARD</t>
        </is>
      </c>
      <c r="P503" s="7" t="inlineStr">
        <is>
          <t>31/08/2026 02:59</t>
        </is>
      </c>
    </row>
    <row r="504">
      <c r="A504" s="8" t="inlineStr">
        <is>
          <t>WHAP 8x8</t>
        </is>
      </c>
      <c r="B504" s="8" t="inlineStr">
        <is>
          <t>WHAP-0500</t>
        </is>
      </c>
      <c r="C504" s="8" t="inlineStr">
        <is>
          <t>HVA-0500</t>
        </is>
      </c>
      <c r="D504" s="8" t="inlineStr">
        <is>
          <t>filtre déshydrateur</t>
        </is>
      </c>
      <c r="E504" s="8" t="inlineStr">
        <is>
          <t>HVAC</t>
        </is>
      </c>
      <c r="F504" s="8" t="inlineStr">
        <is>
          <t>HVAC</t>
        </is>
      </c>
      <c r="G504" s="8" t="inlineStr">
        <is>
          <t>PIECE_VEHICULE</t>
        </is>
      </c>
      <c r="H504" s="8" t="n">
        <v>1</v>
      </c>
      <c r="I504" s="8">
        <f>H504*$D$3</f>
        <v/>
      </c>
      <c r="J504" s="8" t="inlineStr">
        <is>
          <t>unité</t>
        </is>
      </c>
      <c r="K504" s="8" t="n">
        <v>0</v>
      </c>
      <c r="L504" s="8">
        <f>K504-I504</f>
        <v/>
      </c>
      <c r="M504" s="8">
        <f>IF(K504&lt;I504,"✕ INSUFFISANT",IF(K504&lt;I504*1.2,"⚠ STOCK FAIBLE","✓ COUVERT"))</f>
        <v/>
      </c>
      <c r="N504" s="8" t="inlineStr">
        <is>
          <t>FAU</t>
        </is>
      </c>
      <c r="O504" s="8" t="inlineStr">
        <is>
          <t>STANDARD</t>
        </is>
      </c>
      <c r="P504" s="8" t="inlineStr">
        <is>
          <t>31/08/2026 02:59</t>
        </is>
      </c>
    </row>
    <row r="505">
      <c r="A505" s="7" t="inlineStr">
        <is>
          <t>WHAP 8x8</t>
        </is>
      </c>
      <c r="B505" s="7" t="inlineStr">
        <is>
          <t>WHAP-0501</t>
        </is>
      </c>
      <c r="C505" s="7" t="inlineStr">
        <is>
          <t>HVA-0501</t>
        </is>
      </c>
      <c r="D505" s="7" t="inlineStr">
        <is>
          <t>soufflante</t>
        </is>
      </c>
      <c r="E505" s="7" t="inlineStr">
        <is>
          <t>HVAC</t>
        </is>
      </c>
      <c r="F505" s="7" t="inlineStr">
        <is>
          <t>HVAC</t>
        </is>
      </c>
      <c r="G505" s="7" t="inlineStr">
        <is>
          <t>PIECE_VEHICULE</t>
        </is>
      </c>
      <c r="H505" s="7" t="n">
        <v>1</v>
      </c>
      <c r="I505" s="7">
        <f>H505*$D$3</f>
        <v/>
      </c>
      <c r="J505" s="7" t="inlineStr">
        <is>
          <t>unité</t>
        </is>
      </c>
      <c r="K505" s="7" t="n">
        <v>0</v>
      </c>
      <c r="L505" s="7">
        <f>K505-I505</f>
        <v/>
      </c>
      <c r="M505" s="7">
        <f>IF(K505&lt;I505,"✕ INSUFFISANT",IF(K505&lt;I505*1.2,"⚠ STOCK FAIBLE","✓ COUVERT"))</f>
        <v/>
      </c>
      <c r="N505" s="7" t="inlineStr">
        <is>
          <t>HEL</t>
        </is>
      </c>
      <c r="O505" s="7" t="inlineStr">
        <is>
          <t>STANDARD</t>
        </is>
      </c>
      <c r="P505" s="7" t="inlineStr">
        <is>
          <t>31/08/2026 02:59</t>
        </is>
      </c>
    </row>
    <row r="506">
      <c r="A506" s="8" t="inlineStr">
        <is>
          <t>WHAP 8x8</t>
        </is>
      </c>
      <c r="B506" s="8" t="inlineStr">
        <is>
          <t>WHAP-0502</t>
        </is>
      </c>
      <c r="C506" s="8" t="inlineStr">
        <is>
          <t>HVA-0502</t>
        </is>
      </c>
      <c r="D506" s="8" t="inlineStr">
        <is>
          <t>moteur soufflante</t>
        </is>
      </c>
      <c r="E506" s="8" t="inlineStr">
        <is>
          <t>HVAC</t>
        </is>
      </c>
      <c r="F506" s="8" t="inlineStr">
        <is>
          <t>HVAC</t>
        </is>
      </c>
      <c r="G506" s="8" t="inlineStr">
        <is>
          <t>PIECE_VEHICULE</t>
        </is>
      </c>
      <c r="H506" s="8" t="n">
        <v>1</v>
      </c>
      <c r="I506" s="8">
        <f>H506*$D$3</f>
        <v/>
      </c>
      <c r="J506" s="8" t="inlineStr">
        <is>
          <t>unité</t>
        </is>
      </c>
      <c r="K506" s="8" t="n">
        <v>0</v>
      </c>
      <c r="L506" s="8">
        <f>K506-I506</f>
        <v/>
      </c>
      <c r="M506" s="8">
        <f>IF(K506&lt;I506,"✕ INSUFFISANT",IF(K506&lt;I506*1.2,"⚠ STOCK FAIBLE","✓ COUVERT"))</f>
        <v/>
      </c>
      <c r="N506" s="8" t="inlineStr">
        <is>
          <t>SUM</t>
        </is>
      </c>
      <c r="O506" s="8" t="inlineStr">
        <is>
          <t>STANDARD</t>
        </is>
      </c>
      <c r="P506" s="8" t="inlineStr">
        <is>
          <t>31/08/2026 02:59</t>
        </is>
      </c>
    </row>
    <row r="507">
      <c r="A507" s="7" t="inlineStr">
        <is>
          <t>WHAP 8x8</t>
        </is>
      </c>
      <c r="B507" s="7" t="inlineStr">
        <is>
          <t>WHAP-0503</t>
        </is>
      </c>
      <c r="C507" s="7" t="inlineStr">
        <is>
          <t>HVA-0503</t>
        </is>
      </c>
      <c r="D507" s="7" t="inlineStr">
        <is>
          <t>pulseur</t>
        </is>
      </c>
      <c r="E507" s="7" t="inlineStr">
        <is>
          <t>HVAC</t>
        </is>
      </c>
      <c r="F507" s="7" t="inlineStr">
        <is>
          <t>HVAC</t>
        </is>
      </c>
      <c r="G507" s="7" t="inlineStr">
        <is>
          <t>PIECE_VEHICULE</t>
        </is>
      </c>
      <c r="H507" s="7" t="n">
        <v>1</v>
      </c>
      <c r="I507" s="7">
        <f>H507*$D$3</f>
        <v/>
      </c>
      <c r="J507" s="7" t="inlineStr">
        <is>
          <t>unité</t>
        </is>
      </c>
      <c r="K507" s="7" t="n">
        <v>0</v>
      </c>
      <c r="L507" s="7">
        <f>K507-I507</f>
        <v/>
      </c>
      <c r="M507" s="7">
        <f>IF(K507&lt;I507,"✕ INSUFFISANT",IF(K507&lt;I507*1.2,"⚠ STOCK FAIBLE","✓ COUVERT"))</f>
        <v/>
      </c>
      <c r="N507" s="7" t="inlineStr">
        <is>
          <t>BOS</t>
        </is>
      </c>
      <c r="O507" s="7" t="inlineStr">
        <is>
          <t>STANDARD</t>
        </is>
      </c>
      <c r="P507" s="7" t="inlineStr">
        <is>
          <t>31/08/2026 02:59</t>
        </is>
      </c>
    </row>
    <row r="508">
      <c r="A508" s="8" t="inlineStr">
        <is>
          <t>WHAP 8x8</t>
        </is>
      </c>
      <c r="B508" s="8" t="inlineStr">
        <is>
          <t>WHAP-0504</t>
        </is>
      </c>
      <c r="C508" s="8" t="inlineStr">
        <is>
          <t>HVA-0504</t>
        </is>
      </c>
      <c r="D508" s="8" t="inlineStr">
        <is>
          <t>boîtier HVAC</t>
        </is>
      </c>
      <c r="E508" s="8" t="inlineStr">
        <is>
          <t>HVAC</t>
        </is>
      </c>
      <c r="F508" s="8" t="inlineStr">
        <is>
          <t>HVAC</t>
        </is>
      </c>
      <c r="G508" s="8" t="inlineStr">
        <is>
          <t>PIECE_VEHICULE</t>
        </is>
      </c>
      <c r="H508" s="8" t="n">
        <v>1</v>
      </c>
      <c r="I508" s="8">
        <f>H508*$D$3</f>
        <v/>
      </c>
      <c r="J508" s="8" t="inlineStr">
        <is>
          <t>unité</t>
        </is>
      </c>
      <c r="K508" s="8" t="n">
        <v>0</v>
      </c>
      <c r="L508" s="8">
        <f>K508-I508</f>
        <v/>
      </c>
      <c r="M508" s="8">
        <f>IF(K508&lt;I508,"✕ INSUFFISANT",IF(K508&lt;I508*1.2,"⚠ STOCK FAIBLE","✓ COUVERT"))</f>
        <v/>
      </c>
      <c r="N508" s="8" t="inlineStr">
        <is>
          <t>DEL</t>
        </is>
      </c>
      <c r="O508" s="8" t="inlineStr">
        <is>
          <t>STANDARD</t>
        </is>
      </c>
      <c r="P508" s="8" t="inlineStr">
        <is>
          <t>31/08/2026 02:59</t>
        </is>
      </c>
    </row>
    <row r="509">
      <c r="A509" s="7" t="inlineStr">
        <is>
          <t>WHAP 8x8</t>
        </is>
      </c>
      <c r="B509" s="7" t="inlineStr">
        <is>
          <t>WHAP-0505</t>
        </is>
      </c>
      <c r="C509" s="7" t="inlineStr">
        <is>
          <t>HVA-0505</t>
        </is>
      </c>
      <c r="D509" s="7" t="inlineStr">
        <is>
          <t>volet d'air</t>
        </is>
      </c>
      <c r="E509" s="7" t="inlineStr">
        <is>
          <t>HVAC</t>
        </is>
      </c>
      <c r="F509" s="7" t="inlineStr">
        <is>
          <t>HVAC</t>
        </is>
      </c>
      <c r="G509" s="7" t="inlineStr">
        <is>
          <t>PIECE_VEHICULE</t>
        </is>
      </c>
      <c r="H509" s="7" t="n">
        <v>1</v>
      </c>
      <c r="I509" s="7">
        <f>H509*$D$3</f>
        <v/>
      </c>
      <c r="J509" s="7" t="inlineStr">
        <is>
          <t>unité</t>
        </is>
      </c>
      <c r="K509" s="7" t="n">
        <v>0</v>
      </c>
      <c r="L509" s="7">
        <f>K509-I509</f>
        <v/>
      </c>
      <c r="M509" s="7">
        <f>IF(K509&lt;I509,"✕ INSUFFISANT",IF(K509&lt;I509*1.2,"⚠ STOCK FAIBLE","✓ COUVERT"))</f>
        <v/>
      </c>
      <c r="N509" s="7" t="inlineStr">
        <is>
          <t>DEL</t>
        </is>
      </c>
      <c r="O509" s="7" t="inlineStr">
        <is>
          <t>STANDARD</t>
        </is>
      </c>
      <c r="P509" s="7" t="inlineStr">
        <is>
          <t>31/08/2026 02:59</t>
        </is>
      </c>
    </row>
    <row r="510">
      <c r="A510" s="8" t="inlineStr">
        <is>
          <t>WHAP 8x8</t>
        </is>
      </c>
      <c r="B510" s="8" t="inlineStr">
        <is>
          <t>WHAP-0506</t>
        </is>
      </c>
      <c r="C510" s="8" t="inlineStr">
        <is>
          <t>HVA-0506</t>
        </is>
      </c>
      <c r="D510" s="8" t="inlineStr">
        <is>
          <t>actionneur de volet</t>
        </is>
      </c>
      <c r="E510" s="8" t="inlineStr">
        <is>
          <t>HVAC</t>
        </is>
      </c>
      <c r="F510" s="8" t="inlineStr">
        <is>
          <t>HVAC</t>
        </is>
      </c>
      <c r="G510" s="8" t="inlineStr">
        <is>
          <t>PIECE_VEHICULE</t>
        </is>
      </c>
      <c r="H510" s="8" t="n">
        <v>1</v>
      </c>
      <c r="I510" s="8">
        <f>H510*$D$3</f>
        <v/>
      </c>
      <c r="J510" s="8" t="inlineStr">
        <is>
          <t>unité</t>
        </is>
      </c>
      <c r="K510" s="8" t="n">
        <v>0</v>
      </c>
      <c r="L510" s="8">
        <f>K510-I510</f>
        <v/>
      </c>
      <c r="M510" s="8">
        <f>IF(K510&lt;I510,"✕ INSUFFISANT",IF(K510&lt;I510*1.2,"⚠ STOCK FAIBLE","✓ COUVERT"))</f>
        <v/>
      </c>
      <c r="N510" s="8" t="inlineStr">
        <is>
          <t>MAG</t>
        </is>
      </c>
      <c r="O510" s="8" t="inlineStr">
        <is>
          <t>STANDARD</t>
        </is>
      </c>
      <c r="P510" s="8" t="inlineStr">
        <is>
          <t>31/08/2026 02:59</t>
        </is>
      </c>
    </row>
    <row r="511">
      <c r="A511" s="7" t="inlineStr">
        <is>
          <t>WHAP 8x8</t>
        </is>
      </c>
      <c r="B511" s="7" t="inlineStr">
        <is>
          <t>WHAP-0507</t>
        </is>
      </c>
      <c r="C511" s="7" t="inlineStr">
        <is>
          <t>HVA-0507</t>
        </is>
      </c>
      <c r="D511" s="7" t="inlineStr">
        <is>
          <t>filtre cabine</t>
        </is>
      </c>
      <c r="E511" s="7" t="inlineStr">
        <is>
          <t>HVAC</t>
        </is>
      </c>
      <c r="F511" s="7" t="inlineStr">
        <is>
          <t>HVAC</t>
        </is>
      </c>
      <c r="G511" s="7" t="inlineStr">
        <is>
          <t>PIECE_VEHICULE</t>
        </is>
      </c>
      <c r="H511" s="7" t="n">
        <v>1</v>
      </c>
      <c r="I511" s="7">
        <f>H511*$D$3</f>
        <v/>
      </c>
      <c r="J511" s="7" t="inlineStr">
        <is>
          <t>unité</t>
        </is>
      </c>
      <c r="K511" s="7" t="n">
        <v>0</v>
      </c>
      <c r="L511" s="7">
        <f>K511-I511</f>
        <v/>
      </c>
      <c r="M511" s="7">
        <f>IF(K511&lt;I511,"✕ INSUFFISANT",IF(K511&lt;I511*1.2,"⚠ STOCK FAIBLE","✓ COUVERT"))</f>
        <v/>
      </c>
      <c r="N511" s="7" t="inlineStr">
        <is>
          <t>CTL</t>
        </is>
      </c>
      <c r="O511" s="7" t="inlineStr">
        <is>
          <t>STANDARD</t>
        </is>
      </c>
      <c r="P511" s="7" t="inlineStr">
        <is>
          <t>31/08/2026 02:59</t>
        </is>
      </c>
    </row>
    <row r="512">
      <c r="A512" s="8" t="inlineStr">
        <is>
          <t>WHAP 8x8</t>
        </is>
      </c>
      <c r="B512" s="8" t="inlineStr">
        <is>
          <t>WHAP-0508</t>
        </is>
      </c>
      <c r="C512" s="8" t="inlineStr">
        <is>
          <t>HVA-0508</t>
        </is>
      </c>
      <c r="D512" s="8" t="inlineStr">
        <is>
          <t>filtre NBC</t>
        </is>
      </c>
      <c r="E512" s="8" t="inlineStr">
        <is>
          <t>HVAC</t>
        </is>
      </c>
      <c r="F512" s="8" t="inlineStr">
        <is>
          <t>HVAC</t>
        </is>
      </c>
      <c r="G512" s="8" t="inlineStr">
        <is>
          <t>PIECE_VEHICULE</t>
        </is>
      </c>
      <c r="H512" s="8" t="n">
        <v>1</v>
      </c>
      <c r="I512" s="8">
        <f>H512*$D$3</f>
        <v/>
      </c>
      <c r="J512" s="8" t="inlineStr">
        <is>
          <t>unité</t>
        </is>
      </c>
      <c r="K512" s="8" t="n">
        <v>0</v>
      </c>
      <c r="L512" s="8">
        <f>K512-I512</f>
        <v/>
      </c>
      <c r="M512" s="8">
        <f>IF(K512&lt;I512,"✕ INSUFFISANT",IF(K512&lt;I512*1.2,"⚠ STOCK FAIBLE","✓ COUVERT"))</f>
        <v/>
      </c>
      <c r="N512" s="8" t="inlineStr">
        <is>
          <t>MAG</t>
        </is>
      </c>
      <c r="O512" s="8" t="inlineStr">
        <is>
          <t>STANDARD</t>
        </is>
      </c>
      <c r="P512" s="8" t="inlineStr">
        <is>
          <t>31/08/2026 02:59</t>
        </is>
      </c>
    </row>
    <row r="513">
      <c r="A513" s="7" t="inlineStr">
        <is>
          <t>WHAP 8x8</t>
        </is>
      </c>
      <c r="B513" s="7" t="inlineStr">
        <is>
          <t>WHAP-0509</t>
        </is>
      </c>
      <c r="C513" s="7" t="inlineStr">
        <is>
          <t>HVA-0509</t>
        </is>
      </c>
      <c r="D513" s="7" t="inlineStr">
        <is>
          <t>capteur température cabine</t>
        </is>
      </c>
      <c r="E513" s="7" t="inlineStr">
        <is>
          <t>HVAC</t>
        </is>
      </c>
      <c r="F513" s="7" t="inlineStr">
        <is>
          <t>HVAC</t>
        </is>
      </c>
      <c r="G513" s="7" t="inlineStr">
        <is>
          <t>PIECE_VEHICULE</t>
        </is>
      </c>
      <c r="H513" s="7" t="n">
        <v>1</v>
      </c>
      <c r="I513" s="7">
        <f>H513*$D$3</f>
        <v/>
      </c>
      <c r="J513" s="7" t="inlineStr">
        <is>
          <t>unité</t>
        </is>
      </c>
      <c r="K513" s="7" t="n">
        <v>0</v>
      </c>
      <c r="L513" s="7">
        <f>K513-I513</f>
        <v/>
      </c>
      <c r="M513" s="7">
        <f>IF(K513&lt;I513,"✕ INSUFFISANT",IF(K513&lt;I513*1.2,"⚠ STOCK FAIBLE","✓ COUVERT"))</f>
        <v/>
      </c>
      <c r="N513" s="7" t="inlineStr">
        <is>
          <t>DEL</t>
        </is>
      </c>
      <c r="O513" s="7" t="inlineStr">
        <is>
          <t>STANDARD</t>
        </is>
      </c>
      <c r="P513" s="7" t="inlineStr">
        <is>
          <t>31/08/2026 02:59</t>
        </is>
      </c>
    </row>
    <row r="514">
      <c r="A514" s="8" t="inlineStr">
        <is>
          <t>WHAP 8x8</t>
        </is>
      </c>
      <c r="B514" s="8" t="inlineStr">
        <is>
          <t>WHAP-0510</t>
        </is>
      </c>
      <c r="C514" s="8" t="inlineStr">
        <is>
          <t>HVA-0510</t>
        </is>
      </c>
      <c r="D514" s="8" t="inlineStr">
        <is>
          <t>capteur pression climatisation</t>
        </is>
      </c>
      <c r="E514" s="8" t="inlineStr">
        <is>
          <t>HVAC</t>
        </is>
      </c>
      <c r="F514" s="8" t="inlineStr">
        <is>
          <t>HVAC</t>
        </is>
      </c>
      <c r="G514" s="8" t="inlineStr">
        <is>
          <t>PIECE_VEHICULE</t>
        </is>
      </c>
      <c r="H514" s="8" t="n">
        <v>1</v>
      </c>
      <c r="I514" s="8">
        <f>H514*$D$3</f>
        <v/>
      </c>
      <c r="J514" s="8" t="inlineStr">
        <is>
          <t>unité</t>
        </is>
      </c>
      <c r="K514" s="8" t="n">
        <v>0</v>
      </c>
      <c r="L514" s="8">
        <f>K514-I514</f>
        <v/>
      </c>
      <c r="M514" s="8">
        <f>IF(K514&lt;I514,"✕ INSUFFISANT",IF(K514&lt;I514*1.2,"⚠ STOCK FAIBLE","✓ COUVERT"))</f>
        <v/>
      </c>
      <c r="N514" s="8" t="inlineStr">
        <is>
          <t>SKF</t>
        </is>
      </c>
      <c r="O514" s="8" t="inlineStr">
        <is>
          <t>STANDARD</t>
        </is>
      </c>
      <c r="P514" s="8" t="inlineStr">
        <is>
          <t>31/08/2026 02:59</t>
        </is>
      </c>
    </row>
    <row r="515">
      <c r="A515" s="7" t="inlineStr">
        <is>
          <t>WHAP 8x8</t>
        </is>
      </c>
      <c r="B515" s="7" t="inlineStr">
        <is>
          <t>WHAP-0511</t>
        </is>
      </c>
      <c r="C515" s="7" t="inlineStr">
        <is>
          <t>HVA-0511</t>
        </is>
      </c>
      <c r="D515" s="7" t="inlineStr">
        <is>
          <t>conduite frigorifique</t>
        </is>
      </c>
      <c r="E515" s="7" t="inlineStr">
        <is>
          <t>HVAC</t>
        </is>
      </c>
      <c r="F515" s="7" t="inlineStr">
        <is>
          <t>HVAC</t>
        </is>
      </c>
      <c r="G515" s="7" t="inlineStr">
        <is>
          <t>PIECE_VEHICULE</t>
        </is>
      </c>
      <c r="H515" s="7" t="n">
        <v>1</v>
      </c>
      <c r="I515" s="7">
        <f>H515*$D$3</f>
        <v/>
      </c>
      <c r="J515" s="7" t="inlineStr">
        <is>
          <t>unité</t>
        </is>
      </c>
      <c r="K515" s="7" t="n">
        <v>0</v>
      </c>
      <c r="L515" s="7">
        <f>K515-I515</f>
        <v/>
      </c>
      <c r="M515" s="7">
        <f>IF(K515&lt;I515,"✕ INSUFFISANT",IF(K515&lt;I515*1.2,"⚠ STOCK FAIBLE","✓ COUVERT"))</f>
        <v/>
      </c>
      <c r="N515" s="7" t="inlineStr">
        <is>
          <t>HEL</t>
        </is>
      </c>
      <c r="O515" s="7" t="inlineStr">
        <is>
          <t>STANDARD</t>
        </is>
      </c>
      <c r="P515" s="7" t="inlineStr">
        <is>
          <t>31/08/2026 02:59</t>
        </is>
      </c>
    </row>
    <row r="516">
      <c r="A516" s="8" t="inlineStr">
        <is>
          <t>WHAP 8x8</t>
        </is>
      </c>
      <c r="B516" s="8" t="inlineStr">
        <is>
          <t>WHAP-0512</t>
        </is>
      </c>
      <c r="C516" s="8" t="inlineStr">
        <is>
          <t>HVA-0512</t>
        </is>
      </c>
      <c r="D516" s="8" t="inlineStr">
        <is>
          <t>flexible climatisation</t>
        </is>
      </c>
      <c r="E516" s="8" t="inlineStr">
        <is>
          <t>HVAC</t>
        </is>
      </c>
      <c r="F516" s="8" t="inlineStr">
        <is>
          <t>HVAC</t>
        </is>
      </c>
      <c r="G516" s="8" t="inlineStr">
        <is>
          <t>PIECE_VEHICULE</t>
        </is>
      </c>
      <c r="H516" s="8" t="n">
        <v>1</v>
      </c>
      <c r="I516" s="8">
        <f>H516*$D$3</f>
        <v/>
      </c>
      <c r="J516" s="8" t="inlineStr">
        <is>
          <t>unité</t>
        </is>
      </c>
      <c r="K516" s="8" t="n">
        <v>0</v>
      </c>
      <c r="L516" s="8">
        <f>K516-I516</f>
        <v/>
      </c>
      <c r="M516" s="8">
        <f>IF(K516&lt;I516,"✕ INSUFFISANT",IF(K516&lt;I516*1.2,"⚠ STOCK FAIBLE","✓ COUVERT"))</f>
        <v/>
      </c>
      <c r="N516" s="8" t="inlineStr">
        <is>
          <t>HEL</t>
        </is>
      </c>
      <c r="O516" s="8" t="inlineStr">
        <is>
          <t>STANDARD</t>
        </is>
      </c>
      <c r="P516" s="8" t="inlineStr">
        <is>
          <t>31/08/2026 02:59</t>
        </is>
      </c>
    </row>
    <row r="517">
      <c r="A517" s="7" t="inlineStr">
        <is>
          <t>WHAP 8x8</t>
        </is>
      </c>
      <c r="B517" s="7" t="inlineStr">
        <is>
          <t>WHAP-0513</t>
        </is>
      </c>
      <c r="C517" s="7" t="inlineStr">
        <is>
          <t>HVA-0513</t>
        </is>
      </c>
      <c r="D517" s="7" t="inlineStr">
        <is>
          <t>raccord climatisation</t>
        </is>
      </c>
      <c r="E517" s="7" t="inlineStr">
        <is>
          <t>HVAC</t>
        </is>
      </c>
      <c r="F517" s="7" t="inlineStr">
        <is>
          <t>HVAC</t>
        </is>
      </c>
      <c r="G517" s="7" t="inlineStr">
        <is>
          <t>PIECE_VEHICULE</t>
        </is>
      </c>
      <c r="H517" s="7" t="n">
        <v>1</v>
      </c>
      <c r="I517" s="7">
        <f>H517*$D$3</f>
        <v/>
      </c>
      <c r="J517" s="7" t="inlineStr">
        <is>
          <t>unité</t>
        </is>
      </c>
      <c r="K517" s="7" t="n">
        <v>0</v>
      </c>
      <c r="L517" s="7">
        <f>K517-I517</f>
        <v/>
      </c>
      <c r="M517" s="7">
        <f>IF(K517&lt;I517,"✕ INSUFFISANT",IF(K517&lt;I517*1.2,"⚠ STOCK FAIBLE","✓ COUVERT"))</f>
        <v/>
      </c>
      <c r="N517" s="7" t="inlineStr">
        <is>
          <t>DEL</t>
        </is>
      </c>
      <c r="O517" s="7" t="inlineStr">
        <is>
          <t>STANDARD</t>
        </is>
      </c>
      <c r="P517" s="7" t="inlineStr">
        <is>
          <t>31/08/2026 02:59</t>
        </is>
      </c>
    </row>
    <row r="518">
      <c r="A518" s="8" t="inlineStr">
        <is>
          <t>WHAP 8x8</t>
        </is>
      </c>
      <c r="B518" s="8" t="inlineStr">
        <is>
          <t>WHAP-0514</t>
        </is>
      </c>
      <c r="C518" s="8" t="inlineStr">
        <is>
          <t>HVA-0514</t>
        </is>
      </c>
      <c r="D518" s="8" t="inlineStr">
        <is>
          <t>chauffage cabine</t>
        </is>
      </c>
      <c r="E518" s="8" t="inlineStr">
        <is>
          <t>HVAC</t>
        </is>
      </c>
      <c r="F518" s="8" t="inlineStr">
        <is>
          <t>HVAC</t>
        </is>
      </c>
      <c r="G518" s="8" t="inlineStr">
        <is>
          <t>PIECE_VEHICULE</t>
        </is>
      </c>
      <c r="H518" s="8" t="n">
        <v>1</v>
      </c>
      <c r="I518" s="8">
        <f>H518*$D$3</f>
        <v/>
      </c>
      <c r="J518" s="8" t="inlineStr">
        <is>
          <t>unité</t>
        </is>
      </c>
      <c r="K518" s="8" t="n">
        <v>0</v>
      </c>
      <c r="L518" s="8">
        <f>K518-I518</f>
        <v/>
      </c>
      <c r="M518" s="8">
        <f>IF(K518&lt;I518,"✕ INSUFFISANT",IF(K518&lt;I518*1.2,"⚠ STOCK FAIBLE","✓ COUVERT"))</f>
        <v/>
      </c>
      <c r="N518" s="8" t="inlineStr">
        <is>
          <t>VAL</t>
        </is>
      </c>
      <c r="O518" s="8" t="inlineStr">
        <is>
          <t>STANDARD</t>
        </is>
      </c>
      <c r="P518" s="8" t="inlineStr">
        <is>
          <t>31/08/2026 02:59</t>
        </is>
      </c>
    </row>
    <row r="519">
      <c r="A519" s="7" t="inlineStr">
        <is>
          <t>WHAP 8x8</t>
        </is>
      </c>
      <c r="B519" s="7" t="inlineStr">
        <is>
          <t>WHAP-0515</t>
        </is>
      </c>
      <c r="C519" s="7" t="inlineStr">
        <is>
          <t>HVA-0515</t>
        </is>
      </c>
      <c r="D519" s="7" t="inlineStr">
        <is>
          <t>radiateur chauffage</t>
        </is>
      </c>
      <c r="E519" s="7" t="inlineStr">
        <is>
          <t>HVAC</t>
        </is>
      </c>
      <c r="F519" s="7" t="inlineStr">
        <is>
          <t>HVAC</t>
        </is>
      </c>
      <c r="G519" s="7" t="inlineStr">
        <is>
          <t>PIECE_VEHICULE</t>
        </is>
      </c>
      <c r="H519" s="7" t="n">
        <v>1</v>
      </c>
      <c r="I519" s="7">
        <f>H519*$D$3</f>
        <v/>
      </c>
      <c r="J519" s="7" t="inlineStr">
        <is>
          <t>unité</t>
        </is>
      </c>
      <c r="K519" s="7" t="n">
        <v>0</v>
      </c>
      <c r="L519" s="7">
        <f>K519-I519</f>
        <v/>
      </c>
      <c r="M519" s="7">
        <f>IF(K519&lt;I519,"✕ INSUFFISANT",IF(K519&lt;I519*1.2,"⚠ STOCK FAIBLE","✓ COUVERT"))</f>
        <v/>
      </c>
      <c r="N519" s="7" t="inlineStr">
        <is>
          <t>VAL</t>
        </is>
      </c>
      <c r="O519" s="7" t="inlineStr">
        <is>
          <t>STANDARD</t>
        </is>
      </c>
      <c r="P519" s="7" t="inlineStr">
        <is>
          <t>31/08/2026 02:59</t>
        </is>
      </c>
    </row>
    <row r="520">
      <c r="A520" s="8" t="inlineStr">
        <is>
          <t>WHAP 8x8</t>
        </is>
      </c>
      <c r="B520" s="8" t="inlineStr">
        <is>
          <t>WHAP-0516</t>
        </is>
      </c>
      <c r="C520" s="8" t="inlineStr">
        <is>
          <t>HVA-0516</t>
        </is>
      </c>
      <c r="D520" s="8" t="inlineStr">
        <is>
          <t>vanne chauffage</t>
        </is>
      </c>
      <c r="E520" s="8" t="inlineStr">
        <is>
          <t>HVAC</t>
        </is>
      </c>
      <c r="F520" s="8" t="inlineStr">
        <is>
          <t>HVAC</t>
        </is>
      </c>
      <c r="G520" s="8" t="inlineStr">
        <is>
          <t>PIECE_VEHICULE</t>
        </is>
      </c>
      <c r="H520" s="8" t="n">
        <v>1</v>
      </c>
      <c r="I520" s="8">
        <f>H520*$D$3</f>
        <v/>
      </c>
      <c r="J520" s="8" t="inlineStr">
        <is>
          <t>unité</t>
        </is>
      </c>
      <c r="K520" s="8" t="n">
        <v>0</v>
      </c>
      <c r="L520" s="8">
        <f>K520-I520</f>
        <v/>
      </c>
      <c r="M520" s="8">
        <f>IF(K520&lt;I520,"✕ INSUFFISANT",IF(K520&lt;I520*1.2,"⚠ STOCK FAIBLE","✓ COUVERT"))</f>
        <v/>
      </c>
      <c r="N520" s="8" t="inlineStr">
        <is>
          <t>VAL</t>
        </is>
      </c>
      <c r="O520" s="8" t="inlineStr">
        <is>
          <t>STANDARD</t>
        </is>
      </c>
      <c r="P520" s="8" t="inlineStr">
        <is>
          <t>31/08/2026 02:59</t>
        </is>
      </c>
    </row>
    <row r="521">
      <c r="A521" s="7" t="inlineStr">
        <is>
          <t>WHAP 8x8</t>
        </is>
      </c>
      <c r="B521" s="7" t="inlineStr">
        <is>
          <t>WHAP-0517</t>
        </is>
      </c>
      <c r="C521" s="7" t="inlineStr">
        <is>
          <t>HVA-0517</t>
        </is>
      </c>
      <c r="D521" s="7" t="inlineStr">
        <is>
          <t>thermostat cabine</t>
        </is>
      </c>
      <c r="E521" s="7" t="inlineStr">
        <is>
          <t>HVAC</t>
        </is>
      </c>
      <c r="F521" s="7" t="inlineStr">
        <is>
          <t>HVAC</t>
        </is>
      </c>
      <c r="G521" s="7" t="inlineStr">
        <is>
          <t>PIECE_VEHICULE</t>
        </is>
      </c>
      <c r="H521" s="7" t="n">
        <v>1</v>
      </c>
      <c r="I521" s="7">
        <f>H521*$D$3</f>
        <v/>
      </c>
      <c r="J521" s="7" t="inlineStr">
        <is>
          <t>unité</t>
        </is>
      </c>
      <c r="K521" s="7" t="n">
        <v>0</v>
      </c>
      <c r="L521" s="7">
        <f>K521-I521</f>
        <v/>
      </c>
      <c r="M521" s="7">
        <f>IF(K521&lt;I521,"✕ INSUFFISANT",IF(K521&lt;I521*1.2,"⚠ STOCK FAIBLE","✓ COUVERT"))</f>
        <v/>
      </c>
      <c r="N521" s="7" t="inlineStr">
        <is>
          <t>SKF</t>
        </is>
      </c>
      <c r="O521" s="7" t="inlineStr">
        <is>
          <t>STANDARD</t>
        </is>
      </c>
      <c r="P521" s="7" t="inlineStr">
        <is>
          <t>31/08/2026 02:59</t>
        </is>
      </c>
    </row>
    <row r="522">
      <c r="A522" s="8" t="inlineStr">
        <is>
          <t>WHAP 8x8</t>
        </is>
      </c>
      <c r="B522" s="8" t="inlineStr">
        <is>
          <t>WHAP-0518</t>
        </is>
      </c>
      <c r="C522" s="8" t="inlineStr">
        <is>
          <t>HVA-0518</t>
        </is>
      </c>
      <c r="D522" s="8" t="inlineStr">
        <is>
          <t>grille de ventilation</t>
        </is>
      </c>
      <c r="E522" s="8" t="inlineStr">
        <is>
          <t>HVAC</t>
        </is>
      </c>
      <c r="F522" s="8" t="inlineStr">
        <is>
          <t>HVAC</t>
        </is>
      </c>
      <c r="G522" s="8" t="inlineStr">
        <is>
          <t>PIECE_VEHICULE</t>
        </is>
      </c>
      <c r="H522" s="8" t="n">
        <v>1</v>
      </c>
      <c r="I522" s="8">
        <f>H522*$D$3</f>
        <v/>
      </c>
      <c r="J522" s="8" t="inlineStr">
        <is>
          <t>unité</t>
        </is>
      </c>
      <c r="K522" s="8" t="n">
        <v>0</v>
      </c>
      <c r="L522" s="8">
        <f>K522-I522</f>
        <v/>
      </c>
      <c r="M522" s="8">
        <f>IF(K522&lt;I522,"✕ INSUFFISANT",IF(K522&lt;I522*1.2,"⚠ STOCK FAIBLE","✓ COUVERT"))</f>
        <v/>
      </c>
      <c r="N522" s="8" t="inlineStr">
        <is>
          <t>VAL</t>
        </is>
      </c>
      <c r="O522" s="8" t="inlineStr">
        <is>
          <t>STANDARD</t>
        </is>
      </c>
      <c r="P522" s="8" t="inlineStr">
        <is>
          <t>31/08/2026 02:59</t>
        </is>
      </c>
    </row>
    <row r="523">
      <c r="A523" s="7" t="inlineStr">
        <is>
          <t>WHAP 8x8</t>
        </is>
      </c>
      <c r="B523" s="7" t="inlineStr">
        <is>
          <t>WHAP-0519</t>
        </is>
      </c>
      <c r="C523" s="7" t="inlineStr">
        <is>
          <t>HVA-0519</t>
        </is>
      </c>
      <c r="D523" s="7" t="inlineStr">
        <is>
          <t>diffuseur d'air</t>
        </is>
      </c>
      <c r="E523" s="7" t="inlineStr">
        <is>
          <t>HVAC</t>
        </is>
      </c>
      <c r="F523" s="7" t="inlineStr">
        <is>
          <t>HVAC</t>
        </is>
      </c>
      <c r="G523" s="7" t="inlineStr">
        <is>
          <t>PIECE_VEHICULE</t>
        </is>
      </c>
      <c r="H523" s="7" t="n">
        <v>1</v>
      </c>
      <c r="I523" s="7">
        <f>H523*$D$3</f>
        <v/>
      </c>
      <c r="J523" s="7" t="inlineStr">
        <is>
          <t>unité</t>
        </is>
      </c>
      <c r="K523" s="7" t="n">
        <v>0</v>
      </c>
      <c r="L523" s="7">
        <f>K523-I523</f>
        <v/>
      </c>
      <c r="M523" s="7">
        <f>IF(K523&lt;I523,"✕ INSUFFISANT",IF(K523&lt;I523*1.2,"⚠ STOCK FAIBLE","✓ COUVERT"))</f>
        <v/>
      </c>
      <c r="N523" s="7" t="inlineStr">
        <is>
          <t>SUM</t>
        </is>
      </c>
      <c r="O523" s="7" t="inlineStr">
        <is>
          <t>STANDARD</t>
        </is>
      </c>
      <c r="P523" s="7" t="inlineStr">
        <is>
          <t>31/08/2026 02:59</t>
        </is>
      </c>
    </row>
    <row r="524">
      <c r="A524" s="8" t="inlineStr">
        <is>
          <t>WHAP 8x8</t>
        </is>
      </c>
      <c r="B524" s="8" t="inlineStr">
        <is>
          <t>WHAP-0520</t>
        </is>
      </c>
      <c r="C524" s="8" t="inlineStr">
        <is>
          <t>NBC-0520</t>
        </is>
      </c>
      <c r="D524" s="8" t="inlineStr">
        <is>
          <t>unité de filtration NBC</t>
        </is>
      </c>
      <c r="E524" s="8" t="inlineStr">
        <is>
          <t>Protection NBC</t>
        </is>
      </c>
      <c r="F524" s="8" t="inlineStr">
        <is>
          <t>Protection NBC</t>
        </is>
      </c>
      <c r="G524" s="8" t="inlineStr">
        <is>
          <t>EQUIPEMENT_VEHICULE</t>
        </is>
      </c>
      <c r="H524" s="8" t="n">
        <v>1</v>
      </c>
      <c r="I524" s="8">
        <f>H524*$D$3</f>
        <v/>
      </c>
      <c r="J524" s="8" t="inlineStr">
        <is>
          <t>unité</t>
        </is>
      </c>
      <c r="K524" s="8" t="n">
        <v>30</v>
      </c>
      <c r="L524" s="8">
        <f>K524-I524</f>
        <v/>
      </c>
      <c r="M524" s="8">
        <f>IF(K524&lt;I524,"✕ INSUFFISANT",IF(K524&lt;I524*1.2,"⚠ STOCK FAIBLE","✓ COUVERT"))</f>
        <v/>
      </c>
      <c r="N524" s="8" t="inlineStr">
        <is>
          <t>BOS</t>
        </is>
      </c>
      <c r="O524" s="8" t="inlineStr">
        <is>
          <t>STANDARD</t>
        </is>
      </c>
      <c r="P524" s="8" t="inlineStr">
        <is>
          <t>31/08/2026 02:59</t>
        </is>
      </c>
    </row>
    <row r="525">
      <c r="A525" s="7" t="inlineStr">
        <is>
          <t>WHAP 8x8</t>
        </is>
      </c>
      <c r="B525" s="7" t="inlineStr">
        <is>
          <t>WHAP-0521</t>
        </is>
      </c>
      <c r="C525" s="7" t="inlineStr">
        <is>
          <t>NBC-0521</t>
        </is>
      </c>
      <c r="D525" s="7" t="inlineStr">
        <is>
          <t>filtre NBC</t>
        </is>
      </c>
      <c r="E525" s="7" t="inlineStr">
        <is>
          <t>Protection NBC</t>
        </is>
      </c>
      <c r="F525" s="7" t="inlineStr">
        <is>
          <t>Protection NBC</t>
        </is>
      </c>
      <c r="G525" s="7" t="inlineStr">
        <is>
          <t>EQUIPEMENT_VEHICULE</t>
        </is>
      </c>
      <c r="H525" s="7" t="n">
        <v>1</v>
      </c>
      <c r="I525" s="7">
        <f>H525*$D$3</f>
        <v/>
      </c>
      <c r="J525" s="7" t="inlineStr">
        <is>
          <t>unité</t>
        </is>
      </c>
      <c r="K525" s="7" t="n">
        <v>12</v>
      </c>
      <c r="L525" s="7">
        <f>K525-I525</f>
        <v/>
      </c>
      <c r="M525" s="7">
        <f>IF(K525&lt;I525,"✕ INSUFFISANT",IF(K525&lt;I525*1.2,"⚠ STOCK FAIBLE","✓ COUVERT"))</f>
        <v/>
      </c>
      <c r="N525" s="7" t="inlineStr">
        <is>
          <t>YZK</t>
        </is>
      </c>
      <c r="O525" s="7" t="inlineStr">
        <is>
          <t>STANDARD</t>
        </is>
      </c>
      <c r="P525" s="7" t="inlineStr">
        <is>
          <t>31/08/2026 02:59</t>
        </is>
      </c>
    </row>
    <row r="526">
      <c r="A526" s="8" t="inlineStr">
        <is>
          <t>WHAP 8x8</t>
        </is>
      </c>
      <c r="B526" s="8" t="inlineStr">
        <is>
          <t>WHAP-0522</t>
        </is>
      </c>
      <c r="C526" s="8" t="inlineStr">
        <is>
          <t>NBC-0522</t>
        </is>
      </c>
      <c r="D526" s="8" t="inlineStr">
        <is>
          <t>ventilateur NBC</t>
        </is>
      </c>
      <c r="E526" s="8" t="inlineStr">
        <is>
          <t>Protection NBC</t>
        </is>
      </c>
      <c r="F526" s="8" t="inlineStr">
        <is>
          <t>Protection NBC</t>
        </is>
      </c>
      <c r="G526" s="8" t="inlineStr">
        <is>
          <t>EQUIPEMENT_VEHICULE</t>
        </is>
      </c>
      <c r="H526" s="8" t="n">
        <v>1</v>
      </c>
      <c r="I526" s="8">
        <f>H526*$D$3</f>
        <v/>
      </c>
      <c r="J526" s="8" t="inlineStr">
        <is>
          <t>unité</t>
        </is>
      </c>
      <c r="K526" s="8" t="n">
        <v>0</v>
      </c>
      <c r="L526" s="8">
        <f>K526-I526</f>
        <v/>
      </c>
      <c r="M526" s="8">
        <f>IF(K526&lt;I526,"✕ INSUFFISANT",IF(K526&lt;I526*1.2,"⚠ STOCK FAIBLE","✓ COUVERT"))</f>
        <v/>
      </c>
      <c r="N526" s="8" t="inlineStr">
        <is>
          <t>CTL</t>
        </is>
      </c>
      <c r="O526" s="8" t="inlineStr">
        <is>
          <t>STANDARD</t>
        </is>
      </c>
      <c r="P526" s="8" t="inlineStr">
        <is>
          <t>31/08/2026 02:59</t>
        </is>
      </c>
    </row>
    <row r="527">
      <c r="A527" s="7" t="inlineStr">
        <is>
          <t>WHAP 8x8</t>
        </is>
      </c>
      <c r="B527" s="7" t="inlineStr">
        <is>
          <t>WHAP-0523</t>
        </is>
      </c>
      <c r="C527" s="7" t="inlineStr">
        <is>
          <t>NBC-0523</t>
        </is>
      </c>
      <c r="D527" s="7" t="inlineStr">
        <is>
          <t>soufflante NBC</t>
        </is>
      </c>
      <c r="E527" s="7" t="inlineStr">
        <is>
          <t>Protection NBC</t>
        </is>
      </c>
      <c r="F527" s="7" t="inlineStr">
        <is>
          <t>Protection NBC</t>
        </is>
      </c>
      <c r="G527" s="7" t="inlineStr">
        <is>
          <t>EQUIPEMENT_VEHICULE</t>
        </is>
      </c>
      <c r="H527" s="7" t="n">
        <v>1</v>
      </c>
      <c r="I527" s="7">
        <f>H527*$D$3</f>
        <v/>
      </c>
      <c r="J527" s="7" t="inlineStr">
        <is>
          <t>unité</t>
        </is>
      </c>
      <c r="K527" s="7" t="n">
        <v>0</v>
      </c>
      <c r="L527" s="7">
        <f>K527-I527</f>
        <v/>
      </c>
      <c r="M527" s="7">
        <f>IF(K527&lt;I527,"✕ INSUFFISANT",IF(K527&lt;I527*1.2,"⚠ STOCK FAIBLE","✓ COUVERT"))</f>
        <v/>
      </c>
      <c r="N527" s="7" t="inlineStr">
        <is>
          <t>YZK</t>
        </is>
      </c>
      <c r="O527" s="7" t="inlineStr">
        <is>
          <t>STANDARD</t>
        </is>
      </c>
      <c r="P527" s="7" t="inlineStr">
        <is>
          <t>31/08/2026 02:59</t>
        </is>
      </c>
    </row>
    <row r="528">
      <c r="A528" s="8" t="inlineStr">
        <is>
          <t>WHAP 8x8</t>
        </is>
      </c>
      <c r="B528" s="8" t="inlineStr">
        <is>
          <t>WHAP-0524</t>
        </is>
      </c>
      <c r="C528" s="8" t="inlineStr">
        <is>
          <t>NBC-0524</t>
        </is>
      </c>
      <c r="D528" s="8" t="inlineStr">
        <is>
          <t>capteur contamination</t>
        </is>
      </c>
      <c r="E528" s="8" t="inlineStr">
        <is>
          <t>Protection NBC</t>
        </is>
      </c>
      <c r="F528" s="8" t="inlineStr">
        <is>
          <t>Protection NBC</t>
        </is>
      </c>
      <c r="G528" s="8" t="inlineStr">
        <is>
          <t>EQUIPEMENT_VEHICULE</t>
        </is>
      </c>
      <c r="H528" s="8" t="n">
        <v>1</v>
      </c>
      <c r="I528" s="8">
        <f>H528*$D$3</f>
        <v/>
      </c>
      <c r="J528" s="8" t="inlineStr">
        <is>
          <t>unité</t>
        </is>
      </c>
      <c r="K528" s="8" t="n">
        <v>0</v>
      </c>
      <c r="L528" s="8">
        <f>K528-I528</f>
        <v/>
      </c>
      <c r="M528" s="8">
        <f>IF(K528&lt;I528,"✕ INSUFFISANT",IF(K528&lt;I528*1.2,"⚠ STOCK FAIBLE","✓ COUVERT"))</f>
        <v/>
      </c>
      <c r="N528" s="8" t="inlineStr">
        <is>
          <t>VAL</t>
        </is>
      </c>
      <c r="O528" s="8" t="inlineStr">
        <is>
          <t>STANDARD</t>
        </is>
      </c>
      <c r="P528" s="8" t="inlineStr">
        <is>
          <t>31/08/2026 02:59</t>
        </is>
      </c>
    </row>
    <row r="529">
      <c r="A529" s="7" t="inlineStr">
        <is>
          <t>WHAP 8x8</t>
        </is>
      </c>
      <c r="B529" s="7" t="inlineStr">
        <is>
          <t>WHAP-0525</t>
        </is>
      </c>
      <c r="C529" s="7" t="inlineStr">
        <is>
          <t>NBC-0525</t>
        </is>
      </c>
      <c r="D529" s="7" t="inlineStr">
        <is>
          <t>capteur pression cabine</t>
        </is>
      </c>
      <c r="E529" s="7" t="inlineStr">
        <is>
          <t>Protection NBC</t>
        </is>
      </c>
      <c r="F529" s="7" t="inlineStr">
        <is>
          <t>Protection NBC</t>
        </is>
      </c>
      <c r="G529" s="7" t="inlineStr">
        <is>
          <t>EQUIPEMENT_VEHICULE</t>
        </is>
      </c>
      <c r="H529" s="7" t="n">
        <v>1</v>
      </c>
      <c r="I529" s="7">
        <f>H529*$D$3</f>
        <v/>
      </c>
      <c r="J529" s="7" t="inlineStr">
        <is>
          <t>unité</t>
        </is>
      </c>
      <c r="K529" s="7" t="n">
        <v>0</v>
      </c>
      <c r="L529" s="7">
        <f>K529-I529</f>
        <v/>
      </c>
      <c r="M529" s="7">
        <f>IF(K529&lt;I529,"✕ INSUFFISANT",IF(K529&lt;I529*1.2,"⚠ STOCK FAIBLE","✓ COUVERT"))</f>
        <v/>
      </c>
      <c r="N529" s="7" t="inlineStr">
        <is>
          <t>DEL</t>
        </is>
      </c>
      <c r="O529" s="7" t="inlineStr">
        <is>
          <t>STANDARD</t>
        </is>
      </c>
      <c r="P529" s="7" t="inlineStr">
        <is>
          <t>31/08/2026 02:59</t>
        </is>
      </c>
    </row>
    <row r="530">
      <c r="A530" s="8" t="inlineStr">
        <is>
          <t>WHAP 8x8</t>
        </is>
      </c>
      <c r="B530" s="8" t="inlineStr">
        <is>
          <t>WHAP-0526</t>
        </is>
      </c>
      <c r="C530" s="8" t="inlineStr">
        <is>
          <t>NBC-0526</t>
        </is>
      </c>
      <c r="D530" s="8" t="inlineStr">
        <is>
          <t>vanne d'isolement</t>
        </is>
      </c>
      <c r="E530" s="8" t="inlineStr">
        <is>
          <t>Protection NBC</t>
        </is>
      </c>
      <c r="F530" s="8" t="inlineStr">
        <is>
          <t>Protection NBC</t>
        </is>
      </c>
      <c r="G530" s="8" t="inlineStr">
        <is>
          <t>EQUIPEMENT_VEHICULE</t>
        </is>
      </c>
      <c r="H530" s="8" t="n">
        <v>1</v>
      </c>
      <c r="I530" s="8">
        <f>H530*$D$3</f>
        <v/>
      </c>
      <c r="J530" s="8" t="inlineStr">
        <is>
          <t>unité</t>
        </is>
      </c>
      <c r="K530" s="8" t="n">
        <v>0</v>
      </c>
      <c r="L530" s="8">
        <f>K530-I530</f>
        <v/>
      </c>
      <c r="M530" s="8">
        <f>IF(K530&lt;I530,"✕ INSUFFISANT",IF(K530&lt;I530*1.2,"⚠ STOCK FAIBLE","✓ COUVERT"))</f>
        <v/>
      </c>
      <c r="N530" s="8" t="inlineStr">
        <is>
          <t>VAL</t>
        </is>
      </c>
      <c r="O530" s="8" t="inlineStr">
        <is>
          <t>STANDARD</t>
        </is>
      </c>
      <c r="P530" s="8" t="inlineStr">
        <is>
          <t>31/08/2026 02:59</t>
        </is>
      </c>
    </row>
    <row r="531">
      <c r="A531" s="7" t="inlineStr">
        <is>
          <t>WHAP 8x8</t>
        </is>
      </c>
      <c r="B531" s="7" t="inlineStr">
        <is>
          <t>WHAP-0527</t>
        </is>
      </c>
      <c r="C531" s="7" t="inlineStr">
        <is>
          <t>NBC-0527</t>
        </is>
      </c>
      <c r="D531" s="7" t="inlineStr">
        <is>
          <t>clapet anti-retour</t>
        </is>
      </c>
      <c r="E531" s="7" t="inlineStr">
        <is>
          <t>Protection NBC</t>
        </is>
      </c>
      <c r="F531" s="7" t="inlineStr">
        <is>
          <t>Protection NBC</t>
        </is>
      </c>
      <c r="G531" s="7" t="inlineStr">
        <is>
          <t>EQUIPEMENT_VEHICULE</t>
        </is>
      </c>
      <c r="H531" s="7" t="n">
        <v>1</v>
      </c>
      <c r="I531" s="7">
        <f>H531*$D$3</f>
        <v/>
      </c>
      <c r="J531" s="7" t="inlineStr">
        <is>
          <t>unité</t>
        </is>
      </c>
      <c r="K531" s="7" t="n">
        <v>0</v>
      </c>
      <c r="L531" s="7">
        <f>K531-I531</f>
        <v/>
      </c>
      <c r="M531" s="7">
        <f>IF(K531&lt;I531,"✕ INSUFFISANT",IF(K531&lt;I531*1.2,"⚠ STOCK FAIBLE","✓ COUVERT"))</f>
        <v/>
      </c>
      <c r="N531" s="7" t="inlineStr">
        <is>
          <t>FAU</t>
        </is>
      </c>
      <c r="O531" s="7" t="inlineStr">
        <is>
          <t>STANDARD</t>
        </is>
      </c>
      <c r="P531" s="7" t="inlineStr">
        <is>
          <t>31/08/2026 02:59</t>
        </is>
      </c>
    </row>
    <row r="532">
      <c r="A532" s="8" t="inlineStr">
        <is>
          <t>WHAP 8x8</t>
        </is>
      </c>
      <c r="B532" s="8" t="inlineStr">
        <is>
          <t>WHAP-0528</t>
        </is>
      </c>
      <c r="C532" s="8" t="inlineStr">
        <is>
          <t>NBC-0528</t>
        </is>
      </c>
      <c r="D532" s="8" t="inlineStr">
        <is>
          <t>conduit NBC</t>
        </is>
      </c>
      <c r="E532" s="8" t="inlineStr">
        <is>
          <t>Protection NBC</t>
        </is>
      </c>
      <c r="F532" s="8" t="inlineStr">
        <is>
          <t>Protection NBC</t>
        </is>
      </c>
      <c r="G532" s="8" t="inlineStr">
        <is>
          <t>EQUIPEMENT_VEHICULE</t>
        </is>
      </c>
      <c r="H532" s="8" t="n">
        <v>1</v>
      </c>
      <c r="I532" s="8">
        <f>H532*$D$3</f>
        <v/>
      </c>
      <c r="J532" s="8" t="inlineStr">
        <is>
          <t>unité</t>
        </is>
      </c>
      <c r="K532" s="8" t="n">
        <v>0</v>
      </c>
      <c r="L532" s="8">
        <f>K532-I532</f>
        <v/>
      </c>
      <c r="M532" s="8">
        <f>IF(K532&lt;I532,"✕ INSUFFISANT",IF(K532&lt;I532*1.2,"⚠ STOCK FAIBLE","✓ COUVERT"))</f>
        <v/>
      </c>
      <c r="N532" s="8" t="inlineStr">
        <is>
          <t>BOS</t>
        </is>
      </c>
      <c r="O532" s="8" t="inlineStr">
        <is>
          <t>STANDARD</t>
        </is>
      </c>
      <c r="P532" s="8" t="inlineStr">
        <is>
          <t>31/08/2026 02:59</t>
        </is>
      </c>
    </row>
    <row r="533">
      <c r="A533" s="7" t="inlineStr">
        <is>
          <t>WHAP 8x8</t>
        </is>
      </c>
      <c r="B533" s="7" t="inlineStr">
        <is>
          <t>WHAP-0529</t>
        </is>
      </c>
      <c r="C533" s="7" t="inlineStr">
        <is>
          <t>NBC-0529</t>
        </is>
      </c>
      <c r="D533" s="7" t="inlineStr">
        <is>
          <t>joint étanche</t>
        </is>
      </c>
      <c r="E533" s="7" t="inlineStr">
        <is>
          <t>Protection NBC</t>
        </is>
      </c>
      <c r="F533" s="7" t="inlineStr">
        <is>
          <t>Protection NBC</t>
        </is>
      </c>
      <c r="G533" s="7" t="inlineStr">
        <is>
          <t>EQUIPEMENT_VEHICULE</t>
        </is>
      </c>
      <c r="H533" s="7" t="n">
        <v>1</v>
      </c>
      <c r="I533" s="7">
        <f>H533*$D$3</f>
        <v/>
      </c>
      <c r="J533" s="7" t="inlineStr">
        <is>
          <t>unité</t>
        </is>
      </c>
      <c r="K533" s="7" t="n">
        <v>0</v>
      </c>
      <c r="L533" s="7">
        <f>K533-I533</f>
        <v/>
      </c>
      <c r="M533" s="7">
        <f>IF(K533&lt;I533,"✕ INSUFFISANT",IF(K533&lt;I533*1.2,"⚠ STOCK FAIBLE","✓ COUVERT"))</f>
        <v/>
      </c>
      <c r="N533" s="7" t="inlineStr">
        <is>
          <t>VAL</t>
        </is>
      </c>
      <c r="O533" s="7" t="inlineStr">
        <is>
          <t>STANDARD</t>
        </is>
      </c>
      <c r="P533" s="7" t="inlineStr">
        <is>
          <t>31/08/2026 02:59</t>
        </is>
      </c>
    </row>
    <row r="534">
      <c r="A534" s="8" t="inlineStr">
        <is>
          <t>WHAP 8x8</t>
        </is>
      </c>
      <c r="B534" s="8" t="inlineStr">
        <is>
          <t>WHAP-0530</t>
        </is>
      </c>
      <c r="C534" s="8" t="inlineStr">
        <is>
          <t>NBC-0530</t>
        </is>
      </c>
      <c r="D534" s="8" t="inlineStr">
        <is>
          <t>boîtier de commande NBC</t>
        </is>
      </c>
      <c r="E534" s="8" t="inlineStr">
        <is>
          <t>Protection NBC</t>
        </is>
      </c>
      <c r="F534" s="8" t="inlineStr">
        <is>
          <t>Protection NBC</t>
        </is>
      </c>
      <c r="G534" s="8" t="inlineStr">
        <is>
          <t>EQUIPEMENT_VEHICULE</t>
        </is>
      </c>
      <c r="H534" s="8" t="n">
        <v>1</v>
      </c>
      <c r="I534" s="8">
        <f>H534*$D$3</f>
        <v/>
      </c>
      <c r="J534" s="8" t="inlineStr">
        <is>
          <t>unité</t>
        </is>
      </c>
      <c r="K534" s="8" t="n">
        <v>0</v>
      </c>
      <c r="L534" s="8">
        <f>K534-I534</f>
        <v/>
      </c>
      <c r="M534" s="8">
        <f>IF(K534&lt;I534,"✕ INSUFFISANT",IF(K534&lt;I534*1.2,"⚠ STOCK FAIBLE","✓ COUVERT"))</f>
        <v/>
      </c>
      <c r="N534" s="8" t="inlineStr">
        <is>
          <t>CTL</t>
        </is>
      </c>
      <c r="O534" s="8" t="inlineStr">
        <is>
          <t>STANDARD</t>
        </is>
      </c>
      <c r="P534" s="8" t="inlineStr">
        <is>
          <t>31/08/2026 02:59</t>
        </is>
      </c>
    </row>
    <row r="535">
      <c r="A535" s="7" t="inlineStr">
        <is>
          <t>WHAP 8x8</t>
        </is>
      </c>
      <c r="B535" s="7" t="inlineStr">
        <is>
          <t>WHAP-0531</t>
        </is>
      </c>
      <c r="C535" s="7" t="inlineStr">
        <is>
          <t>NBC-0531</t>
        </is>
      </c>
      <c r="D535" s="7" t="inlineStr">
        <is>
          <t>indicateur de pression</t>
        </is>
      </c>
      <c r="E535" s="7" t="inlineStr">
        <is>
          <t>Protection NBC</t>
        </is>
      </c>
      <c r="F535" s="7" t="inlineStr">
        <is>
          <t>Protection NBC</t>
        </is>
      </c>
      <c r="G535" s="7" t="inlineStr">
        <is>
          <t>EQUIPEMENT_VEHICULE</t>
        </is>
      </c>
      <c r="H535" s="7" t="n">
        <v>1</v>
      </c>
      <c r="I535" s="7">
        <f>H535*$D$3</f>
        <v/>
      </c>
      <c r="J535" s="7" t="inlineStr">
        <is>
          <t>unité</t>
        </is>
      </c>
      <c r="K535" s="7" t="n">
        <v>0</v>
      </c>
      <c r="L535" s="7">
        <f>K535-I535</f>
        <v/>
      </c>
      <c r="M535" s="7">
        <f>IF(K535&lt;I535,"✕ INSUFFISANT",IF(K535&lt;I535*1.2,"⚠ STOCK FAIBLE","✓ COUVERT"))</f>
        <v/>
      </c>
      <c r="N535" s="7" t="inlineStr">
        <is>
          <t>MAG</t>
        </is>
      </c>
      <c r="O535" s="7" t="inlineStr">
        <is>
          <t>STANDARD</t>
        </is>
      </c>
      <c r="P535" s="7" t="inlineStr">
        <is>
          <t>31/08/2026 02:59</t>
        </is>
      </c>
    </row>
    <row r="536">
      <c r="A536" s="8" t="inlineStr">
        <is>
          <t>WHAP 8x8</t>
        </is>
      </c>
      <c r="B536" s="8" t="inlineStr">
        <is>
          <t>WHAP-0532</t>
        </is>
      </c>
      <c r="C536" s="8" t="inlineStr">
        <is>
          <t>NBC-0532</t>
        </is>
      </c>
      <c r="D536" s="8" t="inlineStr">
        <is>
          <t>manomètre cabine</t>
        </is>
      </c>
      <c r="E536" s="8" t="inlineStr">
        <is>
          <t>Protection NBC</t>
        </is>
      </c>
      <c r="F536" s="8" t="inlineStr">
        <is>
          <t>Protection NBC</t>
        </is>
      </c>
      <c r="G536" s="8" t="inlineStr">
        <is>
          <t>EQUIPEMENT_VEHICULE</t>
        </is>
      </c>
      <c r="H536" s="8" t="n">
        <v>1</v>
      </c>
      <c r="I536" s="8">
        <f>H536*$D$3</f>
        <v/>
      </c>
      <c r="J536" s="8" t="inlineStr">
        <is>
          <t>unité</t>
        </is>
      </c>
      <c r="K536" s="8" t="n">
        <v>0</v>
      </c>
      <c r="L536" s="8">
        <f>K536-I536</f>
        <v/>
      </c>
      <c r="M536" s="8">
        <f>IF(K536&lt;I536,"✕ INSUFFISANT",IF(K536&lt;I536*1.2,"⚠ STOCK FAIBLE","✓ COUVERT"))</f>
        <v/>
      </c>
      <c r="N536" s="8" t="inlineStr">
        <is>
          <t>YZK</t>
        </is>
      </c>
      <c r="O536" s="8" t="inlineStr">
        <is>
          <t>STANDARD</t>
        </is>
      </c>
      <c r="P536" s="8" t="inlineStr">
        <is>
          <t>31/08/2026 02:59</t>
        </is>
      </c>
    </row>
    <row r="537">
      <c r="A537" s="7" t="inlineStr">
        <is>
          <t>WHAP 8x8</t>
        </is>
      </c>
      <c r="B537" s="7" t="inlineStr">
        <is>
          <t>WHAP-0533</t>
        </is>
      </c>
      <c r="C537" s="7" t="inlineStr">
        <is>
          <t>NBC-0533</t>
        </is>
      </c>
      <c r="D537" s="7" t="inlineStr">
        <is>
          <t>filtre primaire</t>
        </is>
      </c>
      <c r="E537" s="7" t="inlineStr">
        <is>
          <t>Protection NBC</t>
        </is>
      </c>
      <c r="F537" s="7" t="inlineStr">
        <is>
          <t>Protection NBC</t>
        </is>
      </c>
      <c r="G537" s="7" t="inlineStr">
        <is>
          <t>EQUIPEMENT_VEHICULE</t>
        </is>
      </c>
      <c r="H537" s="7" t="n">
        <v>1</v>
      </c>
      <c r="I537" s="7">
        <f>H537*$D$3</f>
        <v/>
      </c>
      <c r="J537" s="7" t="inlineStr">
        <is>
          <t>unité</t>
        </is>
      </c>
      <c r="K537" s="7" t="n">
        <v>0</v>
      </c>
      <c r="L537" s="7">
        <f>K537-I537</f>
        <v/>
      </c>
      <c r="M537" s="7">
        <f>IF(K537&lt;I537,"✕ INSUFFISANT",IF(K537&lt;I537*1.2,"⚠ STOCK FAIBLE","✓ COUVERT"))</f>
        <v/>
      </c>
      <c r="N537" s="7" t="inlineStr">
        <is>
          <t>BOS</t>
        </is>
      </c>
      <c r="O537" s="7" t="inlineStr">
        <is>
          <t>STANDARD</t>
        </is>
      </c>
      <c r="P537" s="7" t="inlineStr">
        <is>
          <t>31/08/2026 02:59</t>
        </is>
      </c>
    </row>
    <row r="538">
      <c r="A538" s="8" t="inlineStr">
        <is>
          <t>WHAP 8x8</t>
        </is>
      </c>
      <c r="B538" s="8" t="inlineStr">
        <is>
          <t>WHAP-0534</t>
        </is>
      </c>
      <c r="C538" s="8" t="inlineStr">
        <is>
          <t>NBC-0534</t>
        </is>
      </c>
      <c r="D538" s="8" t="inlineStr">
        <is>
          <t>filtre secondaire</t>
        </is>
      </c>
      <c r="E538" s="8" t="inlineStr">
        <is>
          <t>Protection NBC</t>
        </is>
      </c>
      <c r="F538" s="8" t="inlineStr">
        <is>
          <t>Protection NBC</t>
        </is>
      </c>
      <c r="G538" s="8" t="inlineStr">
        <is>
          <t>EQUIPEMENT_VEHICULE</t>
        </is>
      </c>
      <c r="H538" s="8" t="n">
        <v>1</v>
      </c>
      <c r="I538" s="8">
        <f>H538*$D$3</f>
        <v/>
      </c>
      <c r="J538" s="8" t="inlineStr">
        <is>
          <t>unité</t>
        </is>
      </c>
      <c r="K538" s="8" t="n">
        <v>0</v>
      </c>
      <c r="L538" s="8">
        <f>K538-I538</f>
        <v/>
      </c>
      <c r="M538" s="8">
        <f>IF(K538&lt;I538,"✕ INSUFFISANT",IF(K538&lt;I538*1.2,"⚠ STOCK FAIBLE","✓ COUVERT"))</f>
        <v/>
      </c>
      <c r="N538" s="8" t="inlineStr">
        <is>
          <t>CTL</t>
        </is>
      </c>
      <c r="O538" s="8" t="inlineStr">
        <is>
          <t>STANDARD</t>
        </is>
      </c>
      <c r="P538" s="8" t="inlineStr">
        <is>
          <t>31/08/2026 02:59</t>
        </is>
      </c>
    </row>
    <row r="539">
      <c r="A539" s="7" t="inlineStr">
        <is>
          <t>WHAP 8x8</t>
        </is>
      </c>
      <c r="B539" s="7" t="inlineStr">
        <is>
          <t>WHAP-0535</t>
        </is>
      </c>
      <c r="C539" s="7" t="inlineStr">
        <is>
          <t>INC-0535</t>
        </is>
      </c>
      <c r="D539" s="7" t="inlineStr">
        <is>
          <t>unité de détection incendie</t>
        </is>
      </c>
      <c r="E539" s="7" t="inlineStr">
        <is>
          <t>Incendie</t>
        </is>
      </c>
      <c r="F539" s="7" t="inlineStr">
        <is>
          <t>Incendie</t>
        </is>
      </c>
      <c r="G539" s="7" t="inlineStr">
        <is>
          <t>EQUIPEMENT_VEHICULE</t>
        </is>
      </c>
      <c r="H539" s="7" t="n">
        <v>1</v>
      </c>
      <c r="I539" s="7">
        <f>H539*$D$3</f>
        <v/>
      </c>
      <c r="J539" s="7" t="inlineStr">
        <is>
          <t>unité</t>
        </is>
      </c>
      <c r="K539" s="7" t="n">
        <v>12</v>
      </c>
      <c r="L539" s="7">
        <f>K539-I539</f>
        <v/>
      </c>
      <c r="M539" s="7">
        <f>IF(K539&lt;I539,"✕ INSUFFISANT",IF(K539&lt;I539*1.2,"⚠ STOCK FAIBLE","✓ COUVERT"))</f>
        <v/>
      </c>
      <c r="N539" s="7" t="inlineStr">
        <is>
          <t>CTL</t>
        </is>
      </c>
      <c r="O539" s="7" t="inlineStr">
        <is>
          <t>STANDARD</t>
        </is>
      </c>
      <c r="P539" s="7" t="inlineStr">
        <is>
          <t>31/08/2026 02:59</t>
        </is>
      </c>
    </row>
    <row r="540">
      <c r="A540" s="8" t="inlineStr">
        <is>
          <t>WHAP 8x8</t>
        </is>
      </c>
      <c r="B540" s="8" t="inlineStr">
        <is>
          <t>WHAP-0536</t>
        </is>
      </c>
      <c r="C540" s="8" t="inlineStr">
        <is>
          <t>INC-0536</t>
        </is>
      </c>
      <c r="D540" s="8" t="inlineStr">
        <is>
          <t>capteur flamme</t>
        </is>
      </c>
      <c r="E540" s="8" t="inlineStr">
        <is>
          <t>Incendie</t>
        </is>
      </c>
      <c r="F540" s="8" t="inlineStr">
        <is>
          <t>Incendie</t>
        </is>
      </c>
      <c r="G540" s="8" t="inlineStr">
        <is>
          <t>EQUIPEMENT_VEHICULE</t>
        </is>
      </c>
      <c r="H540" s="8" t="n">
        <v>1</v>
      </c>
      <c r="I540" s="8">
        <f>H540*$D$3</f>
        <v/>
      </c>
      <c r="J540" s="8" t="inlineStr">
        <is>
          <t>unité</t>
        </is>
      </c>
      <c r="K540" s="8" t="n">
        <v>0</v>
      </c>
      <c r="L540" s="8">
        <f>K540-I540</f>
        <v/>
      </c>
      <c r="M540" s="8">
        <f>IF(K540&lt;I540,"✕ INSUFFISANT",IF(K540&lt;I540*1.2,"⚠ STOCK FAIBLE","✓ COUVERT"))</f>
        <v/>
      </c>
      <c r="N540" s="8" t="inlineStr">
        <is>
          <t>MAG</t>
        </is>
      </c>
      <c r="O540" s="8" t="inlineStr">
        <is>
          <t>STANDARD</t>
        </is>
      </c>
      <c r="P540" s="8" t="inlineStr">
        <is>
          <t>31/08/2026 02:59</t>
        </is>
      </c>
    </row>
    <row r="541">
      <c r="A541" s="7" t="inlineStr">
        <is>
          <t>WHAP 8x8</t>
        </is>
      </c>
      <c r="B541" s="7" t="inlineStr">
        <is>
          <t>WHAP-0537</t>
        </is>
      </c>
      <c r="C541" s="7" t="inlineStr">
        <is>
          <t>INC-0537</t>
        </is>
      </c>
      <c r="D541" s="7" t="inlineStr">
        <is>
          <t>capteur température incendie</t>
        </is>
      </c>
      <c r="E541" s="7" t="inlineStr">
        <is>
          <t>Incendie</t>
        </is>
      </c>
      <c r="F541" s="7" t="inlineStr">
        <is>
          <t>Incendie</t>
        </is>
      </c>
      <c r="G541" s="7" t="inlineStr">
        <is>
          <t>EQUIPEMENT_VEHICULE</t>
        </is>
      </c>
      <c r="H541" s="7" t="n">
        <v>1</v>
      </c>
      <c r="I541" s="7">
        <f>H541*$D$3</f>
        <v/>
      </c>
      <c r="J541" s="7" t="inlineStr">
        <is>
          <t>unité</t>
        </is>
      </c>
      <c r="K541" s="7" t="n">
        <v>0</v>
      </c>
      <c r="L541" s="7">
        <f>K541-I541</f>
        <v/>
      </c>
      <c r="M541" s="7">
        <f>IF(K541&lt;I541,"✕ INSUFFISANT",IF(K541&lt;I541*1.2,"⚠ STOCK FAIBLE","✓ COUVERT"))</f>
        <v/>
      </c>
      <c r="N541" s="7" t="inlineStr">
        <is>
          <t>SKF</t>
        </is>
      </c>
      <c r="O541" s="7" t="inlineStr">
        <is>
          <t>STANDARD</t>
        </is>
      </c>
      <c r="P541" s="7" t="inlineStr">
        <is>
          <t>31/08/2026 02:59</t>
        </is>
      </c>
    </row>
    <row r="542">
      <c r="A542" s="8" t="inlineStr">
        <is>
          <t>WHAP 8x8</t>
        </is>
      </c>
      <c r="B542" s="8" t="inlineStr">
        <is>
          <t>WHAP-0538</t>
        </is>
      </c>
      <c r="C542" s="8" t="inlineStr">
        <is>
          <t>INC-0538</t>
        </is>
      </c>
      <c r="D542" s="8" t="inlineStr">
        <is>
          <t>capteur fumée</t>
        </is>
      </c>
      <c r="E542" s="8" t="inlineStr">
        <is>
          <t>Incendie</t>
        </is>
      </c>
      <c r="F542" s="8" t="inlineStr">
        <is>
          <t>Incendie</t>
        </is>
      </c>
      <c r="G542" s="8" t="inlineStr">
        <is>
          <t>EQUIPEMENT_VEHICULE</t>
        </is>
      </c>
      <c r="H542" s="8" t="n">
        <v>1</v>
      </c>
      <c r="I542" s="8">
        <f>H542*$D$3</f>
        <v/>
      </c>
      <c r="J542" s="8" t="inlineStr">
        <is>
          <t>unité</t>
        </is>
      </c>
      <c r="K542" s="8" t="n">
        <v>0</v>
      </c>
      <c r="L542" s="8">
        <f>K542-I542</f>
        <v/>
      </c>
      <c r="M542" s="8">
        <f>IF(K542&lt;I542,"✕ INSUFFISANT",IF(K542&lt;I542*1.2,"⚠ STOCK FAIBLE","✓ COUVERT"))</f>
        <v/>
      </c>
      <c r="N542" s="8" t="inlineStr">
        <is>
          <t>DEL</t>
        </is>
      </c>
      <c r="O542" s="8" t="inlineStr">
        <is>
          <t>STANDARD</t>
        </is>
      </c>
      <c r="P542" s="8" t="inlineStr">
        <is>
          <t>31/08/2026 02:59</t>
        </is>
      </c>
    </row>
    <row r="543">
      <c r="A543" s="7" t="inlineStr">
        <is>
          <t>WHAP 8x8</t>
        </is>
      </c>
      <c r="B543" s="7" t="inlineStr">
        <is>
          <t>WHAP-0539</t>
        </is>
      </c>
      <c r="C543" s="7" t="inlineStr">
        <is>
          <t>INC-0539</t>
        </is>
      </c>
      <c r="D543" s="7" t="inlineStr">
        <is>
          <t>bouteille extinctrice</t>
        </is>
      </c>
      <c r="E543" s="7" t="inlineStr">
        <is>
          <t>Incendie</t>
        </is>
      </c>
      <c r="F543" s="7" t="inlineStr">
        <is>
          <t>Incendie</t>
        </is>
      </c>
      <c r="G543" s="7" t="inlineStr">
        <is>
          <t>EQUIPEMENT_VEHICULE</t>
        </is>
      </c>
      <c r="H543" s="7" t="n">
        <v>1</v>
      </c>
      <c r="I543" s="7">
        <f>H543*$D$3</f>
        <v/>
      </c>
      <c r="J543" s="7" t="inlineStr">
        <is>
          <t>unité</t>
        </is>
      </c>
      <c r="K543" s="7" t="n">
        <v>0</v>
      </c>
      <c r="L543" s="7">
        <f>K543-I543</f>
        <v/>
      </c>
      <c r="M543" s="7">
        <f>IF(K543&lt;I543,"✕ INSUFFISANT",IF(K543&lt;I543*1.2,"⚠ STOCK FAIBLE","✓ COUVERT"))</f>
        <v/>
      </c>
      <c r="N543" s="7" t="inlineStr">
        <is>
          <t>MAG</t>
        </is>
      </c>
      <c r="O543" s="7" t="inlineStr">
        <is>
          <t>STANDARD</t>
        </is>
      </c>
      <c r="P543" s="7" t="inlineStr">
        <is>
          <t>31/08/2026 02:59</t>
        </is>
      </c>
    </row>
    <row r="544">
      <c r="A544" s="8" t="inlineStr">
        <is>
          <t>WHAP 8x8</t>
        </is>
      </c>
      <c r="B544" s="8" t="inlineStr">
        <is>
          <t>WHAP-0540</t>
        </is>
      </c>
      <c r="C544" s="8" t="inlineStr">
        <is>
          <t>INC-0540</t>
        </is>
      </c>
      <c r="D544" s="8" t="inlineStr">
        <is>
          <t>agent extincteur</t>
        </is>
      </c>
      <c r="E544" s="8" t="inlineStr">
        <is>
          <t>Incendie</t>
        </is>
      </c>
      <c r="F544" s="8" t="inlineStr">
        <is>
          <t>Incendie</t>
        </is>
      </c>
      <c r="G544" s="8" t="inlineStr">
        <is>
          <t>EQUIPEMENT_VEHICULE</t>
        </is>
      </c>
      <c r="H544" s="8" t="n">
        <v>1</v>
      </c>
      <c r="I544" s="8">
        <f>H544*$D$3</f>
        <v/>
      </c>
      <c r="J544" s="8" t="inlineStr">
        <is>
          <t>unité</t>
        </is>
      </c>
      <c r="K544" s="8" t="n">
        <v>0</v>
      </c>
      <c r="L544" s="8">
        <f>K544-I544</f>
        <v/>
      </c>
      <c r="M544" s="8">
        <f>IF(K544&lt;I544,"✕ INSUFFISANT",IF(K544&lt;I544*1.2,"⚠ STOCK FAIBLE","✓ COUVERT"))</f>
        <v/>
      </c>
      <c r="N544" s="8" t="inlineStr">
        <is>
          <t>FAU</t>
        </is>
      </c>
      <c r="O544" s="8" t="inlineStr">
        <is>
          <t>STANDARD</t>
        </is>
      </c>
      <c r="P544" s="8" t="inlineStr">
        <is>
          <t>31/08/2026 02:59</t>
        </is>
      </c>
    </row>
    <row r="545">
      <c r="A545" s="7" t="inlineStr">
        <is>
          <t>WHAP 8x8</t>
        </is>
      </c>
      <c r="B545" s="7" t="inlineStr">
        <is>
          <t>WHAP-0541</t>
        </is>
      </c>
      <c r="C545" s="7" t="inlineStr">
        <is>
          <t>INC-0541</t>
        </is>
      </c>
      <c r="D545" s="7" t="inlineStr">
        <is>
          <t>tuyau d'extinction</t>
        </is>
      </c>
      <c r="E545" s="7" t="inlineStr">
        <is>
          <t>Incendie</t>
        </is>
      </c>
      <c r="F545" s="7" t="inlineStr">
        <is>
          <t>Incendie</t>
        </is>
      </c>
      <c r="G545" s="7" t="inlineStr">
        <is>
          <t>EQUIPEMENT_VEHICULE</t>
        </is>
      </c>
      <c r="H545" s="7" t="n">
        <v>1</v>
      </c>
      <c r="I545" s="7">
        <f>H545*$D$3</f>
        <v/>
      </c>
      <c r="J545" s="7" t="inlineStr">
        <is>
          <t>unité</t>
        </is>
      </c>
      <c r="K545" s="7" t="n">
        <v>0</v>
      </c>
      <c r="L545" s="7">
        <f>K545-I545</f>
        <v/>
      </c>
      <c r="M545" s="7">
        <f>IF(K545&lt;I545,"✕ INSUFFISANT",IF(K545&lt;I545*1.2,"⚠ STOCK FAIBLE","✓ COUVERT"))</f>
        <v/>
      </c>
      <c r="N545" s="7" t="inlineStr">
        <is>
          <t>YZK</t>
        </is>
      </c>
      <c r="O545" s="7" t="inlineStr">
        <is>
          <t>STANDARD</t>
        </is>
      </c>
      <c r="P545" s="7" t="inlineStr">
        <is>
          <t>31/08/2026 02:59</t>
        </is>
      </c>
    </row>
    <row r="546">
      <c r="A546" s="8" t="inlineStr">
        <is>
          <t>WHAP 8x8</t>
        </is>
      </c>
      <c r="B546" s="8" t="inlineStr">
        <is>
          <t>WHAP-0542</t>
        </is>
      </c>
      <c r="C546" s="8" t="inlineStr">
        <is>
          <t>INC-0542</t>
        </is>
      </c>
      <c r="D546" s="8" t="inlineStr">
        <is>
          <t>buse d'extinction</t>
        </is>
      </c>
      <c r="E546" s="8" t="inlineStr">
        <is>
          <t>Incendie</t>
        </is>
      </c>
      <c r="F546" s="8" t="inlineStr">
        <is>
          <t>Incendie</t>
        </is>
      </c>
      <c r="G546" s="8" t="inlineStr">
        <is>
          <t>EQUIPEMENT_VEHICULE</t>
        </is>
      </c>
      <c r="H546" s="8" t="n">
        <v>1</v>
      </c>
      <c r="I546" s="8">
        <f>H546*$D$3</f>
        <v/>
      </c>
      <c r="J546" s="8" t="inlineStr">
        <is>
          <t>unité</t>
        </is>
      </c>
      <c r="K546" s="8" t="n">
        <v>0</v>
      </c>
      <c r="L546" s="8">
        <f>K546-I546</f>
        <v/>
      </c>
      <c r="M546" s="8">
        <f>IF(K546&lt;I546,"✕ INSUFFISANT",IF(K546&lt;I546*1.2,"⚠ STOCK FAIBLE","✓ COUVERT"))</f>
        <v/>
      </c>
      <c r="N546" s="8" t="inlineStr">
        <is>
          <t>SKF</t>
        </is>
      </c>
      <c r="O546" s="8" t="inlineStr">
        <is>
          <t>STANDARD</t>
        </is>
      </c>
      <c r="P546" s="8" t="inlineStr">
        <is>
          <t>31/08/2026 02:59</t>
        </is>
      </c>
    </row>
    <row r="547">
      <c r="A547" s="7" t="inlineStr">
        <is>
          <t>WHAP 8x8</t>
        </is>
      </c>
      <c r="B547" s="7" t="inlineStr">
        <is>
          <t>WHAP-0543</t>
        </is>
      </c>
      <c r="C547" s="7" t="inlineStr">
        <is>
          <t>INC-0543</t>
        </is>
      </c>
      <c r="D547" s="7" t="inlineStr">
        <is>
          <t>vanne d'extinction</t>
        </is>
      </c>
      <c r="E547" s="7" t="inlineStr">
        <is>
          <t>Incendie</t>
        </is>
      </c>
      <c r="F547" s="7" t="inlineStr">
        <is>
          <t>Incendie</t>
        </is>
      </c>
      <c r="G547" s="7" t="inlineStr">
        <is>
          <t>EQUIPEMENT_VEHICULE</t>
        </is>
      </c>
      <c r="H547" s="7" t="n">
        <v>1</v>
      </c>
      <c r="I547" s="7">
        <f>H547*$D$3</f>
        <v/>
      </c>
      <c r="J547" s="7" t="inlineStr">
        <is>
          <t>unité</t>
        </is>
      </c>
      <c r="K547" s="7" t="n">
        <v>0</v>
      </c>
      <c r="L547" s="7">
        <f>K547-I547</f>
        <v/>
      </c>
      <c r="M547" s="7">
        <f>IF(K547&lt;I547,"✕ INSUFFISANT",IF(K547&lt;I547*1.2,"⚠ STOCK FAIBLE","✓ COUVERT"))</f>
        <v/>
      </c>
      <c r="N547" s="7" t="inlineStr">
        <is>
          <t>YZK</t>
        </is>
      </c>
      <c r="O547" s="7" t="inlineStr">
        <is>
          <t>STANDARD</t>
        </is>
      </c>
      <c r="P547" s="7" t="inlineStr">
        <is>
          <t>31/08/2026 02:59</t>
        </is>
      </c>
    </row>
    <row r="548">
      <c r="A548" s="8" t="inlineStr">
        <is>
          <t>WHAP 8x8</t>
        </is>
      </c>
      <c r="B548" s="8" t="inlineStr">
        <is>
          <t>WHAP-0544</t>
        </is>
      </c>
      <c r="C548" s="8" t="inlineStr">
        <is>
          <t>INC-0544</t>
        </is>
      </c>
      <c r="D548" s="8" t="inlineStr">
        <is>
          <t>électrovanne incendie</t>
        </is>
      </c>
      <c r="E548" s="8" t="inlineStr">
        <is>
          <t>Incendie</t>
        </is>
      </c>
      <c r="F548" s="8" t="inlineStr">
        <is>
          <t>Incendie</t>
        </is>
      </c>
      <c r="G548" s="8" t="inlineStr">
        <is>
          <t>EQUIPEMENT_VEHICULE</t>
        </is>
      </c>
      <c r="H548" s="8" t="n">
        <v>1</v>
      </c>
      <c r="I548" s="8">
        <f>H548*$D$3</f>
        <v/>
      </c>
      <c r="J548" s="8" t="inlineStr">
        <is>
          <t>unité</t>
        </is>
      </c>
      <c r="K548" s="8" t="n">
        <v>0</v>
      </c>
      <c r="L548" s="8">
        <f>K548-I548</f>
        <v/>
      </c>
      <c r="M548" s="8">
        <f>IF(K548&lt;I548,"✕ INSUFFISANT",IF(K548&lt;I548*1.2,"⚠ STOCK FAIBLE","✓ COUVERT"))</f>
        <v/>
      </c>
      <c r="N548" s="8" t="inlineStr">
        <is>
          <t>YZK</t>
        </is>
      </c>
      <c r="O548" s="8" t="inlineStr">
        <is>
          <t>STANDARD</t>
        </is>
      </c>
      <c r="P548" s="8" t="inlineStr">
        <is>
          <t>31/08/2026 02:59</t>
        </is>
      </c>
    </row>
    <row r="549">
      <c r="A549" s="7" t="inlineStr">
        <is>
          <t>WHAP 8x8</t>
        </is>
      </c>
      <c r="B549" s="7" t="inlineStr">
        <is>
          <t>WHAP-0545</t>
        </is>
      </c>
      <c r="C549" s="7" t="inlineStr">
        <is>
          <t>INC-0545</t>
        </is>
      </c>
      <c r="D549" s="7" t="inlineStr">
        <is>
          <t>boîtier de commande incendie</t>
        </is>
      </c>
      <c r="E549" s="7" t="inlineStr">
        <is>
          <t>Incendie</t>
        </is>
      </c>
      <c r="F549" s="7" t="inlineStr">
        <is>
          <t>Incendie</t>
        </is>
      </c>
      <c r="G549" s="7" t="inlineStr">
        <is>
          <t>EQUIPEMENT_VEHICULE</t>
        </is>
      </c>
      <c r="H549" s="7" t="n">
        <v>1</v>
      </c>
      <c r="I549" s="7">
        <f>H549*$D$3</f>
        <v/>
      </c>
      <c r="J549" s="7" t="inlineStr">
        <is>
          <t>unité</t>
        </is>
      </c>
      <c r="K549" s="7" t="n">
        <v>0</v>
      </c>
      <c r="L549" s="7">
        <f>K549-I549</f>
        <v/>
      </c>
      <c r="M549" s="7">
        <f>IF(K549&lt;I549,"✕ INSUFFISANT",IF(K549&lt;I549*1.2,"⚠ STOCK FAIBLE","✓ COUVERT"))</f>
        <v/>
      </c>
      <c r="N549" s="7" t="inlineStr">
        <is>
          <t>BOS</t>
        </is>
      </c>
      <c r="O549" s="7" t="inlineStr">
        <is>
          <t>STANDARD</t>
        </is>
      </c>
      <c r="P549" s="7" t="inlineStr">
        <is>
          <t>31/08/2026 02:59</t>
        </is>
      </c>
    </row>
    <row r="550">
      <c r="A550" s="8" t="inlineStr">
        <is>
          <t>WHAP 8x8</t>
        </is>
      </c>
      <c r="B550" s="8" t="inlineStr">
        <is>
          <t>WHAP-0546</t>
        </is>
      </c>
      <c r="C550" s="8" t="inlineStr">
        <is>
          <t>INC-0546</t>
        </is>
      </c>
      <c r="D550" s="8" t="inlineStr">
        <is>
          <t>bouton déclenchement manuel</t>
        </is>
      </c>
      <c r="E550" s="8" t="inlineStr">
        <is>
          <t>Incendie</t>
        </is>
      </c>
      <c r="F550" s="8" t="inlineStr">
        <is>
          <t>Incendie</t>
        </is>
      </c>
      <c r="G550" s="8" t="inlineStr">
        <is>
          <t>EQUIPEMENT_VEHICULE</t>
        </is>
      </c>
      <c r="H550" s="8" t="n">
        <v>1</v>
      </c>
      <c r="I550" s="8">
        <f>H550*$D$3</f>
        <v/>
      </c>
      <c r="J550" s="8" t="inlineStr">
        <is>
          <t>unité</t>
        </is>
      </c>
      <c r="K550" s="8" t="n">
        <v>0</v>
      </c>
      <c r="L550" s="8">
        <f>K550-I550</f>
        <v/>
      </c>
      <c r="M550" s="8">
        <f>IF(K550&lt;I550,"✕ INSUFFISANT",IF(K550&lt;I550*1.2,"⚠ STOCK FAIBLE","✓ COUVERT"))</f>
        <v/>
      </c>
      <c r="N550" s="8" t="inlineStr">
        <is>
          <t>VAL</t>
        </is>
      </c>
      <c r="O550" s="8" t="inlineStr">
        <is>
          <t>STANDARD</t>
        </is>
      </c>
      <c r="P550" s="8" t="inlineStr">
        <is>
          <t>31/08/2026 02:59</t>
        </is>
      </c>
    </row>
    <row r="551">
      <c r="A551" s="7" t="inlineStr">
        <is>
          <t>WHAP 8x8</t>
        </is>
      </c>
      <c r="B551" s="7" t="inlineStr">
        <is>
          <t>WHAP-0547</t>
        </is>
      </c>
      <c r="C551" s="7" t="inlineStr">
        <is>
          <t>INC-0547</t>
        </is>
      </c>
      <c r="D551" s="7" t="inlineStr">
        <is>
          <t>alarme incendie</t>
        </is>
      </c>
      <c r="E551" s="7" t="inlineStr">
        <is>
          <t>Incendie</t>
        </is>
      </c>
      <c r="F551" s="7" t="inlineStr">
        <is>
          <t>Incendie</t>
        </is>
      </c>
      <c r="G551" s="7" t="inlineStr">
        <is>
          <t>EQUIPEMENT_VEHICULE</t>
        </is>
      </c>
      <c r="H551" s="7" t="n">
        <v>1</v>
      </c>
      <c r="I551" s="7">
        <f>H551*$D$3</f>
        <v/>
      </c>
      <c r="J551" s="7" t="inlineStr">
        <is>
          <t>unité</t>
        </is>
      </c>
      <c r="K551" s="7" t="n">
        <v>0</v>
      </c>
      <c r="L551" s="7">
        <f>K551-I551</f>
        <v/>
      </c>
      <c r="M551" s="7">
        <f>IF(K551&lt;I551,"✕ INSUFFISANT",IF(K551&lt;I551*1.2,"⚠ STOCK FAIBLE","✓ COUVERT"))</f>
        <v/>
      </c>
      <c r="N551" s="7" t="inlineStr">
        <is>
          <t>VAL</t>
        </is>
      </c>
      <c r="O551" s="7" t="inlineStr">
        <is>
          <t>STANDARD</t>
        </is>
      </c>
      <c r="P551" s="7" t="inlineStr">
        <is>
          <t>31/08/2026 02:59</t>
        </is>
      </c>
    </row>
    <row r="552">
      <c r="A552" s="8" t="inlineStr">
        <is>
          <t>WHAP 8x8</t>
        </is>
      </c>
      <c r="B552" s="8" t="inlineStr">
        <is>
          <t>WHAP-0548</t>
        </is>
      </c>
      <c r="C552" s="8" t="inlineStr">
        <is>
          <t>INC-0548</t>
        </is>
      </c>
      <c r="D552" s="8" t="inlineStr">
        <is>
          <t>faisceau incendie</t>
        </is>
      </c>
      <c r="E552" s="8" t="inlineStr">
        <is>
          <t>Incendie</t>
        </is>
      </c>
      <c r="F552" s="8" t="inlineStr">
        <is>
          <t>Incendie</t>
        </is>
      </c>
      <c r="G552" s="8" t="inlineStr">
        <is>
          <t>EQUIPEMENT_VEHICULE</t>
        </is>
      </c>
      <c r="H552" s="8" t="n">
        <v>1</v>
      </c>
      <c r="I552" s="8">
        <f>H552*$D$3</f>
        <v/>
      </c>
      <c r="J552" s="8" t="inlineStr">
        <is>
          <t>unité</t>
        </is>
      </c>
      <c r="K552" s="8" t="n">
        <v>0</v>
      </c>
      <c r="L552" s="8">
        <f>K552-I552</f>
        <v/>
      </c>
      <c r="M552" s="8">
        <f>IF(K552&lt;I552,"✕ INSUFFISANT",IF(K552&lt;I552*1.2,"⚠ STOCK FAIBLE","✓ COUVERT"))</f>
        <v/>
      </c>
      <c r="N552" s="8" t="inlineStr">
        <is>
          <t>BOS</t>
        </is>
      </c>
      <c r="O552" s="8" t="inlineStr">
        <is>
          <t>STANDARD</t>
        </is>
      </c>
      <c r="P552" s="8" t="inlineStr">
        <is>
          <t>31/08/2026 02:59</t>
        </is>
      </c>
    </row>
    <row r="553">
      <c r="A553" s="7" t="inlineStr">
        <is>
          <t>WHAP 8x8</t>
        </is>
      </c>
      <c r="B553" s="7" t="inlineStr">
        <is>
          <t>WHAP-0549</t>
        </is>
      </c>
      <c r="C553" s="7" t="inlineStr">
        <is>
          <t>INC-0549</t>
        </is>
      </c>
      <c r="D553" s="7" t="inlineStr">
        <is>
          <t>support bouteille</t>
        </is>
      </c>
      <c r="E553" s="7" t="inlineStr">
        <is>
          <t>Incendie</t>
        </is>
      </c>
      <c r="F553" s="7" t="inlineStr">
        <is>
          <t>Incendie</t>
        </is>
      </c>
      <c r="G553" s="7" t="inlineStr">
        <is>
          <t>EQUIPEMENT_VEHICULE</t>
        </is>
      </c>
      <c r="H553" s="7" t="n">
        <v>1</v>
      </c>
      <c r="I553" s="7">
        <f>H553*$D$3</f>
        <v/>
      </c>
      <c r="J553" s="7" t="inlineStr">
        <is>
          <t>unité</t>
        </is>
      </c>
      <c r="K553" s="7" t="n">
        <v>0</v>
      </c>
      <c r="L553" s="7">
        <f>K553-I553</f>
        <v/>
      </c>
      <c r="M553" s="7">
        <f>IF(K553&lt;I553,"✕ INSUFFISANT",IF(K553&lt;I553*1.2,"⚠ STOCK FAIBLE","✓ COUVERT"))</f>
        <v/>
      </c>
      <c r="N553" s="7" t="inlineStr">
        <is>
          <t>VAL</t>
        </is>
      </c>
      <c r="O553" s="7" t="inlineStr">
        <is>
          <t>STANDARD</t>
        </is>
      </c>
      <c r="P553" s="7" t="inlineStr">
        <is>
          <t>31/08/2026 02:59</t>
        </is>
      </c>
    </row>
    <row r="554">
      <c r="A554" s="8" t="inlineStr">
        <is>
          <t>WHAP 8x8</t>
        </is>
      </c>
      <c r="B554" s="8" t="inlineStr">
        <is>
          <t>WHAP-0550</t>
        </is>
      </c>
      <c r="C554" s="8" t="inlineStr">
        <is>
          <t>INC-0550</t>
        </is>
      </c>
      <c r="D554" s="8" t="inlineStr">
        <is>
          <t>pressostat bouteille</t>
        </is>
      </c>
      <c r="E554" s="8" t="inlineStr">
        <is>
          <t>Incendie</t>
        </is>
      </c>
      <c r="F554" s="8" t="inlineStr">
        <is>
          <t>Incendie</t>
        </is>
      </c>
      <c r="G554" s="8" t="inlineStr">
        <is>
          <t>EQUIPEMENT_VEHICULE</t>
        </is>
      </c>
      <c r="H554" s="8" t="n">
        <v>1</v>
      </c>
      <c r="I554" s="8">
        <f>H554*$D$3</f>
        <v/>
      </c>
      <c r="J554" s="8" t="inlineStr">
        <is>
          <t>unité</t>
        </is>
      </c>
      <c r="K554" s="8" t="n">
        <v>0</v>
      </c>
      <c r="L554" s="8">
        <f>K554-I554</f>
        <v/>
      </c>
      <c r="M554" s="8">
        <f>IF(K554&lt;I554,"✕ INSUFFISANT",IF(K554&lt;I554*1.2,"⚠ STOCK FAIBLE","✓ COUVERT"))</f>
        <v/>
      </c>
      <c r="N554" s="8" t="inlineStr">
        <is>
          <t>HEL</t>
        </is>
      </c>
      <c r="O554" s="8" t="inlineStr">
        <is>
          <t>STANDARD</t>
        </is>
      </c>
      <c r="P554" s="8" t="inlineStr">
        <is>
          <t>31/08/2026 02:59</t>
        </is>
      </c>
    </row>
    <row r="555">
      <c r="A555" s="7" t="inlineStr">
        <is>
          <t>WHAP 8x8</t>
        </is>
      </c>
      <c r="B555" s="7" t="inlineStr">
        <is>
          <t>WHAP-0551</t>
        </is>
      </c>
      <c r="C555" s="7" t="inlineStr">
        <is>
          <t>NAV-0551</t>
        </is>
      </c>
      <c r="D555" s="7" t="inlineStr">
        <is>
          <t>antenne radio</t>
        </is>
      </c>
      <c r="E555" s="7" t="inlineStr">
        <is>
          <t>Navigation et communication</t>
        </is>
      </c>
      <c r="F555" s="7" t="inlineStr">
        <is>
          <t>Navigation et communication</t>
        </is>
      </c>
      <c r="G555" s="7" t="inlineStr">
        <is>
          <t>EQUIPEMENT_VEHICULE</t>
        </is>
      </c>
      <c r="H555" s="7" t="n">
        <v>1</v>
      </c>
      <c r="I555" s="7">
        <f>H555*$D$3</f>
        <v/>
      </c>
      <c r="J555" s="7" t="inlineStr">
        <is>
          <t>unité</t>
        </is>
      </c>
      <c r="K555" s="7" t="n">
        <v>52</v>
      </c>
      <c r="L555" s="7">
        <f>K555-I555</f>
        <v/>
      </c>
      <c r="M555" s="7">
        <f>IF(K555&lt;I555,"✕ INSUFFISANT",IF(K555&lt;I555*1.2,"⚠ STOCK FAIBLE","✓ COUVERT"))</f>
        <v/>
      </c>
      <c r="N555" s="7" t="inlineStr">
        <is>
          <t>FAU</t>
        </is>
      </c>
      <c r="O555" s="7" t="inlineStr">
        <is>
          <t>STANDARD</t>
        </is>
      </c>
      <c r="P555" s="7" t="inlineStr">
        <is>
          <t>31/08/2026 02:59</t>
        </is>
      </c>
    </row>
    <row r="556">
      <c r="A556" s="8" t="inlineStr">
        <is>
          <t>WHAP 8x8</t>
        </is>
      </c>
      <c r="B556" s="8" t="inlineStr">
        <is>
          <t>WHAP-0552</t>
        </is>
      </c>
      <c r="C556" s="8" t="inlineStr">
        <is>
          <t>NAV-0552</t>
        </is>
      </c>
      <c r="D556" s="8" t="inlineStr">
        <is>
          <t>antenne GPS</t>
        </is>
      </c>
      <c r="E556" s="8" t="inlineStr">
        <is>
          <t>Navigation et communication</t>
        </is>
      </c>
      <c r="F556" s="8" t="inlineStr">
        <is>
          <t>Navigation et communication</t>
        </is>
      </c>
      <c r="G556" s="8" t="inlineStr">
        <is>
          <t>EQUIPEMENT_VEHICULE</t>
        </is>
      </c>
      <c r="H556" s="8" t="n">
        <v>1</v>
      </c>
      <c r="I556" s="8">
        <f>H556*$D$3</f>
        <v/>
      </c>
      <c r="J556" s="8" t="inlineStr">
        <is>
          <t>unité</t>
        </is>
      </c>
      <c r="K556" s="8" t="n">
        <v>156</v>
      </c>
      <c r="L556" s="8">
        <f>K556-I556</f>
        <v/>
      </c>
      <c r="M556" s="8">
        <f>IF(K556&lt;I556,"✕ INSUFFISANT",IF(K556&lt;I556*1.2,"⚠ STOCK FAIBLE","✓ COUVERT"))</f>
        <v/>
      </c>
      <c r="N556" s="8" t="inlineStr">
        <is>
          <t>FAU</t>
        </is>
      </c>
      <c r="O556" s="8" t="inlineStr">
        <is>
          <t>STANDARD</t>
        </is>
      </c>
      <c r="P556" s="8" t="inlineStr">
        <is>
          <t>31/08/2026 02:59</t>
        </is>
      </c>
    </row>
    <row r="557">
      <c r="A557" s="7" t="inlineStr">
        <is>
          <t>WHAP 8x8</t>
        </is>
      </c>
      <c r="B557" s="7" t="inlineStr">
        <is>
          <t>WHAP-0553</t>
        </is>
      </c>
      <c r="C557" s="7" t="inlineStr">
        <is>
          <t>NAV-0553</t>
        </is>
      </c>
      <c r="D557" s="7" t="inlineStr">
        <is>
          <t>radio VHF</t>
        </is>
      </c>
      <c r="E557" s="7" t="inlineStr">
        <is>
          <t>Navigation et communication</t>
        </is>
      </c>
      <c r="F557" s="7" t="inlineStr">
        <is>
          <t>Navigation et communication</t>
        </is>
      </c>
      <c r="G557" s="7" t="inlineStr">
        <is>
          <t>EQUIPEMENT_VEHICULE</t>
        </is>
      </c>
      <c r="H557" s="7" t="n">
        <v>1</v>
      </c>
      <c r="I557" s="7">
        <f>H557*$D$3</f>
        <v/>
      </c>
      <c r="J557" s="7" t="inlineStr">
        <is>
          <t>unité</t>
        </is>
      </c>
      <c r="K557" s="7" t="n">
        <v>0</v>
      </c>
      <c r="L557" s="7">
        <f>K557-I557</f>
        <v/>
      </c>
      <c r="M557" s="7">
        <f>IF(K557&lt;I557,"✕ INSUFFISANT",IF(K557&lt;I557*1.2,"⚠ STOCK FAIBLE","✓ COUVERT"))</f>
        <v/>
      </c>
      <c r="N557" s="7" t="inlineStr">
        <is>
          <t>VAL</t>
        </is>
      </c>
      <c r="O557" s="7" t="inlineStr">
        <is>
          <t>STANDARD</t>
        </is>
      </c>
      <c r="P557" s="7" t="inlineStr">
        <is>
          <t>31/08/2026 02:59</t>
        </is>
      </c>
    </row>
    <row r="558">
      <c r="A558" s="8" t="inlineStr">
        <is>
          <t>WHAP 8x8</t>
        </is>
      </c>
      <c r="B558" s="8" t="inlineStr">
        <is>
          <t>WHAP-0554</t>
        </is>
      </c>
      <c r="C558" s="8" t="inlineStr">
        <is>
          <t>NAV-0554</t>
        </is>
      </c>
      <c r="D558" s="8" t="inlineStr">
        <is>
          <t>radio UHF</t>
        </is>
      </c>
      <c r="E558" s="8" t="inlineStr">
        <is>
          <t>Navigation et communication</t>
        </is>
      </c>
      <c r="F558" s="8" t="inlineStr">
        <is>
          <t>Navigation et communication</t>
        </is>
      </c>
      <c r="G558" s="8" t="inlineStr">
        <is>
          <t>EQUIPEMENT_VEHICULE</t>
        </is>
      </c>
      <c r="H558" s="8" t="n">
        <v>1</v>
      </c>
      <c r="I558" s="8">
        <f>H558*$D$3</f>
        <v/>
      </c>
      <c r="J558" s="8" t="inlineStr">
        <is>
          <t>unité</t>
        </is>
      </c>
      <c r="K558" s="8" t="n">
        <v>0</v>
      </c>
      <c r="L558" s="8">
        <f>K558-I558</f>
        <v/>
      </c>
      <c r="M558" s="8">
        <f>IF(K558&lt;I558,"✕ INSUFFISANT",IF(K558&lt;I558*1.2,"⚠ STOCK FAIBLE","✓ COUVERT"))</f>
        <v/>
      </c>
      <c r="N558" s="8" t="inlineStr">
        <is>
          <t>CTL</t>
        </is>
      </c>
      <c r="O558" s="8" t="inlineStr">
        <is>
          <t>STANDARD</t>
        </is>
      </c>
      <c r="P558" s="8" t="inlineStr">
        <is>
          <t>31/08/2026 02:59</t>
        </is>
      </c>
    </row>
    <row r="559">
      <c r="A559" s="7" t="inlineStr">
        <is>
          <t>WHAP 8x8</t>
        </is>
      </c>
      <c r="B559" s="7" t="inlineStr">
        <is>
          <t>WHAP-0555</t>
        </is>
      </c>
      <c r="C559" s="7" t="inlineStr">
        <is>
          <t>NAV-0555</t>
        </is>
      </c>
      <c r="D559" s="7" t="inlineStr">
        <is>
          <t>amplificateur</t>
        </is>
      </c>
      <c r="E559" s="7" t="inlineStr">
        <is>
          <t>Navigation et communication</t>
        </is>
      </c>
      <c r="F559" s="7" t="inlineStr">
        <is>
          <t>Navigation et communication</t>
        </is>
      </c>
      <c r="G559" s="7" t="inlineStr">
        <is>
          <t>EQUIPEMENT_VEHICULE</t>
        </is>
      </c>
      <c r="H559" s="7" t="n">
        <v>1</v>
      </c>
      <c r="I559" s="7">
        <f>H559*$D$3</f>
        <v/>
      </c>
      <c r="J559" s="7" t="inlineStr">
        <is>
          <t>unité</t>
        </is>
      </c>
      <c r="K559" s="7" t="n">
        <v>0</v>
      </c>
      <c r="L559" s="7">
        <f>K559-I559</f>
        <v/>
      </c>
      <c r="M559" s="7">
        <f>IF(K559&lt;I559,"✕ INSUFFISANT",IF(K559&lt;I559*1.2,"⚠ STOCK FAIBLE","✓ COUVERT"))</f>
        <v/>
      </c>
      <c r="N559" s="7" t="inlineStr">
        <is>
          <t>CTL</t>
        </is>
      </c>
      <c r="O559" s="7" t="inlineStr">
        <is>
          <t>STANDARD</t>
        </is>
      </c>
      <c r="P559" s="7" t="inlineStr">
        <is>
          <t>31/08/2026 02:59</t>
        </is>
      </c>
    </row>
    <row r="560">
      <c r="A560" s="8" t="inlineStr">
        <is>
          <t>WHAP 8x8</t>
        </is>
      </c>
      <c r="B560" s="8" t="inlineStr">
        <is>
          <t>WHAP-0556</t>
        </is>
      </c>
      <c r="C560" s="8" t="inlineStr">
        <is>
          <t>NAV-0556</t>
        </is>
      </c>
      <c r="D560" s="8" t="inlineStr">
        <is>
          <t>boîtier radio</t>
        </is>
      </c>
      <c r="E560" s="8" t="inlineStr">
        <is>
          <t>Navigation et communication</t>
        </is>
      </c>
      <c r="F560" s="8" t="inlineStr">
        <is>
          <t>Navigation et communication</t>
        </is>
      </c>
      <c r="G560" s="8" t="inlineStr">
        <is>
          <t>EQUIPEMENT_VEHICULE</t>
        </is>
      </c>
      <c r="H560" s="8" t="n">
        <v>1</v>
      </c>
      <c r="I560" s="8">
        <f>H560*$D$3</f>
        <v/>
      </c>
      <c r="J560" s="8" t="inlineStr">
        <is>
          <t>unité</t>
        </is>
      </c>
      <c r="K560" s="8" t="n">
        <v>0</v>
      </c>
      <c r="L560" s="8">
        <f>K560-I560</f>
        <v/>
      </c>
      <c r="M560" s="8">
        <f>IF(K560&lt;I560,"✕ INSUFFISANT",IF(K560&lt;I560*1.2,"⚠ STOCK FAIBLE","✓ COUVERT"))</f>
        <v/>
      </c>
      <c r="N560" s="8" t="inlineStr">
        <is>
          <t>DEL</t>
        </is>
      </c>
      <c r="O560" s="8" t="inlineStr">
        <is>
          <t>STANDARD</t>
        </is>
      </c>
      <c r="P560" s="8" t="inlineStr">
        <is>
          <t>31/08/2026 02:59</t>
        </is>
      </c>
    </row>
    <row r="561">
      <c r="A561" s="7" t="inlineStr">
        <is>
          <t>WHAP 8x8</t>
        </is>
      </c>
      <c r="B561" s="7" t="inlineStr">
        <is>
          <t>WHAP-0557</t>
        </is>
      </c>
      <c r="C561" s="7" t="inlineStr">
        <is>
          <t>NAV-0557</t>
        </is>
      </c>
      <c r="D561" s="7" t="inlineStr">
        <is>
          <t>microphone</t>
        </is>
      </c>
      <c r="E561" s="7" t="inlineStr">
        <is>
          <t>Navigation et communication</t>
        </is>
      </c>
      <c r="F561" s="7" t="inlineStr">
        <is>
          <t>Navigation et communication</t>
        </is>
      </c>
      <c r="G561" s="7" t="inlineStr">
        <is>
          <t>EQUIPEMENT_VEHICULE</t>
        </is>
      </c>
      <c r="H561" s="7" t="n">
        <v>1</v>
      </c>
      <c r="I561" s="7">
        <f>H561*$D$3</f>
        <v/>
      </c>
      <c r="J561" s="7" t="inlineStr">
        <is>
          <t>unité</t>
        </is>
      </c>
      <c r="K561" s="7" t="n">
        <v>0</v>
      </c>
      <c r="L561" s="7">
        <f>K561-I561</f>
        <v/>
      </c>
      <c r="M561" s="7">
        <f>IF(K561&lt;I561,"✕ INSUFFISANT",IF(K561&lt;I561*1.2,"⚠ STOCK FAIBLE","✓ COUVERT"))</f>
        <v/>
      </c>
      <c r="N561" s="7" t="inlineStr">
        <is>
          <t>SUM</t>
        </is>
      </c>
      <c r="O561" s="7" t="inlineStr">
        <is>
          <t>STANDARD</t>
        </is>
      </c>
      <c r="P561" s="7" t="inlineStr">
        <is>
          <t>31/08/2026 02:59</t>
        </is>
      </c>
    </row>
    <row r="562">
      <c r="A562" s="8" t="inlineStr">
        <is>
          <t>WHAP 8x8</t>
        </is>
      </c>
      <c r="B562" s="8" t="inlineStr">
        <is>
          <t>WHAP-0558</t>
        </is>
      </c>
      <c r="C562" s="8" t="inlineStr">
        <is>
          <t>NAV-0558</t>
        </is>
      </c>
      <c r="D562" s="8" t="inlineStr">
        <is>
          <t>haut-parleur</t>
        </is>
      </c>
      <c r="E562" s="8" t="inlineStr">
        <is>
          <t>Navigation et communication</t>
        </is>
      </c>
      <c r="F562" s="8" t="inlineStr">
        <is>
          <t>Navigation et communication</t>
        </is>
      </c>
      <c r="G562" s="8" t="inlineStr">
        <is>
          <t>EQUIPEMENT_VEHICULE</t>
        </is>
      </c>
      <c r="H562" s="8" t="n">
        <v>1</v>
      </c>
      <c r="I562" s="8">
        <f>H562*$D$3</f>
        <v/>
      </c>
      <c r="J562" s="8" t="inlineStr">
        <is>
          <t>unité</t>
        </is>
      </c>
      <c r="K562" s="8" t="n">
        <v>0</v>
      </c>
      <c r="L562" s="8">
        <f>K562-I562</f>
        <v/>
      </c>
      <c r="M562" s="8">
        <f>IF(K562&lt;I562,"✕ INSUFFISANT",IF(K562&lt;I562*1.2,"⚠ STOCK FAIBLE","✓ COUVERT"))</f>
        <v/>
      </c>
      <c r="N562" s="8" t="inlineStr">
        <is>
          <t>BOS</t>
        </is>
      </c>
      <c r="O562" s="8" t="inlineStr">
        <is>
          <t>STANDARD</t>
        </is>
      </c>
      <c r="P562" s="8" t="inlineStr">
        <is>
          <t>31/08/2026 02:59</t>
        </is>
      </c>
    </row>
    <row r="563">
      <c r="A563" s="7" t="inlineStr">
        <is>
          <t>WHAP 8x8</t>
        </is>
      </c>
      <c r="B563" s="7" t="inlineStr">
        <is>
          <t>WHAP-0559</t>
        </is>
      </c>
      <c r="C563" s="7" t="inlineStr">
        <is>
          <t>NAV-0559</t>
        </is>
      </c>
      <c r="D563" s="7" t="inlineStr">
        <is>
          <t>casque équipage</t>
        </is>
      </c>
      <c r="E563" s="7" t="inlineStr">
        <is>
          <t>Navigation et communication</t>
        </is>
      </c>
      <c r="F563" s="7" t="inlineStr">
        <is>
          <t>Navigation et communication</t>
        </is>
      </c>
      <c r="G563" s="7" t="inlineStr">
        <is>
          <t>EQUIPEMENT_VEHICULE</t>
        </is>
      </c>
      <c r="H563" s="7" t="n">
        <v>1</v>
      </c>
      <c r="I563" s="7">
        <f>H563*$D$3</f>
        <v/>
      </c>
      <c r="J563" s="7" t="inlineStr">
        <is>
          <t>unité</t>
        </is>
      </c>
      <c r="K563" s="7" t="n">
        <v>0</v>
      </c>
      <c r="L563" s="7">
        <f>K563-I563</f>
        <v/>
      </c>
      <c r="M563" s="7">
        <f>IF(K563&lt;I563,"✕ INSUFFISANT",IF(K563&lt;I563*1.2,"⚠ STOCK FAIBLE","✓ COUVERT"))</f>
        <v/>
      </c>
      <c r="N563" s="7" t="inlineStr">
        <is>
          <t>BOS</t>
        </is>
      </c>
      <c r="O563" s="7" t="inlineStr">
        <is>
          <t>STANDARD</t>
        </is>
      </c>
      <c r="P563" s="7" t="inlineStr">
        <is>
          <t>31/08/2026 02:59</t>
        </is>
      </c>
    </row>
    <row r="564">
      <c r="A564" s="8" t="inlineStr">
        <is>
          <t>WHAP 8x8</t>
        </is>
      </c>
      <c r="B564" s="8" t="inlineStr">
        <is>
          <t>WHAP-0560</t>
        </is>
      </c>
      <c r="C564" s="8" t="inlineStr">
        <is>
          <t>NAV-0560</t>
        </is>
      </c>
      <c r="D564" s="8" t="inlineStr">
        <is>
          <t>intercom</t>
        </is>
      </c>
      <c r="E564" s="8" t="inlineStr">
        <is>
          <t>Navigation et communication</t>
        </is>
      </c>
      <c r="F564" s="8" t="inlineStr">
        <is>
          <t>Navigation et communication</t>
        </is>
      </c>
      <c r="G564" s="8" t="inlineStr">
        <is>
          <t>EQUIPEMENT_VEHICULE</t>
        </is>
      </c>
      <c r="H564" s="8" t="n">
        <v>1</v>
      </c>
      <c r="I564" s="8">
        <f>H564*$D$3</f>
        <v/>
      </c>
      <c r="J564" s="8" t="inlineStr">
        <is>
          <t>unité</t>
        </is>
      </c>
      <c r="K564" s="8" t="n">
        <v>0</v>
      </c>
      <c r="L564" s="8">
        <f>K564-I564</f>
        <v/>
      </c>
      <c r="M564" s="8">
        <f>IF(K564&lt;I564,"✕ INSUFFISANT",IF(K564&lt;I564*1.2,"⚠ STOCK FAIBLE","✓ COUVERT"))</f>
        <v/>
      </c>
      <c r="N564" s="8" t="inlineStr">
        <is>
          <t>SUM</t>
        </is>
      </c>
      <c r="O564" s="8" t="inlineStr">
        <is>
          <t>STANDARD</t>
        </is>
      </c>
      <c r="P564" s="8" t="inlineStr">
        <is>
          <t>31/08/2026 02:59</t>
        </is>
      </c>
    </row>
    <row r="565">
      <c r="A565" s="7" t="inlineStr">
        <is>
          <t>WHAP 8x8</t>
        </is>
      </c>
      <c r="B565" s="7" t="inlineStr">
        <is>
          <t>WHAP-0561</t>
        </is>
      </c>
      <c r="C565" s="7" t="inlineStr">
        <is>
          <t>NAV-0561</t>
        </is>
      </c>
      <c r="D565" s="7" t="inlineStr">
        <is>
          <t>boîtier intercom</t>
        </is>
      </c>
      <c r="E565" s="7" t="inlineStr">
        <is>
          <t>Navigation et communication</t>
        </is>
      </c>
      <c r="F565" s="7" t="inlineStr">
        <is>
          <t>Navigation et communication</t>
        </is>
      </c>
      <c r="G565" s="7" t="inlineStr">
        <is>
          <t>EQUIPEMENT_VEHICULE</t>
        </is>
      </c>
      <c r="H565" s="7" t="n">
        <v>1</v>
      </c>
      <c r="I565" s="7">
        <f>H565*$D$3</f>
        <v/>
      </c>
      <c r="J565" s="7" t="inlineStr">
        <is>
          <t>unité</t>
        </is>
      </c>
      <c r="K565" s="7" t="n">
        <v>0</v>
      </c>
      <c r="L565" s="7">
        <f>K565-I565</f>
        <v/>
      </c>
      <c r="M565" s="7">
        <f>IF(K565&lt;I565,"✕ INSUFFISANT",IF(K565&lt;I565*1.2,"⚠ STOCK FAIBLE","✓ COUVERT"))</f>
        <v/>
      </c>
      <c r="N565" s="7" t="inlineStr">
        <is>
          <t>BOS</t>
        </is>
      </c>
      <c r="O565" s="7" t="inlineStr">
        <is>
          <t>STANDARD</t>
        </is>
      </c>
      <c r="P565" s="7" t="inlineStr">
        <is>
          <t>31/08/2026 02:59</t>
        </is>
      </c>
    </row>
    <row r="566">
      <c r="A566" s="8" t="inlineStr">
        <is>
          <t>WHAP 8x8</t>
        </is>
      </c>
      <c r="B566" s="8" t="inlineStr">
        <is>
          <t>WHAP-0562</t>
        </is>
      </c>
      <c r="C566" s="8" t="inlineStr">
        <is>
          <t>NAV-0562</t>
        </is>
      </c>
      <c r="D566" s="8" t="inlineStr">
        <is>
          <t>câble coaxial</t>
        </is>
      </c>
      <c r="E566" s="8" t="inlineStr">
        <is>
          <t>Navigation et communication</t>
        </is>
      </c>
      <c r="F566" s="8" t="inlineStr">
        <is>
          <t>Navigation et communication</t>
        </is>
      </c>
      <c r="G566" s="8" t="inlineStr">
        <is>
          <t>EQUIPEMENT_VEHICULE</t>
        </is>
      </c>
      <c r="H566" s="8" t="n">
        <v>1</v>
      </c>
      <c r="I566" s="8">
        <f>H566*$D$3</f>
        <v/>
      </c>
      <c r="J566" s="8" t="inlineStr">
        <is>
          <t>unité</t>
        </is>
      </c>
      <c r="K566" s="8" t="n">
        <v>0</v>
      </c>
      <c r="L566" s="8">
        <f>K566-I566</f>
        <v/>
      </c>
      <c r="M566" s="8">
        <f>IF(K566&lt;I566,"✕ INSUFFISANT",IF(K566&lt;I566*1.2,"⚠ STOCK FAIBLE","✓ COUVERT"))</f>
        <v/>
      </c>
      <c r="N566" s="8" t="inlineStr">
        <is>
          <t>HEL</t>
        </is>
      </c>
      <c r="O566" s="8" t="inlineStr">
        <is>
          <t>STANDARD</t>
        </is>
      </c>
      <c r="P566" s="8" t="inlineStr">
        <is>
          <t>31/08/2026 02:59</t>
        </is>
      </c>
    </row>
    <row r="567">
      <c r="A567" s="7" t="inlineStr">
        <is>
          <t>WHAP 8x8</t>
        </is>
      </c>
      <c r="B567" s="7" t="inlineStr">
        <is>
          <t>WHAP-0563</t>
        </is>
      </c>
      <c r="C567" s="7" t="inlineStr">
        <is>
          <t>NAV-0563</t>
        </is>
      </c>
      <c r="D567" s="7" t="inlineStr">
        <is>
          <t>connecteur RF</t>
        </is>
      </c>
      <c r="E567" s="7" t="inlineStr">
        <is>
          <t>Navigation et communication</t>
        </is>
      </c>
      <c r="F567" s="7" t="inlineStr">
        <is>
          <t>Navigation et communication</t>
        </is>
      </c>
      <c r="G567" s="7" t="inlineStr">
        <is>
          <t>EQUIPEMENT_VEHICULE</t>
        </is>
      </c>
      <c r="H567" s="7" t="n">
        <v>1</v>
      </c>
      <c r="I567" s="7">
        <f>H567*$D$3</f>
        <v/>
      </c>
      <c r="J567" s="7" t="inlineStr">
        <is>
          <t>unité</t>
        </is>
      </c>
      <c r="K567" s="7" t="n">
        <v>0</v>
      </c>
      <c r="L567" s="7">
        <f>K567-I567</f>
        <v/>
      </c>
      <c r="M567" s="7">
        <f>IF(K567&lt;I567,"✕ INSUFFISANT",IF(K567&lt;I567*1.2,"⚠ STOCK FAIBLE","✓ COUVERT"))</f>
        <v/>
      </c>
      <c r="N567" s="7" t="inlineStr">
        <is>
          <t>HEL</t>
        </is>
      </c>
      <c r="O567" s="7" t="inlineStr">
        <is>
          <t>STANDARD</t>
        </is>
      </c>
      <c r="P567" s="7" t="inlineStr">
        <is>
          <t>31/08/2026 02:59</t>
        </is>
      </c>
    </row>
    <row r="568">
      <c r="A568" s="8" t="inlineStr">
        <is>
          <t>WHAP 8x8</t>
        </is>
      </c>
      <c r="B568" s="8" t="inlineStr">
        <is>
          <t>WHAP-0564</t>
        </is>
      </c>
      <c r="C568" s="8" t="inlineStr">
        <is>
          <t>NAV-0564</t>
        </is>
      </c>
      <c r="D568" s="8" t="inlineStr">
        <is>
          <t>module GPS</t>
        </is>
      </c>
      <c r="E568" s="8" t="inlineStr">
        <is>
          <t>Navigation et communication</t>
        </is>
      </c>
      <c r="F568" s="8" t="inlineStr">
        <is>
          <t>Navigation et communication</t>
        </is>
      </c>
      <c r="G568" s="8" t="inlineStr">
        <is>
          <t>EQUIPEMENT_VEHICULE</t>
        </is>
      </c>
      <c r="H568" s="8" t="n">
        <v>1</v>
      </c>
      <c r="I568" s="8">
        <f>H568*$D$3</f>
        <v/>
      </c>
      <c r="J568" s="8" t="inlineStr">
        <is>
          <t>unité</t>
        </is>
      </c>
      <c r="K568" s="8" t="n">
        <v>0</v>
      </c>
      <c r="L568" s="8">
        <f>K568-I568</f>
        <v/>
      </c>
      <c r="M568" s="8">
        <f>IF(K568&lt;I568,"✕ INSUFFISANT",IF(K568&lt;I568*1.2,"⚠ STOCK FAIBLE","✓ COUVERT"))</f>
        <v/>
      </c>
      <c r="N568" s="8" t="inlineStr">
        <is>
          <t>DEL</t>
        </is>
      </c>
      <c r="O568" s="8" t="inlineStr">
        <is>
          <t>STANDARD</t>
        </is>
      </c>
      <c r="P568" s="8" t="inlineStr">
        <is>
          <t>31/08/2026 02:59</t>
        </is>
      </c>
    </row>
    <row r="569">
      <c r="A569" s="7" t="inlineStr">
        <is>
          <t>WHAP 8x8</t>
        </is>
      </c>
      <c r="B569" s="7" t="inlineStr">
        <is>
          <t>WHAP-0565</t>
        </is>
      </c>
      <c r="C569" s="7" t="inlineStr">
        <is>
          <t>NAV-0565</t>
        </is>
      </c>
      <c r="D569" s="7" t="inlineStr">
        <is>
          <t>antenne GNSS</t>
        </is>
      </c>
      <c r="E569" s="7" t="inlineStr">
        <is>
          <t>Navigation et communication</t>
        </is>
      </c>
      <c r="F569" s="7" t="inlineStr">
        <is>
          <t>Navigation et communication</t>
        </is>
      </c>
      <c r="G569" s="7" t="inlineStr">
        <is>
          <t>EQUIPEMENT_VEHICULE</t>
        </is>
      </c>
      <c r="H569" s="7" t="n">
        <v>1</v>
      </c>
      <c r="I569" s="7">
        <f>H569*$D$3</f>
        <v/>
      </c>
      <c r="J569" s="7" t="inlineStr">
        <is>
          <t>unité</t>
        </is>
      </c>
      <c r="K569" s="7" t="n">
        <v>0</v>
      </c>
      <c r="L569" s="7">
        <f>K569-I569</f>
        <v/>
      </c>
      <c r="M569" s="7">
        <f>IF(K569&lt;I569,"✕ INSUFFISANT",IF(K569&lt;I569*1.2,"⚠ STOCK FAIBLE","✓ COUVERT"))</f>
        <v/>
      </c>
      <c r="N569" s="7" t="inlineStr">
        <is>
          <t>SKF</t>
        </is>
      </c>
      <c r="O569" s="7" t="inlineStr">
        <is>
          <t>STANDARD</t>
        </is>
      </c>
      <c r="P569" s="7" t="inlineStr">
        <is>
          <t>31/08/2026 02:59</t>
        </is>
      </c>
    </row>
    <row r="570">
      <c r="A570" s="8" t="inlineStr">
        <is>
          <t>WHAP 8x8</t>
        </is>
      </c>
      <c r="B570" s="8" t="inlineStr">
        <is>
          <t>WHAP-0566</t>
        </is>
      </c>
      <c r="C570" s="8" t="inlineStr">
        <is>
          <t>NAV-0566</t>
        </is>
      </c>
      <c r="D570" s="8" t="inlineStr">
        <is>
          <t>unité de navigation</t>
        </is>
      </c>
      <c r="E570" s="8" t="inlineStr">
        <is>
          <t>Navigation et communication</t>
        </is>
      </c>
      <c r="F570" s="8" t="inlineStr">
        <is>
          <t>Navigation et communication</t>
        </is>
      </c>
      <c r="G570" s="8" t="inlineStr">
        <is>
          <t>EQUIPEMENT_VEHICULE</t>
        </is>
      </c>
      <c r="H570" s="8" t="n">
        <v>1</v>
      </c>
      <c r="I570" s="8">
        <f>H570*$D$3</f>
        <v/>
      </c>
      <c r="J570" s="8" t="inlineStr">
        <is>
          <t>unité</t>
        </is>
      </c>
      <c r="K570" s="8" t="n">
        <v>0</v>
      </c>
      <c r="L570" s="8">
        <f>K570-I570</f>
        <v/>
      </c>
      <c r="M570" s="8">
        <f>IF(K570&lt;I570,"✕ INSUFFISANT",IF(K570&lt;I570*1.2,"⚠ STOCK FAIBLE","✓ COUVERT"))</f>
        <v/>
      </c>
      <c r="N570" s="8" t="inlineStr">
        <is>
          <t>SUM</t>
        </is>
      </c>
      <c r="O570" s="8" t="inlineStr">
        <is>
          <t>STANDARD</t>
        </is>
      </c>
      <c r="P570" s="8" t="inlineStr">
        <is>
          <t>31/08/2026 02:59</t>
        </is>
      </c>
    </row>
    <row r="571">
      <c r="A571" s="7" t="inlineStr">
        <is>
          <t>WHAP 8x8</t>
        </is>
      </c>
      <c r="B571" s="7" t="inlineStr">
        <is>
          <t>WHAP-0567</t>
        </is>
      </c>
      <c r="C571" s="7" t="inlineStr">
        <is>
          <t>NAV-0567</t>
        </is>
      </c>
      <c r="D571" s="7" t="inlineStr">
        <is>
          <t>écran navigation</t>
        </is>
      </c>
      <c r="E571" s="7" t="inlineStr">
        <is>
          <t>Navigation et communication</t>
        </is>
      </c>
      <c r="F571" s="7" t="inlineStr">
        <is>
          <t>Navigation et communication</t>
        </is>
      </c>
      <c r="G571" s="7" t="inlineStr">
        <is>
          <t>EQUIPEMENT_VEHICULE</t>
        </is>
      </c>
      <c r="H571" s="7" t="n">
        <v>1</v>
      </c>
      <c r="I571" s="7">
        <f>H571*$D$3</f>
        <v/>
      </c>
      <c r="J571" s="7" t="inlineStr">
        <is>
          <t>unité</t>
        </is>
      </c>
      <c r="K571" s="7" t="n">
        <v>0</v>
      </c>
      <c r="L571" s="7">
        <f>K571-I571</f>
        <v/>
      </c>
      <c r="M571" s="7">
        <f>IF(K571&lt;I571,"✕ INSUFFISANT",IF(K571&lt;I571*1.2,"⚠ STOCK FAIBLE","✓ COUVERT"))</f>
        <v/>
      </c>
      <c r="N571" s="7" t="inlineStr">
        <is>
          <t>YZK</t>
        </is>
      </c>
      <c r="O571" s="7" t="inlineStr">
        <is>
          <t>STANDARD</t>
        </is>
      </c>
      <c r="P571" s="7" t="inlineStr">
        <is>
          <t>31/08/2026 02:59</t>
        </is>
      </c>
    </row>
    <row r="572">
      <c r="A572" s="8" t="inlineStr">
        <is>
          <t>WHAP 8x8</t>
        </is>
      </c>
      <c r="B572" s="8" t="inlineStr">
        <is>
          <t>WHAP-0568</t>
        </is>
      </c>
      <c r="C572" s="8" t="inlineStr">
        <is>
          <t>NAV-0568</t>
        </is>
      </c>
      <c r="D572" s="8" t="inlineStr">
        <is>
          <t>unité de stockage données</t>
        </is>
      </c>
      <c r="E572" s="8" t="inlineStr">
        <is>
          <t>Navigation et communication</t>
        </is>
      </c>
      <c r="F572" s="8" t="inlineStr">
        <is>
          <t>Navigation et communication</t>
        </is>
      </c>
      <c r="G572" s="8" t="inlineStr">
        <is>
          <t>EQUIPEMENT_VEHICULE</t>
        </is>
      </c>
      <c r="H572" s="8" t="n">
        <v>1</v>
      </c>
      <c r="I572" s="8">
        <f>H572*$D$3</f>
        <v/>
      </c>
      <c r="J572" s="8" t="inlineStr">
        <is>
          <t>unité</t>
        </is>
      </c>
      <c r="K572" s="8" t="n">
        <v>0</v>
      </c>
      <c r="L572" s="8">
        <f>K572-I572</f>
        <v/>
      </c>
      <c r="M572" s="8">
        <f>IF(K572&lt;I572,"✕ INSUFFISANT",IF(K572&lt;I572*1.2,"⚠ STOCK FAIBLE","✓ COUVERT"))</f>
        <v/>
      </c>
      <c r="N572" s="8" t="inlineStr">
        <is>
          <t>VAL</t>
        </is>
      </c>
      <c r="O572" s="8" t="inlineStr">
        <is>
          <t>STANDARD</t>
        </is>
      </c>
      <c r="P572" s="8" t="inlineStr">
        <is>
          <t>31/08/2026 02:59</t>
        </is>
      </c>
    </row>
    <row r="573">
      <c r="A573" s="7" t="inlineStr">
        <is>
          <t>WHAP 8x8</t>
        </is>
      </c>
      <c r="B573" s="7" t="inlineStr">
        <is>
          <t>WHAP-0569</t>
        </is>
      </c>
      <c r="C573" s="7" t="inlineStr">
        <is>
          <t>NAV-0569</t>
        </is>
      </c>
      <c r="D573" s="7" t="inlineStr">
        <is>
          <t>routeur véhicule</t>
        </is>
      </c>
      <c r="E573" s="7" t="inlineStr">
        <is>
          <t>Navigation et communication</t>
        </is>
      </c>
      <c r="F573" s="7" t="inlineStr">
        <is>
          <t>Navigation et communication</t>
        </is>
      </c>
      <c r="G573" s="7" t="inlineStr">
        <is>
          <t>EQUIPEMENT_VEHICULE</t>
        </is>
      </c>
      <c r="H573" s="7" t="n">
        <v>1</v>
      </c>
      <c r="I573" s="7">
        <f>H573*$D$3</f>
        <v/>
      </c>
      <c r="J573" s="7" t="inlineStr">
        <is>
          <t>unité</t>
        </is>
      </c>
      <c r="K573" s="7" t="n">
        <v>0</v>
      </c>
      <c r="L573" s="7">
        <f>K573-I573</f>
        <v/>
      </c>
      <c r="M573" s="7">
        <f>IF(K573&lt;I573,"✕ INSUFFISANT",IF(K573&lt;I573*1.2,"⚠ STOCK FAIBLE","✓ COUVERT"))</f>
        <v/>
      </c>
      <c r="N573" s="7" t="inlineStr">
        <is>
          <t>SKF</t>
        </is>
      </c>
      <c r="O573" s="7" t="inlineStr">
        <is>
          <t>STANDARD</t>
        </is>
      </c>
      <c r="P573" s="7" t="inlineStr">
        <is>
          <t>31/08/2026 02:59</t>
        </is>
      </c>
    </row>
    <row r="574">
      <c r="A574" s="8" t="inlineStr">
        <is>
          <t>WHAP 8x8</t>
        </is>
      </c>
      <c r="B574" s="8" t="inlineStr">
        <is>
          <t>WHAP-0570</t>
        </is>
      </c>
      <c r="C574" s="8" t="inlineStr">
        <is>
          <t>NAV-0570</t>
        </is>
      </c>
      <c r="D574" s="8" t="inlineStr">
        <is>
          <t>commutateur réseau</t>
        </is>
      </c>
      <c r="E574" s="8" t="inlineStr">
        <is>
          <t>Navigation et communication</t>
        </is>
      </c>
      <c r="F574" s="8" t="inlineStr">
        <is>
          <t>Navigation et communication</t>
        </is>
      </c>
      <c r="G574" s="8" t="inlineStr">
        <is>
          <t>EQUIPEMENT_VEHICULE</t>
        </is>
      </c>
      <c r="H574" s="8" t="n">
        <v>1</v>
      </c>
      <c r="I574" s="8">
        <f>H574*$D$3</f>
        <v/>
      </c>
      <c r="J574" s="8" t="inlineStr">
        <is>
          <t>unité</t>
        </is>
      </c>
      <c r="K574" s="8" t="n">
        <v>0</v>
      </c>
      <c r="L574" s="8">
        <f>K574-I574</f>
        <v/>
      </c>
      <c r="M574" s="8">
        <f>IF(K574&lt;I574,"✕ INSUFFISANT",IF(K574&lt;I574*1.2,"⚠ STOCK FAIBLE","✓ COUVERT"))</f>
        <v/>
      </c>
      <c r="N574" s="8" t="inlineStr">
        <is>
          <t>SUM</t>
        </is>
      </c>
      <c r="O574" s="8" t="inlineStr">
        <is>
          <t>STANDARD</t>
        </is>
      </c>
      <c r="P574" s="8" t="inlineStr">
        <is>
          <t>31/08/2026 02:59</t>
        </is>
      </c>
    </row>
    <row r="575">
      <c r="A575" s="7" t="inlineStr">
        <is>
          <t>WHAP 8x8</t>
        </is>
      </c>
      <c r="B575" s="7" t="inlineStr">
        <is>
          <t>WHAP-0571</t>
        </is>
      </c>
      <c r="C575" s="7" t="inlineStr">
        <is>
          <t>NAV-0571</t>
        </is>
      </c>
      <c r="D575" s="7" t="inlineStr">
        <is>
          <t>câble Ethernet</t>
        </is>
      </c>
      <c r="E575" s="7" t="inlineStr">
        <is>
          <t>Navigation et communication</t>
        </is>
      </c>
      <c r="F575" s="7" t="inlineStr">
        <is>
          <t>Navigation et communication</t>
        </is>
      </c>
      <c r="G575" s="7" t="inlineStr">
        <is>
          <t>EQUIPEMENT_VEHICULE</t>
        </is>
      </c>
      <c r="H575" s="7" t="n">
        <v>1</v>
      </c>
      <c r="I575" s="7">
        <f>H575*$D$3</f>
        <v/>
      </c>
      <c r="J575" s="7" t="inlineStr">
        <is>
          <t>unité</t>
        </is>
      </c>
      <c r="K575" s="7" t="n">
        <v>0</v>
      </c>
      <c r="L575" s="7">
        <f>K575-I575</f>
        <v/>
      </c>
      <c r="M575" s="7">
        <f>IF(K575&lt;I575,"✕ INSUFFISANT",IF(K575&lt;I575*1.2,"⚠ STOCK FAIBLE","✓ COUVERT"))</f>
        <v/>
      </c>
      <c r="N575" s="7" t="inlineStr">
        <is>
          <t>SUM</t>
        </is>
      </c>
      <c r="O575" s="7" t="inlineStr">
        <is>
          <t>STANDARD</t>
        </is>
      </c>
      <c r="P575" s="7" t="inlineStr">
        <is>
          <t>31/08/2026 02:59</t>
        </is>
      </c>
    </row>
    <row r="576">
      <c r="A576" s="8" t="inlineStr">
        <is>
          <t>WHAP 8x8</t>
        </is>
      </c>
      <c r="B576" s="8" t="inlineStr">
        <is>
          <t>WHAP-0572</t>
        </is>
      </c>
      <c r="C576" s="8" t="inlineStr">
        <is>
          <t>NAV-0572</t>
        </is>
      </c>
      <c r="D576" s="8" t="inlineStr">
        <is>
          <t>connecteur Ethernet</t>
        </is>
      </c>
      <c r="E576" s="8" t="inlineStr">
        <is>
          <t>Navigation et communication</t>
        </is>
      </c>
      <c r="F576" s="8" t="inlineStr">
        <is>
          <t>Navigation et communication</t>
        </is>
      </c>
      <c r="G576" s="8" t="inlineStr">
        <is>
          <t>EQUIPEMENT_VEHICULE</t>
        </is>
      </c>
      <c r="H576" s="8" t="n">
        <v>1</v>
      </c>
      <c r="I576" s="8">
        <f>H576*$D$3</f>
        <v/>
      </c>
      <c r="J576" s="8" t="inlineStr">
        <is>
          <t>unité</t>
        </is>
      </c>
      <c r="K576" s="8" t="n">
        <v>0</v>
      </c>
      <c r="L576" s="8">
        <f>K576-I576</f>
        <v/>
      </c>
      <c r="M576" s="8">
        <f>IF(K576&lt;I576,"✕ INSUFFISANT",IF(K576&lt;I576*1.2,"⚠ STOCK FAIBLE","✓ COUVERT"))</f>
        <v/>
      </c>
      <c r="N576" s="8" t="inlineStr">
        <is>
          <t>SKF</t>
        </is>
      </c>
      <c r="O576" s="8" t="inlineStr">
        <is>
          <t>STANDARD</t>
        </is>
      </c>
      <c r="P576" s="8" t="inlineStr">
        <is>
          <t>31/08/2026 02:59</t>
        </is>
      </c>
    </row>
    <row r="577">
      <c r="A577" s="7" t="inlineStr">
        <is>
          <t>WHAP 8x8</t>
        </is>
      </c>
      <c r="B577" s="7" t="inlineStr">
        <is>
          <t>WHAP-0573</t>
        </is>
      </c>
      <c r="C577" s="7" t="inlineStr">
        <is>
          <t>NAV-0573</t>
        </is>
      </c>
      <c r="D577" s="7" t="inlineStr">
        <is>
          <t>boîtier communication</t>
        </is>
      </c>
      <c r="E577" s="7" t="inlineStr">
        <is>
          <t>Navigation et communication</t>
        </is>
      </c>
      <c r="F577" s="7" t="inlineStr">
        <is>
          <t>Navigation et communication</t>
        </is>
      </c>
      <c r="G577" s="7" t="inlineStr">
        <is>
          <t>EQUIPEMENT_VEHICULE</t>
        </is>
      </c>
      <c r="H577" s="7" t="n">
        <v>1</v>
      </c>
      <c r="I577" s="7">
        <f>H577*$D$3</f>
        <v/>
      </c>
      <c r="J577" s="7" t="inlineStr">
        <is>
          <t>unité</t>
        </is>
      </c>
      <c r="K577" s="7" t="n">
        <v>0</v>
      </c>
      <c r="L577" s="7">
        <f>K577-I577</f>
        <v/>
      </c>
      <c r="M577" s="7">
        <f>IF(K577&lt;I577,"✕ INSUFFISANT",IF(K577&lt;I577*1.2,"⚠ STOCK FAIBLE","✓ COUVERT"))</f>
        <v/>
      </c>
      <c r="N577" s="7" t="inlineStr">
        <is>
          <t>YZK</t>
        </is>
      </c>
      <c r="O577" s="7" t="inlineStr">
        <is>
          <t>STANDARD</t>
        </is>
      </c>
      <c r="P577" s="7" t="inlineStr">
        <is>
          <t>31/08/2026 02:59</t>
        </is>
      </c>
    </row>
    <row r="578">
      <c r="A578" s="8" t="inlineStr">
        <is>
          <t>WHAP 8x8</t>
        </is>
      </c>
      <c r="B578" s="8" t="inlineStr">
        <is>
          <t>WHAP-0574</t>
        </is>
      </c>
      <c r="C578" s="8" t="inlineStr">
        <is>
          <t>OBS-0574</t>
        </is>
      </c>
      <c r="D578" s="8" t="inlineStr">
        <is>
          <t>périscope</t>
        </is>
      </c>
      <c r="E578" s="8" t="inlineStr">
        <is>
          <t>Observation</t>
        </is>
      </c>
      <c r="F578" s="8" t="inlineStr">
        <is>
          <t>Observation</t>
        </is>
      </c>
      <c r="G578" s="8" t="inlineStr">
        <is>
          <t>EQUIPEMENT_VEHICULE</t>
        </is>
      </c>
      <c r="H578" s="8" t="n">
        <v>1</v>
      </c>
      <c r="I578" s="8">
        <f>H578*$D$3</f>
        <v/>
      </c>
      <c r="J578" s="8" t="inlineStr">
        <is>
          <t>unité</t>
        </is>
      </c>
      <c r="K578" s="8" t="n">
        <v>104</v>
      </c>
      <c r="L578" s="8">
        <f>K578-I578</f>
        <v/>
      </c>
      <c r="M578" s="8">
        <f>IF(K578&lt;I578,"✕ INSUFFISANT",IF(K578&lt;I578*1.2,"⚠ STOCK FAIBLE","✓ COUVERT"))</f>
        <v/>
      </c>
      <c r="N578" s="8" t="inlineStr">
        <is>
          <t>FAU</t>
        </is>
      </c>
      <c r="O578" s="8" t="inlineStr">
        <is>
          <t>STANDARD</t>
        </is>
      </c>
      <c r="P578" s="8" t="inlineStr">
        <is>
          <t>31/08/2026 02:59</t>
        </is>
      </c>
    </row>
    <row r="579">
      <c r="A579" s="7" t="inlineStr">
        <is>
          <t>WHAP 8x8</t>
        </is>
      </c>
      <c r="B579" s="7" t="inlineStr">
        <is>
          <t>WHAP-0575</t>
        </is>
      </c>
      <c r="C579" s="7" t="inlineStr">
        <is>
          <t>OBS-0575</t>
        </is>
      </c>
      <c r="D579" s="7" t="inlineStr">
        <is>
          <t>bloc optique</t>
        </is>
      </c>
      <c r="E579" s="7" t="inlineStr">
        <is>
          <t>Observation</t>
        </is>
      </c>
      <c r="F579" s="7" t="inlineStr">
        <is>
          <t>Observation</t>
        </is>
      </c>
      <c r="G579" s="7" t="inlineStr">
        <is>
          <t>EQUIPEMENT_VEHICULE</t>
        </is>
      </c>
      <c r="H579" s="7" t="n">
        <v>1</v>
      </c>
      <c r="I579" s="7">
        <f>H579*$D$3</f>
        <v/>
      </c>
      <c r="J579" s="7" t="inlineStr">
        <is>
          <t>unité</t>
        </is>
      </c>
      <c r="K579" s="7" t="n">
        <v>66</v>
      </c>
      <c r="L579" s="7">
        <f>K579-I579</f>
        <v/>
      </c>
      <c r="M579" s="7">
        <f>IF(K579&lt;I579,"✕ INSUFFISANT",IF(K579&lt;I579*1.2,"⚠ STOCK FAIBLE","✓ COUVERT"))</f>
        <v/>
      </c>
      <c r="N579" s="7" t="inlineStr">
        <is>
          <t>CTL</t>
        </is>
      </c>
      <c r="O579" s="7" t="inlineStr">
        <is>
          <t>STANDARD</t>
        </is>
      </c>
      <c r="P579" s="7" t="inlineStr">
        <is>
          <t>31/08/2026 02:59</t>
        </is>
      </c>
    </row>
    <row r="580">
      <c r="A580" s="8" t="inlineStr">
        <is>
          <t>WHAP 8x8</t>
        </is>
      </c>
      <c r="B580" s="8" t="inlineStr">
        <is>
          <t>WHAP-0576</t>
        </is>
      </c>
      <c r="C580" s="8" t="inlineStr">
        <is>
          <t>OBS-0576</t>
        </is>
      </c>
      <c r="D580" s="8" t="inlineStr">
        <is>
          <t>viseur conducteur</t>
        </is>
      </c>
      <c r="E580" s="8" t="inlineStr">
        <is>
          <t>Observation</t>
        </is>
      </c>
      <c r="F580" s="8" t="inlineStr">
        <is>
          <t>Observation</t>
        </is>
      </c>
      <c r="G580" s="8" t="inlineStr">
        <is>
          <t>EQUIPEMENT_VEHICULE</t>
        </is>
      </c>
      <c r="H580" s="8" t="n">
        <v>1</v>
      </c>
      <c r="I580" s="8">
        <f>H580*$D$3</f>
        <v/>
      </c>
      <c r="J580" s="8" t="inlineStr">
        <is>
          <t>unité</t>
        </is>
      </c>
      <c r="K580" s="8" t="n">
        <v>0</v>
      </c>
      <c r="L580" s="8">
        <f>K580-I580</f>
        <v/>
      </c>
      <c r="M580" s="8">
        <f>IF(K580&lt;I580,"✕ INSUFFISANT",IF(K580&lt;I580*1.2,"⚠ STOCK FAIBLE","✓ COUVERT"))</f>
        <v/>
      </c>
      <c r="N580" s="8" t="inlineStr">
        <is>
          <t>HEL</t>
        </is>
      </c>
      <c r="O580" s="8" t="inlineStr">
        <is>
          <t>STANDARD</t>
        </is>
      </c>
      <c r="P580" s="8" t="inlineStr">
        <is>
          <t>31/08/2026 02:59</t>
        </is>
      </c>
    </row>
    <row r="581">
      <c r="A581" s="7" t="inlineStr">
        <is>
          <t>WHAP 8x8</t>
        </is>
      </c>
      <c r="B581" s="7" t="inlineStr">
        <is>
          <t>WHAP-0577</t>
        </is>
      </c>
      <c r="C581" s="7" t="inlineStr">
        <is>
          <t>OBS-0577</t>
        </is>
      </c>
      <c r="D581" s="7" t="inlineStr">
        <is>
          <t>caméra avant</t>
        </is>
      </c>
      <c r="E581" s="7" t="inlineStr">
        <is>
          <t>Observation</t>
        </is>
      </c>
      <c r="F581" s="7" t="inlineStr">
        <is>
          <t>Observation</t>
        </is>
      </c>
      <c r="G581" s="7" t="inlineStr">
        <is>
          <t>EQUIPEMENT_VEHICULE</t>
        </is>
      </c>
      <c r="H581" s="7" t="n">
        <v>1</v>
      </c>
      <c r="I581" s="7">
        <f>H581*$D$3</f>
        <v/>
      </c>
      <c r="J581" s="7" t="inlineStr">
        <is>
          <t>unité</t>
        </is>
      </c>
      <c r="K581" s="7" t="n">
        <v>0</v>
      </c>
      <c r="L581" s="7">
        <f>K581-I581</f>
        <v/>
      </c>
      <c r="M581" s="7">
        <f>IF(K581&lt;I581,"✕ INSUFFISANT",IF(K581&lt;I581*1.2,"⚠ STOCK FAIBLE","✓ COUVERT"))</f>
        <v/>
      </c>
      <c r="N581" s="7" t="inlineStr">
        <is>
          <t>BOS</t>
        </is>
      </c>
      <c r="O581" s="7" t="inlineStr">
        <is>
          <t>STANDARD</t>
        </is>
      </c>
      <c r="P581" s="7" t="inlineStr">
        <is>
          <t>31/08/2026 02:59</t>
        </is>
      </c>
    </row>
    <row r="582">
      <c r="A582" s="8" t="inlineStr">
        <is>
          <t>WHAP 8x8</t>
        </is>
      </c>
      <c r="B582" s="8" t="inlineStr">
        <is>
          <t>WHAP-0578</t>
        </is>
      </c>
      <c r="C582" s="8" t="inlineStr">
        <is>
          <t>OBS-0578</t>
        </is>
      </c>
      <c r="D582" s="8" t="inlineStr">
        <is>
          <t>caméra arrière</t>
        </is>
      </c>
      <c r="E582" s="8" t="inlineStr">
        <is>
          <t>Observation</t>
        </is>
      </c>
      <c r="F582" s="8" t="inlineStr">
        <is>
          <t>Observation</t>
        </is>
      </c>
      <c r="G582" s="8" t="inlineStr">
        <is>
          <t>EQUIPEMENT_VEHICULE</t>
        </is>
      </c>
      <c r="H582" s="8" t="n">
        <v>1</v>
      </c>
      <c r="I582" s="8">
        <f>H582*$D$3</f>
        <v/>
      </c>
      <c r="J582" s="8" t="inlineStr">
        <is>
          <t>unité</t>
        </is>
      </c>
      <c r="K582" s="8" t="n">
        <v>0</v>
      </c>
      <c r="L582" s="8">
        <f>K582-I582</f>
        <v/>
      </c>
      <c r="M582" s="8">
        <f>IF(K582&lt;I582,"✕ INSUFFISANT",IF(K582&lt;I582*1.2,"⚠ STOCK FAIBLE","✓ COUVERT"))</f>
        <v/>
      </c>
      <c r="N582" s="8" t="inlineStr">
        <is>
          <t>CTL</t>
        </is>
      </c>
      <c r="O582" s="8" t="inlineStr">
        <is>
          <t>STANDARD</t>
        </is>
      </c>
      <c r="P582" s="8" t="inlineStr">
        <is>
          <t>31/08/2026 02:59</t>
        </is>
      </c>
    </row>
    <row r="583">
      <c r="A583" s="7" t="inlineStr">
        <is>
          <t>WHAP 8x8</t>
        </is>
      </c>
      <c r="B583" s="7" t="inlineStr">
        <is>
          <t>WHAP-0579</t>
        </is>
      </c>
      <c r="C583" s="7" t="inlineStr">
        <is>
          <t>OBS-0579</t>
        </is>
      </c>
      <c r="D583" s="7" t="inlineStr">
        <is>
          <t>caméra latérale</t>
        </is>
      </c>
      <c r="E583" s="7" t="inlineStr">
        <is>
          <t>Observation</t>
        </is>
      </c>
      <c r="F583" s="7" t="inlineStr">
        <is>
          <t>Observation</t>
        </is>
      </c>
      <c r="G583" s="7" t="inlineStr">
        <is>
          <t>EQUIPEMENT_VEHICULE</t>
        </is>
      </c>
      <c r="H583" s="7" t="n">
        <v>1</v>
      </c>
      <c r="I583" s="7">
        <f>H583*$D$3</f>
        <v/>
      </c>
      <c r="J583" s="7" t="inlineStr">
        <is>
          <t>unité</t>
        </is>
      </c>
      <c r="K583" s="7" t="n">
        <v>0</v>
      </c>
      <c r="L583" s="7">
        <f>K583-I583</f>
        <v/>
      </c>
      <c r="M583" s="7">
        <f>IF(K583&lt;I583,"✕ INSUFFISANT",IF(K583&lt;I583*1.2,"⚠ STOCK FAIBLE","✓ COUVERT"))</f>
        <v/>
      </c>
      <c r="N583" s="7" t="inlineStr">
        <is>
          <t>SKF</t>
        </is>
      </c>
      <c r="O583" s="7" t="inlineStr">
        <is>
          <t>STANDARD</t>
        </is>
      </c>
      <c r="P583" s="7" t="inlineStr">
        <is>
          <t>31/08/2026 02:59</t>
        </is>
      </c>
    </row>
    <row r="584">
      <c r="A584" s="8" t="inlineStr">
        <is>
          <t>WHAP 8x8</t>
        </is>
      </c>
      <c r="B584" s="8" t="inlineStr">
        <is>
          <t>WHAP-0580</t>
        </is>
      </c>
      <c r="C584" s="8" t="inlineStr">
        <is>
          <t>OBS-0580</t>
        </is>
      </c>
      <c r="D584" s="8" t="inlineStr">
        <is>
          <t>caméra thermique</t>
        </is>
      </c>
      <c r="E584" s="8" t="inlineStr">
        <is>
          <t>Observation</t>
        </is>
      </c>
      <c r="F584" s="8" t="inlineStr">
        <is>
          <t>Observation</t>
        </is>
      </c>
      <c r="G584" s="8" t="inlineStr">
        <is>
          <t>EQUIPEMENT_VEHICULE</t>
        </is>
      </c>
      <c r="H584" s="8" t="n">
        <v>1</v>
      </c>
      <c r="I584" s="8">
        <f>H584*$D$3</f>
        <v/>
      </c>
      <c r="J584" s="8" t="inlineStr">
        <is>
          <t>unité</t>
        </is>
      </c>
      <c r="K584" s="8" t="n">
        <v>0</v>
      </c>
      <c r="L584" s="8">
        <f>K584-I584</f>
        <v/>
      </c>
      <c r="M584" s="8">
        <f>IF(K584&lt;I584,"✕ INSUFFISANT",IF(K584&lt;I584*1.2,"⚠ STOCK FAIBLE","✓ COUVERT"))</f>
        <v/>
      </c>
      <c r="N584" s="8" t="inlineStr">
        <is>
          <t>SKF</t>
        </is>
      </c>
      <c r="O584" s="8" t="inlineStr">
        <is>
          <t>STANDARD</t>
        </is>
      </c>
      <c r="P584" s="8" t="inlineStr">
        <is>
          <t>31/08/2026 02:59</t>
        </is>
      </c>
    </row>
    <row r="585">
      <c r="A585" s="7" t="inlineStr">
        <is>
          <t>WHAP 8x8</t>
        </is>
      </c>
      <c r="B585" s="7" t="inlineStr">
        <is>
          <t>WHAP-0581</t>
        </is>
      </c>
      <c r="C585" s="7" t="inlineStr">
        <is>
          <t>OBS-0581</t>
        </is>
      </c>
      <c r="D585" s="7" t="inlineStr">
        <is>
          <t>module infrarouge</t>
        </is>
      </c>
      <c r="E585" s="7" t="inlineStr">
        <is>
          <t>Observation</t>
        </is>
      </c>
      <c r="F585" s="7" t="inlineStr">
        <is>
          <t>Observation</t>
        </is>
      </c>
      <c r="G585" s="7" t="inlineStr">
        <is>
          <t>EQUIPEMENT_VEHICULE</t>
        </is>
      </c>
      <c r="H585" s="7" t="n">
        <v>1</v>
      </c>
      <c r="I585" s="7">
        <f>H585*$D$3</f>
        <v/>
      </c>
      <c r="J585" s="7" t="inlineStr">
        <is>
          <t>unité</t>
        </is>
      </c>
      <c r="K585" s="7" t="n">
        <v>0</v>
      </c>
      <c r="L585" s="7">
        <f>K585-I585</f>
        <v/>
      </c>
      <c r="M585" s="7">
        <f>IF(K585&lt;I585,"✕ INSUFFISANT",IF(K585&lt;I585*1.2,"⚠ STOCK FAIBLE","✓ COUVERT"))</f>
        <v/>
      </c>
      <c r="N585" s="7" t="inlineStr">
        <is>
          <t>SUM</t>
        </is>
      </c>
      <c r="O585" s="7" t="inlineStr">
        <is>
          <t>STANDARD</t>
        </is>
      </c>
      <c r="P585" s="7" t="inlineStr">
        <is>
          <t>31/08/2026 02:59</t>
        </is>
      </c>
    </row>
    <row r="586">
      <c r="A586" s="8" t="inlineStr">
        <is>
          <t>WHAP 8x8</t>
        </is>
      </c>
      <c r="B586" s="8" t="inlineStr">
        <is>
          <t>WHAP-0582</t>
        </is>
      </c>
      <c r="C586" s="8" t="inlineStr">
        <is>
          <t>OBS-0582</t>
        </is>
      </c>
      <c r="D586" s="8" t="inlineStr">
        <is>
          <t>écran caméra</t>
        </is>
      </c>
      <c r="E586" s="8" t="inlineStr">
        <is>
          <t>Observation</t>
        </is>
      </c>
      <c r="F586" s="8" t="inlineStr">
        <is>
          <t>Observation</t>
        </is>
      </c>
      <c r="G586" s="8" t="inlineStr">
        <is>
          <t>EQUIPEMENT_VEHICULE</t>
        </is>
      </c>
      <c r="H586" s="8" t="n">
        <v>1</v>
      </c>
      <c r="I586" s="8">
        <f>H586*$D$3</f>
        <v/>
      </c>
      <c r="J586" s="8" t="inlineStr">
        <is>
          <t>unité</t>
        </is>
      </c>
      <c r="K586" s="8" t="n">
        <v>0</v>
      </c>
      <c r="L586" s="8">
        <f>K586-I586</f>
        <v/>
      </c>
      <c r="M586" s="8">
        <f>IF(K586&lt;I586,"✕ INSUFFISANT",IF(K586&lt;I586*1.2,"⚠ STOCK FAIBLE","✓ COUVERT"))</f>
        <v/>
      </c>
      <c r="N586" s="8" t="inlineStr">
        <is>
          <t>VAL</t>
        </is>
      </c>
      <c r="O586" s="8" t="inlineStr">
        <is>
          <t>STANDARD</t>
        </is>
      </c>
      <c r="P586" s="8" t="inlineStr">
        <is>
          <t>31/08/2026 02:59</t>
        </is>
      </c>
    </row>
    <row r="587">
      <c r="A587" s="7" t="inlineStr">
        <is>
          <t>WHAP 8x8</t>
        </is>
      </c>
      <c r="B587" s="7" t="inlineStr">
        <is>
          <t>WHAP-0583</t>
        </is>
      </c>
      <c r="C587" s="7" t="inlineStr">
        <is>
          <t>OBS-0583</t>
        </is>
      </c>
      <c r="D587" s="7" t="inlineStr">
        <is>
          <t>unité de traitement vidéo</t>
        </is>
      </c>
      <c r="E587" s="7" t="inlineStr">
        <is>
          <t>Observation</t>
        </is>
      </c>
      <c r="F587" s="7" t="inlineStr">
        <is>
          <t>Observation</t>
        </is>
      </c>
      <c r="G587" s="7" t="inlineStr">
        <is>
          <t>EQUIPEMENT_VEHICULE</t>
        </is>
      </c>
      <c r="H587" s="7" t="n">
        <v>1</v>
      </c>
      <c r="I587" s="7">
        <f>H587*$D$3</f>
        <v/>
      </c>
      <c r="J587" s="7" t="inlineStr">
        <is>
          <t>unité</t>
        </is>
      </c>
      <c r="K587" s="7" t="n">
        <v>0</v>
      </c>
      <c r="L587" s="7">
        <f>K587-I587</f>
        <v/>
      </c>
      <c r="M587" s="7">
        <f>IF(K587&lt;I587,"✕ INSUFFISANT",IF(K587&lt;I587*1.2,"⚠ STOCK FAIBLE","✓ COUVERT"))</f>
        <v/>
      </c>
      <c r="N587" s="7" t="inlineStr">
        <is>
          <t>HEL</t>
        </is>
      </c>
      <c r="O587" s="7" t="inlineStr">
        <is>
          <t>STANDARD</t>
        </is>
      </c>
      <c r="P587" s="7" t="inlineStr">
        <is>
          <t>31/08/2026 02:59</t>
        </is>
      </c>
    </row>
    <row r="588">
      <c r="A588" s="8" t="inlineStr">
        <is>
          <t>WHAP 8x8</t>
        </is>
      </c>
      <c r="B588" s="8" t="inlineStr">
        <is>
          <t>WHAP-0584</t>
        </is>
      </c>
      <c r="C588" s="8" t="inlineStr">
        <is>
          <t>OBS-0584</t>
        </is>
      </c>
      <c r="D588" s="8" t="inlineStr">
        <is>
          <t>câble vidéo</t>
        </is>
      </c>
      <c r="E588" s="8" t="inlineStr">
        <is>
          <t>Observation</t>
        </is>
      </c>
      <c r="F588" s="8" t="inlineStr">
        <is>
          <t>Observation</t>
        </is>
      </c>
      <c r="G588" s="8" t="inlineStr">
        <is>
          <t>EQUIPEMENT_VEHICULE</t>
        </is>
      </c>
      <c r="H588" s="8" t="n">
        <v>1</v>
      </c>
      <c r="I588" s="8">
        <f>H588*$D$3</f>
        <v/>
      </c>
      <c r="J588" s="8" t="inlineStr">
        <is>
          <t>unité</t>
        </is>
      </c>
      <c r="K588" s="8" t="n">
        <v>0</v>
      </c>
      <c r="L588" s="8">
        <f>K588-I588</f>
        <v/>
      </c>
      <c r="M588" s="8">
        <f>IF(K588&lt;I588,"✕ INSUFFISANT",IF(K588&lt;I588*1.2,"⚠ STOCK FAIBLE","✓ COUVERT"))</f>
        <v/>
      </c>
      <c r="N588" s="8" t="inlineStr">
        <is>
          <t>VAL</t>
        </is>
      </c>
      <c r="O588" s="8" t="inlineStr">
        <is>
          <t>STANDARD</t>
        </is>
      </c>
      <c r="P588" s="8" t="inlineStr">
        <is>
          <t>31/08/2026 02:59</t>
        </is>
      </c>
    </row>
    <row r="589">
      <c r="A589" s="7" t="inlineStr">
        <is>
          <t>WHAP 8x8</t>
        </is>
      </c>
      <c r="B589" s="7" t="inlineStr">
        <is>
          <t>WHAP-0585</t>
        </is>
      </c>
      <c r="C589" s="7" t="inlineStr">
        <is>
          <t>OBS-0585</t>
        </is>
      </c>
      <c r="D589" s="7" t="inlineStr">
        <is>
          <t>connecteur vidéo</t>
        </is>
      </c>
      <c r="E589" s="7" t="inlineStr">
        <is>
          <t>Observation</t>
        </is>
      </c>
      <c r="F589" s="7" t="inlineStr">
        <is>
          <t>Observation</t>
        </is>
      </c>
      <c r="G589" s="7" t="inlineStr">
        <is>
          <t>EQUIPEMENT_VEHICULE</t>
        </is>
      </c>
      <c r="H589" s="7" t="n">
        <v>1</v>
      </c>
      <c r="I589" s="7">
        <f>H589*$D$3</f>
        <v/>
      </c>
      <c r="J589" s="7" t="inlineStr">
        <is>
          <t>unité</t>
        </is>
      </c>
      <c r="K589" s="7" t="n">
        <v>0</v>
      </c>
      <c r="L589" s="7">
        <f>K589-I589</f>
        <v/>
      </c>
      <c r="M589" s="7">
        <f>IF(K589&lt;I589,"✕ INSUFFISANT",IF(K589&lt;I589*1.2,"⚠ STOCK FAIBLE","✓ COUVERT"))</f>
        <v/>
      </c>
      <c r="N589" s="7" t="inlineStr">
        <is>
          <t>SKF</t>
        </is>
      </c>
      <c r="O589" s="7" t="inlineStr">
        <is>
          <t>STANDARD</t>
        </is>
      </c>
      <c r="P589" s="7" t="inlineStr">
        <is>
          <t>31/08/2026 02:59</t>
        </is>
      </c>
    </row>
    <row r="590">
      <c r="A590" s="8" t="inlineStr">
        <is>
          <t>WHAP 8x8</t>
        </is>
      </c>
      <c r="B590" s="8" t="inlineStr">
        <is>
          <t>WHAP-0586</t>
        </is>
      </c>
      <c r="C590" s="8" t="inlineStr">
        <is>
          <t>OBS-0586</t>
        </is>
      </c>
      <c r="D590" s="8" t="inlineStr">
        <is>
          <t>support caméra</t>
        </is>
      </c>
      <c r="E590" s="8" t="inlineStr">
        <is>
          <t>Observation</t>
        </is>
      </c>
      <c r="F590" s="8" t="inlineStr">
        <is>
          <t>Observation</t>
        </is>
      </c>
      <c r="G590" s="8" t="inlineStr">
        <is>
          <t>EQUIPEMENT_VEHICULE</t>
        </is>
      </c>
      <c r="H590" s="8" t="n">
        <v>1</v>
      </c>
      <c r="I590" s="8">
        <f>H590*$D$3</f>
        <v/>
      </c>
      <c r="J590" s="8" t="inlineStr">
        <is>
          <t>unité</t>
        </is>
      </c>
      <c r="K590" s="8" t="n">
        <v>0</v>
      </c>
      <c r="L590" s="8">
        <f>K590-I590</f>
        <v/>
      </c>
      <c r="M590" s="8">
        <f>IF(K590&lt;I590,"✕ INSUFFISANT",IF(K590&lt;I590*1.2,"⚠ STOCK FAIBLE","✓ COUVERT"))</f>
        <v/>
      </c>
      <c r="N590" s="8" t="inlineStr">
        <is>
          <t>SUM</t>
        </is>
      </c>
      <c r="O590" s="8" t="inlineStr">
        <is>
          <t>STANDARD</t>
        </is>
      </c>
      <c r="P590" s="8" t="inlineStr">
        <is>
          <t>31/08/2026 02:59</t>
        </is>
      </c>
    </row>
    <row r="591">
      <c r="A591" s="7" t="inlineStr">
        <is>
          <t>WHAP 8x8</t>
        </is>
      </c>
      <c r="B591" s="7" t="inlineStr">
        <is>
          <t>WHAP-0587</t>
        </is>
      </c>
      <c r="C591" s="7" t="inlineStr">
        <is>
          <t>OBS-0587</t>
        </is>
      </c>
      <c r="D591" s="7" t="inlineStr">
        <is>
          <t>capot caméra</t>
        </is>
      </c>
      <c r="E591" s="7" t="inlineStr">
        <is>
          <t>Observation</t>
        </is>
      </c>
      <c r="F591" s="7" t="inlineStr">
        <is>
          <t>Observation</t>
        </is>
      </c>
      <c r="G591" s="7" t="inlineStr">
        <is>
          <t>EQUIPEMENT_VEHICULE</t>
        </is>
      </c>
      <c r="H591" s="7" t="n">
        <v>1</v>
      </c>
      <c r="I591" s="7">
        <f>H591*$D$3</f>
        <v/>
      </c>
      <c r="J591" s="7" t="inlineStr">
        <is>
          <t>unité</t>
        </is>
      </c>
      <c r="K591" s="7" t="n">
        <v>0</v>
      </c>
      <c r="L591" s="7">
        <f>K591-I591</f>
        <v/>
      </c>
      <c r="M591" s="7">
        <f>IF(K591&lt;I591,"✕ INSUFFISANT",IF(K591&lt;I591*1.2,"⚠ STOCK FAIBLE","✓ COUVERT"))</f>
        <v/>
      </c>
      <c r="N591" s="7" t="inlineStr">
        <is>
          <t>SUM</t>
        </is>
      </c>
      <c r="O591" s="7" t="inlineStr">
        <is>
          <t>STANDARD</t>
        </is>
      </c>
      <c r="P591" s="7" t="inlineStr">
        <is>
          <t>31/08/2026 02:59</t>
        </is>
      </c>
    </row>
    <row r="592">
      <c r="A592" s="8" t="inlineStr">
        <is>
          <t>WHAP 8x8</t>
        </is>
      </c>
      <c r="B592" s="8" t="inlineStr">
        <is>
          <t>WHAP-0588</t>
        </is>
      </c>
      <c r="C592" s="8" t="inlineStr">
        <is>
          <t>OBS-0588</t>
        </is>
      </c>
      <c r="D592" s="8" t="inlineStr">
        <is>
          <t>essuie-optique</t>
        </is>
      </c>
      <c r="E592" s="8" t="inlineStr">
        <is>
          <t>Observation</t>
        </is>
      </c>
      <c r="F592" s="8" t="inlineStr">
        <is>
          <t>Observation</t>
        </is>
      </c>
      <c r="G592" s="8" t="inlineStr">
        <is>
          <t>EQUIPEMENT_VEHICULE</t>
        </is>
      </c>
      <c r="H592" s="8" t="n">
        <v>1</v>
      </c>
      <c r="I592" s="8">
        <f>H592*$D$3</f>
        <v/>
      </c>
      <c r="J592" s="8" t="inlineStr">
        <is>
          <t>unité</t>
        </is>
      </c>
      <c r="K592" s="8" t="n">
        <v>0</v>
      </c>
      <c r="L592" s="8">
        <f>K592-I592</f>
        <v/>
      </c>
      <c r="M592" s="8">
        <f>IF(K592&lt;I592,"✕ INSUFFISANT",IF(K592&lt;I592*1.2,"⚠ STOCK FAIBLE","✓ COUVERT"))</f>
        <v/>
      </c>
      <c r="N592" s="8" t="inlineStr">
        <is>
          <t>SKF</t>
        </is>
      </c>
      <c r="O592" s="8" t="inlineStr">
        <is>
          <t>STANDARD</t>
        </is>
      </c>
      <c r="P592" s="8" t="inlineStr">
        <is>
          <t>31/08/2026 02:59</t>
        </is>
      </c>
    </row>
    <row r="593">
      <c r="A593" s="7" t="inlineStr">
        <is>
          <t>WHAP 8x8</t>
        </is>
      </c>
      <c r="B593" s="7" t="inlineStr">
        <is>
          <t>WHAP-0589</t>
        </is>
      </c>
      <c r="C593" s="7" t="inlineStr">
        <is>
          <t>OBS-0589</t>
        </is>
      </c>
      <c r="D593" s="7" t="inlineStr">
        <is>
          <t>chauffage optique</t>
        </is>
      </c>
      <c r="E593" s="7" t="inlineStr">
        <is>
          <t>Observation</t>
        </is>
      </c>
      <c r="F593" s="7" t="inlineStr">
        <is>
          <t>Observation</t>
        </is>
      </c>
      <c r="G593" s="7" t="inlineStr">
        <is>
          <t>EQUIPEMENT_VEHICULE</t>
        </is>
      </c>
      <c r="H593" s="7" t="n">
        <v>1</v>
      </c>
      <c r="I593" s="7">
        <f>H593*$D$3</f>
        <v/>
      </c>
      <c r="J593" s="7" t="inlineStr">
        <is>
          <t>unité</t>
        </is>
      </c>
      <c r="K593" s="7" t="n">
        <v>0</v>
      </c>
      <c r="L593" s="7">
        <f>K593-I593</f>
        <v/>
      </c>
      <c r="M593" s="7">
        <f>IF(K593&lt;I593,"✕ INSUFFISANT",IF(K593&lt;I593*1.2,"⚠ STOCK FAIBLE","✓ COUVERT"))</f>
        <v/>
      </c>
      <c r="N593" s="7" t="inlineStr">
        <is>
          <t>FAU</t>
        </is>
      </c>
      <c r="O593" s="7" t="inlineStr">
        <is>
          <t>STANDARD</t>
        </is>
      </c>
      <c r="P593" s="7" t="inlineStr">
        <is>
          <t>31/08/2026 02:59</t>
        </is>
      </c>
    </row>
    <row r="594">
      <c r="A594" s="8" t="inlineStr">
        <is>
          <t>WHAP 8x8</t>
        </is>
      </c>
      <c r="B594" s="8" t="inlineStr">
        <is>
          <t>WHAP-0590</t>
        </is>
      </c>
      <c r="C594" s="8" t="inlineStr">
        <is>
          <t>OBS-0590</t>
        </is>
      </c>
      <c r="D594" s="8" t="inlineStr">
        <is>
          <t>capteur luminosité</t>
        </is>
      </c>
      <c r="E594" s="8" t="inlineStr">
        <is>
          <t>Observation</t>
        </is>
      </c>
      <c r="F594" s="8" t="inlineStr">
        <is>
          <t>Observation</t>
        </is>
      </c>
      <c r="G594" s="8" t="inlineStr">
        <is>
          <t>EQUIPEMENT_VEHICULE</t>
        </is>
      </c>
      <c r="H594" s="8" t="n">
        <v>1</v>
      </c>
      <c r="I594" s="8">
        <f>H594*$D$3</f>
        <v/>
      </c>
      <c r="J594" s="8" t="inlineStr">
        <is>
          <t>unité</t>
        </is>
      </c>
      <c r="K594" s="8" t="n">
        <v>0</v>
      </c>
      <c r="L594" s="8">
        <f>K594-I594</f>
        <v/>
      </c>
      <c r="M594" s="8">
        <f>IF(K594&lt;I594,"✕ INSUFFISANT",IF(K594&lt;I594*1.2,"⚠ STOCK FAIBLE","✓ COUVERT"))</f>
        <v/>
      </c>
      <c r="N594" s="8" t="inlineStr">
        <is>
          <t>BOS</t>
        </is>
      </c>
      <c r="O594" s="8" t="inlineStr">
        <is>
          <t>STANDARD</t>
        </is>
      </c>
      <c r="P594" s="8" t="inlineStr">
        <is>
          <t>31/08/2026 02:59</t>
        </is>
      </c>
    </row>
    <row r="595">
      <c r="A595" s="7" t="inlineStr">
        <is>
          <t>WHAP 8x8</t>
        </is>
      </c>
      <c r="B595" s="7" t="inlineStr">
        <is>
          <t>WHAP-0591</t>
        </is>
      </c>
      <c r="C595" s="7" t="inlineStr">
        <is>
          <t>TRE-0591</t>
        </is>
      </c>
      <c r="D595" s="7" t="inlineStr">
        <is>
          <t>treuil hydraulique</t>
        </is>
      </c>
      <c r="E595" s="7" t="inlineStr">
        <is>
          <t>Treuil et récupération</t>
        </is>
      </c>
      <c r="F595" s="7" t="inlineStr">
        <is>
          <t>Treuil et récupération</t>
        </is>
      </c>
      <c r="G595" s="7" t="inlineStr">
        <is>
          <t>EQUIPEMENT_VEHICULE</t>
        </is>
      </c>
      <c r="H595" s="7" t="n">
        <v>1</v>
      </c>
      <c r="I595" s="7">
        <f>H595*$D$3</f>
        <v/>
      </c>
      <c r="J595" s="7" t="inlineStr">
        <is>
          <t>unité</t>
        </is>
      </c>
      <c r="K595" s="7" t="n">
        <v>120</v>
      </c>
      <c r="L595" s="7">
        <f>K595-I595</f>
        <v/>
      </c>
      <c r="M595" s="7">
        <f>IF(K595&lt;I595,"✕ INSUFFISANT",IF(K595&lt;I595*1.2,"⚠ STOCK FAIBLE","✓ COUVERT"))</f>
        <v/>
      </c>
      <c r="N595" s="7" t="inlineStr">
        <is>
          <t>SUM</t>
        </is>
      </c>
      <c r="O595" s="7" t="inlineStr">
        <is>
          <t>STANDARD</t>
        </is>
      </c>
      <c r="P595" s="7" t="inlineStr">
        <is>
          <t>31/08/2026 02:59</t>
        </is>
      </c>
    </row>
    <row r="596">
      <c r="A596" s="8" t="inlineStr">
        <is>
          <t>WHAP 8x8</t>
        </is>
      </c>
      <c r="B596" s="8" t="inlineStr">
        <is>
          <t>WHAP-0592</t>
        </is>
      </c>
      <c r="C596" s="8" t="inlineStr">
        <is>
          <t>TRE-0592</t>
        </is>
      </c>
      <c r="D596" s="8" t="inlineStr">
        <is>
          <t>moteur hydraulique de treuil</t>
        </is>
      </c>
      <c r="E596" s="8" t="inlineStr">
        <is>
          <t>Treuil et récupération</t>
        </is>
      </c>
      <c r="F596" s="8" t="inlineStr">
        <is>
          <t>Treuil et récupération</t>
        </is>
      </c>
      <c r="G596" s="8" t="inlineStr">
        <is>
          <t>EQUIPEMENT_VEHICULE</t>
        </is>
      </c>
      <c r="H596" s="8" t="n">
        <v>1</v>
      </c>
      <c r="I596" s="8">
        <f>H596*$D$3</f>
        <v/>
      </c>
      <c r="J596" s="8" t="inlineStr">
        <is>
          <t>unité</t>
        </is>
      </c>
      <c r="K596" s="8" t="n">
        <v>70</v>
      </c>
      <c r="L596" s="8">
        <f>K596-I596</f>
        <v/>
      </c>
      <c r="M596" s="8">
        <f>IF(K596&lt;I596,"✕ INSUFFISANT",IF(K596&lt;I596*1.2,"⚠ STOCK FAIBLE","✓ COUVERT"))</f>
        <v/>
      </c>
      <c r="N596" s="8" t="inlineStr">
        <is>
          <t>FAU</t>
        </is>
      </c>
      <c r="O596" s="8" t="inlineStr">
        <is>
          <t>STANDARD</t>
        </is>
      </c>
      <c r="P596" s="8" t="inlineStr">
        <is>
          <t>31/08/2026 02:59</t>
        </is>
      </c>
    </row>
    <row r="597">
      <c r="A597" s="7" t="inlineStr">
        <is>
          <t>WHAP 8x8</t>
        </is>
      </c>
      <c r="B597" s="7" t="inlineStr">
        <is>
          <t>WHAP-0593</t>
        </is>
      </c>
      <c r="C597" s="7" t="inlineStr">
        <is>
          <t>TRE-0593</t>
        </is>
      </c>
      <c r="D597" s="7" t="inlineStr">
        <is>
          <t>tambour</t>
        </is>
      </c>
      <c r="E597" s="7" t="inlineStr">
        <is>
          <t>Treuil et récupération</t>
        </is>
      </c>
      <c r="F597" s="7" t="inlineStr">
        <is>
          <t>Treuil et récupération</t>
        </is>
      </c>
      <c r="G597" s="7" t="inlineStr">
        <is>
          <t>EQUIPEMENT_VEHICULE</t>
        </is>
      </c>
      <c r="H597" s="7" t="n">
        <v>1</v>
      </c>
      <c r="I597" s="7">
        <f>H597*$D$3</f>
        <v/>
      </c>
      <c r="J597" s="7" t="inlineStr">
        <is>
          <t>unité</t>
        </is>
      </c>
      <c r="K597" s="7" t="n">
        <v>0</v>
      </c>
      <c r="L597" s="7">
        <f>K597-I597</f>
        <v/>
      </c>
      <c r="M597" s="7">
        <f>IF(K597&lt;I597,"✕ INSUFFISANT",IF(K597&lt;I597*1.2,"⚠ STOCK FAIBLE","✓ COUVERT"))</f>
        <v/>
      </c>
      <c r="N597" s="7" t="inlineStr">
        <is>
          <t>HEL</t>
        </is>
      </c>
      <c r="O597" s="7" t="inlineStr">
        <is>
          <t>STANDARD</t>
        </is>
      </c>
      <c r="P597" s="7" t="inlineStr">
        <is>
          <t>31/08/2026 02:59</t>
        </is>
      </c>
    </row>
    <row r="598">
      <c r="A598" s="8" t="inlineStr">
        <is>
          <t>WHAP 8x8</t>
        </is>
      </c>
      <c r="B598" s="8" t="inlineStr">
        <is>
          <t>WHAP-0594</t>
        </is>
      </c>
      <c r="C598" s="8" t="inlineStr">
        <is>
          <t>TRE-0594</t>
        </is>
      </c>
      <c r="D598" s="8" t="inlineStr">
        <is>
          <t>câble de treuil</t>
        </is>
      </c>
      <c r="E598" s="8" t="inlineStr">
        <is>
          <t>Treuil et récupération</t>
        </is>
      </c>
      <c r="F598" s="8" t="inlineStr">
        <is>
          <t>Treuil et récupération</t>
        </is>
      </c>
      <c r="G598" s="8" t="inlineStr">
        <is>
          <t>EQUIPEMENT_VEHICULE</t>
        </is>
      </c>
      <c r="H598" s="8" t="n">
        <v>1</v>
      </c>
      <c r="I598" s="8">
        <f>H598*$D$3</f>
        <v/>
      </c>
      <c r="J598" s="8" t="inlineStr">
        <is>
          <t>unité</t>
        </is>
      </c>
      <c r="K598" s="8" t="n">
        <v>0</v>
      </c>
      <c r="L598" s="8">
        <f>K598-I598</f>
        <v/>
      </c>
      <c r="M598" s="8">
        <f>IF(K598&lt;I598,"✕ INSUFFISANT",IF(K598&lt;I598*1.2,"⚠ STOCK FAIBLE","✓ COUVERT"))</f>
        <v/>
      </c>
      <c r="N598" s="8" t="inlineStr">
        <is>
          <t>SUM</t>
        </is>
      </c>
      <c r="O598" s="8" t="inlineStr">
        <is>
          <t>STANDARD</t>
        </is>
      </c>
      <c r="P598" s="8" t="inlineStr">
        <is>
          <t>31/08/2026 02:59</t>
        </is>
      </c>
    </row>
    <row r="599">
      <c r="A599" s="7" t="inlineStr">
        <is>
          <t>WHAP 8x8</t>
        </is>
      </c>
      <c r="B599" s="7" t="inlineStr">
        <is>
          <t>WHAP-0595</t>
        </is>
      </c>
      <c r="C599" s="7" t="inlineStr">
        <is>
          <t>TRE-0595</t>
        </is>
      </c>
      <c r="D599" s="7" t="inlineStr">
        <is>
          <t>crochet de treuil</t>
        </is>
      </c>
      <c r="E599" s="7" t="inlineStr">
        <is>
          <t>Treuil et récupération</t>
        </is>
      </c>
      <c r="F599" s="7" t="inlineStr">
        <is>
          <t>Treuil et récupération</t>
        </is>
      </c>
      <c r="G599" s="7" t="inlineStr">
        <is>
          <t>EQUIPEMENT_VEHICULE</t>
        </is>
      </c>
      <c r="H599" s="7" t="n">
        <v>1</v>
      </c>
      <c r="I599" s="7">
        <f>H599*$D$3</f>
        <v/>
      </c>
      <c r="J599" s="7" t="inlineStr">
        <is>
          <t>unité</t>
        </is>
      </c>
      <c r="K599" s="7" t="n">
        <v>0</v>
      </c>
      <c r="L599" s="7">
        <f>K599-I599</f>
        <v/>
      </c>
      <c r="M599" s="7">
        <f>IF(K599&lt;I599,"✕ INSUFFISANT",IF(K599&lt;I599*1.2,"⚠ STOCK FAIBLE","✓ COUVERT"))</f>
        <v/>
      </c>
      <c r="N599" s="7" t="inlineStr">
        <is>
          <t>VAL</t>
        </is>
      </c>
      <c r="O599" s="7" t="inlineStr">
        <is>
          <t>STANDARD</t>
        </is>
      </c>
      <c r="P599" s="7" t="inlineStr">
        <is>
          <t>31/08/2026 02:59</t>
        </is>
      </c>
    </row>
    <row r="600">
      <c r="A600" s="8" t="inlineStr">
        <is>
          <t>WHAP 8x8</t>
        </is>
      </c>
      <c r="B600" s="8" t="inlineStr">
        <is>
          <t>WHAP-0596</t>
        </is>
      </c>
      <c r="C600" s="8" t="inlineStr">
        <is>
          <t>TRE-0596</t>
        </is>
      </c>
      <c r="D600" s="8" t="inlineStr">
        <is>
          <t>guide-câble</t>
        </is>
      </c>
      <c r="E600" s="8" t="inlineStr">
        <is>
          <t>Treuil et récupération</t>
        </is>
      </c>
      <c r="F600" s="8" t="inlineStr">
        <is>
          <t>Treuil et récupération</t>
        </is>
      </c>
      <c r="G600" s="8" t="inlineStr">
        <is>
          <t>EQUIPEMENT_VEHICULE</t>
        </is>
      </c>
      <c r="H600" s="8" t="n">
        <v>1</v>
      </c>
      <c r="I600" s="8">
        <f>H600*$D$3</f>
        <v/>
      </c>
      <c r="J600" s="8" t="inlineStr">
        <is>
          <t>unité</t>
        </is>
      </c>
      <c r="K600" s="8" t="n">
        <v>0</v>
      </c>
      <c r="L600" s="8">
        <f>K600-I600</f>
        <v/>
      </c>
      <c r="M600" s="8">
        <f>IF(K600&lt;I600,"✕ INSUFFISANT",IF(K600&lt;I600*1.2,"⚠ STOCK FAIBLE","✓ COUVERT"))</f>
        <v/>
      </c>
      <c r="N600" s="8" t="inlineStr">
        <is>
          <t>BOS</t>
        </is>
      </c>
      <c r="O600" s="8" t="inlineStr">
        <is>
          <t>STANDARD</t>
        </is>
      </c>
      <c r="P600" s="8" t="inlineStr">
        <is>
          <t>31/08/2026 02:59</t>
        </is>
      </c>
    </row>
    <row r="601">
      <c r="A601" s="7" t="inlineStr">
        <is>
          <t>WHAP 8x8</t>
        </is>
      </c>
      <c r="B601" s="7" t="inlineStr">
        <is>
          <t>WHAP-0597</t>
        </is>
      </c>
      <c r="C601" s="7" t="inlineStr">
        <is>
          <t>TRE-0597</t>
        </is>
      </c>
      <c r="D601" s="7" t="inlineStr">
        <is>
          <t>galet de guidage</t>
        </is>
      </c>
      <c r="E601" s="7" t="inlineStr">
        <is>
          <t>Treuil et récupération</t>
        </is>
      </c>
      <c r="F601" s="7" t="inlineStr">
        <is>
          <t>Treuil et récupération</t>
        </is>
      </c>
      <c r="G601" s="7" t="inlineStr">
        <is>
          <t>EQUIPEMENT_VEHICULE</t>
        </is>
      </c>
      <c r="H601" s="7" t="n">
        <v>1</v>
      </c>
      <c r="I601" s="7">
        <f>H601*$D$3</f>
        <v/>
      </c>
      <c r="J601" s="7" t="inlineStr">
        <is>
          <t>unité</t>
        </is>
      </c>
      <c r="K601" s="7" t="n">
        <v>0</v>
      </c>
      <c r="L601" s="7">
        <f>K601-I601</f>
        <v/>
      </c>
      <c r="M601" s="7">
        <f>IF(K601&lt;I601,"✕ INSUFFISANT",IF(K601&lt;I601*1.2,"⚠ STOCK FAIBLE","✓ COUVERT"))</f>
        <v/>
      </c>
      <c r="N601" s="7" t="inlineStr">
        <is>
          <t>HEL</t>
        </is>
      </c>
      <c r="O601" s="7" t="inlineStr">
        <is>
          <t>STANDARD</t>
        </is>
      </c>
      <c r="P601" s="7" t="inlineStr">
        <is>
          <t>31/08/2026 02:59</t>
        </is>
      </c>
    </row>
    <row r="602">
      <c r="A602" s="8" t="inlineStr">
        <is>
          <t>WHAP 8x8</t>
        </is>
      </c>
      <c r="B602" s="8" t="inlineStr">
        <is>
          <t>WHAP-0598</t>
        </is>
      </c>
      <c r="C602" s="8" t="inlineStr">
        <is>
          <t>TRE-0598</t>
        </is>
      </c>
      <c r="D602" s="8" t="inlineStr">
        <is>
          <t>embrayage de treuil</t>
        </is>
      </c>
      <c r="E602" s="8" t="inlineStr">
        <is>
          <t>Treuil et récupération</t>
        </is>
      </c>
      <c r="F602" s="8" t="inlineStr">
        <is>
          <t>Treuil et récupération</t>
        </is>
      </c>
      <c r="G602" s="8" t="inlineStr">
        <is>
          <t>EQUIPEMENT_VEHICULE</t>
        </is>
      </c>
      <c r="H602" s="8" t="n">
        <v>1</v>
      </c>
      <c r="I602" s="8">
        <f>H602*$D$3</f>
        <v/>
      </c>
      <c r="J602" s="8" t="inlineStr">
        <is>
          <t>unité</t>
        </is>
      </c>
      <c r="K602" s="8" t="n">
        <v>0</v>
      </c>
      <c r="L602" s="8">
        <f>K602-I602</f>
        <v/>
      </c>
      <c r="M602" s="8">
        <f>IF(K602&lt;I602,"✕ INSUFFISANT",IF(K602&lt;I602*1.2,"⚠ STOCK FAIBLE","✓ COUVERT"))</f>
        <v/>
      </c>
      <c r="N602" s="8" t="inlineStr">
        <is>
          <t>DEL</t>
        </is>
      </c>
      <c r="O602" s="8" t="inlineStr">
        <is>
          <t>STANDARD</t>
        </is>
      </c>
      <c r="P602" s="8" t="inlineStr">
        <is>
          <t>31/08/2026 02:59</t>
        </is>
      </c>
    </row>
    <row r="603">
      <c r="A603" s="7" t="inlineStr">
        <is>
          <t>WHAP 8x8</t>
        </is>
      </c>
      <c r="B603" s="7" t="inlineStr">
        <is>
          <t>WHAP-0599</t>
        </is>
      </c>
      <c r="C603" s="7" t="inlineStr">
        <is>
          <t>TRE-0599</t>
        </is>
      </c>
      <c r="D603" s="7" t="inlineStr">
        <is>
          <t>frein de treuil</t>
        </is>
      </c>
      <c r="E603" s="7" t="inlineStr">
        <is>
          <t>Treuil et récupération</t>
        </is>
      </c>
      <c r="F603" s="7" t="inlineStr">
        <is>
          <t>Treuil et récupération</t>
        </is>
      </c>
      <c r="G603" s="7" t="inlineStr">
        <is>
          <t>EQUIPEMENT_VEHICULE</t>
        </is>
      </c>
      <c r="H603" s="7" t="n">
        <v>1</v>
      </c>
      <c r="I603" s="7">
        <f>H603*$D$3</f>
        <v/>
      </c>
      <c r="J603" s="7" t="inlineStr">
        <is>
          <t>unité</t>
        </is>
      </c>
      <c r="K603" s="7" t="n">
        <v>0</v>
      </c>
      <c r="L603" s="7">
        <f>K603-I603</f>
        <v/>
      </c>
      <c r="M603" s="7">
        <f>IF(K603&lt;I603,"✕ INSUFFISANT",IF(K603&lt;I603*1.2,"⚠ STOCK FAIBLE","✓ COUVERT"))</f>
        <v/>
      </c>
      <c r="N603" s="7" t="inlineStr">
        <is>
          <t>FAU</t>
        </is>
      </c>
      <c r="O603" s="7" t="inlineStr">
        <is>
          <t>STANDARD</t>
        </is>
      </c>
      <c r="P603" s="7" t="inlineStr">
        <is>
          <t>31/08/2026 02:59</t>
        </is>
      </c>
    </row>
    <row r="604">
      <c r="A604" s="8" t="inlineStr">
        <is>
          <t>WHAP 8x8</t>
        </is>
      </c>
      <c r="B604" s="8" t="inlineStr">
        <is>
          <t>WHAP-0600</t>
        </is>
      </c>
      <c r="C604" s="8" t="inlineStr">
        <is>
          <t>TRE-0600</t>
        </is>
      </c>
      <c r="D604" s="8" t="inlineStr">
        <is>
          <t>réducteur de treuil</t>
        </is>
      </c>
      <c r="E604" s="8" t="inlineStr">
        <is>
          <t>Treuil et récupération</t>
        </is>
      </c>
      <c r="F604" s="8" t="inlineStr">
        <is>
          <t>Treuil et récupération</t>
        </is>
      </c>
      <c r="G604" s="8" t="inlineStr">
        <is>
          <t>EQUIPEMENT_VEHICULE</t>
        </is>
      </c>
      <c r="H604" s="8" t="n">
        <v>1</v>
      </c>
      <c r="I604" s="8">
        <f>H604*$D$3</f>
        <v/>
      </c>
      <c r="J604" s="8" t="inlineStr">
        <is>
          <t>unité</t>
        </is>
      </c>
      <c r="K604" s="8" t="n">
        <v>0</v>
      </c>
      <c r="L604" s="8">
        <f>K604-I604</f>
        <v/>
      </c>
      <c r="M604" s="8">
        <f>IF(K604&lt;I604,"✕ INSUFFISANT",IF(K604&lt;I604*1.2,"⚠ STOCK FAIBLE","✓ COUVERT"))</f>
        <v/>
      </c>
      <c r="N604" s="8" t="inlineStr">
        <is>
          <t>FAU</t>
        </is>
      </c>
      <c r="O604" s="8" t="inlineStr">
        <is>
          <t>STANDARD</t>
        </is>
      </c>
      <c r="P604" s="8" t="inlineStr">
        <is>
          <t>31/08/2026 02:59</t>
        </is>
      </c>
    </row>
    <row r="605">
      <c r="A605" s="7" t="inlineStr">
        <is>
          <t>WHAP 8x8</t>
        </is>
      </c>
      <c r="B605" s="7" t="inlineStr">
        <is>
          <t>WHAP-0601</t>
        </is>
      </c>
      <c r="C605" s="7" t="inlineStr">
        <is>
          <t>TRE-0601</t>
        </is>
      </c>
      <c r="D605" s="7" t="inlineStr">
        <is>
          <t>commande de treuil</t>
        </is>
      </c>
      <c r="E605" s="7" t="inlineStr">
        <is>
          <t>Treuil et récupération</t>
        </is>
      </c>
      <c r="F605" s="7" t="inlineStr">
        <is>
          <t>Treuil et récupération</t>
        </is>
      </c>
      <c r="G605" s="7" t="inlineStr">
        <is>
          <t>EQUIPEMENT_VEHICULE</t>
        </is>
      </c>
      <c r="H605" s="7" t="n">
        <v>1</v>
      </c>
      <c r="I605" s="7">
        <f>H605*$D$3</f>
        <v/>
      </c>
      <c r="J605" s="7" t="inlineStr">
        <is>
          <t>unité</t>
        </is>
      </c>
      <c r="K605" s="7" t="n">
        <v>0</v>
      </c>
      <c r="L605" s="7">
        <f>K605-I605</f>
        <v/>
      </c>
      <c r="M605" s="7">
        <f>IF(K605&lt;I605,"✕ INSUFFISANT",IF(K605&lt;I605*1.2,"⚠ STOCK FAIBLE","✓ COUVERT"))</f>
        <v/>
      </c>
      <c r="N605" s="7" t="inlineStr">
        <is>
          <t>SKF</t>
        </is>
      </c>
      <c r="O605" s="7" t="inlineStr">
        <is>
          <t>STANDARD</t>
        </is>
      </c>
      <c r="P605" s="7" t="inlineStr">
        <is>
          <t>31/08/2026 02:59</t>
        </is>
      </c>
    </row>
    <row r="606">
      <c r="A606" s="8" t="inlineStr">
        <is>
          <t>WHAP 8x8</t>
        </is>
      </c>
      <c r="B606" s="8" t="inlineStr">
        <is>
          <t>WHAP-0602</t>
        </is>
      </c>
      <c r="C606" s="8" t="inlineStr">
        <is>
          <t>TRE-0602</t>
        </is>
      </c>
      <c r="D606" s="8" t="inlineStr">
        <is>
          <t>télécommande</t>
        </is>
      </c>
      <c r="E606" s="8" t="inlineStr">
        <is>
          <t>Treuil et récupération</t>
        </is>
      </c>
      <c r="F606" s="8" t="inlineStr">
        <is>
          <t>Treuil et récupération</t>
        </is>
      </c>
      <c r="G606" s="8" t="inlineStr">
        <is>
          <t>EQUIPEMENT_VEHICULE</t>
        </is>
      </c>
      <c r="H606" s="8" t="n">
        <v>1</v>
      </c>
      <c r="I606" s="8">
        <f>H606*$D$3</f>
        <v/>
      </c>
      <c r="J606" s="8" t="inlineStr">
        <is>
          <t>unité</t>
        </is>
      </c>
      <c r="K606" s="8" t="n">
        <v>0</v>
      </c>
      <c r="L606" s="8">
        <f>K606-I606</f>
        <v/>
      </c>
      <c r="M606" s="8">
        <f>IF(K606&lt;I606,"✕ INSUFFISANT",IF(K606&lt;I606*1.2,"⚠ STOCK FAIBLE","✓ COUVERT"))</f>
        <v/>
      </c>
      <c r="N606" s="8" t="inlineStr">
        <is>
          <t>FAU</t>
        </is>
      </c>
      <c r="O606" s="8" t="inlineStr">
        <is>
          <t>STANDARD</t>
        </is>
      </c>
      <c r="P606" s="8" t="inlineStr">
        <is>
          <t>31/08/2026 02:59</t>
        </is>
      </c>
    </row>
    <row r="607">
      <c r="A607" s="7" t="inlineStr">
        <is>
          <t>WHAP 8x8</t>
        </is>
      </c>
      <c r="B607" s="7" t="inlineStr">
        <is>
          <t>WHAP-0603</t>
        </is>
      </c>
      <c r="C607" s="7" t="inlineStr">
        <is>
          <t>TRE-0603</t>
        </is>
      </c>
      <c r="D607" s="7" t="inlineStr">
        <is>
          <t>flexible hydraulique</t>
        </is>
      </c>
      <c r="E607" s="7" t="inlineStr">
        <is>
          <t>Treuil et récupération</t>
        </is>
      </c>
      <c r="F607" s="7" t="inlineStr">
        <is>
          <t>Treuil et récupération</t>
        </is>
      </c>
      <c r="G607" s="7" t="inlineStr">
        <is>
          <t>EQUIPEMENT_VEHICULE</t>
        </is>
      </c>
      <c r="H607" s="7" t="n">
        <v>1</v>
      </c>
      <c r="I607" s="7">
        <f>H607*$D$3</f>
        <v/>
      </c>
      <c r="J607" s="7" t="inlineStr">
        <is>
          <t>unité</t>
        </is>
      </c>
      <c r="K607" s="7" t="n">
        <v>0</v>
      </c>
      <c r="L607" s="7">
        <f>K607-I607</f>
        <v/>
      </c>
      <c r="M607" s="7">
        <f>IF(K607&lt;I607,"✕ INSUFFISANT",IF(K607&lt;I607*1.2,"⚠ STOCK FAIBLE","✓ COUVERT"))</f>
        <v/>
      </c>
      <c r="N607" s="7" t="inlineStr">
        <is>
          <t>CTL</t>
        </is>
      </c>
      <c r="O607" s="7" t="inlineStr">
        <is>
          <t>STANDARD</t>
        </is>
      </c>
      <c r="P607" s="7" t="inlineStr">
        <is>
          <t>31/08/2026 02:59</t>
        </is>
      </c>
    </row>
    <row r="608">
      <c r="A608" s="8" t="inlineStr">
        <is>
          <t>WHAP 8x8</t>
        </is>
      </c>
      <c r="B608" s="8" t="inlineStr">
        <is>
          <t>WHAP-0604</t>
        </is>
      </c>
      <c r="C608" s="8" t="inlineStr">
        <is>
          <t>TRE-0604</t>
        </is>
      </c>
      <c r="D608" s="8" t="inlineStr">
        <is>
          <t>support de treuil</t>
        </is>
      </c>
      <c r="E608" s="8" t="inlineStr">
        <is>
          <t>Treuil et récupération</t>
        </is>
      </c>
      <c r="F608" s="8" t="inlineStr">
        <is>
          <t>Treuil et récupération</t>
        </is>
      </c>
      <c r="G608" s="8" t="inlineStr">
        <is>
          <t>EQUIPEMENT_VEHICULE</t>
        </is>
      </c>
      <c r="H608" s="8" t="n">
        <v>1</v>
      </c>
      <c r="I608" s="8">
        <f>H608*$D$3</f>
        <v/>
      </c>
      <c r="J608" s="8" t="inlineStr">
        <is>
          <t>unité</t>
        </is>
      </c>
      <c r="K608" s="8" t="n">
        <v>0</v>
      </c>
      <c r="L608" s="8">
        <f>K608-I608</f>
        <v/>
      </c>
      <c r="M608" s="8">
        <f>IF(K608&lt;I608,"✕ INSUFFISANT",IF(K608&lt;I608*1.2,"⚠ STOCK FAIBLE","✓ COUVERT"))</f>
        <v/>
      </c>
      <c r="N608" s="8" t="inlineStr">
        <is>
          <t>SUM</t>
        </is>
      </c>
      <c r="O608" s="8" t="inlineStr">
        <is>
          <t>STANDARD</t>
        </is>
      </c>
      <c r="P608" s="8" t="inlineStr">
        <is>
          <t>31/08/2026 02:59</t>
        </is>
      </c>
    </row>
    <row r="609">
      <c r="A609" s="7" t="inlineStr">
        <is>
          <t>WHAP 8x8</t>
        </is>
      </c>
      <c r="B609" s="7" t="inlineStr">
        <is>
          <t>WHAP-0605</t>
        </is>
      </c>
      <c r="C609" s="7" t="inlineStr">
        <is>
          <t>TRE-0605</t>
        </is>
      </c>
      <c r="D609" s="7" t="inlineStr">
        <is>
          <t>poulie de renvoi</t>
        </is>
      </c>
      <c r="E609" s="7" t="inlineStr">
        <is>
          <t>Treuil et récupération</t>
        </is>
      </c>
      <c r="F609" s="7" t="inlineStr">
        <is>
          <t>Treuil et récupération</t>
        </is>
      </c>
      <c r="G609" s="7" t="inlineStr">
        <is>
          <t>EQUIPEMENT_VEHICULE</t>
        </is>
      </c>
      <c r="H609" s="7" t="n">
        <v>1</v>
      </c>
      <c r="I609" s="7">
        <f>H609*$D$3</f>
        <v/>
      </c>
      <c r="J609" s="7" t="inlineStr">
        <is>
          <t>unité</t>
        </is>
      </c>
      <c r="K609" s="7" t="n">
        <v>0</v>
      </c>
      <c r="L609" s="7">
        <f>K609-I609</f>
        <v/>
      </c>
      <c r="M609" s="7">
        <f>IF(K609&lt;I609,"✕ INSUFFISANT",IF(K609&lt;I609*1.2,"⚠ STOCK FAIBLE","✓ COUVERT"))</f>
        <v/>
      </c>
      <c r="N609" s="7" t="inlineStr">
        <is>
          <t>HEL</t>
        </is>
      </c>
      <c r="O609" s="7" t="inlineStr">
        <is>
          <t>STANDARD</t>
        </is>
      </c>
      <c r="P609" s="7" t="inlineStr">
        <is>
          <t>31/08/2026 02:59</t>
        </is>
      </c>
    </row>
    <row r="610">
      <c r="A610" s="8" t="inlineStr">
        <is>
          <t>WHAP 8x8</t>
        </is>
      </c>
      <c r="B610" s="8" t="inlineStr">
        <is>
          <t>WHAP-0606</t>
        </is>
      </c>
      <c r="C610" s="8" t="inlineStr">
        <is>
          <t>TRE-0606</t>
        </is>
      </c>
      <c r="D610" s="8" t="inlineStr">
        <is>
          <t>manille</t>
        </is>
      </c>
      <c r="E610" s="8" t="inlineStr">
        <is>
          <t>Treuil et récupération</t>
        </is>
      </c>
      <c r="F610" s="8" t="inlineStr">
        <is>
          <t>Treuil et récupération</t>
        </is>
      </c>
      <c r="G610" s="8" t="inlineStr">
        <is>
          <t>EQUIPEMENT_VEHICULE</t>
        </is>
      </c>
      <c r="H610" s="8" t="n">
        <v>1</v>
      </c>
      <c r="I610" s="8">
        <f>H610*$D$3</f>
        <v/>
      </c>
      <c r="J610" s="8" t="inlineStr">
        <is>
          <t>unité</t>
        </is>
      </c>
      <c r="K610" s="8" t="n">
        <v>0</v>
      </c>
      <c r="L610" s="8">
        <f>K610-I610</f>
        <v/>
      </c>
      <c r="M610" s="8">
        <f>IF(K610&lt;I610,"✕ INSUFFISANT",IF(K610&lt;I610*1.2,"⚠ STOCK FAIBLE","✓ COUVERT"))</f>
        <v/>
      </c>
      <c r="N610" s="8" t="inlineStr">
        <is>
          <t>DEL</t>
        </is>
      </c>
      <c r="O610" s="8" t="inlineStr">
        <is>
          <t>STANDARD</t>
        </is>
      </c>
      <c r="P610" s="8" t="inlineStr">
        <is>
          <t>31/08/2026 02:59</t>
        </is>
      </c>
    </row>
    <row r="611">
      <c r="A611" s="7" t="inlineStr">
        <is>
          <t>WHAP 8x8</t>
        </is>
      </c>
      <c r="B611" s="7" t="inlineStr">
        <is>
          <t>WHAP-0607</t>
        </is>
      </c>
      <c r="C611" s="7" t="inlineStr">
        <is>
          <t>TRE-0607</t>
        </is>
      </c>
      <c r="D611" s="7" t="inlineStr">
        <is>
          <t>anneau de remorquage</t>
        </is>
      </c>
      <c r="E611" s="7" t="inlineStr">
        <is>
          <t>Treuil et récupération</t>
        </is>
      </c>
      <c r="F611" s="7" t="inlineStr">
        <is>
          <t>Treuil et récupération</t>
        </is>
      </c>
      <c r="G611" s="7" t="inlineStr">
        <is>
          <t>EQUIPEMENT_VEHICULE</t>
        </is>
      </c>
      <c r="H611" s="7" t="n">
        <v>1</v>
      </c>
      <c r="I611" s="7">
        <f>H611*$D$3</f>
        <v/>
      </c>
      <c r="J611" s="7" t="inlineStr">
        <is>
          <t>unité</t>
        </is>
      </c>
      <c r="K611" s="7" t="n">
        <v>0</v>
      </c>
      <c r="L611" s="7">
        <f>K611-I611</f>
        <v/>
      </c>
      <c r="M611" s="7">
        <f>IF(K611&lt;I611,"✕ INSUFFISANT",IF(K611&lt;I611*1.2,"⚠ STOCK FAIBLE","✓ COUVERT"))</f>
        <v/>
      </c>
      <c r="N611" s="7" t="inlineStr">
        <is>
          <t>YZK</t>
        </is>
      </c>
      <c r="O611" s="7" t="inlineStr">
        <is>
          <t>STANDARD</t>
        </is>
      </c>
      <c r="P611" s="7" t="inlineStr">
        <is>
          <t>31/08/2026 02:59</t>
        </is>
      </c>
    </row>
    <row r="612">
      <c r="A612" s="8" t="inlineStr">
        <is>
          <t>WHAP 8x8</t>
        </is>
      </c>
      <c r="B612" s="8" t="inlineStr">
        <is>
          <t>WHAP-0608</t>
        </is>
      </c>
      <c r="C612" s="8" t="inlineStr">
        <is>
          <t>TRE-0608</t>
        </is>
      </c>
      <c r="D612" s="8" t="inlineStr">
        <is>
          <t>crochet de remorquage</t>
        </is>
      </c>
      <c r="E612" s="8" t="inlineStr">
        <is>
          <t>Treuil et récupération</t>
        </is>
      </c>
      <c r="F612" s="8" t="inlineStr">
        <is>
          <t>Treuil et récupération</t>
        </is>
      </c>
      <c r="G612" s="8" t="inlineStr">
        <is>
          <t>EQUIPEMENT_VEHICULE</t>
        </is>
      </c>
      <c r="H612" s="8" t="n">
        <v>1</v>
      </c>
      <c r="I612" s="8">
        <f>H612*$D$3</f>
        <v/>
      </c>
      <c r="J612" s="8" t="inlineStr">
        <is>
          <t>unité</t>
        </is>
      </c>
      <c r="K612" s="8" t="n">
        <v>0</v>
      </c>
      <c r="L612" s="8">
        <f>K612-I612</f>
        <v/>
      </c>
      <c r="M612" s="8">
        <f>IF(K612&lt;I612,"✕ INSUFFISANT",IF(K612&lt;I612*1.2,"⚠ STOCK FAIBLE","✓ COUVERT"))</f>
        <v/>
      </c>
      <c r="N612" s="8" t="inlineStr">
        <is>
          <t>VAL</t>
        </is>
      </c>
      <c r="O612" s="8" t="inlineStr">
        <is>
          <t>STANDARD</t>
        </is>
      </c>
      <c r="P612" s="8" t="inlineStr">
        <is>
          <t>31/08/2026 02:59</t>
        </is>
      </c>
    </row>
    <row r="613">
      <c r="A613" s="7" t="inlineStr">
        <is>
          <t>WHAP 8x8</t>
        </is>
      </c>
      <c r="B613" s="7" t="inlineStr">
        <is>
          <t>WHAP-0609</t>
        </is>
      </c>
      <c r="C613" s="7" t="inlineStr">
        <is>
          <t>TRE-0609</t>
        </is>
      </c>
      <c r="D613" s="7" t="inlineStr">
        <is>
          <t>barre de remorquage</t>
        </is>
      </c>
      <c r="E613" s="7" t="inlineStr">
        <is>
          <t>Treuil et récupération</t>
        </is>
      </c>
      <c r="F613" s="7" t="inlineStr">
        <is>
          <t>Treuil et récupération</t>
        </is>
      </c>
      <c r="G613" s="7" t="inlineStr">
        <is>
          <t>EQUIPEMENT_VEHICULE</t>
        </is>
      </c>
      <c r="H613" s="7" t="n">
        <v>1</v>
      </c>
      <c r="I613" s="7">
        <f>H613*$D$3</f>
        <v/>
      </c>
      <c r="J613" s="7" t="inlineStr">
        <is>
          <t>unité</t>
        </is>
      </c>
      <c r="K613" s="7" t="n">
        <v>0</v>
      </c>
      <c r="L613" s="7">
        <f>K613-I613</f>
        <v/>
      </c>
      <c r="M613" s="7">
        <f>IF(K613&lt;I613,"✕ INSUFFISANT",IF(K613&lt;I613*1.2,"⚠ STOCK FAIBLE","✓ COUVERT"))</f>
        <v/>
      </c>
      <c r="N613" s="7" t="inlineStr">
        <is>
          <t>BOS</t>
        </is>
      </c>
      <c r="O613" s="7" t="inlineStr">
        <is>
          <t>STANDARD</t>
        </is>
      </c>
      <c r="P613" s="7" t="inlineStr">
        <is>
          <t>31/08/2026 02:59</t>
        </is>
      </c>
    </row>
    <row r="614">
      <c r="A614" s="8" t="inlineStr">
        <is>
          <t>WHAP 8x8</t>
        </is>
      </c>
      <c r="B614" s="8" t="inlineStr">
        <is>
          <t>WHAP-0610</t>
        </is>
      </c>
      <c r="C614" s="8" t="inlineStr">
        <is>
          <t>AMP-0610</t>
        </is>
      </c>
      <c r="D614" s="8" t="inlineStr">
        <is>
          <t>hydrojet gauche</t>
        </is>
      </c>
      <c r="E614" s="8" t="inlineStr">
        <is>
          <t>Propulsion amphibie</t>
        </is>
      </c>
      <c r="F614" s="8" t="inlineStr">
        <is>
          <t>Propulsion amphibie</t>
        </is>
      </c>
      <c r="G614" s="8" t="inlineStr">
        <is>
          <t>PIECE_VEHICULE</t>
        </is>
      </c>
      <c r="H614" s="8" t="n">
        <v>1</v>
      </c>
      <c r="I614" s="8">
        <f>H614*$D$3</f>
        <v/>
      </c>
      <c r="J614" s="8" t="inlineStr">
        <is>
          <t>unité</t>
        </is>
      </c>
      <c r="K614" s="8" t="n">
        <v>140</v>
      </c>
      <c r="L614" s="8">
        <f>K614-I614</f>
        <v/>
      </c>
      <c r="M614" s="8">
        <f>IF(K614&lt;I614,"✕ INSUFFISANT",IF(K614&lt;I614*1.2,"⚠ STOCK FAIBLE","✓ COUVERT"))</f>
        <v/>
      </c>
      <c r="N614" s="8" t="inlineStr">
        <is>
          <t>BOS</t>
        </is>
      </c>
      <c r="O614" s="8" t="inlineStr">
        <is>
          <t>STANDARD</t>
        </is>
      </c>
      <c r="P614" s="8" t="inlineStr">
        <is>
          <t>31/08/2026 02:59</t>
        </is>
      </c>
    </row>
    <row r="615">
      <c r="A615" s="7" t="inlineStr">
        <is>
          <t>WHAP 8x8</t>
        </is>
      </c>
      <c r="B615" s="7" t="inlineStr">
        <is>
          <t>WHAP-0611</t>
        </is>
      </c>
      <c r="C615" s="7" t="inlineStr">
        <is>
          <t>AMP-0611</t>
        </is>
      </c>
      <c r="D615" s="7" t="inlineStr">
        <is>
          <t>hydrojet droit</t>
        </is>
      </c>
      <c r="E615" s="7" t="inlineStr">
        <is>
          <t>Propulsion amphibie</t>
        </is>
      </c>
      <c r="F615" s="7" t="inlineStr">
        <is>
          <t>Propulsion amphibie</t>
        </is>
      </c>
      <c r="G615" s="7" t="inlineStr">
        <is>
          <t>PIECE_VEHICULE</t>
        </is>
      </c>
      <c r="H615" s="7" t="n">
        <v>1</v>
      </c>
      <c r="I615" s="7">
        <f>H615*$D$3</f>
        <v/>
      </c>
      <c r="J615" s="7" t="inlineStr">
        <is>
          <t>unité</t>
        </is>
      </c>
      <c r="K615" s="7" t="n">
        <v>380</v>
      </c>
      <c r="L615" s="7">
        <f>K615-I615</f>
        <v/>
      </c>
      <c r="M615" s="7">
        <f>IF(K615&lt;I615,"✕ INSUFFISANT",IF(K615&lt;I615*1.2,"⚠ STOCK FAIBLE","✓ COUVERT"))</f>
        <v/>
      </c>
      <c r="N615" s="7" t="inlineStr">
        <is>
          <t>VAL</t>
        </is>
      </c>
      <c r="O615" s="7" t="inlineStr">
        <is>
          <t>STANDARD</t>
        </is>
      </c>
      <c r="P615" s="7" t="inlineStr">
        <is>
          <t>31/08/2026 02:59</t>
        </is>
      </c>
    </row>
    <row r="616">
      <c r="A616" s="8" t="inlineStr">
        <is>
          <t>WHAP 8x8</t>
        </is>
      </c>
      <c r="B616" s="8" t="inlineStr">
        <is>
          <t>WHAP-0612</t>
        </is>
      </c>
      <c r="C616" s="8" t="inlineStr">
        <is>
          <t>AMP-0612</t>
        </is>
      </c>
      <c r="D616" s="8" t="inlineStr">
        <is>
          <t>pompe d'alimentation hydrojet</t>
        </is>
      </c>
      <c r="E616" s="8" t="inlineStr">
        <is>
          <t>Propulsion amphibie</t>
        </is>
      </c>
      <c r="F616" s="8" t="inlineStr">
        <is>
          <t>Propulsion amphibie</t>
        </is>
      </c>
      <c r="G616" s="8" t="inlineStr">
        <is>
          <t>PIECE_VEHICULE</t>
        </is>
      </c>
      <c r="H616" s="8" t="n">
        <v>1</v>
      </c>
      <c r="I616" s="8">
        <f>H616*$D$3</f>
        <v/>
      </c>
      <c r="J616" s="8" t="inlineStr">
        <is>
          <t>unité</t>
        </is>
      </c>
      <c r="K616" s="8" t="n">
        <v>0</v>
      </c>
      <c r="L616" s="8">
        <f>K616-I616</f>
        <v/>
      </c>
      <c r="M616" s="8">
        <f>IF(K616&lt;I616,"✕ INSUFFISANT",IF(K616&lt;I616*1.2,"⚠ STOCK FAIBLE","✓ COUVERT"))</f>
        <v/>
      </c>
      <c r="N616" s="8" t="inlineStr">
        <is>
          <t>SUM</t>
        </is>
      </c>
      <c r="O616" s="8" t="inlineStr">
        <is>
          <t>STANDARD</t>
        </is>
      </c>
      <c r="P616" s="8" t="inlineStr">
        <is>
          <t>31/08/2026 02:59</t>
        </is>
      </c>
    </row>
    <row r="617">
      <c r="A617" s="7" t="inlineStr">
        <is>
          <t>WHAP 8x8</t>
        </is>
      </c>
      <c r="B617" s="7" t="inlineStr">
        <is>
          <t>WHAP-0613</t>
        </is>
      </c>
      <c r="C617" s="7" t="inlineStr">
        <is>
          <t>AMP-0613</t>
        </is>
      </c>
      <c r="D617" s="7" t="inlineStr">
        <is>
          <t>turbine hydrojet</t>
        </is>
      </c>
      <c r="E617" s="7" t="inlineStr">
        <is>
          <t>Propulsion amphibie</t>
        </is>
      </c>
      <c r="F617" s="7" t="inlineStr">
        <is>
          <t>Propulsion amphibie</t>
        </is>
      </c>
      <c r="G617" s="7" t="inlineStr">
        <is>
          <t>PIECE_VEHICULE</t>
        </is>
      </c>
      <c r="H617" s="7" t="n">
        <v>1</v>
      </c>
      <c r="I617" s="7">
        <f>H617*$D$3</f>
        <v/>
      </c>
      <c r="J617" s="7" t="inlineStr">
        <is>
          <t>unité</t>
        </is>
      </c>
      <c r="K617" s="7" t="n">
        <v>0</v>
      </c>
      <c r="L617" s="7">
        <f>K617-I617</f>
        <v/>
      </c>
      <c r="M617" s="7">
        <f>IF(K617&lt;I617,"✕ INSUFFISANT",IF(K617&lt;I617*1.2,"⚠ STOCK FAIBLE","✓ COUVERT"))</f>
        <v/>
      </c>
      <c r="N617" s="7" t="inlineStr">
        <is>
          <t>YZK</t>
        </is>
      </c>
      <c r="O617" s="7" t="inlineStr">
        <is>
          <t>STANDARD</t>
        </is>
      </c>
      <c r="P617" s="7" t="inlineStr">
        <is>
          <t>31/08/2026 02:59</t>
        </is>
      </c>
    </row>
    <row r="618">
      <c r="A618" s="8" t="inlineStr">
        <is>
          <t>WHAP 8x8</t>
        </is>
      </c>
      <c r="B618" s="8" t="inlineStr">
        <is>
          <t>WHAP-0614</t>
        </is>
      </c>
      <c r="C618" s="8" t="inlineStr">
        <is>
          <t>AMP-0614</t>
        </is>
      </c>
      <c r="D618" s="8" t="inlineStr">
        <is>
          <t>stator hydrojet</t>
        </is>
      </c>
      <c r="E618" s="8" t="inlineStr">
        <is>
          <t>Propulsion amphibie</t>
        </is>
      </c>
      <c r="F618" s="8" t="inlineStr">
        <is>
          <t>Propulsion amphibie</t>
        </is>
      </c>
      <c r="G618" s="8" t="inlineStr">
        <is>
          <t>PIECE_VEHICULE</t>
        </is>
      </c>
      <c r="H618" s="8" t="n">
        <v>1</v>
      </c>
      <c r="I618" s="8">
        <f>H618*$D$3</f>
        <v/>
      </c>
      <c r="J618" s="8" t="inlineStr">
        <is>
          <t>unité</t>
        </is>
      </c>
      <c r="K618" s="8" t="n">
        <v>0</v>
      </c>
      <c r="L618" s="8">
        <f>K618-I618</f>
        <v/>
      </c>
      <c r="M618" s="8">
        <f>IF(K618&lt;I618,"✕ INSUFFISANT",IF(K618&lt;I618*1.2,"⚠ STOCK FAIBLE","✓ COUVERT"))</f>
        <v/>
      </c>
      <c r="N618" s="8" t="inlineStr">
        <is>
          <t>HEL</t>
        </is>
      </c>
      <c r="O618" s="8" t="inlineStr">
        <is>
          <t>STANDARD</t>
        </is>
      </c>
      <c r="P618" s="8" t="inlineStr">
        <is>
          <t>31/08/2026 02:59</t>
        </is>
      </c>
    </row>
    <row r="619">
      <c r="A619" s="7" t="inlineStr">
        <is>
          <t>WHAP 8x8</t>
        </is>
      </c>
      <c r="B619" s="7" t="inlineStr">
        <is>
          <t>WHAP-0615</t>
        </is>
      </c>
      <c r="C619" s="7" t="inlineStr">
        <is>
          <t>AMP-0615</t>
        </is>
      </c>
      <c r="D619" s="7" t="inlineStr">
        <is>
          <t>arbre hydrojet</t>
        </is>
      </c>
      <c r="E619" s="7" t="inlineStr">
        <is>
          <t>Propulsion amphibie</t>
        </is>
      </c>
      <c r="F619" s="7" t="inlineStr">
        <is>
          <t>Propulsion amphibie</t>
        </is>
      </c>
      <c r="G619" s="7" t="inlineStr">
        <is>
          <t>PIECE_VEHICULE</t>
        </is>
      </c>
      <c r="H619" s="7" t="n">
        <v>1</v>
      </c>
      <c r="I619" s="7">
        <f>H619*$D$3</f>
        <v/>
      </c>
      <c r="J619" s="7" t="inlineStr">
        <is>
          <t>unité</t>
        </is>
      </c>
      <c r="K619" s="7" t="n">
        <v>0</v>
      </c>
      <c r="L619" s="7">
        <f>K619-I619</f>
        <v/>
      </c>
      <c r="M619" s="7">
        <f>IF(K619&lt;I619,"✕ INSUFFISANT",IF(K619&lt;I619*1.2,"⚠ STOCK FAIBLE","✓ COUVERT"))</f>
        <v/>
      </c>
      <c r="N619" s="7" t="inlineStr">
        <is>
          <t>SUM</t>
        </is>
      </c>
      <c r="O619" s="7" t="inlineStr">
        <is>
          <t>STANDARD</t>
        </is>
      </c>
      <c r="P619" s="7" t="inlineStr">
        <is>
          <t>31/08/2026 02:59</t>
        </is>
      </c>
    </row>
    <row r="620">
      <c r="A620" s="8" t="inlineStr">
        <is>
          <t>WHAP 8x8</t>
        </is>
      </c>
      <c r="B620" s="8" t="inlineStr">
        <is>
          <t>WHAP-0616</t>
        </is>
      </c>
      <c r="C620" s="8" t="inlineStr">
        <is>
          <t>AMP-0616</t>
        </is>
      </c>
      <c r="D620" s="8" t="inlineStr">
        <is>
          <t>roulement hydrojet</t>
        </is>
      </c>
      <c r="E620" s="8" t="inlineStr">
        <is>
          <t>Propulsion amphibie</t>
        </is>
      </c>
      <c r="F620" s="8" t="inlineStr">
        <is>
          <t>Propulsion amphibie</t>
        </is>
      </c>
      <c r="G620" s="8" t="inlineStr">
        <is>
          <t>PIECE_VEHICULE</t>
        </is>
      </c>
      <c r="H620" s="8" t="n">
        <v>1</v>
      </c>
      <c r="I620" s="8">
        <f>H620*$D$3</f>
        <v/>
      </c>
      <c r="J620" s="8" t="inlineStr">
        <is>
          <t>unité</t>
        </is>
      </c>
      <c r="K620" s="8" t="n">
        <v>0</v>
      </c>
      <c r="L620" s="8">
        <f>K620-I620</f>
        <v/>
      </c>
      <c r="M620" s="8">
        <f>IF(K620&lt;I620,"✕ INSUFFISANT",IF(K620&lt;I620*1.2,"⚠ STOCK FAIBLE","✓ COUVERT"))</f>
        <v/>
      </c>
      <c r="N620" s="8" t="inlineStr">
        <is>
          <t>DEL</t>
        </is>
      </c>
      <c r="O620" s="8" t="inlineStr">
        <is>
          <t>STANDARD</t>
        </is>
      </c>
      <c r="P620" s="8" t="inlineStr">
        <is>
          <t>31/08/2026 02:59</t>
        </is>
      </c>
    </row>
    <row r="621">
      <c r="A621" s="7" t="inlineStr">
        <is>
          <t>WHAP 8x8</t>
        </is>
      </c>
      <c r="B621" s="7" t="inlineStr">
        <is>
          <t>WHAP-0617</t>
        </is>
      </c>
      <c r="C621" s="7" t="inlineStr">
        <is>
          <t>AMP-0617</t>
        </is>
      </c>
      <c r="D621" s="7" t="inlineStr">
        <is>
          <t>joint hydrojet</t>
        </is>
      </c>
      <c r="E621" s="7" t="inlineStr">
        <is>
          <t>Propulsion amphibie</t>
        </is>
      </c>
      <c r="F621" s="7" t="inlineStr">
        <is>
          <t>Propulsion amphibie</t>
        </is>
      </c>
      <c r="G621" s="7" t="inlineStr">
        <is>
          <t>PIECE_VEHICULE</t>
        </is>
      </c>
      <c r="H621" s="7" t="n">
        <v>1</v>
      </c>
      <c r="I621" s="7">
        <f>H621*$D$3</f>
        <v/>
      </c>
      <c r="J621" s="7" t="inlineStr">
        <is>
          <t>unité</t>
        </is>
      </c>
      <c r="K621" s="7" t="n">
        <v>0</v>
      </c>
      <c r="L621" s="7">
        <f>K621-I621</f>
        <v/>
      </c>
      <c r="M621" s="7">
        <f>IF(K621&lt;I621,"✕ INSUFFISANT",IF(K621&lt;I621*1.2,"⚠ STOCK FAIBLE","✓ COUVERT"))</f>
        <v/>
      </c>
      <c r="N621" s="7" t="inlineStr">
        <is>
          <t>BOS</t>
        </is>
      </c>
      <c r="O621" s="7" t="inlineStr">
        <is>
          <t>STANDARD</t>
        </is>
      </c>
      <c r="P621" s="7" t="inlineStr">
        <is>
          <t>31/08/2026 02:59</t>
        </is>
      </c>
    </row>
    <row r="622">
      <c r="A622" s="8" t="inlineStr">
        <is>
          <t>WHAP 8x8</t>
        </is>
      </c>
      <c r="B622" s="8" t="inlineStr">
        <is>
          <t>WHAP-0618</t>
        </is>
      </c>
      <c r="C622" s="8" t="inlineStr">
        <is>
          <t>AMP-0618</t>
        </is>
      </c>
      <c r="D622" s="8" t="inlineStr">
        <is>
          <t>buse hydrojet</t>
        </is>
      </c>
      <c r="E622" s="8" t="inlineStr">
        <is>
          <t>Propulsion amphibie</t>
        </is>
      </c>
      <c r="F622" s="8" t="inlineStr">
        <is>
          <t>Propulsion amphibie</t>
        </is>
      </c>
      <c r="G622" s="8" t="inlineStr">
        <is>
          <t>PIECE_VEHICULE</t>
        </is>
      </c>
      <c r="H622" s="8" t="n">
        <v>1</v>
      </c>
      <c r="I622" s="8">
        <f>H622*$D$3</f>
        <v/>
      </c>
      <c r="J622" s="8" t="inlineStr">
        <is>
          <t>unité</t>
        </is>
      </c>
      <c r="K622" s="8" t="n">
        <v>0</v>
      </c>
      <c r="L622" s="8">
        <f>K622-I622</f>
        <v/>
      </c>
      <c r="M622" s="8">
        <f>IF(K622&lt;I622,"✕ INSUFFISANT",IF(K622&lt;I622*1.2,"⚠ STOCK FAIBLE","✓ COUVERT"))</f>
        <v/>
      </c>
      <c r="N622" s="8" t="inlineStr">
        <is>
          <t>YZK</t>
        </is>
      </c>
      <c r="O622" s="8" t="inlineStr">
        <is>
          <t>STANDARD</t>
        </is>
      </c>
      <c r="P622" s="8" t="inlineStr">
        <is>
          <t>31/08/2026 02:59</t>
        </is>
      </c>
    </row>
    <row r="623">
      <c r="A623" s="7" t="inlineStr">
        <is>
          <t>WHAP 8x8</t>
        </is>
      </c>
      <c r="B623" s="7" t="inlineStr">
        <is>
          <t>WHAP-0619</t>
        </is>
      </c>
      <c r="C623" s="7" t="inlineStr">
        <is>
          <t>AMP-0619</t>
        </is>
      </c>
      <c r="D623" s="7" t="inlineStr">
        <is>
          <t>gouverne hydrojet</t>
        </is>
      </c>
      <c r="E623" s="7" t="inlineStr">
        <is>
          <t>Propulsion amphibie</t>
        </is>
      </c>
      <c r="F623" s="7" t="inlineStr">
        <is>
          <t>Propulsion amphibie</t>
        </is>
      </c>
      <c r="G623" s="7" t="inlineStr">
        <is>
          <t>PIECE_VEHICULE</t>
        </is>
      </c>
      <c r="H623" s="7" t="n">
        <v>1</v>
      </c>
      <c r="I623" s="7">
        <f>H623*$D$3</f>
        <v/>
      </c>
      <c r="J623" s="7" t="inlineStr">
        <is>
          <t>unité</t>
        </is>
      </c>
      <c r="K623" s="7" t="n">
        <v>0</v>
      </c>
      <c r="L623" s="7">
        <f>K623-I623</f>
        <v/>
      </c>
      <c r="M623" s="7">
        <f>IF(K623&lt;I623,"✕ INSUFFISANT",IF(K623&lt;I623*1.2,"⚠ STOCK FAIBLE","✓ COUVERT"))</f>
        <v/>
      </c>
      <c r="N623" s="7" t="inlineStr">
        <is>
          <t>FAU</t>
        </is>
      </c>
      <c r="O623" s="7" t="inlineStr">
        <is>
          <t>STANDARD</t>
        </is>
      </c>
      <c r="P623" s="7" t="inlineStr">
        <is>
          <t>31/08/2026 02:59</t>
        </is>
      </c>
    </row>
    <row r="624">
      <c r="A624" s="8" t="inlineStr">
        <is>
          <t>WHAP 8x8</t>
        </is>
      </c>
      <c r="B624" s="8" t="inlineStr">
        <is>
          <t>WHAP-0620</t>
        </is>
      </c>
      <c r="C624" s="8" t="inlineStr">
        <is>
          <t>AMP-0620</t>
        </is>
      </c>
      <c r="D624" s="8" t="inlineStr">
        <is>
          <t>actionneur hydrojet</t>
        </is>
      </c>
      <c r="E624" s="8" t="inlineStr">
        <is>
          <t>Propulsion amphibie</t>
        </is>
      </c>
      <c r="F624" s="8" t="inlineStr">
        <is>
          <t>Propulsion amphibie</t>
        </is>
      </c>
      <c r="G624" s="8" t="inlineStr">
        <is>
          <t>PIECE_VEHICULE</t>
        </is>
      </c>
      <c r="H624" s="8" t="n">
        <v>1</v>
      </c>
      <c r="I624" s="8">
        <f>H624*$D$3</f>
        <v/>
      </c>
      <c r="J624" s="8" t="inlineStr">
        <is>
          <t>unité</t>
        </is>
      </c>
      <c r="K624" s="8" t="n">
        <v>0</v>
      </c>
      <c r="L624" s="8">
        <f>K624-I624</f>
        <v/>
      </c>
      <c r="M624" s="8">
        <f>IF(K624&lt;I624,"✕ INSUFFISANT",IF(K624&lt;I624*1.2,"⚠ STOCK FAIBLE","✓ COUVERT"))</f>
        <v/>
      </c>
      <c r="N624" s="8" t="inlineStr">
        <is>
          <t>HEL</t>
        </is>
      </c>
      <c r="O624" s="8" t="inlineStr">
        <is>
          <t>STANDARD</t>
        </is>
      </c>
      <c r="P624" s="8" t="inlineStr">
        <is>
          <t>31/08/2026 02:59</t>
        </is>
      </c>
    </row>
    <row r="625">
      <c r="A625" s="7" t="inlineStr">
        <is>
          <t>WHAP 8x8</t>
        </is>
      </c>
      <c r="B625" s="7" t="inlineStr">
        <is>
          <t>WHAP-0621</t>
        </is>
      </c>
      <c r="C625" s="7" t="inlineStr">
        <is>
          <t>AMP-0621</t>
        </is>
      </c>
      <c r="D625" s="7" t="inlineStr">
        <is>
          <t>commande hydrojet</t>
        </is>
      </c>
      <c r="E625" s="7" t="inlineStr">
        <is>
          <t>Propulsion amphibie</t>
        </is>
      </c>
      <c r="F625" s="7" t="inlineStr">
        <is>
          <t>Propulsion amphibie</t>
        </is>
      </c>
      <c r="G625" s="7" t="inlineStr">
        <is>
          <t>PIECE_VEHICULE</t>
        </is>
      </c>
      <c r="H625" s="7" t="n">
        <v>1</v>
      </c>
      <c r="I625" s="7">
        <f>H625*$D$3</f>
        <v/>
      </c>
      <c r="J625" s="7" t="inlineStr">
        <is>
          <t>unité</t>
        </is>
      </c>
      <c r="K625" s="7" t="n">
        <v>0</v>
      </c>
      <c r="L625" s="7">
        <f>K625-I625</f>
        <v/>
      </c>
      <c r="M625" s="7">
        <f>IF(K625&lt;I625,"✕ INSUFFISANT",IF(K625&lt;I625*1.2,"⚠ STOCK FAIBLE","✓ COUVERT"))</f>
        <v/>
      </c>
      <c r="N625" s="7" t="inlineStr">
        <is>
          <t>VAL</t>
        </is>
      </c>
      <c r="O625" s="7" t="inlineStr">
        <is>
          <t>STANDARD</t>
        </is>
      </c>
      <c r="P625" s="7" t="inlineStr">
        <is>
          <t>31/08/2026 02:59</t>
        </is>
      </c>
    </row>
    <row r="626">
      <c r="A626" s="8" t="inlineStr">
        <is>
          <t>WHAP 8x8</t>
        </is>
      </c>
      <c r="B626" s="8" t="inlineStr">
        <is>
          <t>WHAP-0622</t>
        </is>
      </c>
      <c r="C626" s="8" t="inlineStr">
        <is>
          <t>AMP-0622</t>
        </is>
      </c>
      <c r="D626" s="8" t="inlineStr">
        <is>
          <t>grille d'admission</t>
        </is>
      </c>
      <c r="E626" s="8" t="inlineStr">
        <is>
          <t>Propulsion amphibie</t>
        </is>
      </c>
      <c r="F626" s="8" t="inlineStr">
        <is>
          <t>Propulsion amphibie</t>
        </is>
      </c>
      <c r="G626" s="8" t="inlineStr">
        <is>
          <t>PIECE_VEHICULE</t>
        </is>
      </c>
      <c r="H626" s="8" t="n">
        <v>1</v>
      </c>
      <c r="I626" s="8">
        <f>H626*$D$3</f>
        <v/>
      </c>
      <c r="J626" s="8" t="inlineStr">
        <is>
          <t>unité</t>
        </is>
      </c>
      <c r="K626" s="8" t="n">
        <v>0</v>
      </c>
      <c r="L626" s="8">
        <f>K626-I626</f>
        <v/>
      </c>
      <c r="M626" s="8">
        <f>IF(K626&lt;I626,"✕ INSUFFISANT",IF(K626&lt;I626*1.2,"⚠ STOCK FAIBLE","✓ COUVERT"))</f>
        <v/>
      </c>
      <c r="N626" s="8" t="inlineStr">
        <is>
          <t>SUM</t>
        </is>
      </c>
      <c r="O626" s="8" t="inlineStr">
        <is>
          <t>STANDARD</t>
        </is>
      </c>
      <c r="P626" s="8" t="inlineStr">
        <is>
          <t>31/08/2026 02:59</t>
        </is>
      </c>
    </row>
    <row r="627">
      <c r="A627" s="7" t="inlineStr">
        <is>
          <t>WHAP 8x8</t>
        </is>
      </c>
      <c r="B627" s="7" t="inlineStr">
        <is>
          <t>WHAP-0623</t>
        </is>
      </c>
      <c r="C627" s="7" t="inlineStr">
        <is>
          <t>AMP-0623</t>
        </is>
      </c>
      <c r="D627" s="7" t="inlineStr">
        <is>
          <t>clapet d'admission</t>
        </is>
      </c>
      <c r="E627" s="7" t="inlineStr">
        <is>
          <t>Propulsion amphibie</t>
        </is>
      </c>
      <c r="F627" s="7" t="inlineStr">
        <is>
          <t>Propulsion amphibie</t>
        </is>
      </c>
      <c r="G627" s="7" t="inlineStr">
        <is>
          <t>PIECE_VEHICULE</t>
        </is>
      </c>
      <c r="H627" s="7" t="n">
        <v>1</v>
      </c>
      <c r="I627" s="7">
        <f>H627*$D$3</f>
        <v/>
      </c>
      <c r="J627" s="7" t="inlineStr">
        <is>
          <t>unité</t>
        </is>
      </c>
      <c r="K627" s="7" t="n">
        <v>0</v>
      </c>
      <c r="L627" s="7">
        <f>K627-I627</f>
        <v/>
      </c>
      <c r="M627" s="7">
        <f>IF(K627&lt;I627,"✕ INSUFFISANT",IF(K627&lt;I627*1.2,"⚠ STOCK FAIBLE","✓ COUVERT"))</f>
        <v/>
      </c>
      <c r="N627" s="7" t="inlineStr">
        <is>
          <t>SUM</t>
        </is>
      </c>
      <c r="O627" s="7" t="inlineStr">
        <is>
          <t>STANDARD</t>
        </is>
      </c>
      <c r="P627" s="7" t="inlineStr">
        <is>
          <t>31/08/2026 02:59</t>
        </is>
      </c>
    </row>
    <row r="628">
      <c r="A628" s="8" t="inlineStr">
        <is>
          <t>WHAP 8x8</t>
        </is>
      </c>
      <c r="B628" s="8" t="inlineStr">
        <is>
          <t>WHAP-0624</t>
        </is>
      </c>
      <c r="C628" s="8" t="inlineStr">
        <is>
          <t>AMP-0624</t>
        </is>
      </c>
      <c r="D628" s="8" t="inlineStr">
        <is>
          <t>conduit d'eau</t>
        </is>
      </c>
      <c r="E628" s="8" t="inlineStr">
        <is>
          <t>Propulsion amphibie</t>
        </is>
      </c>
      <c r="F628" s="8" t="inlineStr">
        <is>
          <t>Propulsion amphibie</t>
        </is>
      </c>
      <c r="G628" s="8" t="inlineStr">
        <is>
          <t>PIECE_VEHICULE</t>
        </is>
      </c>
      <c r="H628" s="8" t="n">
        <v>1</v>
      </c>
      <c r="I628" s="8">
        <f>H628*$D$3</f>
        <v/>
      </c>
      <c r="J628" s="8" t="inlineStr">
        <is>
          <t>unité</t>
        </is>
      </c>
      <c r="K628" s="8" t="n">
        <v>0</v>
      </c>
      <c r="L628" s="8">
        <f>K628-I628</f>
        <v/>
      </c>
      <c r="M628" s="8">
        <f>IF(K628&lt;I628,"✕ INSUFFISANT",IF(K628&lt;I628*1.2,"⚠ STOCK FAIBLE","✓ COUVERT"))</f>
        <v/>
      </c>
      <c r="N628" s="8" t="inlineStr">
        <is>
          <t>DEL</t>
        </is>
      </c>
      <c r="O628" s="8" t="inlineStr">
        <is>
          <t>STANDARD</t>
        </is>
      </c>
      <c r="P628" s="8" t="inlineStr">
        <is>
          <t>31/08/2026 02:59</t>
        </is>
      </c>
    </row>
    <row r="629">
      <c r="A629" s="7" t="inlineStr">
        <is>
          <t>WHAP 8x8</t>
        </is>
      </c>
      <c r="B629" s="7" t="inlineStr">
        <is>
          <t>WHAP-0625</t>
        </is>
      </c>
      <c r="C629" s="7" t="inlineStr">
        <is>
          <t>AMP-0625</t>
        </is>
      </c>
      <c r="D629" s="7" t="inlineStr">
        <is>
          <t>vanne d'eau</t>
        </is>
      </c>
      <c r="E629" s="7" t="inlineStr">
        <is>
          <t>Propulsion amphibie</t>
        </is>
      </c>
      <c r="F629" s="7" t="inlineStr">
        <is>
          <t>Propulsion amphibie</t>
        </is>
      </c>
      <c r="G629" s="7" t="inlineStr">
        <is>
          <t>PIECE_VEHICULE</t>
        </is>
      </c>
      <c r="H629" s="7" t="n">
        <v>1</v>
      </c>
      <c r="I629" s="7">
        <f>H629*$D$3</f>
        <v/>
      </c>
      <c r="J629" s="7" t="inlineStr">
        <is>
          <t>unité</t>
        </is>
      </c>
      <c r="K629" s="7" t="n">
        <v>0</v>
      </c>
      <c r="L629" s="7">
        <f>K629-I629</f>
        <v/>
      </c>
      <c r="M629" s="7">
        <f>IF(K629&lt;I629,"✕ INSUFFISANT",IF(K629&lt;I629*1.2,"⚠ STOCK FAIBLE","✓ COUVERT"))</f>
        <v/>
      </c>
      <c r="N629" s="7" t="inlineStr">
        <is>
          <t>CTL</t>
        </is>
      </c>
      <c r="O629" s="7" t="inlineStr">
        <is>
          <t>STANDARD</t>
        </is>
      </c>
      <c r="P629" s="7" t="inlineStr">
        <is>
          <t>31/08/2026 02:59</t>
        </is>
      </c>
    </row>
    <row r="630">
      <c r="A630" s="8" t="inlineStr">
        <is>
          <t>WHAP 8x8</t>
        </is>
      </c>
      <c r="B630" s="8" t="inlineStr">
        <is>
          <t>WHAP-0626</t>
        </is>
      </c>
      <c r="C630" s="8" t="inlineStr">
        <is>
          <t>AMP-0626</t>
        </is>
      </c>
      <c r="D630" s="8" t="inlineStr">
        <is>
          <t>capteur vitesse hydrojet</t>
        </is>
      </c>
      <c r="E630" s="8" t="inlineStr">
        <is>
          <t>Propulsion amphibie</t>
        </is>
      </c>
      <c r="F630" s="8" t="inlineStr">
        <is>
          <t>Propulsion amphibie</t>
        </is>
      </c>
      <c r="G630" s="8" t="inlineStr">
        <is>
          <t>PIECE_VEHICULE</t>
        </is>
      </c>
      <c r="H630" s="8" t="n">
        <v>1</v>
      </c>
      <c r="I630" s="8">
        <f>H630*$D$3</f>
        <v/>
      </c>
      <c r="J630" s="8" t="inlineStr">
        <is>
          <t>unité</t>
        </is>
      </c>
      <c r="K630" s="8" t="n">
        <v>0</v>
      </c>
      <c r="L630" s="8">
        <f>K630-I630</f>
        <v/>
      </c>
      <c r="M630" s="8">
        <f>IF(K630&lt;I630,"✕ INSUFFISANT",IF(K630&lt;I630*1.2,"⚠ STOCK FAIBLE","✓ COUVERT"))</f>
        <v/>
      </c>
      <c r="N630" s="8" t="inlineStr">
        <is>
          <t>BOS</t>
        </is>
      </c>
      <c r="O630" s="8" t="inlineStr">
        <is>
          <t>STANDARD</t>
        </is>
      </c>
      <c r="P630" s="8" t="inlineStr">
        <is>
          <t>31/08/2026 02:59</t>
        </is>
      </c>
    </row>
    <row r="631">
      <c r="A631" s="7" t="inlineStr">
        <is>
          <t>WHAP 8x8</t>
        </is>
      </c>
      <c r="B631" s="7" t="inlineStr">
        <is>
          <t>WHAP-0627</t>
        </is>
      </c>
      <c r="C631" s="7" t="inlineStr">
        <is>
          <t>AMP-0627</t>
        </is>
      </c>
      <c r="D631" s="7" t="inlineStr">
        <is>
          <t>capteur pression hydrojet</t>
        </is>
      </c>
      <c r="E631" s="7" t="inlineStr">
        <is>
          <t>Propulsion amphibie</t>
        </is>
      </c>
      <c r="F631" s="7" t="inlineStr">
        <is>
          <t>Propulsion amphibie</t>
        </is>
      </c>
      <c r="G631" s="7" t="inlineStr">
        <is>
          <t>PIECE_VEHICULE</t>
        </is>
      </c>
      <c r="H631" s="7" t="n">
        <v>1</v>
      </c>
      <c r="I631" s="7">
        <f>H631*$D$3</f>
        <v/>
      </c>
      <c r="J631" s="7" t="inlineStr">
        <is>
          <t>unité</t>
        </is>
      </c>
      <c r="K631" s="7" t="n">
        <v>0</v>
      </c>
      <c r="L631" s="7">
        <f>K631-I631</f>
        <v/>
      </c>
      <c r="M631" s="7">
        <f>IF(K631&lt;I631,"✕ INSUFFISANT",IF(K631&lt;I631*1.2,"⚠ STOCK FAIBLE","✓ COUVERT"))</f>
        <v/>
      </c>
      <c r="N631" s="7" t="inlineStr">
        <is>
          <t>YZK</t>
        </is>
      </c>
      <c r="O631" s="7" t="inlineStr">
        <is>
          <t>STANDARD</t>
        </is>
      </c>
      <c r="P631" s="7" t="inlineStr">
        <is>
          <t>31/08/2026 02:59</t>
        </is>
      </c>
    </row>
    <row r="632">
      <c r="A632" s="8" t="inlineStr">
        <is>
          <t>WHAP 8x8</t>
        </is>
      </c>
      <c r="B632" s="8" t="inlineStr">
        <is>
          <t>WHAP-0628</t>
        </is>
      </c>
      <c r="C632" s="8" t="inlineStr">
        <is>
          <t>AMP-0628</t>
        </is>
      </c>
      <c r="D632" s="8" t="inlineStr">
        <is>
          <t>support hydrojet</t>
        </is>
      </c>
      <c r="E632" s="8" t="inlineStr">
        <is>
          <t>Propulsion amphibie</t>
        </is>
      </c>
      <c r="F632" s="8" t="inlineStr">
        <is>
          <t>Propulsion amphibie</t>
        </is>
      </c>
      <c r="G632" s="8" t="inlineStr">
        <is>
          <t>PIECE_VEHICULE</t>
        </is>
      </c>
      <c r="H632" s="8" t="n">
        <v>1</v>
      </c>
      <c r="I632" s="8">
        <f>H632*$D$3</f>
        <v/>
      </c>
      <c r="J632" s="8" t="inlineStr">
        <is>
          <t>unité</t>
        </is>
      </c>
      <c r="K632" s="8" t="n">
        <v>0</v>
      </c>
      <c r="L632" s="8">
        <f>K632-I632</f>
        <v/>
      </c>
      <c r="M632" s="8">
        <f>IF(K632&lt;I632,"✕ INSUFFISANT",IF(K632&lt;I632*1.2,"⚠ STOCK FAIBLE","✓ COUVERT"))</f>
        <v/>
      </c>
      <c r="N632" s="8" t="inlineStr">
        <is>
          <t>HEL</t>
        </is>
      </c>
      <c r="O632" s="8" t="inlineStr">
        <is>
          <t>STANDARD</t>
        </is>
      </c>
      <c r="P632" s="8" t="inlineStr">
        <is>
          <t>31/08/2026 02:59</t>
        </is>
      </c>
    </row>
    <row r="633">
      <c r="A633" s="7" t="inlineStr">
        <is>
          <t>WHAP 8x8</t>
        </is>
      </c>
      <c r="B633" s="7" t="inlineStr">
        <is>
          <t>WHAP-0629</t>
        </is>
      </c>
      <c r="C633" s="7" t="inlineStr">
        <is>
          <t>FIX-0629</t>
        </is>
      </c>
      <c r="D633" s="7" t="inlineStr">
        <is>
          <t>vis hexagonale</t>
        </is>
      </c>
      <c r="E633" s="7" t="inlineStr">
        <is>
          <t>Fixations et consommables</t>
        </is>
      </c>
      <c r="F633" s="7" t="inlineStr">
        <is>
          <t>Fixations et consommables</t>
        </is>
      </c>
      <c r="G633" s="7" t="inlineStr">
        <is>
          <t>CONSOMMABLE</t>
        </is>
      </c>
      <c r="H633" s="7" t="n">
        <v>1</v>
      </c>
      <c r="I633" s="7">
        <f>H633*$D$3</f>
        <v/>
      </c>
      <c r="J633" s="7" t="inlineStr">
        <is>
          <t>unité</t>
        </is>
      </c>
      <c r="K633" s="7" t="n">
        <v>120</v>
      </c>
      <c r="L633" s="7">
        <f>K633-I633</f>
        <v/>
      </c>
      <c r="M633" s="7">
        <f>IF(K633&lt;I633,"✕ INSUFFISANT",IF(K633&lt;I633*1.2,"⚠ STOCK FAIBLE","✓ COUVERT"))</f>
        <v/>
      </c>
      <c r="N633" s="7" t="inlineStr">
        <is>
          <t>DEL</t>
        </is>
      </c>
      <c r="O633" s="7" t="inlineStr">
        <is>
          <t>STANDARD</t>
        </is>
      </c>
      <c r="P633" s="7" t="inlineStr">
        <is>
          <t>31/08/2026 02:59</t>
        </is>
      </c>
    </row>
    <row r="634">
      <c r="A634" s="8" t="inlineStr">
        <is>
          <t>WHAP 8x8</t>
        </is>
      </c>
      <c r="B634" s="8" t="inlineStr">
        <is>
          <t>WHAP-0630</t>
        </is>
      </c>
      <c r="C634" s="8" t="inlineStr">
        <is>
          <t>FIX-0630</t>
        </is>
      </c>
      <c r="D634" s="8" t="inlineStr">
        <is>
          <t>vis à tête cylindrique</t>
        </is>
      </c>
      <c r="E634" s="8" t="inlineStr">
        <is>
          <t>Fixations et consommables</t>
        </is>
      </c>
      <c r="F634" s="8" t="inlineStr">
        <is>
          <t>Fixations et consommables</t>
        </is>
      </c>
      <c r="G634" s="8" t="inlineStr">
        <is>
          <t>CONSOMMABLE</t>
        </is>
      </c>
      <c r="H634" s="8" t="n">
        <v>1</v>
      </c>
      <c r="I634" s="8">
        <f>H634*$D$3</f>
        <v/>
      </c>
      <c r="J634" s="8" t="inlineStr">
        <is>
          <t>unité</t>
        </is>
      </c>
      <c r="K634" s="8" t="n">
        <v>720</v>
      </c>
      <c r="L634" s="8">
        <f>K634-I634</f>
        <v/>
      </c>
      <c r="M634" s="8">
        <f>IF(K634&lt;I634,"✕ INSUFFISANT",IF(K634&lt;I634*1.2,"⚠ STOCK FAIBLE","✓ COUVERT"))</f>
        <v/>
      </c>
      <c r="N634" s="8" t="inlineStr">
        <is>
          <t>SKF</t>
        </is>
      </c>
      <c r="O634" s="8" t="inlineStr">
        <is>
          <t>STANDARD</t>
        </is>
      </c>
      <c r="P634" s="8" t="inlineStr">
        <is>
          <t>31/08/2026 02:59</t>
        </is>
      </c>
    </row>
    <row r="635">
      <c r="A635" s="7" t="inlineStr">
        <is>
          <t>WHAP 8x8</t>
        </is>
      </c>
      <c r="B635" s="7" t="inlineStr">
        <is>
          <t>WHAP-0631</t>
        </is>
      </c>
      <c r="C635" s="7" t="inlineStr">
        <is>
          <t>FIX-0631</t>
        </is>
      </c>
      <c r="D635" s="7" t="inlineStr">
        <is>
          <t>vis fraisée</t>
        </is>
      </c>
      <c r="E635" s="7" t="inlineStr">
        <is>
          <t>Fixations et consommables</t>
        </is>
      </c>
      <c r="F635" s="7" t="inlineStr">
        <is>
          <t>Fixations et consommables</t>
        </is>
      </c>
      <c r="G635" s="7" t="inlineStr">
        <is>
          <t>CONSOMMABLE</t>
        </is>
      </c>
      <c r="H635" s="7" t="n">
        <v>1</v>
      </c>
      <c r="I635" s="7">
        <f>H635*$D$3</f>
        <v/>
      </c>
      <c r="J635" s="7" t="inlineStr">
        <is>
          <t>unité</t>
        </is>
      </c>
      <c r="K635" s="7" t="n">
        <v>0</v>
      </c>
      <c r="L635" s="7">
        <f>K635-I635</f>
        <v/>
      </c>
      <c r="M635" s="7">
        <f>IF(K635&lt;I635,"✕ INSUFFISANT",IF(K635&lt;I635*1.2,"⚠ STOCK FAIBLE","✓ COUVERT"))</f>
        <v/>
      </c>
      <c r="N635" s="7" t="inlineStr">
        <is>
          <t>HEL</t>
        </is>
      </c>
      <c r="O635" s="7" t="inlineStr">
        <is>
          <t>STANDARD</t>
        </is>
      </c>
      <c r="P635" s="7" t="inlineStr">
        <is>
          <t>31/08/2026 02:59</t>
        </is>
      </c>
    </row>
    <row r="636">
      <c r="A636" s="8" t="inlineStr">
        <is>
          <t>WHAP 8x8</t>
        </is>
      </c>
      <c r="B636" s="8" t="inlineStr">
        <is>
          <t>WHAP-0632</t>
        </is>
      </c>
      <c r="C636" s="8" t="inlineStr">
        <is>
          <t>FIX-0632</t>
        </is>
      </c>
      <c r="D636" s="8" t="inlineStr">
        <is>
          <t>vis à embase</t>
        </is>
      </c>
      <c r="E636" s="8" t="inlineStr">
        <is>
          <t>Fixations et consommables</t>
        </is>
      </c>
      <c r="F636" s="8" t="inlineStr">
        <is>
          <t>Fixations et consommables</t>
        </is>
      </c>
      <c r="G636" s="8" t="inlineStr">
        <is>
          <t>CONSOMMABLE</t>
        </is>
      </c>
      <c r="H636" s="8" t="n">
        <v>1</v>
      </c>
      <c r="I636" s="8">
        <f>H636*$D$3</f>
        <v/>
      </c>
      <c r="J636" s="8" t="inlineStr">
        <is>
          <t>unité</t>
        </is>
      </c>
      <c r="K636" s="8" t="n">
        <v>0</v>
      </c>
      <c r="L636" s="8">
        <f>K636-I636</f>
        <v/>
      </c>
      <c r="M636" s="8">
        <f>IF(K636&lt;I636,"✕ INSUFFISANT",IF(K636&lt;I636*1.2,"⚠ STOCK FAIBLE","✓ COUVERT"))</f>
        <v/>
      </c>
      <c r="N636" s="8" t="inlineStr">
        <is>
          <t>VAL</t>
        </is>
      </c>
      <c r="O636" s="8" t="inlineStr">
        <is>
          <t>STANDARD</t>
        </is>
      </c>
      <c r="P636" s="8" t="inlineStr">
        <is>
          <t>31/08/2026 02:59</t>
        </is>
      </c>
    </row>
    <row r="637">
      <c r="A637" s="7" t="inlineStr">
        <is>
          <t>WHAP 8x8</t>
        </is>
      </c>
      <c r="B637" s="7" t="inlineStr">
        <is>
          <t>WHAP-0633</t>
        </is>
      </c>
      <c r="C637" s="7" t="inlineStr">
        <is>
          <t>FIX-0633</t>
        </is>
      </c>
      <c r="D637" s="7" t="inlineStr">
        <is>
          <t>boulon hexagonal</t>
        </is>
      </c>
      <c r="E637" s="7" t="inlineStr">
        <is>
          <t>Fixations et consommables</t>
        </is>
      </c>
      <c r="F637" s="7" t="inlineStr">
        <is>
          <t>Fixations et consommables</t>
        </is>
      </c>
      <c r="G637" s="7" t="inlineStr">
        <is>
          <t>CONSOMMABLE</t>
        </is>
      </c>
      <c r="H637" s="7" t="n">
        <v>1</v>
      </c>
      <c r="I637" s="7">
        <f>H637*$D$3</f>
        <v/>
      </c>
      <c r="J637" s="7" t="inlineStr">
        <is>
          <t>unité</t>
        </is>
      </c>
      <c r="K637" s="7" t="n">
        <v>0</v>
      </c>
      <c r="L637" s="7">
        <f>K637-I637</f>
        <v/>
      </c>
      <c r="M637" s="7">
        <f>IF(K637&lt;I637,"✕ INSUFFISANT",IF(K637&lt;I637*1.2,"⚠ STOCK FAIBLE","✓ COUVERT"))</f>
        <v/>
      </c>
      <c r="N637" s="7" t="inlineStr">
        <is>
          <t>FAU</t>
        </is>
      </c>
      <c r="O637" s="7" t="inlineStr">
        <is>
          <t>STANDARD</t>
        </is>
      </c>
      <c r="P637" s="7" t="inlineStr">
        <is>
          <t>31/08/2026 02:59</t>
        </is>
      </c>
    </row>
    <row r="638">
      <c r="A638" s="8" t="inlineStr">
        <is>
          <t>WHAP 8x8</t>
        </is>
      </c>
      <c r="B638" s="8" t="inlineStr">
        <is>
          <t>WHAP-0634</t>
        </is>
      </c>
      <c r="C638" s="8" t="inlineStr">
        <is>
          <t>FIX-0634</t>
        </is>
      </c>
      <c r="D638" s="8" t="inlineStr">
        <is>
          <t>goujon</t>
        </is>
      </c>
      <c r="E638" s="8" t="inlineStr">
        <is>
          <t>Fixations et consommables</t>
        </is>
      </c>
      <c r="F638" s="8" t="inlineStr">
        <is>
          <t>Fixations et consommables</t>
        </is>
      </c>
      <c r="G638" s="8" t="inlineStr">
        <is>
          <t>CONSOMMABLE</t>
        </is>
      </c>
      <c r="H638" s="8" t="n">
        <v>1</v>
      </c>
      <c r="I638" s="8">
        <f>H638*$D$3</f>
        <v/>
      </c>
      <c r="J638" s="8" t="inlineStr">
        <is>
          <t>unité</t>
        </is>
      </c>
      <c r="K638" s="8" t="n">
        <v>0</v>
      </c>
      <c r="L638" s="8">
        <f>K638-I638</f>
        <v/>
      </c>
      <c r="M638" s="8">
        <f>IF(K638&lt;I638,"✕ INSUFFISANT",IF(K638&lt;I638*1.2,"⚠ STOCK FAIBLE","✓ COUVERT"))</f>
        <v/>
      </c>
      <c r="N638" s="8" t="inlineStr">
        <is>
          <t>CTL</t>
        </is>
      </c>
      <c r="O638" s="8" t="inlineStr">
        <is>
          <t>STANDARD</t>
        </is>
      </c>
      <c r="P638" s="8" t="inlineStr">
        <is>
          <t>31/08/2026 02:59</t>
        </is>
      </c>
    </row>
    <row r="639">
      <c r="A639" s="7" t="inlineStr">
        <is>
          <t>WHAP 8x8</t>
        </is>
      </c>
      <c r="B639" s="7" t="inlineStr">
        <is>
          <t>WHAP-0635</t>
        </is>
      </c>
      <c r="C639" s="7" t="inlineStr">
        <is>
          <t>FIX-0635</t>
        </is>
      </c>
      <c r="D639" s="7" t="inlineStr">
        <is>
          <t>écrou hexagonal</t>
        </is>
      </c>
      <c r="E639" s="7" t="inlineStr">
        <is>
          <t>Fixations et consommables</t>
        </is>
      </c>
      <c r="F639" s="7" t="inlineStr">
        <is>
          <t>Fixations et consommables</t>
        </is>
      </c>
      <c r="G639" s="7" t="inlineStr">
        <is>
          <t>CONSOMMABLE</t>
        </is>
      </c>
      <c r="H639" s="7" t="n">
        <v>1</v>
      </c>
      <c r="I639" s="7">
        <f>H639*$D$3</f>
        <v/>
      </c>
      <c r="J639" s="7" t="inlineStr">
        <is>
          <t>unité</t>
        </is>
      </c>
      <c r="K639" s="7" t="n">
        <v>0</v>
      </c>
      <c r="L639" s="7">
        <f>K639-I639</f>
        <v/>
      </c>
      <c r="M639" s="7">
        <f>IF(K639&lt;I639,"✕ INSUFFISANT",IF(K639&lt;I639*1.2,"⚠ STOCK FAIBLE","✓ COUVERT"))</f>
        <v/>
      </c>
      <c r="N639" s="7" t="inlineStr">
        <is>
          <t>CTL</t>
        </is>
      </c>
      <c r="O639" s="7" t="inlineStr">
        <is>
          <t>STANDARD</t>
        </is>
      </c>
      <c r="P639" s="7" t="inlineStr">
        <is>
          <t>31/08/2026 02:59</t>
        </is>
      </c>
    </row>
    <row r="640">
      <c r="A640" s="8" t="inlineStr">
        <is>
          <t>WHAP 8x8</t>
        </is>
      </c>
      <c r="B640" s="8" t="inlineStr">
        <is>
          <t>WHAP-0636</t>
        </is>
      </c>
      <c r="C640" s="8" t="inlineStr">
        <is>
          <t>FIX-0636</t>
        </is>
      </c>
      <c r="D640" s="8" t="inlineStr">
        <is>
          <t>écrou frein</t>
        </is>
      </c>
      <c r="E640" s="8" t="inlineStr">
        <is>
          <t>Fixations et consommables</t>
        </is>
      </c>
      <c r="F640" s="8" t="inlineStr">
        <is>
          <t>Fixations et consommables</t>
        </is>
      </c>
      <c r="G640" s="8" t="inlineStr">
        <is>
          <t>CONSOMMABLE</t>
        </is>
      </c>
      <c r="H640" s="8" t="n">
        <v>1</v>
      </c>
      <c r="I640" s="8">
        <f>H640*$D$3</f>
        <v/>
      </c>
      <c r="J640" s="8" t="inlineStr">
        <is>
          <t>unité</t>
        </is>
      </c>
      <c r="K640" s="8" t="n">
        <v>0</v>
      </c>
      <c r="L640" s="8">
        <f>K640-I640</f>
        <v/>
      </c>
      <c r="M640" s="8">
        <f>IF(K640&lt;I640,"✕ INSUFFISANT",IF(K640&lt;I640*1.2,"⚠ STOCK FAIBLE","✓ COUVERT"))</f>
        <v/>
      </c>
      <c r="N640" s="8" t="inlineStr">
        <is>
          <t>BOS</t>
        </is>
      </c>
      <c r="O640" s="8" t="inlineStr">
        <is>
          <t>STANDARD</t>
        </is>
      </c>
      <c r="P640" s="8" t="inlineStr">
        <is>
          <t>31/08/2026 02:59</t>
        </is>
      </c>
    </row>
    <row r="641">
      <c r="A641" s="7" t="inlineStr">
        <is>
          <t>WHAP 8x8</t>
        </is>
      </c>
      <c r="B641" s="7" t="inlineStr">
        <is>
          <t>WHAP-0637</t>
        </is>
      </c>
      <c r="C641" s="7" t="inlineStr">
        <is>
          <t>FIX-0637</t>
        </is>
      </c>
      <c r="D641" s="7" t="inlineStr">
        <is>
          <t>écrou à créneaux</t>
        </is>
      </c>
      <c r="E641" s="7" t="inlineStr">
        <is>
          <t>Fixations et consommables</t>
        </is>
      </c>
      <c r="F641" s="7" t="inlineStr">
        <is>
          <t>Fixations et consommables</t>
        </is>
      </c>
      <c r="G641" s="7" t="inlineStr">
        <is>
          <t>CONSOMMABLE</t>
        </is>
      </c>
      <c r="H641" s="7" t="n">
        <v>1</v>
      </c>
      <c r="I641" s="7">
        <f>H641*$D$3</f>
        <v/>
      </c>
      <c r="J641" s="7" t="inlineStr">
        <is>
          <t>unité</t>
        </is>
      </c>
      <c r="K641" s="7" t="n">
        <v>0</v>
      </c>
      <c r="L641" s="7">
        <f>K641-I641</f>
        <v/>
      </c>
      <c r="M641" s="7">
        <f>IF(K641&lt;I641,"✕ INSUFFISANT",IF(K641&lt;I641*1.2,"⚠ STOCK FAIBLE","✓ COUVERT"))</f>
        <v/>
      </c>
      <c r="N641" s="7" t="inlineStr">
        <is>
          <t>FAU</t>
        </is>
      </c>
      <c r="O641" s="7" t="inlineStr">
        <is>
          <t>STANDARD</t>
        </is>
      </c>
      <c r="P641" s="7" t="inlineStr">
        <is>
          <t>31/08/2026 02:59</t>
        </is>
      </c>
    </row>
    <row r="642">
      <c r="A642" s="8" t="inlineStr">
        <is>
          <t>WHAP 8x8</t>
        </is>
      </c>
      <c r="B642" s="8" t="inlineStr">
        <is>
          <t>WHAP-0638</t>
        </is>
      </c>
      <c r="C642" s="8" t="inlineStr">
        <is>
          <t>FIX-0638</t>
        </is>
      </c>
      <c r="D642" s="8" t="inlineStr">
        <is>
          <t>écrou borgne</t>
        </is>
      </c>
      <c r="E642" s="8" t="inlineStr">
        <is>
          <t>Fixations et consommables</t>
        </is>
      </c>
      <c r="F642" s="8" t="inlineStr">
        <is>
          <t>Fixations et consommables</t>
        </is>
      </c>
      <c r="G642" s="8" t="inlineStr">
        <is>
          <t>CONSOMMABLE</t>
        </is>
      </c>
      <c r="H642" s="8" t="n">
        <v>1</v>
      </c>
      <c r="I642" s="8">
        <f>H642*$D$3</f>
        <v/>
      </c>
      <c r="J642" s="8" t="inlineStr">
        <is>
          <t>unité</t>
        </is>
      </c>
      <c r="K642" s="8" t="n">
        <v>0</v>
      </c>
      <c r="L642" s="8">
        <f>K642-I642</f>
        <v/>
      </c>
      <c r="M642" s="8">
        <f>IF(K642&lt;I642,"✕ INSUFFISANT",IF(K642&lt;I642*1.2,"⚠ STOCK FAIBLE","✓ COUVERT"))</f>
        <v/>
      </c>
      <c r="N642" s="8" t="inlineStr">
        <is>
          <t>VAL</t>
        </is>
      </c>
      <c r="O642" s="8" t="inlineStr">
        <is>
          <t>STANDARD</t>
        </is>
      </c>
      <c r="P642" s="8" t="inlineStr">
        <is>
          <t>31/08/2026 02:59</t>
        </is>
      </c>
    </row>
    <row r="643">
      <c r="A643" s="7" t="inlineStr">
        <is>
          <t>WHAP 8x8</t>
        </is>
      </c>
      <c r="B643" s="7" t="inlineStr">
        <is>
          <t>WHAP-0639</t>
        </is>
      </c>
      <c r="C643" s="7" t="inlineStr">
        <is>
          <t>FIX-0639</t>
        </is>
      </c>
      <c r="D643" s="7" t="inlineStr">
        <is>
          <t>rondelle plate</t>
        </is>
      </c>
      <c r="E643" s="7" t="inlineStr">
        <is>
          <t>Fixations et consommables</t>
        </is>
      </c>
      <c r="F643" s="7" t="inlineStr">
        <is>
          <t>Fixations et consommables</t>
        </is>
      </c>
      <c r="G643" s="7" t="inlineStr">
        <is>
          <t>CONSOMMABLE</t>
        </is>
      </c>
      <c r="H643" s="7" t="n">
        <v>1</v>
      </c>
      <c r="I643" s="7">
        <f>H643*$D$3</f>
        <v/>
      </c>
      <c r="J643" s="7" t="inlineStr">
        <is>
          <t>unité</t>
        </is>
      </c>
      <c r="K643" s="7" t="n">
        <v>0</v>
      </c>
      <c r="L643" s="7">
        <f>K643-I643</f>
        <v/>
      </c>
      <c r="M643" s="7">
        <f>IF(K643&lt;I643,"✕ INSUFFISANT",IF(K643&lt;I643*1.2,"⚠ STOCK FAIBLE","✓ COUVERT"))</f>
        <v/>
      </c>
      <c r="N643" s="7" t="inlineStr">
        <is>
          <t>BOS</t>
        </is>
      </c>
      <c r="O643" s="7" t="inlineStr">
        <is>
          <t>STANDARD</t>
        </is>
      </c>
      <c r="P643" s="7" t="inlineStr">
        <is>
          <t>31/08/2026 02:59</t>
        </is>
      </c>
    </row>
    <row r="644">
      <c r="A644" s="8" t="inlineStr">
        <is>
          <t>WHAP 8x8</t>
        </is>
      </c>
      <c r="B644" s="8" t="inlineStr">
        <is>
          <t>WHAP-0640</t>
        </is>
      </c>
      <c r="C644" s="8" t="inlineStr">
        <is>
          <t>FIX-0640</t>
        </is>
      </c>
      <c r="D644" s="8" t="inlineStr">
        <is>
          <t>rondelle ressort</t>
        </is>
      </c>
      <c r="E644" s="8" t="inlineStr">
        <is>
          <t>Fixations et consommables</t>
        </is>
      </c>
      <c r="F644" s="8" t="inlineStr">
        <is>
          <t>Fixations et consommables</t>
        </is>
      </c>
      <c r="G644" s="8" t="inlineStr">
        <is>
          <t>CONSOMMABLE</t>
        </is>
      </c>
      <c r="H644" s="8" t="n">
        <v>1</v>
      </c>
      <c r="I644" s="8">
        <f>H644*$D$3</f>
        <v/>
      </c>
      <c r="J644" s="8" t="inlineStr">
        <is>
          <t>unité</t>
        </is>
      </c>
      <c r="K644" s="8" t="n">
        <v>0</v>
      </c>
      <c r="L644" s="8">
        <f>K644-I644</f>
        <v/>
      </c>
      <c r="M644" s="8">
        <f>IF(K644&lt;I644,"✕ INSUFFISANT",IF(K644&lt;I644*1.2,"⚠ STOCK FAIBLE","✓ COUVERT"))</f>
        <v/>
      </c>
      <c r="N644" s="8" t="inlineStr">
        <is>
          <t>MAG</t>
        </is>
      </c>
      <c r="O644" s="8" t="inlineStr">
        <is>
          <t>STANDARD</t>
        </is>
      </c>
      <c r="P644" s="8" t="inlineStr">
        <is>
          <t>31/08/2026 02:59</t>
        </is>
      </c>
    </row>
    <row r="645">
      <c r="A645" s="7" t="inlineStr">
        <is>
          <t>WHAP 8x8</t>
        </is>
      </c>
      <c r="B645" s="7" t="inlineStr">
        <is>
          <t>WHAP-0641</t>
        </is>
      </c>
      <c r="C645" s="7" t="inlineStr">
        <is>
          <t>FIX-0641</t>
        </is>
      </c>
      <c r="D645" s="7" t="inlineStr">
        <is>
          <t>rondelle frein</t>
        </is>
      </c>
      <c r="E645" s="7" t="inlineStr">
        <is>
          <t>Fixations et consommables</t>
        </is>
      </c>
      <c r="F645" s="7" t="inlineStr">
        <is>
          <t>Fixations et consommables</t>
        </is>
      </c>
      <c r="G645" s="7" t="inlineStr">
        <is>
          <t>CONSOMMABLE</t>
        </is>
      </c>
      <c r="H645" s="7" t="n">
        <v>1</v>
      </c>
      <c r="I645" s="7">
        <f>H645*$D$3</f>
        <v/>
      </c>
      <c r="J645" s="7" t="inlineStr">
        <is>
          <t>unité</t>
        </is>
      </c>
      <c r="K645" s="7" t="n">
        <v>0</v>
      </c>
      <c r="L645" s="7">
        <f>K645-I645</f>
        <v/>
      </c>
      <c r="M645" s="7">
        <f>IF(K645&lt;I645,"✕ INSUFFISANT",IF(K645&lt;I645*1.2,"⚠ STOCK FAIBLE","✓ COUVERT"))</f>
        <v/>
      </c>
      <c r="N645" s="7" t="inlineStr">
        <is>
          <t>SUM</t>
        </is>
      </c>
      <c r="O645" s="7" t="inlineStr">
        <is>
          <t>STANDARD</t>
        </is>
      </c>
      <c r="P645" s="7" t="inlineStr">
        <is>
          <t>31/08/2026 02:59</t>
        </is>
      </c>
    </row>
    <row r="646">
      <c r="A646" s="8" t="inlineStr">
        <is>
          <t>WHAP 8x8</t>
        </is>
      </c>
      <c r="B646" s="8" t="inlineStr">
        <is>
          <t>WHAP-0642</t>
        </is>
      </c>
      <c r="C646" s="8" t="inlineStr">
        <is>
          <t>FIX-0642</t>
        </is>
      </c>
      <c r="D646" s="8" t="inlineStr">
        <is>
          <t>circlip intérieur</t>
        </is>
      </c>
      <c r="E646" s="8" t="inlineStr">
        <is>
          <t>Fixations et consommables</t>
        </is>
      </c>
      <c r="F646" s="8" t="inlineStr">
        <is>
          <t>Fixations et consommables</t>
        </is>
      </c>
      <c r="G646" s="8" t="inlineStr">
        <is>
          <t>CONSOMMABLE</t>
        </is>
      </c>
      <c r="H646" s="8" t="n">
        <v>1</v>
      </c>
      <c r="I646" s="8">
        <f>H646*$D$3</f>
        <v/>
      </c>
      <c r="J646" s="8" t="inlineStr">
        <is>
          <t>unité</t>
        </is>
      </c>
      <c r="K646" s="8" t="n">
        <v>0</v>
      </c>
      <c r="L646" s="8">
        <f>K646-I646</f>
        <v/>
      </c>
      <c r="M646" s="8">
        <f>IF(K646&lt;I646,"✕ INSUFFISANT",IF(K646&lt;I646*1.2,"⚠ STOCK FAIBLE","✓ COUVERT"))</f>
        <v/>
      </c>
      <c r="N646" s="8" t="inlineStr">
        <is>
          <t>VAL</t>
        </is>
      </c>
      <c r="O646" s="8" t="inlineStr">
        <is>
          <t>STANDARD</t>
        </is>
      </c>
      <c r="P646" s="8" t="inlineStr">
        <is>
          <t>31/08/2026 02:59</t>
        </is>
      </c>
    </row>
    <row r="647">
      <c r="A647" s="7" t="inlineStr">
        <is>
          <t>WHAP 8x8</t>
        </is>
      </c>
      <c r="B647" s="7" t="inlineStr">
        <is>
          <t>WHAP-0643</t>
        </is>
      </c>
      <c r="C647" s="7" t="inlineStr">
        <is>
          <t>FIX-0643</t>
        </is>
      </c>
      <c r="D647" s="7" t="inlineStr">
        <is>
          <t>circlip extérieur</t>
        </is>
      </c>
      <c r="E647" s="7" t="inlineStr">
        <is>
          <t>Fixations et consommables</t>
        </is>
      </c>
      <c r="F647" s="7" t="inlineStr">
        <is>
          <t>Fixations et consommables</t>
        </is>
      </c>
      <c r="G647" s="7" t="inlineStr">
        <is>
          <t>CONSOMMABLE</t>
        </is>
      </c>
      <c r="H647" s="7" t="n">
        <v>1</v>
      </c>
      <c r="I647" s="7">
        <f>H647*$D$3</f>
        <v/>
      </c>
      <c r="J647" s="7" t="inlineStr">
        <is>
          <t>unité</t>
        </is>
      </c>
      <c r="K647" s="7" t="n">
        <v>0</v>
      </c>
      <c r="L647" s="7">
        <f>K647-I647</f>
        <v/>
      </c>
      <c r="M647" s="7">
        <f>IF(K647&lt;I647,"✕ INSUFFISANT",IF(K647&lt;I647*1.2,"⚠ STOCK FAIBLE","✓ COUVERT"))</f>
        <v/>
      </c>
      <c r="N647" s="7" t="inlineStr">
        <is>
          <t>BOS</t>
        </is>
      </c>
      <c r="O647" s="7" t="inlineStr">
        <is>
          <t>STANDARD</t>
        </is>
      </c>
      <c r="P647" s="7" t="inlineStr">
        <is>
          <t>31/08/2026 02:59</t>
        </is>
      </c>
    </row>
    <row r="648">
      <c r="A648" s="8" t="inlineStr">
        <is>
          <t>WHAP 8x8</t>
        </is>
      </c>
      <c r="B648" s="8" t="inlineStr">
        <is>
          <t>WHAP-0644</t>
        </is>
      </c>
      <c r="C648" s="8" t="inlineStr">
        <is>
          <t>FIX-0644</t>
        </is>
      </c>
      <c r="D648" s="8" t="inlineStr">
        <is>
          <t>goupille</t>
        </is>
      </c>
      <c r="E648" s="8" t="inlineStr">
        <is>
          <t>Fixations et consommables</t>
        </is>
      </c>
      <c r="F648" s="8" t="inlineStr">
        <is>
          <t>Fixations et consommables</t>
        </is>
      </c>
      <c r="G648" s="8" t="inlineStr">
        <is>
          <t>CONSOMMABLE</t>
        </is>
      </c>
      <c r="H648" s="8" t="n">
        <v>1</v>
      </c>
      <c r="I648" s="8">
        <f>H648*$D$3</f>
        <v/>
      </c>
      <c r="J648" s="8" t="inlineStr">
        <is>
          <t>unité</t>
        </is>
      </c>
      <c r="K648" s="8" t="n">
        <v>0</v>
      </c>
      <c r="L648" s="8">
        <f>K648-I648</f>
        <v/>
      </c>
      <c r="M648" s="8">
        <f>IF(K648&lt;I648,"✕ INSUFFISANT",IF(K648&lt;I648*1.2,"⚠ STOCK FAIBLE","✓ COUVERT"))</f>
        <v/>
      </c>
      <c r="N648" s="8" t="inlineStr">
        <is>
          <t>DEL</t>
        </is>
      </c>
      <c r="O648" s="8" t="inlineStr">
        <is>
          <t>STANDARD</t>
        </is>
      </c>
      <c r="P648" s="8" t="inlineStr">
        <is>
          <t>31/08/2026 02:59</t>
        </is>
      </c>
    </row>
    <row r="649">
      <c r="A649" s="7" t="inlineStr">
        <is>
          <t>WHAP 8x8</t>
        </is>
      </c>
      <c r="B649" s="7" t="inlineStr">
        <is>
          <t>WHAP-0645</t>
        </is>
      </c>
      <c r="C649" s="7" t="inlineStr">
        <is>
          <t>FIX-0645</t>
        </is>
      </c>
      <c r="D649" s="7" t="inlineStr">
        <is>
          <t>goupille élastique</t>
        </is>
      </c>
      <c r="E649" s="7" t="inlineStr">
        <is>
          <t>Fixations et consommables</t>
        </is>
      </c>
      <c r="F649" s="7" t="inlineStr">
        <is>
          <t>Fixations et consommables</t>
        </is>
      </c>
      <c r="G649" s="7" t="inlineStr">
        <is>
          <t>CONSOMMABLE</t>
        </is>
      </c>
      <c r="H649" s="7" t="n">
        <v>1</v>
      </c>
      <c r="I649" s="7">
        <f>H649*$D$3</f>
        <v/>
      </c>
      <c r="J649" s="7" t="inlineStr">
        <is>
          <t>unité</t>
        </is>
      </c>
      <c r="K649" s="7" t="n">
        <v>0</v>
      </c>
      <c r="L649" s="7">
        <f>K649-I649</f>
        <v/>
      </c>
      <c r="M649" s="7">
        <f>IF(K649&lt;I649,"✕ INSUFFISANT",IF(K649&lt;I649*1.2,"⚠ STOCK FAIBLE","✓ COUVERT"))</f>
        <v/>
      </c>
      <c r="N649" s="7" t="inlineStr">
        <is>
          <t>SKF</t>
        </is>
      </c>
      <c r="O649" s="7" t="inlineStr">
        <is>
          <t>STANDARD</t>
        </is>
      </c>
      <c r="P649" s="7" t="inlineStr">
        <is>
          <t>31/08/2026 02:59</t>
        </is>
      </c>
    </row>
    <row r="650">
      <c r="A650" s="8" t="inlineStr">
        <is>
          <t>WHAP 8x8</t>
        </is>
      </c>
      <c r="B650" s="8" t="inlineStr">
        <is>
          <t>WHAP-0646</t>
        </is>
      </c>
      <c r="C650" s="8" t="inlineStr">
        <is>
          <t>FIX-0646</t>
        </is>
      </c>
      <c r="D650" s="8" t="inlineStr">
        <is>
          <t>rivet</t>
        </is>
      </c>
      <c r="E650" s="8" t="inlineStr">
        <is>
          <t>Fixations et consommables</t>
        </is>
      </c>
      <c r="F650" s="8" t="inlineStr">
        <is>
          <t>Fixations et consommables</t>
        </is>
      </c>
      <c r="G650" s="8" t="inlineStr">
        <is>
          <t>CONSOMMABLE</t>
        </is>
      </c>
      <c r="H650" s="8" t="n">
        <v>1</v>
      </c>
      <c r="I650" s="8">
        <f>H650*$D$3</f>
        <v/>
      </c>
      <c r="J650" s="8" t="inlineStr">
        <is>
          <t>unité</t>
        </is>
      </c>
      <c r="K650" s="8" t="n">
        <v>0</v>
      </c>
      <c r="L650" s="8">
        <f>K650-I650</f>
        <v/>
      </c>
      <c r="M650" s="8">
        <f>IF(K650&lt;I650,"✕ INSUFFISANT",IF(K650&lt;I650*1.2,"⚠ STOCK FAIBLE","✓ COUVERT"))</f>
        <v/>
      </c>
      <c r="N650" s="8" t="inlineStr">
        <is>
          <t>YZK</t>
        </is>
      </c>
      <c r="O650" s="8" t="inlineStr">
        <is>
          <t>STANDARD</t>
        </is>
      </c>
      <c r="P650" s="8" t="inlineStr">
        <is>
          <t>31/08/2026 02:59</t>
        </is>
      </c>
    </row>
    <row r="651">
      <c r="A651" s="7" t="inlineStr">
        <is>
          <t>WHAP 8x8</t>
        </is>
      </c>
      <c r="B651" s="7" t="inlineStr">
        <is>
          <t>WHAP-0647</t>
        </is>
      </c>
      <c r="C651" s="7" t="inlineStr">
        <is>
          <t>FIX-0647</t>
        </is>
      </c>
      <c r="D651" s="7" t="inlineStr">
        <is>
          <t>agrafe</t>
        </is>
      </c>
      <c r="E651" s="7" t="inlineStr">
        <is>
          <t>Fixations et consommables</t>
        </is>
      </c>
      <c r="F651" s="7" t="inlineStr">
        <is>
          <t>Fixations et consommables</t>
        </is>
      </c>
      <c r="G651" s="7" t="inlineStr">
        <is>
          <t>CONSOMMABLE</t>
        </is>
      </c>
      <c r="H651" s="7" t="n">
        <v>1</v>
      </c>
      <c r="I651" s="7">
        <f>H651*$D$3</f>
        <v/>
      </c>
      <c r="J651" s="7" t="inlineStr">
        <is>
          <t>unité</t>
        </is>
      </c>
      <c r="K651" s="7" t="n">
        <v>0</v>
      </c>
      <c r="L651" s="7">
        <f>K651-I651</f>
        <v/>
      </c>
      <c r="M651" s="7">
        <f>IF(K651&lt;I651,"✕ INSUFFISANT",IF(K651&lt;I651*1.2,"⚠ STOCK FAIBLE","✓ COUVERT"))</f>
        <v/>
      </c>
      <c r="N651" s="7" t="inlineStr">
        <is>
          <t>VAL</t>
        </is>
      </c>
      <c r="O651" s="7" t="inlineStr">
        <is>
          <t>STANDARD</t>
        </is>
      </c>
      <c r="P651" s="7" t="inlineStr">
        <is>
          <t>31/08/2026 02:59</t>
        </is>
      </c>
    </row>
    <row r="652">
      <c r="A652" s="8" t="inlineStr">
        <is>
          <t>WHAP 8x8</t>
        </is>
      </c>
      <c r="B652" s="8" t="inlineStr">
        <is>
          <t>WHAP-0648</t>
        </is>
      </c>
      <c r="C652" s="8" t="inlineStr">
        <is>
          <t>FIX-0648</t>
        </is>
      </c>
      <c r="D652" s="8" t="inlineStr">
        <is>
          <t>collier métallique</t>
        </is>
      </c>
      <c r="E652" s="8" t="inlineStr">
        <is>
          <t>Fixations et consommables</t>
        </is>
      </c>
      <c r="F652" s="8" t="inlineStr">
        <is>
          <t>Fixations et consommables</t>
        </is>
      </c>
      <c r="G652" s="8" t="inlineStr">
        <is>
          <t>CONSOMMABLE</t>
        </is>
      </c>
      <c r="H652" s="8" t="n">
        <v>1</v>
      </c>
      <c r="I652" s="8">
        <f>H652*$D$3</f>
        <v/>
      </c>
      <c r="J652" s="8" t="inlineStr">
        <is>
          <t>unité</t>
        </is>
      </c>
      <c r="K652" s="8" t="n">
        <v>0</v>
      </c>
      <c r="L652" s="8">
        <f>K652-I652</f>
        <v/>
      </c>
      <c r="M652" s="8">
        <f>IF(K652&lt;I652,"✕ INSUFFISANT",IF(K652&lt;I652*1.2,"⚠ STOCK FAIBLE","✓ COUVERT"))</f>
        <v/>
      </c>
      <c r="N652" s="8" t="inlineStr">
        <is>
          <t>MAG</t>
        </is>
      </c>
      <c r="O652" s="8" t="inlineStr">
        <is>
          <t>STANDARD</t>
        </is>
      </c>
      <c r="P652" s="8" t="inlineStr">
        <is>
          <t>31/08/2026 02:59</t>
        </is>
      </c>
    </row>
    <row r="653">
      <c r="A653" s="7" t="inlineStr">
        <is>
          <t>WHAP 8x8</t>
        </is>
      </c>
      <c r="B653" s="7" t="inlineStr">
        <is>
          <t>WHAP-0649</t>
        </is>
      </c>
      <c r="C653" s="7" t="inlineStr">
        <is>
          <t>FIX-0649</t>
        </is>
      </c>
      <c r="D653" s="7" t="inlineStr">
        <is>
          <t>collier plastique</t>
        </is>
      </c>
      <c r="E653" s="7" t="inlineStr">
        <is>
          <t>Fixations et consommables</t>
        </is>
      </c>
      <c r="F653" s="7" t="inlineStr">
        <is>
          <t>Fixations et consommables</t>
        </is>
      </c>
      <c r="G653" s="7" t="inlineStr">
        <is>
          <t>CONSOMMABLE</t>
        </is>
      </c>
      <c r="H653" s="7" t="n">
        <v>1</v>
      </c>
      <c r="I653" s="7">
        <f>H653*$D$3</f>
        <v/>
      </c>
      <c r="J653" s="7" t="inlineStr">
        <is>
          <t>unité</t>
        </is>
      </c>
      <c r="K653" s="7" t="n">
        <v>0</v>
      </c>
      <c r="L653" s="7">
        <f>K653-I653</f>
        <v/>
      </c>
      <c r="M653" s="7">
        <f>IF(K653&lt;I653,"✕ INSUFFISANT",IF(K653&lt;I653*1.2,"⚠ STOCK FAIBLE","✓ COUVERT"))</f>
        <v/>
      </c>
      <c r="N653" s="7" t="inlineStr">
        <is>
          <t>YZK</t>
        </is>
      </c>
      <c r="O653" s="7" t="inlineStr">
        <is>
          <t>STANDARD</t>
        </is>
      </c>
      <c r="P653" s="7" t="inlineStr">
        <is>
          <t>31/08/2026 02:59</t>
        </is>
      </c>
    </row>
    <row r="654">
      <c r="A654" s="8" t="inlineStr">
        <is>
          <t>WHAP 8x8</t>
        </is>
      </c>
      <c r="B654" s="8" t="inlineStr">
        <is>
          <t>WHAP-0650</t>
        </is>
      </c>
      <c r="C654" s="8" t="inlineStr">
        <is>
          <t>FIX-0650</t>
        </is>
      </c>
      <c r="D654" s="8" t="inlineStr">
        <is>
          <t>joint torique</t>
        </is>
      </c>
      <c r="E654" s="8" t="inlineStr">
        <is>
          <t>Fixations et consommables</t>
        </is>
      </c>
      <c r="F654" s="8" t="inlineStr">
        <is>
          <t>Fixations et consommables</t>
        </is>
      </c>
      <c r="G654" s="8" t="inlineStr">
        <is>
          <t>CONSOMMABLE</t>
        </is>
      </c>
      <c r="H654" s="8" t="n">
        <v>1</v>
      </c>
      <c r="I654" s="8">
        <f>H654*$D$3</f>
        <v/>
      </c>
      <c r="J654" s="8" t="inlineStr">
        <is>
          <t>unité</t>
        </is>
      </c>
      <c r="K654" s="8" t="n">
        <v>0</v>
      </c>
      <c r="L654" s="8">
        <f>K654-I654</f>
        <v/>
      </c>
      <c r="M654" s="8">
        <f>IF(K654&lt;I654,"✕ INSUFFISANT",IF(K654&lt;I654*1.2,"⚠ STOCK FAIBLE","✓ COUVERT"))</f>
        <v/>
      </c>
      <c r="N654" s="8" t="inlineStr">
        <is>
          <t>CTL</t>
        </is>
      </c>
      <c r="O654" s="8" t="inlineStr">
        <is>
          <t>STANDARD</t>
        </is>
      </c>
      <c r="P654" s="8" t="inlineStr">
        <is>
          <t>31/08/2026 02:59</t>
        </is>
      </c>
    </row>
    <row r="655">
      <c r="A655" s="7" t="inlineStr">
        <is>
          <t>WHAP 8x8</t>
        </is>
      </c>
      <c r="B655" s="7" t="inlineStr">
        <is>
          <t>WHAP-0651</t>
        </is>
      </c>
      <c r="C655" s="7" t="inlineStr">
        <is>
          <t>FIX-0651</t>
        </is>
      </c>
      <c r="D655" s="7" t="inlineStr">
        <is>
          <t>joint plat</t>
        </is>
      </c>
      <c r="E655" s="7" t="inlineStr">
        <is>
          <t>Fixations et consommables</t>
        </is>
      </c>
      <c r="F655" s="7" t="inlineStr">
        <is>
          <t>Fixations et consommables</t>
        </is>
      </c>
      <c r="G655" s="7" t="inlineStr">
        <is>
          <t>CONSOMMABLE</t>
        </is>
      </c>
      <c r="H655" s="7" t="n">
        <v>1</v>
      </c>
      <c r="I655" s="7">
        <f>H655*$D$3</f>
        <v/>
      </c>
      <c r="J655" s="7" t="inlineStr">
        <is>
          <t>unité</t>
        </is>
      </c>
      <c r="K655" s="7" t="n">
        <v>0</v>
      </c>
      <c r="L655" s="7">
        <f>K655-I655</f>
        <v/>
      </c>
      <c r="M655" s="7">
        <f>IF(K655&lt;I655,"✕ INSUFFISANT",IF(K655&lt;I655*1.2,"⚠ STOCK FAIBLE","✓ COUVERT"))</f>
        <v/>
      </c>
      <c r="N655" s="7" t="inlineStr">
        <is>
          <t>HEL</t>
        </is>
      </c>
      <c r="O655" s="7" t="inlineStr">
        <is>
          <t>STANDARD</t>
        </is>
      </c>
      <c r="P655" s="7" t="inlineStr">
        <is>
          <t>31/08/2026 02:59</t>
        </is>
      </c>
    </row>
    <row r="656">
      <c r="A656" s="8" t="inlineStr">
        <is>
          <t>WHAP 8x8</t>
        </is>
      </c>
      <c r="B656" s="8" t="inlineStr">
        <is>
          <t>WHAP-0652</t>
        </is>
      </c>
      <c r="C656" s="8" t="inlineStr">
        <is>
          <t>FIX-0652</t>
        </is>
      </c>
      <c r="D656" s="8" t="inlineStr">
        <is>
          <t>joint spi</t>
        </is>
      </c>
      <c r="E656" s="8" t="inlineStr">
        <is>
          <t>Fixations et consommables</t>
        </is>
      </c>
      <c r="F656" s="8" t="inlineStr">
        <is>
          <t>Fixations et consommables</t>
        </is>
      </c>
      <c r="G656" s="8" t="inlineStr">
        <is>
          <t>CONSOMMABLE</t>
        </is>
      </c>
      <c r="H656" s="8" t="n">
        <v>1</v>
      </c>
      <c r="I656" s="8">
        <f>H656*$D$3</f>
        <v/>
      </c>
      <c r="J656" s="8" t="inlineStr">
        <is>
          <t>unité</t>
        </is>
      </c>
      <c r="K656" s="8" t="n">
        <v>0</v>
      </c>
      <c r="L656" s="8">
        <f>K656-I656</f>
        <v/>
      </c>
      <c r="M656" s="8">
        <f>IF(K656&lt;I656,"✕ INSUFFISANT",IF(K656&lt;I656*1.2,"⚠ STOCK FAIBLE","✓ COUVERT"))</f>
        <v/>
      </c>
      <c r="N656" s="8" t="inlineStr">
        <is>
          <t>HEL</t>
        </is>
      </c>
      <c r="O656" s="8" t="inlineStr">
        <is>
          <t>STANDARD</t>
        </is>
      </c>
      <c r="P656" s="8" t="inlineStr">
        <is>
          <t>31/08/2026 02:59</t>
        </is>
      </c>
    </row>
    <row r="657">
      <c r="A657" s="7" t="inlineStr">
        <is>
          <t>WHAP 8x8</t>
        </is>
      </c>
      <c r="B657" s="7" t="inlineStr">
        <is>
          <t>WHAP-0653</t>
        </is>
      </c>
      <c r="C657" s="7" t="inlineStr">
        <is>
          <t>FIX-0653</t>
        </is>
      </c>
      <c r="D657" s="7" t="inlineStr">
        <is>
          <t>bague</t>
        </is>
      </c>
      <c r="E657" s="7" t="inlineStr">
        <is>
          <t>Fixations et consommables</t>
        </is>
      </c>
      <c r="F657" s="7" t="inlineStr">
        <is>
          <t>Fixations et consommables</t>
        </is>
      </c>
      <c r="G657" s="7" t="inlineStr">
        <is>
          <t>CONSOMMABLE</t>
        </is>
      </c>
      <c r="H657" s="7" t="n">
        <v>1</v>
      </c>
      <c r="I657" s="7">
        <f>H657*$D$3</f>
        <v/>
      </c>
      <c r="J657" s="7" t="inlineStr">
        <is>
          <t>unité</t>
        </is>
      </c>
      <c r="K657" s="7" t="n">
        <v>0</v>
      </c>
      <c r="L657" s="7">
        <f>K657-I657</f>
        <v/>
      </c>
      <c r="M657" s="7">
        <f>IF(K657&lt;I657,"✕ INSUFFISANT",IF(K657&lt;I657*1.2,"⚠ STOCK FAIBLE","✓ COUVERT"))</f>
        <v/>
      </c>
      <c r="N657" s="7" t="inlineStr">
        <is>
          <t>SKF</t>
        </is>
      </c>
      <c r="O657" s="7" t="inlineStr">
        <is>
          <t>STANDARD</t>
        </is>
      </c>
      <c r="P657" s="7" t="inlineStr">
        <is>
          <t>31/08/2026 02:59</t>
        </is>
      </c>
    </row>
    <row r="658">
      <c r="A658" s="8" t="inlineStr">
        <is>
          <t>WHAP 8x8</t>
        </is>
      </c>
      <c r="B658" s="8" t="inlineStr">
        <is>
          <t>WHAP-0654</t>
        </is>
      </c>
      <c r="C658" s="8" t="inlineStr">
        <is>
          <t>FIX-0654</t>
        </is>
      </c>
      <c r="D658" s="8" t="inlineStr">
        <is>
          <t>entretoise</t>
        </is>
      </c>
      <c r="E658" s="8" t="inlineStr">
        <is>
          <t>Fixations et consommables</t>
        </is>
      </c>
      <c r="F658" s="8" t="inlineStr">
        <is>
          <t>Fixations et consommables</t>
        </is>
      </c>
      <c r="G658" s="8" t="inlineStr">
        <is>
          <t>CONSOMMABLE</t>
        </is>
      </c>
      <c r="H658" s="8" t="n">
        <v>1</v>
      </c>
      <c r="I658" s="8">
        <f>H658*$D$3</f>
        <v/>
      </c>
      <c r="J658" s="8" t="inlineStr">
        <is>
          <t>unité</t>
        </is>
      </c>
      <c r="K658" s="8" t="n">
        <v>0</v>
      </c>
      <c r="L658" s="8">
        <f>K658-I658</f>
        <v/>
      </c>
      <c r="M658" s="8">
        <f>IF(K658&lt;I658,"✕ INSUFFISANT",IF(K658&lt;I658*1.2,"⚠ STOCK FAIBLE","✓ COUVERT"))</f>
        <v/>
      </c>
      <c r="N658" s="8" t="inlineStr">
        <is>
          <t>FAU</t>
        </is>
      </c>
      <c r="O658" s="8" t="inlineStr">
        <is>
          <t>STANDARD</t>
        </is>
      </c>
      <c r="P658" s="8" t="inlineStr">
        <is>
          <t>31/08/2026 02:59</t>
        </is>
      </c>
    </row>
    <row r="659">
      <c r="A659" s="7" t="inlineStr">
        <is>
          <t>WHAP 8x8</t>
        </is>
      </c>
      <c r="B659" s="7" t="inlineStr">
        <is>
          <t>WHAP-0655</t>
        </is>
      </c>
      <c r="C659" s="7" t="inlineStr">
        <is>
          <t>FIX-0655</t>
        </is>
      </c>
      <c r="D659" s="7" t="inlineStr">
        <is>
          <t>silentbloc</t>
        </is>
      </c>
      <c r="E659" s="7" t="inlineStr">
        <is>
          <t>Fixations et consommables</t>
        </is>
      </c>
      <c r="F659" s="7" t="inlineStr">
        <is>
          <t>Fixations et consommables</t>
        </is>
      </c>
      <c r="G659" s="7" t="inlineStr">
        <is>
          <t>CONSOMMABLE</t>
        </is>
      </c>
      <c r="H659" s="7" t="n">
        <v>1</v>
      </c>
      <c r="I659" s="7">
        <f>H659*$D$3</f>
        <v/>
      </c>
      <c r="J659" s="7" t="inlineStr">
        <is>
          <t>unité</t>
        </is>
      </c>
      <c r="K659" s="7" t="n">
        <v>0</v>
      </c>
      <c r="L659" s="7">
        <f>K659-I659</f>
        <v/>
      </c>
      <c r="M659" s="7">
        <f>IF(K659&lt;I659,"✕ INSUFFISANT",IF(K659&lt;I659*1.2,"⚠ STOCK FAIBLE","✓ COUVERT"))</f>
        <v/>
      </c>
      <c r="N659" s="7" t="inlineStr">
        <is>
          <t>YZK</t>
        </is>
      </c>
      <c r="O659" s="7" t="inlineStr">
        <is>
          <t>STANDARD</t>
        </is>
      </c>
      <c r="P659" s="7" t="inlineStr">
        <is>
          <t>31/08/2026 02:59</t>
        </is>
      </c>
    </row>
    <row r="660">
      <c r="A660" s="8" t="inlineStr">
        <is>
          <t>WHAP 8x8</t>
        </is>
      </c>
      <c r="B660" s="8" t="inlineStr">
        <is>
          <t>WHAP-0656</t>
        </is>
      </c>
      <c r="C660" s="8" t="inlineStr">
        <is>
          <t>FIX-0656</t>
        </is>
      </c>
      <c r="D660" s="8" t="inlineStr">
        <is>
          <t>graisseur</t>
        </is>
      </c>
      <c r="E660" s="8" t="inlineStr">
        <is>
          <t>Fixations et consommables</t>
        </is>
      </c>
      <c r="F660" s="8" t="inlineStr">
        <is>
          <t>Fixations et consommables</t>
        </is>
      </c>
      <c r="G660" s="8" t="inlineStr">
        <is>
          <t>CONSOMMABLE</t>
        </is>
      </c>
      <c r="H660" s="8" t="n">
        <v>1</v>
      </c>
      <c r="I660" s="8">
        <f>H660*$D$3</f>
        <v/>
      </c>
      <c r="J660" s="8" t="inlineStr">
        <is>
          <t>unité</t>
        </is>
      </c>
      <c r="K660" s="8" t="n">
        <v>0</v>
      </c>
      <c r="L660" s="8">
        <f>K660-I660</f>
        <v/>
      </c>
      <c r="M660" s="8">
        <f>IF(K660&lt;I660,"✕ INSUFFISANT",IF(K660&lt;I660*1.2,"⚠ STOCK FAIBLE","✓ COUVERT"))</f>
        <v/>
      </c>
      <c r="N660" s="8" t="inlineStr">
        <is>
          <t>BOS</t>
        </is>
      </c>
      <c r="O660" s="8" t="inlineStr">
        <is>
          <t>STANDARD</t>
        </is>
      </c>
      <c r="P660" s="8" t="inlineStr">
        <is>
          <t>31/08/2026 02:59</t>
        </is>
      </c>
    </row>
    <row r="661">
      <c r="A661" s="7" t="inlineStr">
        <is>
          <t>WHAP 8x8</t>
        </is>
      </c>
      <c r="B661" s="7" t="inlineStr">
        <is>
          <t>WHAP-0657</t>
        </is>
      </c>
      <c r="C661" s="7" t="inlineStr">
        <is>
          <t>FIX-0657</t>
        </is>
      </c>
      <c r="D661" s="7" t="inlineStr">
        <is>
          <t>bouchon</t>
        </is>
      </c>
      <c r="E661" s="7" t="inlineStr">
        <is>
          <t>Fixations et consommables</t>
        </is>
      </c>
      <c r="F661" s="7" t="inlineStr">
        <is>
          <t>Fixations et consommables</t>
        </is>
      </c>
      <c r="G661" s="7" t="inlineStr">
        <is>
          <t>CONSOMMABLE</t>
        </is>
      </c>
      <c r="H661" s="7" t="n">
        <v>1</v>
      </c>
      <c r="I661" s="7">
        <f>H661*$D$3</f>
        <v/>
      </c>
      <c r="J661" s="7" t="inlineStr">
        <is>
          <t>unité</t>
        </is>
      </c>
      <c r="K661" s="7" t="n">
        <v>0</v>
      </c>
      <c r="L661" s="7">
        <f>K661-I661</f>
        <v/>
      </c>
      <c r="M661" s="7">
        <f>IF(K661&lt;I661,"✕ INSUFFISANT",IF(K661&lt;I661*1.2,"⚠ STOCK FAIBLE","✓ COUVERT"))</f>
        <v/>
      </c>
      <c r="N661" s="7" t="inlineStr">
        <is>
          <t>SKF</t>
        </is>
      </c>
      <c r="O661" s="7" t="inlineStr">
        <is>
          <t>STANDARD</t>
        </is>
      </c>
      <c r="P661" s="7" t="inlineStr">
        <is>
          <t>31/08/2026 02:59</t>
        </is>
      </c>
    </row>
    <row r="662">
      <c r="A662" s="8" t="inlineStr">
        <is>
          <t>WHAP 8x8</t>
        </is>
      </c>
      <c r="B662" s="8" t="inlineStr">
        <is>
          <t>WHAP-0658</t>
        </is>
      </c>
      <c r="C662" s="8" t="inlineStr">
        <is>
          <t>FIX-0658</t>
        </is>
      </c>
      <c r="D662" s="8" t="inlineStr">
        <is>
          <t>capuchon</t>
        </is>
      </c>
      <c r="E662" s="8" t="inlineStr">
        <is>
          <t>Fixations et consommables</t>
        </is>
      </c>
      <c r="F662" s="8" t="inlineStr">
        <is>
          <t>Fixations et consommables</t>
        </is>
      </c>
      <c r="G662" s="8" t="inlineStr">
        <is>
          <t>CONSOMMABLE</t>
        </is>
      </c>
      <c r="H662" s="8" t="n">
        <v>1</v>
      </c>
      <c r="I662" s="8">
        <f>H662*$D$3</f>
        <v/>
      </c>
      <c r="J662" s="8" t="inlineStr">
        <is>
          <t>unité</t>
        </is>
      </c>
      <c r="K662" s="8" t="n">
        <v>0</v>
      </c>
      <c r="L662" s="8">
        <f>K662-I662</f>
        <v/>
      </c>
      <c r="M662" s="8">
        <f>IF(K662&lt;I662,"✕ INSUFFISANT",IF(K662&lt;I662*1.2,"⚠ STOCK FAIBLE","✓ COUVERT"))</f>
        <v/>
      </c>
      <c r="N662" s="8" t="inlineStr">
        <is>
          <t>YZK</t>
        </is>
      </c>
      <c r="O662" s="8" t="inlineStr">
        <is>
          <t>STANDARD</t>
        </is>
      </c>
      <c r="P662" s="8" t="inlineStr">
        <is>
          <t>31/08/2026 02:59</t>
        </is>
      </c>
    </row>
    <row r="663">
      <c r="A663" s="7" t="inlineStr">
        <is>
          <t>WHAP 8x8</t>
        </is>
      </c>
      <c r="B663" s="7" t="inlineStr">
        <is>
          <t>WHAP-0659</t>
        </is>
      </c>
      <c r="C663" s="7" t="inlineStr">
        <is>
          <t>FIX-0659</t>
        </is>
      </c>
      <c r="D663" s="7" t="inlineStr">
        <is>
          <t>adhésif technique</t>
        </is>
      </c>
      <c r="E663" s="7" t="inlineStr">
        <is>
          <t>Fixations et consommables</t>
        </is>
      </c>
      <c r="F663" s="7" t="inlineStr">
        <is>
          <t>Fixations et consommables</t>
        </is>
      </c>
      <c r="G663" s="7" t="inlineStr">
        <is>
          <t>CONSOMMABLE</t>
        </is>
      </c>
      <c r="H663" s="7" t="n">
        <v>1</v>
      </c>
      <c r="I663" s="7">
        <f>H663*$D$3</f>
        <v/>
      </c>
      <c r="J663" s="7" t="inlineStr">
        <is>
          <t>unité</t>
        </is>
      </c>
      <c r="K663" s="7" t="n">
        <v>0</v>
      </c>
      <c r="L663" s="7">
        <f>K663-I663</f>
        <v/>
      </c>
      <c r="M663" s="7">
        <f>IF(K663&lt;I663,"✕ INSUFFISANT",IF(K663&lt;I663*1.2,"⚠ STOCK FAIBLE","✓ COUVERT"))</f>
        <v/>
      </c>
      <c r="N663" s="7" t="inlineStr">
        <is>
          <t>CTL</t>
        </is>
      </c>
      <c r="O663" s="7" t="inlineStr">
        <is>
          <t>STANDARD</t>
        </is>
      </c>
      <c r="P663" s="7" t="inlineStr">
        <is>
          <t>31/08/2026 02:59</t>
        </is>
      </c>
    </row>
    <row r="664">
      <c r="A664" s="8" t="inlineStr">
        <is>
          <t>WHAP 8x8</t>
        </is>
      </c>
      <c r="B664" s="8" t="inlineStr">
        <is>
          <t>WHAP-0660</t>
        </is>
      </c>
      <c r="C664" s="8" t="inlineStr">
        <is>
          <t>FIX-0660</t>
        </is>
      </c>
      <c r="D664" s="8" t="inlineStr">
        <is>
          <t>mastic d'étanchéité</t>
        </is>
      </c>
      <c r="E664" s="8" t="inlineStr">
        <is>
          <t>Fixations et consommables</t>
        </is>
      </c>
      <c r="F664" s="8" t="inlineStr">
        <is>
          <t>Fixations et consommables</t>
        </is>
      </c>
      <c r="G664" s="8" t="inlineStr">
        <is>
          <t>CONSOMMABLE</t>
        </is>
      </c>
      <c r="H664" s="8" t="n">
        <v>1</v>
      </c>
      <c r="I664" s="8">
        <f>H664*$D$3</f>
        <v/>
      </c>
      <c r="J664" s="8" t="inlineStr">
        <is>
          <t>unité</t>
        </is>
      </c>
      <c r="K664" s="8" t="n">
        <v>0</v>
      </c>
      <c r="L664" s="8">
        <f>K664-I664</f>
        <v/>
      </c>
      <c r="M664" s="8">
        <f>IF(K664&lt;I664,"✕ INSUFFISANT",IF(K664&lt;I664*1.2,"⚠ STOCK FAIBLE","✓ COUVERT"))</f>
        <v/>
      </c>
      <c r="N664" s="8" t="inlineStr">
        <is>
          <t>DEL</t>
        </is>
      </c>
      <c r="O664" s="8" t="inlineStr">
        <is>
          <t>STANDARD</t>
        </is>
      </c>
      <c r="P664" s="8" t="inlineStr">
        <is>
          <t>31/08/2026 02:59</t>
        </is>
      </c>
    </row>
    <row r="665">
      <c r="A665" s="7" t="inlineStr">
        <is>
          <t>WHAP 8x8</t>
        </is>
      </c>
      <c r="B665" s="7" t="inlineStr">
        <is>
          <t>WHAP-0661</t>
        </is>
      </c>
      <c r="C665" s="7" t="inlineStr">
        <is>
          <t>FIX-0661</t>
        </is>
      </c>
      <c r="D665" s="7" t="inlineStr">
        <is>
          <t>frein-filet</t>
        </is>
      </c>
      <c r="E665" s="7" t="inlineStr">
        <is>
          <t>Fixations et consommables</t>
        </is>
      </c>
      <c r="F665" s="7" t="inlineStr">
        <is>
          <t>Fixations et consommables</t>
        </is>
      </c>
      <c r="G665" s="7" t="inlineStr">
        <is>
          <t>CONSOMMABLE</t>
        </is>
      </c>
      <c r="H665" s="7" t="n">
        <v>1</v>
      </c>
      <c r="I665" s="7">
        <f>H665*$D$3</f>
        <v/>
      </c>
      <c r="J665" s="7" t="inlineStr">
        <is>
          <t>unité</t>
        </is>
      </c>
      <c r="K665" s="7" t="n">
        <v>0</v>
      </c>
      <c r="L665" s="7">
        <f>K665-I665</f>
        <v/>
      </c>
      <c r="M665" s="7">
        <f>IF(K665&lt;I665,"✕ INSUFFISANT",IF(K665&lt;I665*1.2,"⚠ STOCK FAIBLE","✓ COUVERT"))</f>
        <v/>
      </c>
      <c r="N665" s="7" t="inlineStr">
        <is>
          <t>FAU</t>
        </is>
      </c>
      <c r="O665" s="7" t="inlineStr">
        <is>
          <t>STANDARD</t>
        </is>
      </c>
      <c r="P665" s="7" t="inlineStr">
        <is>
          <t>31/08/2026 02:59</t>
        </is>
      </c>
    </row>
    <row r="666">
      <c r="A666" s="8" t="inlineStr">
        <is>
          <t>WHAP 8x8</t>
        </is>
      </c>
      <c r="B666" s="8" t="inlineStr">
        <is>
          <t>WHAP-0662</t>
        </is>
      </c>
      <c r="C666" s="8" t="inlineStr">
        <is>
          <t>FIX-0662</t>
        </is>
      </c>
      <c r="D666" s="8" t="inlineStr">
        <is>
          <t>lubrifiant</t>
        </is>
      </c>
      <c r="E666" s="8" t="inlineStr">
        <is>
          <t>Fixations et consommables</t>
        </is>
      </c>
      <c r="F666" s="8" t="inlineStr">
        <is>
          <t>Fixations et consommables</t>
        </is>
      </c>
      <c r="G666" s="8" t="inlineStr">
        <is>
          <t>CONSOMMABLE</t>
        </is>
      </c>
      <c r="H666" s="8" t="n">
        <v>1</v>
      </c>
      <c r="I666" s="8">
        <f>H666*$D$3</f>
        <v/>
      </c>
      <c r="J666" s="8" t="inlineStr">
        <is>
          <t>unité</t>
        </is>
      </c>
      <c r="K666" s="8" t="n">
        <v>0</v>
      </c>
      <c r="L666" s="8">
        <f>K666-I666</f>
        <v/>
      </c>
      <c r="M666" s="8">
        <f>IF(K666&lt;I666,"✕ INSUFFISANT",IF(K666&lt;I666*1.2,"⚠ STOCK FAIBLE","✓ COUVERT"))</f>
        <v/>
      </c>
      <c r="N666" s="8" t="inlineStr">
        <is>
          <t>SUM</t>
        </is>
      </c>
      <c r="O666" s="8" t="inlineStr">
        <is>
          <t>STANDARD</t>
        </is>
      </c>
      <c r="P666" s="8" t="inlineStr">
        <is>
          <t>31/08/2026 02:59</t>
        </is>
      </c>
    </row>
    <row r="667">
      <c r="A667" s="7" t="inlineStr">
        <is>
          <t>WHAP 8x8</t>
        </is>
      </c>
      <c r="B667" s="7" t="inlineStr">
        <is>
          <t>WHAP-0663</t>
        </is>
      </c>
      <c r="C667" s="7" t="inlineStr">
        <is>
          <t>FIX-0663</t>
        </is>
      </c>
      <c r="D667" s="7" t="inlineStr">
        <is>
          <t>graisse</t>
        </is>
      </c>
      <c r="E667" s="7" t="inlineStr">
        <is>
          <t>Fixations et consommables</t>
        </is>
      </c>
      <c r="F667" s="7" t="inlineStr">
        <is>
          <t>Fixations et consommables</t>
        </is>
      </c>
      <c r="G667" s="7" t="inlineStr">
        <is>
          <t>CONSOMMABLE</t>
        </is>
      </c>
      <c r="H667" s="7" t="n">
        <v>1</v>
      </c>
      <c r="I667" s="7">
        <f>H667*$D$3</f>
        <v/>
      </c>
      <c r="J667" s="7" t="inlineStr">
        <is>
          <t>unité</t>
        </is>
      </c>
      <c r="K667" s="7" t="n">
        <v>0</v>
      </c>
      <c r="L667" s="7">
        <f>K667-I667</f>
        <v/>
      </c>
      <c r="M667" s="7">
        <f>IF(K667&lt;I667,"✕ INSUFFISANT",IF(K667&lt;I667*1.2,"⚠ STOCK FAIBLE","✓ COUVERT"))</f>
        <v/>
      </c>
      <c r="N667" s="7" t="inlineStr">
        <is>
          <t>BOS</t>
        </is>
      </c>
      <c r="O667" s="7" t="inlineStr">
        <is>
          <t>STANDARD</t>
        </is>
      </c>
      <c r="P667" s="7" t="inlineStr">
        <is>
          <t>31/08/2026 02:59</t>
        </is>
      </c>
    </row>
    <row r="668">
      <c r="A668" s="8" t="inlineStr">
        <is>
          <t>WHAP 8x8</t>
        </is>
      </c>
      <c r="B668" s="8" t="inlineStr">
        <is>
          <t>WHAP-0664</t>
        </is>
      </c>
      <c r="C668" s="8" t="inlineStr">
        <is>
          <t>FIX-0664</t>
        </is>
      </c>
      <c r="D668" s="8" t="inlineStr">
        <is>
          <t>huile moteur</t>
        </is>
      </c>
      <c r="E668" s="8" t="inlineStr">
        <is>
          <t>Fixations et consommables</t>
        </is>
      </c>
      <c r="F668" s="8" t="inlineStr">
        <is>
          <t>Fixations et consommables</t>
        </is>
      </c>
      <c r="G668" s="8" t="inlineStr">
        <is>
          <t>CONSOMMABLE</t>
        </is>
      </c>
      <c r="H668" s="8" t="n">
        <v>1</v>
      </c>
      <c r="I668" s="8">
        <f>H668*$D$3</f>
        <v/>
      </c>
      <c r="J668" s="8" t="inlineStr">
        <is>
          <t>unité</t>
        </is>
      </c>
      <c r="K668" s="8" t="n">
        <v>0</v>
      </c>
      <c r="L668" s="8">
        <f>K668-I668</f>
        <v/>
      </c>
      <c r="M668" s="8">
        <f>IF(K668&lt;I668,"✕ INSUFFISANT",IF(K668&lt;I668*1.2,"⚠ STOCK FAIBLE","✓ COUVERT"))</f>
        <v/>
      </c>
      <c r="N668" s="8" t="inlineStr">
        <is>
          <t>CTL</t>
        </is>
      </c>
      <c r="O668" s="8" t="inlineStr">
        <is>
          <t>STANDARD</t>
        </is>
      </c>
      <c r="P668" s="8" t="inlineStr">
        <is>
          <t>31/08/2026 02:59</t>
        </is>
      </c>
    </row>
    <row r="669">
      <c r="A669" s="7" t="inlineStr">
        <is>
          <t>WHAP 8x8</t>
        </is>
      </c>
      <c r="B669" s="7" t="inlineStr">
        <is>
          <t>WHAP-0665</t>
        </is>
      </c>
      <c r="C669" s="7" t="inlineStr">
        <is>
          <t>FIX-0665</t>
        </is>
      </c>
      <c r="D669" s="7" t="inlineStr">
        <is>
          <t>huile transmission</t>
        </is>
      </c>
      <c r="E669" s="7" t="inlineStr">
        <is>
          <t>Fixations et consommables</t>
        </is>
      </c>
      <c r="F669" s="7" t="inlineStr">
        <is>
          <t>Fixations et consommables</t>
        </is>
      </c>
      <c r="G669" s="7" t="inlineStr">
        <is>
          <t>CONSOMMABLE</t>
        </is>
      </c>
      <c r="H669" s="7" t="n">
        <v>1</v>
      </c>
      <c r="I669" s="7">
        <f>H669*$D$3</f>
        <v/>
      </c>
      <c r="J669" s="7" t="inlineStr">
        <is>
          <t>unité</t>
        </is>
      </c>
      <c r="K669" s="7" t="n">
        <v>0</v>
      </c>
      <c r="L669" s="7">
        <f>K669-I669</f>
        <v/>
      </c>
      <c r="M669" s="7">
        <f>IF(K669&lt;I669,"✕ INSUFFISANT",IF(K669&lt;I669*1.2,"⚠ STOCK FAIBLE","✓ COUVERT"))</f>
        <v/>
      </c>
      <c r="N669" s="7" t="inlineStr">
        <is>
          <t>HEL</t>
        </is>
      </c>
      <c r="O669" s="7" t="inlineStr">
        <is>
          <t>STANDARD</t>
        </is>
      </c>
      <c r="P669" s="7" t="inlineStr">
        <is>
          <t>31/08/2026 02:59</t>
        </is>
      </c>
    </row>
    <row r="670">
      <c r="A670" s="8" t="inlineStr">
        <is>
          <t>WHAP 8x8</t>
        </is>
      </c>
      <c r="B670" s="8" t="inlineStr">
        <is>
          <t>WHAP-0666</t>
        </is>
      </c>
      <c r="C670" s="8" t="inlineStr">
        <is>
          <t>FIX-0666</t>
        </is>
      </c>
      <c r="D670" s="8" t="inlineStr">
        <is>
          <t>liquide hydraulique</t>
        </is>
      </c>
      <c r="E670" s="8" t="inlineStr">
        <is>
          <t>Fixations et consommables</t>
        </is>
      </c>
      <c r="F670" s="8" t="inlineStr">
        <is>
          <t>Fixations et consommables</t>
        </is>
      </c>
      <c r="G670" s="8" t="inlineStr">
        <is>
          <t>CONSOMMABLE</t>
        </is>
      </c>
      <c r="H670" s="8" t="n">
        <v>1</v>
      </c>
      <c r="I670" s="8">
        <f>H670*$D$3</f>
        <v/>
      </c>
      <c r="J670" s="8" t="inlineStr">
        <is>
          <t>unité</t>
        </is>
      </c>
      <c r="K670" s="8" t="n">
        <v>0</v>
      </c>
      <c r="L670" s="8">
        <f>K670-I670</f>
        <v/>
      </c>
      <c r="M670" s="8">
        <f>IF(K670&lt;I670,"✕ INSUFFISANT",IF(K670&lt;I670*1.2,"⚠ STOCK FAIBLE","✓ COUVERT"))</f>
        <v/>
      </c>
      <c r="N670" s="8" t="inlineStr">
        <is>
          <t>SKF</t>
        </is>
      </c>
      <c r="O670" s="8" t="inlineStr">
        <is>
          <t>STANDARD</t>
        </is>
      </c>
      <c r="P670" s="8" t="inlineStr">
        <is>
          <t>31/08/2026 02:59</t>
        </is>
      </c>
    </row>
    <row r="671">
      <c r="A671" s="7" t="inlineStr">
        <is>
          <t>WHAP 8x8</t>
        </is>
      </c>
      <c r="B671" s="7" t="inlineStr">
        <is>
          <t>WHAP-0667</t>
        </is>
      </c>
      <c r="C671" s="7" t="inlineStr">
        <is>
          <t>FIX-0667</t>
        </is>
      </c>
      <c r="D671" s="7" t="inlineStr">
        <is>
          <t>liquide de refroidissement</t>
        </is>
      </c>
      <c r="E671" s="7" t="inlineStr">
        <is>
          <t>Fixations et consommables</t>
        </is>
      </c>
      <c r="F671" s="7" t="inlineStr">
        <is>
          <t>Fixations et consommables</t>
        </is>
      </c>
      <c r="G671" s="7" t="inlineStr">
        <is>
          <t>CONSOMMABLE</t>
        </is>
      </c>
      <c r="H671" s="7" t="n">
        <v>1</v>
      </c>
      <c r="I671" s="7">
        <f>H671*$D$3</f>
        <v/>
      </c>
      <c r="J671" s="7" t="inlineStr">
        <is>
          <t>unité</t>
        </is>
      </c>
      <c r="K671" s="7" t="n">
        <v>0</v>
      </c>
      <c r="L671" s="7">
        <f>K671-I671</f>
        <v/>
      </c>
      <c r="M671" s="7">
        <f>IF(K671&lt;I671,"✕ INSUFFISANT",IF(K671&lt;I671*1.2,"⚠ STOCK FAIBLE","✓ COUVERT"))</f>
        <v/>
      </c>
      <c r="N671" s="7" t="inlineStr">
        <is>
          <t>VAL</t>
        </is>
      </c>
      <c r="O671" s="7" t="inlineStr">
        <is>
          <t>STANDARD</t>
        </is>
      </c>
      <c r="P671" s="7" t="inlineStr">
        <is>
          <t>31/08/2026 02:59</t>
        </is>
      </c>
    </row>
    <row r="672">
      <c r="A672" s="8" t="inlineStr">
        <is>
          <t>WHAP 8x8</t>
        </is>
      </c>
      <c r="B672" s="8" t="inlineStr">
        <is>
          <t>WHAP-0668</t>
        </is>
      </c>
      <c r="C672" s="8" t="inlineStr">
        <is>
          <t>FIX-0668</t>
        </is>
      </c>
      <c r="D672" s="8" t="inlineStr">
        <is>
          <t>liquide de frein</t>
        </is>
      </c>
      <c r="E672" s="8" t="inlineStr">
        <is>
          <t>Fixations et consommables</t>
        </is>
      </c>
      <c r="F672" s="8" t="inlineStr">
        <is>
          <t>Fixations et consommables</t>
        </is>
      </c>
      <c r="G672" s="8" t="inlineStr">
        <is>
          <t>CONSOMMABLE</t>
        </is>
      </c>
      <c r="H672" s="8" t="n">
        <v>1</v>
      </c>
      <c r="I672" s="8">
        <f>H672*$D$3</f>
        <v/>
      </c>
      <c r="J672" s="8" t="inlineStr">
        <is>
          <t>unité</t>
        </is>
      </c>
      <c r="K672" s="8" t="n">
        <v>0</v>
      </c>
      <c r="L672" s="8">
        <f>K672-I672</f>
        <v/>
      </c>
      <c r="M672" s="8">
        <f>IF(K672&lt;I672,"✕ INSUFFISANT",IF(K672&lt;I672*1.2,"⚠ STOCK FAIBLE","✓ COUVERT"))</f>
        <v/>
      </c>
      <c r="N672" s="8" t="inlineStr">
        <is>
          <t>SKF</t>
        </is>
      </c>
      <c r="O672" s="8" t="inlineStr">
        <is>
          <t>STANDARD</t>
        </is>
      </c>
      <c r="P672" s="8" t="inlineStr">
        <is>
          <t>31/08/2026 02:59</t>
        </is>
      </c>
    </row>
    <row r="673">
      <c r="A673" s="7" t="inlineStr">
        <is>
          <t>WHAP 8x8</t>
        </is>
      </c>
      <c r="B673" s="7" t="inlineStr">
        <is>
          <t>WHAP-0669</t>
        </is>
      </c>
      <c r="C673" s="7" t="inlineStr">
        <is>
          <t>FIX-0669</t>
        </is>
      </c>
      <c r="D673" s="7" t="inlineStr">
        <is>
          <t>liquide lave-glace</t>
        </is>
      </c>
      <c r="E673" s="7" t="inlineStr">
        <is>
          <t>Fixations et consommables</t>
        </is>
      </c>
      <c r="F673" s="7" t="inlineStr">
        <is>
          <t>Fixations et consommables</t>
        </is>
      </c>
      <c r="G673" s="7" t="inlineStr">
        <is>
          <t>CONSOMMABLE</t>
        </is>
      </c>
      <c r="H673" s="7" t="n">
        <v>1</v>
      </c>
      <c r="I673" s="7">
        <f>H673*$D$3</f>
        <v/>
      </c>
      <c r="J673" s="7" t="inlineStr">
        <is>
          <t>unité</t>
        </is>
      </c>
      <c r="K673" s="7" t="n">
        <v>0</v>
      </c>
      <c r="L673" s="7">
        <f>K673-I673</f>
        <v/>
      </c>
      <c r="M673" s="7">
        <f>IF(K673&lt;I673,"✕ INSUFFISANT",IF(K673&lt;I673*1.2,"⚠ STOCK FAIBLE","✓ COUVERT"))</f>
        <v/>
      </c>
      <c r="N673" s="7" t="inlineStr">
        <is>
          <t>SUM</t>
        </is>
      </c>
      <c r="O673" s="7" t="inlineStr">
        <is>
          <t>STANDARD</t>
        </is>
      </c>
      <c r="P673" s="7" t="inlineStr">
        <is>
          <t>31/08/2026 02:59</t>
        </is>
      </c>
    </row>
    <row r="674">
      <c r="A674" s="8" t="inlineStr">
        <is>
          <t>WHAP 8x8</t>
        </is>
      </c>
      <c r="B674" s="8" t="inlineStr">
        <is>
          <t>WHAP-0670</t>
        </is>
      </c>
      <c r="C674" s="8" t="inlineStr">
        <is>
          <t>ROU-0670</t>
        </is>
      </c>
      <c r="D674" s="8" t="inlineStr">
        <is>
          <t>jante — AVG</t>
        </is>
      </c>
      <c r="E674" s="8" t="inlineStr">
        <is>
          <t>Roues et pneus</t>
        </is>
      </c>
      <c r="F674" s="8" t="inlineStr">
        <is>
          <t>Roues et pneus</t>
        </is>
      </c>
      <c r="G674" s="8" t="inlineStr">
        <is>
          <t>PIECE_VEHICULE</t>
        </is>
      </c>
      <c r="H674" s="8" t="n">
        <v>1</v>
      </c>
      <c r="I674" s="8">
        <f>H674*$D$3</f>
        <v/>
      </c>
      <c r="J674" s="8" t="inlineStr">
        <is>
          <t>unité</t>
        </is>
      </c>
      <c r="K674" s="8" t="n">
        <v>0</v>
      </c>
      <c r="L674" s="8">
        <f>K674-I674</f>
        <v/>
      </c>
      <c r="M674" s="8">
        <f>IF(K674&lt;I674,"✕ INSUFFISANT",IF(K674&lt;I674*1.2,"⚠ STOCK FAIBLE","✓ COUVERT"))</f>
        <v/>
      </c>
      <c r="N674" s="8" t="inlineStr">
        <is>
          <t>CTL</t>
        </is>
      </c>
      <c r="O674" s="8" t="inlineStr">
        <is>
          <t>IMPORTANT</t>
        </is>
      </c>
      <c r="P674" s="8" t="inlineStr">
        <is>
          <t>31/08/2026 02:59</t>
        </is>
      </c>
    </row>
    <row r="675">
      <c r="A675" s="7" t="inlineStr">
        <is>
          <t>WHAP 8x8</t>
        </is>
      </c>
      <c r="B675" s="7" t="inlineStr">
        <is>
          <t>WHAP-0671</t>
        </is>
      </c>
      <c r="C675" s="7" t="inlineStr">
        <is>
          <t>ROU-0671</t>
        </is>
      </c>
      <c r="D675" s="7" t="inlineStr">
        <is>
          <t>roue complète — AVG</t>
        </is>
      </c>
      <c r="E675" s="7" t="inlineStr">
        <is>
          <t>Roues et pneus</t>
        </is>
      </c>
      <c r="F675" s="7" t="inlineStr">
        <is>
          <t>Roues et pneus</t>
        </is>
      </c>
      <c r="G675" s="7" t="inlineStr">
        <is>
          <t>PIECE_VEHICULE</t>
        </is>
      </c>
      <c r="H675" s="7" t="n">
        <v>1</v>
      </c>
      <c r="I675" s="7">
        <f>H675*$D$3</f>
        <v/>
      </c>
      <c r="J675" s="7" t="inlineStr">
        <is>
          <t>unité</t>
        </is>
      </c>
      <c r="K675" s="7" t="n">
        <v>0</v>
      </c>
      <c r="L675" s="7">
        <f>K675-I675</f>
        <v/>
      </c>
      <c r="M675" s="7">
        <f>IF(K675&lt;I675,"✕ INSUFFISANT",IF(K675&lt;I675*1.2,"⚠ STOCK FAIBLE","✓ COUVERT"))</f>
        <v/>
      </c>
      <c r="N675" s="7" t="inlineStr">
        <is>
          <t>CTL</t>
        </is>
      </c>
      <c r="O675" s="7" t="inlineStr">
        <is>
          <t>IMPORTANT</t>
        </is>
      </c>
      <c r="P675" s="7" t="inlineStr">
        <is>
          <t>31/08/2026 02:59</t>
        </is>
      </c>
    </row>
    <row r="676">
      <c r="A676" s="8" t="inlineStr">
        <is>
          <t>WHAP 8x8</t>
        </is>
      </c>
      <c r="B676" s="8" t="inlineStr">
        <is>
          <t>WHAP-0672</t>
        </is>
      </c>
      <c r="C676" s="8" t="inlineStr">
        <is>
          <t>ROU-0672</t>
        </is>
      </c>
      <c r="D676" s="8" t="inlineStr">
        <is>
          <t>pneu — AVG</t>
        </is>
      </c>
      <c r="E676" s="8" t="inlineStr">
        <is>
          <t>Roues et pneus</t>
        </is>
      </c>
      <c r="F676" s="8" t="inlineStr">
        <is>
          <t>Roues et pneus</t>
        </is>
      </c>
      <c r="G676" s="8" t="inlineStr">
        <is>
          <t>PIECE_VEHICULE</t>
        </is>
      </c>
      <c r="H676" s="8" t="n">
        <v>1</v>
      </c>
      <c r="I676" s="8">
        <f>H676*$D$3</f>
        <v/>
      </c>
      <c r="J676" s="8" t="inlineStr">
        <is>
          <t>unité</t>
        </is>
      </c>
      <c r="K676" s="8" t="n">
        <v>0</v>
      </c>
      <c r="L676" s="8">
        <f>K676-I676</f>
        <v/>
      </c>
      <c r="M676" s="8">
        <f>IF(K676&lt;I676,"✕ INSUFFISANT",IF(K676&lt;I676*1.2,"⚠ STOCK FAIBLE","✓ COUVERT"))</f>
        <v/>
      </c>
      <c r="N676" s="8" t="inlineStr">
        <is>
          <t>HEL</t>
        </is>
      </c>
      <c r="O676" s="8" t="inlineStr">
        <is>
          <t>IMPORTANT</t>
        </is>
      </c>
      <c r="P676" s="8" t="inlineStr">
        <is>
          <t>31/08/2026 02:59</t>
        </is>
      </c>
    </row>
    <row r="677">
      <c r="A677" s="7" t="inlineStr">
        <is>
          <t>WHAP 8x8</t>
        </is>
      </c>
      <c r="B677" s="7" t="inlineStr">
        <is>
          <t>WHAP-0673</t>
        </is>
      </c>
      <c r="C677" s="7" t="inlineStr">
        <is>
          <t>ROU-0673</t>
        </is>
      </c>
      <c r="D677" s="7" t="inlineStr">
        <is>
          <t>insert run-flat — AVG</t>
        </is>
      </c>
      <c r="E677" s="7" t="inlineStr">
        <is>
          <t>Roues et pneus</t>
        </is>
      </c>
      <c r="F677" s="7" t="inlineStr">
        <is>
          <t>Roues et pneus</t>
        </is>
      </c>
      <c r="G677" s="7" t="inlineStr">
        <is>
          <t>PIECE_VEHICULE</t>
        </is>
      </c>
      <c r="H677" s="7" t="n">
        <v>1</v>
      </c>
      <c r="I677" s="7">
        <f>H677*$D$3</f>
        <v/>
      </c>
      <c r="J677" s="7" t="inlineStr">
        <is>
          <t>unité</t>
        </is>
      </c>
      <c r="K677" s="7" t="n">
        <v>0</v>
      </c>
      <c r="L677" s="7">
        <f>K677-I677</f>
        <v/>
      </c>
      <c r="M677" s="7">
        <f>IF(K677&lt;I677,"✕ INSUFFISANT",IF(K677&lt;I677*1.2,"⚠ STOCK FAIBLE","✓ COUVERT"))</f>
        <v/>
      </c>
      <c r="N677" s="7" t="inlineStr">
        <is>
          <t>YZK</t>
        </is>
      </c>
      <c r="O677" s="7" t="inlineStr">
        <is>
          <t>IMPORTANT</t>
        </is>
      </c>
      <c r="P677" s="7" t="inlineStr">
        <is>
          <t>31/08/2026 02:59</t>
        </is>
      </c>
    </row>
    <row r="678">
      <c r="A678" s="8" t="inlineStr">
        <is>
          <t>WHAP 8x8</t>
        </is>
      </c>
      <c r="B678" s="8" t="inlineStr">
        <is>
          <t>WHAP-0674</t>
        </is>
      </c>
      <c r="C678" s="8" t="inlineStr">
        <is>
          <t>ROU-0674</t>
        </is>
      </c>
      <c r="D678" s="8" t="inlineStr">
        <is>
          <t>valve de pneu — AVG</t>
        </is>
      </c>
      <c r="E678" s="8" t="inlineStr">
        <is>
          <t>Roues et pneus</t>
        </is>
      </c>
      <c r="F678" s="8" t="inlineStr">
        <is>
          <t>Roues et pneus</t>
        </is>
      </c>
      <c r="G678" s="8" t="inlineStr">
        <is>
          <t>PIECE_VEHICULE</t>
        </is>
      </c>
      <c r="H678" s="8" t="n">
        <v>1</v>
      </c>
      <c r="I678" s="8">
        <f>H678*$D$3</f>
        <v/>
      </c>
      <c r="J678" s="8" t="inlineStr">
        <is>
          <t>unité</t>
        </is>
      </c>
      <c r="K678" s="8" t="n">
        <v>0</v>
      </c>
      <c r="L678" s="8">
        <f>K678-I678</f>
        <v/>
      </c>
      <c r="M678" s="8">
        <f>IF(K678&lt;I678,"✕ INSUFFISANT",IF(K678&lt;I678*1.2,"⚠ STOCK FAIBLE","✓ COUVERT"))</f>
        <v/>
      </c>
      <c r="N678" s="8" t="inlineStr">
        <is>
          <t>DEL</t>
        </is>
      </c>
      <c r="O678" s="8" t="inlineStr">
        <is>
          <t>IMPORTANT</t>
        </is>
      </c>
      <c r="P678" s="8" t="inlineStr">
        <is>
          <t>31/08/2026 02:59</t>
        </is>
      </c>
    </row>
    <row r="679">
      <c r="A679" s="7" t="inlineStr">
        <is>
          <t>WHAP 8x8</t>
        </is>
      </c>
      <c r="B679" s="7" t="inlineStr">
        <is>
          <t>WHAP-0675</t>
        </is>
      </c>
      <c r="C679" s="7" t="inlineStr">
        <is>
          <t>ROU-0675</t>
        </is>
      </c>
      <c r="D679" s="7" t="inlineStr">
        <is>
          <t>capteur pression pneu — AVG</t>
        </is>
      </c>
      <c r="E679" s="7" t="inlineStr">
        <is>
          <t>Roues et pneus</t>
        </is>
      </c>
      <c r="F679" s="7" t="inlineStr">
        <is>
          <t>Roues et pneus</t>
        </is>
      </c>
      <c r="G679" s="7" t="inlineStr">
        <is>
          <t>PIECE_VEHICULE</t>
        </is>
      </c>
      <c r="H679" s="7" t="n">
        <v>1</v>
      </c>
      <c r="I679" s="7">
        <f>H679*$D$3</f>
        <v/>
      </c>
      <c r="J679" s="7" t="inlineStr">
        <is>
          <t>unité</t>
        </is>
      </c>
      <c r="K679" s="7" t="n">
        <v>0</v>
      </c>
      <c r="L679" s="7">
        <f>K679-I679</f>
        <v/>
      </c>
      <c r="M679" s="7">
        <f>IF(K679&lt;I679,"✕ INSUFFISANT",IF(K679&lt;I679*1.2,"⚠ STOCK FAIBLE","✓ COUVERT"))</f>
        <v/>
      </c>
      <c r="N679" s="7" t="inlineStr">
        <is>
          <t>SUM</t>
        </is>
      </c>
      <c r="O679" s="7" t="inlineStr">
        <is>
          <t>IMPORTANT</t>
        </is>
      </c>
      <c r="P679" s="7" t="inlineStr">
        <is>
          <t>31/08/2026 02:59</t>
        </is>
      </c>
    </row>
    <row r="680">
      <c r="A680" s="8" t="inlineStr">
        <is>
          <t>WHAP 8x8</t>
        </is>
      </c>
      <c r="B680" s="8" t="inlineStr">
        <is>
          <t>WHAP-0676</t>
        </is>
      </c>
      <c r="C680" s="8" t="inlineStr">
        <is>
          <t>ROU-0676</t>
        </is>
      </c>
      <c r="D680" s="8" t="inlineStr">
        <is>
          <t>écrou de roue — AVG</t>
        </is>
      </c>
      <c r="E680" s="8" t="inlineStr">
        <is>
          <t>Roues et pneus</t>
        </is>
      </c>
      <c r="F680" s="8" t="inlineStr">
        <is>
          <t>Roues et pneus</t>
        </is>
      </c>
      <c r="G680" s="8" t="inlineStr">
        <is>
          <t>PIECE_VEHICULE</t>
        </is>
      </c>
      <c r="H680" s="8" t="n">
        <v>1</v>
      </c>
      <c r="I680" s="8">
        <f>H680*$D$3</f>
        <v/>
      </c>
      <c r="J680" s="8" t="inlineStr">
        <is>
          <t>unité</t>
        </is>
      </c>
      <c r="K680" s="8" t="n">
        <v>0</v>
      </c>
      <c r="L680" s="8">
        <f>K680-I680</f>
        <v/>
      </c>
      <c r="M680" s="8">
        <f>IF(K680&lt;I680,"✕ INSUFFISANT",IF(K680&lt;I680*1.2,"⚠ STOCK FAIBLE","✓ COUVERT"))</f>
        <v/>
      </c>
      <c r="N680" s="8" t="inlineStr">
        <is>
          <t>YZK</t>
        </is>
      </c>
      <c r="O680" s="8" t="inlineStr">
        <is>
          <t>IMPORTANT</t>
        </is>
      </c>
      <c r="P680" s="8" t="inlineStr">
        <is>
          <t>31/08/2026 02:59</t>
        </is>
      </c>
    </row>
    <row r="681">
      <c r="A681" s="7" t="inlineStr">
        <is>
          <t>WHAP 8x8</t>
        </is>
      </c>
      <c r="B681" s="7" t="inlineStr">
        <is>
          <t>WHAP-0677</t>
        </is>
      </c>
      <c r="C681" s="7" t="inlineStr">
        <is>
          <t>ROU-0677</t>
        </is>
      </c>
      <c r="D681" s="7" t="inlineStr">
        <is>
          <t>goujon de roue — AVG</t>
        </is>
      </c>
      <c r="E681" s="7" t="inlineStr">
        <is>
          <t>Roues et pneus</t>
        </is>
      </c>
      <c r="F681" s="7" t="inlineStr">
        <is>
          <t>Roues et pneus</t>
        </is>
      </c>
      <c r="G681" s="7" t="inlineStr">
        <is>
          <t>PIECE_VEHICULE</t>
        </is>
      </c>
      <c r="H681" s="7" t="n">
        <v>1</v>
      </c>
      <c r="I681" s="7">
        <f>H681*$D$3</f>
        <v/>
      </c>
      <c r="J681" s="7" t="inlineStr">
        <is>
          <t>unité</t>
        </is>
      </c>
      <c r="K681" s="7" t="n">
        <v>0</v>
      </c>
      <c r="L681" s="7">
        <f>K681-I681</f>
        <v/>
      </c>
      <c r="M681" s="7">
        <f>IF(K681&lt;I681,"✕ INSUFFISANT",IF(K681&lt;I681*1.2,"⚠ STOCK FAIBLE","✓ COUVERT"))</f>
        <v/>
      </c>
      <c r="N681" s="7" t="inlineStr">
        <is>
          <t>DEL</t>
        </is>
      </c>
      <c r="O681" s="7" t="inlineStr">
        <is>
          <t>IMPORTANT</t>
        </is>
      </c>
      <c r="P681" s="7" t="inlineStr">
        <is>
          <t>31/08/2026 02:59</t>
        </is>
      </c>
    </row>
    <row r="682">
      <c r="A682" s="8" t="inlineStr">
        <is>
          <t>WHAP 8x8</t>
        </is>
      </c>
      <c r="B682" s="8" t="inlineStr">
        <is>
          <t>WHAP-0678</t>
        </is>
      </c>
      <c r="C682" s="8" t="inlineStr">
        <is>
          <t>ROU-0678</t>
        </is>
      </c>
      <c r="D682" s="8" t="inlineStr">
        <is>
          <t>entretoise de roue — AVG</t>
        </is>
      </c>
      <c r="E682" s="8" t="inlineStr">
        <is>
          <t>Roues et pneus</t>
        </is>
      </c>
      <c r="F682" s="8" t="inlineStr">
        <is>
          <t>Roues et pneus</t>
        </is>
      </c>
      <c r="G682" s="8" t="inlineStr">
        <is>
          <t>PIECE_VEHICULE</t>
        </is>
      </c>
      <c r="H682" s="8" t="n">
        <v>1</v>
      </c>
      <c r="I682" s="8">
        <f>H682*$D$3</f>
        <v/>
      </c>
      <c r="J682" s="8" t="inlineStr">
        <is>
          <t>unité</t>
        </is>
      </c>
      <c r="K682" s="8" t="n">
        <v>0</v>
      </c>
      <c r="L682" s="8">
        <f>K682-I682</f>
        <v/>
      </c>
      <c r="M682" s="8">
        <f>IF(K682&lt;I682,"✕ INSUFFISANT",IF(K682&lt;I682*1.2,"⚠ STOCK FAIBLE","✓ COUVERT"))</f>
        <v/>
      </c>
      <c r="N682" s="8" t="inlineStr">
        <is>
          <t>MAG</t>
        </is>
      </c>
      <c r="O682" s="8" t="inlineStr">
        <is>
          <t>IMPORTANT</t>
        </is>
      </c>
      <c r="P682" s="8" t="inlineStr">
        <is>
          <t>31/08/2026 02:59</t>
        </is>
      </c>
    </row>
    <row r="683">
      <c r="A683" s="7" t="inlineStr">
        <is>
          <t>WHAP 8x8</t>
        </is>
      </c>
      <c r="B683" s="7" t="inlineStr">
        <is>
          <t>WHAP-0679</t>
        </is>
      </c>
      <c r="C683" s="7" t="inlineStr">
        <is>
          <t>ROU-0679</t>
        </is>
      </c>
      <c r="D683" s="7" t="inlineStr">
        <is>
          <t>moyeu — AVG</t>
        </is>
      </c>
      <c r="E683" s="7" t="inlineStr">
        <is>
          <t>Roues et pneus</t>
        </is>
      </c>
      <c r="F683" s="7" t="inlineStr">
        <is>
          <t>Roues et pneus</t>
        </is>
      </c>
      <c r="G683" s="7" t="inlineStr">
        <is>
          <t>PIECE_VEHICULE</t>
        </is>
      </c>
      <c r="H683" s="7" t="n">
        <v>1</v>
      </c>
      <c r="I683" s="7">
        <f>H683*$D$3</f>
        <v/>
      </c>
      <c r="J683" s="7" t="inlineStr">
        <is>
          <t>unité</t>
        </is>
      </c>
      <c r="K683" s="7" t="n">
        <v>0</v>
      </c>
      <c r="L683" s="7">
        <f>K683-I683</f>
        <v/>
      </c>
      <c r="M683" s="7">
        <f>IF(K683&lt;I683,"✕ INSUFFISANT",IF(K683&lt;I683*1.2,"⚠ STOCK FAIBLE","✓ COUVERT"))</f>
        <v/>
      </c>
      <c r="N683" s="7" t="inlineStr">
        <is>
          <t>VAL</t>
        </is>
      </c>
      <c r="O683" s="7" t="inlineStr">
        <is>
          <t>IMPORTANT</t>
        </is>
      </c>
      <c r="P683" s="7" t="inlineStr">
        <is>
          <t>31/08/2026 02:59</t>
        </is>
      </c>
    </row>
    <row r="684">
      <c r="A684" s="8" t="inlineStr">
        <is>
          <t>WHAP 8x8</t>
        </is>
      </c>
      <c r="B684" s="8" t="inlineStr">
        <is>
          <t>WHAP-0680</t>
        </is>
      </c>
      <c r="C684" s="8" t="inlineStr">
        <is>
          <t>ROU-0680</t>
        </is>
      </c>
      <c r="D684" s="8" t="inlineStr">
        <is>
          <t>cache-moyeu — AVG</t>
        </is>
      </c>
      <c r="E684" s="8" t="inlineStr">
        <is>
          <t>Roues et pneus</t>
        </is>
      </c>
      <c r="F684" s="8" t="inlineStr">
        <is>
          <t>Roues et pneus</t>
        </is>
      </c>
      <c r="G684" s="8" t="inlineStr">
        <is>
          <t>PIECE_VEHICULE</t>
        </is>
      </c>
      <c r="H684" s="8" t="n">
        <v>1</v>
      </c>
      <c r="I684" s="8">
        <f>H684*$D$3</f>
        <v/>
      </c>
      <c r="J684" s="8" t="inlineStr">
        <is>
          <t>unité</t>
        </is>
      </c>
      <c r="K684" s="8" t="n">
        <v>0</v>
      </c>
      <c r="L684" s="8">
        <f>K684-I684</f>
        <v/>
      </c>
      <c r="M684" s="8">
        <f>IF(K684&lt;I684,"✕ INSUFFISANT",IF(K684&lt;I684*1.2,"⚠ STOCK FAIBLE","✓ COUVERT"))</f>
        <v/>
      </c>
      <c r="N684" s="8" t="inlineStr">
        <is>
          <t>YZK</t>
        </is>
      </c>
      <c r="O684" s="8" t="inlineStr">
        <is>
          <t>IMPORTANT</t>
        </is>
      </c>
      <c r="P684" s="8" t="inlineStr">
        <is>
          <t>31/08/2026 02:59</t>
        </is>
      </c>
    </row>
    <row r="685">
      <c r="A685" s="7" t="inlineStr">
        <is>
          <t>WHAP 8x8</t>
        </is>
      </c>
      <c r="B685" s="7" t="inlineStr">
        <is>
          <t>WHAP-0681</t>
        </is>
      </c>
      <c r="C685" s="7" t="inlineStr">
        <is>
          <t>ROU-0681</t>
        </is>
      </c>
      <c r="D685" s="7" t="inlineStr">
        <is>
          <t>joint de moyeu — AVG</t>
        </is>
      </c>
      <c r="E685" s="7" t="inlineStr">
        <is>
          <t>Roues et pneus</t>
        </is>
      </c>
      <c r="F685" s="7" t="inlineStr">
        <is>
          <t>Roues et pneus</t>
        </is>
      </c>
      <c r="G685" s="7" t="inlineStr">
        <is>
          <t>PIECE_VEHICULE</t>
        </is>
      </c>
      <c r="H685" s="7" t="n">
        <v>1</v>
      </c>
      <c r="I685" s="7">
        <f>H685*$D$3</f>
        <v/>
      </c>
      <c r="J685" s="7" t="inlineStr">
        <is>
          <t>unité</t>
        </is>
      </c>
      <c r="K685" s="7" t="n">
        <v>0</v>
      </c>
      <c r="L685" s="7">
        <f>K685-I685</f>
        <v/>
      </c>
      <c r="M685" s="7">
        <f>IF(K685&lt;I685,"✕ INSUFFISANT",IF(K685&lt;I685*1.2,"⚠ STOCK FAIBLE","✓ COUVERT"))</f>
        <v/>
      </c>
      <c r="N685" s="7" t="inlineStr">
        <is>
          <t>SKF</t>
        </is>
      </c>
      <c r="O685" s="7" t="inlineStr">
        <is>
          <t>IMPORTANT</t>
        </is>
      </c>
      <c r="P685" s="7" t="inlineStr">
        <is>
          <t>31/08/2026 02:59</t>
        </is>
      </c>
    </row>
    <row r="686">
      <c r="A686" s="8" t="inlineStr">
        <is>
          <t>WHAP 8x8</t>
        </is>
      </c>
      <c r="B686" s="8" t="inlineStr">
        <is>
          <t>WHAP-0682</t>
        </is>
      </c>
      <c r="C686" s="8" t="inlineStr">
        <is>
          <t>ROU-0682</t>
        </is>
      </c>
      <c r="D686" s="8" t="inlineStr">
        <is>
          <t>roulement de roue — AVG</t>
        </is>
      </c>
      <c r="E686" s="8" t="inlineStr">
        <is>
          <t>Roues et pneus</t>
        </is>
      </c>
      <c r="F686" s="8" t="inlineStr">
        <is>
          <t>Roues et pneus</t>
        </is>
      </c>
      <c r="G686" s="8" t="inlineStr">
        <is>
          <t>PIECE_VEHICULE</t>
        </is>
      </c>
      <c r="H686" s="8" t="n">
        <v>1</v>
      </c>
      <c r="I686" s="8">
        <f>H686*$D$3</f>
        <v/>
      </c>
      <c r="J686" s="8" t="inlineStr">
        <is>
          <t>unité</t>
        </is>
      </c>
      <c r="K686" s="8" t="n">
        <v>0</v>
      </c>
      <c r="L686" s="8">
        <f>K686-I686</f>
        <v/>
      </c>
      <c r="M686" s="8">
        <f>IF(K686&lt;I686,"✕ INSUFFISANT",IF(K686&lt;I686*1.2,"⚠ STOCK FAIBLE","✓ COUVERT"))</f>
        <v/>
      </c>
      <c r="N686" s="8" t="inlineStr">
        <is>
          <t>HEL</t>
        </is>
      </c>
      <c r="O686" s="8" t="inlineStr">
        <is>
          <t>IMPORTANT</t>
        </is>
      </c>
      <c r="P686" s="8" t="inlineStr">
        <is>
          <t>31/08/2026 02:59</t>
        </is>
      </c>
    </row>
    <row r="687">
      <c r="A687" s="7" t="inlineStr">
        <is>
          <t>WHAP 8x8</t>
        </is>
      </c>
      <c r="B687" s="7" t="inlineStr">
        <is>
          <t>WHAP-0683</t>
        </is>
      </c>
      <c r="C687" s="7" t="inlineStr">
        <is>
          <t>ROU-0683</t>
        </is>
      </c>
      <c r="D687" s="7" t="inlineStr">
        <is>
          <t>bague de roulement — AVG</t>
        </is>
      </c>
      <c r="E687" s="7" t="inlineStr">
        <is>
          <t>Roues et pneus</t>
        </is>
      </c>
      <c r="F687" s="7" t="inlineStr">
        <is>
          <t>Roues et pneus</t>
        </is>
      </c>
      <c r="G687" s="7" t="inlineStr">
        <is>
          <t>PIECE_VEHICULE</t>
        </is>
      </c>
      <c r="H687" s="7" t="n">
        <v>1</v>
      </c>
      <c r="I687" s="7">
        <f>H687*$D$3</f>
        <v/>
      </c>
      <c r="J687" s="7" t="inlineStr">
        <is>
          <t>unité</t>
        </is>
      </c>
      <c r="K687" s="7" t="n">
        <v>0</v>
      </c>
      <c r="L687" s="7">
        <f>K687-I687</f>
        <v/>
      </c>
      <c r="M687" s="7">
        <f>IF(K687&lt;I687,"✕ INSUFFISANT",IF(K687&lt;I687*1.2,"⚠ STOCK FAIBLE","✓ COUVERT"))</f>
        <v/>
      </c>
      <c r="N687" s="7" t="inlineStr">
        <is>
          <t>BOS</t>
        </is>
      </c>
      <c r="O687" s="7" t="inlineStr">
        <is>
          <t>IMPORTANT</t>
        </is>
      </c>
      <c r="P687" s="7" t="inlineStr">
        <is>
          <t>31/08/2026 02:59</t>
        </is>
      </c>
    </row>
    <row r="688">
      <c r="A688" s="8" t="inlineStr">
        <is>
          <t>WHAP 8x8</t>
        </is>
      </c>
      <c r="B688" s="8" t="inlineStr">
        <is>
          <t>WHAP-0684</t>
        </is>
      </c>
      <c r="C688" s="8" t="inlineStr">
        <is>
          <t>ROU-0684</t>
        </is>
      </c>
      <c r="D688" s="8" t="inlineStr">
        <is>
          <t>anneau de retenue — AVG</t>
        </is>
      </c>
      <c r="E688" s="8" t="inlineStr">
        <is>
          <t>Roues et pneus</t>
        </is>
      </c>
      <c r="F688" s="8" t="inlineStr">
        <is>
          <t>Roues et pneus</t>
        </is>
      </c>
      <c r="G688" s="8" t="inlineStr">
        <is>
          <t>PIECE_VEHICULE</t>
        </is>
      </c>
      <c r="H688" s="8" t="n">
        <v>1</v>
      </c>
      <c r="I688" s="8">
        <f>H688*$D$3</f>
        <v/>
      </c>
      <c r="J688" s="8" t="inlineStr">
        <is>
          <t>unité</t>
        </is>
      </c>
      <c r="K688" s="8" t="n">
        <v>0</v>
      </c>
      <c r="L688" s="8">
        <f>K688-I688</f>
        <v/>
      </c>
      <c r="M688" s="8">
        <f>IF(K688&lt;I688,"✕ INSUFFISANT",IF(K688&lt;I688*1.2,"⚠ STOCK FAIBLE","✓ COUVERT"))</f>
        <v/>
      </c>
      <c r="N688" s="8" t="inlineStr">
        <is>
          <t>DEL</t>
        </is>
      </c>
      <c r="O688" s="8" t="inlineStr">
        <is>
          <t>IMPORTANT</t>
        </is>
      </c>
      <c r="P688" s="8" t="inlineStr">
        <is>
          <t>31/08/2026 02:59</t>
        </is>
      </c>
    </row>
    <row r="689">
      <c r="A689" s="7" t="inlineStr">
        <is>
          <t>WHAP 8x8</t>
        </is>
      </c>
      <c r="B689" s="7" t="inlineStr">
        <is>
          <t>WHAP-0685</t>
        </is>
      </c>
      <c r="C689" s="7" t="inlineStr">
        <is>
          <t>ROU-0685</t>
        </is>
      </c>
      <c r="D689" s="7" t="inlineStr">
        <is>
          <t>disque de jante — AVG</t>
        </is>
      </c>
      <c r="E689" s="7" t="inlineStr">
        <is>
          <t>Roues et pneus</t>
        </is>
      </c>
      <c r="F689" s="7" t="inlineStr">
        <is>
          <t>Roues et pneus</t>
        </is>
      </c>
      <c r="G689" s="7" t="inlineStr">
        <is>
          <t>PIECE_VEHICULE</t>
        </is>
      </c>
      <c r="H689" s="7" t="n">
        <v>1</v>
      </c>
      <c r="I689" s="7">
        <f>H689*$D$3</f>
        <v/>
      </c>
      <c r="J689" s="7" t="inlineStr">
        <is>
          <t>unité</t>
        </is>
      </c>
      <c r="K689" s="7" t="n">
        <v>0</v>
      </c>
      <c r="L689" s="7">
        <f>K689-I689</f>
        <v/>
      </c>
      <c r="M689" s="7">
        <f>IF(K689&lt;I689,"✕ INSUFFISANT",IF(K689&lt;I689*1.2,"⚠ STOCK FAIBLE","✓ COUVERT"))</f>
        <v/>
      </c>
      <c r="N689" s="7" t="inlineStr">
        <is>
          <t>CTL</t>
        </is>
      </c>
      <c r="O689" s="7" t="inlineStr">
        <is>
          <t>IMPORTANT</t>
        </is>
      </c>
      <c r="P689" s="7" t="inlineStr">
        <is>
          <t>31/08/2026 02:59</t>
        </is>
      </c>
    </row>
    <row r="690">
      <c r="A690" s="8" t="inlineStr">
        <is>
          <t>WHAP 8x8</t>
        </is>
      </c>
      <c r="B690" s="8" t="inlineStr">
        <is>
          <t>WHAP-0686</t>
        </is>
      </c>
      <c r="C690" s="8" t="inlineStr">
        <is>
          <t>ROU-0686</t>
        </is>
      </c>
      <c r="D690" s="8" t="inlineStr">
        <is>
          <t>cerclage de jante — AVG</t>
        </is>
      </c>
      <c r="E690" s="8" t="inlineStr">
        <is>
          <t>Roues et pneus</t>
        </is>
      </c>
      <c r="F690" s="8" t="inlineStr">
        <is>
          <t>Roues et pneus</t>
        </is>
      </c>
      <c r="G690" s="8" t="inlineStr">
        <is>
          <t>PIECE_VEHICULE</t>
        </is>
      </c>
      <c r="H690" s="8" t="n">
        <v>1</v>
      </c>
      <c r="I690" s="8">
        <f>H690*$D$3</f>
        <v/>
      </c>
      <c r="J690" s="8" t="inlineStr">
        <is>
          <t>unité</t>
        </is>
      </c>
      <c r="K690" s="8" t="n">
        <v>0</v>
      </c>
      <c r="L690" s="8">
        <f>K690-I690</f>
        <v/>
      </c>
      <c r="M690" s="8">
        <f>IF(K690&lt;I690,"✕ INSUFFISANT",IF(K690&lt;I690*1.2,"⚠ STOCK FAIBLE","✓ COUVERT"))</f>
        <v/>
      </c>
      <c r="N690" s="8" t="inlineStr">
        <is>
          <t>MAG</t>
        </is>
      </c>
      <c r="O690" s="8" t="inlineStr">
        <is>
          <t>IMPORTANT</t>
        </is>
      </c>
      <c r="P690" s="8" t="inlineStr">
        <is>
          <t>31/08/2026 02:59</t>
        </is>
      </c>
    </row>
    <row r="691">
      <c r="A691" s="7" t="inlineStr">
        <is>
          <t>WHAP 8x8</t>
        </is>
      </c>
      <c r="B691" s="7" t="inlineStr">
        <is>
          <t>WHAP-0687</t>
        </is>
      </c>
      <c r="C691" s="7" t="inlineStr">
        <is>
          <t>ROU-0687</t>
        </is>
      </c>
      <c r="D691" s="7" t="inlineStr">
        <is>
          <t>système CTIS — AVG</t>
        </is>
      </c>
      <c r="E691" s="7" t="inlineStr">
        <is>
          <t>Roues et pneus</t>
        </is>
      </c>
      <c r="F691" s="7" t="inlineStr">
        <is>
          <t>Roues et pneus</t>
        </is>
      </c>
      <c r="G691" s="7" t="inlineStr">
        <is>
          <t>PIECE_VEHICULE</t>
        </is>
      </c>
      <c r="H691" s="7" t="n">
        <v>1</v>
      </c>
      <c r="I691" s="7">
        <f>H691*$D$3</f>
        <v/>
      </c>
      <c r="J691" s="7" t="inlineStr">
        <is>
          <t>unité</t>
        </is>
      </c>
      <c r="K691" s="7" t="n">
        <v>0</v>
      </c>
      <c r="L691" s="7">
        <f>K691-I691</f>
        <v/>
      </c>
      <c r="M691" s="7">
        <f>IF(K691&lt;I691,"✕ INSUFFISANT",IF(K691&lt;I691*1.2,"⚠ STOCK FAIBLE","✓ COUVERT"))</f>
        <v/>
      </c>
      <c r="N691" s="7" t="inlineStr">
        <is>
          <t>YZK</t>
        </is>
      </c>
      <c r="O691" s="7" t="inlineStr">
        <is>
          <t>IMPORTANT</t>
        </is>
      </c>
      <c r="P691" s="7" t="inlineStr">
        <is>
          <t>31/08/2026 02:59</t>
        </is>
      </c>
    </row>
    <row r="692">
      <c r="A692" s="8" t="inlineStr">
        <is>
          <t>WHAP 8x8</t>
        </is>
      </c>
      <c r="B692" s="8" t="inlineStr">
        <is>
          <t>WHAP-0688</t>
        </is>
      </c>
      <c r="C692" s="8" t="inlineStr">
        <is>
          <t>ROU-0688</t>
        </is>
      </c>
      <c r="D692" s="8" t="inlineStr">
        <is>
          <t>rotor CTIS — AVG</t>
        </is>
      </c>
      <c r="E692" s="8" t="inlineStr">
        <is>
          <t>Roues et pneus</t>
        </is>
      </c>
      <c r="F692" s="8" t="inlineStr">
        <is>
          <t>Roues et pneus</t>
        </is>
      </c>
      <c r="G692" s="8" t="inlineStr">
        <is>
          <t>PIECE_VEHICULE</t>
        </is>
      </c>
      <c r="H692" s="8" t="n">
        <v>1</v>
      </c>
      <c r="I692" s="8">
        <f>H692*$D$3</f>
        <v/>
      </c>
      <c r="J692" s="8" t="inlineStr">
        <is>
          <t>unité</t>
        </is>
      </c>
      <c r="K692" s="8" t="n">
        <v>0</v>
      </c>
      <c r="L692" s="8">
        <f>K692-I692</f>
        <v/>
      </c>
      <c r="M692" s="8">
        <f>IF(K692&lt;I692,"✕ INSUFFISANT",IF(K692&lt;I692*1.2,"⚠ STOCK FAIBLE","✓ COUVERT"))</f>
        <v/>
      </c>
      <c r="N692" s="8" t="inlineStr">
        <is>
          <t>YZK</t>
        </is>
      </c>
      <c r="O692" s="8" t="inlineStr">
        <is>
          <t>IMPORTANT</t>
        </is>
      </c>
      <c r="P692" s="8" t="inlineStr">
        <is>
          <t>31/08/2026 02:59</t>
        </is>
      </c>
    </row>
    <row r="693">
      <c r="A693" s="7" t="inlineStr">
        <is>
          <t>WHAP 8x8</t>
        </is>
      </c>
      <c r="B693" s="7" t="inlineStr">
        <is>
          <t>WHAP-0689</t>
        </is>
      </c>
      <c r="C693" s="7" t="inlineStr">
        <is>
          <t>ROU-0689</t>
        </is>
      </c>
      <c r="D693" s="7" t="inlineStr">
        <is>
          <t>joint tournant CTIS — AVG</t>
        </is>
      </c>
      <c r="E693" s="7" t="inlineStr">
        <is>
          <t>Roues et pneus</t>
        </is>
      </c>
      <c r="F693" s="7" t="inlineStr">
        <is>
          <t>Roues et pneus</t>
        </is>
      </c>
      <c r="G693" s="7" t="inlineStr">
        <is>
          <t>PIECE_VEHICULE</t>
        </is>
      </c>
      <c r="H693" s="7" t="n">
        <v>1</v>
      </c>
      <c r="I693" s="7">
        <f>H693*$D$3</f>
        <v/>
      </c>
      <c r="J693" s="7" t="inlineStr">
        <is>
          <t>unité</t>
        </is>
      </c>
      <c r="K693" s="7" t="n">
        <v>0</v>
      </c>
      <c r="L693" s="7">
        <f>K693-I693</f>
        <v/>
      </c>
      <c r="M693" s="7">
        <f>IF(K693&lt;I693,"✕ INSUFFISANT",IF(K693&lt;I693*1.2,"⚠ STOCK FAIBLE","✓ COUVERT"))</f>
        <v/>
      </c>
      <c r="N693" s="7" t="inlineStr">
        <is>
          <t>CTL</t>
        </is>
      </c>
      <c r="O693" s="7" t="inlineStr">
        <is>
          <t>IMPORTANT</t>
        </is>
      </c>
      <c r="P693" s="7" t="inlineStr">
        <is>
          <t>31/08/2026 02:59</t>
        </is>
      </c>
    </row>
    <row r="694">
      <c r="A694" s="8" t="inlineStr">
        <is>
          <t>WHAP 8x8</t>
        </is>
      </c>
      <c r="B694" s="8" t="inlineStr">
        <is>
          <t>WHAP-0690</t>
        </is>
      </c>
      <c r="C694" s="8" t="inlineStr">
        <is>
          <t>ROU-0690</t>
        </is>
      </c>
      <c r="D694" s="8" t="inlineStr">
        <is>
          <t>flexible CTIS — AVG</t>
        </is>
      </c>
      <c r="E694" s="8" t="inlineStr">
        <is>
          <t>Roues et pneus</t>
        </is>
      </c>
      <c r="F694" s="8" t="inlineStr">
        <is>
          <t>Roues et pneus</t>
        </is>
      </c>
      <c r="G694" s="8" t="inlineStr">
        <is>
          <t>PIECE_VEHICULE</t>
        </is>
      </c>
      <c r="H694" s="8" t="n">
        <v>1</v>
      </c>
      <c r="I694" s="8">
        <f>H694*$D$3</f>
        <v/>
      </c>
      <c r="J694" s="8" t="inlineStr">
        <is>
          <t>unité</t>
        </is>
      </c>
      <c r="K694" s="8" t="n">
        <v>0</v>
      </c>
      <c r="L694" s="8">
        <f>K694-I694</f>
        <v/>
      </c>
      <c r="M694" s="8">
        <f>IF(K694&lt;I694,"✕ INSUFFISANT",IF(K694&lt;I694*1.2,"⚠ STOCK FAIBLE","✓ COUVERT"))</f>
        <v/>
      </c>
      <c r="N694" s="8" t="inlineStr">
        <is>
          <t>MAG</t>
        </is>
      </c>
      <c r="O694" s="8" t="inlineStr">
        <is>
          <t>IMPORTANT</t>
        </is>
      </c>
      <c r="P694" s="8" t="inlineStr">
        <is>
          <t>31/08/2026 02:59</t>
        </is>
      </c>
    </row>
    <row r="695">
      <c r="A695" s="7" t="inlineStr">
        <is>
          <t>WHAP 8x8</t>
        </is>
      </c>
      <c r="B695" s="7" t="inlineStr">
        <is>
          <t>WHAP-0691</t>
        </is>
      </c>
      <c r="C695" s="7" t="inlineStr">
        <is>
          <t>ROU-0691</t>
        </is>
      </c>
      <c r="D695" s="7" t="inlineStr">
        <is>
          <t>raccord CTIS — AVG</t>
        </is>
      </c>
      <c r="E695" s="7" t="inlineStr">
        <is>
          <t>Roues et pneus</t>
        </is>
      </c>
      <c r="F695" s="7" t="inlineStr">
        <is>
          <t>Roues et pneus</t>
        </is>
      </c>
      <c r="G695" s="7" t="inlineStr">
        <is>
          <t>PIECE_VEHICULE</t>
        </is>
      </c>
      <c r="H695" s="7" t="n">
        <v>1</v>
      </c>
      <c r="I695" s="7">
        <f>H695*$D$3</f>
        <v/>
      </c>
      <c r="J695" s="7" t="inlineStr">
        <is>
          <t>unité</t>
        </is>
      </c>
      <c r="K695" s="7" t="n">
        <v>0</v>
      </c>
      <c r="L695" s="7">
        <f>K695-I695</f>
        <v/>
      </c>
      <c r="M695" s="7">
        <f>IF(K695&lt;I695,"✕ INSUFFISANT",IF(K695&lt;I695*1.2,"⚠ STOCK FAIBLE","✓ COUVERT"))</f>
        <v/>
      </c>
      <c r="N695" s="7" t="inlineStr">
        <is>
          <t>HEL</t>
        </is>
      </c>
      <c r="O695" s="7" t="inlineStr">
        <is>
          <t>IMPORTANT</t>
        </is>
      </c>
      <c r="P695" s="7" t="inlineStr">
        <is>
          <t>31/08/2026 02:59</t>
        </is>
      </c>
    </row>
    <row r="696">
      <c r="A696" s="8" t="inlineStr">
        <is>
          <t>WHAP 8x8</t>
        </is>
      </c>
      <c r="B696" s="8" t="inlineStr">
        <is>
          <t>WHAP-0692</t>
        </is>
      </c>
      <c r="C696" s="8" t="inlineStr">
        <is>
          <t>ROU-0692</t>
        </is>
      </c>
      <c r="D696" s="8" t="inlineStr">
        <is>
          <t>valve CTIS — AVG</t>
        </is>
      </c>
      <c r="E696" s="8" t="inlineStr">
        <is>
          <t>Roues et pneus</t>
        </is>
      </c>
      <c r="F696" s="8" t="inlineStr">
        <is>
          <t>Roues et pneus</t>
        </is>
      </c>
      <c r="G696" s="8" t="inlineStr">
        <is>
          <t>PIECE_VEHICULE</t>
        </is>
      </c>
      <c r="H696" s="8" t="n">
        <v>1</v>
      </c>
      <c r="I696" s="8">
        <f>H696*$D$3</f>
        <v/>
      </c>
      <c r="J696" s="8" t="inlineStr">
        <is>
          <t>unité</t>
        </is>
      </c>
      <c r="K696" s="8" t="n">
        <v>0</v>
      </c>
      <c r="L696" s="8">
        <f>K696-I696</f>
        <v/>
      </c>
      <c r="M696" s="8">
        <f>IF(K696&lt;I696,"✕ INSUFFISANT",IF(K696&lt;I696*1.2,"⚠ STOCK FAIBLE","✓ COUVERT"))</f>
        <v/>
      </c>
      <c r="N696" s="8" t="inlineStr">
        <is>
          <t>YZK</t>
        </is>
      </c>
      <c r="O696" s="8" t="inlineStr">
        <is>
          <t>IMPORTANT</t>
        </is>
      </c>
      <c r="P696" s="8" t="inlineStr">
        <is>
          <t>31/08/2026 02:59</t>
        </is>
      </c>
    </row>
    <row r="697">
      <c r="A697" s="7" t="inlineStr">
        <is>
          <t>WHAP 8x8</t>
        </is>
      </c>
      <c r="B697" s="7" t="inlineStr">
        <is>
          <t>WHAP-0693</t>
        </is>
      </c>
      <c r="C697" s="7" t="inlineStr">
        <is>
          <t>ROU-0693</t>
        </is>
      </c>
      <c r="D697" s="7" t="inlineStr">
        <is>
          <t>manomètre CTIS — AVG</t>
        </is>
      </c>
      <c r="E697" s="7" t="inlineStr">
        <is>
          <t>Roues et pneus</t>
        </is>
      </c>
      <c r="F697" s="7" t="inlineStr">
        <is>
          <t>Roues et pneus</t>
        </is>
      </c>
      <c r="G697" s="7" t="inlineStr">
        <is>
          <t>PIECE_VEHICULE</t>
        </is>
      </c>
      <c r="H697" s="7" t="n">
        <v>1</v>
      </c>
      <c r="I697" s="7">
        <f>H697*$D$3</f>
        <v/>
      </c>
      <c r="J697" s="7" t="inlineStr">
        <is>
          <t>unité</t>
        </is>
      </c>
      <c r="K697" s="7" t="n">
        <v>0</v>
      </c>
      <c r="L697" s="7">
        <f>K697-I697</f>
        <v/>
      </c>
      <c r="M697" s="7">
        <f>IF(K697&lt;I697,"✕ INSUFFISANT",IF(K697&lt;I697*1.2,"⚠ STOCK FAIBLE","✓ COUVERT"))</f>
        <v/>
      </c>
      <c r="N697" s="7" t="inlineStr">
        <is>
          <t>MAG</t>
        </is>
      </c>
      <c r="O697" s="7" t="inlineStr">
        <is>
          <t>IMPORTANT</t>
        </is>
      </c>
      <c r="P697" s="7" t="inlineStr">
        <is>
          <t>31/08/2026 02:59</t>
        </is>
      </c>
    </row>
    <row r="698">
      <c r="A698" s="8" t="inlineStr">
        <is>
          <t>WHAP 8x8</t>
        </is>
      </c>
      <c r="B698" s="8" t="inlineStr">
        <is>
          <t>WHAP-0694</t>
        </is>
      </c>
      <c r="C698" s="8" t="inlineStr">
        <is>
          <t>ROU-0694</t>
        </is>
      </c>
      <c r="D698" s="8" t="inlineStr">
        <is>
          <t>bloc distributeur CTIS — AVG</t>
        </is>
      </c>
      <c r="E698" s="8" t="inlineStr">
        <is>
          <t>Roues et pneus</t>
        </is>
      </c>
      <c r="F698" s="8" t="inlineStr">
        <is>
          <t>Roues et pneus</t>
        </is>
      </c>
      <c r="G698" s="8" t="inlineStr">
        <is>
          <t>PIECE_VEHICULE</t>
        </is>
      </c>
      <c r="H698" s="8" t="n">
        <v>1</v>
      </c>
      <c r="I698" s="8">
        <f>H698*$D$3</f>
        <v/>
      </c>
      <c r="J698" s="8" t="inlineStr">
        <is>
          <t>unité</t>
        </is>
      </c>
      <c r="K698" s="8" t="n">
        <v>0</v>
      </c>
      <c r="L698" s="8">
        <f>K698-I698</f>
        <v/>
      </c>
      <c r="M698" s="8">
        <f>IF(K698&lt;I698,"✕ INSUFFISANT",IF(K698&lt;I698*1.2,"⚠ STOCK FAIBLE","✓ COUVERT"))</f>
        <v/>
      </c>
      <c r="N698" s="8" t="inlineStr">
        <is>
          <t>SKF</t>
        </is>
      </c>
      <c r="O698" s="8" t="inlineStr">
        <is>
          <t>IMPORTANT</t>
        </is>
      </c>
      <c r="P698" s="8" t="inlineStr">
        <is>
          <t>31/08/2026 02:59</t>
        </is>
      </c>
    </row>
    <row r="699">
      <c r="A699" s="7" t="inlineStr">
        <is>
          <t>WHAP 8x8</t>
        </is>
      </c>
      <c r="B699" s="7" t="inlineStr">
        <is>
          <t>WHAP-0695</t>
        </is>
      </c>
      <c r="C699" s="7" t="inlineStr">
        <is>
          <t>ROU-0695</t>
        </is>
      </c>
      <c r="D699" s="7" t="inlineStr">
        <is>
          <t>jante — AVD</t>
        </is>
      </c>
      <c r="E699" s="7" t="inlineStr">
        <is>
          <t>Roues et pneus</t>
        </is>
      </c>
      <c r="F699" s="7" t="inlineStr">
        <is>
          <t>Roues et pneus</t>
        </is>
      </c>
      <c r="G699" s="7" t="inlineStr">
        <is>
          <t>PIECE_VEHICULE</t>
        </is>
      </c>
      <c r="H699" s="7" t="n">
        <v>1</v>
      </c>
      <c r="I699" s="7">
        <f>H699*$D$3</f>
        <v/>
      </c>
      <c r="J699" s="7" t="inlineStr">
        <is>
          <t>unité</t>
        </is>
      </c>
      <c r="K699" s="7" t="n">
        <v>0</v>
      </c>
      <c r="L699" s="7">
        <f>K699-I699</f>
        <v/>
      </c>
      <c r="M699" s="7">
        <f>IF(K699&lt;I699,"✕ INSUFFISANT",IF(K699&lt;I699*1.2,"⚠ STOCK FAIBLE","✓ COUVERT"))</f>
        <v/>
      </c>
      <c r="N699" s="7" t="inlineStr">
        <is>
          <t>DEL</t>
        </is>
      </c>
      <c r="O699" s="7" t="inlineStr">
        <is>
          <t>IMPORTANT</t>
        </is>
      </c>
      <c r="P699" s="7" t="inlineStr">
        <is>
          <t>31/08/2026 02:59</t>
        </is>
      </c>
    </row>
    <row r="700">
      <c r="A700" s="8" t="inlineStr">
        <is>
          <t>WHAP 8x8</t>
        </is>
      </c>
      <c r="B700" s="8" t="inlineStr">
        <is>
          <t>WHAP-0696</t>
        </is>
      </c>
      <c r="C700" s="8" t="inlineStr">
        <is>
          <t>ROU-0696</t>
        </is>
      </c>
      <c r="D700" s="8" t="inlineStr">
        <is>
          <t>roue complète — AVD</t>
        </is>
      </c>
      <c r="E700" s="8" t="inlineStr">
        <is>
          <t>Roues et pneus</t>
        </is>
      </c>
      <c r="F700" s="8" t="inlineStr">
        <is>
          <t>Roues et pneus</t>
        </is>
      </c>
      <c r="G700" s="8" t="inlineStr">
        <is>
          <t>PIECE_VEHICULE</t>
        </is>
      </c>
      <c r="H700" s="8" t="n">
        <v>1</v>
      </c>
      <c r="I700" s="8">
        <f>H700*$D$3</f>
        <v/>
      </c>
      <c r="J700" s="8" t="inlineStr">
        <is>
          <t>unité</t>
        </is>
      </c>
      <c r="K700" s="8" t="n">
        <v>0</v>
      </c>
      <c r="L700" s="8">
        <f>K700-I700</f>
        <v/>
      </c>
      <c r="M700" s="8">
        <f>IF(K700&lt;I700,"✕ INSUFFISANT",IF(K700&lt;I700*1.2,"⚠ STOCK FAIBLE","✓ COUVERT"))</f>
        <v/>
      </c>
      <c r="N700" s="8" t="inlineStr">
        <is>
          <t>CTL</t>
        </is>
      </c>
      <c r="O700" s="8" t="inlineStr">
        <is>
          <t>IMPORTANT</t>
        </is>
      </c>
      <c r="P700" s="8" t="inlineStr">
        <is>
          <t>31/08/2026 02:59</t>
        </is>
      </c>
    </row>
    <row r="701">
      <c r="A701" s="7" t="inlineStr">
        <is>
          <t>WHAP 8x8</t>
        </is>
      </c>
      <c r="B701" s="7" t="inlineStr">
        <is>
          <t>WHAP-0697</t>
        </is>
      </c>
      <c r="C701" s="7" t="inlineStr">
        <is>
          <t>ROU-0697</t>
        </is>
      </c>
      <c r="D701" s="7" t="inlineStr">
        <is>
          <t>pneu — AVD</t>
        </is>
      </c>
      <c r="E701" s="7" t="inlineStr">
        <is>
          <t>Roues et pneus</t>
        </is>
      </c>
      <c r="F701" s="7" t="inlineStr">
        <is>
          <t>Roues et pneus</t>
        </is>
      </c>
      <c r="G701" s="7" t="inlineStr">
        <is>
          <t>PIECE_VEHICULE</t>
        </is>
      </c>
      <c r="H701" s="7" t="n">
        <v>1</v>
      </c>
      <c r="I701" s="7">
        <f>H701*$D$3</f>
        <v/>
      </c>
      <c r="J701" s="7" t="inlineStr">
        <is>
          <t>unité</t>
        </is>
      </c>
      <c r="K701" s="7" t="n">
        <v>0</v>
      </c>
      <c r="L701" s="7">
        <f>K701-I701</f>
        <v/>
      </c>
      <c r="M701" s="7">
        <f>IF(K701&lt;I701,"✕ INSUFFISANT",IF(K701&lt;I701*1.2,"⚠ STOCK FAIBLE","✓ COUVERT"))</f>
        <v/>
      </c>
      <c r="N701" s="7" t="inlineStr">
        <is>
          <t>HEL</t>
        </is>
      </c>
      <c r="O701" s="7" t="inlineStr">
        <is>
          <t>IMPORTANT</t>
        </is>
      </c>
      <c r="P701" s="7" t="inlineStr">
        <is>
          <t>31/08/2026 02:59</t>
        </is>
      </c>
    </row>
    <row r="702">
      <c r="A702" s="8" t="inlineStr">
        <is>
          <t>WHAP 8x8</t>
        </is>
      </c>
      <c r="B702" s="8" t="inlineStr">
        <is>
          <t>WHAP-0698</t>
        </is>
      </c>
      <c r="C702" s="8" t="inlineStr">
        <is>
          <t>ROU-0698</t>
        </is>
      </c>
      <c r="D702" s="8" t="inlineStr">
        <is>
          <t>insert run-flat — AVD</t>
        </is>
      </c>
      <c r="E702" s="8" t="inlineStr">
        <is>
          <t>Roues et pneus</t>
        </is>
      </c>
      <c r="F702" s="8" t="inlineStr">
        <is>
          <t>Roues et pneus</t>
        </is>
      </c>
      <c r="G702" s="8" t="inlineStr">
        <is>
          <t>PIECE_VEHICULE</t>
        </is>
      </c>
      <c r="H702" s="8" t="n">
        <v>1</v>
      </c>
      <c r="I702" s="8">
        <f>H702*$D$3</f>
        <v/>
      </c>
      <c r="J702" s="8" t="inlineStr">
        <is>
          <t>unité</t>
        </is>
      </c>
      <c r="K702" s="8" t="n">
        <v>0</v>
      </c>
      <c r="L702" s="8">
        <f>K702-I702</f>
        <v/>
      </c>
      <c r="M702" s="8">
        <f>IF(K702&lt;I702,"✕ INSUFFISANT",IF(K702&lt;I702*1.2,"⚠ STOCK FAIBLE","✓ COUVERT"))</f>
        <v/>
      </c>
      <c r="N702" s="8" t="inlineStr">
        <is>
          <t>CTL</t>
        </is>
      </c>
      <c r="O702" s="8" t="inlineStr">
        <is>
          <t>IMPORTANT</t>
        </is>
      </c>
      <c r="P702" s="8" t="inlineStr">
        <is>
          <t>31/08/2026 02:59</t>
        </is>
      </c>
    </row>
    <row r="703">
      <c r="A703" s="7" t="inlineStr">
        <is>
          <t>WHAP 8x8</t>
        </is>
      </c>
      <c r="B703" s="7" t="inlineStr">
        <is>
          <t>WHAP-0699</t>
        </is>
      </c>
      <c r="C703" s="7" t="inlineStr">
        <is>
          <t>ROU-0699</t>
        </is>
      </c>
      <c r="D703" s="7" t="inlineStr">
        <is>
          <t>valve de pneu — AVD</t>
        </is>
      </c>
      <c r="E703" s="7" t="inlineStr">
        <is>
          <t>Roues et pneus</t>
        </is>
      </c>
      <c r="F703" s="7" t="inlineStr">
        <is>
          <t>Roues et pneus</t>
        </is>
      </c>
      <c r="G703" s="7" t="inlineStr">
        <is>
          <t>PIECE_VEHICULE</t>
        </is>
      </c>
      <c r="H703" s="7" t="n">
        <v>1</v>
      </c>
      <c r="I703" s="7">
        <f>H703*$D$3</f>
        <v/>
      </c>
      <c r="J703" s="7" t="inlineStr">
        <is>
          <t>unité</t>
        </is>
      </c>
      <c r="K703" s="7" t="n">
        <v>0</v>
      </c>
      <c r="L703" s="7">
        <f>K703-I703</f>
        <v/>
      </c>
      <c r="M703" s="7">
        <f>IF(K703&lt;I703,"✕ INSUFFISANT",IF(K703&lt;I703*1.2,"⚠ STOCK FAIBLE","✓ COUVERT"))</f>
        <v/>
      </c>
      <c r="N703" s="7" t="inlineStr">
        <is>
          <t>VAL</t>
        </is>
      </c>
      <c r="O703" s="7" t="inlineStr">
        <is>
          <t>IMPORTANT</t>
        </is>
      </c>
      <c r="P703" s="7" t="inlineStr">
        <is>
          <t>31/08/2026 02:59</t>
        </is>
      </c>
    </row>
    <row r="704">
      <c r="A704" s="8" t="inlineStr">
        <is>
          <t>WHAP 8x8</t>
        </is>
      </c>
      <c r="B704" s="8" t="inlineStr">
        <is>
          <t>WHAP-0700</t>
        </is>
      </c>
      <c r="C704" s="8" t="inlineStr">
        <is>
          <t>ROU-0700</t>
        </is>
      </c>
      <c r="D704" s="8" t="inlineStr">
        <is>
          <t>capteur pression pneu — AVD</t>
        </is>
      </c>
      <c r="E704" s="8" t="inlineStr">
        <is>
          <t>Roues et pneus</t>
        </is>
      </c>
      <c r="F704" s="8" t="inlineStr">
        <is>
          <t>Roues et pneus</t>
        </is>
      </c>
      <c r="G704" s="8" t="inlineStr">
        <is>
          <t>PIECE_VEHICULE</t>
        </is>
      </c>
      <c r="H704" s="8" t="n">
        <v>1</v>
      </c>
      <c r="I704" s="8">
        <f>H704*$D$3</f>
        <v/>
      </c>
      <c r="J704" s="8" t="inlineStr">
        <is>
          <t>unité</t>
        </is>
      </c>
      <c r="K704" s="8" t="n">
        <v>0</v>
      </c>
      <c r="L704" s="8">
        <f>K704-I704</f>
        <v/>
      </c>
      <c r="M704" s="8">
        <f>IF(K704&lt;I704,"✕ INSUFFISANT",IF(K704&lt;I704*1.2,"⚠ STOCK FAIBLE","✓ COUVERT"))</f>
        <v/>
      </c>
      <c r="N704" s="8" t="inlineStr">
        <is>
          <t>SKF</t>
        </is>
      </c>
      <c r="O704" s="8" t="inlineStr">
        <is>
          <t>IMPORTANT</t>
        </is>
      </c>
      <c r="P704" s="8" t="inlineStr">
        <is>
          <t>31/08/2026 02:59</t>
        </is>
      </c>
    </row>
    <row r="705">
      <c r="A705" s="7" t="inlineStr">
        <is>
          <t>WHAP 8x8</t>
        </is>
      </c>
      <c r="B705" s="7" t="inlineStr">
        <is>
          <t>WHAP-0701</t>
        </is>
      </c>
      <c r="C705" s="7" t="inlineStr">
        <is>
          <t>ROU-0701</t>
        </is>
      </c>
      <c r="D705" s="7" t="inlineStr">
        <is>
          <t>écrou de roue — AVD</t>
        </is>
      </c>
      <c r="E705" s="7" t="inlineStr">
        <is>
          <t>Roues et pneus</t>
        </is>
      </c>
      <c r="F705" s="7" t="inlineStr">
        <is>
          <t>Roues et pneus</t>
        </is>
      </c>
      <c r="G705" s="7" t="inlineStr">
        <is>
          <t>PIECE_VEHICULE</t>
        </is>
      </c>
      <c r="H705" s="7" t="n">
        <v>1</v>
      </c>
      <c r="I705" s="7">
        <f>H705*$D$3</f>
        <v/>
      </c>
      <c r="J705" s="7" t="inlineStr">
        <is>
          <t>unité</t>
        </is>
      </c>
      <c r="K705" s="7" t="n">
        <v>0</v>
      </c>
      <c r="L705" s="7">
        <f>K705-I705</f>
        <v/>
      </c>
      <c r="M705" s="7">
        <f>IF(K705&lt;I705,"✕ INSUFFISANT",IF(K705&lt;I705*1.2,"⚠ STOCK FAIBLE","✓ COUVERT"))</f>
        <v/>
      </c>
      <c r="N705" s="7" t="inlineStr">
        <is>
          <t>CTL</t>
        </is>
      </c>
      <c r="O705" s="7" t="inlineStr">
        <is>
          <t>IMPORTANT</t>
        </is>
      </c>
      <c r="P705" s="7" t="inlineStr">
        <is>
          <t>31/08/2026 02:59</t>
        </is>
      </c>
    </row>
    <row r="706">
      <c r="A706" s="8" t="inlineStr">
        <is>
          <t>WHAP 8x8</t>
        </is>
      </c>
      <c r="B706" s="8" t="inlineStr">
        <is>
          <t>WHAP-0702</t>
        </is>
      </c>
      <c r="C706" s="8" t="inlineStr">
        <is>
          <t>ROU-0702</t>
        </is>
      </c>
      <c r="D706" s="8" t="inlineStr">
        <is>
          <t>goujon de roue — AVD</t>
        </is>
      </c>
      <c r="E706" s="8" t="inlineStr">
        <is>
          <t>Roues et pneus</t>
        </is>
      </c>
      <c r="F706" s="8" t="inlineStr">
        <is>
          <t>Roues et pneus</t>
        </is>
      </c>
      <c r="G706" s="8" t="inlineStr">
        <is>
          <t>PIECE_VEHICULE</t>
        </is>
      </c>
      <c r="H706" s="8" t="n">
        <v>1</v>
      </c>
      <c r="I706" s="8">
        <f>H706*$D$3</f>
        <v/>
      </c>
      <c r="J706" s="8" t="inlineStr">
        <is>
          <t>unité</t>
        </is>
      </c>
      <c r="K706" s="8" t="n">
        <v>0</v>
      </c>
      <c r="L706" s="8">
        <f>K706-I706</f>
        <v/>
      </c>
      <c r="M706" s="8">
        <f>IF(K706&lt;I706,"✕ INSUFFISANT",IF(K706&lt;I706*1.2,"⚠ STOCK FAIBLE","✓ COUVERT"))</f>
        <v/>
      </c>
      <c r="N706" s="8" t="inlineStr">
        <is>
          <t>HEL</t>
        </is>
      </c>
      <c r="O706" s="8" t="inlineStr">
        <is>
          <t>IMPORTANT</t>
        </is>
      </c>
      <c r="P706" s="8" t="inlineStr">
        <is>
          <t>31/08/2026 02:59</t>
        </is>
      </c>
    </row>
    <row r="707">
      <c r="A707" s="7" t="inlineStr">
        <is>
          <t>WHAP 8x8</t>
        </is>
      </c>
      <c r="B707" s="7" t="inlineStr">
        <is>
          <t>WHAP-0703</t>
        </is>
      </c>
      <c r="C707" s="7" t="inlineStr">
        <is>
          <t>ROU-0703</t>
        </is>
      </c>
      <c r="D707" s="7" t="inlineStr">
        <is>
          <t>entretoise de roue — AVD</t>
        </is>
      </c>
      <c r="E707" s="7" t="inlineStr">
        <is>
          <t>Roues et pneus</t>
        </is>
      </c>
      <c r="F707" s="7" t="inlineStr">
        <is>
          <t>Roues et pneus</t>
        </is>
      </c>
      <c r="G707" s="7" t="inlineStr">
        <is>
          <t>PIECE_VEHICULE</t>
        </is>
      </c>
      <c r="H707" s="7" t="n">
        <v>1</v>
      </c>
      <c r="I707" s="7">
        <f>H707*$D$3</f>
        <v/>
      </c>
      <c r="J707" s="7" t="inlineStr">
        <is>
          <t>unité</t>
        </is>
      </c>
      <c r="K707" s="7" t="n">
        <v>0</v>
      </c>
      <c r="L707" s="7">
        <f>K707-I707</f>
        <v/>
      </c>
      <c r="M707" s="7">
        <f>IF(K707&lt;I707,"✕ INSUFFISANT",IF(K707&lt;I707*1.2,"⚠ STOCK FAIBLE","✓ COUVERT"))</f>
        <v/>
      </c>
      <c r="N707" s="7" t="inlineStr">
        <is>
          <t>YZK</t>
        </is>
      </c>
      <c r="O707" s="7" t="inlineStr">
        <is>
          <t>IMPORTANT</t>
        </is>
      </c>
      <c r="P707" s="7" t="inlineStr">
        <is>
          <t>31/08/2026 02:59</t>
        </is>
      </c>
    </row>
    <row r="708">
      <c r="A708" s="8" t="inlineStr">
        <is>
          <t>WHAP 8x8</t>
        </is>
      </c>
      <c r="B708" s="8" t="inlineStr">
        <is>
          <t>WHAP-0704</t>
        </is>
      </c>
      <c r="C708" s="8" t="inlineStr">
        <is>
          <t>ROU-0704</t>
        </is>
      </c>
      <c r="D708" s="8" t="inlineStr">
        <is>
          <t>moyeu — AVD</t>
        </is>
      </c>
      <c r="E708" s="8" t="inlineStr">
        <is>
          <t>Roues et pneus</t>
        </is>
      </c>
      <c r="F708" s="8" t="inlineStr">
        <is>
          <t>Roues et pneus</t>
        </is>
      </c>
      <c r="G708" s="8" t="inlineStr">
        <is>
          <t>PIECE_VEHICULE</t>
        </is>
      </c>
      <c r="H708" s="8" t="n">
        <v>1</v>
      </c>
      <c r="I708" s="8">
        <f>H708*$D$3</f>
        <v/>
      </c>
      <c r="J708" s="8" t="inlineStr">
        <is>
          <t>unité</t>
        </is>
      </c>
      <c r="K708" s="8" t="n">
        <v>0</v>
      </c>
      <c r="L708" s="8">
        <f>K708-I708</f>
        <v/>
      </c>
      <c r="M708" s="8">
        <f>IF(K708&lt;I708,"✕ INSUFFISANT",IF(K708&lt;I708*1.2,"⚠ STOCK FAIBLE","✓ COUVERT"))</f>
        <v/>
      </c>
      <c r="N708" s="8" t="inlineStr">
        <is>
          <t>SKF</t>
        </is>
      </c>
      <c r="O708" s="8" t="inlineStr">
        <is>
          <t>IMPORTANT</t>
        </is>
      </c>
      <c r="P708" s="8" t="inlineStr">
        <is>
          <t>31/08/2026 02:59</t>
        </is>
      </c>
    </row>
    <row r="709">
      <c r="A709" s="7" t="inlineStr">
        <is>
          <t>WHAP 8x8</t>
        </is>
      </c>
      <c r="B709" s="7" t="inlineStr">
        <is>
          <t>WHAP-0705</t>
        </is>
      </c>
      <c r="C709" s="7" t="inlineStr">
        <is>
          <t>ROU-0705</t>
        </is>
      </c>
      <c r="D709" s="7" t="inlineStr">
        <is>
          <t>cache-moyeu — AVD</t>
        </is>
      </c>
      <c r="E709" s="7" t="inlineStr">
        <is>
          <t>Roues et pneus</t>
        </is>
      </c>
      <c r="F709" s="7" t="inlineStr">
        <is>
          <t>Roues et pneus</t>
        </is>
      </c>
      <c r="G709" s="7" t="inlineStr">
        <is>
          <t>PIECE_VEHICULE</t>
        </is>
      </c>
      <c r="H709" s="7" t="n">
        <v>1</v>
      </c>
      <c r="I709" s="7">
        <f>H709*$D$3</f>
        <v/>
      </c>
      <c r="J709" s="7" t="inlineStr">
        <is>
          <t>unité</t>
        </is>
      </c>
      <c r="K709" s="7" t="n">
        <v>0</v>
      </c>
      <c r="L709" s="7">
        <f>K709-I709</f>
        <v/>
      </c>
      <c r="M709" s="7">
        <f>IF(K709&lt;I709,"✕ INSUFFISANT",IF(K709&lt;I709*1.2,"⚠ STOCK FAIBLE","✓ COUVERT"))</f>
        <v/>
      </c>
      <c r="N709" s="7" t="inlineStr">
        <is>
          <t>CTL</t>
        </is>
      </c>
      <c r="O709" s="7" t="inlineStr">
        <is>
          <t>IMPORTANT</t>
        </is>
      </c>
      <c r="P709" s="7" t="inlineStr">
        <is>
          <t>31/08/2026 02:59</t>
        </is>
      </c>
    </row>
    <row r="710">
      <c r="A710" s="8" t="inlineStr">
        <is>
          <t>WHAP 8x8</t>
        </is>
      </c>
      <c r="B710" s="8" t="inlineStr">
        <is>
          <t>WHAP-0706</t>
        </is>
      </c>
      <c r="C710" s="8" t="inlineStr">
        <is>
          <t>ROU-0706</t>
        </is>
      </c>
      <c r="D710" s="8" t="inlineStr">
        <is>
          <t>joint de moyeu — AVD</t>
        </is>
      </c>
      <c r="E710" s="8" t="inlineStr">
        <is>
          <t>Roues et pneus</t>
        </is>
      </c>
      <c r="F710" s="8" t="inlineStr">
        <is>
          <t>Roues et pneus</t>
        </is>
      </c>
      <c r="G710" s="8" t="inlineStr">
        <is>
          <t>PIECE_VEHICULE</t>
        </is>
      </c>
      <c r="H710" s="8" t="n">
        <v>1</v>
      </c>
      <c r="I710" s="8">
        <f>H710*$D$3</f>
        <v/>
      </c>
      <c r="J710" s="8" t="inlineStr">
        <is>
          <t>unité</t>
        </is>
      </c>
      <c r="K710" s="8" t="n">
        <v>0</v>
      </c>
      <c r="L710" s="8">
        <f>K710-I710</f>
        <v/>
      </c>
      <c r="M710" s="8">
        <f>IF(K710&lt;I710,"✕ INSUFFISANT",IF(K710&lt;I710*1.2,"⚠ STOCK FAIBLE","✓ COUVERT"))</f>
        <v/>
      </c>
      <c r="N710" s="8" t="inlineStr">
        <is>
          <t>MAG</t>
        </is>
      </c>
      <c r="O710" s="8" t="inlineStr">
        <is>
          <t>IMPORTANT</t>
        </is>
      </c>
      <c r="P710" s="8" t="inlineStr">
        <is>
          <t>31/08/2026 02:59</t>
        </is>
      </c>
    </row>
    <row r="711">
      <c r="A711" s="7" t="inlineStr">
        <is>
          <t>WHAP 8x8</t>
        </is>
      </c>
      <c r="B711" s="7" t="inlineStr">
        <is>
          <t>WHAP-0707</t>
        </is>
      </c>
      <c r="C711" s="7" t="inlineStr">
        <is>
          <t>ROU-0707</t>
        </is>
      </c>
      <c r="D711" s="7" t="inlineStr">
        <is>
          <t>roulement de roue — AVD</t>
        </is>
      </c>
      <c r="E711" s="7" t="inlineStr">
        <is>
          <t>Roues et pneus</t>
        </is>
      </c>
      <c r="F711" s="7" t="inlineStr">
        <is>
          <t>Roues et pneus</t>
        </is>
      </c>
      <c r="G711" s="7" t="inlineStr">
        <is>
          <t>PIECE_VEHICULE</t>
        </is>
      </c>
      <c r="H711" s="7" t="n">
        <v>1</v>
      </c>
      <c r="I711" s="7">
        <f>H711*$D$3</f>
        <v/>
      </c>
      <c r="J711" s="7" t="inlineStr">
        <is>
          <t>unité</t>
        </is>
      </c>
      <c r="K711" s="7" t="n">
        <v>0</v>
      </c>
      <c r="L711" s="7">
        <f>K711-I711</f>
        <v/>
      </c>
      <c r="M711" s="7">
        <f>IF(K711&lt;I711,"✕ INSUFFISANT",IF(K711&lt;I711*1.2,"⚠ STOCK FAIBLE","✓ COUVERT"))</f>
        <v/>
      </c>
      <c r="N711" s="7" t="inlineStr">
        <is>
          <t>BOS</t>
        </is>
      </c>
      <c r="O711" s="7" t="inlineStr">
        <is>
          <t>IMPORTANT</t>
        </is>
      </c>
      <c r="P711" s="7" t="inlineStr">
        <is>
          <t>31/08/2026 02:59</t>
        </is>
      </c>
    </row>
    <row r="712">
      <c r="A712" s="8" t="inlineStr">
        <is>
          <t>WHAP 8x8</t>
        </is>
      </c>
      <c r="B712" s="8" t="inlineStr">
        <is>
          <t>WHAP-0708</t>
        </is>
      </c>
      <c r="C712" s="8" t="inlineStr">
        <is>
          <t>ROU-0708</t>
        </is>
      </c>
      <c r="D712" s="8" t="inlineStr">
        <is>
          <t>bague de roulement — AVD</t>
        </is>
      </c>
      <c r="E712" s="8" t="inlineStr">
        <is>
          <t>Roues et pneus</t>
        </is>
      </c>
      <c r="F712" s="8" t="inlineStr">
        <is>
          <t>Roues et pneus</t>
        </is>
      </c>
      <c r="G712" s="8" t="inlineStr">
        <is>
          <t>PIECE_VEHICULE</t>
        </is>
      </c>
      <c r="H712" s="8" t="n">
        <v>1</v>
      </c>
      <c r="I712" s="8">
        <f>H712*$D$3</f>
        <v/>
      </c>
      <c r="J712" s="8" t="inlineStr">
        <is>
          <t>unité</t>
        </is>
      </c>
      <c r="K712" s="8" t="n">
        <v>0</v>
      </c>
      <c r="L712" s="8">
        <f>K712-I712</f>
        <v/>
      </c>
      <c r="M712" s="8">
        <f>IF(K712&lt;I712,"✕ INSUFFISANT",IF(K712&lt;I712*1.2,"⚠ STOCK FAIBLE","✓ COUVERT"))</f>
        <v/>
      </c>
      <c r="N712" s="8" t="inlineStr">
        <is>
          <t>HEL</t>
        </is>
      </c>
      <c r="O712" s="8" t="inlineStr">
        <is>
          <t>IMPORTANT</t>
        </is>
      </c>
      <c r="P712" s="8" t="inlineStr">
        <is>
          <t>31/08/2026 02:59</t>
        </is>
      </c>
    </row>
    <row r="713">
      <c r="A713" s="7" t="inlineStr">
        <is>
          <t>WHAP 8x8</t>
        </is>
      </c>
      <c r="B713" s="7" t="inlineStr">
        <is>
          <t>WHAP-0709</t>
        </is>
      </c>
      <c r="C713" s="7" t="inlineStr">
        <is>
          <t>ROU-0709</t>
        </is>
      </c>
      <c r="D713" s="7" t="inlineStr">
        <is>
          <t>anneau de retenue — AVD</t>
        </is>
      </c>
      <c r="E713" s="7" t="inlineStr">
        <is>
          <t>Roues et pneus</t>
        </is>
      </c>
      <c r="F713" s="7" t="inlineStr">
        <is>
          <t>Roues et pneus</t>
        </is>
      </c>
      <c r="G713" s="7" t="inlineStr">
        <is>
          <t>PIECE_VEHICULE</t>
        </is>
      </c>
      <c r="H713" s="7" t="n">
        <v>1</v>
      </c>
      <c r="I713" s="7">
        <f>H713*$D$3</f>
        <v/>
      </c>
      <c r="J713" s="7" t="inlineStr">
        <is>
          <t>unité</t>
        </is>
      </c>
      <c r="K713" s="7" t="n">
        <v>0</v>
      </c>
      <c r="L713" s="7">
        <f>K713-I713</f>
        <v/>
      </c>
      <c r="M713" s="7">
        <f>IF(K713&lt;I713,"✕ INSUFFISANT",IF(K713&lt;I713*1.2,"⚠ STOCK FAIBLE","✓ COUVERT"))</f>
        <v/>
      </c>
      <c r="N713" s="7" t="inlineStr">
        <is>
          <t>MAG</t>
        </is>
      </c>
      <c r="O713" s="7" t="inlineStr">
        <is>
          <t>IMPORTANT</t>
        </is>
      </c>
      <c r="P713" s="7" t="inlineStr">
        <is>
          <t>31/08/2026 02:59</t>
        </is>
      </c>
    </row>
    <row r="714">
      <c r="A714" s="8" t="inlineStr">
        <is>
          <t>WHAP 8x8</t>
        </is>
      </c>
      <c r="B714" s="8" t="inlineStr">
        <is>
          <t>WHAP-0710</t>
        </is>
      </c>
      <c r="C714" s="8" t="inlineStr">
        <is>
          <t>ROU-0710</t>
        </is>
      </c>
      <c r="D714" s="8" t="inlineStr">
        <is>
          <t>disque de jante — AVD</t>
        </is>
      </c>
      <c r="E714" s="8" t="inlineStr">
        <is>
          <t>Roues et pneus</t>
        </is>
      </c>
      <c r="F714" s="8" t="inlineStr">
        <is>
          <t>Roues et pneus</t>
        </is>
      </c>
      <c r="G714" s="8" t="inlineStr">
        <is>
          <t>PIECE_VEHICULE</t>
        </is>
      </c>
      <c r="H714" s="8" t="n">
        <v>1</v>
      </c>
      <c r="I714" s="8">
        <f>H714*$D$3</f>
        <v/>
      </c>
      <c r="J714" s="8" t="inlineStr">
        <is>
          <t>unité</t>
        </is>
      </c>
      <c r="K714" s="8" t="n">
        <v>0</v>
      </c>
      <c r="L714" s="8">
        <f>K714-I714</f>
        <v/>
      </c>
      <c r="M714" s="8">
        <f>IF(K714&lt;I714,"✕ INSUFFISANT",IF(K714&lt;I714*1.2,"⚠ STOCK FAIBLE","✓ COUVERT"))</f>
        <v/>
      </c>
      <c r="N714" s="8" t="inlineStr">
        <is>
          <t>HEL</t>
        </is>
      </c>
      <c r="O714" s="8" t="inlineStr">
        <is>
          <t>IMPORTANT</t>
        </is>
      </c>
      <c r="P714" s="8" t="inlineStr">
        <is>
          <t>31/08/2026 02:59</t>
        </is>
      </c>
    </row>
    <row r="715">
      <c r="A715" s="7" t="inlineStr">
        <is>
          <t>WHAP 8x8</t>
        </is>
      </c>
      <c r="B715" s="7" t="inlineStr">
        <is>
          <t>WHAP-0711</t>
        </is>
      </c>
      <c r="C715" s="7" t="inlineStr">
        <is>
          <t>ROU-0711</t>
        </is>
      </c>
      <c r="D715" s="7" t="inlineStr">
        <is>
          <t>cerclage de jante — AVD</t>
        </is>
      </c>
      <c r="E715" s="7" t="inlineStr">
        <is>
          <t>Roues et pneus</t>
        </is>
      </c>
      <c r="F715" s="7" t="inlineStr">
        <is>
          <t>Roues et pneus</t>
        </is>
      </c>
      <c r="G715" s="7" t="inlineStr">
        <is>
          <t>PIECE_VEHICULE</t>
        </is>
      </c>
      <c r="H715" s="7" t="n">
        <v>1</v>
      </c>
      <c r="I715" s="7">
        <f>H715*$D$3</f>
        <v/>
      </c>
      <c r="J715" s="7" t="inlineStr">
        <is>
          <t>unité</t>
        </is>
      </c>
      <c r="K715" s="7" t="n">
        <v>0</v>
      </c>
      <c r="L715" s="7">
        <f>K715-I715</f>
        <v/>
      </c>
      <c r="M715" s="7">
        <f>IF(K715&lt;I715,"✕ INSUFFISANT",IF(K715&lt;I715*1.2,"⚠ STOCK FAIBLE","✓ COUVERT"))</f>
        <v/>
      </c>
      <c r="N715" s="7" t="inlineStr">
        <is>
          <t>HEL</t>
        </is>
      </c>
      <c r="O715" s="7" t="inlineStr">
        <is>
          <t>IMPORTANT</t>
        </is>
      </c>
      <c r="P715" s="7" t="inlineStr">
        <is>
          <t>31/08/2026 02:59</t>
        </is>
      </c>
    </row>
    <row r="716">
      <c r="A716" s="8" t="inlineStr">
        <is>
          <t>WHAP 8x8</t>
        </is>
      </c>
      <c r="B716" s="8" t="inlineStr">
        <is>
          <t>WHAP-0712</t>
        </is>
      </c>
      <c r="C716" s="8" t="inlineStr">
        <is>
          <t>ROU-0712</t>
        </is>
      </c>
      <c r="D716" s="8" t="inlineStr">
        <is>
          <t>système CTIS — AVD</t>
        </is>
      </c>
      <c r="E716" s="8" t="inlineStr">
        <is>
          <t>Roues et pneus</t>
        </is>
      </c>
      <c r="F716" s="8" t="inlineStr">
        <is>
          <t>Roues et pneus</t>
        </is>
      </c>
      <c r="G716" s="8" t="inlineStr">
        <is>
          <t>PIECE_VEHICULE</t>
        </is>
      </c>
      <c r="H716" s="8" t="n">
        <v>1</v>
      </c>
      <c r="I716" s="8">
        <f>H716*$D$3</f>
        <v/>
      </c>
      <c r="J716" s="8" t="inlineStr">
        <is>
          <t>unité</t>
        </is>
      </c>
      <c r="K716" s="8" t="n">
        <v>0</v>
      </c>
      <c r="L716" s="8">
        <f>K716-I716</f>
        <v/>
      </c>
      <c r="M716" s="8">
        <f>IF(K716&lt;I716,"✕ INSUFFISANT",IF(K716&lt;I716*1.2,"⚠ STOCK FAIBLE","✓ COUVERT"))</f>
        <v/>
      </c>
      <c r="N716" s="8" t="inlineStr">
        <is>
          <t>CTL</t>
        </is>
      </c>
      <c r="O716" s="8" t="inlineStr">
        <is>
          <t>IMPORTANT</t>
        </is>
      </c>
      <c r="P716" s="8" t="inlineStr">
        <is>
          <t>31/08/2026 02:59</t>
        </is>
      </c>
    </row>
    <row r="717">
      <c r="A717" s="7" t="inlineStr">
        <is>
          <t>WHAP 8x8</t>
        </is>
      </c>
      <c r="B717" s="7" t="inlineStr">
        <is>
          <t>WHAP-0713</t>
        </is>
      </c>
      <c r="C717" s="7" t="inlineStr">
        <is>
          <t>ROU-0713</t>
        </is>
      </c>
      <c r="D717" s="7" t="inlineStr">
        <is>
          <t>rotor CTIS — AVD</t>
        </is>
      </c>
      <c r="E717" s="7" t="inlineStr">
        <is>
          <t>Roues et pneus</t>
        </is>
      </c>
      <c r="F717" s="7" t="inlineStr">
        <is>
          <t>Roues et pneus</t>
        </is>
      </c>
      <c r="G717" s="7" t="inlineStr">
        <is>
          <t>PIECE_VEHICULE</t>
        </is>
      </c>
      <c r="H717" s="7" t="n">
        <v>1</v>
      </c>
      <c r="I717" s="7">
        <f>H717*$D$3</f>
        <v/>
      </c>
      <c r="J717" s="7" t="inlineStr">
        <is>
          <t>unité</t>
        </is>
      </c>
      <c r="K717" s="7" t="n">
        <v>0</v>
      </c>
      <c r="L717" s="7">
        <f>K717-I717</f>
        <v/>
      </c>
      <c r="M717" s="7">
        <f>IF(K717&lt;I717,"✕ INSUFFISANT",IF(K717&lt;I717*1.2,"⚠ STOCK FAIBLE","✓ COUVERT"))</f>
        <v/>
      </c>
      <c r="N717" s="7" t="inlineStr">
        <is>
          <t>VAL</t>
        </is>
      </c>
      <c r="O717" s="7" t="inlineStr">
        <is>
          <t>IMPORTANT</t>
        </is>
      </c>
      <c r="P717" s="7" t="inlineStr">
        <is>
          <t>31/08/2026 02:59</t>
        </is>
      </c>
    </row>
    <row r="718">
      <c r="A718" s="8" t="inlineStr">
        <is>
          <t>WHAP 8x8</t>
        </is>
      </c>
      <c r="B718" s="8" t="inlineStr">
        <is>
          <t>WHAP-0714</t>
        </is>
      </c>
      <c r="C718" s="8" t="inlineStr">
        <is>
          <t>ROU-0714</t>
        </is>
      </c>
      <c r="D718" s="8" t="inlineStr">
        <is>
          <t>joint tournant CTIS — AVD</t>
        </is>
      </c>
      <c r="E718" s="8" t="inlineStr">
        <is>
          <t>Roues et pneus</t>
        </is>
      </c>
      <c r="F718" s="8" t="inlineStr">
        <is>
          <t>Roues et pneus</t>
        </is>
      </c>
      <c r="G718" s="8" t="inlineStr">
        <is>
          <t>PIECE_VEHICULE</t>
        </is>
      </c>
      <c r="H718" s="8" t="n">
        <v>1</v>
      </c>
      <c r="I718" s="8">
        <f>H718*$D$3</f>
        <v/>
      </c>
      <c r="J718" s="8" t="inlineStr">
        <is>
          <t>unité</t>
        </is>
      </c>
      <c r="K718" s="8" t="n">
        <v>0</v>
      </c>
      <c r="L718" s="8">
        <f>K718-I718</f>
        <v/>
      </c>
      <c r="M718" s="8">
        <f>IF(K718&lt;I718,"✕ INSUFFISANT",IF(K718&lt;I718*1.2,"⚠ STOCK FAIBLE","✓ COUVERT"))</f>
        <v/>
      </c>
      <c r="N718" s="8" t="inlineStr">
        <is>
          <t>BOS</t>
        </is>
      </c>
      <c r="O718" s="8" t="inlineStr">
        <is>
          <t>IMPORTANT</t>
        </is>
      </c>
      <c r="P718" s="8" t="inlineStr">
        <is>
          <t>31/08/2026 02:59</t>
        </is>
      </c>
    </row>
    <row r="719">
      <c r="A719" s="7" t="inlineStr">
        <is>
          <t>WHAP 8x8</t>
        </is>
      </c>
      <c r="B719" s="7" t="inlineStr">
        <is>
          <t>WHAP-0715</t>
        </is>
      </c>
      <c r="C719" s="7" t="inlineStr">
        <is>
          <t>ROU-0715</t>
        </is>
      </c>
      <c r="D719" s="7" t="inlineStr">
        <is>
          <t>flexible CTIS — AVD</t>
        </is>
      </c>
      <c r="E719" s="7" t="inlineStr">
        <is>
          <t>Roues et pneus</t>
        </is>
      </c>
      <c r="F719" s="7" t="inlineStr">
        <is>
          <t>Roues et pneus</t>
        </is>
      </c>
      <c r="G719" s="7" t="inlineStr">
        <is>
          <t>PIECE_VEHICULE</t>
        </is>
      </c>
      <c r="H719" s="7" t="n">
        <v>1</v>
      </c>
      <c r="I719" s="7">
        <f>H719*$D$3</f>
        <v/>
      </c>
      <c r="J719" s="7" t="inlineStr">
        <is>
          <t>unité</t>
        </is>
      </c>
      <c r="K719" s="7" t="n">
        <v>0</v>
      </c>
      <c r="L719" s="7">
        <f>K719-I719</f>
        <v/>
      </c>
      <c r="M719" s="7">
        <f>IF(K719&lt;I719,"✕ INSUFFISANT",IF(K719&lt;I719*1.2,"⚠ STOCK FAIBLE","✓ COUVERT"))</f>
        <v/>
      </c>
      <c r="N719" s="7" t="inlineStr">
        <is>
          <t>FAU</t>
        </is>
      </c>
      <c r="O719" s="7" t="inlineStr">
        <is>
          <t>IMPORTANT</t>
        </is>
      </c>
      <c r="P719" s="7" t="inlineStr">
        <is>
          <t>31/08/2026 02:59</t>
        </is>
      </c>
    </row>
    <row r="720">
      <c r="A720" s="8" t="inlineStr">
        <is>
          <t>WHAP 8x8</t>
        </is>
      </c>
      <c r="B720" s="8" t="inlineStr">
        <is>
          <t>WHAP-0716</t>
        </is>
      </c>
      <c r="C720" s="8" t="inlineStr">
        <is>
          <t>ROU-0716</t>
        </is>
      </c>
      <c r="D720" s="8" t="inlineStr">
        <is>
          <t>raccord CTIS — AVD</t>
        </is>
      </c>
      <c r="E720" s="8" t="inlineStr">
        <is>
          <t>Roues et pneus</t>
        </is>
      </c>
      <c r="F720" s="8" t="inlineStr">
        <is>
          <t>Roues et pneus</t>
        </is>
      </c>
      <c r="G720" s="8" t="inlineStr">
        <is>
          <t>PIECE_VEHICULE</t>
        </is>
      </c>
      <c r="H720" s="8" t="n">
        <v>1</v>
      </c>
      <c r="I720" s="8">
        <f>H720*$D$3</f>
        <v/>
      </c>
      <c r="J720" s="8" t="inlineStr">
        <is>
          <t>unité</t>
        </is>
      </c>
      <c r="K720" s="8" t="n">
        <v>0</v>
      </c>
      <c r="L720" s="8">
        <f>K720-I720</f>
        <v/>
      </c>
      <c r="M720" s="8">
        <f>IF(K720&lt;I720,"✕ INSUFFISANT",IF(K720&lt;I720*1.2,"⚠ STOCK FAIBLE","✓ COUVERT"))</f>
        <v/>
      </c>
      <c r="N720" s="8" t="inlineStr">
        <is>
          <t>CTL</t>
        </is>
      </c>
      <c r="O720" s="8" t="inlineStr">
        <is>
          <t>IMPORTANT</t>
        </is>
      </c>
      <c r="P720" s="8" t="inlineStr">
        <is>
          <t>31/08/2026 02:59</t>
        </is>
      </c>
    </row>
    <row r="721">
      <c r="A721" s="7" t="inlineStr">
        <is>
          <t>WHAP 8x8</t>
        </is>
      </c>
      <c r="B721" s="7" t="inlineStr">
        <is>
          <t>WHAP-0717</t>
        </is>
      </c>
      <c r="C721" s="7" t="inlineStr">
        <is>
          <t>ROU-0717</t>
        </is>
      </c>
      <c r="D721" s="7" t="inlineStr">
        <is>
          <t>valve CTIS — AVD</t>
        </is>
      </c>
      <c r="E721" s="7" t="inlineStr">
        <is>
          <t>Roues et pneus</t>
        </is>
      </c>
      <c r="F721" s="7" t="inlineStr">
        <is>
          <t>Roues et pneus</t>
        </is>
      </c>
      <c r="G721" s="7" t="inlineStr">
        <is>
          <t>PIECE_VEHICULE</t>
        </is>
      </c>
      <c r="H721" s="7" t="n">
        <v>1</v>
      </c>
      <c r="I721" s="7">
        <f>H721*$D$3</f>
        <v/>
      </c>
      <c r="J721" s="7" t="inlineStr">
        <is>
          <t>unité</t>
        </is>
      </c>
      <c r="K721" s="7" t="n">
        <v>0</v>
      </c>
      <c r="L721" s="7">
        <f>K721-I721</f>
        <v/>
      </c>
      <c r="M721" s="7">
        <f>IF(K721&lt;I721,"✕ INSUFFISANT",IF(K721&lt;I721*1.2,"⚠ STOCK FAIBLE","✓ COUVERT"))</f>
        <v/>
      </c>
      <c r="N721" s="7" t="inlineStr">
        <is>
          <t>FAU</t>
        </is>
      </c>
      <c r="O721" s="7" t="inlineStr">
        <is>
          <t>IMPORTANT</t>
        </is>
      </c>
      <c r="P721" s="7" t="inlineStr">
        <is>
          <t>31/08/2026 02:59</t>
        </is>
      </c>
    </row>
    <row r="722">
      <c r="A722" s="8" t="inlineStr">
        <is>
          <t>WHAP 8x8</t>
        </is>
      </c>
      <c r="B722" s="8" t="inlineStr">
        <is>
          <t>WHAP-0718</t>
        </is>
      </c>
      <c r="C722" s="8" t="inlineStr">
        <is>
          <t>ROU-0718</t>
        </is>
      </c>
      <c r="D722" s="8" t="inlineStr">
        <is>
          <t>manomètre CTIS — AVD</t>
        </is>
      </c>
      <c r="E722" s="8" t="inlineStr">
        <is>
          <t>Roues et pneus</t>
        </is>
      </c>
      <c r="F722" s="8" t="inlineStr">
        <is>
          <t>Roues et pneus</t>
        </is>
      </c>
      <c r="G722" s="8" t="inlineStr">
        <is>
          <t>PIECE_VEHICULE</t>
        </is>
      </c>
      <c r="H722" s="8" t="n">
        <v>1</v>
      </c>
      <c r="I722" s="8">
        <f>H722*$D$3</f>
        <v/>
      </c>
      <c r="J722" s="8" t="inlineStr">
        <is>
          <t>unité</t>
        </is>
      </c>
      <c r="K722" s="8" t="n">
        <v>0</v>
      </c>
      <c r="L722" s="8">
        <f>K722-I722</f>
        <v/>
      </c>
      <c r="M722" s="8">
        <f>IF(K722&lt;I722,"✕ INSUFFISANT",IF(K722&lt;I722*1.2,"⚠ STOCK FAIBLE","✓ COUVERT"))</f>
        <v/>
      </c>
      <c r="N722" s="8" t="inlineStr">
        <is>
          <t>SUM</t>
        </is>
      </c>
      <c r="O722" s="8" t="inlineStr">
        <is>
          <t>IMPORTANT</t>
        </is>
      </c>
      <c r="P722" s="8" t="inlineStr">
        <is>
          <t>31/08/2026 02:59</t>
        </is>
      </c>
    </row>
    <row r="723">
      <c r="A723" s="7" t="inlineStr">
        <is>
          <t>WHAP 8x8</t>
        </is>
      </c>
      <c r="B723" s="7" t="inlineStr">
        <is>
          <t>WHAP-0719</t>
        </is>
      </c>
      <c r="C723" s="7" t="inlineStr">
        <is>
          <t>ROU-0719</t>
        </is>
      </c>
      <c r="D723" s="7" t="inlineStr">
        <is>
          <t>bloc distributeur CTIS — AVD</t>
        </is>
      </c>
      <c r="E723" s="7" t="inlineStr">
        <is>
          <t>Roues et pneus</t>
        </is>
      </c>
      <c r="F723" s="7" t="inlineStr">
        <is>
          <t>Roues et pneus</t>
        </is>
      </c>
      <c r="G723" s="7" t="inlineStr">
        <is>
          <t>PIECE_VEHICULE</t>
        </is>
      </c>
      <c r="H723" s="7" t="n">
        <v>1</v>
      </c>
      <c r="I723" s="7">
        <f>H723*$D$3</f>
        <v/>
      </c>
      <c r="J723" s="7" t="inlineStr">
        <is>
          <t>unité</t>
        </is>
      </c>
      <c r="K723" s="7" t="n">
        <v>0</v>
      </c>
      <c r="L723" s="7">
        <f>K723-I723</f>
        <v/>
      </c>
      <c r="M723" s="7">
        <f>IF(K723&lt;I723,"✕ INSUFFISANT",IF(K723&lt;I723*1.2,"⚠ STOCK FAIBLE","✓ COUVERT"))</f>
        <v/>
      </c>
      <c r="N723" s="7" t="inlineStr">
        <is>
          <t>BOS</t>
        </is>
      </c>
      <c r="O723" s="7" t="inlineStr">
        <is>
          <t>IMPORTANT</t>
        </is>
      </c>
      <c r="P723" s="7" t="inlineStr">
        <is>
          <t>31/08/2026 02:59</t>
        </is>
      </c>
    </row>
    <row r="724">
      <c r="A724" s="8" t="inlineStr">
        <is>
          <t>WHAP 8x8</t>
        </is>
      </c>
      <c r="B724" s="8" t="inlineStr">
        <is>
          <t>WHAP-0720</t>
        </is>
      </c>
      <c r="C724" s="8" t="inlineStr">
        <is>
          <t>ROU-0720</t>
        </is>
      </c>
      <c r="D724" s="8" t="inlineStr">
        <is>
          <t>jante — ARG</t>
        </is>
      </c>
      <c r="E724" s="8" t="inlineStr">
        <is>
          <t>Roues et pneus</t>
        </is>
      </c>
      <c r="F724" s="8" t="inlineStr">
        <is>
          <t>Roues et pneus</t>
        </is>
      </c>
      <c r="G724" s="8" t="inlineStr">
        <is>
          <t>PIECE_VEHICULE</t>
        </is>
      </c>
      <c r="H724" s="8" t="n">
        <v>1</v>
      </c>
      <c r="I724" s="8">
        <f>H724*$D$3</f>
        <v/>
      </c>
      <c r="J724" s="8" t="inlineStr">
        <is>
          <t>unité</t>
        </is>
      </c>
      <c r="K724" s="8" t="n">
        <v>0</v>
      </c>
      <c r="L724" s="8">
        <f>K724-I724</f>
        <v/>
      </c>
      <c r="M724" s="8">
        <f>IF(K724&lt;I724,"✕ INSUFFISANT",IF(K724&lt;I724*1.2,"⚠ STOCK FAIBLE","✓ COUVERT"))</f>
        <v/>
      </c>
      <c r="N724" s="8" t="inlineStr">
        <is>
          <t>BOS</t>
        </is>
      </c>
      <c r="O724" s="8" t="inlineStr">
        <is>
          <t>IMPORTANT</t>
        </is>
      </c>
      <c r="P724" s="8" t="inlineStr">
        <is>
          <t>31/08/2026 02:59</t>
        </is>
      </c>
    </row>
    <row r="725">
      <c r="A725" s="7" t="inlineStr">
        <is>
          <t>WHAP 8x8</t>
        </is>
      </c>
      <c r="B725" s="7" t="inlineStr">
        <is>
          <t>WHAP-0721</t>
        </is>
      </c>
      <c r="C725" s="7" t="inlineStr">
        <is>
          <t>ROU-0721</t>
        </is>
      </c>
      <c r="D725" s="7" t="inlineStr">
        <is>
          <t>roue complète — ARG</t>
        </is>
      </c>
      <c r="E725" s="7" t="inlineStr">
        <is>
          <t>Roues et pneus</t>
        </is>
      </c>
      <c r="F725" s="7" t="inlineStr">
        <is>
          <t>Roues et pneus</t>
        </is>
      </c>
      <c r="G725" s="7" t="inlineStr">
        <is>
          <t>PIECE_VEHICULE</t>
        </is>
      </c>
      <c r="H725" s="7" t="n">
        <v>1</v>
      </c>
      <c r="I725" s="7">
        <f>H725*$D$3</f>
        <v/>
      </c>
      <c r="J725" s="7" t="inlineStr">
        <is>
          <t>unité</t>
        </is>
      </c>
      <c r="K725" s="7" t="n">
        <v>0</v>
      </c>
      <c r="L725" s="7">
        <f>K725-I725</f>
        <v/>
      </c>
      <c r="M725" s="7">
        <f>IF(K725&lt;I725,"✕ INSUFFISANT",IF(K725&lt;I725*1.2,"⚠ STOCK FAIBLE","✓ COUVERT"))</f>
        <v/>
      </c>
      <c r="N725" s="7" t="inlineStr">
        <is>
          <t>SUM</t>
        </is>
      </c>
      <c r="O725" s="7" t="inlineStr">
        <is>
          <t>IMPORTANT</t>
        </is>
      </c>
      <c r="P725" s="7" t="inlineStr">
        <is>
          <t>31/08/2026 02:59</t>
        </is>
      </c>
    </row>
    <row r="726">
      <c r="A726" s="8" t="inlineStr">
        <is>
          <t>WHAP 8x8</t>
        </is>
      </c>
      <c r="B726" s="8" t="inlineStr">
        <is>
          <t>WHAP-0722</t>
        </is>
      </c>
      <c r="C726" s="8" t="inlineStr">
        <is>
          <t>ROU-0722</t>
        </is>
      </c>
      <c r="D726" s="8" t="inlineStr">
        <is>
          <t>pneu — ARG</t>
        </is>
      </c>
      <c r="E726" s="8" t="inlineStr">
        <is>
          <t>Roues et pneus</t>
        </is>
      </c>
      <c r="F726" s="8" t="inlineStr">
        <is>
          <t>Roues et pneus</t>
        </is>
      </c>
      <c r="G726" s="8" t="inlineStr">
        <is>
          <t>PIECE_VEHICULE</t>
        </is>
      </c>
      <c r="H726" s="8" t="n">
        <v>1</v>
      </c>
      <c r="I726" s="8">
        <f>H726*$D$3</f>
        <v/>
      </c>
      <c r="J726" s="8" t="inlineStr">
        <is>
          <t>unité</t>
        </is>
      </c>
      <c r="K726" s="8" t="n">
        <v>0</v>
      </c>
      <c r="L726" s="8">
        <f>K726-I726</f>
        <v/>
      </c>
      <c r="M726" s="8">
        <f>IF(K726&lt;I726,"✕ INSUFFISANT",IF(K726&lt;I726*1.2,"⚠ STOCK FAIBLE","✓ COUVERT"))</f>
        <v/>
      </c>
      <c r="N726" s="8" t="inlineStr">
        <is>
          <t>VAL</t>
        </is>
      </c>
      <c r="O726" s="8" t="inlineStr">
        <is>
          <t>IMPORTANT</t>
        </is>
      </c>
      <c r="P726" s="8" t="inlineStr">
        <is>
          <t>31/08/2026 02:59</t>
        </is>
      </c>
    </row>
    <row r="727">
      <c r="A727" s="7" t="inlineStr">
        <is>
          <t>WHAP 8x8</t>
        </is>
      </c>
      <c r="B727" s="7" t="inlineStr">
        <is>
          <t>WHAP-0723</t>
        </is>
      </c>
      <c r="C727" s="7" t="inlineStr">
        <is>
          <t>ROU-0723</t>
        </is>
      </c>
      <c r="D727" s="7" t="inlineStr">
        <is>
          <t>insert run-flat — ARG</t>
        </is>
      </c>
      <c r="E727" s="7" t="inlineStr">
        <is>
          <t>Roues et pneus</t>
        </is>
      </c>
      <c r="F727" s="7" t="inlineStr">
        <is>
          <t>Roues et pneus</t>
        </is>
      </c>
      <c r="G727" s="7" t="inlineStr">
        <is>
          <t>PIECE_VEHICULE</t>
        </is>
      </c>
      <c r="H727" s="7" t="n">
        <v>1</v>
      </c>
      <c r="I727" s="7">
        <f>H727*$D$3</f>
        <v/>
      </c>
      <c r="J727" s="7" t="inlineStr">
        <is>
          <t>unité</t>
        </is>
      </c>
      <c r="K727" s="7" t="n">
        <v>0</v>
      </c>
      <c r="L727" s="7">
        <f>K727-I727</f>
        <v/>
      </c>
      <c r="M727" s="7">
        <f>IF(K727&lt;I727,"✕ INSUFFISANT",IF(K727&lt;I727*1.2,"⚠ STOCK FAIBLE","✓ COUVERT"))</f>
        <v/>
      </c>
      <c r="N727" s="7" t="inlineStr">
        <is>
          <t>DEL</t>
        </is>
      </c>
      <c r="O727" s="7" t="inlineStr">
        <is>
          <t>IMPORTANT</t>
        </is>
      </c>
      <c r="P727" s="7" t="inlineStr">
        <is>
          <t>31/08/2026 02:59</t>
        </is>
      </c>
    </row>
    <row r="728">
      <c r="A728" s="8" t="inlineStr">
        <is>
          <t>WHAP 8x8</t>
        </is>
      </c>
      <c r="B728" s="8" t="inlineStr">
        <is>
          <t>WHAP-0724</t>
        </is>
      </c>
      <c r="C728" s="8" t="inlineStr">
        <is>
          <t>ROU-0724</t>
        </is>
      </c>
      <c r="D728" s="8" t="inlineStr">
        <is>
          <t>valve de pneu — ARG</t>
        </is>
      </c>
      <c r="E728" s="8" t="inlineStr">
        <is>
          <t>Roues et pneus</t>
        </is>
      </c>
      <c r="F728" s="8" t="inlineStr">
        <is>
          <t>Roues et pneus</t>
        </is>
      </c>
      <c r="G728" s="8" t="inlineStr">
        <is>
          <t>PIECE_VEHICULE</t>
        </is>
      </c>
      <c r="H728" s="8" t="n">
        <v>1</v>
      </c>
      <c r="I728" s="8">
        <f>H728*$D$3</f>
        <v/>
      </c>
      <c r="J728" s="8" t="inlineStr">
        <is>
          <t>unité</t>
        </is>
      </c>
      <c r="K728" s="8" t="n">
        <v>0</v>
      </c>
      <c r="L728" s="8">
        <f>K728-I728</f>
        <v/>
      </c>
      <c r="M728" s="8">
        <f>IF(K728&lt;I728,"✕ INSUFFISANT",IF(K728&lt;I728*1.2,"⚠ STOCK FAIBLE","✓ COUVERT"))</f>
        <v/>
      </c>
      <c r="N728" s="8" t="inlineStr">
        <is>
          <t>BOS</t>
        </is>
      </c>
      <c r="O728" s="8" t="inlineStr">
        <is>
          <t>IMPORTANT</t>
        </is>
      </c>
      <c r="P728" s="8" t="inlineStr">
        <is>
          <t>31/08/2026 02:59</t>
        </is>
      </c>
    </row>
    <row r="729">
      <c r="A729" s="7" t="inlineStr">
        <is>
          <t>WHAP 8x8</t>
        </is>
      </c>
      <c r="B729" s="7" t="inlineStr">
        <is>
          <t>WHAP-0725</t>
        </is>
      </c>
      <c r="C729" s="7" t="inlineStr">
        <is>
          <t>ROU-0725</t>
        </is>
      </c>
      <c r="D729" s="7" t="inlineStr">
        <is>
          <t>capteur pression pneu — ARG</t>
        </is>
      </c>
      <c r="E729" s="7" t="inlineStr">
        <is>
          <t>Roues et pneus</t>
        </is>
      </c>
      <c r="F729" s="7" t="inlineStr">
        <is>
          <t>Roues et pneus</t>
        </is>
      </c>
      <c r="G729" s="7" t="inlineStr">
        <is>
          <t>PIECE_VEHICULE</t>
        </is>
      </c>
      <c r="H729" s="7" t="n">
        <v>1</v>
      </c>
      <c r="I729" s="7">
        <f>H729*$D$3</f>
        <v/>
      </c>
      <c r="J729" s="7" t="inlineStr">
        <is>
          <t>unité</t>
        </is>
      </c>
      <c r="K729" s="7" t="n">
        <v>0</v>
      </c>
      <c r="L729" s="7">
        <f>K729-I729</f>
        <v/>
      </c>
      <c r="M729" s="7">
        <f>IF(K729&lt;I729,"✕ INSUFFISANT",IF(K729&lt;I729*1.2,"⚠ STOCK FAIBLE","✓ COUVERT"))</f>
        <v/>
      </c>
      <c r="N729" s="7" t="inlineStr">
        <is>
          <t>FAU</t>
        </is>
      </c>
      <c r="O729" s="7" t="inlineStr">
        <is>
          <t>IMPORTANT</t>
        </is>
      </c>
      <c r="P729" s="7" t="inlineStr">
        <is>
          <t>31/08/2026 02:59</t>
        </is>
      </c>
    </row>
    <row r="730">
      <c r="A730" s="8" t="inlineStr">
        <is>
          <t>WHAP 8x8</t>
        </is>
      </c>
      <c r="B730" s="8" t="inlineStr">
        <is>
          <t>WHAP-0726</t>
        </is>
      </c>
      <c r="C730" s="8" t="inlineStr">
        <is>
          <t>ROU-0726</t>
        </is>
      </c>
      <c r="D730" s="8" t="inlineStr">
        <is>
          <t>écrou de roue — ARG</t>
        </is>
      </c>
      <c r="E730" s="8" t="inlineStr">
        <is>
          <t>Roues et pneus</t>
        </is>
      </c>
      <c r="F730" s="8" t="inlineStr">
        <is>
          <t>Roues et pneus</t>
        </is>
      </c>
      <c r="G730" s="8" t="inlineStr">
        <is>
          <t>PIECE_VEHICULE</t>
        </is>
      </c>
      <c r="H730" s="8" t="n">
        <v>1</v>
      </c>
      <c r="I730" s="8">
        <f>H730*$D$3</f>
        <v/>
      </c>
      <c r="J730" s="8" t="inlineStr">
        <is>
          <t>unité</t>
        </is>
      </c>
      <c r="K730" s="8" t="n">
        <v>0</v>
      </c>
      <c r="L730" s="8">
        <f>K730-I730</f>
        <v/>
      </c>
      <c r="M730" s="8">
        <f>IF(K730&lt;I730,"✕ INSUFFISANT",IF(K730&lt;I730*1.2,"⚠ STOCK FAIBLE","✓ COUVERT"))</f>
        <v/>
      </c>
      <c r="N730" s="8" t="inlineStr">
        <is>
          <t>MAG</t>
        </is>
      </c>
      <c r="O730" s="8" t="inlineStr">
        <is>
          <t>IMPORTANT</t>
        </is>
      </c>
      <c r="P730" s="8" t="inlineStr">
        <is>
          <t>31/08/2026 02:59</t>
        </is>
      </c>
    </row>
    <row r="731">
      <c r="A731" s="7" t="inlineStr">
        <is>
          <t>WHAP 8x8</t>
        </is>
      </c>
      <c r="B731" s="7" t="inlineStr">
        <is>
          <t>WHAP-0727</t>
        </is>
      </c>
      <c r="C731" s="7" t="inlineStr">
        <is>
          <t>ROU-0727</t>
        </is>
      </c>
      <c r="D731" s="7" t="inlineStr">
        <is>
          <t>goujon de roue — ARG</t>
        </is>
      </c>
      <c r="E731" s="7" t="inlineStr">
        <is>
          <t>Roues et pneus</t>
        </is>
      </c>
      <c r="F731" s="7" t="inlineStr">
        <is>
          <t>Roues et pneus</t>
        </is>
      </c>
      <c r="G731" s="7" t="inlineStr">
        <is>
          <t>PIECE_VEHICULE</t>
        </is>
      </c>
      <c r="H731" s="7" t="n">
        <v>1</v>
      </c>
      <c r="I731" s="7">
        <f>H731*$D$3</f>
        <v/>
      </c>
      <c r="J731" s="7" t="inlineStr">
        <is>
          <t>unité</t>
        </is>
      </c>
      <c r="K731" s="7" t="n">
        <v>0</v>
      </c>
      <c r="L731" s="7">
        <f>K731-I731</f>
        <v/>
      </c>
      <c r="M731" s="7">
        <f>IF(K731&lt;I731,"✕ INSUFFISANT",IF(K731&lt;I731*1.2,"⚠ STOCK FAIBLE","✓ COUVERT"))</f>
        <v/>
      </c>
      <c r="N731" s="7" t="inlineStr">
        <is>
          <t>BOS</t>
        </is>
      </c>
      <c r="O731" s="7" t="inlineStr">
        <is>
          <t>IMPORTANT</t>
        </is>
      </c>
      <c r="P731" s="7" t="inlineStr">
        <is>
          <t>31/08/2026 02:59</t>
        </is>
      </c>
    </row>
    <row r="732">
      <c r="A732" s="8" t="inlineStr">
        <is>
          <t>WHAP 8x8</t>
        </is>
      </c>
      <c r="B732" s="8" t="inlineStr">
        <is>
          <t>WHAP-0728</t>
        </is>
      </c>
      <c r="C732" s="8" t="inlineStr">
        <is>
          <t>ROU-0728</t>
        </is>
      </c>
      <c r="D732" s="8" t="inlineStr">
        <is>
          <t>entretoise de roue — ARG</t>
        </is>
      </c>
      <c r="E732" s="8" t="inlineStr">
        <is>
          <t>Roues et pneus</t>
        </is>
      </c>
      <c r="F732" s="8" t="inlineStr">
        <is>
          <t>Roues et pneus</t>
        </is>
      </c>
      <c r="G732" s="8" t="inlineStr">
        <is>
          <t>PIECE_VEHICULE</t>
        </is>
      </c>
      <c r="H732" s="8" t="n">
        <v>1</v>
      </c>
      <c r="I732" s="8">
        <f>H732*$D$3</f>
        <v/>
      </c>
      <c r="J732" s="8" t="inlineStr">
        <is>
          <t>unité</t>
        </is>
      </c>
      <c r="K732" s="8" t="n">
        <v>0</v>
      </c>
      <c r="L732" s="8">
        <f>K732-I732</f>
        <v/>
      </c>
      <c r="M732" s="8">
        <f>IF(K732&lt;I732,"✕ INSUFFISANT",IF(K732&lt;I732*1.2,"⚠ STOCK FAIBLE","✓ COUVERT"))</f>
        <v/>
      </c>
      <c r="N732" s="8" t="inlineStr">
        <is>
          <t>MAG</t>
        </is>
      </c>
      <c r="O732" s="8" t="inlineStr">
        <is>
          <t>IMPORTANT</t>
        </is>
      </c>
      <c r="P732" s="8" t="inlineStr">
        <is>
          <t>31/08/2026 02:59</t>
        </is>
      </c>
    </row>
    <row r="733">
      <c r="A733" s="7" t="inlineStr">
        <is>
          <t>WHAP 8x8</t>
        </is>
      </c>
      <c r="B733" s="7" t="inlineStr">
        <is>
          <t>WHAP-0729</t>
        </is>
      </c>
      <c r="C733" s="7" t="inlineStr">
        <is>
          <t>ROU-0729</t>
        </is>
      </c>
      <c r="D733" s="7" t="inlineStr">
        <is>
          <t>moyeu — ARG</t>
        </is>
      </c>
      <c r="E733" s="7" t="inlineStr">
        <is>
          <t>Roues et pneus</t>
        </is>
      </c>
      <c r="F733" s="7" t="inlineStr">
        <is>
          <t>Roues et pneus</t>
        </is>
      </c>
      <c r="G733" s="7" t="inlineStr">
        <is>
          <t>PIECE_VEHICULE</t>
        </is>
      </c>
      <c r="H733" s="7" t="n">
        <v>1</v>
      </c>
      <c r="I733" s="7">
        <f>H733*$D$3</f>
        <v/>
      </c>
      <c r="J733" s="7" t="inlineStr">
        <is>
          <t>unité</t>
        </is>
      </c>
      <c r="K733" s="7" t="n">
        <v>0</v>
      </c>
      <c r="L733" s="7">
        <f>K733-I733</f>
        <v/>
      </c>
      <c r="M733" s="7">
        <f>IF(K733&lt;I733,"✕ INSUFFISANT",IF(K733&lt;I733*1.2,"⚠ STOCK FAIBLE","✓ COUVERT"))</f>
        <v/>
      </c>
      <c r="N733" s="7" t="inlineStr">
        <is>
          <t>YZK</t>
        </is>
      </c>
      <c r="O733" s="7" t="inlineStr">
        <is>
          <t>IMPORTANT</t>
        </is>
      </c>
      <c r="P733" s="7" t="inlineStr">
        <is>
          <t>31/08/2026 02:59</t>
        </is>
      </c>
    </row>
    <row r="734">
      <c r="A734" s="8" t="inlineStr">
        <is>
          <t>WHAP 8x8</t>
        </is>
      </c>
      <c r="B734" s="8" t="inlineStr">
        <is>
          <t>WHAP-0730</t>
        </is>
      </c>
      <c r="C734" s="8" t="inlineStr">
        <is>
          <t>ROU-0730</t>
        </is>
      </c>
      <c r="D734" s="8" t="inlineStr">
        <is>
          <t>cache-moyeu — ARG</t>
        </is>
      </c>
      <c r="E734" s="8" t="inlineStr">
        <is>
          <t>Roues et pneus</t>
        </is>
      </c>
      <c r="F734" s="8" t="inlineStr">
        <is>
          <t>Roues et pneus</t>
        </is>
      </c>
      <c r="G734" s="8" t="inlineStr">
        <is>
          <t>PIECE_VEHICULE</t>
        </is>
      </c>
      <c r="H734" s="8" t="n">
        <v>1</v>
      </c>
      <c r="I734" s="8">
        <f>H734*$D$3</f>
        <v/>
      </c>
      <c r="J734" s="8" t="inlineStr">
        <is>
          <t>unité</t>
        </is>
      </c>
      <c r="K734" s="8" t="n">
        <v>0</v>
      </c>
      <c r="L734" s="8">
        <f>K734-I734</f>
        <v/>
      </c>
      <c r="M734" s="8">
        <f>IF(K734&lt;I734,"✕ INSUFFISANT",IF(K734&lt;I734*1.2,"⚠ STOCK FAIBLE","✓ COUVERT"))</f>
        <v/>
      </c>
      <c r="N734" s="8" t="inlineStr">
        <is>
          <t>YZK</t>
        </is>
      </c>
      <c r="O734" s="8" t="inlineStr">
        <is>
          <t>IMPORTANT</t>
        </is>
      </c>
      <c r="P734" s="8" t="inlineStr">
        <is>
          <t>31/08/2026 02:59</t>
        </is>
      </c>
    </row>
    <row r="735">
      <c r="A735" s="7" t="inlineStr">
        <is>
          <t>WHAP 8x8</t>
        </is>
      </c>
      <c r="B735" s="7" t="inlineStr">
        <is>
          <t>WHAP-0731</t>
        </is>
      </c>
      <c r="C735" s="7" t="inlineStr">
        <is>
          <t>ROU-0731</t>
        </is>
      </c>
      <c r="D735" s="7" t="inlineStr">
        <is>
          <t>joint de moyeu — ARG</t>
        </is>
      </c>
      <c r="E735" s="7" t="inlineStr">
        <is>
          <t>Roues et pneus</t>
        </is>
      </c>
      <c r="F735" s="7" t="inlineStr">
        <is>
          <t>Roues et pneus</t>
        </is>
      </c>
      <c r="G735" s="7" t="inlineStr">
        <is>
          <t>PIECE_VEHICULE</t>
        </is>
      </c>
      <c r="H735" s="7" t="n">
        <v>1</v>
      </c>
      <c r="I735" s="7">
        <f>H735*$D$3</f>
        <v/>
      </c>
      <c r="J735" s="7" t="inlineStr">
        <is>
          <t>unité</t>
        </is>
      </c>
      <c r="K735" s="7" t="n">
        <v>0</v>
      </c>
      <c r="L735" s="7">
        <f>K735-I735</f>
        <v/>
      </c>
      <c r="M735" s="7">
        <f>IF(K735&lt;I735,"✕ INSUFFISANT",IF(K735&lt;I735*1.2,"⚠ STOCK FAIBLE","✓ COUVERT"))</f>
        <v/>
      </c>
      <c r="N735" s="7" t="inlineStr">
        <is>
          <t>YZK</t>
        </is>
      </c>
      <c r="O735" s="7" t="inlineStr">
        <is>
          <t>IMPORTANT</t>
        </is>
      </c>
      <c r="P735" s="7" t="inlineStr">
        <is>
          <t>31/08/2026 02:59</t>
        </is>
      </c>
    </row>
    <row r="736">
      <c r="A736" s="8" t="inlineStr">
        <is>
          <t>WHAP 8x8</t>
        </is>
      </c>
      <c r="B736" s="8" t="inlineStr">
        <is>
          <t>WHAP-0732</t>
        </is>
      </c>
      <c r="C736" s="8" t="inlineStr">
        <is>
          <t>ROU-0732</t>
        </is>
      </c>
      <c r="D736" s="8" t="inlineStr">
        <is>
          <t>roulement de roue — ARG</t>
        </is>
      </c>
      <c r="E736" s="8" t="inlineStr">
        <is>
          <t>Roues et pneus</t>
        </is>
      </c>
      <c r="F736" s="8" t="inlineStr">
        <is>
          <t>Roues et pneus</t>
        </is>
      </c>
      <c r="G736" s="8" t="inlineStr">
        <is>
          <t>PIECE_VEHICULE</t>
        </is>
      </c>
      <c r="H736" s="8" t="n">
        <v>1</v>
      </c>
      <c r="I736" s="8">
        <f>H736*$D$3</f>
        <v/>
      </c>
      <c r="J736" s="8" t="inlineStr">
        <is>
          <t>unité</t>
        </is>
      </c>
      <c r="K736" s="8" t="n">
        <v>0</v>
      </c>
      <c r="L736" s="8">
        <f>K736-I736</f>
        <v/>
      </c>
      <c r="M736" s="8">
        <f>IF(K736&lt;I736,"✕ INSUFFISANT",IF(K736&lt;I736*1.2,"⚠ STOCK FAIBLE","✓ COUVERT"))</f>
        <v/>
      </c>
      <c r="N736" s="8" t="inlineStr">
        <is>
          <t>SKF</t>
        </is>
      </c>
      <c r="O736" s="8" t="inlineStr">
        <is>
          <t>IMPORTANT</t>
        </is>
      </c>
      <c r="P736" s="8" t="inlineStr">
        <is>
          <t>31/08/2026 02:59</t>
        </is>
      </c>
    </row>
    <row r="737">
      <c r="A737" s="7" t="inlineStr">
        <is>
          <t>WHAP 8x8</t>
        </is>
      </c>
      <c r="B737" s="7" t="inlineStr">
        <is>
          <t>WHAP-0733</t>
        </is>
      </c>
      <c r="C737" s="7" t="inlineStr">
        <is>
          <t>ROU-0733</t>
        </is>
      </c>
      <c r="D737" s="7" t="inlineStr">
        <is>
          <t>bague de roulement — ARG</t>
        </is>
      </c>
      <c r="E737" s="7" t="inlineStr">
        <is>
          <t>Roues et pneus</t>
        </is>
      </c>
      <c r="F737" s="7" t="inlineStr">
        <is>
          <t>Roues et pneus</t>
        </is>
      </c>
      <c r="G737" s="7" t="inlineStr">
        <is>
          <t>PIECE_VEHICULE</t>
        </is>
      </c>
      <c r="H737" s="7" t="n">
        <v>1</v>
      </c>
      <c r="I737" s="7">
        <f>H737*$D$3</f>
        <v/>
      </c>
      <c r="J737" s="7" t="inlineStr">
        <is>
          <t>unité</t>
        </is>
      </c>
      <c r="K737" s="7" t="n">
        <v>0</v>
      </c>
      <c r="L737" s="7">
        <f>K737-I737</f>
        <v/>
      </c>
      <c r="M737" s="7">
        <f>IF(K737&lt;I737,"✕ INSUFFISANT",IF(K737&lt;I737*1.2,"⚠ STOCK FAIBLE","✓ COUVERT"))</f>
        <v/>
      </c>
      <c r="N737" s="7" t="inlineStr">
        <is>
          <t>SKF</t>
        </is>
      </c>
      <c r="O737" s="7" t="inlineStr">
        <is>
          <t>IMPORTANT</t>
        </is>
      </c>
      <c r="P737" s="7" t="inlineStr">
        <is>
          <t>31/08/2026 02:59</t>
        </is>
      </c>
    </row>
    <row r="738">
      <c r="A738" s="8" t="inlineStr">
        <is>
          <t>WHAP 8x8</t>
        </is>
      </c>
      <c r="B738" s="8" t="inlineStr">
        <is>
          <t>WHAP-0734</t>
        </is>
      </c>
      <c r="C738" s="8" t="inlineStr">
        <is>
          <t>ROU-0734</t>
        </is>
      </c>
      <c r="D738" s="8" t="inlineStr">
        <is>
          <t>anneau de retenue — ARG</t>
        </is>
      </c>
      <c r="E738" s="8" t="inlineStr">
        <is>
          <t>Roues et pneus</t>
        </is>
      </c>
      <c r="F738" s="8" t="inlineStr">
        <is>
          <t>Roues et pneus</t>
        </is>
      </c>
      <c r="G738" s="8" t="inlineStr">
        <is>
          <t>PIECE_VEHICULE</t>
        </is>
      </c>
      <c r="H738" s="8" t="n">
        <v>1</v>
      </c>
      <c r="I738" s="8">
        <f>H738*$D$3</f>
        <v/>
      </c>
      <c r="J738" s="8" t="inlineStr">
        <is>
          <t>unité</t>
        </is>
      </c>
      <c r="K738" s="8" t="n">
        <v>0</v>
      </c>
      <c r="L738" s="8">
        <f>K738-I738</f>
        <v/>
      </c>
      <c r="M738" s="8">
        <f>IF(K738&lt;I738,"✕ INSUFFISANT",IF(K738&lt;I738*1.2,"⚠ STOCK FAIBLE","✓ COUVERT"))</f>
        <v/>
      </c>
      <c r="N738" s="8" t="inlineStr">
        <is>
          <t>BOS</t>
        </is>
      </c>
      <c r="O738" s="8" t="inlineStr">
        <is>
          <t>IMPORTANT</t>
        </is>
      </c>
      <c r="P738" s="8" t="inlineStr">
        <is>
          <t>31/08/2026 02:59</t>
        </is>
      </c>
    </row>
    <row r="739">
      <c r="A739" s="7" t="inlineStr">
        <is>
          <t>WHAP 8x8</t>
        </is>
      </c>
      <c r="B739" s="7" t="inlineStr">
        <is>
          <t>WHAP-0735</t>
        </is>
      </c>
      <c r="C739" s="7" t="inlineStr">
        <is>
          <t>ROU-0735</t>
        </is>
      </c>
      <c r="D739" s="7" t="inlineStr">
        <is>
          <t>disque de jante — ARG</t>
        </is>
      </c>
      <c r="E739" s="7" t="inlineStr">
        <is>
          <t>Roues et pneus</t>
        </is>
      </c>
      <c r="F739" s="7" t="inlineStr">
        <is>
          <t>Roues et pneus</t>
        </is>
      </c>
      <c r="G739" s="7" t="inlineStr">
        <is>
          <t>PIECE_VEHICULE</t>
        </is>
      </c>
      <c r="H739" s="7" t="n">
        <v>1</v>
      </c>
      <c r="I739" s="7">
        <f>H739*$D$3</f>
        <v/>
      </c>
      <c r="J739" s="7" t="inlineStr">
        <is>
          <t>unité</t>
        </is>
      </c>
      <c r="K739" s="7" t="n">
        <v>0</v>
      </c>
      <c r="L739" s="7">
        <f>K739-I739</f>
        <v/>
      </c>
      <c r="M739" s="7">
        <f>IF(K739&lt;I739,"✕ INSUFFISANT",IF(K739&lt;I739*1.2,"⚠ STOCK FAIBLE","✓ COUVERT"))</f>
        <v/>
      </c>
      <c r="N739" s="7" t="inlineStr">
        <is>
          <t>DEL</t>
        </is>
      </c>
      <c r="O739" s="7" t="inlineStr">
        <is>
          <t>IMPORTANT</t>
        </is>
      </c>
      <c r="P739" s="7" t="inlineStr">
        <is>
          <t>31/08/2026 02:59</t>
        </is>
      </c>
    </row>
    <row r="740">
      <c r="A740" s="8" t="inlineStr">
        <is>
          <t>WHAP 8x8</t>
        </is>
      </c>
      <c r="B740" s="8" t="inlineStr">
        <is>
          <t>WHAP-0736</t>
        </is>
      </c>
      <c r="C740" s="8" t="inlineStr">
        <is>
          <t>ROU-0736</t>
        </is>
      </c>
      <c r="D740" s="8" t="inlineStr">
        <is>
          <t>cerclage de jante — ARG</t>
        </is>
      </c>
      <c r="E740" s="8" t="inlineStr">
        <is>
          <t>Roues et pneus</t>
        </is>
      </c>
      <c r="F740" s="8" t="inlineStr">
        <is>
          <t>Roues et pneus</t>
        </is>
      </c>
      <c r="G740" s="8" t="inlineStr">
        <is>
          <t>PIECE_VEHICULE</t>
        </is>
      </c>
      <c r="H740" s="8" t="n">
        <v>1</v>
      </c>
      <c r="I740" s="8">
        <f>H740*$D$3</f>
        <v/>
      </c>
      <c r="J740" s="8" t="inlineStr">
        <is>
          <t>unité</t>
        </is>
      </c>
      <c r="K740" s="8" t="n">
        <v>0</v>
      </c>
      <c r="L740" s="8">
        <f>K740-I740</f>
        <v/>
      </c>
      <c r="M740" s="8">
        <f>IF(K740&lt;I740,"✕ INSUFFISANT",IF(K740&lt;I740*1.2,"⚠ STOCK FAIBLE","✓ COUVERT"))</f>
        <v/>
      </c>
      <c r="N740" s="8" t="inlineStr">
        <is>
          <t>VAL</t>
        </is>
      </c>
      <c r="O740" s="8" t="inlineStr">
        <is>
          <t>IMPORTANT</t>
        </is>
      </c>
      <c r="P740" s="8" t="inlineStr">
        <is>
          <t>31/08/2026 02:59</t>
        </is>
      </c>
    </row>
    <row r="741">
      <c r="A741" s="7" t="inlineStr">
        <is>
          <t>WHAP 8x8</t>
        </is>
      </c>
      <c r="B741" s="7" t="inlineStr">
        <is>
          <t>WHAP-0737</t>
        </is>
      </c>
      <c r="C741" s="7" t="inlineStr">
        <is>
          <t>ROU-0737</t>
        </is>
      </c>
      <c r="D741" s="7" t="inlineStr">
        <is>
          <t>système CTIS — ARG</t>
        </is>
      </c>
      <c r="E741" s="7" t="inlineStr">
        <is>
          <t>Roues et pneus</t>
        </is>
      </c>
      <c r="F741" s="7" t="inlineStr">
        <is>
          <t>Roues et pneus</t>
        </is>
      </c>
      <c r="G741" s="7" t="inlineStr">
        <is>
          <t>PIECE_VEHICULE</t>
        </is>
      </c>
      <c r="H741" s="7" t="n">
        <v>1</v>
      </c>
      <c r="I741" s="7">
        <f>H741*$D$3</f>
        <v/>
      </c>
      <c r="J741" s="7" t="inlineStr">
        <is>
          <t>unité</t>
        </is>
      </c>
      <c r="K741" s="7" t="n">
        <v>0</v>
      </c>
      <c r="L741" s="7">
        <f>K741-I741</f>
        <v/>
      </c>
      <c r="M741" s="7">
        <f>IF(K741&lt;I741,"✕ INSUFFISANT",IF(K741&lt;I741*1.2,"⚠ STOCK FAIBLE","✓ COUVERT"))</f>
        <v/>
      </c>
      <c r="N741" s="7" t="inlineStr">
        <is>
          <t>YZK</t>
        </is>
      </c>
      <c r="O741" s="7" t="inlineStr">
        <is>
          <t>IMPORTANT</t>
        </is>
      </c>
      <c r="P741" s="7" t="inlineStr">
        <is>
          <t>31/08/2026 02:59</t>
        </is>
      </c>
    </row>
    <row r="742">
      <c r="A742" s="8" t="inlineStr">
        <is>
          <t>WHAP 8x8</t>
        </is>
      </c>
      <c r="B742" s="8" t="inlineStr">
        <is>
          <t>WHAP-0738</t>
        </is>
      </c>
      <c r="C742" s="8" t="inlineStr">
        <is>
          <t>ROU-0738</t>
        </is>
      </c>
      <c r="D742" s="8" t="inlineStr">
        <is>
          <t>rotor CTIS — ARG</t>
        </is>
      </c>
      <c r="E742" s="8" t="inlineStr">
        <is>
          <t>Roues et pneus</t>
        </is>
      </c>
      <c r="F742" s="8" t="inlineStr">
        <is>
          <t>Roues et pneus</t>
        </is>
      </c>
      <c r="G742" s="8" t="inlineStr">
        <is>
          <t>PIECE_VEHICULE</t>
        </is>
      </c>
      <c r="H742" s="8" t="n">
        <v>1</v>
      </c>
      <c r="I742" s="8">
        <f>H742*$D$3</f>
        <v/>
      </c>
      <c r="J742" s="8" t="inlineStr">
        <is>
          <t>unité</t>
        </is>
      </c>
      <c r="K742" s="8" t="n">
        <v>0</v>
      </c>
      <c r="L742" s="8">
        <f>K742-I742</f>
        <v/>
      </c>
      <c r="M742" s="8">
        <f>IF(K742&lt;I742,"✕ INSUFFISANT",IF(K742&lt;I742*1.2,"⚠ STOCK FAIBLE","✓ COUVERT"))</f>
        <v/>
      </c>
      <c r="N742" s="8" t="inlineStr">
        <is>
          <t>HEL</t>
        </is>
      </c>
      <c r="O742" s="8" t="inlineStr">
        <is>
          <t>IMPORTANT</t>
        </is>
      </c>
      <c r="P742" s="8" t="inlineStr">
        <is>
          <t>31/08/2026 02:59</t>
        </is>
      </c>
    </row>
    <row r="743">
      <c r="A743" s="7" t="inlineStr">
        <is>
          <t>WHAP 8x8</t>
        </is>
      </c>
      <c r="B743" s="7" t="inlineStr">
        <is>
          <t>WHAP-0739</t>
        </is>
      </c>
      <c r="C743" s="7" t="inlineStr">
        <is>
          <t>ROU-0739</t>
        </is>
      </c>
      <c r="D743" s="7" t="inlineStr">
        <is>
          <t>joint tournant CTIS — ARG</t>
        </is>
      </c>
      <c r="E743" s="7" t="inlineStr">
        <is>
          <t>Roues et pneus</t>
        </is>
      </c>
      <c r="F743" s="7" t="inlineStr">
        <is>
          <t>Roues et pneus</t>
        </is>
      </c>
      <c r="G743" s="7" t="inlineStr">
        <is>
          <t>PIECE_VEHICULE</t>
        </is>
      </c>
      <c r="H743" s="7" t="n">
        <v>1</v>
      </c>
      <c r="I743" s="7">
        <f>H743*$D$3</f>
        <v/>
      </c>
      <c r="J743" s="7" t="inlineStr">
        <is>
          <t>unité</t>
        </is>
      </c>
      <c r="K743" s="7" t="n">
        <v>0</v>
      </c>
      <c r="L743" s="7">
        <f>K743-I743</f>
        <v/>
      </c>
      <c r="M743" s="7">
        <f>IF(K743&lt;I743,"✕ INSUFFISANT",IF(K743&lt;I743*1.2,"⚠ STOCK FAIBLE","✓ COUVERT"))</f>
        <v/>
      </c>
      <c r="N743" s="7" t="inlineStr">
        <is>
          <t>SUM</t>
        </is>
      </c>
      <c r="O743" s="7" t="inlineStr">
        <is>
          <t>IMPORTANT</t>
        </is>
      </c>
      <c r="P743" s="7" t="inlineStr">
        <is>
          <t>31/08/2026 02:59</t>
        </is>
      </c>
    </row>
    <row r="744">
      <c r="A744" s="8" t="inlineStr">
        <is>
          <t>WHAP 8x8</t>
        </is>
      </c>
      <c r="B744" s="8" t="inlineStr">
        <is>
          <t>WHAP-0740</t>
        </is>
      </c>
      <c r="C744" s="8" t="inlineStr">
        <is>
          <t>ROU-0740</t>
        </is>
      </c>
      <c r="D744" s="8" t="inlineStr">
        <is>
          <t>flexible CTIS — ARG</t>
        </is>
      </c>
      <c r="E744" s="8" t="inlineStr">
        <is>
          <t>Roues et pneus</t>
        </is>
      </c>
      <c r="F744" s="8" t="inlineStr">
        <is>
          <t>Roues et pneus</t>
        </is>
      </c>
      <c r="G744" s="8" t="inlineStr">
        <is>
          <t>PIECE_VEHICULE</t>
        </is>
      </c>
      <c r="H744" s="8" t="n">
        <v>1</v>
      </c>
      <c r="I744" s="8">
        <f>H744*$D$3</f>
        <v/>
      </c>
      <c r="J744" s="8" t="inlineStr">
        <is>
          <t>unité</t>
        </is>
      </c>
      <c r="K744" s="8" t="n">
        <v>0</v>
      </c>
      <c r="L744" s="8">
        <f>K744-I744</f>
        <v/>
      </c>
      <c r="M744" s="8">
        <f>IF(K744&lt;I744,"✕ INSUFFISANT",IF(K744&lt;I744*1.2,"⚠ STOCK FAIBLE","✓ COUVERT"))</f>
        <v/>
      </c>
      <c r="N744" s="8" t="inlineStr">
        <is>
          <t>VAL</t>
        </is>
      </c>
      <c r="O744" s="8" t="inlineStr">
        <is>
          <t>IMPORTANT</t>
        </is>
      </c>
      <c r="P744" s="8" t="inlineStr">
        <is>
          <t>31/08/2026 02:59</t>
        </is>
      </c>
    </row>
    <row r="745">
      <c r="A745" s="7" t="inlineStr">
        <is>
          <t>WHAP 8x8</t>
        </is>
      </c>
      <c r="B745" s="7" t="inlineStr">
        <is>
          <t>WHAP-0741</t>
        </is>
      </c>
      <c r="C745" s="7" t="inlineStr">
        <is>
          <t>ROU-0741</t>
        </is>
      </c>
      <c r="D745" s="7" t="inlineStr">
        <is>
          <t>raccord CTIS — ARG</t>
        </is>
      </c>
      <c r="E745" s="7" t="inlineStr">
        <is>
          <t>Roues et pneus</t>
        </is>
      </c>
      <c r="F745" s="7" t="inlineStr">
        <is>
          <t>Roues et pneus</t>
        </is>
      </c>
      <c r="G745" s="7" t="inlineStr">
        <is>
          <t>PIECE_VEHICULE</t>
        </is>
      </c>
      <c r="H745" s="7" t="n">
        <v>1</v>
      </c>
      <c r="I745" s="7">
        <f>H745*$D$3</f>
        <v/>
      </c>
      <c r="J745" s="7" t="inlineStr">
        <is>
          <t>unité</t>
        </is>
      </c>
      <c r="K745" s="7" t="n">
        <v>0</v>
      </c>
      <c r="L745" s="7">
        <f>K745-I745</f>
        <v/>
      </c>
      <c r="M745" s="7">
        <f>IF(K745&lt;I745,"✕ INSUFFISANT",IF(K745&lt;I745*1.2,"⚠ STOCK FAIBLE","✓ COUVERT"))</f>
        <v/>
      </c>
      <c r="N745" s="7" t="inlineStr">
        <is>
          <t>MAG</t>
        </is>
      </c>
      <c r="O745" s="7" t="inlineStr">
        <is>
          <t>IMPORTANT</t>
        </is>
      </c>
      <c r="P745" s="7" t="inlineStr">
        <is>
          <t>31/08/2026 02:59</t>
        </is>
      </c>
    </row>
    <row r="746">
      <c r="A746" s="8" t="inlineStr">
        <is>
          <t>WHAP 8x8</t>
        </is>
      </c>
      <c r="B746" s="8" t="inlineStr">
        <is>
          <t>WHAP-0742</t>
        </is>
      </c>
      <c r="C746" s="8" t="inlineStr">
        <is>
          <t>ROU-0742</t>
        </is>
      </c>
      <c r="D746" s="8" t="inlineStr">
        <is>
          <t>valve CTIS — ARG</t>
        </is>
      </c>
      <c r="E746" s="8" t="inlineStr">
        <is>
          <t>Roues et pneus</t>
        </is>
      </c>
      <c r="F746" s="8" t="inlineStr">
        <is>
          <t>Roues et pneus</t>
        </is>
      </c>
      <c r="G746" s="8" t="inlineStr">
        <is>
          <t>PIECE_VEHICULE</t>
        </is>
      </c>
      <c r="H746" s="8" t="n">
        <v>1</v>
      </c>
      <c r="I746" s="8">
        <f>H746*$D$3</f>
        <v/>
      </c>
      <c r="J746" s="8" t="inlineStr">
        <is>
          <t>unité</t>
        </is>
      </c>
      <c r="K746" s="8" t="n">
        <v>0</v>
      </c>
      <c r="L746" s="8">
        <f>K746-I746</f>
        <v/>
      </c>
      <c r="M746" s="8">
        <f>IF(K746&lt;I746,"✕ INSUFFISANT",IF(K746&lt;I746*1.2,"⚠ STOCK FAIBLE","✓ COUVERT"))</f>
        <v/>
      </c>
      <c r="N746" s="8" t="inlineStr">
        <is>
          <t>MAG</t>
        </is>
      </c>
      <c r="O746" s="8" t="inlineStr">
        <is>
          <t>IMPORTANT</t>
        </is>
      </c>
      <c r="P746" s="8" t="inlineStr">
        <is>
          <t>31/08/2026 02:59</t>
        </is>
      </c>
    </row>
    <row r="747">
      <c r="A747" s="7" t="inlineStr">
        <is>
          <t>WHAP 8x8</t>
        </is>
      </c>
      <c r="B747" s="7" t="inlineStr">
        <is>
          <t>WHAP-0743</t>
        </is>
      </c>
      <c r="C747" s="7" t="inlineStr">
        <is>
          <t>ROU-0743</t>
        </is>
      </c>
      <c r="D747" s="7" t="inlineStr">
        <is>
          <t>manomètre CTIS — ARG</t>
        </is>
      </c>
      <c r="E747" s="7" t="inlineStr">
        <is>
          <t>Roues et pneus</t>
        </is>
      </c>
      <c r="F747" s="7" t="inlineStr">
        <is>
          <t>Roues et pneus</t>
        </is>
      </c>
      <c r="G747" s="7" t="inlineStr">
        <is>
          <t>PIECE_VEHICULE</t>
        </is>
      </c>
      <c r="H747" s="7" t="n">
        <v>1</v>
      </c>
      <c r="I747" s="7">
        <f>H747*$D$3</f>
        <v/>
      </c>
      <c r="J747" s="7" t="inlineStr">
        <is>
          <t>unité</t>
        </is>
      </c>
      <c r="K747" s="7" t="n">
        <v>0</v>
      </c>
      <c r="L747" s="7">
        <f>K747-I747</f>
        <v/>
      </c>
      <c r="M747" s="7">
        <f>IF(K747&lt;I747,"✕ INSUFFISANT",IF(K747&lt;I747*1.2,"⚠ STOCK FAIBLE","✓ COUVERT"))</f>
        <v/>
      </c>
      <c r="N747" s="7" t="inlineStr">
        <is>
          <t>BOS</t>
        </is>
      </c>
      <c r="O747" s="7" t="inlineStr">
        <is>
          <t>IMPORTANT</t>
        </is>
      </c>
      <c r="P747" s="7" t="inlineStr">
        <is>
          <t>31/08/2026 02:59</t>
        </is>
      </c>
    </row>
    <row r="748">
      <c r="A748" s="8" t="inlineStr">
        <is>
          <t>WHAP 8x8</t>
        </is>
      </c>
      <c r="B748" s="8" t="inlineStr">
        <is>
          <t>WHAP-0744</t>
        </is>
      </c>
      <c r="C748" s="8" t="inlineStr">
        <is>
          <t>ROU-0744</t>
        </is>
      </c>
      <c r="D748" s="8" t="inlineStr">
        <is>
          <t>bloc distributeur CTIS — ARG</t>
        </is>
      </c>
      <c r="E748" s="8" t="inlineStr">
        <is>
          <t>Roues et pneus</t>
        </is>
      </c>
      <c r="F748" s="8" t="inlineStr">
        <is>
          <t>Roues et pneus</t>
        </is>
      </c>
      <c r="G748" s="8" t="inlineStr">
        <is>
          <t>PIECE_VEHICULE</t>
        </is>
      </c>
      <c r="H748" s="8" t="n">
        <v>1</v>
      </c>
      <c r="I748" s="8">
        <f>H748*$D$3</f>
        <v/>
      </c>
      <c r="J748" s="8" t="inlineStr">
        <is>
          <t>unité</t>
        </is>
      </c>
      <c r="K748" s="8" t="n">
        <v>0</v>
      </c>
      <c r="L748" s="8">
        <f>K748-I748</f>
        <v/>
      </c>
      <c r="M748" s="8">
        <f>IF(K748&lt;I748,"✕ INSUFFISANT",IF(K748&lt;I748*1.2,"⚠ STOCK FAIBLE","✓ COUVERT"))</f>
        <v/>
      </c>
      <c r="N748" s="8" t="inlineStr">
        <is>
          <t>DEL</t>
        </is>
      </c>
      <c r="O748" s="8" t="inlineStr">
        <is>
          <t>IMPORTANT</t>
        </is>
      </c>
      <c r="P748" s="8" t="inlineStr">
        <is>
          <t>31/08/2026 02:59</t>
        </is>
      </c>
    </row>
    <row r="749">
      <c r="A749" s="7" t="inlineStr">
        <is>
          <t>WHAP 8x8</t>
        </is>
      </c>
      <c r="B749" s="7" t="inlineStr">
        <is>
          <t>WHAP-0745</t>
        </is>
      </c>
      <c r="C749" s="7" t="inlineStr">
        <is>
          <t>ROU-0745</t>
        </is>
      </c>
      <c r="D749" s="7" t="inlineStr">
        <is>
          <t>jante — ARD</t>
        </is>
      </c>
      <c r="E749" s="7" t="inlineStr">
        <is>
          <t>Roues et pneus</t>
        </is>
      </c>
      <c r="F749" s="7" t="inlineStr">
        <is>
          <t>Roues et pneus</t>
        </is>
      </c>
      <c r="G749" s="7" t="inlineStr">
        <is>
          <t>PIECE_VEHICULE</t>
        </is>
      </c>
      <c r="H749" s="7" t="n">
        <v>1</v>
      </c>
      <c r="I749" s="7">
        <f>H749*$D$3</f>
        <v/>
      </c>
      <c r="J749" s="7" t="inlineStr">
        <is>
          <t>unité</t>
        </is>
      </c>
      <c r="K749" s="7" t="n">
        <v>0</v>
      </c>
      <c r="L749" s="7">
        <f>K749-I749</f>
        <v/>
      </c>
      <c r="M749" s="7">
        <f>IF(K749&lt;I749,"✕ INSUFFISANT",IF(K749&lt;I749*1.2,"⚠ STOCK FAIBLE","✓ COUVERT"))</f>
        <v/>
      </c>
      <c r="N749" s="7" t="inlineStr">
        <is>
          <t>FAU</t>
        </is>
      </c>
      <c r="O749" s="7" t="inlineStr">
        <is>
          <t>IMPORTANT</t>
        </is>
      </c>
      <c r="P749" s="7" t="inlineStr">
        <is>
          <t>31/08/2026 02:59</t>
        </is>
      </c>
    </row>
    <row r="750">
      <c r="A750" s="8" t="inlineStr">
        <is>
          <t>WHAP 8x8</t>
        </is>
      </c>
      <c r="B750" s="8" t="inlineStr">
        <is>
          <t>WHAP-0746</t>
        </is>
      </c>
      <c r="C750" s="8" t="inlineStr">
        <is>
          <t>ROU-0746</t>
        </is>
      </c>
      <c r="D750" s="8" t="inlineStr">
        <is>
          <t>roue complète — ARD</t>
        </is>
      </c>
      <c r="E750" s="8" t="inlineStr">
        <is>
          <t>Roues et pneus</t>
        </is>
      </c>
      <c r="F750" s="8" t="inlineStr">
        <is>
          <t>Roues et pneus</t>
        </is>
      </c>
      <c r="G750" s="8" t="inlineStr">
        <is>
          <t>PIECE_VEHICULE</t>
        </is>
      </c>
      <c r="H750" s="8" t="n">
        <v>1</v>
      </c>
      <c r="I750" s="8">
        <f>H750*$D$3</f>
        <v/>
      </c>
      <c r="J750" s="8" t="inlineStr">
        <is>
          <t>unité</t>
        </is>
      </c>
      <c r="K750" s="8" t="n">
        <v>0</v>
      </c>
      <c r="L750" s="8">
        <f>K750-I750</f>
        <v/>
      </c>
      <c r="M750" s="8">
        <f>IF(K750&lt;I750,"✕ INSUFFISANT",IF(K750&lt;I750*1.2,"⚠ STOCK FAIBLE","✓ COUVERT"))</f>
        <v/>
      </c>
      <c r="N750" s="8" t="inlineStr">
        <is>
          <t>YZK</t>
        </is>
      </c>
      <c r="O750" s="8" t="inlineStr">
        <is>
          <t>IMPORTANT</t>
        </is>
      </c>
      <c r="P750" s="8" t="inlineStr">
        <is>
          <t>31/08/2026 02:59</t>
        </is>
      </c>
    </row>
    <row r="751">
      <c r="A751" s="7" t="inlineStr">
        <is>
          <t>WHAP 8x8</t>
        </is>
      </c>
      <c r="B751" s="7" t="inlineStr">
        <is>
          <t>WHAP-0747</t>
        </is>
      </c>
      <c r="C751" s="7" t="inlineStr">
        <is>
          <t>ROU-0747</t>
        </is>
      </c>
      <c r="D751" s="7" t="inlineStr">
        <is>
          <t>pneu — ARD</t>
        </is>
      </c>
      <c r="E751" s="7" t="inlineStr">
        <is>
          <t>Roues et pneus</t>
        </is>
      </c>
      <c r="F751" s="7" t="inlineStr">
        <is>
          <t>Roues et pneus</t>
        </is>
      </c>
      <c r="G751" s="7" t="inlineStr">
        <is>
          <t>PIECE_VEHICULE</t>
        </is>
      </c>
      <c r="H751" s="7" t="n">
        <v>1</v>
      </c>
      <c r="I751" s="7">
        <f>H751*$D$3</f>
        <v/>
      </c>
      <c r="J751" s="7" t="inlineStr">
        <is>
          <t>unité</t>
        </is>
      </c>
      <c r="K751" s="7" t="n">
        <v>0</v>
      </c>
      <c r="L751" s="7">
        <f>K751-I751</f>
        <v/>
      </c>
      <c r="M751" s="7">
        <f>IF(K751&lt;I751,"✕ INSUFFISANT",IF(K751&lt;I751*1.2,"⚠ STOCK FAIBLE","✓ COUVERT"))</f>
        <v/>
      </c>
      <c r="N751" s="7" t="inlineStr">
        <is>
          <t>MAG</t>
        </is>
      </c>
      <c r="O751" s="7" t="inlineStr">
        <is>
          <t>IMPORTANT</t>
        </is>
      </c>
      <c r="P751" s="7" t="inlineStr">
        <is>
          <t>31/08/2026 02:59</t>
        </is>
      </c>
    </row>
    <row r="752">
      <c r="A752" s="8" t="inlineStr">
        <is>
          <t>WHAP 8x8</t>
        </is>
      </c>
      <c r="B752" s="8" t="inlineStr">
        <is>
          <t>WHAP-0748</t>
        </is>
      </c>
      <c r="C752" s="8" t="inlineStr">
        <is>
          <t>ROU-0748</t>
        </is>
      </c>
      <c r="D752" s="8" t="inlineStr">
        <is>
          <t>insert run-flat — ARD</t>
        </is>
      </c>
      <c r="E752" s="8" t="inlineStr">
        <is>
          <t>Roues et pneus</t>
        </is>
      </c>
      <c r="F752" s="8" t="inlineStr">
        <is>
          <t>Roues et pneus</t>
        </is>
      </c>
      <c r="G752" s="8" t="inlineStr">
        <is>
          <t>PIECE_VEHICULE</t>
        </is>
      </c>
      <c r="H752" s="8" t="n">
        <v>1</v>
      </c>
      <c r="I752" s="8">
        <f>H752*$D$3</f>
        <v/>
      </c>
      <c r="J752" s="8" t="inlineStr">
        <is>
          <t>unité</t>
        </is>
      </c>
      <c r="K752" s="8" t="n">
        <v>0</v>
      </c>
      <c r="L752" s="8">
        <f>K752-I752</f>
        <v/>
      </c>
      <c r="M752" s="8">
        <f>IF(K752&lt;I752,"✕ INSUFFISANT",IF(K752&lt;I752*1.2,"⚠ STOCK FAIBLE","✓ COUVERT"))</f>
        <v/>
      </c>
      <c r="N752" s="8" t="inlineStr">
        <is>
          <t>YZK</t>
        </is>
      </c>
      <c r="O752" s="8" t="inlineStr">
        <is>
          <t>IMPORTANT</t>
        </is>
      </c>
      <c r="P752" s="8" t="inlineStr">
        <is>
          <t>31/08/2026 02:59</t>
        </is>
      </c>
    </row>
    <row r="753">
      <c r="A753" s="7" t="inlineStr">
        <is>
          <t>WHAP 8x8</t>
        </is>
      </c>
      <c r="B753" s="7" t="inlineStr">
        <is>
          <t>WHAP-0749</t>
        </is>
      </c>
      <c r="C753" s="7" t="inlineStr">
        <is>
          <t>ROU-0749</t>
        </is>
      </c>
      <c r="D753" s="7" t="inlineStr">
        <is>
          <t>valve de pneu — ARD</t>
        </is>
      </c>
      <c r="E753" s="7" t="inlineStr">
        <is>
          <t>Roues et pneus</t>
        </is>
      </c>
      <c r="F753" s="7" t="inlineStr">
        <is>
          <t>Roues et pneus</t>
        </is>
      </c>
      <c r="G753" s="7" t="inlineStr">
        <is>
          <t>PIECE_VEHICULE</t>
        </is>
      </c>
      <c r="H753" s="7" t="n">
        <v>1</v>
      </c>
      <c r="I753" s="7">
        <f>H753*$D$3</f>
        <v/>
      </c>
      <c r="J753" s="7" t="inlineStr">
        <is>
          <t>unité</t>
        </is>
      </c>
      <c r="K753" s="7" t="n">
        <v>0</v>
      </c>
      <c r="L753" s="7">
        <f>K753-I753</f>
        <v/>
      </c>
      <c r="M753" s="7">
        <f>IF(K753&lt;I753,"✕ INSUFFISANT",IF(K753&lt;I753*1.2,"⚠ STOCK FAIBLE","✓ COUVERT"))</f>
        <v/>
      </c>
      <c r="N753" s="7" t="inlineStr">
        <is>
          <t>DEL</t>
        </is>
      </c>
      <c r="O753" s="7" t="inlineStr">
        <is>
          <t>IMPORTANT</t>
        </is>
      </c>
      <c r="P753" s="7" t="inlineStr">
        <is>
          <t>31/08/2026 02:59</t>
        </is>
      </c>
    </row>
    <row r="754">
      <c r="A754" s="8" t="inlineStr">
        <is>
          <t>WHAP 8x8</t>
        </is>
      </c>
      <c r="B754" s="8" t="inlineStr">
        <is>
          <t>WHAP-0750</t>
        </is>
      </c>
      <c r="C754" s="8" t="inlineStr">
        <is>
          <t>ROU-0750</t>
        </is>
      </c>
      <c r="D754" s="8" t="inlineStr">
        <is>
          <t>capteur pression pneu — ARD</t>
        </is>
      </c>
      <c r="E754" s="8" t="inlineStr">
        <is>
          <t>Roues et pneus</t>
        </is>
      </c>
      <c r="F754" s="8" t="inlineStr">
        <is>
          <t>Roues et pneus</t>
        </is>
      </c>
      <c r="G754" s="8" t="inlineStr">
        <is>
          <t>PIECE_VEHICULE</t>
        </is>
      </c>
      <c r="H754" s="8" t="n">
        <v>1</v>
      </c>
      <c r="I754" s="8">
        <f>H754*$D$3</f>
        <v/>
      </c>
      <c r="J754" s="8" t="inlineStr">
        <is>
          <t>unité</t>
        </is>
      </c>
      <c r="K754" s="8" t="n">
        <v>0</v>
      </c>
      <c r="L754" s="8">
        <f>K754-I754</f>
        <v/>
      </c>
      <c r="M754" s="8">
        <f>IF(K754&lt;I754,"✕ INSUFFISANT",IF(K754&lt;I754*1.2,"⚠ STOCK FAIBLE","✓ COUVERT"))</f>
        <v/>
      </c>
      <c r="N754" s="8" t="inlineStr">
        <is>
          <t>HEL</t>
        </is>
      </c>
      <c r="O754" s="8" t="inlineStr">
        <is>
          <t>IMPORTANT</t>
        </is>
      </c>
      <c r="P754" s="8" t="inlineStr">
        <is>
          <t>31/08/2026 02:59</t>
        </is>
      </c>
    </row>
    <row r="755">
      <c r="A755" s="7" t="inlineStr">
        <is>
          <t>WHAP 8x8</t>
        </is>
      </c>
      <c r="B755" s="7" t="inlineStr">
        <is>
          <t>WHAP-0751</t>
        </is>
      </c>
      <c r="C755" s="7" t="inlineStr">
        <is>
          <t>ROU-0751</t>
        </is>
      </c>
      <c r="D755" s="7" t="inlineStr">
        <is>
          <t>écrou de roue — ARD</t>
        </is>
      </c>
      <c r="E755" s="7" t="inlineStr">
        <is>
          <t>Roues et pneus</t>
        </is>
      </c>
      <c r="F755" s="7" t="inlineStr">
        <is>
          <t>Roues et pneus</t>
        </is>
      </c>
      <c r="G755" s="7" t="inlineStr">
        <is>
          <t>PIECE_VEHICULE</t>
        </is>
      </c>
      <c r="H755" s="7" t="n">
        <v>1</v>
      </c>
      <c r="I755" s="7">
        <f>H755*$D$3</f>
        <v/>
      </c>
      <c r="J755" s="7" t="inlineStr">
        <is>
          <t>unité</t>
        </is>
      </c>
      <c r="K755" s="7" t="n">
        <v>0</v>
      </c>
      <c r="L755" s="7">
        <f>K755-I755</f>
        <v/>
      </c>
      <c r="M755" s="7">
        <f>IF(K755&lt;I755,"✕ INSUFFISANT",IF(K755&lt;I755*1.2,"⚠ STOCK FAIBLE","✓ COUVERT"))</f>
        <v/>
      </c>
      <c r="N755" s="7" t="inlineStr">
        <is>
          <t>YZK</t>
        </is>
      </c>
      <c r="O755" s="7" t="inlineStr">
        <is>
          <t>IMPORTANT</t>
        </is>
      </c>
      <c r="P755" s="7" t="inlineStr">
        <is>
          <t>31/08/2026 02:59</t>
        </is>
      </c>
    </row>
    <row r="756">
      <c r="A756" s="8" t="inlineStr">
        <is>
          <t>WHAP 8x8</t>
        </is>
      </c>
      <c r="B756" s="8" t="inlineStr">
        <is>
          <t>WHAP-0752</t>
        </is>
      </c>
      <c r="C756" s="8" t="inlineStr">
        <is>
          <t>ROU-0752</t>
        </is>
      </c>
      <c r="D756" s="8" t="inlineStr">
        <is>
          <t>goujon de roue — ARD</t>
        </is>
      </c>
      <c r="E756" s="8" t="inlineStr">
        <is>
          <t>Roues et pneus</t>
        </is>
      </c>
      <c r="F756" s="8" t="inlineStr">
        <is>
          <t>Roues et pneus</t>
        </is>
      </c>
      <c r="G756" s="8" t="inlineStr">
        <is>
          <t>PIECE_VEHICULE</t>
        </is>
      </c>
      <c r="H756" s="8" t="n">
        <v>1</v>
      </c>
      <c r="I756" s="8">
        <f>H756*$D$3</f>
        <v/>
      </c>
      <c r="J756" s="8" t="inlineStr">
        <is>
          <t>unité</t>
        </is>
      </c>
      <c r="K756" s="8" t="n">
        <v>0</v>
      </c>
      <c r="L756" s="8">
        <f>K756-I756</f>
        <v/>
      </c>
      <c r="M756" s="8">
        <f>IF(K756&lt;I756,"✕ INSUFFISANT",IF(K756&lt;I756*1.2,"⚠ STOCK FAIBLE","✓ COUVERT"))</f>
        <v/>
      </c>
      <c r="N756" s="8" t="inlineStr">
        <is>
          <t>DEL</t>
        </is>
      </c>
      <c r="O756" s="8" t="inlineStr">
        <is>
          <t>IMPORTANT</t>
        </is>
      </c>
      <c r="P756" s="8" t="inlineStr">
        <is>
          <t>31/08/2026 02:59</t>
        </is>
      </c>
    </row>
    <row r="757">
      <c r="A757" s="7" t="inlineStr">
        <is>
          <t>WHAP 8x8</t>
        </is>
      </c>
      <c r="B757" s="7" t="inlineStr">
        <is>
          <t>WHAP-0753</t>
        </is>
      </c>
      <c r="C757" s="7" t="inlineStr">
        <is>
          <t>ROU-0753</t>
        </is>
      </c>
      <c r="D757" s="7" t="inlineStr">
        <is>
          <t>entretoise de roue — ARD</t>
        </is>
      </c>
      <c r="E757" s="7" t="inlineStr">
        <is>
          <t>Roues et pneus</t>
        </is>
      </c>
      <c r="F757" s="7" t="inlineStr">
        <is>
          <t>Roues et pneus</t>
        </is>
      </c>
      <c r="G757" s="7" t="inlineStr">
        <is>
          <t>PIECE_VEHICULE</t>
        </is>
      </c>
      <c r="H757" s="7" t="n">
        <v>1</v>
      </c>
      <c r="I757" s="7">
        <f>H757*$D$3</f>
        <v/>
      </c>
      <c r="J757" s="7" t="inlineStr">
        <is>
          <t>unité</t>
        </is>
      </c>
      <c r="K757" s="7" t="n">
        <v>0</v>
      </c>
      <c r="L757" s="7">
        <f>K757-I757</f>
        <v/>
      </c>
      <c r="M757" s="7">
        <f>IF(K757&lt;I757,"✕ INSUFFISANT",IF(K757&lt;I757*1.2,"⚠ STOCK FAIBLE","✓ COUVERT"))</f>
        <v/>
      </c>
      <c r="N757" s="7" t="inlineStr">
        <is>
          <t>HEL</t>
        </is>
      </c>
      <c r="O757" s="7" t="inlineStr">
        <is>
          <t>IMPORTANT</t>
        </is>
      </c>
      <c r="P757" s="7" t="inlineStr">
        <is>
          <t>31/08/2026 02:59</t>
        </is>
      </c>
    </row>
    <row r="758">
      <c r="A758" s="8" t="inlineStr">
        <is>
          <t>WHAP 8x8</t>
        </is>
      </c>
      <c r="B758" s="8" t="inlineStr">
        <is>
          <t>WHAP-0754</t>
        </is>
      </c>
      <c r="C758" s="8" t="inlineStr">
        <is>
          <t>ROU-0754</t>
        </is>
      </c>
      <c r="D758" s="8" t="inlineStr">
        <is>
          <t>moyeu — ARD</t>
        </is>
      </c>
      <c r="E758" s="8" t="inlineStr">
        <is>
          <t>Roues et pneus</t>
        </is>
      </c>
      <c r="F758" s="8" t="inlineStr">
        <is>
          <t>Roues et pneus</t>
        </is>
      </c>
      <c r="G758" s="8" t="inlineStr">
        <is>
          <t>PIECE_VEHICULE</t>
        </is>
      </c>
      <c r="H758" s="8" t="n">
        <v>1</v>
      </c>
      <c r="I758" s="8">
        <f>H758*$D$3</f>
        <v/>
      </c>
      <c r="J758" s="8" t="inlineStr">
        <is>
          <t>unité</t>
        </is>
      </c>
      <c r="K758" s="8" t="n">
        <v>0</v>
      </c>
      <c r="L758" s="8">
        <f>K758-I758</f>
        <v/>
      </c>
      <c r="M758" s="8">
        <f>IF(K758&lt;I758,"✕ INSUFFISANT",IF(K758&lt;I758*1.2,"⚠ STOCK FAIBLE","✓ COUVERT"))</f>
        <v/>
      </c>
      <c r="N758" s="8" t="inlineStr">
        <is>
          <t>SKF</t>
        </is>
      </c>
      <c r="O758" s="8" t="inlineStr">
        <is>
          <t>IMPORTANT</t>
        </is>
      </c>
      <c r="P758" s="8" t="inlineStr">
        <is>
          <t>31/08/2026 02:59</t>
        </is>
      </c>
    </row>
    <row r="759">
      <c r="A759" s="7" t="inlineStr">
        <is>
          <t>WHAP 8x8</t>
        </is>
      </c>
      <c r="B759" s="7" t="inlineStr">
        <is>
          <t>WHAP-0755</t>
        </is>
      </c>
      <c r="C759" s="7" t="inlineStr">
        <is>
          <t>ROU-0755</t>
        </is>
      </c>
      <c r="D759" s="7" t="inlineStr">
        <is>
          <t>cache-moyeu — ARD</t>
        </is>
      </c>
      <c r="E759" s="7" t="inlineStr">
        <is>
          <t>Roues et pneus</t>
        </is>
      </c>
      <c r="F759" s="7" t="inlineStr">
        <is>
          <t>Roues et pneus</t>
        </is>
      </c>
      <c r="G759" s="7" t="inlineStr">
        <is>
          <t>PIECE_VEHICULE</t>
        </is>
      </c>
      <c r="H759" s="7" t="n">
        <v>1</v>
      </c>
      <c r="I759" s="7">
        <f>H759*$D$3</f>
        <v/>
      </c>
      <c r="J759" s="7" t="inlineStr">
        <is>
          <t>unité</t>
        </is>
      </c>
      <c r="K759" s="7" t="n">
        <v>0</v>
      </c>
      <c r="L759" s="7">
        <f>K759-I759</f>
        <v/>
      </c>
      <c r="M759" s="7">
        <f>IF(K759&lt;I759,"✕ INSUFFISANT",IF(K759&lt;I759*1.2,"⚠ STOCK FAIBLE","✓ COUVERT"))</f>
        <v/>
      </c>
      <c r="N759" s="7" t="inlineStr">
        <is>
          <t>FAU</t>
        </is>
      </c>
      <c r="O759" s="7" t="inlineStr">
        <is>
          <t>IMPORTANT</t>
        </is>
      </c>
      <c r="P759" s="7" t="inlineStr">
        <is>
          <t>31/08/2026 02:59</t>
        </is>
      </c>
    </row>
    <row r="760">
      <c r="A760" s="8" t="inlineStr">
        <is>
          <t>WHAP 8x8</t>
        </is>
      </c>
      <c r="B760" s="8" t="inlineStr">
        <is>
          <t>WHAP-0756</t>
        </is>
      </c>
      <c r="C760" s="8" t="inlineStr">
        <is>
          <t>ROU-0756</t>
        </is>
      </c>
      <c r="D760" s="8" t="inlineStr">
        <is>
          <t>joint de moyeu — ARD</t>
        </is>
      </c>
      <c r="E760" s="8" t="inlineStr">
        <is>
          <t>Roues et pneus</t>
        </is>
      </c>
      <c r="F760" s="8" t="inlineStr">
        <is>
          <t>Roues et pneus</t>
        </is>
      </c>
      <c r="G760" s="8" t="inlineStr">
        <is>
          <t>PIECE_VEHICULE</t>
        </is>
      </c>
      <c r="H760" s="8" t="n">
        <v>1</v>
      </c>
      <c r="I760" s="8">
        <f>H760*$D$3</f>
        <v/>
      </c>
      <c r="J760" s="8" t="inlineStr">
        <is>
          <t>unité</t>
        </is>
      </c>
      <c r="K760" s="8" t="n">
        <v>0</v>
      </c>
      <c r="L760" s="8">
        <f>K760-I760</f>
        <v/>
      </c>
      <c r="M760" s="8">
        <f>IF(K760&lt;I760,"✕ INSUFFISANT",IF(K760&lt;I760*1.2,"⚠ STOCK FAIBLE","✓ COUVERT"))</f>
        <v/>
      </c>
      <c r="N760" s="8" t="inlineStr">
        <is>
          <t>MAG</t>
        </is>
      </c>
      <c r="O760" s="8" t="inlineStr">
        <is>
          <t>IMPORTANT</t>
        </is>
      </c>
      <c r="P760" s="8" t="inlineStr">
        <is>
          <t>31/08/2026 02:59</t>
        </is>
      </c>
    </row>
    <row r="761">
      <c r="A761" s="7" t="inlineStr">
        <is>
          <t>WHAP 8x8</t>
        </is>
      </c>
      <c r="B761" s="7" t="inlineStr">
        <is>
          <t>WHAP-0757</t>
        </is>
      </c>
      <c r="C761" s="7" t="inlineStr">
        <is>
          <t>ROU-0757</t>
        </is>
      </c>
      <c r="D761" s="7" t="inlineStr">
        <is>
          <t>roulement de roue — ARD</t>
        </is>
      </c>
      <c r="E761" s="7" t="inlineStr">
        <is>
          <t>Roues et pneus</t>
        </is>
      </c>
      <c r="F761" s="7" t="inlineStr">
        <is>
          <t>Roues et pneus</t>
        </is>
      </c>
      <c r="G761" s="7" t="inlineStr">
        <is>
          <t>PIECE_VEHICULE</t>
        </is>
      </c>
      <c r="H761" s="7" t="n">
        <v>1</v>
      </c>
      <c r="I761" s="7">
        <f>H761*$D$3</f>
        <v/>
      </c>
      <c r="J761" s="7" t="inlineStr">
        <is>
          <t>unité</t>
        </is>
      </c>
      <c r="K761" s="7" t="n">
        <v>0</v>
      </c>
      <c r="L761" s="7">
        <f>K761-I761</f>
        <v/>
      </c>
      <c r="M761" s="7">
        <f>IF(K761&lt;I761,"✕ INSUFFISANT",IF(K761&lt;I761*1.2,"⚠ STOCK FAIBLE","✓ COUVERT"))</f>
        <v/>
      </c>
      <c r="N761" s="7" t="inlineStr">
        <is>
          <t>DEL</t>
        </is>
      </c>
      <c r="O761" s="7" t="inlineStr">
        <is>
          <t>IMPORTANT</t>
        </is>
      </c>
      <c r="P761" s="7" t="inlineStr">
        <is>
          <t>31/08/2026 02:59</t>
        </is>
      </c>
    </row>
    <row r="762">
      <c r="A762" s="8" t="inlineStr">
        <is>
          <t>WHAP 8x8</t>
        </is>
      </c>
      <c r="B762" s="8" t="inlineStr">
        <is>
          <t>WHAP-0758</t>
        </is>
      </c>
      <c r="C762" s="8" t="inlineStr">
        <is>
          <t>ROU-0758</t>
        </is>
      </c>
      <c r="D762" s="8" t="inlineStr">
        <is>
          <t>bague de roulement — ARD</t>
        </is>
      </c>
      <c r="E762" s="8" t="inlineStr">
        <is>
          <t>Roues et pneus</t>
        </is>
      </c>
      <c r="F762" s="8" t="inlineStr">
        <is>
          <t>Roues et pneus</t>
        </is>
      </c>
      <c r="G762" s="8" t="inlineStr">
        <is>
          <t>PIECE_VEHICULE</t>
        </is>
      </c>
      <c r="H762" s="8" t="n">
        <v>1</v>
      </c>
      <c r="I762" s="8">
        <f>H762*$D$3</f>
        <v/>
      </c>
      <c r="J762" s="8" t="inlineStr">
        <is>
          <t>unité</t>
        </is>
      </c>
      <c r="K762" s="8" t="n">
        <v>0</v>
      </c>
      <c r="L762" s="8">
        <f>K762-I762</f>
        <v/>
      </c>
      <c r="M762" s="8">
        <f>IF(K762&lt;I762,"✕ INSUFFISANT",IF(K762&lt;I762*1.2,"⚠ STOCK FAIBLE","✓ COUVERT"))</f>
        <v/>
      </c>
      <c r="N762" s="8" t="inlineStr">
        <is>
          <t>SUM</t>
        </is>
      </c>
      <c r="O762" s="8" t="inlineStr">
        <is>
          <t>IMPORTANT</t>
        </is>
      </c>
      <c r="P762" s="8" t="inlineStr">
        <is>
          <t>31/08/2026 02:59</t>
        </is>
      </c>
    </row>
    <row r="763">
      <c r="A763" s="7" t="inlineStr">
        <is>
          <t>WHAP 8x8</t>
        </is>
      </c>
      <c r="B763" s="7" t="inlineStr">
        <is>
          <t>WHAP-0759</t>
        </is>
      </c>
      <c r="C763" s="7" t="inlineStr">
        <is>
          <t>ROU-0759</t>
        </is>
      </c>
      <c r="D763" s="7" t="inlineStr">
        <is>
          <t>anneau de retenue — ARD</t>
        </is>
      </c>
      <c r="E763" s="7" t="inlineStr">
        <is>
          <t>Roues et pneus</t>
        </is>
      </c>
      <c r="F763" s="7" t="inlineStr">
        <is>
          <t>Roues et pneus</t>
        </is>
      </c>
      <c r="G763" s="7" t="inlineStr">
        <is>
          <t>PIECE_VEHICULE</t>
        </is>
      </c>
      <c r="H763" s="7" t="n">
        <v>1</v>
      </c>
      <c r="I763" s="7">
        <f>H763*$D$3</f>
        <v/>
      </c>
      <c r="J763" s="7" t="inlineStr">
        <is>
          <t>unité</t>
        </is>
      </c>
      <c r="K763" s="7" t="n">
        <v>0</v>
      </c>
      <c r="L763" s="7">
        <f>K763-I763</f>
        <v/>
      </c>
      <c r="M763" s="7">
        <f>IF(K763&lt;I763,"✕ INSUFFISANT",IF(K763&lt;I763*1.2,"⚠ STOCK FAIBLE","✓ COUVERT"))</f>
        <v/>
      </c>
      <c r="N763" s="7" t="inlineStr">
        <is>
          <t>BOS</t>
        </is>
      </c>
      <c r="O763" s="7" t="inlineStr">
        <is>
          <t>IMPORTANT</t>
        </is>
      </c>
      <c r="P763" s="7" t="inlineStr">
        <is>
          <t>31/08/2026 02:59</t>
        </is>
      </c>
    </row>
    <row r="764">
      <c r="A764" s="8" t="inlineStr">
        <is>
          <t>WHAP 8x8</t>
        </is>
      </c>
      <c r="B764" s="8" t="inlineStr">
        <is>
          <t>WHAP-0760</t>
        </is>
      </c>
      <c r="C764" s="8" t="inlineStr">
        <is>
          <t>ROU-0760</t>
        </is>
      </c>
      <c r="D764" s="8" t="inlineStr">
        <is>
          <t>disque de jante — ARD</t>
        </is>
      </c>
      <c r="E764" s="8" t="inlineStr">
        <is>
          <t>Roues et pneus</t>
        </is>
      </c>
      <c r="F764" s="8" t="inlineStr">
        <is>
          <t>Roues et pneus</t>
        </is>
      </c>
      <c r="G764" s="8" t="inlineStr">
        <is>
          <t>PIECE_VEHICULE</t>
        </is>
      </c>
      <c r="H764" s="8" t="n">
        <v>1</v>
      </c>
      <c r="I764" s="8">
        <f>H764*$D$3</f>
        <v/>
      </c>
      <c r="J764" s="8" t="inlineStr">
        <is>
          <t>unité</t>
        </is>
      </c>
      <c r="K764" s="8" t="n">
        <v>0</v>
      </c>
      <c r="L764" s="8">
        <f>K764-I764</f>
        <v/>
      </c>
      <c r="M764" s="8">
        <f>IF(K764&lt;I764,"✕ INSUFFISANT",IF(K764&lt;I764*1.2,"⚠ STOCK FAIBLE","✓ COUVERT"))</f>
        <v/>
      </c>
      <c r="N764" s="8" t="inlineStr">
        <is>
          <t>YZK</t>
        </is>
      </c>
      <c r="O764" s="8" t="inlineStr">
        <is>
          <t>IMPORTANT</t>
        </is>
      </c>
      <c r="P764" s="8" t="inlineStr">
        <is>
          <t>31/08/2026 02:59</t>
        </is>
      </c>
    </row>
    <row r="765">
      <c r="A765" s="7" t="inlineStr">
        <is>
          <t>WHAP 8x8</t>
        </is>
      </c>
      <c r="B765" s="7" t="inlineStr">
        <is>
          <t>WHAP-0761</t>
        </is>
      </c>
      <c r="C765" s="7" t="inlineStr">
        <is>
          <t>ROU-0761</t>
        </is>
      </c>
      <c r="D765" s="7" t="inlineStr">
        <is>
          <t>cerclage de jante — ARD</t>
        </is>
      </c>
      <c r="E765" s="7" t="inlineStr">
        <is>
          <t>Roues et pneus</t>
        </is>
      </c>
      <c r="F765" s="7" t="inlineStr">
        <is>
          <t>Roues et pneus</t>
        </is>
      </c>
      <c r="G765" s="7" t="inlineStr">
        <is>
          <t>PIECE_VEHICULE</t>
        </is>
      </c>
      <c r="H765" s="7" t="n">
        <v>1</v>
      </c>
      <c r="I765" s="7">
        <f>H765*$D$3</f>
        <v/>
      </c>
      <c r="J765" s="7" t="inlineStr">
        <is>
          <t>unité</t>
        </is>
      </c>
      <c r="K765" s="7" t="n">
        <v>0</v>
      </c>
      <c r="L765" s="7">
        <f>K765-I765</f>
        <v/>
      </c>
      <c r="M765" s="7">
        <f>IF(K765&lt;I765,"✕ INSUFFISANT",IF(K765&lt;I765*1.2,"⚠ STOCK FAIBLE","✓ COUVERT"))</f>
        <v/>
      </c>
      <c r="N765" s="7" t="inlineStr">
        <is>
          <t>SKF</t>
        </is>
      </c>
      <c r="O765" s="7" t="inlineStr">
        <is>
          <t>IMPORTANT</t>
        </is>
      </c>
      <c r="P765" s="7" t="inlineStr">
        <is>
          <t>31/08/2026 02:59</t>
        </is>
      </c>
    </row>
    <row r="766">
      <c r="A766" s="8" t="inlineStr">
        <is>
          <t>WHAP 8x8</t>
        </is>
      </c>
      <c r="B766" s="8" t="inlineStr">
        <is>
          <t>WHAP-0762</t>
        </is>
      </c>
      <c r="C766" s="8" t="inlineStr">
        <is>
          <t>ROU-0762</t>
        </is>
      </c>
      <c r="D766" s="8" t="inlineStr">
        <is>
          <t>système CTIS — ARD</t>
        </is>
      </c>
      <c r="E766" s="8" t="inlineStr">
        <is>
          <t>Roues et pneus</t>
        </is>
      </c>
      <c r="F766" s="8" t="inlineStr">
        <is>
          <t>Roues et pneus</t>
        </is>
      </c>
      <c r="G766" s="8" t="inlineStr">
        <is>
          <t>PIECE_VEHICULE</t>
        </is>
      </c>
      <c r="H766" s="8" t="n">
        <v>1</v>
      </c>
      <c r="I766" s="8">
        <f>H766*$D$3</f>
        <v/>
      </c>
      <c r="J766" s="8" t="inlineStr">
        <is>
          <t>unité</t>
        </is>
      </c>
      <c r="K766" s="8" t="n">
        <v>0</v>
      </c>
      <c r="L766" s="8">
        <f>K766-I766</f>
        <v/>
      </c>
      <c r="M766" s="8">
        <f>IF(K766&lt;I766,"✕ INSUFFISANT",IF(K766&lt;I766*1.2,"⚠ STOCK FAIBLE","✓ COUVERT"))</f>
        <v/>
      </c>
      <c r="N766" s="8" t="inlineStr">
        <is>
          <t>DEL</t>
        </is>
      </c>
      <c r="O766" s="8" t="inlineStr">
        <is>
          <t>IMPORTANT</t>
        </is>
      </c>
      <c r="P766" s="8" t="inlineStr">
        <is>
          <t>31/08/2026 02:59</t>
        </is>
      </c>
    </row>
    <row r="767">
      <c r="A767" s="7" t="inlineStr">
        <is>
          <t>WHAP 8x8</t>
        </is>
      </c>
      <c r="B767" s="7" t="inlineStr">
        <is>
          <t>WHAP-0763</t>
        </is>
      </c>
      <c r="C767" s="7" t="inlineStr">
        <is>
          <t>ROU-0763</t>
        </is>
      </c>
      <c r="D767" s="7" t="inlineStr">
        <is>
          <t>rotor CTIS — ARD</t>
        </is>
      </c>
      <c r="E767" s="7" t="inlineStr">
        <is>
          <t>Roues et pneus</t>
        </is>
      </c>
      <c r="F767" s="7" t="inlineStr">
        <is>
          <t>Roues et pneus</t>
        </is>
      </c>
      <c r="G767" s="7" t="inlineStr">
        <is>
          <t>PIECE_VEHICULE</t>
        </is>
      </c>
      <c r="H767" s="7" t="n">
        <v>1</v>
      </c>
      <c r="I767" s="7">
        <f>H767*$D$3</f>
        <v/>
      </c>
      <c r="J767" s="7" t="inlineStr">
        <is>
          <t>unité</t>
        </is>
      </c>
      <c r="K767" s="7" t="n">
        <v>0</v>
      </c>
      <c r="L767" s="7">
        <f>K767-I767</f>
        <v/>
      </c>
      <c r="M767" s="7">
        <f>IF(K767&lt;I767,"✕ INSUFFISANT",IF(K767&lt;I767*1.2,"⚠ STOCK FAIBLE","✓ COUVERT"))</f>
        <v/>
      </c>
      <c r="N767" s="7" t="inlineStr">
        <is>
          <t>FAU</t>
        </is>
      </c>
      <c r="O767" s="7" t="inlineStr">
        <is>
          <t>IMPORTANT</t>
        </is>
      </c>
      <c r="P767" s="7" t="inlineStr">
        <is>
          <t>31/08/2026 02:59</t>
        </is>
      </c>
    </row>
    <row r="768">
      <c r="A768" s="8" t="inlineStr">
        <is>
          <t>WHAP 8x8</t>
        </is>
      </c>
      <c r="B768" s="8" t="inlineStr">
        <is>
          <t>WHAP-0764</t>
        </is>
      </c>
      <c r="C768" s="8" t="inlineStr">
        <is>
          <t>ROU-0764</t>
        </is>
      </c>
      <c r="D768" s="8" t="inlineStr">
        <is>
          <t>joint tournant CTIS — ARD</t>
        </is>
      </c>
      <c r="E768" s="8" t="inlineStr">
        <is>
          <t>Roues et pneus</t>
        </is>
      </c>
      <c r="F768" s="8" t="inlineStr">
        <is>
          <t>Roues et pneus</t>
        </is>
      </c>
      <c r="G768" s="8" t="inlineStr">
        <is>
          <t>PIECE_VEHICULE</t>
        </is>
      </c>
      <c r="H768" s="8" t="n">
        <v>1</v>
      </c>
      <c r="I768" s="8">
        <f>H768*$D$3</f>
        <v/>
      </c>
      <c r="J768" s="8" t="inlineStr">
        <is>
          <t>unité</t>
        </is>
      </c>
      <c r="K768" s="8" t="n">
        <v>0</v>
      </c>
      <c r="L768" s="8">
        <f>K768-I768</f>
        <v/>
      </c>
      <c r="M768" s="8">
        <f>IF(K768&lt;I768,"✕ INSUFFISANT",IF(K768&lt;I768*1.2,"⚠ STOCK FAIBLE","✓ COUVERT"))</f>
        <v/>
      </c>
      <c r="N768" s="8" t="inlineStr">
        <is>
          <t>HEL</t>
        </is>
      </c>
      <c r="O768" s="8" t="inlineStr">
        <is>
          <t>IMPORTANT</t>
        </is>
      </c>
      <c r="P768" s="8" t="inlineStr">
        <is>
          <t>31/08/2026 02:59</t>
        </is>
      </c>
    </row>
    <row r="769">
      <c r="A769" s="7" t="inlineStr">
        <is>
          <t>WHAP 8x8</t>
        </is>
      </c>
      <c r="B769" s="7" t="inlineStr">
        <is>
          <t>WHAP-0765</t>
        </is>
      </c>
      <c r="C769" s="7" t="inlineStr">
        <is>
          <t>ROU-0765</t>
        </is>
      </c>
      <c r="D769" s="7" t="inlineStr">
        <is>
          <t>flexible CTIS — ARD</t>
        </is>
      </c>
      <c r="E769" s="7" t="inlineStr">
        <is>
          <t>Roues et pneus</t>
        </is>
      </c>
      <c r="F769" s="7" t="inlineStr">
        <is>
          <t>Roues et pneus</t>
        </is>
      </c>
      <c r="G769" s="7" t="inlineStr">
        <is>
          <t>PIECE_VEHICULE</t>
        </is>
      </c>
      <c r="H769" s="7" t="n">
        <v>1</v>
      </c>
      <c r="I769" s="7">
        <f>H769*$D$3</f>
        <v/>
      </c>
      <c r="J769" s="7" t="inlineStr">
        <is>
          <t>unité</t>
        </is>
      </c>
      <c r="K769" s="7" t="n">
        <v>0</v>
      </c>
      <c r="L769" s="7">
        <f>K769-I769</f>
        <v/>
      </c>
      <c r="M769" s="7">
        <f>IF(K769&lt;I769,"✕ INSUFFISANT",IF(K769&lt;I769*1.2,"⚠ STOCK FAIBLE","✓ COUVERT"))</f>
        <v/>
      </c>
      <c r="N769" s="7" t="inlineStr">
        <is>
          <t>HEL</t>
        </is>
      </c>
      <c r="O769" s="7" t="inlineStr">
        <is>
          <t>IMPORTANT</t>
        </is>
      </c>
      <c r="P769" s="7" t="inlineStr">
        <is>
          <t>31/08/2026 02:59</t>
        </is>
      </c>
    </row>
    <row r="770">
      <c r="A770" s="8" t="inlineStr">
        <is>
          <t>WHAP 8x8</t>
        </is>
      </c>
      <c r="B770" s="8" t="inlineStr">
        <is>
          <t>WHAP-0766</t>
        </is>
      </c>
      <c r="C770" s="8" t="inlineStr">
        <is>
          <t>ROU-0766</t>
        </is>
      </c>
      <c r="D770" s="8" t="inlineStr">
        <is>
          <t>raccord CTIS — ARD</t>
        </is>
      </c>
      <c r="E770" s="8" t="inlineStr">
        <is>
          <t>Roues et pneus</t>
        </is>
      </c>
      <c r="F770" s="8" t="inlineStr">
        <is>
          <t>Roues et pneus</t>
        </is>
      </c>
      <c r="G770" s="8" t="inlineStr">
        <is>
          <t>PIECE_VEHICULE</t>
        </is>
      </c>
      <c r="H770" s="8" t="n">
        <v>1</v>
      </c>
      <c r="I770" s="8">
        <f>H770*$D$3</f>
        <v/>
      </c>
      <c r="J770" s="8" t="inlineStr">
        <is>
          <t>unité</t>
        </is>
      </c>
      <c r="K770" s="8" t="n">
        <v>0</v>
      </c>
      <c r="L770" s="8">
        <f>K770-I770</f>
        <v/>
      </c>
      <c r="M770" s="8">
        <f>IF(K770&lt;I770,"✕ INSUFFISANT",IF(K770&lt;I770*1.2,"⚠ STOCK FAIBLE","✓ COUVERT"))</f>
        <v/>
      </c>
      <c r="N770" s="8" t="inlineStr">
        <is>
          <t>HEL</t>
        </is>
      </c>
      <c r="O770" s="8" t="inlineStr">
        <is>
          <t>IMPORTANT</t>
        </is>
      </c>
      <c r="P770" s="8" t="inlineStr">
        <is>
          <t>31/08/2026 02:59</t>
        </is>
      </c>
    </row>
    <row r="771">
      <c r="A771" s="7" t="inlineStr">
        <is>
          <t>WHAP 8x8</t>
        </is>
      </c>
      <c r="B771" s="7" t="inlineStr">
        <is>
          <t>WHAP-0767</t>
        </is>
      </c>
      <c r="C771" s="7" t="inlineStr">
        <is>
          <t>ROU-0767</t>
        </is>
      </c>
      <c r="D771" s="7" t="inlineStr">
        <is>
          <t>valve CTIS — ARD</t>
        </is>
      </c>
      <c r="E771" s="7" t="inlineStr">
        <is>
          <t>Roues et pneus</t>
        </is>
      </c>
      <c r="F771" s="7" t="inlineStr">
        <is>
          <t>Roues et pneus</t>
        </is>
      </c>
      <c r="G771" s="7" t="inlineStr">
        <is>
          <t>PIECE_VEHICULE</t>
        </is>
      </c>
      <c r="H771" s="7" t="n">
        <v>1</v>
      </c>
      <c r="I771" s="7">
        <f>H771*$D$3</f>
        <v/>
      </c>
      <c r="J771" s="7" t="inlineStr">
        <is>
          <t>unité</t>
        </is>
      </c>
      <c r="K771" s="7" t="n">
        <v>0</v>
      </c>
      <c r="L771" s="7">
        <f>K771-I771</f>
        <v/>
      </c>
      <c r="M771" s="7">
        <f>IF(K771&lt;I771,"✕ INSUFFISANT",IF(K771&lt;I771*1.2,"⚠ STOCK FAIBLE","✓ COUVERT"))</f>
        <v/>
      </c>
      <c r="N771" s="7" t="inlineStr">
        <is>
          <t>VAL</t>
        </is>
      </c>
      <c r="O771" s="7" t="inlineStr">
        <is>
          <t>IMPORTANT</t>
        </is>
      </c>
      <c r="P771" s="7" t="inlineStr">
        <is>
          <t>31/08/2026 02:59</t>
        </is>
      </c>
    </row>
    <row r="772">
      <c r="A772" s="8" t="inlineStr">
        <is>
          <t>WHAP 8x8</t>
        </is>
      </c>
      <c r="B772" s="8" t="inlineStr">
        <is>
          <t>WHAP-0768</t>
        </is>
      </c>
      <c r="C772" s="8" t="inlineStr">
        <is>
          <t>ROU-0768</t>
        </is>
      </c>
      <c r="D772" s="8" t="inlineStr">
        <is>
          <t>manomètre CTIS — ARD</t>
        </is>
      </c>
      <c r="E772" s="8" t="inlineStr">
        <is>
          <t>Roues et pneus</t>
        </is>
      </c>
      <c r="F772" s="8" t="inlineStr">
        <is>
          <t>Roues et pneus</t>
        </is>
      </c>
      <c r="G772" s="8" t="inlineStr">
        <is>
          <t>PIECE_VEHICULE</t>
        </is>
      </c>
      <c r="H772" s="8" t="n">
        <v>1</v>
      </c>
      <c r="I772" s="8">
        <f>H772*$D$3</f>
        <v/>
      </c>
      <c r="J772" s="8" t="inlineStr">
        <is>
          <t>unité</t>
        </is>
      </c>
      <c r="K772" s="8" t="n">
        <v>0</v>
      </c>
      <c r="L772" s="8">
        <f>K772-I772</f>
        <v/>
      </c>
      <c r="M772" s="8">
        <f>IF(K772&lt;I772,"✕ INSUFFISANT",IF(K772&lt;I772*1.2,"⚠ STOCK FAIBLE","✓ COUVERT"))</f>
        <v/>
      </c>
      <c r="N772" s="8" t="inlineStr">
        <is>
          <t>MAG</t>
        </is>
      </c>
      <c r="O772" s="8" t="inlineStr">
        <is>
          <t>IMPORTANT</t>
        </is>
      </c>
      <c r="P772" s="8" t="inlineStr">
        <is>
          <t>31/08/2026 02:59</t>
        </is>
      </c>
    </row>
    <row r="773">
      <c r="A773" s="7" t="inlineStr">
        <is>
          <t>WHAP 8x8</t>
        </is>
      </c>
      <c r="B773" s="7" t="inlineStr">
        <is>
          <t>WHAP-0769</t>
        </is>
      </c>
      <c r="C773" s="7" t="inlineStr">
        <is>
          <t>ROU-0769</t>
        </is>
      </c>
      <c r="D773" s="7" t="inlineStr">
        <is>
          <t>bloc distributeur CTIS — ARD</t>
        </is>
      </c>
      <c r="E773" s="7" t="inlineStr">
        <is>
          <t>Roues et pneus</t>
        </is>
      </c>
      <c r="F773" s="7" t="inlineStr">
        <is>
          <t>Roues et pneus</t>
        </is>
      </c>
      <c r="G773" s="7" t="inlineStr">
        <is>
          <t>PIECE_VEHICULE</t>
        </is>
      </c>
      <c r="H773" s="7" t="n">
        <v>1</v>
      </c>
      <c r="I773" s="7">
        <f>H773*$D$3</f>
        <v/>
      </c>
      <c r="J773" s="7" t="inlineStr">
        <is>
          <t>unité</t>
        </is>
      </c>
      <c r="K773" s="7" t="n">
        <v>0</v>
      </c>
      <c r="L773" s="7">
        <f>K773-I773</f>
        <v/>
      </c>
      <c r="M773" s="7">
        <f>IF(K773&lt;I773,"✕ INSUFFISANT",IF(K773&lt;I773*1.2,"⚠ STOCK FAIBLE","✓ COUVERT"))</f>
        <v/>
      </c>
      <c r="N773" s="7" t="inlineStr">
        <is>
          <t>FAU</t>
        </is>
      </c>
      <c r="O773" s="7" t="inlineStr">
        <is>
          <t>IMPORTANT</t>
        </is>
      </c>
      <c r="P773" s="7" t="inlineStr">
        <is>
          <t>31/08/2026 02:59</t>
        </is>
      </c>
    </row>
    <row r="774">
      <c r="A774" s="8" t="inlineStr">
        <is>
          <t>WHAP 8x8</t>
        </is>
      </c>
      <c r="B774" s="8" t="inlineStr">
        <is>
          <t>WHAP-0770</t>
        </is>
      </c>
      <c r="C774" s="8" t="inlineStr">
        <is>
          <t>ROU-0770</t>
        </is>
      </c>
      <c r="D774" s="8" t="inlineStr">
        <is>
          <t>jante — AVG2</t>
        </is>
      </c>
      <c r="E774" s="8" t="inlineStr">
        <is>
          <t>Roues et pneus</t>
        </is>
      </c>
      <c r="F774" s="8" t="inlineStr">
        <is>
          <t>Roues et pneus</t>
        </is>
      </c>
      <c r="G774" s="8" t="inlineStr">
        <is>
          <t>PIECE_VEHICULE</t>
        </is>
      </c>
      <c r="H774" s="8" t="n">
        <v>1</v>
      </c>
      <c r="I774" s="8">
        <f>H774*$D$3</f>
        <v/>
      </c>
      <c r="J774" s="8" t="inlineStr">
        <is>
          <t>unité</t>
        </is>
      </c>
      <c r="K774" s="8" t="n">
        <v>0</v>
      </c>
      <c r="L774" s="8">
        <f>K774-I774</f>
        <v/>
      </c>
      <c r="M774" s="8">
        <f>IF(K774&lt;I774,"✕ INSUFFISANT",IF(K774&lt;I774*1.2,"⚠ STOCK FAIBLE","✓ COUVERT"))</f>
        <v/>
      </c>
      <c r="N774" s="8" t="inlineStr">
        <is>
          <t>CTL</t>
        </is>
      </c>
      <c r="O774" s="8" t="inlineStr">
        <is>
          <t>IMPORTANT</t>
        </is>
      </c>
      <c r="P774" s="8" t="inlineStr">
        <is>
          <t>31/08/2026 02:59</t>
        </is>
      </c>
    </row>
    <row r="775">
      <c r="A775" s="7" t="inlineStr">
        <is>
          <t>WHAP 8x8</t>
        </is>
      </c>
      <c r="B775" s="7" t="inlineStr">
        <is>
          <t>WHAP-0771</t>
        </is>
      </c>
      <c r="C775" s="7" t="inlineStr">
        <is>
          <t>ROU-0771</t>
        </is>
      </c>
      <c r="D775" s="7" t="inlineStr">
        <is>
          <t>roue complète — AVG2</t>
        </is>
      </c>
      <c r="E775" s="7" t="inlineStr">
        <is>
          <t>Roues et pneus</t>
        </is>
      </c>
      <c r="F775" s="7" t="inlineStr">
        <is>
          <t>Roues et pneus</t>
        </is>
      </c>
      <c r="G775" s="7" t="inlineStr">
        <is>
          <t>PIECE_VEHICULE</t>
        </is>
      </c>
      <c r="H775" s="7" t="n">
        <v>1</v>
      </c>
      <c r="I775" s="7">
        <f>H775*$D$3</f>
        <v/>
      </c>
      <c r="J775" s="7" t="inlineStr">
        <is>
          <t>unité</t>
        </is>
      </c>
      <c r="K775" s="7" t="n">
        <v>0</v>
      </c>
      <c r="L775" s="7">
        <f>K775-I775</f>
        <v/>
      </c>
      <c r="M775" s="7">
        <f>IF(K775&lt;I775,"✕ INSUFFISANT",IF(K775&lt;I775*1.2,"⚠ STOCK FAIBLE","✓ COUVERT"))</f>
        <v/>
      </c>
      <c r="N775" s="7" t="inlineStr">
        <is>
          <t>MAG</t>
        </is>
      </c>
      <c r="O775" s="7" t="inlineStr">
        <is>
          <t>IMPORTANT</t>
        </is>
      </c>
      <c r="P775" s="7" t="inlineStr">
        <is>
          <t>31/08/2026 02:59</t>
        </is>
      </c>
    </row>
    <row r="776">
      <c r="A776" s="8" t="inlineStr">
        <is>
          <t>WHAP 8x8</t>
        </is>
      </c>
      <c r="B776" s="8" t="inlineStr">
        <is>
          <t>WHAP-0772</t>
        </is>
      </c>
      <c r="C776" s="8" t="inlineStr">
        <is>
          <t>ROU-0772</t>
        </is>
      </c>
      <c r="D776" s="8" t="inlineStr">
        <is>
          <t>pneu — AVG2</t>
        </is>
      </c>
      <c r="E776" s="8" t="inlineStr">
        <is>
          <t>Roues et pneus</t>
        </is>
      </c>
      <c r="F776" s="8" t="inlineStr">
        <is>
          <t>Roues et pneus</t>
        </is>
      </c>
      <c r="G776" s="8" t="inlineStr">
        <is>
          <t>PIECE_VEHICULE</t>
        </is>
      </c>
      <c r="H776" s="8" t="n">
        <v>1</v>
      </c>
      <c r="I776" s="8">
        <f>H776*$D$3</f>
        <v/>
      </c>
      <c r="J776" s="8" t="inlineStr">
        <is>
          <t>unité</t>
        </is>
      </c>
      <c r="K776" s="8" t="n">
        <v>0</v>
      </c>
      <c r="L776" s="8">
        <f>K776-I776</f>
        <v/>
      </c>
      <c r="M776" s="8">
        <f>IF(K776&lt;I776,"✕ INSUFFISANT",IF(K776&lt;I776*1.2,"⚠ STOCK FAIBLE","✓ COUVERT"))</f>
        <v/>
      </c>
      <c r="N776" s="8" t="inlineStr">
        <is>
          <t>YZK</t>
        </is>
      </c>
      <c r="O776" s="8" t="inlineStr">
        <is>
          <t>IMPORTANT</t>
        </is>
      </c>
      <c r="P776" s="8" t="inlineStr">
        <is>
          <t>31/08/2026 02:59</t>
        </is>
      </c>
    </row>
    <row r="777">
      <c r="A777" s="7" t="inlineStr">
        <is>
          <t>WHAP 8x8</t>
        </is>
      </c>
      <c r="B777" s="7" t="inlineStr">
        <is>
          <t>WHAP-0773</t>
        </is>
      </c>
      <c r="C777" s="7" t="inlineStr">
        <is>
          <t>ROU-0773</t>
        </is>
      </c>
      <c r="D777" s="7" t="inlineStr">
        <is>
          <t>insert run-flat — AVG2</t>
        </is>
      </c>
      <c r="E777" s="7" t="inlineStr">
        <is>
          <t>Roues et pneus</t>
        </is>
      </c>
      <c r="F777" s="7" t="inlineStr">
        <is>
          <t>Roues et pneus</t>
        </is>
      </c>
      <c r="G777" s="7" t="inlineStr">
        <is>
          <t>PIECE_VEHICULE</t>
        </is>
      </c>
      <c r="H777" s="7" t="n">
        <v>1</v>
      </c>
      <c r="I777" s="7">
        <f>H777*$D$3</f>
        <v/>
      </c>
      <c r="J777" s="7" t="inlineStr">
        <is>
          <t>unité</t>
        </is>
      </c>
      <c r="K777" s="7" t="n">
        <v>0</v>
      </c>
      <c r="L777" s="7">
        <f>K777-I777</f>
        <v/>
      </c>
      <c r="M777" s="7">
        <f>IF(K777&lt;I777,"✕ INSUFFISANT",IF(K777&lt;I777*1.2,"⚠ STOCK FAIBLE","✓ COUVERT"))</f>
        <v/>
      </c>
      <c r="N777" s="7" t="inlineStr">
        <is>
          <t>DEL</t>
        </is>
      </c>
      <c r="O777" s="7" t="inlineStr">
        <is>
          <t>IMPORTANT</t>
        </is>
      </c>
      <c r="P777" s="7" t="inlineStr">
        <is>
          <t>31/08/2026 02:59</t>
        </is>
      </c>
    </row>
    <row r="778">
      <c r="A778" s="8" t="inlineStr">
        <is>
          <t>WHAP 8x8</t>
        </is>
      </c>
      <c r="B778" s="8" t="inlineStr">
        <is>
          <t>WHAP-0774</t>
        </is>
      </c>
      <c r="C778" s="8" t="inlineStr">
        <is>
          <t>ROU-0774</t>
        </is>
      </c>
      <c r="D778" s="8" t="inlineStr">
        <is>
          <t>valve de pneu — AVG2</t>
        </is>
      </c>
      <c r="E778" s="8" t="inlineStr">
        <is>
          <t>Roues et pneus</t>
        </is>
      </c>
      <c r="F778" s="8" t="inlineStr">
        <is>
          <t>Roues et pneus</t>
        </is>
      </c>
      <c r="G778" s="8" t="inlineStr">
        <is>
          <t>PIECE_VEHICULE</t>
        </is>
      </c>
      <c r="H778" s="8" t="n">
        <v>1</v>
      </c>
      <c r="I778" s="8">
        <f>H778*$D$3</f>
        <v/>
      </c>
      <c r="J778" s="8" t="inlineStr">
        <is>
          <t>unité</t>
        </is>
      </c>
      <c r="K778" s="8" t="n">
        <v>0</v>
      </c>
      <c r="L778" s="8">
        <f>K778-I778</f>
        <v/>
      </c>
      <c r="M778" s="8">
        <f>IF(K778&lt;I778,"✕ INSUFFISANT",IF(K778&lt;I778*1.2,"⚠ STOCK FAIBLE","✓ COUVERT"))</f>
        <v/>
      </c>
      <c r="N778" s="8" t="inlineStr">
        <is>
          <t>MAG</t>
        </is>
      </c>
      <c r="O778" s="8" t="inlineStr">
        <is>
          <t>IMPORTANT</t>
        </is>
      </c>
      <c r="P778" s="8" t="inlineStr">
        <is>
          <t>31/08/2026 02:59</t>
        </is>
      </c>
    </row>
    <row r="779">
      <c r="A779" s="7" t="inlineStr">
        <is>
          <t>WHAP 8x8</t>
        </is>
      </c>
      <c r="B779" s="7" t="inlineStr">
        <is>
          <t>WHAP-0775</t>
        </is>
      </c>
      <c r="C779" s="7" t="inlineStr">
        <is>
          <t>ROU-0775</t>
        </is>
      </c>
      <c r="D779" s="7" t="inlineStr">
        <is>
          <t>capteur pression pneu — AVG2</t>
        </is>
      </c>
      <c r="E779" s="7" t="inlineStr">
        <is>
          <t>Roues et pneus</t>
        </is>
      </c>
      <c r="F779" s="7" t="inlineStr">
        <is>
          <t>Roues et pneus</t>
        </is>
      </c>
      <c r="G779" s="7" t="inlineStr">
        <is>
          <t>PIECE_VEHICULE</t>
        </is>
      </c>
      <c r="H779" s="7" t="n">
        <v>1</v>
      </c>
      <c r="I779" s="7">
        <f>H779*$D$3</f>
        <v/>
      </c>
      <c r="J779" s="7" t="inlineStr">
        <is>
          <t>unité</t>
        </is>
      </c>
      <c r="K779" s="7" t="n">
        <v>0</v>
      </c>
      <c r="L779" s="7">
        <f>K779-I779</f>
        <v/>
      </c>
      <c r="M779" s="7">
        <f>IF(K779&lt;I779,"✕ INSUFFISANT",IF(K779&lt;I779*1.2,"⚠ STOCK FAIBLE","✓ COUVERT"))</f>
        <v/>
      </c>
      <c r="N779" s="7" t="inlineStr">
        <is>
          <t>DEL</t>
        </is>
      </c>
      <c r="O779" s="7" t="inlineStr">
        <is>
          <t>IMPORTANT</t>
        </is>
      </c>
      <c r="P779" s="7" t="inlineStr">
        <is>
          <t>31/08/2026 02:59</t>
        </is>
      </c>
    </row>
    <row r="780">
      <c r="A780" s="8" t="inlineStr">
        <is>
          <t>WHAP 8x8</t>
        </is>
      </c>
      <c r="B780" s="8" t="inlineStr">
        <is>
          <t>WHAP-0776</t>
        </is>
      </c>
      <c r="C780" s="8" t="inlineStr">
        <is>
          <t>ROU-0776</t>
        </is>
      </c>
      <c r="D780" s="8" t="inlineStr">
        <is>
          <t>écrou de roue — AVG2</t>
        </is>
      </c>
      <c r="E780" s="8" t="inlineStr">
        <is>
          <t>Roues et pneus</t>
        </is>
      </c>
      <c r="F780" s="8" t="inlineStr">
        <is>
          <t>Roues et pneus</t>
        </is>
      </c>
      <c r="G780" s="8" t="inlineStr">
        <is>
          <t>PIECE_VEHICULE</t>
        </is>
      </c>
      <c r="H780" s="8" t="n">
        <v>1</v>
      </c>
      <c r="I780" s="8">
        <f>H780*$D$3</f>
        <v/>
      </c>
      <c r="J780" s="8" t="inlineStr">
        <is>
          <t>unité</t>
        </is>
      </c>
      <c r="K780" s="8" t="n">
        <v>0</v>
      </c>
      <c r="L780" s="8">
        <f>K780-I780</f>
        <v/>
      </c>
      <c r="M780" s="8">
        <f>IF(K780&lt;I780,"✕ INSUFFISANT",IF(K780&lt;I780*1.2,"⚠ STOCK FAIBLE","✓ COUVERT"))</f>
        <v/>
      </c>
      <c r="N780" s="8" t="inlineStr">
        <is>
          <t>FAU</t>
        </is>
      </c>
      <c r="O780" s="8" t="inlineStr">
        <is>
          <t>IMPORTANT</t>
        </is>
      </c>
      <c r="P780" s="8" t="inlineStr">
        <is>
          <t>31/08/2026 02:59</t>
        </is>
      </c>
    </row>
    <row r="781">
      <c r="A781" s="7" t="inlineStr">
        <is>
          <t>WHAP 8x8</t>
        </is>
      </c>
      <c r="B781" s="7" t="inlineStr">
        <is>
          <t>WHAP-0777</t>
        </is>
      </c>
      <c r="C781" s="7" t="inlineStr">
        <is>
          <t>ROU-0777</t>
        </is>
      </c>
      <c r="D781" s="7" t="inlineStr">
        <is>
          <t>goujon de roue — AVG2</t>
        </is>
      </c>
      <c r="E781" s="7" t="inlineStr">
        <is>
          <t>Roues et pneus</t>
        </is>
      </c>
      <c r="F781" s="7" t="inlineStr">
        <is>
          <t>Roues et pneus</t>
        </is>
      </c>
      <c r="G781" s="7" t="inlineStr">
        <is>
          <t>PIECE_VEHICULE</t>
        </is>
      </c>
      <c r="H781" s="7" t="n">
        <v>1</v>
      </c>
      <c r="I781" s="7">
        <f>H781*$D$3</f>
        <v/>
      </c>
      <c r="J781" s="7" t="inlineStr">
        <is>
          <t>unité</t>
        </is>
      </c>
      <c r="K781" s="7" t="n">
        <v>0</v>
      </c>
      <c r="L781" s="7">
        <f>K781-I781</f>
        <v/>
      </c>
      <c r="M781" s="7">
        <f>IF(K781&lt;I781,"✕ INSUFFISANT",IF(K781&lt;I781*1.2,"⚠ STOCK FAIBLE","✓ COUVERT"))</f>
        <v/>
      </c>
      <c r="N781" s="7" t="inlineStr">
        <is>
          <t>BOS</t>
        </is>
      </c>
      <c r="O781" s="7" t="inlineStr">
        <is>
          <t>IMPORTANT</t>
        </is>
      </c>
      <c r="P781" s="7" t="inlineStr">
        <is>
          <t>31/08/2026 02:59</t>
        </is>
      </c>
    </row>
    <row r="782">
      <c r="A782" s="8" t="inlineStr">
        <is>
          <t>WHAP 8x8</t>
        </is>
      </c>
      <c r="B782" s="8" t="inlineStr">
        <is>
          <t>WHAP-0778</t>
        </is>
      </c>
      <c r="C782" s="8" t="inlineStr">
        <is>
          <t>ROU-0778</t>
        </is>
      </c>
      <c r="D782" s="8" t="inlineStr">
        <is>
          <t>entretoise de roue — AVG2</t>
        </is>
      </c>
      <c r="E782" s="8" t="inlineStr">
        <is>
          <t>Roues et pneus</t>
        </is>
      </c>
      <c r="F782" s="8" t="inlineStr">
        <is>
          <t>Roues et pneus</t>
        </is>
      </c>
      <c r="G782" s="8" t="inlineStr">
        <is>
          <t>PIECE_VEHICULE</t>
        </is>
      </c>
      <c r="H782" s="8" t="n">
        <v>1</v>
      </c>
      <c r="I782" s="8">
        <f>H782*$D$3</f>
        <v/>
      </c>
      <c r="J782" s="8" t="inlineStr">
        <is>
          <t>unité</t>
        </is>
      </c>
      <c r="K782" s="8" t="n">
        <v>0</v>
      </c>
      <c r="L782" s="8">
        <f>K782-I782</f>
        <v/>
      </c>
      <c r="M782" s="8">
        <f>IF(K782&lt;I782,"✕ INSUFFISANT",IF(K782&lt;I782*1.2,"⚠ STOCK FAIBLE","✓ COUVERT"))</f>
        <v/>
      </c>
      <c r="N782" s="8" t="inlineStr">
        <is>
          <t>VAL</t>
        </is>
      </c>
      <c r="O782" s="8" t="inlineStr">
        <is>
          <t>IMPORTANT</t>
        </is>
      </c>
      <c r="P782" s="8" t="inlineStr">
        <is>
          <t>31/08/2026 02:59</t>
        </is>
      </c>
    </row>
    <row r="783">
      <c r="A783" s="7" t="inlineStr">
        <is>
          <t>WHAP 8x8</t>
        </is>
      </c>
      <c r="B783" s="7" t="inlineStr">
        <is>
          <t>WHAP-0779</t>
        </is>
      </c>
      <c r="C783" s="7" t="inlineStr">
        <is>
          <t>ROU-0779</t>
        </is>
      </c>
      <c r="D783" s="7" t="inlineStr">
        <is>
          <t>moyeu — AVG2</t>
        </is>
      </c>
      <c r="E783" s="7" t="inlineStr">
        <is>
          <t>Roues et pneus</t>
        </is>
      </c>
      <c r="F783" s="7" t="inlineStr">
        <is>
          <t>Roues et pneus</t>
        </is>
      </c>
      <c r="G783" s="7" t="inlineStr">
        <is>
          <t>PIECE_VEHICULE</t>
        </is>
      </c>
      <c r="H783" s="7" t="n">
        <v>1</v>
      </c>
      <c r="I783" s="7">
        <f>H783*$D$3</f>
        <v/>
      </c>
      <c r="J783" s="7" t="inlineStr">
        <is>
          <t>unité</t>
        </is>
      </c>
      <c r="K783" s="7" t="n">
        <v>0</v>
      </c>
      <c r="L783" s="7">
        <f>K783-I783</f>
        <v/>
      </c>
      <c r="M783" s="7">
        <f>IF(K783&lt;I783,"✕ INSUFFISANT",IF(K783&lt;I783*1.2,"⚠ STOCK FAIBLE","✓ COUVERT"))</f>
        <v/>
      </c>
      <c r="N783" s="7" t="inlineStr">
        <is>
          <t>SUM</t>
        </is>
      </c>
      <c r="O783" s="7" t="inlineStr">
        <is>
          <t>IMPORTANT</t>
        </is>
      </c>
      <c r="P783" s="7" t="inlineStr">
        <is>
          <t>31/08/2026 02:59</t>
        </is>
      </c>
    </row>
    <row r="784">
      <c r="A784" s="8" t="inlineStr">
        <is>
          <t>WHAP 8x8</t>
        </is>
      </c>
      <c r="B784" s="8" t="inlineStr">
        <is>
          <t>WHAP-0780</t>
        </is>
      </c>
      <c r="C784" s="8" t="inlineStr">
        <is>
          <t>ROU-0780</t>
        </is>
      </c>
      <c r="D784" s="8" t="inlineStr">
        <is>
          <t>cache-moyeu — AVG2</t>
        </is>
      </c>
      <c r="E784" s="8" t="inlineStr">
        <is>
          <t>Roues et pneus</t>
        </is>
      </c>
      <c r="F784" s="8" t="inlineStr">
        <is>
          <t>Roues et pneus</t>
        </is>
      </c>
      <c r="G784" s="8" t="inlineStr">
        <is>
          <t>PIECE_VEHICULE</t>
        </is>
      </c>
      <c r="H784" s="8" t="n">
        <v>1</v>
      </c>
      <c r="I784" s="8">
        <f>H784*$D$3</f>
        <v/>
      </c>
      <c r="J784" s="8" t="inlineStr">
        <is>
          <t>unité</t>
        </is>
      </c>
      <c r="K784" s="8" t="n">
        <v>0</v>
      </c>
      <c r="L784" s="8">
        <f>K784-I784</f>
        <v/>
      </c>
      <c r="M784" s="8">
        <f>IF(K784&lt;I784,"✕ INSUFFISANT",IF(K784&lt;I784*1.2,"⚠ STOCK FAIBLE","✓ COUVERT"))</f>
        <v/>
      </c>
      <c r="N784" s="8" t="inlineStr">
        <is>
          <t>VAL</t>
        </is>
      </c>
      <c r="O784" s="8" t="inlineStr">
        <is>
          <t>IMPORTANT</t>
        </is>
      </c>
      <c r="P784" s="8" t="inlineStr">
        <is>
          <t>31/08/2026 02:59</t>
        </is>
      </c>
    </row>
    <row r="785">
      <c r="A785" s="7" t="inlineStr">
        <is>
          <t>WHAP 8x8</t>
        </is>
      </c>
      <c r="B785" s="7" t="inlineStr">
        <is>
          <t>WHAP-0781</t>
        </is>
      </c>
      <c r="C785" s="7" t="inlineStr">
        <is>
          <t>ROU-0781</t>
        </is>
      </c>
      <c r="D785" s="7" t="inlineStr">
        <is>
          <t>joint de moyeu — AVG2</t>
        </is>
      </c>
      <c r="E785" s="7" t="inlineStr">
        <is>
          <t>Roues et pneus</t>
        </is>
      </c>
      <c r="F785" s="7" t="inlineStr">
        <is>
          <t>Roues et pneus</t>
        </is>
      </c>
      <c r="G785" s="7" t="inlineStr">
        <is>
          <t>PIECE_VEHICULE</t>
        </is>
      </c>
      <c r="H785" s="7" t="n">
        <v>1</v>
      </c>
      <c r="I785" s="7">
        <f>H785*$D$3</f>
        <v/>
      </c>
      <c r="J785" s="7" t="inlineStr">
        <is>
          <t>unité</t>
        </is>
      </c>
      <c r="K785" s="7" t="n">
        <v>0</v>
      </c>
      <c r="L785" s="7">
        <f>K785-I785</f>
        <v/>
      </c>
      <c r="M785" s="7">
        <f>IF(K785&lt;I785,"✕ INSUFFISANT",IF(K785&lt;I785*1.2,"⚠ STOCK FAIBLE","✓ COUVERT"))</f>
        <v/>
      </c>
      <c r="N785" s="7" t="inlineStr">
        <is>
          <t>VAL</t>
        </is>
      </c>
      <c r="O785" s="7" t="inlineStr">
        <is>
          <t>IMPORTANT</t>
        </is>
      </c>
      <c r="P785" s="7" t="inlineStr">
        <is>
          <t>31/08/2026 02:59</t>
        </is>
      </c>
    </row>
    <row r="786">
      <c r="A786" s="8" t="inlineStr">
        <is>
          <t>WHAP 8x8</t>
        </is>
      </c>
      <c r="B786" s="8" t="inlineStr">
        <is>
          <t>WHAP-0782</t>
        </is>
      </c>
      <c r="C786" s="8" t="inlineStr">
        <is>
          <t>ROU-0782</t>
        </is>
      </c>
      <c r="D786" s="8" t="inlineStr">
        <is>
          <t>roulement de roue — AVG2</t>
        </is>
      </c>
      <c r="E786" s="8" t="inlineStr">
        <is>
          <t>Roues et pneus</t>
        </is>
      </c>
      <c r="F786" s="8" t="inlineStr">
        <is>
          <t>Roues et pneus</t>
        </is>
      </c>
      <c r="G786" s="8" t="inlineStr">
        <is>
          <t>PIECE_VEHICULE</t>
        </is>
      </c>
      <c r="H786" s="8" t="n">
        <v>1</v>
      </c>
      <c r="I786" s="8">
        <f>H786*$D$3</f>
        <v/>
      </c>
      <c r="J786" s="8" t="inlineStr">
        <is>
          <t>unité</t>
        </is>
      </c>
      <c r="K786" s="8" t="n">
        <v>0</v>
      </c>
      <c r="L786" s="8">
        <f>K786-I786</f>
        <v/>
      </c>
      <c r="M786" s="8">
        <f>IF(K786&lt;I786,"✕ INSUFFISANT",IF(K786&lt;I786*1.2,"⚠ STOCK FAIBLE","✓ COUVERT"))</f>
        <v/>
      </c>
      <c r="N786" s="8" t="inlineStr">
        <is>
          <t>MAG</t>
        </is>
      </c>
      <c r="O786" s="8" t="inlineStr">
        <is>
          <t>IMPORTANT</t>
        </is>
      </c>
      <c r="P786" s="8" t="inlineStr">
        <is>
          <t>31/08/2026 02:59</t>
        </is>
      </c>
    </row>
    <row r="787">
      <c r="A787" s="7" t="inlineStr">
        <is>
          <t>WHAP 8x8</t>
        </is>
      </c>
      <c r="B787" s="7" t="inlineStr">
        <is>
          <t>WHAP-0783</t>
        </is>
      </c>
      <c r="C787" s="7" t="inlineStr">
        <is>
          <t>ROU-0783</t>
        </is>
      </c>
      <c r="D787" s="7" t="inlineStr">
        <is>
          <t>bague de roulement — AVG2</t>
        </is>
      </c>
      <c r="E787" s="7" t="inlineStr">
        <is>
          <t>Roues et pneus</t>
        </is>
      </c>
      <c r="F787" s="7" t="inlineStr">
        <is>
          <t>Roues et pneus</t>
        </is>
      </c>
      <c r="G787" s="7" t="inlineStr">
        <is>
          <t>PIECE_VEHICULE</t>
        </is>
      </c>
      <c r="H787" s="7" t="n">
        <v>1</v>
      </c>
      <c r="I787" s="7">
        <f>H787*$D$3</f>
        <v/>
      </c>
      <c r="J787" s="7" t="inlineStr">
        <is>
          <t>unité</t>
        </is>
      </c>
      <c r="K787" s="7" t="n">
        <v>0</v>
      </c>
      <c r="L787" s="7">
        <f>K787-I787</f>
        <v/>
      </c>
      <c r="M787" s="7">
        <f>IF(K787&lt;I787,"✕ INSUFFISANT",IF(K787&lt;I787*1.2,"⚠ STOCK FAIBLE","✓ COUVERT"))</f>
        <v/>
      </c>
      <c r="N787" s="7" t="inlineStr">
        <is>
          <t>SKF</t>
        </is>
      </c>
      <c r="O787" s="7" t="inlineStr">
        <is>
          <t>IMPORTANT</t>
        </is>
      </c>
      <c r="P787" s="7" t="inlineStr">
        <is>
          <t>31/08/2026 02:59</t>
        </is>
      </c>
    </row>
    <row r="788">
      <c r="A788" s="8" t="inlineStr">
        <is>
          <t>WHAP 8x8</t>
        </is>
      </c>
      <c r="B788" s="8" t="inlineStr">
        <is>
          <t>WHAP-0784</t>
        </is>
      </c>
      <c r="C788" s="8" t="inlineStr">
        <is>
          <t>ROU-0784</t>
        </is>
      </c>
      <c r="D788" s="8" t="inlineStr">
        <is>
          <t>anneau de retenue — AVG2</t>
        </is>
      </c>
      <c r="E788" s="8" t="inlineStr">
        <is>
          <t>Roues et pneus</t>
        </is>
      </c>
      <c r="F788" s="8" t="inlineStr">
        <is>
          <t>Roues et pneus</t>
        </is>
      </c>
      <c r="G788" s="8" t="inlineStr">
        <is>
          <t>PIECE_VEHICULE</t>
        </is>
      </c>
      <c r="H788" s="8" t="n">
        <v>1</v>
      </c>
      <c r="I788" s="8">
        <f>H788*$D$3</f>
        <v/>
      </c>
      <c r="J788" s="8" t="inlineStr">
        <is>
          <t>unité</t>
        </is>
      </c>
      <c r="K788" s="8" t="n">
        <v>0</v>
      </c>
      <c r="L788" s="8">
        <f>K788-I788</f>
        <v/>
      </c>
      <c r="M788" s="8">
        <f>IF(K788&lt;I788,"✕ INSUFFISANT",IF(K788&lt;I788*1.2,"⚠ STOCK FAIBLE","✓ COUVERT"))</f>
        <v/>
      </c>
      <c r="N788" s="8" t="inlineStr">
        <is>
          <t>SUM</t>
        </is>
      </c>
      <c r="O788" s="8" t="inlineStr">
        <is>
          <t>IMPORTANT</t>
        </is>
      </c>
      <c r="P788" s="8" t="inlineStr">
        <is>
          <t>31/08/2026 02:59</t>
        </is>
      </c>
    </row>
    <row r="789">
      <c r="A789" s="7" t="inlineStr">
        <is>
          <t>WHAP 8x8</t>
        </is>
      </c>
      <c r="B789" s="7" t="inlineStr">
        <is>
          <t>WHAP-0785</t>
        </is>
      </c>
      <c r="C789" s="7" t="inlineStr">
        <is>
          <t>ROU-0785</t>
        </is>
      </c>
      <c r="D789" s="7" t="inlineStr">
        <is>
          <t>disque de jante — AVG2</t>
        </is>
      </c>
      <c r="E789" s="7" t="inlineStr">
        <is>
          <t>Roues et pneus</t>
        </is>
      </c>
      <c r="F789" s="7" t="inlineStr">
        <is>
          <t>Roues et pneus</t>
        </is>
      </c>
      <c r="G789" s="7" t="inlineStr">
        <is>
          <t>PIECE_VEHICULE</t>
        </is>
      </c>
      <c r="H789" s="7" t="n">
        <v>1</v>
      </c>
      <c r="I789" s="7">
        <f>H789*$D$3</f>
        <v/>
      </c>
      <c r="J789" s="7" t="inlineStr">
        <is>
          <t>unité</t>
        </is>
      </c>
      <c r="K789" s="7" t="n">
        <v>0</v>
      </c>
      <c r="L789" s="7">
        <f>K789-I789</f>
        <v/>
      </c>
      <c r="M789" s="7">
        <f>IF(K789&lt;I789,"✕ INSUFFISANT",IF(K789&lt;I789*1.2,"⚠ STOCK FAIBLE","✓ COUVERT"))</f>
        <v/>
      </c>
      <c r="N789" s="7" t="inlineStr">
        <is>
          <t>SKF</t>
        </is>
      </c>
      <c r="O789" s="7" t="inlineStr">
        <is>
          <t>IMPORTANT</t>
        </is>
      </c>
      <c r="P789" s="7" t="inlineStr">
        <is>
          <t>31/08/2026 02:59</t>
        </is>
      </c>
    </row>
    <row r="790">
      <c r="A790" s="8" t="inlineStr">
        <is>
          <t>WHAP 8x8</t>
        </is>
      </c>
      <c r="B790" s="8" t="inlineStr">
        <is>
          <t>WHAP-0786</t>
        </is>
      </c>
      <c r="C790" s="8" t="inlineStr">
        <is>
          <t>ROU-0786</t>
        </is>
      </c>
      <c r="D790" s="8" t="inlineStr">
        <is>
          <t>cerclage de jante — AVG2</t>
        </is>
      </c>
      <c r="E790" s="8" t="inlineStr">
        <is>
          <t>Roues et pneus</t>
        </is>
      </c>
      <c r="F790" s="8" t="inlineStr">
        <is>
          <t>Roues et pneus</t>
        </is>
      </c>
      <c r="G790" s="8" t="inlineStr">
        <is>
          <t>PIECE_VEHICULE</t>
        </is>
      </c>
      <c r="H790" s="8" t="n">
        <v>1</v>
      </c>
      <c r="I790" s="8">
        <f>H790*$D$3</f>
        <v/>
      </c>
      <c r="J790" s="8" t="inlineStr">
        <is>
          <t>unité</t>
        </is>
      </c>
      <c r="K790" s="8" t="n">
        <v>0</v>
      </c>
      <c r="L790" s="8">
        <f>K790-I790</f>
        <v/>
      </c>
      <c r="M790" s="8">
        <f>IF(K790&lt;I790,"✕ INSUFFISANT",IF(K790&lt;I790*1.2,"⚠ STOCK FAIBLE","✓ COUVERT"))</f>
        <v/>
      </c>
      <c r="N790" s="8" t="inlineStr">
        <is>
          <t>DEL</t>
        </is>
      </c>
      <c r="O790" s="8" t="inlineStr">
        <is>
          <t>IMPORTANT</t>
        </is>
      </c>
      <c r="P790" s="8" t="inlineStr">
        <is>
          <t>31/08/2026 02:59</t>
        </is>
      </c>
    </row>
    <row r="791">
      <c r="A791" s="7" t="inlineStr">
        <is>
          <t>WHAP 8x8</t>
        </is>
      </c>
      <c r="B791" s="7" t="inlineStr">
        <is>
          <t>WHAP-0787</t>
        </is>
      </c>
      <c r="C791" s="7" t="inlineStr">
        <is>
          <t>ROU-0787</t>
        </is>
      </c>
      <c r="D791" s="7" t="inlineStr">
        <is>
          <t>système CTIS — AVG2</t>
        </is>
      </c>
      <c r="E791" s="7" t="inlineStr">
        <is>
          <t>Roues et pneus</t>
        </is>
      </c>
      <c r="F791" s="7" t="inlineStr">
        <is>
          <t>Roues et pneus</t>
        </is>
      </c>
      <c r="G791" s="7" t="inlineStr">
        <is>
          <t>PIECE_VEHICULE</t>
        </is>
      </c>
      <c r="H791" s="7" t="n">
        <v>1</v>
      </c>
      <c r="I791" s="7">
        <f>H791*$D$3</f>
        <v/>
      </c>
      <c r="J791" s="7" t="inlineStr">
        <is>
          <t>unité</t>
        </is>
      </c>
      <c r="K791" s="7" t="n">
        <v>0</v>
      </c>
      <c r="L791" s="7">
        <f>K791-I791</f>
        <v/>
      </c>
      <c r="M791" s="7">
        <f>IF(K791&lt;I791,"✕ INSUFFISANT",IF(K791&lt;I791*1.2,"⚠ STOCK FAIBLE","✓ COUVERT"))</f>
        <v/>
      </c>
      <c r="N791" s="7" t="inlineStr">
        <is>
          <t>FAU</t>
        </is>
      </c>
      <c r="O791" s="7" t="inlineStr">
        <is>
          <t>IMPORTANT</t>
        </is>
      </c>
      <c r="P791" s="7" t="inlineStr">
        <is>
          <t>31/08/2026 02:59</t>
        </is>
      </c>
    </row>
    <row r="792">
      <c r="A792" s="8" t="inlineStr">
        <is>
          <t>WHAP 8x8</t>
        </is>
      </c>
      <c r="B792" s="8" t="inlineStr">
        <is>
          <t>WHAP-0788</t>
        </is>
      </c>
      <c r="C792" s="8" t="inlineStr">
        <is>
          <t>ROU-0788</t>
        </is>
      </c>
      <c r="D792" s="8" t="inlineStr">
        <is>
          <t>rotor CTIS — AVG2</t>
        </is>
      </c>
      <c r="E792" s="8" t="inlineStr">
        <is>
          <t>Roues et pneus</t>
        </is>
      </c>
      <c r="F792" s="8" t="inlineStr">
        <is>
          <t>Roues et pneus</t>
        </is>
      </c>
      <c r="G792" s="8" t="inlineStr">
        <is>
          <t>PIECE_VEHICULE</t>
        </is>
      </c>
      <c r="H792" s="8" t="n">
        <v>1</v>
      </c>
      <c r="I792" s="8">
        <f>H792*$D$3</f>
        <v/>
      </c>
      <c r="J792" s="8" t="inlineStr">
        <is>
          <t>unité</t>
        </is>
      </c>
      <c r="K792" s="8" t="n">
        <v>0</v>
      </c>
      <c r="L792" s="8">
        <f>K792-I792</f>
        <v/>
      </c>
      <c r="M792" s="8">
        <f>IF(K792&lt;I792,"✕ INSUFFISANT",IF(K792&lt;I792*1.2,"⚠ STOCK FAIBLE","✓ COUVERT"))</f>
        <v/>
      </c>
      <c r="N792" s="8" t="inlineStr">
        <is>
          <t>SUM</t>
        </is>
      </c>
      <c r="O792" s="8" t="inlineStr">
        <is>
          <t>IMPORTANT</t>
        </is>
      </c>
      <c r="P792" s="8" t="inlineStr">
        <is>
          <t>31/08/2026 02:59</t>
        </is>
      </c>
    </row>
    <row r="793">
      <c r="A793" s="7" t="inlineStr">
        <is>
          <t>WHAP 8x8</t>
        </is>
      </c>
      <c r="B793" s="7" t="inlineStr">
        <is>
          <t>WHAP-0789</t>
        </is>
      </c>
      <c r="C793" s="7" t="inlineStr">
        <is>
          <t>ROU-0789</t>
        </is>
      </c>
      <c r="D793" s="7" t="inlineStr">
        <is>
          <t>joint tournant CTIS — AVG2</t>
        </is>
      </c>
      <c r="E793" s="7" t="inlineStr">
        <is>
          <t>Roues et pneus</t>
        </is>
      </c>
      <c r="F793" s="7" t="inlineStr">
        <is>
          <t>Roues et pneus</t>
        </is>
      </c>
      <c r="G793" s="7" t="inlineStr">
        <is>
          <t>PIECE_VEHICULE</t>
        </is>
      </c>
      <c r="H793" s="7" t="n">
        <v>1</v>
      </c>
      <c r="I793" s="7">
        <f>H793*$D$3</f>
        <v/>
      </c>
      <c r="J793" s="7" t="inlineStr">
        <is>
          <t>unité</t>
        </is>
      </c>
      <c r="K793" s="7" t="n">
        <v>0</v>
      </c>
      <c r="L793" s="7">
        <f>K793-I793</f>
        <v/>
      </c>
      <c r="M793" s="7">
        <f>IF(K793&lt;I793,"✕ INSUFFISANT",IF(K793&lt;I793*1.2,"⚠ STOCK FAIBLE","✓ COUVERT"))</f>
        <v/>
      </c>
      <c r="N793" s="7" t="inlineStr">
        <is>
          <t>YZK</t>
        </is>
      </c>
      <c r="O793" s="7" t="inlineStr">
        <is>
          <t>IMPORTANT</t>
        </is>
      </c>
      <c r="P793" s="7" t="inlineStr">
        <is>
          <t>31/08/2026 02:59</t>
        </is>
      </c>
    </row>
    <row r="794">
      <c r="A794" s="8" t="inlineStr">
        <is>
          <t>WHAP 8x8</t>
        </is>
      </c>
      <c r="B794" s="8" t="inlineStr">
        <is>
          <t>WHAP-0790</t>
        </is>
      </c>
      <c r="C794" s="8" t="inlineStr">
        <is>
          <t>ROU-0790</t>
        </is>
      </c>
      <c r="D794" s="8" t="inlineStr">
        <is>
          <t>flexible CTIS — AVG2</t>
        </is>
      </c>
      <c r="E794" s="8" t="inlineStr">
        <is>
          <t>Roues et pneus</t>
        </is>
      </c>
      <c r="F794" s="8" t="inlineStr">
        <is>
          <t>Roues et pneus</t>
        </is>
      </c>
      <c r="G794" s="8" t="inlineStr">
        <is>
          <t>PIECE_VEHICULE</t>
        </is>
      </c>
      <c r="H794" s="8" t="n">
        <v>1</v>
      </c>
      <c r="I794" s="8">
        <f>H794*$D$3</f>
        <v/>
      </c>
      <c r="J794" s="8" t="inlineStr">
        <is>
          <t>unité</t>
        </is>
      </c>
      <c r="K794" s="8" t="n">
        <v>0</v>
      </c>
      <c r="L794" s="8">
        <f>K794-I794</f>
        <v/>
      </c>
      <c r="M794" s="8">
        <f>IF(K794&lt;I794,"✕ INSUFFISANT",IF(K794&lt;I794*1.2,"⚠ STOCK FAIBLE","✓ COUVERT"))</f>
        <v/>
      </c>
      <c r="N794" s="8" t="inlineStr">
        <is>
          <t>SUM</t>
        </is>
      </c>
      <c r="O794" s="8" t="inlineStr">
        <is>
          <t>IMPORTANT</t>
        </is>
      </c>
      <c r="P794" s="8" t="inlineStr">
        <is>
          <t>31/08/2026 02:59</t>
        </is>
      </c>
    </row>
    <row r="795">
      <c r="A795" s="7" t="inlineStr">
        <is>
          <t>WHAP 8x8</t>
        </is>
      </c>
      <c r="B795" s="7" t="inlineStr">
        <is>
          <t>WHAP-0791</t>
        </is>
      </c>
      <c r="C795" s="7" t="inlineStr">
        <is>
          <t>ROU-0791</t>
        </is>
      </c>
      <c r="D795" s="7" t="inlineStr">
        <is>
          <t>raccord CTIS — AVG2</t>
        </is>
      </c>
      <c r="E795" s="7" t="inlineStr">
        <is>
          <t>Roues et pneus</t>
        </is>
      </c>
      <c r="F795" s="7" t="inlineStr">
        <is>
          <t>Roues et pneus</t>
        </is>
      </c>
      <c r="G795" s="7" t="inlineStr">
        <is>
          <t>PIECE_VEHICULE</t>
        </is>
      </c>
      <c r="H795" s="7" t="n">
        <v>1</v>
      </c>
      <c r="I795" s="7">
        <f>H795*$D$3</f>
        <v/>
      </c>
      <c r="J795" s="7" t="inlineStr">
        <is>
          <t>unité</t>
        </is>
      </c>
      <c r="K795" s="7" t="n">
        <v>0</v>
      </c>
      <c r="L795" s="7">
        <f>K795-I795</f>
        <v/>
      </c>
      <c r="M795" s="7">
        <f>IF(K795&lt;I795,"✕ INSUFFISANT",IF(K795&lt;I795*1.2,"⚠ STOCK FAIBLE","✓ COUVERT"))</f>
        <v/>
      </c>
      <c r="N795" s="7" t="inlineStr">
        <is>
          <t>BOS</t>
        </is>
      </c>
      <c r="O795" s="7" t="inlineStr">
        <is>
          <t>IMPORTANT</t>
        </is>
      </c>
      <c r="P795" s="7" t="inlineStr">
        <is>
          <t>31/08/2026 02:59</t>
        </is>
      </c>
    </row>
    <row r="796">
      <c r="A796" s="8" t="inlineStr">
        <is>
          <t>WHAP 8x8</t>
        </is>
      </c>
      <c r="B796" s="8" t="inlineStr">
        <is>
          <t>WHAP-0792</t>
        </is>
      </c>
      <c r="C796" s="8" t="inlineStr">
        <is>
          <t>ROU-0792</t>
        </is>
      </c>
      <c r="D796" s="8" t="inlineStr">
        <is>
          <t>valve CTIS — AVG2</t>
        </is>
      </c>
      <c r="E796" s="8" t="inlineStr">
        <is>
          <t>Roues et pneus</t>
        </is>
      </c>
      <c r="F796" s="8" t="inlineStr">
        <is>
          <t>Roues et pneus</t>
        </is>
      </c>
      <c r="G796" s="8" t="inlineStr">
        <is>
          <t>PIECE_VEHICULE</t>
        </is>
      </c>
      <c r="H796" s="8" t="n">
        <v>1</v>
      </c>
      <c r="I796" s="8">
        <f>H796*$D$3</f>
        <v/>
      </c>
      <c r="J796" s="8" t="inlineStr">
        <is>
          <t>unité</t>
        </is>
      </c>
      <c r="K796" s="8" t="n">
        <v>0</v>
      </c>
      <c r="L796" s="8">
        <f>K796-I796</f>
        <v/>
      </c>
      <c r="M796" s="8">
        <f>IF(K796&lt;I796,"✕ INSUFFISANT",IF(K796&lt;I796*1.2,"⚠ STOCK FAIBLE","✓ COUVERT"))</f>
        <v/>
      </c>
      <c r="N796" s="8" t="inlineStr">
        <is>
          <t>VAL</t>
        </is>
      </c>
      <c r="O796" s="8" t="inlineStr">
        <is>
          <t>IMPORTANT</t>
        </is>
      </c>
      <c r="P796" s="8" t="inlineStr">
        <is>
          <t>31/08/2026 02:59</t>
        </is>
      </c>
    </row>
    <row r="797">
      <c r="A797" s="7" t="inlineStr">
        <is>
          <t>WHAP 8x8</t>
        </is>
      </c>
      <c r="B797" s="7" t="inlineStr">
        <is>
          <t>WHAP-0793</t>
        </is>
      </c>
      <c r="C797" s="7" t="inlineStr">
        <is>
          <t>ROU-0793</t>
        </is>
      </c>
      <c r="D797" s="7" t="inlineStr">
        <is>
          <t>manomètre CTIS — AVG2</t>
        </is>
      </c>
      <c r="E797" s="7" t="inlineStr">
        <is>
          <t>Roues et pneus</t>
        </is>
      </c>
      <c r="F797" s="7" t="inlineStr">
        <is>
          <t>Roues et pneus</t>
        </is>
      </c>
      <c r="G797" s="7" t="inlineStr">
        <is>
          <t>PIECE_VEHICULE</t>
        </is>
      </c>
      <c r="H797" s="7" t="n">
        <v>1</v>
      </c>
      <c r="I797" s="7">
        <f>H797*$D$3</f>
        <v/>
      </c>
      <c r="J797" s="7" t="inlineStr">
        <is>
          <t>unité</t>
        </is>
      </c>
      <c r="K797" s="7" t="n">
        <v>0</v>
      </c>
      <c r="L797" s="7">
        <f>K797-I797</f>
        <v/>
      </c>
      <c r="M797" s="7">
        <f>IF(K797&lt;I797,"✕ INSUFFISANT",IF(K797&lt;I797*1.2,"⚠ STOCK FAIBLE","✓ COUVERT"))</f>
        <v/>
      </c>
      <c r="N797" s="7" t="inlineStr">
        <is>
          <t>MAG</t>
        </is>
      </c>
      <c r="O797" s="7" t="inlineStr">
        <is>
          <t>IMPORTANT</t>
        </is>
      </c>
      <c r="P797" s="7" t="inlineStr">
        <is>
          <t>31/08/2026 02:59</t>
        </is>
      </c>
    </row>
    <row r="798">
      <c r="A798" s="8" t="inlineStr">
        <is>
          <t>WHAP 8x8</t>
        </is>
      </c>
      <c r="B798" s="8" t="inlineStr">
        <is>
          <t>WHAP-0794</t>
        </is>
      </c>
      <c r="C798" s="8" t="inlineStr">
        <is>
          <t>ROU-0794</t>
        </is>
      </c>
      <c r="D798" s="8" t="inlineStr">
        <is>
          <t>bloc distributeur CTIS — AVG2</t>
        </is>
      </c>
      <c r="E798" s="8" t="inlineStr">
        <is>
          <t>Roues et pneus</t>
        </is>
      </c>
      <c r="F798" s="8" t="inlineStr">
        <is>
          <t>Roues et pneus</t>
        </is>
      </c>
      <c r="G798" s="8" t="inlineStr">
        <is>
          <t>PIECE_VEHICULE</t>
        </is>
      </c>
      <c r="H798" s="8" t="n">
        <v>1</v>
      </c>
      <c r="I798" s="8">
        <f>H798*$D$3</f>
        <v/>
      </c>
      <c r="J798" s="8" t="inlineStr">
        <is>
          <t>unité</t>
        </is>
      </c>
      <c r="K798" s="8" t="n">
        <v>0</v>
      </c>
      <c r="L798" s="8">
        <f>K798-I798</f>
        <v/>
      </c>
      <c r="M798" s="8">
        <f>IF(K798&lt;I798,"✕ INSUFFISANT",IF(K798&lt;I798*1.2,"⚠ STOCK FAIBLE","✓ COUVERT"))</f>
        <v/>
      </c>
      <c r="N798" s="8" t="inlineStr">
        <is>
          <t>MAG</t>
        </is>
      </c>
      <c r="O798" s="8" t="inlineStr">
        <is>
          <t>IMPORTANT</t>
        </is>
      </c>
      <c r="P798" s="8" t="inlineStr">
        <is>
          <t>31/08/2026 02:59</t>
        </is>
      </c>
    </row>
    <row r="799">
      <c r="A799" s="7" t="inlineStr">
        <is>
          <t>WHAP 8x8</t>
        </is>
      </c>
      <c r="B799" s="7" t="inlineStr">
        <is>
          <t>WHAP-0795</t>
        </is>
      </c>
      <c r="C799" s="7" t="inlineStr">
        <is>
          <t>ROU-0795</t>
        </is>
      </c>
      <c r="D799" s="7" t="inlineStr">
        <is>
          <t>jante — AVD2</t>
        </is>
      </c>
      <c r="E799" s="7" t="inlineStr">
        <is>
          <t>Roues et pneus</t>
        </is>
      </c>
      <c r="F799" s="7" t="inlineStr">
        <is>
          <t>Roues et pneus</t>
        </is>
      </c>
      <c r="G799" s="7" t="inlineStr">
        <is>
          <t>PIECE_VEHICULE</t>
        </is>
      </c>
      <c r="H799" s="7" t="n">
        <v>1</v>
      </c>
      <c r="I799" s="7">
        <f>H799*$D$3</f>
        <v/>
      </c>
      <c r="J799" s="7" t="inlineStr">
        <is>
          <t>unité</t>
        </is>
      </c>
      <c r="K799" s="7" t="n">
        <v>0</v>
      </c>
      <c r="L799" s="7">
        <f>K799-I799</f>
        <v/>
      </c>
      <c r="M799" s="7">
        <f>IF(K799&lt;I799,"✕ INSUFFISANT",IF(K799&lt;I799*1.2,"⚠ STOCK FAIBLE","✓ COUVERT"))</f>
        <v/>
      </c>
      <c r="N799" s="7" t="inlineStr">
        <is>
          <t>CTL</t>
        </is>
      </c>
      <c r="O799" s="7" t="inlineStr">
        <is>
          <t>IMPORTANT</t>
        </is>
      </c>
      <c r="P799" s="7" t="inlineStr">
        <is>
          <t>31/08/2026 02:59</t>
        </is>
      </c>
    </row>
    <row r="800">
      <c r="A800" s="8" t="inlineStr">
        <is>
          <t>WHAP 8x8</t>
        </is>
      </c>
      <c r="B800" s="8" t="inlineStr">
        <is>
          <t>WHAP-0796</t>
        </is>
      </c>
      <c r="C800" s="8" t="inlineStr">
        <is>
          <t>ROU-0796</t>
        </is>
      </c>
      <c r="D800" s="8" t="inlineStr">
        <is>
          <t>roue complète — AVD2</t>
        </is>
      </c>
      <c r="E800" s="8" t="inlineStr">
        <is>
          <t>Roues et pneus</t>
        </is>
      </c>
      <c r="F800" s="8" t="inlineStr">
        <is>
          <t>Roues et pneus</t>
        </is>
      </c>
      <c r="G800" s="8" t="inlineStr">
        <is>
          <t>PIECE_VEHICULE</t>
        </is>
      </c>
      <c r="H800" s="8" t="n">
        <v>1</v>
      </c>
      <c r="I800" s="8">
        <f>H800*$D$3</f>
        <v/>
      </c>
      <c r="J800" s="8" t="inlineStr">
        <is>
          <t>unité</t>
        </is>
      </c>
      <c r="K800" s="8" t="n">
        <v>0</v>
      </c>
      <c r="L800" s="8">
        <f>K800-I800</f>
        <v/>
      </c>
      <c r="M800" s="8">
        <f>IF(K800&lt;I800,"✕ INSUFFISANT",IF(K800&lt;I800*1.2,"⚠ STOCK FAIBLE","✓ COUVERT"))</f>
        <v/>
      </c>
      <c r="N800" s="8" t="inlineStr">
        <is>
          <t>SKF</t>
        </is>
      </c>
      <c r="O800" s="8" t="inlineStr">
        <is>
          <t>IMPORTANT</t>
        </is>
      </c>
      <c r="P800" s="8" t="inlineStr">
        <is>
          <t>31/08/2026 02:59</t>
        </is>
      </c>
    </row>
    <row r="801">
      <c r="A801" s="7" t="inlineStr">
        <is>
          <t>WHAP 8x8</t>
        </is>
      </c>
      <c r="B801" s="7" t="inlineStr">
        <is>
          <t>WHAP-0797</t>
        </is>
      </c>
      <c r="C801" s="7" t="inlineStr">
        <is>
          <t>ROU-0797</t>
        </is>
      </c>
      <c r="D801" s="7" t="inlineStr">
        <is>
          <t>pneu — AVD2</t>
        </is>
      </c>
      <c r="E801" s="7" t="inlineStr">
        <is>
          <t>Roues et pneus</t>
        </is>
      </c>
      <c r="F801" s="7" t="inlineStr">
        <is>
          <t>Roues et pneus</t>
        </is>
      </c>
      <c r="G801" s="7" t="inlineStr">
        <is>
          <t>PIECE_VEHICULE</t>
        </is>
      </c>
      <c r="H801" s="7" t="n">
        <v>1</v>
      </c>
      <c r="I801" s="7">
        <f>H801*$D$3</f>
        <v/>
      </c>
      <c r="J801" s="7" t="inlineStr">
        <is>
          <t>unité</t>
        </is>
      </c>
      <c r="K801" s="7" t="n">
        <v>0</v>
      </c>
      <c r="L801" s="7">
        <f>K801-I801</f>
        <v/>
      </c>
      <c r="M801" s="7">
        <f>IF(K801&lt;I801,"✕ INSUFFISANT",IF(K801&lt;I801*1.2,"⚠ STOCK FAIBLE","✓ COUVERT"))</f>
        <v/>
      </c>
      <c r="N801" s="7" t="inlineStr">
        <is>
          <t>HEL</t>
        </is>
      </c>
      <c r="O801" s="7" t="inlineStr">
        <is>
          <t>IMPORTANT</t>
        </is>
      </c>
      <c r="P801" s="7" t="inlineStr">
        <is>
          <t>31/08/2026 02:59</t>
        </is>
      </c>
    </row>
    <row r="802">
      <c r="A802" s="8" t="inlineStr">
        <is>
          <t>WHAP 8x8</t>
        </is>
      </c>
      <c r="B802" s="8" t="inlineStr">
        <is>
          <t>WHAP-0798</t>
        </is>
      </c>
      <c r="C802" s="8" t="inlineStr">
        <is>
          <t>ROU-0798</t>
        </is>
      </c>
      <c r="D802" s="8" t="inlineStr">
        <is>
          <t>insert run-flat — AVD2</t>
        </is>
      </c>
      <c r="E802" s="8" t="inlineStr">
        <is>
          <t>Roues et pneus</t>
        </is>
      </c>
      <c r="F802" s="8" t="inlineStr">
        <is>
          <t>Roues et pneus</t>
        </is>
      </c>
      <c r="G802" s="8" t="inlineStr">
        <is>
          <t>PIECE_VEHICULE</t>
        </is>
      </c>
      <c r="H802" s="8" t="n">
        <v>1</v>
      </c>
      <c r="I802" s="8">
        <f>H802*$D$3</f>
        <v/>
      </c>
      <c r="J802" s="8" t="inlineStr">
        <is>
          <t>unité</t>
        </is>
      </c>
      <c r="K802" s="8" t="n">
        <v>0</v>
      </c>
      <c r="L802" s="8">
        <f>K802-I802</f>
        <v/>
      </c>
      <c r="M802" s="8">
        <f>IF(K802&lt;I802,"✕ INSUFFISANT",IF(K802&lt;I802*1.2,"⚠ STOCK FAIBLE","✓ COUVERT"))</f>
        <v/>
      </c>
      <c r="N802" s="8" t="inlineStr">
        <is>
          <t>MAG</t>
        </is>
      </c>
      <c r="O802" s="8" t="inlineStr">
        <is>
          <t>IMPORTANT</t>
        </is>
      </c>
      <c r="P802" s="8" t="inlineStr">
        <is>
          <t>31/08/2026 02:59</t>
        </is>
      </c>
    </row>
    <row r="803">
      <c r="A803" s="7" t="inlineStr">
        <is>
          <t>WHAP 8x8</t>
        </is>
      </c>
      <c r="B803" s="7" t="inlineStr">
        <is>
          <t>WHAP-0799</t>
        </is>
      </c>
      <c r="C803" s="7" t="inlineStr">
        <is>
          <t>ROU-0799</t>
        </is>
      </c>
      <c r="D803" s="7" t="inlineStr">
        <is>
          <t>valve de pneu — AVD2</t>
        </is>
      </c>
      <c r="E803" s="7" t="inlineStr">
        <is>
          <t>Roues et pneus</t>
        </is>
      </c>
      <c r="F803" s="7" t="inlineStr">
        <is>
          <t>Roues et pneus</t>
        </is>
      </c>
      <c r="G803" s="7" t="inlineStr">
        <is>
          <t>PIECE_VEHICULE</t>
        </is>
      </c>
      <c r="H803" s="7" t="n">
        <v>1</v>
      </c>
      <c r="I803" s="7">
        <f>H803*$D$3</f>
        <v/>
      </c>
      <c r="J803" s="7" t="inlineStr">
        <is>
          <t>unité</t>
        </is>
      </c>
      <c r="K803" s="7" t="n">
        <v>0</v>
      </c>
      <c r="L803" s="7">
        <f>K803-I803</f>
        <v/>
      </c>
      <c r="M803" s="7">
        <f>IF(K803&lt;I803,"✕ INSUFFISANT",IF(K803&lt;I803*1.2,"⚠ STOCK FAIBLE","✓ COUVERT"))</f>
        <v/>
      </c>
      <c r="N803" s="7" t="inlineStr">
        <is>
          <t>FAU</t>
        </is>
      </c>
      <c r="O803" s="7" t="inlineStr">
        <is>
          <t>IMPORTANT</t>
        </is>
      </c>
      <c r="P803" s="7" t="inlineStr">
        <is>
          <t>31/08/2026 02:59</t>
        </is>
      </c>
    </row>
    <row r="804">
      <c r="A804" s="8" t="inlineStr">
        <is>
          <t>WHAP 8x8</t>
        </is>
      </c>
      <c r="B804" s="8" t="inlineStr">
        <is>
          <t>WHAP-0800</t>
        </is>
      </c>
      <c r="C804" s="8" t="inlineStr">
        <is>
          <t>ROU-0800</t>
        </is>
      </c>
      <c r="D804" s="8" t="inlineStr">
        <is>
          <t>capteur pression pneu — AVD2</t>
        </is>
      </c>
      <c r="E804" s="8" t="inlineStr">
        <is>
          <t>Roues et pneus</t>
        </is>
      </c>
      <c r="F804" s="8" t="inlineStr">
        <is>
          <t>Roues et pneus</t>
        </is>
      </c>
      <c r="G804" s="8" t="inlineStr">
        <is>
          <t>PIECE_VEHICULE</t>
        </is>
      </c>
      <c r="H804" s="8" t="n">
        <v>1</v>
      </c>
      <c r="I804" s="8">
        <f>H804*$D$3</f>
        <v/>
      </c>
      <c r="J804" s="8" t="inlineStr">
        <is>
          <t>unité</t>
        </is>
      </c>
      <c r="K804" s="8" t="n">
        <v>0</v>
      </c>
      <c r="L804" s="8">
        <f>K804-I804</f>
        <v/>
      </c>
      <c r="M804" s="8">
        <f>IF(K804&lt;I804,"✕ INSUFFISANT",IF(K804&lt;I804*1.2,"⚠ STOCK FAIBLE","✓ COUVERT"))</f>
        <v/>
      </c>
      <c r="N804" s="8" t="inlineStr">
        <is>
          <t>SKF</t>
        </is>
      </c>
      <c r="O804" s="8" t="inlineStr">
        <is>
          <t>IMPORTANT</t>
        </is>
      </c>
      <c r="P804" s="8" t="inlineStr">
        <is>
          <t>31/08/2026 02:59</t>
        </is>
      </c>
    </row>
    <row r="805">
      <c r="A805" s="7" t="inlineStr">
        <is>
          <t>WHAP 8x8</t>
        </is>
      </c>
      <c r="B805" s="7" t="inlineStr">
        <is>
          <t>WHAP-0801</t>
        </is>
      </c>
      <c r="C805" s="7" t="inlineStr">
        <is>
          <t>ROU-0801</t>
        </is>
      </c>
      <c r="D805" s="7" t="inlineStr">
        <is>
          <t>écrou de roue — AVD2</t>
        </is>
      </c>
      <c r="E805" s="7" t="inlineStr">
        <is>
          <t>Roues et pneus</t>
        </is>
      </c>
      <c r="F805" s="7" t="inlineStr">
        <is>
          <t>Roues et pneus</t>
        </is>
      </c>
      <c r="G805" s="7" t="inlineStr">
        <is>
          <t>PIECE_VEHICULE</t>
        </is>
      </c>
      <c r="H805" s="7" t="n">
        <v>1</v>
      </c>
      <c r="I805" s="7">
        <f>H805*$D$3</f>
        <v/>
      </c>
      <c r="J805" s="7" t="inlineStr">
        <is>
          <t>unité</t>
        </is>
      </c>
      <c r="K805" s="7" t="n">
        <v>0</v>
      </c>
      <c r="L805" s="7">
        <f>K805-I805</f>
        <v/>
      </c>
      <c r="M805" s="7">
        <f>IF(K805&lt;I805,"✕ INSUFFISANT",IF(K805&lt;I805*1.2,"⚠ STOCK FAIBLE","✓ COUVERT"))</f>
        <v/>
      </c>
      <c r="N805" s="7" t="inlineStr">
        <is>
          <t>HEL</t>
        </is>
      </c>
      <c r="O805" s="7" t="inlineStr">
        <is>
          <t>IMPORTANT</t>
        </is>
      </c>
      <c r="P805" s="7" t="inlineStr">
        <is>
          <t>31/08/2026 02:59</t>
        </is>
      </c>
    </row>
    <row r="806">
      <c r="A806" s="8" t="inlineStr">
        <is>
          <t>WHAP 8x8</t>
        </is>
      </c>
      <c r="B806" s="8" t="inlineStr">
        <is>
          <t>WHAP-0802</t>
        </is>
      </c>
      <c r="C806" s="8" t="inlineStr">
        <is>
          <t>ROU-0802</t>
        </is>
      </c>
      <c r="D806" s="8" t="inlineStr">
        <is>
          <t>goujon de roue — AVD2</t>
        </is>
      </c>
      <c r="E806" s="8" t="inlineStr">
        <is>
          <t>Roues et pneus</t>
        </is>
      </c>
      <c r="F806" s="8" t="inlineStr">
        <is>
          <t>Roues et pneus</t>
        </is>
      </c>
      <c r="G806" s="8" t="inlineStr">
        <is>
          <t>PIECE_VEHICULE</t>
        </is>
      </c>
      <c r="H806" s="8" t="n">
        <v>1</v>
      </c>
      <c r="I806" s="8">
        <f>H806*$D$3</f>
        <v/>
      </c>
      <c r="J806" s="8" t="inlineStr">
        <is>
          <t>unité</t>
        </is>
      </c>
      <c r="K806" s="8" t="n">
        <v>0</v>
      </c>
      <c r="L806" s="8">
        <f>K806-I806</f>
        <v/>
      </c>
      <c r="M806" s="8">
        <f>IF(K806&lt;I806,"✕ INSUFFISANT",IF(K806&lt;I806*1.2,"⚠ STOCK FAIBLE","✓ COUVERT"))</f>
        <v/>
      </c>
      <c r="N806" s="8" t="inlineStr">
        <is>
          <t>DEL</t>
        </is>
      </c>
      <c r="O806" s="8" t="inlineStr">
        <is>
          <t>IMPORTANT</t>
        </is>
      </c>
      <c r="P806" s="8" t="inlineStr">
        <is>
          <t>31/08/2026 02:59</t>
        </is>
      </c>
    </row>
    <row r="807">
      <c r="A807" s="7" t="inlineStr">
        <is>
          <t>WHAP 8x8</t>
        </is>
      </c>
      <c r="B807" s="7" t="inlineStr">
        <is>
          <t>WHAP-0803</t>
        </is>
      </c>
      <c r="C807" s="7" t="inlineStr">
        <is>
          <t>ROU-0803</t>
        </is>
      </c>
      <c r="D807" s="7" t="inlineStr">
        <is>
          <t>entretoise de roue — AVD2</t>
        </is>
      </c>
      <c r="E807" s="7" t="inlineStr">
        <is>
          <t>Roues et pneus</t>
        </is>
      </c>
      <c r="F807" s="7" t="inlineStr">
        <is>
          <t>Roues et pneus</t>
        </is>
      </c>
      <c r="G807" s="7" t="inlineStr">
        <is>
          <t>PIECE_VEHICULE</t>
        </is>
      </c>
      <c r="H807" s="7" t="n">
        <v>1</v>
      </c>
      <c r="I807" s="7">
        <f>H807*$D$3</f>
        <v/>
      </c>
      <c r="J807" s="7" t="inlineStr">
        <is>
          <t>unité</t>
        </is>
      </c>
      <c r="K807" s="7" t="n">
        <v>0</v>
      </c>
      <c r="L807" s="7">
        <f>K807-I807</f>
        <v/>
      </c>
      <c r="M807" s="7">
        <f>IF(K807&lt;I807,"✕ INSUFFISANT",IF(K807&lt;I807*1.2,"⚠ STOCK FAIBLE","✓ COUVERT"))</f>
        <v/>
      </c>
      <c r="N807" s="7" t="inlineStr">
        <is>
          <t>SKF</t>
        </is>
      </c>
      <c r="O807" s="7" t="inlineStr">
        <is>
          <t>IMPORTANT</t>
        </is>
      </c>
      <c r="P807" s="7" t="inlineStr">
        <is>
          <t>31/08/2026 02:59</t>
        </is>
      </c>
    </row>
    <row r="808">
      <c r="A808" s="8" t="inlineStr">
        <is>
          <t>WHAP 8x8</t>
        </is>
      </c>
      <c r="B808" s="8" t="inlineStr">
        <is>
          <t>WHAP-0804</t>
        </is>
      </c>
      <c r="C808" s="8" t="inlineStr">
        <is>
          <t>ROU-0804</t>
        </is>
      </c>
      <c r="D808" s="8" t="inlineStr">
        <is>
          <t>moyeu — AVD2</t>
        </is>
      </c>
      <c r="E808" s="8" t="inlineStr">
        <is>
          <t>Roues et pneus</t>
        </is>
      </c>
      <c r="F808" s="8" t="inlineStr">
        <is>
          <t>Roues et pneus</t>
        </is>
      </c>
      <c r="G808" s="8" t="inlineStr">
        <is>
          <t>PIECE_VEHICULE</t>
        </is>
      </c>
      <c r="H808" s="8" t="n">
        <v>1</v>
      </c>
      <c r="I808" s="8">
        <f>H808*$D$3</f>
        <v/>
      </c>
      <c r="J808" s="8" t="inlineStr">
        <is>
          <t>unité</t>
        </is>
      </c>
      <c r="K808" s="8" t="n">
        <v>0</v>
      </c>
      <c r="L808" s="8">
        <f>K808-I808</f>
        <v/>
      </c>
      <c r="M808" s="8">
        <f>IF(K808&lt;I808,"✕ INSUFFISANT",IF(K808&lt;I808*1.2,"⚠ STOCK FAIBLE","✓ COUVERT"))</f>
        <v/>
      </c>
      <c r="N808" s="8" t="inlineStr">
        <is>
          <t>SUM</t>
        </is>
      </c>
      <c r="O808" s="8" t="inlineStr">
        <is>
          <t>IMPORTANT</t>
        </is>
      </c>
      <c r="P808" s="8" t="inlineStr">
        <is>
          <t>31/08/2026 02:59</t>
        </is>
      </c>
    </row>
    <row r="809">
      <c r="A809" s="7" t="inlineStr">
        <is>
          <t>WHAP 8x8</t>
        </is>
      </c>
      <c r="B809" s="7" t="inlineStr">
        <is>
          <t>WHAP-0805</t>
        </is>
      </c>
      <c r="C809" s="7" t="inlineStr">
        <is>
          <t>ROU-0805</t>
        </is>
      </c>
      <c r="D809" s="7" t="inlineStr">
        <is>
          <t>cache-moyeu — AVD2</t>
        </is>
      </c>
      <c r="E809" s="7" t="inlineStr">
        <is>
          <t>Roues et pneus</t>
        </is>
      </c>
      <c r="F809" s="7" t="inlineStr">
        <is>
          <t>Roues et pneus</t>
        </is>
      </c>
      <c r="G809" s="7" t="inlineStr">
        <is>
          <t>PIECE_VEHICULE</t>
        </is>
      </c>
      <c r="H809" s="7" t="n">
        <v>1</v>
      </c>
      <c r="I809" s="7">
        <f>H809*$D$3</f>
        <v/>
      </c>
      <c r="J809" s="7" t="inlineStr">
        <is>
          <t>unité</t>
        </is>
      </c>
      <c r="K809" s="7" t="n">
        <v>0</v>
      </c>
      <c r="L809" s="7">
        <f>K809-I809</f>
        <v/>
      </c>
      <c r="M809" s="7">
        <f>IF(K809&lt;I809,"✕ INSUFFISANT",IF(K809&lt;I809*1.2,"⚠ STOCK FAIBLE","✓ COUVERT"))</f>
        <v/>
      </c>
      <c r="N809" s="7" t="inlineStr">
        <is>
          <t>HEL</t>
        </is>
      </c>
      <c r="O809" s="7" t="inlineStr">
        <is>
          <t>IMPORTANT</t>
        </is>
      </c>
      <c r="P809" s="7" t="inlineStr">
        <is>
          <t>31/08/2026 02:59</t>
        </is>
      </c>
    </row>
    <row r="810">
      <c r="A810" s="8" t="inlineStr">
        <is>
          <t>WHAP 8x8</t>
        </is>
      </c>
      <c r="B810" s="8" t="inlineStr">
        <is>
          <t>WHAP-0806</t>
        </is>
      </c>
      <c r="C810" s="8" t="inlineStr">
        <is>
          <t>ROU-0806</t>
        </is>
      </c>
      <c r="D810" s="8" t="inlineStr">
        <is>
          <t>joint de moyeu — AVD2</t>
        </is>
      </c>
      <c r="E810" s="8" t="inlineStr">
        <is>
          <t>Roues et pneus</t>
        </is>
      </c>
      <c r="F810" s="8" t="inlineStr">
        <is>
          <t>Roues et pneus</t>
        </is>
      </c>
      <c r="G810" s="8" t="inlineStr">
        <is>
          <t>PIECE_VEHICULE</t>
        </is>
      </c>
      <c r="H810" s="8" t="n">
        <v>1</v>
      </c>
      <c r="I810" s="8">
        <f>H810*$D$3</f>
        <v/>
      </c>
      <c r="J810" s="8" t="inlineStr">
        <is>
          <t>unité</t>
        </is>
      </c>
      <c r="K810" s="8" t="n">
        <v>0</v>
      </c>
      <c r="L810" s="8">
        <f>K810-I810</f>
        <v/>
      </c>
      <c r="M810" s="8">
        <f>IF(K810&lt;I810,"✕ INSUFFISANT",IF(K810&lt;I810*1.2,"⚠ STOCK FAIBLE","✓ COUVERT"))</f>
        <v/>
      </c>
      <c r="N810" s="8" t="inlineStr">
        <is>
          <t>MAG</t>
        </is>
      </c>
      <c r="O810" s="8" t="inlineStr">
        <is>
          <t>IMPORTANT</t>
        </is>
      </c>
      <c r="P810" s="8" t="inlineStr">
        <is>
          <t>31/08/2026 02:59</t>
        </is>
      </c>
    </row>
    <row r="811">
      <c r="A811" s="7" t="inlineStr">
        <is>
          <t>WHAP 8x8</t>
        </is>
      </c>
      <c r="B811" s="7" t="inlineStr">
        <is>
          <t>WHAP-0807</t>
        </is>
      </c>
      <c r="C811" s="7" t="inlineStr">
        <is>
          <t>ROU-0807</t>
        </is>
      </c>
      <c r="D811" s="7" t="inlineStr">
        <is>
          <t>roulement de roue — AVD2</t>
        </is>
      </c>
      <c r="E811" s="7" t="inlineStr">
        <is>
          <t>Roues et pneus</t>
        </is>
      </c>
      <c r="F811" s="7" t="inlineStr">
        <is>
          <t>Roues et pneus</t>
        </is>
      </c>
      <c r="G811" s="7" t="inlineStr">
        <is>
          <t>PIECE_VEHICULE</t>
        </is>
      </c>
      <c r="H811" s="7" t="n">
        <v>1</v>
      </c>
      <c r="I811" s="7">
        <f>H811*$D$3</f>
        <v/>
      </c>
      <c r="J811" s="7" t="inlineStr">
        <is>
          <t>unité</t>
        </is>
      </c>
      <c r="K811" s="7" t="n">
        <v>0</v>
      </c>
      <c r="L811" s="7">
        <f>K811-I811</f>
        <v/>
      </c>
      <c r="M811" s="7">
        <f>IF(K811&lt;I811,"✕ INSUFFISANT",IF(K811&lt;I811*1.2,"⚠ STOCK FAIBLE","✓ COUVERT"))</f>
        <v/>
      </c>
      <c r="N811" s="7" t="inlineStr">
        <is>
          <t>MAG</t>
        </is>
      </c>
      <c r="O811" s="7" t="inlineStr">
        <is>
          <t>IMPORTANT</t>
        </is>
      </c>
      <c r="P811" s="7" t="inlineStr">
        <is>
          <t>31/08/2026 02:59</t>
        </is>
      </c>
    </row>
    <row r="812">
      <c r="A812" s="8" t="inlineStr">
        <is>
          <t>WHAP 8x8</t>
        </is>
      </c>
      <c r="B812" s="8" t="inlineStr">
        <is>
          <t>WHAP-0808</t>
        </is>
      </c>
      <c r="C812" s="8" t="inlineStr">
        <is>
          <t>ROU-0808</t>
        </is>
      </c>
      <c r="D812" s="8" t="inlineStr">
        <is>
          <t>bague de roulement — AVD2</t>
        </is>
      </c>
      <c r="E812" s="8" t="inlineStr">
        <is>
          <t>Roues et pneus</t>
        </is>
      </c>
      <c r="F812" s="8" t="inlineStr">
        <is>
          <t>Roues et pneus</t>
        </is>
      </c>
      <c r="G812" s="8" t="inlineStr">
        <is>
          <t>PIECE_VEHICULE</t>
        </is>
      </c>
      <c r="H812" s="8" t="n">
        <v>1</v>
      </c>
      <c r="I812" s="8">
        <f>H812*$D$3</f>
        <v/>
      </c>
      <c r="J812" s="8" t="inlineStr">
        <is>
          <t>unité</t>
        </is>
      </c>
      <c r="K812" s="8" t="n">
        <v>0</v>
      </c>
      <c r="L812" s="8">
        <f>K812-I812</f>
        <v/>
      </c>
      <c r="M812" s="8">
        <f>IF(K812&lt;I812,"✕ INSUFFISANT",IF(K812&lt;I812*1.2,"⚠ STOCK FAIBLE","✓ COUVERT"))</f>
        <v/>
      </c>
      <c r="N812" s="8" t="inlineStr">
        <is>
          <t>BOS</t>
        </is>
      </c>
      <c r="O812" s="8" t="inlineStr">
        <is>
          <t>IMPORTANT</t>
        </is>
      </c>
      <c r="P812" s="8" t="inlineStr">
        <is>
          <t>31/08/2026 02:59</t>
        </is>
      </c>
    </row>
    <row r="813">
      <c r="A813" s="7" t="inlineStr">
        <is>
          <t>WHAP 8x8</t>
        </is>
      </c>
      <c r="B813" s="7" t="inlineStr">
        <is>
          <t>WHAP-0809</t>
        </is>
      </c>
      <c r="C813" s="7" t="inlineStr">
        <is>
          <t>ROU-0809</t>
        </is>
      </c>
      <c r="D813" s="7" t="inlineStr">
        <is>
          <t>anneau de retenue — AVD2</t>
        </is>
      </c>
      <c r="E813" s="7" t="inlineStr">
        <is>
          <t>Roues et pneus</t>
        </is>
      </c>
      <c r="F813" s="7" t="inlineStr">
        <is>
          <t>Roues et pneus</t>
        </is>
      </c>
      <c r="G813" s="7" t="inlineStr">
        <is>
          <t>PIECE_VEHICULE</t>
        </is>
      </c>
      <c r="H813" s="7" t="n">
        <v>1</v>
      </c>
      <c r="I813" s="7">
        <f>H813*$D$3</f>
        <v/>
      </c>
      <c r="J813" s="7" t="inlineStr">
        <is>
          <t>unité</t>
        </is>
      </c>
      <c r="K813" s="7" t="n">
        <v>0</v>
      </c>
      <c r="L813" s="7">
        <f>K813-I813</f>
        <v/>
      </c>
      <c r="M813" s="7">
        <f>IF(K813&lt;I813,"✕ INSUFFISANT",IF(K813&lt;I813*1.2,"⚠ STOCK FAIBLE","✓ COUVERT"))</f>
        <v/>
      </c>
      <c r="N813" s="7" t="inlineStr">
        <is>
          <t>SUM</t>
        </is>
      </c>
      <c r="O813" s="7" t="inlineStr">
        <is>
          <t>IMPORTANT</t>
        </is>
      </c>
      <c r="P813" s="7" t="inlineStr">
        <is>
          <t>31/08/2026 02:59</t>
        </is>
      </c>
    </row>
    <row r="814">
      <c r="A814" s="8" t="inlineStr">
        <is>
          <t>WHAP 8x8</t>
        </is>
      </c>
      <c r="B814" s="8" t="inlineStr">
        <is>
          <t>WHAP-0810</t>
        </is>
      </c>
      <c r="C814" s="8" t="inlineStr">
        <is>
          <t>ROU-0810</t>
        </is>
      </c>
      <c r="D814" s="8" t="inlineStr">
        <is>
          <t>disque de jante — AVD2</t>
        </is>
      </c>
      <c r="E814" s="8" t="inlineStr">
        <is>
          <t>Roues et pneus</t>
        </is>
      </c>
      <c r="F814" s="8" t="inlineStr">
        <is>
          <t>Roues et pneus</t>
        </is>
      </c>
      <c r="G814" s="8" t="inlineStr">
        <is>
          <t>PIECE_VEHICULE</t>
        </is>
      </c>
      <c r="H814" s="8" t="n">
        <v>1</v>
      </c>
      <c r="I814" s="8">
        <f>H814*$D$3</f>
        <v/>
      </c>
      <c r="J814" s="8" t="inlineStr">
        <is>
          <t>unité</t>
        </is>
      </c>
      <c r="K814" s="8" t="n">
        <v>0</v>
      </c>
      <c r="L814" s="8">
        <f>K814-I814</f>
        <v/>
      </c>
      <c r="M814" s="8">
        <f>IF(K814&lt;I814,"✕ INSUFFISANT",IF(K814&lt;I814*1.2,"⚠ STOCK FAIBLE","✓ COUVERT"))</f>
        <v/>
      </c>
      <c r="N814" s="8" t="inlineStr">
        <is>
          <t>MAG</t>
        </is>
      </c>
      <c r="O814" s="8" t="inlineStr">
        <is>
          <t>IMPORTANT</t>
        </is>
      </c>
      <c r="P814" s="8" t="inlineStr">
        <is>
          <t>31/08/2026 02:59</t>
        </is>
      </c>
    </row>
    <row r="815">
      <c r="A815" s="7" t="inlineStr">
        <is>
          <t>WHAP 8x8</t>
        </is>
      </c>
      <c r="B815" s="7" t="inlineStr">
        <is>
          <t>WHAP-0811</t>
        </is>
      </c>
      <c r="C815" s="7" t="inlineStr">
        <is>
          <t>ROU-0811</t>
        </is>
      </c>
      <c r="D815" s="7" t="inlineStr">
        <is>
          <t>cerclage de jante — AVD2</t>
        </is>
      </c>
      <c r="E815" s="7" t="inlineStr">
        <is>
          <t>Roues et pneus</t>
        </is>
      </c>
      <c r="F815" s="7" t="inlineStr">
        <is>
          <t>Roues et pneus</t>
        </is>
      </c>
      <c r="G815" s="7" t="inlineStr">
        <is>
          <t>PIECE_VEHICULE</t>
        </is>
      </c>
      <c r="H815" s="7" t="n">
        <v>1</v>
      </c>
      <c r="I815" s="7">
        <f>H815*$D$3</f>
        <v/>
      </c>
      <c r="J815" s="7" t="inlineStr">
        <is>
          <t>unité</t>
        </is>
      </c>
      <c r="K815" s="7" t="n">
        <v>0</v>
      </c>
      <c r="L815" s="7">
        <f>K815-I815</f>
        <v/>
      </c>
      <c r="M815" s="7">
        <f>IF(K815&lt;I815,"✕ INSUFFISANT",IF(K815&lt;I815*1.2,"⚠ STOCK FAIBLE","✓ COUVERT"))</f>
        <v/>
      </c>
      <c r="N815" s="7" t="inlineStr">
        <is>
          <t>HEL</t>
        </is>
      </c>
      <c r="O815" s="7" t="inlineStr">
        <is>
          <t>IMPORTANT</t>
        </is>
      </c>
      <c r="P815" s="7" t="inlineStr">
        <is>
          <t>31/08/2026 02:59</t>
        </is>
      </c>
    </row>
    <row r="816">
      <c r="A816" s="8" t="inlineStr">
        <is>
          <t>WHAP 8x8</t>
        </is>
      </c>
      <c r="B816" s="8" t="inlineStr">
        <is>
          <t>WHAP-0812</t>
        </is>
      </c>
      <c r="C816" s="8" t="inlineStr">
        <is>
          <t>ROU-0812</t>
        </is>
      </c>
      <c r="D816" s="8" t="inlineStr">
        <is>
          <t>système CTIS — AVD2</t>
        </is>
      </c>
      <c r="E816" s="8" t="inlineStr">
        <is>
          <t>Roues et pneus</t>
        </is>
      </c>
      <c r="F816" s="8" t="inlineStr">
        <is>
          <t>Roues et pneus</t>
        </is>
      </c>
      <c r="G816" s="8" t="inlineStr">
        <is>
          <t>PIECE_VEHICULE</t>
        </is>
      </c>
      <c r="H816" s="8" t="n">
        <v>1</v>
      </c>
      <c r="I816" s="8">
        <f>H816*$D$3</f>
        <v/>
      </c>
      <c r="J816" s="8" t="inlineStr">
        <is>
          <t>unité</t>
        </is>
      </c>
      <c r="K816" s="8" t="n">
        <v>0</v>
      </c>
      <c r="L816" s="8">
        <f>K816-I816</f>
        <v/>
      </c>
      <c r="M816" s="8">
        <f>IF(K816&lt;I816,"✕ INSUFFISANT",IF(K816&lt;I816*1.2,"⚠ STOCK FAIBLE","✓ COUVERT"))</f>
        <v/>
      </c>
      <c r="N816" s="8" t="inlineStr">
        <is>
          <t>FAU</t>
        </is>
      </c>
      <c r="O816" s="8" t="inlineStr">
        <is>
          <t>IMPORTANT</t>
        </is>
      </c>
      <c r="P816" s="8" t="inlineStr">
        <is>
          <t>31/08/2026 02:59</t>
        </is>
      </c>
    </row>
    <row r="817">
      <c r="A817" s="7" t="inlineStr">
        <is>
          <t>WHAP 8x8</t>
        </is>
      </c>
      <c r="B817" s="7" t="inlineStr">
        <is>
          <t>WHAP-0813</t>
        </is>
      </c>
      <c r="C817" s="7" t="inlineStr">
        <is>
          <t>ROU-0813</t>
        </is>
      </c>
      <c r="D817" s="7" t="inlineStr">
        <is>
          <t>rotor CTIS — AVD2</t>
        </is>
      </c>
      <c r="E817" s="7" t="inlineStr">
        <is>
          <t>Roues et pneus</t>
        </is>
      </c>
      <c r="F817" s="7" t="inlineStr">
        <is>
          <t>Roues et pneus</t>
        </is>
      </c>
      <c r="G817" s="7" t="inlineStr">
        <is>
          <t>PIECE_VEHICULE</t>
        </is>
      </c>
      <c r="H817" s="7" t="n">
        <v>1</v>
      </c>
      <c r="I817" s="7">
        <f>H817*$D$3</f>
        <v/>
      </c>
      <c r="J817" s="7" t="inlineStr">
        <is>
          <t>unité</t>
        </is>
      </c>
      <c r="K817" s="7" t="n">
        <v>0</v>
      </c>
      <c r="L817" s="7">
        <f>K817-I817</f>
        <v/>
      </c>
      <c r="M817" s="7">
        <f>IF(K817&lt;I817,"✕ INSUFFISANT",IF(K817&lt;I817*1.2,"⚠ STOCK FAIBLE","✓ COUVERT"))</f>
        <v/>
      </c>
      <c r="N817" s="7" t="inlineStr">
        <is>
          <t>VAL</t>
        </is>
      </c>
      <c r="O817" s="7" t="inlineStr">
        <is>
          <t>IMPORTANT</t>
        </is>
      </c>
      <c r="P817" s="7" t="inlineStr">
        <is>
          <t>31/08/2026 02:59</t>
        </is>
      </c>
    </row>
    <row r="818">
      <c r="A818" s="8" t="inlineStr">
        <is>
          <t>WHAP 8x8</t>
        </is>
      </c>
      <c r="B818" s="8" t="inlineStr">
        <is>
          <t>WHAP-0814</t>
        </is>
      </c>
      <c r="C818" s="8" t="inlineStr">
        <is>
          <t>ROU-0814</t>
        </is>
      </c>
      <c r="D818" s="8" t="inlineStr">
        <is>
          <t>joint tournant CTIS — AVD2</t>
        </is>
      </c>
      <c r="E818" s="8" t="inlineStr">
        <is>
          <t>Roues et pneus</t>
        </is>
      </c>
      <c r="F818" s="8" t="inlineStr">
        <is>
          <t>Roues et pneus</t>
        </is>
      </c>
      <c r="G818" s="8" t="inlineStr">
        <is>
          <t>PIECE_VEHICULE</t>
        </is>
      </c>
      <c r="H818" s="8" t="n">
        <v>1</v>
      </c>
      <c r="I818" s="8">
        <f>H818*$D$3</f>
        <v/>
      </c>
      <c r="J818" s="8" t="inlineStr">
        <is>
          <t>unité</t>
        </is>
      </c>
      <c r="K818" s="8" t="n">
        <v>0</v>
      </c>
      <c r="L818" s="8">
        <f>K818-I818</f>
        <v/>
      </c>
      <c r="M818" s="8">
        <f>IF(K818&lt;I818,"✕ INSUFFISANT",IF(K818&lt;I818*1.2,"⚠ STOCK FAIBLE","✓ COUVERT"))</f>
        <v/>
      </c>
      <c r="N818" s="8" t="inlineStr">
        <is>
          <t>FAU</t>
        </is>
      </c>
      <c r="O818" s="8" t="inlineStr">
        <is>
          <t>IMPORTANT</t>
        </is>
      </c>
      <c r="P818" s="8" t="inlineStr">
        <is>
          <t>31/08/2026 02:59</t>
        </is>
      </c>
    </row>
    <row r="819">
      <c r="A819" s="7" t="inlineStr">
        <is>
          <t>WHAP 8x8</t>
        </is>
      </c>
      <c r="B819" s="7" t="inlineStr">
        <is>
          <t>WHAP-0815</t>
        </is>
      </c>
      <c r="C819" s="7" t="inlineStr">
        <is>
          <t>ROU-0815</t>
        </is>
      </c>
      <c r="D819" s="7" t="inlineStr">
        <is>
          <t>flexible CTIS — AVD2</t>
        </is>
      </c>
      <c r="E819" s="7" t="inlineStr">
        <is>
          <t>Roues et pneus</t>
        </is>
      </c>
      <c r="F819" s="7" t="inlineStr">
        <is>
          <t>Roues et pneus</t>
        </is>
      </c>
      <c r="G819" s="7" t="inlineStr">
        <is>
          <t>PIECE_VEHICULE</t>
        </is>
      </c>
      <c r="H819" s="7" t="n">
        <v>1</v>
      </c>
      <c r="I819" s="7">
        <f>H819*$D$3</f>
        <v/>
      </c>
      <c r="J819" s="7" t="inlineStr">
        <is>
          <t>unité</t>
        </is>
      </c>
      <c r="K819" s="7" t="n">
        <v>0</v>
      </c>
      <c r="L819" s="7">
        <f>K819-I819</f>
        <v/>
      </c>
      <c r="M819" s="7">
        <f>IF(K819&lt;I819,"✕ INSUFFISANT",IF(K819&lt;I819*1.2,"⚠ STOCK FAIBLE","✓ COUVERT"))</f>
        <v/>
      </c>
      <c r="N819" s="7" t="inlineStr">
        <is>
          <t>MAG</t>
        </is>
      </c>
      <c r="O819" s="7" t="inlineStr">
        <is>
          <t>IMPORTANT</t>
        </is>
      </c>
      <c r="P819" s="7" t="inlineStr">
        <is>
          <t>31/08/2026 02:59</t>
        </is>
      </c>
    </row>
    <row r="820">
      <c r="A820" s="8" t="inlineStr">
        <is>
          <t>WHAP 8x8</t>
        </is>
      </c>
      <c r="B820" s="8" t="inlineStr">
        <is>
          <t>WHAP-0816</t>
        </is>
      </c>
      <c r="C820" s="8" t="inlineStr">
        <is>
          <t>ROU-0816</t>
        </is>
      </c>
      <c r="D820" s="8" t="inlineStr">
        <is>
          <t>raccord CTIS — AVD2</t>
        </is>
      </c>
      <c r="E820" s="8" t="inlineStr">
        <is>
          <t>Roues et pneus</t>
        </is>
      </c>
      <c r="F820" s="8" t="inlineStr">
        <is>
          <t>Roues et pneus</t>
        </is>
      </c>
      <c r="G820" s="8" t="inlineStr">
        <is>
          <t>PIECE_VEHICULE</t>
        </is>
      </c>
      <c r="H820" s="8" t="n">
        <v>1</v>
      </c>
      <c r="I820" s="8">
        <f>H820*$D$3</f>
        <v/>
      </c>
      <c r="J820" s="8" t="inlineStr">
        <is>
          <t>unité</t>
        </is>
      </c>
      <c r="K820" s="8" t="n">
        <v>0</v>
      </c>
      <c r="L820" s="8">
        <f>K820-I820</f>
        <v/>
      </c>
      <c r="M820" s="8">
        <f>IF(K820&lt;I820,"✕ INSUFFISANT",IF(K820&lt;I820*1.2,"⚠ STOCK FAIBLE","✓ COUVERT"))</f>
        <v/>
      </c>
      <c r="N820" s="8" t="inlineStr">
        <is>
          <t>CTL</t>
        </is>
      </c>
      <c r="O820" s="8" t="inlineStr">
        <is>
          <t>IMPORTANT</t>
        </is>
      </c>
      <c r="P820" s="8" t="inlineStr">
        <is>
          <t>31/08/2026 02:59</t>
        </is>
      </c>
    </row>
    <row r="821">
      <c r="A821" s="7" t="inlineStr">
        <is>
          <t>WHAP 8x8</t>
        </is>
      </c>
      <c r="B821" s="7" t="inlineStr">
        <is>
          <t>WHAP-0817</t>
        </is>
      </c>
      <c r="C821" s="7" t="inlineStr">
        <is>
          <t>ROU-0817</t>
        </is>
      </c>
      <c r="D821" s="7" t="inlineStr">
        <is>
          <t>valve CTIS — AVD2</t>
        </is>
      </c>
      <c r="E821" s="7" t="inlineStr">
        <is>
          <t>Roues et pneus</t>
        </is>
      </c>
      <c r="F821" s="7" t="inlineStr">
        <is>
          <t>Roues et pneus</t>
        </is>
      </c>
      <c r="G821" s="7" t="inlineStr">
        <is>
          <t>PIECE_VEHICULE</t>
        </is>
      </c>
      <c r="H821" s="7" t="n">
        <v>1</v>
      </c>
      <c r="I821" s="7">
        <f>H821*$D$3</f>
        <v/>
      </c>
      <c r="J821" s="7" t="inlineStr">
        <is>
          <t>unité</t>
        </is>
      </c>
      <c r="K821" s="7" t="n">
        <v>0</v>
      </c>
      <c r="L821" s="7">
        <f>K821-I821</f>
        <v/>
      </c>
      <c r="M821" s="7">
        <f>IF(K821&lt;I821,"✕ INSUFFISANT",IF(K821&lt;I821*1.2,"⚠ STOCK FAIBLE","✓ COUVERT"))</f>
        <v/>
      </c>
      <c r="N821" s="7" t="inlineStr">
        <is>
          <t>FAU</t>
        </is>
      </c>
      <c r="O821" s="7" t="inlineStr">
        <is>
          <t>IMPORTANT</t>
        </is>
      </c>
      <c r="P821" s="7" t="inlineStr">
        <is>
          <t>31/08/2026 02:59</t>
        </is>
      </c>
    </row>
    <row r="822">
      <c r="A822" s="8" t="inlineStr">
        <is>
          <t>WHAP 8x8</t>
        </is>
      </c>
      <c r="B822" s="8" t="inlineStr">
        <is>
          <t>WHAP-0818</t>
        </is>
      </c>
      <c r="C822" s="8" t="inlineStr">
        <is>
          <t>ROU-0818</t>
        </is>
      </c>
      <c r="D822" s="8" t="inlineStr">
        <is>
          <t>manomètre CTIS — AVD2</t>
        </is>
      </c>
      <c r="E822" s="8" t="inlineStr">
        <is>
          <t>Roues et pneus</t>
        </is>
      </c>
      <c r="F822" s="8" t="inlineStr">
        <is>
          <t>Roues et pneus</t>
        </is>
      </c>
      <c r="G822" s="8" t="inlineStr">
        <is>
          <t>PIECE_VEHICULE</t>
        </is>
      </c>
      <c r="H822" s="8" t="n">
        <v>1</v>
      </c>
      <c r="I822" s="8">
        <f>H822*$D$3</f>
        <v/>
      </c>
      <c r="J822" s="8" t="inlineStr">
        <is>
          <t>unité</t>
        </is>
      </c>
      <c r="K822" s="8" t="n">
        <v>0</v>
      </c>
      <c r="L822" s="8">
        <f>K822-I822</f>
        <v/>
      </c>
      <c r="M822" s="8">
        <f>IF(K822&lt;I822,"✕ INSUFFISANT",IF(K822&lt;I822*1.2,"⚠ STOCK FAIBLE","✓ COUVERT"))</f>
        <v/>
      </c>
      <c r="N822" s="8" t="inlineStr">
        <is>
          <t>BOS</t>
        </is>
      </c>
      <c r="O822" s="8" t="inlineStr">
        <is>
          <t>IMPORTANT</t>
        </is>
      </c>
      <c r="P822" s="8" t="inlineStr">
        <is>
          <t>31/08/2026 02:59</t>
        </is>
      </c>
    </row>
    <row r="823">
      <c r="A823" s="7" t="inlineStr">
        <is>
          <t>WHAP 8x8</t>
        </is>
      </c>
      <c r="B823" s="7" t="inlineStr">
        <is>
          <t>WHAP-0819</t>
        </is>
      </c>
      <c r="C823" s="7" t="inlineStr">
        <is>
          <t>ROU-0819</t>
        </is>
      </c>
      <c r="D823" s="7" t="inlineStr">
        <is>
          <t>bloc distributeur CTIS — AVD2</t>
        </is>
      </c>
      <c r="E823" s="7" t="inlineStr">
        <is>
          <t>Roues et pneus</t>
        </is>
      </c>
      <c r="F823" s="7" t="inlineStr">
        <is>
          <t>Roues et pneus</t>
        </is>
      </c>
      <c r="G823" s="7" t="inlineStr">
        <is>
          <t>PIECE_VEHICULE</t>
        </is>
      </c>
      <c r="H823" s="7" t="n">
        <v>1</v>
      </c>
      <c r="I823" s="7">
        <f>H823*$D$3</f>
        <v/>
      </c>
      <c r="J823" s="7" t="inlineStr">
        <is>
          <t>unité</t>
        </is>
      </c>
      <c r="K823" s="7" t="n">
        <v>0</v>
      </c>
      <c r="L823" s="7">
        <f>K823-I823</f>
        <v/>
      </c>
      <c r="M823" s="7">
        <f>IF(K823&lt;I823,"✕ INSUFFISANT",IF(K823&lt;I823*1.2,"⚠ STOCK FAIBLE","✓ COUVERT"))</f>
        <v/>
      </c>
      <c r="N823" s="7" t="inlineStr">
        <is>
          <t>CTL</t>
        </is>
      </c>
      <c r="O823" s="7" t="inlineStr">
        <is>
          <t>IMPORTANT</t>
        </is>
      </c>
      <c r="P823" s="7" t="inlineStr">
        <is>
          <t>31/08/2026 02:59</t>
        </is>
      </c>
    </row>
    <row r="824">
      <c r="A824" s="8" t="inlineStr">
        <is>
          <t>WHAP 8x8</t>
        </is>
      </c>
      <c r="B824" s="8" t="inlineStr">
        <is>
          <t>WHAP-0820</t>
        </is>
      </c>
      <c r="C824" s="8" t="inlineStr">
        <is>
          <t>ROU-0820</t>
        </is>
      </c>
      <c r="D824" s="8" t="inlineStr">
        <is>
          <t>jante — ARG2</t>
        </is>
      </c>
      <c r="E824" s="8" t="inlineStr">
        <is>
          <t>Roues et pneus</t>
        </is>
      </c>
      <c r="F824" s="8" t="inlineStr">
        <is>
          <t>Roues et pneus</t>
        </is>
      </c>
      <c r="G824" s="8" t="inlineStr">
        <is>
          <t>PIECE_VEHICULE</t>
        </is>
      </c>
      <c r="H824" s="8" t="n">
        <v>1</v>
      </c>
      <c r="I824" s="8">
        <f>H824*$D$3</f>
        <v/>
      </c>
      <c r="J824" s="8" t="inlineStr">
        <is>
          <t>unité</t>
        </is>
      </c>
      <c r="K824" s="8" t="n">
        <v>0</v>
      </c>
      <c r="L824" s="8">
        <f>K824-I824</f>
        <v/>
      </c>
      <c r="M824" s="8">
        <f>IF(K824&lt;I824,"✕ INSUFFISANT",IF(K824&lt;I824*1.2,"⚠ STOCK FAIBLE","✓ COUVERT"))</f>
        <v/>
      </c>
      <c r="N824" s="8" t="inlineStr">
        <is>
          <t>CTL</t>
        </is>
      </c>
      <c r="O824" s="8" t="inlineStr">
        <is>
          <t>IMPORTANT</t>
        </is>
      </c>
      <c r="P824" s="8" t="inlineStr">
        <is>
          <t>31/08/2026 02:59</t>
        </is>
      </c>
    </row>
    <row r="825">
      <c r="A825" s="7" t="inlineStr">
        <is>
          <t>WHAP 8x8</t>
        </is>
      </c>
      <c r="B825" s="7" t="inlineStr">
        <is>
          <t>WHAP-0821</t>
        </is>
      </c>
      <c r="C825" s="7" t="inlineStr">
        <is>
          <t>ROU-0821</t>
        </is>
      </c>
      <c r="D825" s="7" t="inlineStr">
        <is>
          <t>roue complète — ARG2</t>
        </is>
      </c>
      <c r="E825" s="7" t="inlineStr">
        <is>
          <t>Roues et pneus</t>
        </is>
      </c>
      <c r="F825" s="7" t="inlineStr">
        <is>
          <t>Roues et pneus</t>
        </is>
      </c>
      <c r="G825" s="7" t="inlineStr">
        <is>
          <t>PIECE_VEHICULE</t>
        </is>
      </c>
      <c r="H825" s="7" t="n">
        <v>1</v>
      </c>
      <c r="I825" s="7">
        <f>H825*$D$3</f>
        <v/>
      </c>
      <c r="J825" s="7" t="inlineStr">
        <is>
          <t>unité</t>
        </is>
      </c>
      <c r="K825" s="7" t="n">
        <v>0</v>
      </c>
      <c r="L825" s="7">
        <f>K825-I825</f>
        <v/>
      </c>
      <c r="M825" s="7">
        <f>IF(K825&lt;I825,"✕ INSUFFISANT",IF(K825&lt;I825*1.2,"⚠ STOCK FAIBLE","✓ COUVERT"))</f>
        <v/>
      </c>
      <c r="N825" s="7" t="inlineStr">
        <is>
          <t>VAL</t>
        </is>
      </c>
      <c r="O825" s="7" t="inlineStr">
        <is>
          <t>IMPORTANT</t>
        </is>
      </c>
      <c r="P825" s="7" t="inlineStr">
        <is>
          <t>31/08/2026 02:59</t>
        </is>
      </c>
    </row>
    <row r="826">
      <c r="A826" s="8" t="inlineStr">
        <is>
          <t>WHAP 8x8</t>
        </is>
      </c>
      <c r="B826" s="8" t="inlineStr">
        <is>
          <t>WHAP-0822</t>
        </is>
      </c>
      <c r="C826" s="8" t="inlineStr">
        <is>
          <t>ROU-0822</t>
        </is>
      </c>
      <c r="D826" s="8" t="inlineStr">
        <is>
          <t>pneu — ARG2</t>
        </is>
      </c>
      <c r="E826" s="8" t="inlineStr">
        <is>
          <t>Roues et pneus</t>
        </is>
      </c>
      <c r="F826" s="8" t="inlineStr">
        <is>
          <t>Roues et pneus</t>
        </is>
      </c>
      <c r="G826" s="8" t="inlineStr">
        <is>
          <t>PIECE_VEHICULE</t>
        </is>
      </c>
      <c r="H826" s="8" t="n">
        <v>1</v>
      </c>
      <c r="I826" s="8">
        <f>H826*$D$3</f>
        <v/>
      </c>
      <c r="J826" s="8" t="inlineStr">
        <is>
          <t>unité</t>
        </is>
      </c>
      <c r="K826" s="8" t="n">
        <v>0</v>
      </c>
      <c r="L826" s="8">
        <f>K826-I826</f>
        <v/>
      </c>
      <c r="M826" s="8">
        <f>IF(K826&lt;I826,"✕ INSUFFISANT",IF(K826&lt;I826*1.2,"⚠ STOCK FAIBLE","✓ COUVERT"))</f>
        <v/>
      </c>
      <c r="N826" s="8" t="inlineStr">
        <is>
          <t>FAU</t>
        </is>
      </c>
      <c r="O826" s="8" t="inlineStr">
        <is>
          <t>IMPORTANT</t>
        </is>
      </c>
      <c r="P826" s="8" t="inlineStr">
        <is>
          <t>31/08/2026 02:59</t>
        </is>
      </c>
    </row>
    <row r="827">
      <c r="A827" s="7" t="inlineStr">
        <is>
          <t>WHAP 8x8</t>
        </is>
      </c>
      <c r="B827" s="7" t="inlineStr">
        <is>
          <t>WHAP-0823</t>
        </is>
      </c>
      <c r="C827" s="7" t="inlineStr">
        <is>
          <t>ROU-0823</t>
        </is>
      </c>
      <c r="D827" s="7" t="inlineStr">
        <is>
          <t>insert run-flat — ARG2</t>
        </is>
      </c>
      <c r="E827" s="7" t="inlineStr">
        <is>
          <t>Roues et pneus</t>
        </is>
      </c>
      <c r="F827" s="7" t="inlineStr">
        <is>
          <t>Roues et pneus</t>
        </is>
      </c>
      <c r="G827" s="7" t="inlineStr">
        <is>
          <t>PIECE_VEHICULE</t>
        </is>
      </c>
      <c r="H827" s="7" t="n">
        <v>1</v>
      </c>
      <c r="I827" s="7">
        <f>H827*$D$3</f>
        <v/>
      </c>
      <c r="J827" s="7" t="inlineStr">
        <is>
          <t>unité</t>
        </is>
      </c>
      <c r="K827" s="7" t="n">
        <v>0</v>
      </c>
      <c r="L827" s="7">
        <f>K827-I827</f>
        <v/>
      </c>
      <c r="M827" s="7">
        <f>IF(K827&lt;I827,"✕ INSUFFISANT",IF(K827&lt;I827*1.2,"⚠ STOCK FAIBLE","✓ COUVERT"))</f>
        <v/>
      </c>
      <c r="N827" s="7" t="inlineStr">
        <is>
          <t>SUM</t>
        </is>
      </c>
      <c r="O827" s="7" t="inlineStr">
        <is>
          <t>IMPORTANT</t>
        </is>
      </c>
      <c r="P827" s="7" t="inlineStr">
        <is>
          <t>31/08/2026 02:59</t>
        </is>
      </c>
    </row>
    <row r="828">
      <c r="A828" s="8" t="inlineStr">
        <is>
          <t>WHAP 8x8</t>
        </is>
      </c>
      <c r="B828" s="8" t="inlineStr">
        <is>
          <t>WHAP-0824</t>
        </is>
      </c>
      <c r="C828" s="8" t="inlineStr">
        <is>
          <t>ROU-0824</t>
        </is>
      </c>
      <c r="D828" s="8" t="inlineStr">
        <is>
          <t>valve de pneu — ARG2</t>
        </is>
      </c>
      <c r="E828" s="8" t="inlineStr">
        <is>
          <t>Roues et pneus</t>
        </is>
      </c>
      <c r="F828" s="8" t="inlineStr">
        <is>
          <t>Roues et pneus</t>
        </is>
      </c>
      <c r="G828" s="8" t="inlineStr">
        <is>
          <t>PIECE_VEHICULE</t>
        </is>
      </c>
      <c r="H828" s="8" t="n">
        <v>1</v>
      </c>
      <c r="I828" s="8">
        <f>H828*$D$3</f>
        <v/>
      </c>
      <c r="J828" s="8" t="inlineStr">
        <is>
          <t>unité</t>
        </is>
      </c>
      <c r="K828" s="8" t="n">
        <v>0</v>
      </c>
      <c r="L828" s="8">
        <f>K828-I828</f>
        <v/>
      </c>
      <c r="M828" s="8">
        <f>IF(K828&lt;I828,"✕ INSUFFISANT",IF(K828&lt;I828*1.2,"⚠ STOCK FAIBLE","✓ COUVERT"))</f>
        <v/>
      </c>
      <c r="N828" s="8" t="inlineStr">
        <is>
          <t>VAL</t>
        </is>
      </c>
      <c r="O828" s="8" t="inlineStr">
        <is>
          <t>IMPORTANT</t>
        </is>
      </c>
      <c r="P828" s="8" t="inlineStr">
        <is>
          <t>31/08/2026 02:59</t>
        </is>
      </c>
    </row>
    <row r="829">
      <c r="A829" s="7" t="inlineStr">
        <is>
          <t>WHAP 8x8</t>
        </is>
      </c>
      <c r="B829" s="7" t="inlineStr">
        <is>
          <t>WHAP-0825</t>
        </is>
      </c>
      <c r="C829" s="7" t="inlineStr">
        <is>
          <t>ROU-0825</t>
        </is>
      </c>
      <c r="D829" s="7" t="inlineStr">
        <is>
          <t>capteur pression pneu — ARG2</t>
        </is>
      </c>
      <c r="E829" s="7" t="inlineStr">
        <is>
          <t>Roues et pneus</t>
        </is>
      </c>
      <c r="F829" s="7" t="inlineStr">
        <is>
          <t>Roues et pneus</t>
        </is>
      </c>
      <c r="G829" s="7" t="inlineStr">
        <is>
          <t>PIECE_VEHICULE</t>
        </is>
      </c>
      <c r="H829" s="7" t="n">
        <v>1</v>
      </c>
      <c r="I829" s="7">
        <f>H829*$D$3</f>
        <v/>
      </c>
      <c r="J829" s="7" t="inlineStr">
        <is>
          <t>unité</t>
        </is>
      </c>
      <c r="K829" s="7" t="n">
        <v>0</v>
      </c>
      <c r="L829" s="7">
        <f>K829-I829</f>
        <v/>
      </c>
      <c r="M829" s="7">
        <f>IF(K829&lt;I829,"✕ INSUFFISANT",IF(K829&lt;I829*1.2,"⚠ STOCK FAIBLE","✓ COUVERT"))</f>
        <v/>
      </c>
      <c r="N829" s="7" t="inlineStr">
        <is>
          <t>VAL</t>
        </is>
      </c>
      <c r="O829" s="7" t="inlineStr">
        <is>
          <t>IMPORTANT</t>
        </is>
      </c>
      <c r="P829" s="7" t="inlineStr">
        <is>
          <t>31/08/2026 02:59</t>
        </is>
      </c>
    </row>
    <row r="830">
      <c r="A830" s="8" t="inlineStr">
        <is>
          <t>WHAP 8x8</t>
        </is>
      </c>
      <c r="B830" s="8" t="inlineStr">
        <is>
          <t>WHAP-0826</t>
        </is>
      </c>
      <c r="C830" s="8" t="inlineStr">
        <is>
          <t>ROU-0826</t>
        </is>
      </c>
      <c r="D830" s="8" t="inlineStr">
        <is>
          <t>écrou de roue — ARG2</t>
        </is>
      </c>
      <c r="E830" s="8" t="inlineStr">
        <is>
          <t>Roues et pneus</t>
        </is>
      </c>
      <c r="F830" s="8" t="inlineStr">
        <is>
          <t>Roues et pneus</t>
        </is>
      </c>
      <c r="G830" s="8" t="inlineStr">
        <is>
          <t>PIECE_VEHICULE</t>
        </is>
      </c>
      <c r="H830" s="8" t="n">
        <v>1</v>
      </c>
      <c r="I830" s="8">
        <f>H830*$D$3</f>
        <v/>
      </c>
      <c r="J830" s="8" t="inlineStr">
        <is>
          <t>unité</t>
        </is>
      </c>
      <c r="K830" s="8" t="n">
        <v>0</v>
      </c>
      <c r="L830" s="8">
        <f>K830-I830</f>
        <v/>
      </c>
      <c r="M830" s="8">
        <f>IF(K830&lt;I830,"✕ INSUFFISANT",IF(K830&lt;I830*1.2,"⚠ STOCK FAIBLE","✓ COUVERT"))</f>
        <v/>
      </c>
      <c r="N830" s="8" t="inlineStr">
        <is>
          <t>FAU</t>
        </is>
      </c>
      <c r="O830" s="8" t="inlineStr">
        <is>
          <t>IMPORTANT</t>
        </is>
      </c>
      <c r="P830" s="8" t="inlineStr">
        <is>
          <t>31/08/2026 02:59</t>
        </is>
      </c>
    </row>
    <row r="831">
      <c r="A831" s="7" t="inlineStr">
        <is>
          <t>WHAP 8x8</t>
        </is>
      </c>
      <c r="B831" s="7" t="inlineStr">
        <is>
          <t>WHAP-0827</t>
        </is>
      </c>
      <c r="C831" s="7" t="inlineStr">
        <is>
          <t>ROU-0827</t>
        </is>
      </c>
      <c r="D831" s="7" t="inlineStr">
        <is>
          <t>goujon de roue — ARG2</t>
        </is>
      </c>
      <c r="E831" s="7" t="inlineStr">
        <is>
          <t>Roues et pneus</t>
        </is>
      </c>
      <c r="F831" s="7" t="inlineStr">
        <is>
          <t>Roues et pneus</t>
        </is>
      </c>
      <c r="G831" s="7" t="inlineStr">
        <is>
          <t>PIECE_VEHICULE</t>
        </is>
      </c>
      <c r="H831" s="7" t="n">
        <v>1</v>
      </c>
      <c r="I831" s="7">
        <f>H831*$D$3</f>
        <v/>
      </c>
      <c r="J831" s="7" t="inlineStr">
        <is>
          <t>unité</t>
        </is>
      </c>
      <c r="K831" s="7" t="n">
        <v>0</v>
      </c>
      <c r="L831" s="7">
        <f>K831-I831</f>
        <v/>
      </c>
      <c r="M831" s="7">
        <f>IF(K831&lt;I831,"✕ INSUFFISANT",IF(K831&lt;I831*1.2,"⚠ STOCK FAIBLE","✓ COUVERT"))</f>
        <v/>
      </c>
      <c r="N831" s="7" t="inlineStr">
        <is>
          <t>VAL</t>
        </is>
      </c>
      <c r="O831" s="7" t="inlineStr">
        <is>
          <t>IMPORTANT</t>
        </is>
      </c>
      <c r="P831" s="7" t="inlineStr">
        <is>
          <t>31/08/2026 02:59</t>
        </is>
      </c>
    </row>
    <row r="832">
      <c r="A832" s="8" t="inlineStr">
        <is>
          <t>WHAP 8x8</t>
        </is>
      </c>
      <c r="B832" s="8" t="inlineStr">
        <is>
          <t>WHAP-0828</t>
        </is>
      </c>
      <c r="C832" s="8" t="inlineStr">
        <is>
          <t>ROU-0828</t>
        </is>
      </c>
      <c r="D832" s="8" t="inlineStr">
        <is>
          <t>entretoise de roue — ARG2</t>
        </is>
      </c>
      <c r="E832" s="8" t="inlineStr">
        <is>
          <t>Roues et pneus</t>
        </is>
      </c>
      <c r="F832" s="8" t="inlineStr">
        <is>
          <t>Roues et pneus</t>
        </is>
      </c>
      <c r="G832" s="8" t="inlineStr">
        <is>
          <t>PIECE_VEHICULE</t>
        </is>
      </c>
      <c r="H832" s="8" t="n">
        <v>1</v>
      </c>
      <c r="I832" s="8">
        <f>H832*$D$3</f>
        <v/>
      </c>
      <c r="J832" s="8" t="inlineStr">
        <is>
          <t>unité</t>
        </is>
      </c>
      <c r="K832" s="8" t="n">
        <v>0</v>
      </c>
      <c r="L832" s="8">
        <f>K832-I832</f>
        <v/>
      </c>
      <c r="M832" s="8">
        <f>IF(K832&lt;I832,"✕ INSUFFISANT",IF(K832&lt;I832*1.2,"⚠ STOCK FAIBLE","✓ COUVERT"))</f>
        <v/>
      </c>
      <c r="N832" s="8" t="inlineStr">
        <is>
          <t>MAG</t>
        </is>
      </c>
      <c r="O832" s="8" t="inlineStr">
        <is>
          <t>IMPORTANT</t>
        </is>
      </c>
      <c r="P832" s="8" t="inlineStr">
        <is>
          <t>31/08/2026 02:59</t>
        </is>
      </c>
    </row>
    <row r="833">
      <c r="A833" s="7" t="inlineStr">
        <is>
          <t>WHAP 8x8</t>
        </is>
      </c>
      <c r="B833" s="7" t="inlineStr">
        <is>
          <t>WHAP-0829</t>
        </is>
      </c>
      <c r="C833" s="7" t="inlineStr">
        <is>
          <t>ROU-0829</t>
        </is>
      </c>
      <c r="D833" s="7" t="inlineStr">
        <is>
          <t>moyeu — ARG2</t>
        </is>
      </c>
      <c r="E833" s="7" t="inlineStr">
        <is>
          <t>Roues et pneus</t>
        </is>
      </c>
      <c r="F833" s="7" t="inlineStr">
        <is>
          <t>Roues et pneus</t>
        </is>
      </c>
      <c r="G833" s="7" t="inlineStr">
        <is>
          <t>PIECE_VEHICULE</t>
        </is>
      </c>
      <c r="H833" s="7" t="n">
        <v>1</v>
      </c>
      <c r="I833" s="7">
        <f>H833*$D$3</f>
        <v/>
      </c>
      <c r="J833" s="7" t="inlineStr">
        <is>
          <t>unité</t>
        </is>
      </c>
      <c r="K833" s="7" t="n">
        <v>0</v>
      </c>
      <c r="L833" s="7">
        <f>K833-I833</f>
        <v/>
      </c>
      <c r="M833" s="7">
        <f>IF(K833&lt;I833,"✕ INSUFFISANT",IF(K833&lt;I833*1.2,"⚠ STOCK FAIBLE","✓ COUVERT"))</f>
        <v/>
      </c>
      <c r="N833" s="7" t="inlineStr">
        <is>
          <t>MAG</t>
        </is>
      </c>
      <c r="O833" s="7" t="inlineStr">
        <is>
          <t>IMPORTANT</t>
        </is>
      </c>
      <c r="P833" s="7" t="inlineStr">
        <is>
          <t>31/08/2026 02:59</t>
        </is>
      </c>
    </row>
    <row r="834">
      <c r="A834" s="8" t="inlineStr">
        <is>
          <t>WHAP 8x8</t>
        </is>
      </c>
      <c r="B834" s="8" t="inlineStr">
        <is>
          <t>WHAP-0830</t>
        </is>
      </c>
      <c r="C834" s="8" t="inlineStr">
        <is>
          <t>ROU-0830</t>
        </is>
      </c>
      <c r="D834" s="8" t="inlineStr">
        <is>
          <t>cache-moyeu — ARG2</t>
        </is>
      </c>
      <c r="E834" s="8" t="inlineStr">
        <is>
          <t>Roues et pneus</t>
        </is>
      </c>
      <c r="F834" s="8" t="inlineStr">
        <is>
          <t>Roues et pneus</t>
        </is>
      </c>
      <c r="G834" s="8" t="inlineStr">
        <is>
          <t>PIECE_VEHICULE</t>
        </is>
      </c>
      <c r="H834" s="8" t="n">
        <v>1</v>
      </c>
      <c r="I834" s="8">
        <f>H834*$D$3</f>
        <v/>
      </c>
      <c r="J834" s="8" t="inlineStr">
        <is>
          <t>unité</t>
        </is>
      </c>
      <c r="K834" s="8" t="n">
        <v>0</v>
      </c>
      <c r="L834" s="8">
        <f>K834-I834</f>
        <v/>
      </c>
      <c r="M834" s="8">
        <f>IF(K834&lt;I834,"✕ INSUFFISANT",IF(K834&lt;I834*1.2,"⚠ STOCK FAIBLE","✓ COUVERT"))</f>
        <v/>
      </c>
      <c r="N834" s="8" t="inlineStr">
        <is>
          <t>YZK</t>
        </is>
      </c>
      <c r="O834" s="8" t="inlineStr">
        <is>
          <t>IMPORTANT</t>
        </is>
      </c>
      <c r="P834" s="8" t="inlineStr">
        <is>
          <t>31/08/2026 02:59</t>
        </is>
      </c>
    </row>
    <row r="835">
      <c r="A835" s="7" t="inlineStr">
        <is>
          <t>WHAP 8x8</t>
        </is>
      </c>
      <c r="B835" s="7" t="inlineStr">
        <is>
          <t>WHAP-0831</t>
        </is>
      </c>
      <c r="C835" s="7" t="inlineStr">
        <is>
          <t>ROU-0831</t>
        </is>
      </c>
      <c r="D835" s="7" t="inlineStr">
        <is>
          <t>joint de moyeu — ARG2</t>
        </is>
      </c>
      <c r="E835" s="7" t="inlineStr">
        <is>
          <t>Roues et pneus</t>
        </is>
      </c>
      <c r="F835" s="7" t="inlineStr">
        <is>
          <t>Roues et pneus</t>
        </is>
      </c>
      <c r="G835" s="7" t="inlineStr">
        <is>
          <t>PIECE_VEHICULE</t>
        </is>
      </c>
      <c r="H835" s="7" t="n">
        <v>1</v>
      </c>
      <c r="I835" s="7">
        <f>H835*$D$3</f>
        <v/>
      </c>
      <c r="J835" s="7" t="inlineStr">
        <is>
          <t>unité</t>
        </is>
      </c>
      <c r="K835" s="7" t="n">
        <v>0</v>
      </c>
      <c r="L835" s="7">
        <f>K835-I835</f>
        <v/>
      </c>
      <c r="M835" s="7">
        <f>IF(K835&lt;I835,"✕ INSUFFISANT",IF(K835&lt;I835*1.2,"⚠ STOCK FAIBLE","✓ COUVERT"))</f>
        <v/>
      </c>
      <c r="N835" s="7" t="inlineStr">
        <is>
          <t>CTL</t>
        </is>
      </c>
      <c r="O835" s="7" t="inlineStr">
        <is>
          <t>IMPORTANT</t>
        </is>
      </c>
      <c r="P835" s="7" t="inlineStr">
        <is>
          <t>31/08/2026 02:59</t>
        </is>
      </c>
    </row>
    <row r="836">
      <c r="A836" s="8" t="inlineStr">
        <is>
          <t>WHAP 8x8</t>
        </is>
      </c>
      <c r="B836" s="8" t="inlineStr">
        <is>
          <t>WHAP-0832</t>
        </is>
      </c>
      <c r="C836" s="8" t="inlineStr">
        <is>
          <t>ROU-0832</t>
        </is>
      </c>
      <c r="D836" s="8" t="inlineStr">
        <is>
          <t>roulement de roue — ARG2</t>
        </is>
      </c>
      <c r="E836" s="8" t="inlineStr">
        <is>
          <t>Roues et pneus</t>
        </is>
      </c>
      <c r="F836" s="8" t="inlineStr">
        <is>
          <t>Roues et pneus</t>
        </is>
      </c>
      <c r="G836" s="8" t="inlineStr">
        <is>
          <t>PIECE_VEHICULE</t>
        </is>
      </c>
      <c r="H836" s="8" t="n">
        <v>1</v>
      </c>
      <c r="I836" s="8">
        <f>H836*$D$3</f>
        <v/>
      </c>
      <c r="J836" s="8" t="inlineStr">
        <is>
          <t>unité</t>
        </is>
      </c>
      <c r="K836" s="8" t="n">
        <v>0</v>
      </c>
      <c r="L836" s="8">
        <f>K836-I836</f>
        <v/>
      </c>
      <c r="M836" s="8">
        <f>IF(K836&lt;I836,"✕ INSUFFISANT",IF(K836&lt;I836*1.2,"⚠ STOCK FAIBLE","✓ COUVERT"))</f>
        <v/>
      </c>
      <c r="N836" s="8" t="inlineStr">
        <is>
          <t>CTL</t>
        </is>
      </c>
      <c r="O836" s="8" t="inlineStr">
        <is>
          <t>IMPORTANT</t>
        </is>
      </c>
      <c r="P836" s="8" t="inlineStr">
        <is>
          <t>31/08/2026 02:59</t>
        </is>
      </c>
    </row>
    <row r="837">
      <c r="A837" s="7" t="inlineStr">
        <is>
          <t>WHAP 8x8</t>
        </is>
      </c>
      <c r="B837" s="7" t="inlineStr">
        <is>
          <t>WHAP-0833</t>
        </is>
      </c>
      <c r="C837" s="7" t="inlineStr">
        <is>
          <t>ROU-0833</t>
        </is>
      </c>
      <c r="D837" s="7" t="inlineStr">
        <is>
          <t>bague de roulement — ARG2</t>
        </is>
      </c>
      <c r="E837" s="7" t="inlineStr">
        <is>
          <t>Roues et pneus</t>
        </is>
      </c>
      <c r="F837" s="7" t="inlineStr">
        <is>
          <t>Roues et pneus</t>
        </is>
      </c>
      <c r="G837" s="7" t="inlineStr">
        <is>
          <t>PIECE_VEHICULE</t>
        </is>
      </c>
      <c r="H837" s="7" t="n">
        <v>1</v>
      </c>
      <c r="I837" s="7">
        <f>H837*$D$3</f>
        <v/>
      </c>
      <c r="J837" s="7" t="inlineStr">
        <is>
          <t>unité</t>
        </is>
      </c>
      <c r="K837" s="7" t="n">
        <v>0</v>
      </c>
      <c r="L837" s="7">
        <f>K837-I837</f>
        <v/>
      </c>
      <c r="M837" s="7">
        <f>IF(K837&lt;I837,"✕ INSUFFISANT",IF(K837&lt;I837*1.2,"⚠ STOCK FAIBLE","✓ COUVERT"))</f>
        <v/>
      </c>
      <c r="N837" s="7" t="inlineStr">
        <is>
          <t>YZK</t>
        </is>
      </c>
      <c r="O837" s="7" t="inlineStr">
        <is>
          <t>IMPORTANT</t>
        </is>
      </c>
      <c r="P837" s="7" t="inlineStr">
        <is>
          <t>31/08/2026 02:59</t>
        </is>
      </c>
    </row>
    <row r="838">
      <c r="A838" s="8" t="inlineStr">
        <is>
          <t>WHAP 8x8</t>
        </is>
      </c>
      <c r="B838" s="8" t="inlineStr">
        <is>
          <t>WHAP-0834</t>
        </is>
      </c>
      <c r="C838" s="8" t="inlineStr">
        <is>
          <t>ROU-0834</t>
        </is>
      </c>
      <c r="D838" s="8" t="inlineStr">
        <is>
          <t>anneau de retenue — ARG2</t>
        </is>
      </c>
      <c r="E838" s="8" t="inlineStr">
        <is>
          <t>Roues et pneus</t>
        </is>
      </c>
      <c r="F838" s="8" t="inlineStr">
        <is>
          <t>Roues et pneus</t>
        </is>
      </c>
      <c r="G838" s="8" t="inlineStr">
        <is>
          <t>PIECE_VEHICULE</t>
        </is>
      </c>
      <c r="H838" s="8" t="n">
        <v>1</v>
      </c>
      <c r="I838" s="8">
        <f>H838*$D$3</f>
        <v/>
      </c>
      <c r="J838" s="8" t="inlineStr">
        <is>
          <t>unité</t>
        </is>
      </c>
      <c r="K838" s="8" t="n">
        <v>0</v>
      </c>
      <c r="L838" s="8">
        <f>K838-I838</f>
        <v/>
      </c>
      <c r="M838" s="8">
        <f>IF(K838&lt;I838,"✕ INSUFFISANT",IF(K838&lt;I838*1.2,"⚠ STOCK FAIBLE","✓ COUVERT"))</f>
        <v/>
      </c>
      <c r="N838" s="8" t="inlineStr">
        <is>
          <t>SKF</t>
        </is>
      </c>
      <c r="O838" s="8" t="inlineStr">
        <is>
          <t>IMPORTANT</t>
        </is>
      </c>
      <c r="P838" s="8" t="inlineStr">
        <is>
          <t>31/08/2026 02:59</t>
        </is>
      </c>
    </row>
    <row r="839">
      <c r="A839" s="7" t="inlineStr">
        <is>
          <t>WHAP 8x8</t>
        </is>
      </c>
      <c r="B839" s="7" t="inlineStr">
        <is>
          <t>WHAP-0835</t>
        </is>
      </c>
      <c r="C839" s="7" t="inlineStr">
        <is>
          <t>ROU-0835</t>
        </is>
      </c>
      <c r="D839" s="7" t="inlineStr">
        <is>
          <t>disque de jante — ARG2</t>
        </is>
      </c>
      <c r="E839" s="7" t="inlineStr">
        <is>
          <t>Roues et pneus</t>
        </is>
      </c>
      <c r="F839" s="7" t="inlineStr">
        <is>
          <t>Roues et pneus</t>
        </is>
      </c>
      <c r="G839" s="7" t="inlineStr">
        <is>
          <t>PIECE_VEHICULE</t>
        </is>
      </c>
      <c r="H839" s="7" t="n">
        <v>1</v>
      </c>
      <c r="I839" s="7">
        <f>H839*$D$3</f>
        <v/>
      </c>
      <c r="J839" s="7" t="inlineStr">
        <is>
          <t>unité</t>
        </is>
      </c>
      <c r="K839" s="7" t="n">
        <v>0</v>
      </c>
      <c r="L839" s="7">
        <f>K839-I839</f>
        <v/>
      </c>
      <c r="M839" s="7">
        <f>IF(K839&lt;I839,"✕ INSUFFISANT",IF(K839&lt;I839*1.2,"⚠ STOCK FAIBLE","✓ COUVERT"))</f>
        <v/>
      </c>
      <c r="N839" s="7" t="inlineStr">
        <is>
          <t>VAL</t>
        </is>
      </c>
      <c r="O839" s="7" t="inlineStr">
        <is>
          <t>IMPORTANT</t>
        </is>
      </c>
      <c r="P839" s="7" t="inlineStr">
        <is>
          <t>31/08/2026 02:59</t>
        </is>
      </c>
    </row>
    <row r="840">
      <c r="A840" s="8" t="inlineStr">
        <is>
          <t>WHAP 8x8</t>
        </is>
      </c>
      <c r="B840" s="8" t="inlineStr">
        <is>
          <t>WHAP-0836</t>
        </is>
      </c>
      <c r="C840" s="8" t="inlineStr">
        <is>
          <t>ROU-0836</t>
        </is>
      </c>
      <c r="D840" s="8" t="inlineStr">
        <is>
          <t>cerclage de jante — ARG2</t>
        </is>
      </c>
      <c r="E840" s="8" t="inlineStr">
        <is>
          <t>Roues et pneus</t>
        </is>
      </c>
      <c r="F840" s="8" t="inlineStr">
        <is>
          <t>Roues et pneus</t>
        </is>
      </c>
      <c r="G840" s="8" t="inlineStr">
        <is>
          <t>PIECE_VEHICULE</t>
        </is>
      </c>
      <c r="H840" s="8" t="n">
        <v>1</v>
      </c>
      <c r="I840" s="8">
        <f>H840*$D$3</f>
        <v/>
      </c>
      <c r="J840" s="8" t="inlineStr">
        <is>
          <t>unité</t>
        </is>
      </c>
      <c r="K840" s="8" t="n">
        <v>0</v>
      </c>
      <c r="L840" s="8">
        <f>K840-I840</f>
        <v/>
      </c>
      <c r="M840" s="8">
        <f>IF(K840&lt;I840,"✕ INSUFFISANT",IF(K840&lt;I840*1.2,"⚠ STOCK FAIBLE","✓ COUVERT"))</f>
        <v/>
      </c>
      <c r="N840" s="8" t="inlineStr">
        <is>
          <t>VAL</t>
        </is>
      </c>
      <c r="O840" s="8" t="inlineStr">
        <is>
          <t>IMPORTANT</t>
        </is>
      </c>
      <c r="P840" s="8" t="inlineStr">
        <is>
          <t>31/08/2026 02:59</t>
        </is>
      </c>
    </row>
    <row r="841">
      <c r="A841" s="7" t="inlineStr">
        <is>
          <t>WHAP 8x8</t>
        </is>
      </c>
      <c r="B841" s="7" t="inlineStr">
        <is>
          <t>WHAP-0837</t>
        </is>
      </c>
      <c r="C841" s="7" t="inlineStr">
        <is>
          <t>ROU-0837</t>
        </is>
      </c>
      <c r="D841" s="7" t="inlineStr">
        <is>
          <t>système CTIS — ARG2</t>
        </is>
      </c>
      <c r="E841" s="7" t="inlineStr">
        <is>
          <t>Roues et pneus</t>
        </is>
      </c>
      <c r="F841" s="7" t="inlineStr">
        <is>
          <t>Roues et pneus</t>
        </is>
      </c>
      <c r="G841" s="7" t="inlineStr">
        <is>
          <t>PIECE_VEHICULE</t>
        </is>
      </c>
      <c r="H841" s="7" t="n">
        <v>1</v>
      </c>
      <c r="I841" s="7">
        <f>H841*$D$3</f>
        <v/>
      </c>
      <c r="J841" s="7" t="inlineStr">
        <is>
          <t>unité</t>
        </is>
      </c>
      <c r="K841" s="7" t="n">
        <v>0</v>
      </c>
      <c r="L841" s="7">
        <f>K841-I841</f>
        <v/>
      </c>
      <c r="M841" s="7">
        <f>IF(K841&lt;I841,"✕ INSUFFISANT",IF(K841&lt;I841*1.2,"⚠ STOCK FAIBLE","✓ COUVERT"))</f>
        <v/>
      </c>
      <c r="N841" s="7" t="inlineStr">
        <is>
          <t>FAU</t>
        </is>
      </c>
      <c r="O841" s="7" t="inlineStr">
        <is>
          <t>IMPORTANT</t>
        </is>
      </c>
      <c r="P841" s="7" t="inlineStr">
        <is>
          <t>31/08/2026 02:59</t>
        </is>
      </c>
    </row>
    <row r="842">
      <c r="A842" s="8" t="inlineStr">
        <is>
          <t>WHAP 8x8</t>
        </is>
      </c>
      <c r="B842" s="8" t="inlineStr">
        <is>
          <t>WHAP-0838</t>
        </is>
      </c>
      <c r="C842" s="8" t="inlineStr">
        <is>
          <t>ROU-0838</t>
        </is>
      </c>
      <c r="D842" s="8" t="inlineStr">
        <is>
          <t>rotor CTIS — ARG2</t>
        </is>
      </c>
      <c r="E842" s="8" t="inlineStr">
        <is>
          <t>Roues et pneus</t>
        </is>
      </c>
      <c r="F842" s="8" t="inlineStr">
        <is>
          <t>Roues et pneus</t>
        </is>
      </c>
      <c r="G842" s="8" t="inlineStr">
        <is>
          <t>PIECE_VEHICULE</t>
        </is>
      </c>
      <c r="H842" s="8" t="n">
        <v>1</v>
      </c>
      <c r="I842" s="8">
        <f>H842*$D$3</f>
        <v/>
      </c>
      <c r="J842" s="8" t="inlineStr">
        <is>
          <t>unité</t>
        </is>
      </c>
      <c r="K842" s="8" t="n">
        <v>0</v>
      </c>
      <c r="L842" s="8">
        <f>K842-I842</f>
        <v/>
      </c>
      <c r="M842" s="8">
        <f>IF(K842&lt;I842,"✕ INSUFFISANT",IF(K842&lt;I842*1.2,"⚠ STOCK FAIBLE","✓ COUVERT"))</f>
        <v/>
      </c>
      <c r="N842" s="8" t="inlineStr">
        <is>
          <t>YZK</t>
        </is>
      </c>
      <c r="O842" s="8" t="inlineStr">
        <is>
          <t>IMPORTANT</t>
        </is>
      </c>
      <c r="P842" s="8" t="inlineStr">
        <is>
          <t>31/08/2026 02:59</t>
        </is>
      </c>
    </row>
    <row r="843">
      <c r="A843" s="7" t="inlineStr">
        <is>
          <t>WHAP 8x8</t>
        </is>
      </c>
      <c r="B843" s="7" t="inlineStr">
        <is>
          <t>WHAP-0839</t>
        </is>
      </c>
      <c r="C843" s="7" t="inlineStr">
        <is>
          <t>ROU-0839</t>
        </is>
      </c>
      <c r="D843" s="7" t="inlineStr">
        <is>
          <t>joint tournant CTIS — ARG2</t>
        </is>
      </c>
      <c r="E843" s="7" t="inlineStr">
        <is>
          <t>Roues et pneus</t>
        </is>
      </c>
      <c r="F843" s="7" t="inlineStr">
        <is>
          <t>Roues et pneus</t>
        </is>
      </c>
      <c r="G843" s="7" t="inlineStr">
        <is>
          <t>PIECE_VEHICULE</t>
        </is>
      </c>
      <c r="H843" s="7" t="n">
        <v>1</v>
      </c>
      <c r="I843" s="7">
        <f>H843*$D$3</f>
        <v/>
      </c>
      <c r="J843" s="7" t="inlineStr">
        <is>
          <t>unité</t>
        </is>
      </c>
      <c r="K843" s="7" t="n">
        <v>0</v>
      </c>
      <c r="L843" s="7">
        <f>K843-I843</f>
        <v/>
      </c>
      <c r="M843" s="7">
        <f>IF(K843&lt;I843,"✕ INSUFFISANT",IF(K843&lt;I843*1.2,"⚠ STOCK FAIBLE","✓ COUVERT"))</f>
        <v/>
      </c>
      <c r="N843" s="7" t="inlineStr">
        <is>
          <t>YZK</t>
        </is>
      </c>
      <c r="O843" s="7" t="inlineStr">
        <is>
          <t>IMPORTANT</t>
        </is>
      </c>
      <c r="P843" s="7" t="inlineStr">
        <is>
          <t>31/08/2026 02:59</t>
        </is>
      </c>
    </row>
    <row r="844">
      <c r="A844" s="8" t="inlineStr">
        <is>
          <t>WHAP 8x8</t>
        </is>
      </c>
      <c r="B844" s="8" t="inlineStr">
        <is>
          <t>WHAP-0840</t>
        </is>
      </c>
      <c r="C844" s="8" t="inlineStr">
        <is>
          <t>ROU-0840</t>
        </is>
      </c>
      <c r="D844" s="8" t="inlineStr">
        <is>
          <t>flexible CTIS — ARG2</t>
        </is>
      </c>
      <c r="E844" s="8" t="inlineStr">
        <is>
          <t>Roues et pneus</t>
        </is>
      </c>
      <c r="F844" s="8" t="inlineStr">
        <is>
          <t>Roues et pneus</t>
        </is>
      </c>
      <c r="G844" s="8" t="inlineStr">
        <is>
          <t>PIECE_VEHICULE</t>
        </is>
      </c>
      <c r="H844" s="8" t="n">
        <v>1</v>
      </c>
      <c r="I844" s="8">
        <f>H844*$D$3</f>
        <v/>
      </c>
      <c r="J844" s="8" t="inlineStr">
        <is>
          <t>unité</t>
        </is>
      </c>
      <c r="K844" s="8" t="n">
        <v>0</v>
      </c>
      <c r="L844" s="8">
        <f>K844-I844</f>
        <v/>
      </c>
      <c r="M844" s="8">
        <f>IF(K844&lt;I844,"✕ INSUFFISANT",IF(K844&lt;I844*1.2,"⚠ STOCK FAIBLE","✓ COUVERT"))</f>
        <v/>
      </c>
      <c r="N844" s="8" t="inlineStr">
        <is>
          <t>SUM</t>
        </is>
      </c>
      <c r="O844" s="8" t="inlineStr">
        <is>
          <t>IMPORTANT</t>
        </is>
      </c>
      <c r="P844" s="8" t="inlineStr">
        <is>
          <t>31/08/2026 02:59</t>
        </is>
      </c>
    </row>
    <row r="845">
      <c r="A845" s="7" t="inlineStr">
        <is>
          <t>WHAP 8x8</t>
        </is>
      </c>
      <c r="B845" s="7" t="inlineStr">
        <is>
          <t>WHAP-0841</t>
        </is>
      </c>
      <c r="C845" s="7" t="inlineStr">
        <is>
          <t>ROU-0841</t>
        </is>
      </c>
      <c r="D845" s="7" t="inlineStr">
        <is>
          <t>raccord CTIS — ARG2</t>
        </is>
      </c>
      <c r="E845" s="7" t="inlineStr">
        <is>
          <t>Roues et pneus</t>
        </is>
      </c>
      <c r="F845" s="7" t="inlineStr">
        <is>
          <t>Roues et pneus</t>
        </is>
      </c>
      <c r="G845" s="7" t="inlineStr">
        <is>
          <t>PIECE_VEHICULE</t>
        </is>
      </c>
      <c r="H845" s="7" t="n">
        <v>1</v>
      </c>
      <c r="I845" s="7">
        <f>H845*$D$3</f>
        <v/>
      </c>
      <c r="J845" s="7" t="inlineStr">
        <is>
          <t>unité</t>
        </is>
      </c>
      <c r="K845" s="7" t="n">
        <v>0</v>
      </c>
      <c r="L845" s="7">
        <f>K845-I845</f>
        <v/>
      </c>
      <c r="M845" s="7">
        <f>IF(K845&lt;I845,"✕ INSUFFISANT",IF(K845&lt;I845*1.2,"⚠ STOCK FAIBLE","✓ COUVERT"))</f>
        <v/>
      </c>
      <c r="N845" s="7" t="inlineStr">
        <is>
          <t>FAU</t>
        </is>
      </c>
      <c r="O845" s="7" t="inlineStr">
        <is>
          <t>IMPORTANT</t>
        </is>
      </c>
      <c r="P845" s="7" t="inlineStr">
        <is>
          <t>31/08/2026 02:59</t>
        </is>
      </c>
    </row>
    <row r="846">
      <c r="A846" s="8" t="inlineStr">
        <is>
          <t>WHAP 8x8</t>
        </is>
      </c>
      <c r="B846" s="8" t="inlineStr">
        <is>
          <t>WHAP-0842</t>
        </is>
      </c>
      <c r="C846" s="8" t="inlineStr">
        <is>
          <t>ROU-0842</t>
        </is>
      </c>
      <c r="D846" s="8" t="inlineStr">
        <is>
          <t>valve CTIS — ARG2</t>
        </is>
      </c>
      <c r="E846" s="8" t="inlineStr">
        <is>
          <t>Roues et pneus</t>
        </is>
      </c>
      <c r="F846" s="8" t="inlineStr">
        <is>
          <t>Roues et pneus</t>
        </is>
      </c>
      <c r="G846" s="8" t="inlineStr">
        <is>
          <t>PIECE_VEHICULE</t>
        </is>
      </c>
      <c r="H846" s="8" t="n">
        <v>1</v>
      </c>
      <c r="I846" s="8">
        <f>H846*$D$3</f>
        <v/>
      </c>
      <c r="J846" s="8" t="inlineStr">
        <is>
          <t>unité</t>
        </is>
      </c>
      <c r="K846" s="8" t="n">
        <v>0</v>
      </c>
      <c r="L846" s="8">
        <f>K846-I846</f>
        <v/>
      </c>
      <c r="M846" s="8">
        <f>IF(K846&lt;I846,"✕ INSUFFISANT",IF(K846&lt;I846*1.2,"⚠ STOCK FAIBLE","✓ COUVERT"))</f>
        <v/>
      </c>
      <c r="N846" s="8" t="inlineStr">
        <is>
          <t>SKF</t>
        </is>
      </c>
      <c r="O846" s="8" t="inlineStr">
        <is>
          <t>IMPORTANT</t>
        </is>
      </c>
      <c r="P846" s="8" t="inlineStr">
        <is>
          <t>31/08/2026 02:59</t>
        </is>
      </c>
    </row>
    <row r="847">
      <c r="A847" s="7" t="inlineStr">
        <is>
          <t>WHAP 8x8</t>
        </is>
      </c>
      <c r="B847" s="7" t="inlineStr">
        <is>
          <t>WHAP-0843</t>
        </is>
      </c>
      <c r="C847" s="7" t="inlineStr">
        <is>
          <t>ROU-0843</t>
        </is>
      </c>
      <c r="D847" s="7" t="inlineStr">
        <is>
          <t>manomètre CTIS — ARG2</t>
        </is>
      </c>
      <c r="E847" s="7" t="inlineStr">
        <is>
          <t>Roues et pneus</t>
        </is>
      </c>
      <c r="F847" s="7" t="inlineStr">
        <is>
          <t>Roues et pneus</t>
        </is>
      </c>
      <c r="G847" s="7" t="inlineStr">
        <is>
          <t>PIECE_VEHICULE</t>
        </is>
      </c>
      <c r="H847" s="7" t="n">
        <v>1</v>
      </c>
      <c r="I847" s="7">
        <f>H847*$D$3</f>
        <v/>
      </c>
      <c r="J847" s="7" t="inlineStr">
        <is>
          <t>unité</t>
        </is>
      </c>
      <c r="K847" s="7" t="n">
        <v>0</v>
      </c>
      <c r="L847" s="7">
        <f>K847-I847</f>
        <v/>
      </c>
      <c r="M847" s="7">
        <f>IF(K847&lt;I847,"✕ INSUFFISANT",IF(K847&lt;I847*1.2,"⚠ STOCK FAIBLE","✓ COUVERT"))</f>
        <v/>
      </c>
      <c r="N847" s="7" t="inlineStr">
        <is>
          <t>BOS</t>
        </is>
      </c>
      <c r="O847" s="7" t="inlineStr">
        <is>
          <t>IMPORTANT</t>
        </is>
      </c>
      <c r="P847" s="7" t="inlineStr">
        <is>
          <t>31/08/2026 02:59</t>
        </is>
      </c>
    </row>
    <row r="848">
      <c r="A848" s="8" t="inlineStr">
        <is>
          <t>WHAP 8x8</t>
        </is>
      </c>
      <c r="B848" s="8" t="inlineStr">
        <is>
          <t>WHAP-0844</t>
        </is>
      </c>
      <c r="C848" s="8" t="inlineStr">
        <is>
          <t>ROU-0844</t>
        </is>
      </c>
      <c r="D848" s="8" t="inlineStr">
        <is>
          <t>bloc distributeur CTIS — ARG2</t>
        </is>
      </c>
      <c r="E848" s="8" t="inlineStr">
        <is>
          <t>Roues et pneus</t>
        </is>
      </c>
      <c r="F848" s="8" t="inlineStr">
        <is>
          <t>Roues et pneus</t>
        </is>
      </c>
      <c r="G848" s="8" t="inlineStr">
        <is>
          <t>PIECE_VEHICULE</t>
        </is>
      </c>
      <c r="H848" s="8" t="n">
        <v>1</v>
      </c>
      <c r="I848" s="8">
        <f>H848*$D$3</f>
        <v/>
      </c>
      <c r="J848" s="8" t="inlineStr">
        <is>
          <t>unité</t>
        </is>
      </c>
      <c r="K848" s="8" t="n">
        <v>0</v>
      </c>
      <c r="L848" s="8">
        <f>K848-I848</f>
        <v/>
      </c>
      <c r="M848" s="8">
        <f>IF(K848&lt;I848,"✕ INSUFFISANT",IF(K848&lt;I848*1.2,"⚠ STOCK FAIBLE","✓ COUVERT"))</f>
        <v/>
      </c>
      <c r="N848" s="8" t="inlineStr">
        <is>
          <t>MAG</t>
        </is>
      </c>
      <c r="O848" s="8" t="inlineStr">
        <is>
          <t>IMPORTANT</t>
        </is>
      </c>
      <c r="P848" s="8" t="inlineStr">
        <is>
          <t>31/08/2026 02:59</t>
        </is>
      </c>
    </row>
    <row r="849">
      <c r="A849" s="7" t="inlineStr">
        <is>
          <t>WHAP 8x8</t>
        </is>
      </c>
      <c r="B849" s="7" t="inlineStr">
        <is>
          <t>WHAP-0845</t>
        </is>
      </c>
      <c r="C849" s="7" t="inlineStr">
        <is>
          <t>ROU-0845</t>
        </is>
      </c>
      <c r="D849" s="7" t="inlineStr">
        <is>
          <t>jante — ARD2</t>
        </is>
      </c>
      <c r="E849" s="7" t="inlineStr">
        <is>
          <t>Roues et pneus</t>
        </is>
      </c>
      <c r="F849" s="7" t="inlineStr">
        <is>
          <t>Roues et pneus</t>
        </is>
      </c>
      <c r="G849" s="7" t="inlineStr">
        <is>
          <t>PIECE_VEHICULE</t>
        </is>
      </c>
      <c r="H849" s="7" t="n">
        <v>1</v>
      </c>
      <c r="I849" s="7">
        <f>H849*$D$3</f>
        <v/>
      </c>
      <c r="J849" s="7" t="inlineStr">
        <is>
          <t>unité</t>
        </is>
      </c>
      <c r="K849" s="7" t="n">
        <v>0</v>
      </c>
      <c r="L849" s="7">
        <f>K849-I849</f>
        <v/>
      </c>
      <c r="M849" s="7">
        <f>IF(K849&lt;I849,"✕ INSUFFISANT",IF(K849&lt;I849*1.2,"⚠ STOCK FAIBLE","✓ COUVERT"))</f>
        <v/>
      </c>
      <c r="N849" s="7" t="inlineStr">
        <is>
          <t>SUM</t>
        </is>
      </c>
      <c r="O849" s="7" t="inlineStr">
        <is>
          <t>IMPORTANT</t>
        </is>
      </c>
      <c r="P849" s="7" t="inlineStr">
        <is>
          <t>31/08/2026 02:59</t>
        </is>
      </c>
    </row>
    <row r="850">
      <c r="A850" s="8" t="inlineStr">
        <is>
          <t>WHAP 8x8</t>
        </is>
      </c>
      <c r="B850" s="8" t="inlineStr">
        <is>
          <t>WHAP-0846</t>
        </is>
      </c>
      <c r="C850" s="8" t="inlineStr">
        <is>
          <t>ROU-0846</t>
        </is>
      </c>
      <c r="D850" s="8" t="inlineStr">
        <is>
          <t>roue complète — ARD2</t>
        </is>
      </c>
      <c r="E850" s="8" t="inlineStr">
        <is>
          <t>Roues et pneus</t>
        </is>
      </c>
      <c r="F850" s="8" t="inlineStr">
        <is>
          <t>Roues et pneus</t>
        </is>
      </c>
      <c r="G850" s="8" t="inlineStr">
        <is>
          <t>PIECE_VEHICULE</t>
        </is>
      </c>
      <c r="H850" s="8" t="n">
        <v>1</v>
      </c>
      <c r="I850" s="8">
        <f>H850*$D$3</f>
        <v/>
      </c>
      <c r="J850" s="8" t="inlineStr">
        <is>
          <t>unité</t>
        </is>
      </c>
      <c r="K850" s="8" t="n">
        <v>0</v>
      </c>
      <c r="L850" s="8">
        <f>K850-I850</f>
        <v/>
      </c>
      <c r="M850" s="8">
        <f>IF(K850&lt;I850,"✕ INSUFFISANT",IF(K850&lt;I850*1.2,"⚠ STOCK FAIBLE","✓ COUVERT"))</f>
        <v/>
      </c>
      <c r="N850" s="8" t="inlineStr">
        <is>
          <t>BOS</t>
        </is>
      </c>
      <c r="O850" s="8" t="inlineStr">
        <is>
          <t>IMPORTANT</t>
        </is>
      </c>
      <c r="P850" s="8" t="inlineStr">
        <is>
          <t>31/08/2026 02:59</t>
        </is>
      </c>
    </row>
    <row r="851">
      <c r="A851" s="7" t="inlineStr">
        <is>
          <t>WHAP 8x8</t>
        </is>
      </c>
      <c r="B851" s="7" t="inlineStr">
        <is>
          <t>WHAP-0847</t>
        </is>
      </c>
      <c r="C851" s="7" t="inlineStr">
        <is>
          <t>ROU-0847</t>
        </is>
      </c>
      <c r="D851" s="7" t="inlineStr">
        <is>
          <t>pneu — ARD2</t>
        </is>
      </c>
      <c r="E851" s="7" t="inlineStr">
        <is>
          <t>Roues et pneus</t>
        </is>
      </c>
      <c r="F851" s="7" t="inlineStr">
        <is>
          <t>Roues et pneus</t>
        </is>
      </c>
      <c r="G851" s="7" t="inlineStr">
        <is>
          <t>PIECE_VEHICULE</t>
        </is>
      </c>
      <c r="H851" s="7" t="n">
        <v>1</v>
      </c>
      <c r="I851" s="7">
        <f>H851*$D$3</f>
        <v/>
      </c>
      <c r="J851" s="7" t="inlineStr">
        <is>
          <t>unité</t>
        </is>
      </c>
      <c r="K851" s="7" t="n">
        <v>0</v>
      </c>
      <c r="L851" s="7">
        <f>K851-I851</f>
        <v/>
      </c>
      <c r="M851" s="7">
        <f>IF(K851&lt;I851,"✕ INSUFFISANT",IF(K851&lt;I851*1.2,"⚠ STOCK FAIBLE","✓ COUVERT"))</f>
        <v/>
      </c>
      <c r="N851" s="7" t="inlineStr">
        <is>
          <t>SKF</t>
        </is>
      </c>
      <c r="O851" s="7" t="inlineStr">
        <is>
          <t>IMPORTANT</t>
        </is>
      </c>
      <c r="P851" s="7" t="inlineStr">
        <is>
          <t>31/08/2026 02:59</t>
        </is>
      </c>
    </row>
    <row r="852">
      <c r="A852" s="8" t="inlineStr">
        <is>
          <t>WHAP 8x8</t>
        </is>
      </c>
      <c r="B852" s="8" t="inlineStr">
        <is>
          <t>WHAP-0848</t>
        </is>
      </c>
      <c r="C852" s="8" t="inlineStr">
        <is>
          <t>ROU-0848</t>
        </is>
      </c>
      <c r="D852" s="8" t="inlineStr">
        <is>
          <t>insert run-flat — ARD2</t>
        </is>
      </c>
      <c r="E852" s="8" t="inlineStr">
        <is>
          <t>Roues et pneus</t>
        </is>
      </c>
      <c r="F852" s="8" t="inlineStr">
        <is>
          <t>Roues et pneus</t>
        </is>
      </c>
      <c r="G852" s="8" t="inlineStr">
        <is>
          <t>PIECE_VEHICULE</t>
        </is>
      </c>
      <c r="H852" s="8" t="n">
        <v>1</v>
      </c>
      <c r="I852" s="8">
        <f>H852*$D$3</f>
        <v/>
      </c>
      <c r="J852" s="8" t="inlineStr">
        <is>
          <t>unité</t>
        </is>
      </c>
      <c r="K852" s="8" t="n">
        <v>0</v>
      </c>
      <c r="L852" s="8">
        <f>K852-I852</f>
        <v/>
      </c>
      <c r="M852" s="8">
        <f>IF(K852&lt;I852,"✕ INSUFFISANT",IF(K852&lt;I852*1.2,"⚠ STOCK FAIBLE","✓ COUVERT"))</f>
        <v/>
      </c>
      <c r="N852" s="8" t="inlineStr">
        <is>
          <t>SKF</t>
        </is>
      </c>
      <c r="O852" s="8" t="inlineStr">
        <is>
          <t>IMPORTANT</t>
        </is>
      </c>
      <c r="P852" s="8" t="inlineStr">
        <is>
          <t>31/08/2026 02:59</t>
        </is>
      </c>
    </row>
    <row r="853">
      <c r="A853" s="7" t="inlineStr">
        <is>
          <t>WHAP 8x8</t>
        </is>
      </c>
      <c r="B853" s="7" t="inlineStr">
        <is>
          <t>WHAP-0849</t>
        </is>
      </c>
      <c r="C853" s="7" t="inlineStr">
        <is>
          <t>ROU-0849</t>
        </is>
      </c>
      <c r="D853" s="7" t="inlineStr">
        <is>
          <t>valve de pneu — ARD2</t>
        </is>
      </c>
      <c r="E853" s="7" t="inlineStr">
        <is>
          <t>Roues et pneus</t>
        </is>
      </c>
      <c r="F853" s="7" t="inlineStr">
        <is>
          <t>Roues et pneus</t>
        </is>
      </c>
      <c r="G853" s="7" t="inlineStr">
        <is>
          <t>PIECE_VEHICULE</t>
        </is>
      </c>
      <c r="H853" s="7" t="n">
        <v>1</v>
      </c>
      <c r="I853" s="7">
        <f>H853*$D$3</f>
        <v/>
      </c>
      <c r="J853" s="7" t="inlineStr">
        <is>
          <t>unité</t>
        </is>
      </c>
      <c r="K853" s="7" t="n">
        <v>0</v>
      </c>
      <c r="L853" s="7">
        <f>K853-I853</f>
        <v/>
      </c>
      <c r="M853" s="7">
        <f>IF(K853&lt;I853,"✕ INSUFFISANT",IF(K853&lt;I853*1.2,"⚠ STOCK FAIBLE","✓ COUVERT"))</f>
        <v/>
      </c>
      <c r="N853" s="7" t="inlineStr">
        <is>
          <t>YZK</t>
        </is>
      </c>
      <c r="O853" s="7" t="inlineStr">
        <is>
          <t>IMPORTANT</t>
        </is>
      </c>
      <c r="P853" s="7" t="inlineStr">
        <is>
          <t>31/08/2026 02:59</t>
        </is>
      </c>
    </row>
    <row r="854">
      <c r="A854" s="8" t="inlineStr">
        <is>
          <t>WHAP 8x8</t>
        </is>
      </c>
      <c r="B854" s="8" t="inlineStr">
        <is>
          <t>WHAP-0850</t>
        </is>
      </c>
      <c r="C854" s="8" t="inlineStr">
        <is>
          <t>ROU-0850</t>
        </is>
      </c>
      <c r="D854" s="8" t="inlineStr">
        <is>
          <t>capteur pression pneu — ARD2</t>
        </is>
      </c>
      <c r="E854" s="8" t="inlineStr">
        <is>
          <t>Roues et pneus</t>
        </is>
      </c>
      <c r="F854" s="8" t="inlineStr">
        <is>
          <t>Roues et pneus</t>
        </is>
      </c>
      <c r="G854" s="8" t="inlineStr">
        <is>
          <t>PIECE_VEHICULE</t>
        </is>
      </c>
      <c r="H854" s="8" t="n">
        <v>1</v>
      </c>
      <c r="I854" s="8">
        <f>H854*$D$3</f>
        <v/>
      </c>
      <c r="J854" s="8" t="inlineStr">
        <is>
          <t>unité</t>
        </is>
      </c>
      <c r="K854" s="8" t="n">
        <v>0</v>
      </c>
      <c r="L854" s="8">
        <f>K854-I854</f>
        <v/>
      </c>
      <c r="M854" s="8">
        <f>IF(K854&lt;I854,"✕ INSUFFISANT",IF(K854&lt;I854*1.2,"⚠ STOCK FAIBLE","✓ COUVERT"))</f>
        <v/>
      </c>
      <c r="N854" s="8" t="inlineStr">
        <is>
          <t>DEL</t>
        </is>
      </c>
      <c r="O854" s="8" t="inlineStr">
        <is>
          <t>IMPORTANT</t>
        </is>
      </c>
      <c r="P854" s="8" t="inlineStr">
        <is>
          <t>31/08/2026 02:59</t>
        </is>
      </c>
    </row>
    <row r="855">
      <c r="A855" s="7" t="inlineStr">
        <is>
          <t>WHAP 8x8</t>
        </is>
      </c>
      <c r="B855" s="7" t="inlineStr">
        <is>
          <t>WHAP-0851</t>
        </is>
      </c>
      <c r="C855" s="7" t="inlineStr">
        <is>
          <t>ROU-0851</t>
        </is>
      </c>
      <c r="D855" s="7" t="inlineStr">
        <is>
          <t>écrou de roue — ARD2</t>
        </is>
      </c>
      <c r="E855" s="7" t="inlineStr">
        <is>
          <t>Roues et pneus</t>
        </is>
      </c>
      <c r="F855" s="7" t="inlineStr">
        <is>
          <t>Roues et pneus</t>
        </is>
      </c>
      <c r="G855" s="7" t="inlineStr">
        <is>
          <t>PIECE_VEHICULE</t>
        </is>
      </c>
      <c r="H855" s="7" t="n">
        <v>1</v>
      </c>
      <c r="I855" s="7">
        <f>H855*$D$3</f>
        <v/>
      </c>
      <c r="J855" s="7" t="inlineStr">
        <is>
          <t>unité</t>
        </is>
      </c>
      <c r="K855" s="7" t="n">
        <v>0</v>
      </c>
      <c r="L855" s="7">
        <f>K855-I855</f>
        <v/>
      </c>
      <c r="M855" s="7">
        <f>IF(K855&lt;I855,"✕ INSUFFISANT",IF(K855&lt;I855*1.2,"⚠ STOCK FAIBLE","✓ COUVERT"))</f>
        <v/>
      </c>
      <c r="N855" s="7" t="inlineStr">
        <is>
          <t>CTL</t>
        </is>
      </c>
      <c r="O855" s="7" t="inlineStr">
        <is>
          <t>IMPORTANT</t>
        </is>
      </c>
      <c r="P855" s="7" t="inlineStr">
        <is>
          <t>31/08/2026 02:59</t>
        </is>
      </c>
    </row>
    <row r="856">
      <c r="A856" s="8" t="inlineStr">
        <is>
          <t>WHAP 8x8</t>
        </is>
      </c>
      <c r="B856" s="8" t="inlineStr">
        <is>
          <t>WHAP-0852</t>
        </is>
      </c>
      <c r="C856" s="8" t="inlineStr">
        <is>
          <t>ROU-0852</t>
        </is>
      </c>
      <c r="D856" s="8" t="inlineStr">
        <is>
          <t>goujon de roue — ARD2</t>
        </is>
      </c>
      <c r="E856" s="8" t="inlineStr">
        <is>
          <t>Roues et pneus</t>
        </is>
      </c>
      <c r="F856" s="8" t="inlineStr">
        <is>
          <t>Roues et pneus</t>
        </is>
      </c>
      <c r="G856" s="8" t="inlineStr">
        <is>
          <t>PIECE_VEHICULE</t>
        </is>
      </c>
      <c r="H856" s="8" t="n">
        <v>1</v>
      </c>
      <c r="I856" s="8">
        <f>H856*$D$3</f>
        <v/>
      </c>
      <c r="J856" s="8" t="inlineStr">
        <is>
          <t>unité</t>
        </is>
      </c>
      <c r="K856" s="8" t="n">
        <v>0</v>
      </c>
      <c r="L856" s="8">
        <f>K856-I856</f>
        <v/>
      </c>
      <c r="M856" s="8">
        <f>IF(K856&lt;I856,"✕ INSUFFISANT",IF(K856&lt;I856*1.2,"⚠ STOCK FAIBLE","✓ COUVERT"))</f>
        <v/>
      </c>
      <c r="N856" s="8" t="inlineStr">
        <is>
          <t>HEL</t>
        </is>
      </c>
      <c r="O856" s="8" t="inlineStr">
        <is>
          <t>IMPORTANT</t>
        </is>
      </c>
      <c r="P856" s="8" t="inlineStr">
        <is>
          <t>31/08/2026 02:59</t>
        </is>
      </c>
    </row>
    <row r="857">
      <c r="A857" s="7" t="inlineStr">
        <is>
          <t>WHAP 8x8</t>
        </is>
      </c>
      <c r="B857" s="7" t="inlineStr">
        <is>
          <t>WHAP-0853</t>
        </is>
      </c>
      <c r="C857" s="7" t="inlineStr">
        <is>
          <t>ROU-0853</t>
        </is>
      </c>
      <c r="D857" s="7" t="inlineStr">
        <is>
          <t>entretoise de roue — ARD2</t>
        </is>
      </c>
      <c r="E857" s="7" t="inlineStr">
        <is>
          <t>Roues et pneus</t>
        </is>
      </c>
      <c r="F857" s="7" t="inlineStr">
        <is>
          <t>Roues et pneus</t>
        </is>
      </c>
      <c r="G857" s="7" t="inlineStr">
        <is>
          <t>PIECE_VEHICULE</t>
        </is>
      </c>
      <c r="H857" s="7" t="n">
        <v>1</v>
      </c>
      <c r="I857" s="7">
        <f>H857*$D$3</f>
        <v/>
      </c>
      <c r="J857" s="7" t="inlineStr">
        <is>
          <t>unité</t>
        </is>
      </c>
      <c r="K857" s="7" t="n">
        <v>0</v>
      </c>
      <c r="L857" s="7">
        <f>K857-I857</f>
        <v/>
      </c>
      <c r="M857" s="7">
        <f>IF(K857&lt;I857,"✕ INSUFFISANT",IF(K857&lt;I857*1.2,"⚠ STOCK FAIBLE","✓ COUVERT"))</f>
        <v/>
      </c>
      <c r="N857" s="7" t="inlineStr">
        <is>
          <t>VAL</t>
        </is>
      </c>
      <c r="O857" s="7" t="inlineStr">
        <is>
          <t>IMPORTANT</t>
        </is>
      </c>
      <c r="P857" s="7" t="inlineStr">
        <is>
          <t>31/08/2026 02:59</t>
        </is>
      </c>
    </row>
    <row r="858">
      <c r="A858" s="8" t="inlineStr">
        <is>
          <t>WHAP 8x8</t>
        </is>
      </c>
      <c r="B858" s="8" t="inlineStr">
        <is>
          <t>WHAP-0854</t>
        </is>
      </c>
      <c r="C858" s="8" t="inlineStr">
        <is>
          <t>ROU-0854</t>
        </is>
      </c>
      <c r="D858" s="8" t="inlineStr">
        <is>
          <t>moyeu — ARD2</t>
        </is>
      </c>
      <c r="E858" s="8" t="inlineStr">
        <is>
          <t>Roues et pneus</t>
        </is>
      </c>
      <c r="F858" s="8" t="inlineStr">
        <is>
          <t>Roues et pneus</t>
        </is>
      </c>
      <c r="G858" s="8" t="inlineStr">
        <is>
          <t>PIECE_VEHICULE</t>
        </is>
      </c>
      <c r="H858" s="8" t="n">
        <v>1</v>
      </c>
      <c r="I858" s="8">
        <f>H858*$D$3</f>
        <v/>
      </c>
      <c r="J858" s="8" t="inlineStr">
        <is>
          <t>unité</t>
        </is>
      </c>
      <c r="K858" s="8" t="n">
        <v>0</v>
      </c>
      <c r="L858" s="8">
        <f>K858-I858</f>
        <v/>
      </c>
      <c r="M858" s="8">
        <f>IF(K858&lt;I858,"✕ INSUFFISANT",IF(K858&lt;I858*1.2,"⚠ STOCK FAIBLE","✓ COUVERT"))</f>
        <v/>
      </c>
      <c r="N858" s="8" t="inlineStr">
        <is>
          <t>HEL</t>
        </is>
      </c>
      <c r="O858" s="8" t="inlineStr">
        <is>
          <t>IMPORTANT</t>
        </is>
      </c>
      <c r="P858" s="8" t="inlineStr">
        <is>
          <t>31/08/2026 02:59</t>
        </is>
      </c>
    </row>
    <row r="859">
      <c r="A859" s="7" t="inlineStr">
        <is>
          <t>WHAP 8x8</t>
        </is>
      </c>
      <c r="B859" s="7" t="inlineStr">
        <is>
          <t>WHAP-0855</t>
        </is>
      </c>
      <c r="C859" s="7" t="inlineStr">
        <is>
          <t>ROU-0855</t>
        </is>
      </c>
      <c r="D859" s="7" t="inlineStr">
        <is>
          <t>cache-moyeu — ARD2</t>
        </is>
      </c>
      <c r="E859" s="7" t="inlineStr">
        <is>
          <t>Roues et pneus</t>
        </is>
      </c>
      <c r="F859" s="7" t="inlineStr">
        <is>
          <t>Roues et pneus</t>
        </is>
      </c>
      <c r="G859" s="7" t="inlineStr">
        <is>
          <t>PIECE_VEHICULE</t>
        </is>
      </c>
      <c r="H859" s="7" t="n">
        <v>1</v>
      </c>
      <c r="I859" s="7">
        <f>H859*$D$3</f>
        <v/>
      </c>
      <c r="J859" s="7" t="inlineStr">
        <is>
          <t>unité</t>
        </is>
      </c>
      <c r="K859" s="7" t="n">
        <v>0</v>
      </c>
      <c r="L859" s="7">
        <f>K859-I859</f>
        <v/>
      </c>
      <c r="M859" s="7">
        <f>IF(K859&lt;I859,"✕ INSUFFISANT",IF(K859&lt;I859*1.2,"⚠ STOCK FAIBLE","✓ COUVERT"))</f>
        <v/>
      </c>
      <c r="N859" s="7" t="inlineStr">
        <is>
          <t>SUM</t>
        </is>
      </c>
      <c r="O859" s="7" t="inlineStr">
        <is>
          <t>IMPORTANT</t>
        </is>
      </c>
      <c r="P859" s="7" t="inlineStr">
        <is>
          <t>31/08/2026 02:59</t>
        </is>
      </c>
    </row>
    <row r="860">
      <c r="A860" s="8" t="inlineStr">
        <is>
          <t>WHAP 8x8</t>
        </is>
      </c>
      <c r="B860" s="8" t="inlineStr">
        <is>
          <t>WHAP-0856</t>
        </is>
      </c>
      <c r="C860" s="8" t="inlineStr">
        <is>
          <t>ROU-0856</t>
        </is>
      </c>
      <c r="D860" s="8" t="inlineStr">
        <is>
          <t>joint de moyeu — ARD2</t>
        </is>
      </c>
      <c r="E860" s="8" t="inlineStr">
        <is>
          <t>Roues et pneus</t>
        </is>
      </c>
      <c r="F860" s="8" t="inlineStr">
        <is>
          <t>Roues et pneus</t>
        </is>
      </c>
      <c r="G860" s="8" t="inlineStr">
        <is>
          <t>PIECE_VEHICULE</t>
        </is>
      </c>
      <c r="H860" s="8" t="n">
        <v>1</v>
      </c>
      <c r="I860" s="8">
        <f>H860*$D$3</f>
        <v/>
      </c>
      <c r="J860" s="8" t="inlineStr">
        <is>
          <t>unité</t>
        </is>
      </c>
      <c r="K860" s="8" t="n">
        <v>0</v>
      </c>
      <c r="L860" s="8">
        <f>K860-I860</f>
        <v/>
      </c>
      <c r="M860" s="8">
        <f>IF(K860&lt;I860,"✕ INSUFFISANT",IF(K860&lt;I860*1.2,"⚠ STOCK FAIBLE","✓ COUVERT"))</f>
        <v/>
      </c>
      <c r="N860" s="8" t="inlineStr">
        <is>
          <t>SUM</t>
        </is>
      </c>
      <c r="O860" s="8" t="inlineStr">
        <is>
          <t>IMPORTANT</t>
        </is>
      </c>
      <c r="P860" s="8" t="inlineStr">
        <is>
          <t>31/08/2026 02:59</t>
        </is>
      </c>
    </row>
    <row r="861">
      <c r="A861" s="7" t="inlineStr">
        <is>
          <t>WHAP 8x8</t>
        </is>
      </c>
      <c r="B861" s="7" t="inlineStr">
        <is>
          <t>WHAP-0857</t>
        </is>
      </c>
      <c r="C861" s="7" t="inlineStr">
        <is>
          <t>ROU-0857</t>
        </is>
      </c>
      <c r="D861" s="7" t="inlineStr">
        <is>
          <t>roulement de roue — ARD2</t>
        </is>
      </c>
      <c r="E861" s="7" t="inlineStr">
        <is>
          <t>Roues et pneus</t>
        </is>
      </c>
      <c r="F861" s="7" t="inlineStr">
        <is>
          <t>Roues et pneus</t>
        </is>
      </c>
      <c r="G861" s="7" t="inlineStr">
        <is>
          <t>PIECE_VEHICULE</t>
        </is>
      </c>
      <c r="H861" s="7" t="n">
        <v>1</v>
      </c>
      <c r="I861" s="7">
        <f>H861*$D$3</f>
        <v/>
      </c>
      <c r="J861" s="7" t="inlineStr">
        <is>
          <t>unité</t>
        </is>
      </c>
      <c r="K861" s="7" t="n">
        <v>0</v>
      </c>
      <c r="L861" s="7">
        <f>K861-I861</f>
        <v/>
      </c>
      <c r="M861" s="7">
        <f>IF(K861&lt;I861,"✕ INSUFFISANT",IF(K861&lt;I861*1.2,"⚠ STOCK FAIBLE","✓ COUVERT"))</f>
        <v/>
      </c>
      <c r="N861" s="7" t="inlineStr">
        <is>
          <t>SUM</t>
        </is>
      </c>
      <c r="O861" s="7" t="inlineStr">
        <is>
          <t>IMPORTANT</t>
        </is>
      </c>
      <c r="P861" s="7" t="inlineStr">
        <is>
          <t>31/08/2026 02:59</t>
        </is>
      </c>
    </row>
    <row r="862">
      <c r="A862" s="8" t="inlineStr">
        <is>
          <t>WHAP 8x8</t>
        </is>
      </c>
      <c r="B862" s="8" t="inlineStr">
        <is>
          <t>WHAP-0858</t>
        </is>
      </c>
      <c r="C862" s="8" t="inlineStr">
        <is>
          <t>ROU-0858</t>
        </is>
      </c>
      <c r="D862" s="8" t="inlineStr">
        <is>
          <t>bague de roulement — ARD2</t>
        </is>
      </c>
      <c r="E862" s="8" t="inlineStr">
        <is>
          <t>Roues et pneus</t>
        </is>
      </c>
      <c r="F862" s="8" t="inlineStr">
        <is>
          <t>Roues et pneus</t>
        </is>
      </c>
      <c r="G862" s="8" t="inlineStr">
        <is>
          <t>PIECE_VEHICULE</t>
        </is>
      </c>
      <c r="H862" s="8" t="n">
        <v>1</v>
      </c>
      <c r="I862" s="8">
        <f>H862*$D$3</f>
        <v/>
      </c>
      <c r="J862" s="8" t="inlineStr">
        <is>
          <t>unité</t>
        </is>
      </c>
      <c r="K862" s="8" t="n">
        <v>0</v>
      </c>
      <c r="L862" s="8">
        <f>K862-I862</f>
        <v/>
      </c>
      <c r="M862" s="8">
        <f>IF(K862&lt;I862,"✕ INSUFFISANT",IF(K862&lt;I862*1.2,"⚠ STOCK FAIBLE","✓ COUVERT"))</f>
        <v/>
      </c>
      <c r="N862" s="8" t="inlineStr">
        <is>
          <t>MAG</t>
        </is>
      </c>
      <c r="O862" s="8" t="inlineStr">
        <is>
          <t>IMPORTANT</t>
        </is>
      </c>
      <c r="P862" s="8" t="inlineStr">
        <is>
          <t>31/08/2026 02:59</t>
        </is>
      </c>
    </row>
    <row r="863">
      <c r="A863" s="7" t="inlineStr">
        <is>
          <t>WHAP 8x8</t>
        </is>
      </c>
      <c r="B863" s="7" t="inlineStr">
        <is>
          <t>WHAP-0859</t>
        </is>
      </c>
      <c r="C863" s="7" t="inlineStr">
        <is>
          <t>ROU-0859</t>
        </is>
      </c>
      <c r="D863" s="7" t="inlineStr">
        <is>
          <t>anneau de retenue — ARD2</t>
        </is>
      </c>
      <c r="E863" s="7" t="inlineStr">
        <is>
          <t>Roues et pneus</t>
        </is>
      </c>
      <c r="F863" s="7" t="inlineStr">
        <is>
          <t>Roues et pneus</t>
        </is>
      </c>
      <c r="G863" s="7" t="inlineStr">
        <is>
          <t>PIECE_VEHICULE</t>
        </is>
      </c>
      <c r="H863" s="7" t="n">
        <v>1</v>
      </c>
      <c r="I863" s="7">
        <f>H863*$D$3</f>
        <v/>
      </c>
      <c r="J863" s="7" t="inlineStr">
        <is>
          <t>unité</t>
        </is>
      </c>
      <c r="K863" s="7" t="n">
        <v>0</v>
      </c>
      <c r="L863" s="7">
        <f>K863-I863</f>
        <v/>
      </c>
      <c r="M863" s="7">
        <f>IF(K863&lt;I863,"✕ INSUFFISANT",IF(K863&lt;I863*1.2,"⚠ STOCK FAIBLE","✓ COUVERT"))</f>
        <v/>
      </c>
      <c r="N863" s="7" t="inlineStr">
        <is>
          <t>FAU</t>
        </is>
      </c>
      <c r="O863" s="7" t="inlineStr">
        <is>
          <t>IMPORTANT</t>
        </is>
      </c>
      <c r="P863" s="7" t="inlineStr">
        <is>
          <t>31/08/2026 02:59</t>
        </is>
      </c>
    </row>
    <row r="864">
      <c r="A864" s="8" t="inlineStr">
        <is>
          <t>WHAP 8x8</t>
        </is>
      </c>
      <c r="B864" s="8" t="inlineStr">
        <is>
          <t>WHAP-0860</t>
        </is>
      </c>
      <c r="C864" s="8" t="inlineStr">
        <is>
          <t>ROU-0860</t>
        </is>
      </c>
      <c r="D864" s="8" t="inlineStr">
        <is>
          <t>disque de jante — ARD2</t>
        </is>
      </c>
      <c r="E864" s="8" t="inlineStr">
        <is>
          <t>Roues et pneus</t>
        </is>
      </c>
      <c r="F864" s="8" t="inlineStr">
        <is>
          <t>Roues et pneus</t>
        </is>
      </c>
      <c r="G864" s="8" t="inlineStr">
        <is>
          <t>PIECE_VEHICULE</t>
        </is>
      </c>
      <c r="H864" s="8" t="n">
        <v>1</v>
      </c>
      <c r="I864" s="8">
        <f>H864*$D$3</f>
        <v/>
      </c>
      <c r="J864" s="8" t="inlineStr">
        <is>
          <t>unité</t>
        </is>
      </c>
      <c r="K864" s="8" t="n">
        <v>0</v>
      </c>
      <c r="L864" s="8">
        <f>K864-I864</f>
        <v/>
      </c>
      <c r="M864" s="8">
        <f>IF(K864&lt;I864,"✕ INSUFFISANT",IF(K864&lt;I864*1.2,"⚠ STOCK FAIBLE","✓ COUVERT"))</f>
        <v/>
      </c>
      <c r="N864" s="8" t="inlineStr">
        <is>
          <t>YZK</t>
        </is>
      </c>
      <c r="O864" s="8" t="inlineStr">
        <is>
          <t>IMPORTANT</t>
        </is>
      </c>
      <c r="P864" s="8" t="inlineStr">
        <is>
          <t>31/08/2026 02:59</t>
        </is>
      </c>
    </row>
    <row r="865">
      <c r="A865" s="7" t="inlineStr">
        <is>
          <t>WHAP 8x8</t>
        </is>
      </c>
      <c r="B865" s="7" t="inlineStr">
        <is>
          <t>WHAP-0861</t>
        </is>
      </c>
      <c r="C865" s="7" t="inlineStr">
        <is>
          <t>ROU-0861</t>
        </is>
      </c>
      <c r="D865" s="7" t="inlineStr">
        <is>
          <t>cerclage de jante — ARD2</t>
        </is>
      </c>
      <c r="E865" s="7" t="inlineStr">
        <is>
          <t>Roues et pneus</t>
        </is>
      </c>
      <c r="F865" s="7" t="inlineStr">
        <is>
          <t>Roues et pneus</t>
        </is>
      </c>
      <c r="G865" s="7" t="inlineStr">
        <is>
          <t>PIECE_VEHICULE</t>
        </is>
      </c>
      <c r="H865" s="7" t="n">
        <v>1</v>
      </c>
      <c r="I865" s="7">
        <f>H865*$D$3</f>
        <v/>
      </c>
      <c r="J865" s="7" t="inlineStr">
        <is>
          <t>unité</t>
        </is>
      </c>
      <c r="K865" s="7" t="n">
        <v>0</v>
      </c>
      <c r="L865" s="7">
        <f>K865-I865</f>
        <v/>
      </c>
      <c r="M865" s="7">
        <f>IF(K865&lt;I865,"✕ INSUFFISANT",IF(K865&lt;I865*1.2,"⚠ STOCK FAIBLE","✓ COUVERT"))</f>
        <v/>
      </c>
      <c r="N865" s="7" t="inlineStr">
        <is>
          <t>HEL</t>
        </is>
      </c>
      <c r="O865" s="7" t="inlineStr">
        <is>
          <t>IMPORTANT</t>
        </is>
      </c>
      <c r="P865" s="7" t="inlineStr">
        <is>
          <t>31/08/2026 02:59</t>
        </is>
      </c>
    </row>
    <row r="866">
      <c r="A866" s="8" t="inlineStr">
        <is>
          <t>WHAP 8x8</t>
        </is>
      </c>
      <c r="B866" s="8" t="inlineStr">
        <is>
          <t>WHAP-0862</t>
        </is>
      </c>
      <c r="C866" s="8" t="inlineStr">
        <is>
          <t>ROU-0862</t>
        </is>
      </c>
      <c r="D866" s="8" t="inlineStr">
        <is>
          <t>système CTIS — ARD2</t>
        </is>
      </c>
      <c r="E866" s="8" t="inlineStr">
        <is>
          <t>Roues et pneus</t>
        </is>
      </c>
      <c r="F866" s="8" t="inlineStr">
        <is>
          <t>Roues et pneus</t>
        </is>
      </c>
      <c r="G866" s="8" t="inlineStr">
        <is>
          <t>PIECE_VEHICULE</t>
        </is>
      </c>
      <c r="H866" s="8" t="n">
        <v>1</v>
      </c>
      <c r="I866" s="8">
        <f>H866*$D$3</f>
        <v/>
      </c>
      <c r="J866" s="8" t="inlineStr">
        <is>
          <t>unité</t>
        </is>
      </c>
      <c r="K866" s="8" t="n">
        <v>0</v>
      </c>
      <c r="L866" s="8">
        <f>K866-I866</f>
        <v/>
      </c>
      <c r="M866" s="8">
        <f>IF(K866&lt;I866,"✕ INSUFFISANT",IF(K866&lt;I866*1.2,"⚠ STOCK FAIBLE","✓ COUVERT"))</f>
        <v/>
      </c>
      <c r="N866" s="8" t="inlineStr">
        <is>
          <t>CTL</t>
        </is>
      </c>
      <c r="O866" s="8" t="inlineStr">
        <is>
          <t>IMPORTANT</t>
        </is>
      </c>
      <c r="P866" s="8" t="inlineStr">
        <is>
          <t>31/08/2026 02:59</t>
        </is>
      </c>
    </row>
    <row r="867">
      <c r="A867" s="7" t="inlineStr">
        <is>
          <t>WHAP 8x8</t>
        </is>
      </c>
      <c r="B867" s="7" t="inlineStr">
        <is>
          <t>WHAP-0863</t>
        </is>
      </c>
      <c r="C867" s="7" t="inlineStr">
        <is>
          <t>ROU-0863</t>
        </is>
      </c>
      <c r="D867" s="7" t="inlineStr">
        <is>
          <t>rotor CTIS — ARD2</t>
        </is>
      </c>
      <c r="E867" s="7" t="inlineStr">
        <is>
          <t>Roues et pneus</t>
        </is>
      </c>
      <c r="F867" s="7" t="inlineStr">
        <is>
          <t>Roues et pneus</t>
        </is>
      </c>
      <c r="G867" s="7" t="inlineStr">
        <is>
          <t>PIECE_VEHICULE</t>
        </is>
      </c>
      <c r="H867" s="7" t="n">
        <v>1</v>
      </c>
      <c r="I867" s="7">
        <f>H867*$D$3</f>
        <v/>
      </c>
      <c r="J867" s="7" t="inlineStr">
        <is>
          <t>unité</t>
        </is>
      </c>
      <c r="K867" s="7" t="n">
        <v>0</v>
      </c>
      <c r="L867" s="7">
        <f>K867-I867</f>
        <v/>
      </c>
      <c r="M867" s="7">
        <f>IF(K867&lt;I867,"✕ INSUFFISANT",IF(K867&lt;I867*1.2,"⚠ STOCK FAIBLE","✓ COUVERT"))</f>
        <v/>
      </c>
      <c r="N867" s="7" t="inlineStr">
        <is>
          <t>SUM</t>
        </is>
      </c>
      <c r="O867" s="7" t="inlineStr">
        <is>
          <t>IMPORTANT</t>
        </is>
      </c>
      <c r="P867" s="7" t="inlineStr">
        <is>
          <t>31/08/2026 02:59</t>
        </is>
      </c>
    </row>
    <row r="868">
      <c r="A868" s="8" t="inlineStr">
        <is>
          <t>WHAP 8x8</t>
        </is>
      </c>
      <c r="B868" s="8" t="inlineStr">
        <is>
          <t>WHAP-0864</t>
        </is>
      </c>
      <c r="C868" s="8" t="inlineStr">
        <is>
          <t>ROU-0864</t>
        </is>
      </c>
      <c r="D868" s="8" t="inlineStr">
        <is>
          <t>joint tournant CTIS — ARD2</t>
        </is>
      </c>
      <c r="E868" s="8" t="inlineStr">
        <is>
          <t>Roues et pneus</t>
        </is>
      </c>
      <c r="F868" s="8" t="inlineStr">
        <is>
          <t>Roues et pneus</t>
        </is>
      </c>
      <c r="G868" s="8" t="inlineStr">
        <is>
          <t>PIECE_VEHICULE</t>
        </is>
      </c>
      <c r="H868" s="8" t="n">
        <v>1</v>
      </c>
      <c r="I868" s="8">
        <f>H868*$D$3</f>
        <v/>
      </c>
      <c r="J868" s="8" t="inlineStr">
        <is>
          <t>unité</t>
        </is>
      </c>
      <c r="K868" s="8" t="n">
        <v>0</v>
      </c>
      <c r="L868" s="8">
        <f>K868-I868</f>
        <v/>
      </c>
      <c r="M868" s="8">
        <f>IF(K868&lt;I868,"✕ INSUFFISANT",IF(K868&lt;I868*1.2,"⚠ STOCK FAIBLE","✓ COUVERT"))</f>
        <v/>
      </c>
      <c r="N868" s="8" t="inlineStr">
        <is>
          <t>YZK</t>
        </is>
      </c>
      <c r="O868" s="8" t="inlineStr">
        <is>
          <t>IMPORTANT</t>
        </is>
      </c>
      <c r="P868" s="8" t="inlineStr">
        <is>
          <t>31/08/2026 02:59</t>
        </is>
      </c>
    </row>
    <row r="869">
      <c r="A869" s="7" t="inlineStr">
        <is>
          <t>WHAP 8x8</t>
        </is>
      </c>
      <c r="B869" s="7" t="inlineStr">
        <is>
          <t>WHAP-0865</t>
        </is>
      </c>
      <c r="C869" s="7" t="inlineStr">
        <is>
          <t>ROU-0865</t>
        </is>
      </c>
      <c r="D869" s="7" t="inlineStr">
        <is>
          <t>flexible CTIS — ARD2</t>
        </is>
      </c>
      <c r="E869" s="7" t="inlineStr">
        <is>
          <t>Roues et pneus</t>
        </is>
      </c>
      <c r="F869" s="7" t="inlineStr">
        <is>
          <t>Roues et pneus</t>
        </is>
      </c>
      <c r="G869" s="7" t="inlineStr">
        <is>
          <t>PIECE_VEHICULE</t>
        </is>
      </c>
      <c r="H869" s="7" t="n">
        <v>1</v>
      </c>
      <c r="I869" s="7">
        <f>H869*$D$3</f>
        <v/>
      </c>
      <c r="J869" s="7" t="inlineStr">
        <is>
          <t>unité</t>
        </is>
      </c>
      <c r="K869" s="7" t="n">
        <v>0</v>
      </c>
      <c r="L869" s="7">
        <f>K869-I869</f>
        <v/>
      </c>
      <c r="M869" s="7">
        <f>IF(K869&lt;I869,"✕ INSUFFISANT",IF(K869&lt;I869*1.2,"⚠ STOCK FAIBLE","✓ COUVERT"))</f>
        <v/>
      </c>
      <c r="N869" s="7" t="inlineStr">
        <is>
          <t>YZK</t>
        </is>
      </c>
      <c r="O869" s="7" t="inlineStr">
        <is>
          <t>IMPORTANT</t>
        </is>
      </c>
      <c r="P869" s="7" t="inlineStr">
        <is>
          <t>31/08/2026 02:59</t>
        </is>
      </c>
    </row>
    <row r="870">
      <c r="A870" s="8" t="inlineStr">
        <is>
          <t>WHAP 8x8</t>
        </is>
      </c>
      <c r="B870" s="8" t="inlineStr">
        <is>
          <t>WHAP-0866</t>
        </is>
      </c>
      <c r="C870" s="8" t="inlineStr">
        <is>
          <t>ROU-0866</t>
        </is>
      </c>
      <c r="D870" s="8" t="inlineStr">
        <is>
          <t>raccord CTIS — ARD2</t>
        </is>
      </c>
      <c r="E870" s="8" t="inlineStr">
        <is>
          <t>Roues et pneus</t>
        </is>
      </c>
      <c r="F870" s="8" t="inlineStr">
        <is>
          <t>Roues et pneus</t>
        </is>
      </c>
      <c r="G870" s="8" t="inlineStr">
        <is>
          <t>PIECE_VEHICULE</t>
        </is>
      </c>
      <c r="H870" s="8" t="n">
        <v>1</v>
      </c>
      <c r="I870" s="8">
        <f>H870*$D$3</f>
        <v/>
      </c>
      <c r="J870" s="8" t="inlineStr">
        <is>
          <t>unité</t>
        </is>
      </c>
      <c r="K870" s="8" t="n">
        <v>0</v>
      </c>
      <c r="L870" s="8">
        <f>K870-I870</f>
        <v/>
      </c>
      <c r="M870" s="8">
        <f>IF(K870&lt;I870,"✕ INSUFFISANT",IF(K870&lt;I870*1.2,"⚠ STOCK FAIBLE","✓ COUVERT"))</f>
        <v/>
      </c>
      <c r="N870" s="8" t="inlineStr">
        <is>
          <t>VAL</t>
        </is>
      </c>
      <c r="O870" s="8" t="inlineStr">
        <is>
          <t>IMPORTANT</t>
        </is>
      </c>
      <c r="P870" s="8" t="inlineStr">
        <is>
          <t>31/08/2026 02:59</t>
        </is>
      </c>
    </row>
    <row r="871">
      <c r="A871" s="7" t="inlineStr">
        <is>
          <t>WHAP 8x8</t>
        </is>
      </c>
      <c r="B871" s="7" t="inlineStr">
        <is>
          <t>WHAP-0867</t>
        </is>
      </c>
      <c r="C871" s="7" t="inlineStr">
        <is>
          <t>ROU-0867</t>
        </is>
      </c>
      <c r="D871" s="7" t="inlineStr">
        <is>
          <t>valve CTIS — ARD2</t>
        </is>
      </c>
      <c r="E871" s="7" t="inlineStr">
        <is>
          <t>Roues et pneus</t>
        </is>
      </c>
      <c r="F871" s="7" t="inlineStr">
        <is>
          <t>Roues et pneus</t>
        </is>
      </c>
      <c r="G871" s="7" t="inlineStr">
        <is>
          <t>PIECE_VEHICULE</t>
        </is>
      </c>
      <c r="H871" s="7" t="n">
        <v>1</v>
      </c>
      <c r="I871" s="7">
        <f>H871*$D$3</f>
        <v/>
      </c>
      <c r="J871" s="7" t="inlineStr">
        <is>
          <t>unité</t>
        </is>
      </c>
      <c r="K871" s="7" t="n">
        <v>0</v>
      </c>
      <c r="L871" s="7">
        <f>K871-I871</f>
        <v/>
      </c>
      <c r="M871" s="7">
        <f>IF(K871&lt;I871,"✕ INSUFFISANT",IF(K871&lt;I871*1.2,"⚠ STOCK FAIBLE","✓ COUVERT"))</f>
        <v/>
      </c>
      <c r="N871" s="7" t="inlineStr">
        <is>
          <t>SUM</t>
        </is>
      </c>
      <c r="O871" s="7" t="inlineStr">
        <is>
          <t>IMPORTANT</t>
        </is>
      </c>
      <c r="P871" s="7" t="inlineStr">
        <is>
          <t>31/08/2026 02:59</t>
        </is>
      </c>
    </row>
    <row r="872">
      <c r="A872" s="8" t="inlineStr">
        <is>
          <t>WHAP 8x8</t>
        </is>
      </c>
      <c r="B872" s="8" t="inlineStr">
        <is>
          <t>WHAP-0868</t>
        </is>
      </c>
      <c r="C872" s="8" t="inlineStr">
        <is>
          <t>ROU-0868</t>
        </is>
      </c>
      <c r="D872" s="8" t="inlineStr">
        <is>
          <t>manomètre CTIS — ARD2</t>
        </is>
      </c>
      <c r="E872" s="8" t="inlineStr">
        <is>
          <t>Roues et pneus</t>
        </is>
      </c>
      <c r="F872" s="8" t="inlineStr">
        <is>
          <t>Roues et pneus</t>
        </is>
      </c>
      <c r="G872" s="8" t="inlineStr">
        <is>
          <t>PIECE_VEHICULE</t>
        </is>
      </c>
      <c r="H872" s="8" t="n">
        <v>1</v>
      </c>
      <c r="I872" s="8">
        <f>H872*$D$3</f>
        <v/>
      </c>
      <c r="J872" s="8" t="inlineStr">
        <is>
          <t>unité</t>
        </is>
      </c>
      <c r="K872" s="8" t="n">
        <v>0</v>
      </c>
      <c r="L872" s="8">
        <f>K872-I872</f>
        <v/>
      </c>
      <c r="M872" s="8">
        <f>IF(K872&lt;I872,"✕ INSUFFISANT",IF(K872&lt;I872*1.2,"⚠ STOCK FAIBLE","✓ COUVERT"))</f>
        <v/>
      </c>
      <c r="N872" s="8" t="inlineStr">
        <is>
          <t>DEL</t>
        </is>
      </c>
      <c r="O872" s="8" t="inlineStr">
        <is>
          <t>IMPORTANT</t>
        </is>
      </c>
      <c r="P872" s="8" t="inlineStr">
        <is>
          <t>31/08/2026 02:59</t>
        </is>
      </c>
    </row>
    <row r="873">
      <c r="A873" s="7" t="inlineStr">
        <is>
          <t>WHAP 8x8</t>
        </is>
      </c>
      <c r="B873" s="7" t="inlineStr">
        <is>
          <t>WHAP-0869</t>
        </is>
      </c>
      <c r="C873" s="7" t="inlineStr">
        <is>
          <t>ROU-0869</t>
        </is>
      </c>
      <c r="D873" s="7" t="inlineStr">
        <is>
          <t>bloc distributeur CTIS — ARD2</t>
        </is>
      </c>
      <c r="E873" s="7" t="inlineStr">
        <is>
          <t>Roues et pneus</t>
        </is>
      </c>
      <c r="F873" s="7" t="inlineStr">
        <is>
          <t>Roues et pneus</t>
        </is>
      </c>
      <c r="G873" s="7" t="inlineStr">
        <is>
          <t>PIECE_VEHICULE</t>
        </is>
      </c>
      <c r="H873" s="7" t="n">
        <v>1</v>
      </c>
      <c r="I873" s="7">
        <f>H873*$D$3</f>
        <v/>
      </c>
      <c r="J873" s="7" t="inlineStr">
        <is>
          <t>unité</t>
        </is>
      </c>
      <c r="K873" s="7" t="n">
        <v>0</v>
      </c>
      <c r="L873" s="7">
        <f>K873-I873</f>
        <v/>
      </c>
      <c r="M873" s="7">
        <f>IF(K873&lt;I873,"✕ INSUFFISANT",IF(K873&lt;I873*1.2,"⚠ STOCK FAIBLE","✓ COUVERT"))</f>
        <v/>
      </c>
      <c r="N873" s="7" t="inlineStr">
        <is>
          <t>HEL</t>
        </is>
      </c>
      <c r="O873" s="7" t="inlineStr">
        <is>
          <t>IMPORTANT</t>
        </is>
      </c>
      <c r="P873" s="7" t="inlineStr">
        <is>
          <t>31/08/2026 02:59</t>
        </is>
      </c>
    </row>
    <row r="874">
      <c r="A874" s="8" t="inlineStr">
        <is>
          <t>WHAP 8x8</t>
        </is>
      </c>
      <c r="B874" s="8" t="inlineStr">
        <is>
          <t>WHAP-0870</t>
        </is>
      </c>
      <c r="C874" s="8" t="inlineStr">
        <is>
          <t>FRE-0870</t>
        </is>
      </c>
      <c r="D874" s="8" t="inlineStr">
        <is>
          <t>disque de frein — essieu 1</t>
        </is>
      </c>
      <c r="E874" s="8" t="inlineStr">
        <is>
          <t>Freinage</t>
        </is>
      </c>
      <c r="F874" s="8" t="inlineStr">
        <is>
          <t>Freinage</t>
        </is>
      </c>
      <c r="G874" s="8" t="inlineStr">
        <is>
          <t>PIECE_VEHICULE</t>
        </is>
      </c>
      <c r="H874" s="8" t="n">
        <v>1</v>
      </c>
      <c r="I874" s="8">
        <f>H874*$D$3</f>
        <v/>
      </c>
      <c r="J874" s="8" t="inlineStr">
        <is>
          <t>unité</t>
        </is>
      </c>
      <c r="K874" s="8" t="n">
        <v>0</v>
      </c>
      <c r="L874" s="8">
        <f>K874-I874</f>
        <v/>
      </c>
      <c r="M874" s="8">
        <f>IF(K874&lt;I874,"✕ INSUFFISANT",IF(K874&lt;I874*1.2,"⚠ STOCK FAIBLE","✓ COUVERT"))</f>
        <v/>
      </c>
      <c r="N874" s="8" t="inlineStr">
        <is>
          <t>SKF</t>
        </is>
      </c>
      <c r="O874" s="8" t="inlineStr">
        <is>
          <t>CRITIQUE</t>
        </is>
      </c>
      <c r="P874" s="8" t="inlineStr">
        <is>
          <t>31/08/2026 02:59</t>
        </is>
      </c>
    </row>
    <row r="875">
      <c r="A875" s="7" t="inlineStr">
        <is>
          <t>WHAP 8x8</t>
        </is>
      </c>
      <c r="B875" s="7" t="inlineStr">
        <is>
          <t>WHAP-0871</t>
        </is>
      </c>
      <c r="C875" s="7" t="inlineStr">
        <is>
          <t>FRE-0871</t>
        </is>
      </c>
      <c r="D875" s="7" t="inlineStr">
        <is>
          <t>étrier de frein — essieu 1</t>
        </is>
      </c>
      <c r="E875" s="7" t="inlineStr">
        <is>
          <t>Freinage</t>
        </is>
      </c>
      <c r="F875" s="7" t="inlineStr">
        <is>
          <t>Freinage</t>
        </is>
      </c>
      <c r="G875" s="7" t="inlineStr">
        <is>
          <t>PIECE_VEHICULE</t>
        </is>
      </c>
      <c r="H875" s="7" t="n">
        <v>1</v>
      </c>
      <c r="I875" s="7">
        <f>H875*$D$3</f>
        <v/>
      </c>
      <c r="J875" s="7" t="inlineStr">
        <is>
          <t>unité</t>
        </is>
      </c>
      <c r="K875" s="7" t="n">
        <v>0</v>
      </c>
      <c r="L875" s="7">
        <f>K875-I875</f>
        <v/>
      </c>
      <c r="M875" s="7">
        <f>IF(K875&lt;I875,"✕ INSUFFISANT",IF(K875&lt;I875*1.2,"⚠ STOCK FAIBLE","✓ COUVERT"))</f>
        <v/>
      </c>
      <c r="N875" s="7" t="inlineStr">
        <is>
          <t>FAU</t>
        </is>
      </c>
      <c r="O875" s="7" t="inlineStr">
        <is>
          <t>CRITIQUE</t>
        </is>
      </c>
      <c r="P875" s="7" t="inlineStr">
        <is>
          <t>31/08/2026 02:59</t>
        </is>
      </c>
    </row>
    <row r="876">
      <c r="A876" s="8" t="inlineStr">
        <is>
          <t>WHAP 8x8</t>
        </is>
      </c>
      <c r="B876" s="8" t="inlineStr">
        <is>
          <t>WHAP-0872</t>
        </is>
      </c>
      <c r="C876" s="8" t="inlineStr">
        <is>
          <t>FRE-0872</t>
        </is>
      </c>
      <c r="D876" s="8" t="inlineStr">
        <is>
          <t>plaquette de frein — essieu 1</t>
        </is>
      </c>
      <c r="E876" s="8" t="inlineStr">
        <is>
          <t>Freinage</t>
        </is>
      </c>
      <c r="F876" s="8" t="inlineStr">
        <is>
          <t>Freinage</t>
        </is>
      </c>
      <c r="G876" s="8" t="inlineStr">
        <is>
          <t>PIECE_VEHICULE</t>
        </is>
      </c>
      <c r="H876" s="8" t="n">
        <v>1</v>
      </c>
      <c r="I876" s="8">
        <f>H876*$D$3</f>
        <v/>
      </c>
      <c r="J876" s="8" t="inlineStr">
        <is>
          <t>unité</t>
        </is>
      </c>
      <c r="K876" s="8" t="n">
        <v>0</v>
      </c>
      <c r="L876" s="8">
        <f>K876-I876</f>
        <v/>
      </c>
      <c r="M876" s="8">
        <f>IF(K876&lt;I876,"✕ INSUFFISANT",IF(K876&lt;I876*1.2,"⚠ STOCK FAIBLE","✓ COUVERT"))</f>
        <v/>
      </c>
      <c r="N876" s="8" t="inlineStr">
        <is>
          <t>MAG</t>
        </is>
      </c>
      <c r="O876" s="8" t="inlineStr">
        <is>
          <t>CRITIQUE</t>
        </is>
      </c>
      <c r="P876" s="8" t="inlineStr">
        <is>
          <t>31/08/2026 02:59</t>
        </is>
      </c>
    </row>
    <row r="877">
      <c r="A877" s="7" t="inlineStr">
        <is>
          <t>WHAP 8x8</t>
        </is>
      </c>
      <c r="B877" s="7" t="inlineStr">
        <is>
          <t>WHAP-0873</t>
        </is>
      </c>
      <c r="C877" s="7" t="inlineStr">
        <is>
          <t>FRE-0873</t>
        </is>
      </c>
      <c r="D877" s="7" t="inlineStr">
        <is>
          <t>porte-plaquette — essieu 1</t>
        </is>
      </c>
      <c r="E877" s="7" t="inlineStr">
        <is>
          <t>Freinage</t>
        </is>
      </c>
      <c r="F877" s="7" t="inlineStr">
        <is>
          <t>Freinage</t>
        </is>
      </c>
      <c r="G877" s="7" t="inlineStr">
        <is>
          <t>PIECE_VEHICULE</t>
        </is>
      </c>
      <c r="H877" s="7" t="n">
        <v>1</v>
      </c>
      <c r="I877" s="7">
        <f>H877*$D$3</f>
        <v/>
      </c>
      <c r="J877" s="7" t="inlineStr">
        <is>
          <t>unité</t>
        </is>
      </c>
      <c r="K877" s="7" t="n">
        <v>0</v>
      </c>
      <c r="L877" s="7">
        <f>K877-I877</f>
        <v/>
      </c>
      <c r="M877" s="7">
        <f>IF(K877&lt;I877,"✕ INSUFFISANT",IF(K877&lt;I877*1.2,"⚠ STOCK FAIBLE","✓ COUVERT"))</f>
        <v/>
      </c>
      <c r="N877" s="7" t="inlineStr">
        <is>
          <t>YZK</t>
        </is>
      </c>
      <c r="O877" s="7" t="inlineStr">
        <is>
          <t>CRITIQUE</t>
        </is>
      </c>
      <c r="P877" s="7" t="inlineStr">
        <is>
          <t>31/08/2026 02:59</t>
        </is>
      </c>
    </row>
    <row r="878">
      <c r="A878" s="8" t="inlineStr">
        <is>
          <t>WHAP 8x8</t>
        </is>
      </c>
      <c r="B878" s="8" t="inlineStr">
        <is>
          <t>WHAP-0874</t>
        </is>
      </c>
      <c r="C878" s="8" t="inlineStr">
        <is>
          <t>FRE-0874</t>
        </is>
      </c>
      <c r="D878" s="8" t="inlineStr">
        <is>
          <t>piston d'étrier — essieu 1</t>
        </is>
      </c>
      <c r="E878" s="8" t="inlineStr">
        <is>
          <t>Freinage</t>
        </is>
      </c>
      <c r="F878" s="8" t="inlineStr">
        <is>
          <t>Freinage</t>
        </is>
      </c>
      <c r="G878" s="8" t="inlineStr">
        <is>
          <t>PIECE_VEHICULE</t>
        </is>
      </c>
      <c r="H878" s="8" t="n">
        <v>1</v>
      </c>
      <c r="I878" s="8">
        <f>H878*$D$3</f>
        <v/>
      </c>
      <c r="J878" s="8" t="inlineStr">
        <is>
          <t>unité</t>
        </is>
      </c>
      <c r="K878" s="8" t="n">
        <v>0</v>
      </c>
      <c r="L878" s="8">
        <f>K878-I878</f>
        <v/>
      </c>
      <c r="M878" s="8">
        <f>IF(K878&lt;I878,"✕ INSUFFISANT",IF(K878&lt;I878*1.2,"⚠ STOCK FAIBLE","✓ COUVERT"))</f>
        <v/>
      </c>
      <c r="N878" s="8" t="inlineStr">
        <is>
          <t>VAL</t>
        </is>
      </c>
      <c r="O878" s="8" t="inlineStr">
        <is>
          <t>CRITIQUE</t>
        </is>
      </c>
      <c r="P878" s="8" t="inlineStr">
        <is>
          <t>31/08/2026 02:59</t>
        </is>
      </c>
    </row>
    <row r="879">
      <c r="A879" s="7" t="inlineStr">
        <is>
          <t>WHAP 8x8</t>
        </is>
      </c>
      <c r="B879" s="7" t="inlineStr">
        <is>
          <t>WHAP-0875</t>
        </is>
      </c>
      <c r="C879" s="7" t="inlineStr">
        <is>
          <t>FRE-0875</t>
        </is>
      </c>
      <c r="D879" s="7" t="inlineStr">
        <is>
          <t>joint de piston — essieu 1</t>
        </is>
      </c>
      <c r="E879" s="7" t="inlineStr">
        <is>
          <t>Freinage</t>
        </is>
      </c>
      <c r="F879" s="7" t="inlineStr">
        <is>
          <t>Freinage</t>
        </is>
      </c>
      <c r="G879" s="7" t="inlineStr">
        <is>
          <t>PIECE_VEHICULE</t>
        </is>
      </c>
      <c r="H879" s="7" t="n">
        <v>1</v>
      </c>
      <c r="I879" s="7">
        <f>H879*$D$3</f>
        <v/>
      </c>
      <c r="J879" s="7" t="inlineStr">
        <is>
          <t>unité</t>
        </is>
      </c>
      <c r="K879" s="7" t="n">
        <v>0</v>
      </c>
      <c r="L879" s="7">
        <f>K879-I879</f>
        <v/>
      </c>
      <c r="M879" s="7">
        <f>IF(K879&lt;I879,"✕ INSUFFISANT",IF(K879&lt;I879*1.2,"⚠ STOCK FAIBLE","✓ COUVERT"))</f>
        <v/>
      </c>
      <c r="N879" s="7" t="inlineStr">
        <is>
          <t>SUM</t>
        </is>
      </c>
      <c r="O879" s="7" t="inlineStr">
        <is>
          <t>CRITIQUE</t>
        </is>
      </c>
      <c r="P879" s="7" t="inlineStr">
        <is>
          <t>31/08/2026 02:59</t>
        </is>
      </c>
    </row>
    <row r="880">
      <c r="A880" s="8" t="inlineStr">
        <is>
          <t>WHAP 8x8</t>
        </is>
      </c>
      <c r="B880" s="8" t="inlineStr">
        <is>
          <t>WHAP-0876</t>
        </is>
      </c>
      <c r="C880" s="8" t="inlineStr">
        <is>
          <t>FRE-0876</t>
        </is>
      </c>
      <c r="D880" s="8" t="inlineStr">
        <is>
          <t>flexible de frein — essieu 1</t>
        </is>
      </c>
      <c r="E880" s="8" t="inlineStr">
        <is>
          <t>Freinage</t>
        </is>
      </c>
      <c r="F880" s="8" t="inlineStr">
        <is>
          <t>Freinage</t>
        </is>
      </c>
      <c r="G880" s="8" t="inlineStr">
        <is>
          <t>PIECE_VEHICULE</t>
        </is>
      </c>
      <c r="H880" s="8" t="n">
        <v>1</v>
      </c>
      <c r="I880" s="8">
        <f>H880*$D$3</f>
        <v/>
      </c>
      <c r="J880" s="8" t="inlineStr">
        <is>
          <t>unité</t>
        </is>
      </c>
      <c r="K880" s="8" t="n">
        <v>0</v>
      </c>
      <c r="L880" s="8">
        <f>K880-I880</f>
        <v/>
      </c>
      <c r="M880" s="8">
        <f>IF(K880&lt;I880,"✕ INSUFFISANT",IF(K880&lt;I880*1.2,"⚠ STOCK FAIBLE","✓ COUVERT"))</f>
        <v/>
      </c>
      <c r="N880" s="8" t="inlineStr">
        <is>
          <t>SKF</t>
        </is>
      </c>
      <c r="O880" s="8" t="inlineStr">
        <is>
          <t>CRITIQUE</t>
        </is>
      </c>
      <c r="P880" s="8" t="inlineStr">
        <is>
          <t>31/08/2026 02:59</t>
        </is>
      </c>
    </row>
    <row r="881">
      <c r="A881" s="7" t="inlineStr">
        <is>
          <t>WHAP 8x8</t>
        </is>
      </c>
      <c r="B881" s="7" t="inlineStr">
        <is>
          <t>WHAP-0877</t>
        </is>
      </c>
      <c r="C881" s="7" t="inlineStr">
        <is>
          <t>FRE-0877</t>
        </is>
      </c>
      <c r="D881" s="7" t="inlineStr">
        <is>
          <t>conduite de frein — essieu 1</t>
        </is>
      </c>
      <c r="E881" s="7" t="inlineStr">
        <is>
          <t>Freinage</t>
        </is>
      </c>
      <c r="F881" s="7" t="inlineStr">
        <is>
          <t>Freinage</t>
        </is>
      </c>
      <c r="G881" s="7" t="inlineStr">
        <is>
          <t>PIECE_VEHICULE</t>
        </is>
      </c>
      <c r="H881" s="7" t="n">
        <v>1</v>
      </c>
      <c r="I881" s="7">
        <f>H881*$D$3</f>
        <v/>
      </c>
      <c r="J881" s="7" t="inlineStr">
        <is>
          <t>unité</t>
        </is>
      </c>
      <c r="K881" s="7" t="n">
        <v>0</v>
      </c>
      <c r="L881" s="7">
        <f>K881-I881</f>
        <v/>
      </c>
      <c r="M881" s="7">
        <f>IF(K881&lt;I881,"✕ INSUFFISANT",IF(K881&lt;I881*1.2,"⚠ STOCK FAIBLE","✓ COUVERT"))</f>
        <v/>
      </c>
      <c r="N881" s="7" t="inlineStr">
        <is>
          <t>SKF</t>
        </is>
      </c>
      <c r="O881" s="7" t="inlineStr">
        <is>
          <t>CRITIQUE</t>
        </is>
      </c>
      <c r="P881" s="7" t="inlineStr">
        <is>
          <t>31/08/2026 02:59</t>
        </is>
      </c>
    </row>
    <row r="882">
      <c r="A882" s="8" t="inlineStr">
        <is>
          <t>WHAP 8x8</t>
        </is>
      </c>
      <c r="B882" s="8" t="inlineStr">
        <is>
          <t>WHAP-0878</t>
        </is>
      </c>
      <c r="C882" s="8" t="inlineStr">
        <is>
          <t>FRE-0878</t>
        </is>
      </c>
      <c r="D882" s="8" t="inlineStr">
        <is>
          <t>maître-cylindre — essieu 1</t>
        </is>
      </c>
      <c r="E882" s="8" t="inlineStr">
        <is>
          <t>Freinage</t>
        </is>
      </c>
      <c r="F882" s="8" t="inlineStr">
        <is>
          <t>Freinage</t>
        </is>
      </c>
      <c r="G882" s="8" t="inlineStr">
        <is>
          <t>PIECE_VEHICULE</t>
        </is>
      </c>
      <c r="H882" s="8" t="n">
        <v>1</v>
      </c>
      <c r="I882" s="8">
        <f>H882*$D$3</f>
        <v/>
      </c>
      <c r="J882" s="8" t="inlineStr">
        <is>
          <t>unité</t>
        </is>
      </c>
      <c r="K882" s="8" t="n">
        <v>0</v>
      </c>
      <c r="L882" s="8">
        <f>K882-I882</f>
        <v/>
      </c>
      <c r="M882" s="8">
        <f>IF(K882&lt;I882,"✕ INSUFFISANT",IF(K882&lt;I882*1.2,"⚠ STOCK FAIBLE","✓ COUVERT"))</f>
        <v/>
      </c>
      <c r="N882" s="8" t="inlineStr">
        <is>
          <t>SUM</t>
        </is>
      </c>
      <c r="O882" s="8" t="inlineStr">
        <is>
          <t>CRITIQUE</t>
        </is>
      </c>
      <c r="P882" s="8" t="inlineStr">
        <is>
          <t>31/08/2026 02:59</t>
        </is>
      </c>
    </row>
    <row r="883">
      <c r="A883" s="7" t="inlineStr">
        <is>
          <t>WHAP 8x8</t>
        </is>
      </c>
      <c r="B883" s="7" t="inlineStr">
        <is>
          <t>WHAP-0879</t>
        </is>
      </c>
      <c r="C883" s="7" t="inlineStr">
        <is>
          <t>FRE-0879</t>
        </is>
      </c>
      <c r="D883" s="7" t="inlineStr">
        <is>
          <t>servofrein — essieu 1</t>
        </is>
      </c>
      <c r="E883" s="7" t="inlineStr">
        <is>
          <t>Freinage</t>
        </is>
      </c>
      <c r="F883" s="7" t="inlineStr">
        <is>
          <t>Freinage</t>
        </is>
      </c>
      <c r="G883" s="7" t="inlineStr">
        <is>
          <t>PIECE_VEHICULE</t>
        </is>
      </c>
      <c r="H883" s="7" t="n">
        <v>1</v>
      </c>
      <c r="I883" s="7">
        <f>H883*$D$3</f>
        <v/>
      </c>
      <c r="J883" s="7" t="inlineStr">
        <is>
          <t>unité</t>
        </is>
      </c>
      <c r="K883" s="7" t="n">
        <v>0</v>
      </c>
      <c r="L883" s="7">
        <f>K883-I883</f>
        <v/>
      </c>
      <c r="M883" s="7">
        <f>IF(K883&lt;I883,"✕ INSUFFISANT",IF(K883&lt;I883*1.2,"⚠ STOCK FAIBLE","✓ COUVERT"))</f>
        <v/>
      </c>
      <c r="N883" s="7" t="inlineStr">
        <is>
          <t>HEL</t>
        </is>
      </c>
      <c r="O883" s="7" t="inlineStr">
        <is>
          <t>CRITIQUE</t>
        </is>
      </c>
      <c r="P883" s="7" t="inlineStr">
        <is>
          <t>31/08/2026 02:59</t>
        </is>
      </c>
    </row>
    <row r="884">
      <c r="A884" s="8" t="inlineStr">
        <is>
          <t>WHAP 8x8</t>
        </is>
      </c>
      <c r="B884" s="8" t="inlineStr">
        <is>
          <t>WHAP-0880</t>
        </is>
      </c>
      <c r="C884" s="8" t="inlineStr">
        <is>
          <t>FRE-0880</t>
        </is>
      </c>
      <c r="D884" s="8" t="inlineStr">
        <is>
          <t>compresseur d'air — essieu 1</t>
        </is>
      </c>
      <c r="E884" s="8" t="inlineStr">
        <is>
          <t>Freinage</t>
        </is>
      </c>
      <c r="F884" s="8" t="inlineStr">
        <is>
          <t>Freinage</t>
        </is>
      </c>
      <c r="G884" s="8" t="inlineStr">
        <is>
          <t>PIECE_VEHICULE</t>
        </is>
      </c>
      <c r="H884" s="8" t="n">
        <v>1</v>
      </c>
      <c r="I884" s="8">
        <f>H884*$D$3</f>
        <v/>
      </c>
      <c r="J884" s="8" t="inlineStr">
        <is>
          <t>unité</t>
        </is>
      </c>
      <c r="K884" s="8" t="n">
        <v>0</v>
      </c>
      <c r="L884" s="8">
        <f>K884-I884</f>
        <v/>
      </c>
      <c r="M884" s="8">
        <f>IF(K884&lt;I884,"✕ INSUFFISANT",IF(K884&lt;I884*1.2,"⚠ STOCK FAIBLE","✓ COUVERT"))</f>
        <v/>
      </c>
      <c r="N884" s="8" t="inlineStr">
        <is>
          <t>CTL</t>
        </is>
      </c>
      <c r="O884" s="8" t="inlineStr">
        <is>
          <t>CRITIQUE</t>
        </is>
      </c>
      <c r="P884" s="8" t="inlineStr">
        <is>
          <t>31/08/2026 02:59</t>
        </is>
      </c>
    </row>
    <row r="885">
      <c r="A885" s="7" t="inlineStr">
        <is>
          <t>WHAP 8x8</t>
        </is>
      </c>
      <c r="B885" s="7" t="inlineStr">
        <is>
          <t>WHAP-0881</t>
        </is>
      </c>
      <c r="C885" s="7" t="inlineStr">
        <is>
          <t>FRE-0881</t>
        </is>
      </c>
      <c r="D885" s="7" t="inlineStr">
        <is>
          <t>réservoir d'air — essieu 1</t>
        </is>
      </c>
      <c r="E885" s="7" t="inlineStr">
        <is>
          <t>Freinage</t>
        </is>
      </c>
      <c r="F885" s="7" t="inlineStr">
        <is>
          <t>Freinage</t>
        </is>
      </c>
      <c r="G885" s="7" t="inlineStr">
        <is>
          <t>PIECE_VEHICULE</t>
        </is>
      </c>
      <c r="H885" s="7" t="n">
        <v>1</v>
      </c>
      <c r="I885" s="7">
        <f>H885*$D$3</f>
        <v/>
      </c>
      <c r="J885" s="7" t="inlineStr">
        <is>
          <t>unité</t>
        </is>
      </c>
      <c r="K885" s="7" t="n">
        <v>0</v>
      </c>
      <c r="L885" s="7">
        <f>K885-I885</f>
        <v/>
      </c>
      <c r="M885" s="7">
        <f>IF(K885&lt;I885,"✕ INSUFFISANT",IF(K885&lt;I885*1.2,"⚠ STOCK FAIBLE","✓ COUVERT"))</f>
        <v/>
      </c>
      <c r="N885" s="7" t="inlineStr">
        <is>
          <t>MAG</t>
        </is>
      </c>
      <c r="O885" s="7" t="inlineStr">
        <is>
          <t>CRITIQUE</t>
        </is>
      </c>
      <c r="P885" s="7" t="inlineStr">
        <is>
          <t>31/08/2026 02:59</t>
        </is>
      </c>
    </row>
    <row r="886">
      <c r="A886" s="8" t="inlineStr">
        <is>
          <t>WHAP 8x8</t>
        </is>
      </c>
      <c r="B886" s="8" t="inlineStr">
        <is>
          <t>WHAP-0882</t>
        </is>
      </c>
      <c r="C886" s="8" t="inlineStr">
        <is>
          <t>FRE-0882</t>
        </is>
      </c>
      <c r="D886" s="8" t="inlineStr">
        <is>
          <t>valve de frein — essieu 1</t>
        </is>
      </c>
      <c r="E886" s="8" t="inlineStr">
        <is>
          <t>Freinage</t>
        </is>
      </c>
      <c r="F886" s="8" t="inlineStr">
        <is>
          <t>Freinage</t>
        </is>
      </c>
      <c r="G886" s="8" t="inlineStr">
        <is>
          <t>PIECE_VEHICULE</t>
        </is>
      </c>
      <c r="H886" s="8" t="n">
        <v>1</v>
      </c>
      <c r="I886" s="8">
        <f>H886*$D$3</f>
        <v/>
      </c>
      <c r="J886" s="8" t="inlineStr">
        <is>
          <t>unité</t>
        </is>
      </c>
      <c r="K886" s="8" t="n">
        <v>0</v>
      </c>
      <c r="L886" s="8">
        <f>K886-I886</f>
        <v/>
      </c>
      <c r="M886" s="8">
        <f>IF(K886&lt;I886,"✕ INSUFFISANT",IF(K886&lt;I886*1.2,"⚠ STOCK FAIBLE","✓ COUVERT"))</f>
        <v/>
      </c>
      <c r="N886" s="8" t="inlineStr">
        <is>
          <t>YZK</t>
        </is>
      </c>
      <c r="O886" s="8" t="inlineStr">
        <is>
          <t>CRITIQUE</t>
        </is>
      </c>
      <c r="P886" s="8" t="inlineStr">
        <is>
          <t>31/08/2026 02:59</t>
        </is>
      </c>
    </row>
    <row r="887">
      <c r="A887" s="7" t="inlineStr">
        <is>
          <t>WHAP 8x8</t>
        </is>
      </c>
      <c r="B887" s="7" t="inlineStr">
        <is>
          <t>WHAP-0883</t>
        </is>
      </c>
      <c r="C887" s="7" t="inlineStr">
        <is>
          <t>FRE-0883</t>
        </is>
      </c>
      <c r="D887" s="7" t="inlineStr">
        <is>
          <t>valve relais — essieu 1</t>
        </is>
      </c>
      <c r="E887" s="7" t="inlineStr">
        <is>
          <t>Freinage</t>
        </is>
      </c>
      <c r="F887" s="7" t="inlineStr">
        <is>
          <t>Freinage</t>
        </is>
      </c>
      <c r="G887" s="7" t="inlineStr">
        <is>
          <t>PIECE_VEHICULE</t>
        </is>
      </c>
      <c r="H887" s="7" t="n">
        <v>1</v>
      </c>
      <c r="I887" s="7">
        <f>H887*$D$3</f>
        <v/>
      </c>
      <c r="J887" s="7" t="inlineStr">
        <is>
          <t>unité</t>
        </is>
      </c>
      <c r="K887" s="7" t="n">
        <v>0</v>
      </c>
      <c r="L887" s="7">
        <f>K887-I887</f>
        <v/>
      </c>
      <c r="M887" s="7">
        <f>IF(K887&lt;I887,"✕ INSUFFISANT",IF(K887&lt;I887*1.2,"⚠ STOCK FAIBLE","✓ COUVERT"))</f>
        <v/>
      </c>
      <c r="N887" s="7" t="inlineStr">
        <is>
          <t>SKF</t>
        </is>
      </c>
      <c r="O887" s="7" t="inlineStr">
        <is>
          <t>CRITIQUE</t>
        </is>
      </c>
      <c r="P887" s="7" t="inlineStr">
        <is>
          <t>31/08/2026 02:59</t>
        </is>
      </c>
    </row>
    <row r="888">
      <c r="A888" s="8" t="inlineStr">
        <is>
          <t>WHAP 8x8</t>
        </is>
      </c>
      <c r="B888" s="8" t="inlineStr">
        <is>
          <t>WHAP-0884</t>
        </is>
      </c>
      <c r="C888" s="8" t="inlineStr">
        <is>
          <t>FRE-0884</t>
        </is>
      </c>
      <c r="D888" s="8" t="inlineStr">
        <is>
          <t>valve de protection — essieu 1</t>
        </is>
      </c>
      <c r="E888" s="8" t="inlineStr">
        <is>
          <t>Freinage</t>
        </is>
      </c>
      <c r="F888" s="8" t="inlineStr">
        <is>
          <t>Freinage</t>
        </is>
      </c>
      <c r="G888" s="8" t="inlineStr">
        <is>
          <t>PIECE_VEHICULE</t>
        </is>
      </c>
      <c r="H888" s="8" t="n">
        <v>1</v>
      </c>
      <c r="I888" s="8">
        <f>H888*$D$3</f>
        <v/>
      </c>
      <c r="J888" s="8" t="inlineStr">
        <is>
          <t>unité</t>
        </is>
      </c>
      <c r="K888" s="8" t="n">
        <v>0</v>
      </c>
      <c r="L888" s="8">
        <f>K888-I888</f>
        <v/>
      </c>
      <c r="M888" s="8">
        <f>IF(K888&lt;I888,"✕ INSUFFISANT",IF(K888&lt;I888*1.2,"⚠ STOCK FAIBLE","✓ COUVERT"))</f>
        <v/>
      </c>
      <c r="N888" s="8" t="inlineStr">
        <is>
          <t>BOS</t>
        </is>
      </c>
      <c r="O888" s="8" t="inlineStr">
        <is>
          <t>CRITIQUE</t>
        </is>
      </c>
      <c r="P888" s="8" t="inlineStr">
        <is>
          <t>31/08/2026 02:59</t>
        </is>
      </c>
    </row>
    <row r="889">
      <c r="A889" s="7" t="inlineStr">
        <is>
          <t>WHAP 8x8</t>
        </is>
      </c>
      <c r="B889" s="7" t="inlineStr">
        <is>
          <t>WHAP-0885</t>
        </is>
      </c>
      <c r="C889" s="7" t="inlineStr">
        <is>
          <t>FRE-0885</t>
        </is>
      </c>
      <c r="D889" s="7" t="inlineStr">
        <is>
          <t>modulateur ABS — essieu 1</t>
        </is>
      </c>
      <c r="E889" s="7" t="inlineStr">
        <is>
          <t>Freinage</t>
        </is>
      </c>
      <c r="F889" s="7" t="inlineStr">
        <is>
          <t>Freinage</t>
        </is>
      </c>
      <c r="G889" s="7" t="inlineStr">
        <is>
          <t>PIECE_VEHICULE</t>
        </is>
      </c>
      <c r="H889" s="7" t="n">
        <v>1</v>
      </c>
      <c r="I889" s="7">
        <f>H889*$D$3</f>
        <v/>
      </c>
      <c r="J889" s="7" t="inlineStr">
        <is>
          <t>unité</t>
        </is>
      </c>
      <c r="K889" s="7" t="n">
        <v>0</v>
      </c>
      <c r="L889" s="7">
        <f>K889-I889</f>
        <v/>
      </c>
      <c r="M889" s="7">
        <f>IF(K889&lt;I889,"✕ INSUFFISANT",IF(K889&lt;I889*1.2,"⚠ STOCK FAIBLE","✓ COUVERT"))</f>
        <v/>
      </c>
      <c r="N889" s="7" t="inlineStr">
        <is>
          <t>VAL</t>
        </is>
      </c>
      <c r="O889" s="7" t="inlineStr">
        <is>
          <t>CRITIQUE</t>
        </is>
      </c>
      <c r="P889" s="7" t="inlineStr">
        <is>
          <t>31/08/2026 02:59</t>
        </is>
      </c>
    </row>
    <row r="890">
      <c r="A890" s="8" t="inlineStr">
        <is>
          <t>WHAP 8x8</t>
        </is>
      </c>
      <c r="B890" s="8" t="inlineStr">
        <is>
          <t>WHAP-0886</t>
        </is>
      </c>
      <c r="C890" s="8" t="inlineStr">
        <is>
          <t>FRE-0886</t>
        </is>
      </c>
      <c r="D890" s="8" t="inlineStr">
        <is>
          <t>capteur ABS — essieu 1</t>
        </is>
      </c>
      <c r="E890" s="8" t="inlineStr">
        <is>
          <t>Freinage</t>
        </is>
      </c>
      <c r="F890" s="8" t="inlineStr">
        <is>
          <t>Freinage</t>
        </is>
      </c>
      <c r="G890" s="8" t="inlineStr">
        <is>
          <t>PIECE_VEHICULE</t>
        </is>
      </c>
      <c r="H890" s="8" t="n">
        <v>1</v>
      </c>
      <c r="I890" s="8">
        <f>H890*$D$3</f>
        <v/>
      </c>
      <c r="J890" s="8" t="inlineStr">
        <is>
          <t>unité</t>
        </is>
      </c>
      <c r="K890" s="8" t="n">
        <v>0</v>
      </c>
      <c r="L890" s="8">
        <f>K890-I890</f>
        <v/>
      </c>
      <c r="M890" s="8">
        <f>IF(K890&lt;I890,"✕ INSUFFISANT",IF(K890&lt;I890*1.2,"⚠ STOCK FAIBLE","✓ COUVERT"))</f>
        <v/>
      </c>
      <c r="N890" s="8" t="inlineStr">
        <is>
          <t>FAU</t>
        </is>
      </c>
      <c r="O890" s="8" t="inlineStr">
        <is>
          <t>CRITIQUE</t>
        </is>
      </c>
      <c r="P890" s="8" t="inlineStr">
        <is>
          <t>31/08/2026 02:59</t>
        </is>
      </c>
    </row>
    <row r="891">
      <c r="A891" s="7" t="inlineStr">
        <is>
          <t>WHAP 8x8</t>
        </is>
      </c>
      <c r="B891" s="7" t="inlineStr">
        <is>
          <t>WHAP-0887</t>
        </is>
      </c>
      <c r="C891" s="7" t="inlineStr">
        <is>
          <t>FRE-0887</t>
        </is>
      </c>
      <c r="D891" s="7" t="inlineStr">
        <is>
          <t>couronne ABS — essieu 1</t>
        </is>
      </c>
      <c r="E891" s="7" t="inlineStr">
        <is>
          <t>Freinage</t>
        </is>
      </c>
      <c r="F891" s="7" t="inlineStr">
        <is>
          <t>Freinage</t>
        </is>
      </c>
      <c r="G891" s="7" t="inlineStr">
        <is>
          <t>PIECE_VEHICULE</t>
        </is>
      </c>
      <c r="H891" s="7" t="n">
        <v>1</v>
      </c>
      <c r="I891" s="7">
        <f>H891*$D$3</f>
        <v/>
      </c>
      <c r="J891" s="7" t="inlineStr">
        <is>
          <t>unité</t>
        </is>
      </c>
      <c r="K891" s="7" t="n">
        <v>0</v>
      </c>
      <c r="L891" s="7">
        <f>K891-I891</f>
        <v/>
      </c>
      <c r="M891" s="7">
        <f>IF(K891&lt;I891,"✕ INSUFFISANT",IF(K891&lt;I891*1.2,"⚠ STOCK FAIBLE","✓ COUVERT"))</f>
        <v/>
      </c>
      <c r="N891" s="7" t="inlineStr">
        <is>
          <t>SUM</t>
        </is>
      </c>
      <c r="O891" s="7" t="inlineStr">
        <is>
          <t>CRITIQUE</t>
        </is>
      </c>
      <c r="P891" s="7" t="inlineStr">
        <is>
          <t>31/08/2026 02:59</t>
        </is>
      </c>
    </row>
    <row r="892">
      <c r="A892" s="8" t="inlineStr">
        <is>
          <t>WHAP 8x8</t>
        </is>
      </c>
      <c r="B892" s="8" t="inlineStr">
        <is>
          <t>WHAP-0888</t>
        </is>
      </c>
      <c r="C892" s="8" t="inlineStr">
        <is>
          <t>FRE-0888</t>
        </is>
      </c>
      <c r="D892" s="8" t="inlineStr">
        <is>
          <t>actionneur frein de parc — essieu 1</t>
        </is>
      </c>
      <c r="E892" s="8" t="inlineStr">
        <is>
          <t>Freinage</t>
        </is>
      </c>
      <c r="F892" s="8" t="inlineStr">
        <is>
          <t>Freinage</t>
        </is>
      </c>
      <c r="G892" s="8" t="inlineStr">
        <is>
          <t>PIECE_VEHICULE</t>
        </is>
      </c>
      <c r="H892" s="8" t="n">
        <v>1</v>
      </c>
      <c r="I892" s="8">
        <f>H892*$D$3</f>
        <v/>
      </c>
      <c r="J892" s="8" t="inlineStr">
        <is>
          <t>unité</t>
        </is>
      </c>
      <c r="K892" s="8" t="n">
        <v>0</v>
      </c>
      <c r="L892" s="8">
        <f>K892-I892</f>
        <v/>
      </c>
      <c r="M892" s="8">
        <f>IF(K892&lt;I892,"✕ INSUFFISANT",IF(K892&lt;I892*1.2,"⚠ STOCK FAIBLE","✓ COUVERT"))</f>
        <v/>
      </c>
      <c r="N892" s="8" t="inlineStr">
        <is>
          <t>SUM</t>
        </is>
      </c>
      <c r="O892" s="8" t="inlineStr">
        <is>
          <t>CRITIQUE</t>
        </is>
      </c>
      <c r="P892" s="8" t="inlineStr">
        <is>
          <t>31/08/2026 02:59</t>
        </is>
      </c>
    </row>
    <row r="893">
      <c r="A893" s="7" t="inlineStr">
        <is>
          <t>WHAP 8x8</t>
        </is>
      </c>
      <c r="B893" s="7" t="inlineStr">
        <is>
          <t>WHAP-0889</t>
        </is>
      </c>
      <c r="C893" s="7" t="inlineStr">
        <is>
          <t>FRE-0889</t>
        </is>
      </c>
      <c r="D893" s="7" t="inlineStr">
        <is>
          <t>câble de frein — essieu 1</t>
        </is>
      </c>
      <c r="E893" s="7" t="inlineStr">
        <is>
          <t>Freinage</t>
        </is>
      </c>
      <c r="F893" s="7" t="inlineStr">
        <is>
          <t>Freinage</t>
        </is>
      </c>
      <c r="G893" s="7" t="inlineStr">
        <is>
          <t>PIECE_VEHICULE</t>
        </is>
      </c>
      <c r="H893" s="7" t="n">
        <v>1</v>
      </c>
      <c r="I893" s="7">
        <f>H893*$D$3</f>
        <v/>
      </c>
      <c r="J893" s="7" t="inlineStr">
        <is>
          <t>unité</t>
        </is>
      </c>
      <c r="K893" s="7" t="n">
        <v>0</v>
      </c>
      <c r="L893" s="7">
        <f>K893-I893</f>
        <v/>
      </c>
      <c r="M893" s="7">
        <f>IF(K893&lt;I893,"✕ INSUFFISANT",IF(K893&lt;I893*1.2,"⚠ STOCK FAIBLE","✓ COUVERT"))</f>
        <v/>
      </c>
      <c r="N893" s="7" t="inlineStr">
        <is>
          <t>BOS</t>
        </is>
      </c>
      <c r="O893" s="7" t="inlineStr">
        <is>
          <t>CRITIQUE</t>
        </is>
      </c>
      <c r="P893" s="7" t="inlineStr">
        <is>
          <t>31/08/2026 02:59</t>
        </is>
      </c>
    </row>
    <row r="894">
      <c r="A894" s="8" t="inlineStr">
        <is>
          <t>WHAP 8x8</t>
        </is>
      </c>
      <c r="B894" s="8" t="inlineStr">
        <is>
          <t>WHAP-0890</t>
        </is>
      </c>
      <c r="C894" s="8" t="inlineStr">
        <is>
          <t>FRE-0890</t>
        </is>
      </c>
      <c r="D894" s="8" t="inlineStr">
        <is>
          <t>ressort de frein — essieu 1</t>
        </is>
      </c>
      <c r="E894" s="8" t="inlineStr">
        <is>
          <t>Freinage</t>
        </is>
      </c>
      <c r="F894" s="8" t="inlineStr">
        <is>
          <t>Freinage</t>
        </is>
      </c>
      <c r="G894" s="8" t="inlineStr">
        <is>
          <t>PIECE_VEHICULE</t>
        </is>
      </c>
      <c r="H894" s="8" t="n">
        <v>1</v>
      </c>
      <c r="I894" s="8">
        <f>H894*$D$3</f>
        <v/>
      </c>
      <c r="J894" s="8" t="inlineStr">
        <is>
          <t>unité</t>
        </is>
      </c>
      <c r="K894" s="8" t="n">
        <v>0</v>
      </c>
      <c r="L894" s="8">
        <f>K894-I894</f>
        <v/>
      </c>
      <c r="M894" s="8">
        <f>IF(K894&lt;I894,"✕ INSUFFISANT",IF(K894&lt;I894*1.2,"⚠ STOCK FAIBLE","✓ COUVERT"))</f>
        <v/>
      </c>
      <c r="N894" s="8" t="inlineStr">
        <is>
          <t>YZK</t>
        </is>
      </c>
      <c r="O894" s="8" t="inlineStr">
        <is>
          <t>CRITIQUE</t>
        </is>
      </c>
      <c r="P894" s="8" t="inlineStr">
        <is>
          <t>31/08/2026 02:59</t>
        </is>
      </c>
    </row>
    <row r="895">
      <c r="A895" s="7" t="inlineStr">
        <is>
          <t>WHAP 8x8</t>
        </is>
      </c>
      <c r="B895" s="7" t="inlineStr">
        <is>
          <t>WHAP-0891</t>
        </is>
      </c>
      <c r="C895" s="7" t="inlineStr">
        <is>
          <t>FRE-0891</t>
        </is>
      </c>
      <c r="D895" s="7" t="inlineStr">
        <is>
          <t>tambour de frein — essieu 1</t>
        </is>
      </c>
      <c r="E895" s="7" t="inlineStr">
        <is>
          <t>Freinage</t>
        </is>
      </c>
      <c r="F895" s="7" t="inlineStr">
        <is>
          <t>Freinage</t>
        </is>
      </c>
      <c r="G895" s="7" t="inlineStr">
        <is>
          <t>PIECE_VEHICULE</t>
        </is>
      </c>
      <c r="H895" s="7" t="n">
        <v>1</v>
      </c>
      <c r="I895" s="7">
        <f>H895*$D$3</f>
        <v/>
      </c>
      <c r="J895" s="7" t="inlineStr">
        <is>
          <t>unité</t>
        </is>
      </c>
      <c r="K895" s="7" t="n">
        <v>0</v>
      </c>
      <c r="L895" s="7">
        <f>K895-I895</f>
        <v/>
      </c>
      <c r="M895" s="7">
        <f>IF(K895&lt;I895,"✕ INSUFFISANT",IF(K895&lt;I895*1.2,"⚠ STOCK FAIBLE","✓ COUVERT"))</f>
        <v/>
      </c>
      <c r="N895" s="7" t="inlineStr">
        <is>
          <t>YZK</t>
        </is>
      </c>
      <c r="O895" s="7" t="inlineStr">
        <is>
          <t>CRITIQUE</t>
        </is>
      </c>
      <c r="P895" s="7" t="inlineStr">
        <is>
          <t>31/08/2026 02:59</t>
        </is>
      </c>
    </row>
    <row r="896">
      <c r="A896" s="8" t="inlineStr">
        <is>
          <t>WHAP 8x8</t>
        </is>
      </c>
      <c r="B896" s="8" t="inlineStr">
        <is>
          <t>WHAP-0892</t>
        </is>
      </c>
      <c r="C896" s="8" t="inlineStr">
        <is>
          <t>FRE-0892</t>
        </is>
      </c>
      <c r="D896" s="8" t="inlineStr">
        <is>
          <t>garniture de frein — essieu 1</t>
        </is>
      </c>
      <c r="E896" s="8" t="inlineStr">
        <is>
          <t>Freinage</t>
        </is>
      </c>
      <c r="F896" s="8" t="inlineStr">
        <is>
          <t>Freinage</t>
        </is>
      </c>
      <c r="G896" s="8" t="inlineStr">
        <is>
          <t>PIECE_VEHICULE</t>
        </is>
      </c>
      <c r="H896" s="8" t="n">
        <v>1</v>
      </c>
      <c r="I896" s="8">
        <f>H896*$D$3</f>
        <v/>
      </c>
      <c r="J896" s="8" t="inlineStr">
        <is>
          <t>unité</t>
        </is>
      </c>
      <c r="K896" s="8" t="n">
        <v>0</v>
      </c>
      <c r="L896" s="8">
        <f>K896-I896</f>
        <v/>
      </c>
      <c r="M896" s="8">
        <f>IF(K896&lt;I896,"✕ INSUFFISANT",IF(K896&lt;I896*1.2,"⚠ STOCK FAIBLE","✓ COUVERT"))</f>
        <v/>
      </c>
      <c r="N896" s="8" t="inlineStr">
        <is>
          <t>HEL</t>
        </is>
      </c>
      <c r="O896" s="8" t="inlineStr">
        <is>
          <t>CRITIQUE</t>
        </is>
      </c>
      <c r="P896" s="8" t="inlineStr">
        <is>
          <t>31/08/2026 02:59</t>
        </is>
      </c>
    </row>
    <row r="897">
      <c r="A897" s="7" t="inlineStr">
        <is>
          <t>WHAP 8x8</t>
        </is>
      </c>
      <c r="B897" s="7" t="inlineStr">
        <is>
          <t>WHAP-0893</t>
        </is>
      </c>
      <c r="C897" s="7" t="inlineStr">
        <is>
          <t>FRE-0893</t>
        </is>
      </c>
      <c r="D897" s="7" t="inlineStr">
        <is>
          <t>purgeur — essieu 1</t>
        </is>
      </c>
      <c r="E897" s="7" t="inlineStr">
        <is>
          <t>Freinage</t>
        </is>
      </c>
      <c r="F897" s="7" t="inlineStr">
        <is>
          <t>Freinage</t>
        </is>
      </c>
      <c r="G897" s="7" t="inlineStr">
        <is>
          <t>PIECE_VEHICULE</t>
        </is>
      </c>
      <c r="H897" s="7" t="n">
        <v>1</v>
      </c>
      <c r="I897" s="7">
        <f>H897*$D$3</f>
        <v/>
      </c>
      <c r="J897" s="7" t="inlineStr">
        <is>
          <t>unité</t>
        </is>
      </c>
      <c r="K897" s="7" t="n">
        <v>0</v>
      </c>
      <c r="L897" s="7">
        <f>K897-I897</f>
        <v/>
      </c>
      <c r="M897" s="7">
        <f>IF(K897&lt;I897,"✕ INSUFFISANT",IF(K897&lt;I897*1.2,"⚠ STOCK FAIBLE","✓ COUVERT"))</f>
        <v/>
      </c>
      <c r="N897" s="7" t="inlineStr">
        <is>
          <t>DEL</t>
        </is>
      </c>
      <c r="O897" s="7" t="inlineStr">
        <is>
          <t>CRITIQUE</t>
        </is>
      </c>
      <c r="P897" s="7" t="inlineStr">
        <is>
          <t>31/08/2026 02:59</t>
        </is>
      </c>
    </row>
    <row r="898">
      <c r="A898" s="8" t="inlineStr">
        <is>
          <t>WHAP 8x8</t>
        </is>
      </c>
      <c r="B898" s="8" t="inlineStr">
        <is>
          <t>WHAP-0894</t>
        </is>
      </c>
      <c r="C898" s="8" t="inlineStr">
        <is>
          <t>FRE-0894</t>
        </is>
      </c>
      <c r="D898" s="8" t="inlineStr">
        <is>
          <t>raccord pneumatique — essieu 1</t>
        </is>
      </c>
      <c r="E898" s="8" t="inlineStr">
        <is>
          <t>Freinage</t>
        </is>
      </c>
      <c r="F898" s="8" t="inlineStr">
        <is>
          <t>Freinage</t>
        </is>
      </c>
      <c r="G898" s="8" t="inlineStr">
        <is>
          <t>PIECE_VEHICULE</t>
        </is>
      </c>
      <c r="H898" s="8" t="n">
        <v>1</v>
      </c>
      <c r="I898" s="8">
        <f>H898*$D$3</f>
        <v/>
      </c>
      <c r="J898" s="8" t="inlineStr">
        <is>
          <t>unité</t>
        </is>
      </c>
      <c r="K898" s="8" t="n">
        <v>0</v>
      </c>
      <c r="L898" s="8">
        <f>K898-I898</f>
        <v/>
      </c>
      <c r="M898" s="8">
        <f>IF(K898&lt;I898,"✕ INSUFFISANT",IF(K898&lt;I898*1.2,"⚠ STOCK FAIBLE","✓ COUVERT"))</f>
        <v/>
      </c>
      <c r="N898" s="8" t="inlineStr">
        <is>
          <t>VAL</t>
        </is>
      </c>
      <c r="O898" s="8" t="inlineStr">
        <is>
          <t>CRITIQUE</t>
        </is>
      </c>
      <c r="P898" s="8" t="inlineStr">
        <is>
          <t>31/08/2026 02:59</t>
        </is>
      </c>
    </row>
    <row r="899">
      <c r="A899" s="7" t="inlineStr">
        <is>
          <t>WHAP 8x8</t>
        </is>
      </c>
      <c r="B899" s="7" t="inlineStr">
        <is>
          <t>WHAP-0895</t>
        </is>
      </c>
      <c r="C899" s="7" t="inlineStr">
        <is>
          <t>FRE-0895</t>
        </is>
      </c>
      <c r="D899" s="7" t="inlineStr">
        <is>
          <t>disque de frein — essieu 2</t>
        </is>
      </c>
      <c r="E899" s="7" t="inlineStr">
        <is>
          <t>Freinage</t>
        </is>
      </c>
      <c r="F899" s="7" t="inlineStr">
        <is>
          <t>Freinage</t>
        </is>
      </c>
      <c r="G899" s="7" t="inlineStr">
        <is>
          <t>PIECE_VEHICULE</t>
        </is>
      </c>
      <c r="H899" s="7" t="n">
        <v>1</v>
      </c>
      <c r="I899" s="7">
        <f>H899*$D$3</f>
        <v/>
      </c>
      <c r="J899" s="7" t="inlineStr">
        <is>
          <t>unité</t>
        </is>
      </c>
      <c r="K899" s="7" t="n">
        <v>0</v>
      </c>
      <c r="L899" s="7">
        <f>K899-I899</f>
        <v/>
      </c>
      <c r="M899" s="7">
        <f>IF(K899&lt;I899,"✕ INSUFFISANT",IF(K899&lt;I899*1.2,"⚠ STOCK FAIBLE","✓ COUVERT"))</f>
        <v/>
      </c>
      <c r="N899" s="7" t="inlineStr">
        <is>
          <t>HEL</t>
        </is>
      </c>
      <c r="O899" s="7" t="inlineStr">
        <is>
          <t>CRITIQUE</t>
        </is>
      </c>
      <c r="P899" s="7" t="inlineStr">
        <is>
          <t>31/08/2026 02:59</t>
        </is>
      </c>
    </row>
    <row r="900">
      <c r="A900" s="8" t="inlineStr">
        <is>
          <t>WHAP 8x8</t>
        </is>
      </c>
      <c r="B900" s="8" t="inlineStr">
        <is>
          <t>WHAP-0896</t>
        </is>
      </c>
      <c r="C900" s="8" t="inlineStr">
        <is>
          <t>FRE-0896</t>
        </is>
      </c>
      <c r="D900" s="8" t="inlineStr">
        <is>
          <t>étrier de frein — essieu 2</t>
        </is>
      </c>
      <c r="E900" s="8" t="inlineStr">
        <is>
          <t>Freinage</t>
        </is>
      </c>
      <c r="F900" s="8" t="inlineStr">
        <is>
          <t>Freinage</t>
        </is>
      </c>
      <c r="G900" s="8" t="inlineStr">
        <is>
          <t>PIECE_VEHICULE</t>
        </is>
      </c>
      <c r="H900" s="8" t="n">
        <v>1</v>
      </c>
      <c r="I900" s="8">
        <f>H900*$D$3</f>
        <v/>
      </c>
      <c r="J900" s="8" t="inlineStr">
        <is>
          <t>unité</t>
        </is>
      </c>
      <c r="K900" s="8" t="n">
        <v>0</v>
      </c>
      <c r="L900" s="8">
        <f>K900-I900</f>
        <v/>
      </c>
      <c r="M900" s="8">
        <f>IF(K900&lt;I900,"✕ INSUFFISANT",IF(K900&lt;I900*1.2,"⚠ STOCK FAIBLE","✓ COUVERT"))</f>
        <v/>
      </c>
      <c r="N900" s="8" t="inlineStr">
        <is>
          <t>SKF</t>
        </is>
      </c>
      <c r="O900" s="8" t="inlineStr">
        <is>
          <t>CRITIQUE</t>
        </is>
      </c>
      <c r="P900" s="8" t="inlineStr">
        <is>
          <t>31/08/2026 02:59</t>
        </is>
      </c>
    </row>
    <row r="901">
      <c r="A901" s="7" t="inlineStr">
        <is>
          <t>WHAP 8x8</t>
        </is>
      </c>
      <c r="B901" s="7" t="inlineStr">
        <is>
          <t>WHAP-0897</t>
        </is>
      </c>
      <c r="C901" s="7" t="inlineStr">
        <is>
          <t>FRE-0897</t>
        </is>
      </c>
      <c r="D901" s="7" t="inlineStr">
        <is>
          <t>plaquette de frein — essieu 2</t>
        </is>
      </c>
      <c r="E901" s="7" t="inlineStr">
        <is>
          <t>Freinage</t>
        </is>
      </c>
      <c r="F901" s="7" t="inlineStr">
        <is>
          <t>Freinage</t>
        </is>
      </c>
      <c r="G901" s="7" t="inlineStr">
        <is>
          <t>PIECE_VEHICULE</t>
        </is>
      </c>
      <c r="H901" s="7" t="n">
        <v>1</v>
      </c>
      <c r="I901" s="7">
        <f>H901*$D$3</f>
        <v/>
      </c>
      <c r="J901" s="7" t="inlineStr">
        <is>
          <t>unité</t>
        </is>
      </c>
      <c r="K901" s="7" t="n">
        <v>0</v>
      </c>
      <c r="L901" s="7">
        <f>K901-I901</f>
        <v/>
      </c>
      <c r="M901" s="7">
        <f>IF(K901&lt;I901,"✕ INSUFFISANT",IF(K901&lt;I901*1.2,"⚠ STOCK FAIBLE","✓ COUVERT"))</f>
        <v/>
      </c>
      <c r="N901" s="7" t="inlineStr">
        <is>
          <t>HEL</t>
        </is>
      </c>
      <c r="O901" s="7" t="inlineStr">
        <is>
          <t>CRITIQUE</t>
        </is>
      </c>
      <c r="P901" s="7" t="inlineStr">
        <is>
          <t>31/08/2026 02:59</t>
        </is>
      </c>
    </row>
    <row r="902">
      <c r="A902" s="8" t="inlineStr">
        <is>
          <t>WHAP 8x8</t>
        </is>
      </c>
      <c r="B902" s="8" t="inlineStr">
        <is>
          <t>WHAP-0898</t>
        </is>
      </c>
      <c r="C902" s="8" t="inlineStr">
        <is>
          <t>FRE-0898</t>
        </is>
      </c>
      <c r="D902" s="8" t="inlineStr">
        <is>
          <t>porte-plaquette — essieu 2</t>
        </is>
      </c>
      <c r="E902" s="8" t="inlineStr">
        <is>
          <t>Freinage</t>
        </is>
      </c>
      <c r="F902" s="8" t="inlineStr">
        <is>
          <t>Freinage</t>
        </is>
      </c>
      <c r="G902" s="8" t="inlineStr">
        <is>
          <t>PIECE_VEHICULE</t>
        </is>
      </c>
      <c r="H902" s="8" t="n">
        <v>1</v>
      </c>
      <c r="I902" s="8">
        <f>H902*$D$3</f>
        <v/>
      </c>
      <c r="J902" s="8" t="inlineStr">
        <is>
          <t>unité</t>
        </is>
      </c>
      <c r="K902" s="8" t="n">
        <v>0</v>
      </c>
      <c r="L902" s="8">
        <f>K902-I902</f>
        <v/>
      </c>
      <c r="M902" s="8">
        <f>IF(K902&lt;I902,"✕ INSUFFISANT",IF(K902&lt;I902*1.2,"⚠ STOCK FAIBLE","✓ COUVERT"))</f>
        <v/>
      </c>
      <c r="N902" s="8" t="inlineStr">
        <is>
          <t>SKF</t>
        </is>
      </c>
      <c r="O902" s="8" t="inlineStr">
        <is>
          <t>CRITIQUE</t>
        </is>
      </c>
      <c r="P902" s="8" t="inlineStr">
        <is>
          <t>31/08/2026 02:59</t>
        </is>
      </c>
    </row>
    <row r="903">
      <c r="A903" s="7" t="inlineStr">
        <is>
          <t>WHAP 8x8</t>
        </is>
      </c>
      <c r="B903" s="7" t="inlineStr">
        <is>
          <t>WHAP-0899</t>
        </is>
      </c>
      <c r="C903" s="7" t="inlineStr">
        <is>
          <t>FRE-0899</t>
        </is>
      </c>
      <c r="D903" s="7" t="inlineStr">
        <is>
          <t>piston d'étrier — essieu 2</t>
        </is>
      </c>
      <c r="E903" s="7" t="inlineStr">
        <is>
          <t>Freinage</t>
        </is>
      </c>
      <c r="F903" s="7" t="inlineStr">
        <is>
          <t>Freinage</t>
        </is>
      </c>
      <c r="G903" s="7" t="inlineStr">
        <is>
          <t>PIECE_VEHICULE</t>
        </is>
      </c>
      <c r="H903" s="7" t="n">
        <v>1</v>
      </c>
      <c r="I903" s="7">
        <f>H903*$D$3</f>
        <v/>
      </c>
      <c r="J903" s="7" t="inlineStr">
        <is>
          <t>unité</t>
        </is>
      </c>
      <c r="K903" s="7" t="n">
        <v>0</v>
      </c>
      <c r="L903" s="7">
        <f>K903-I903</f>
        <v/>
      </c>
      <c r="M903" s="7">
        <f>IF(K903&lt;I903,"✕ INSUFFISANT",IF(K903&lt;I903*1.2,"⚠ STOCK FAIBLE","✓ COUVERT"))</f>
        <v/>
      </c>
      <c r="N903" s="7" t="inlineStr">
        <is>
          <t>SUM</t>
        </is>
      </c>
      <c r="O903" s="7" t="inlineStr">
        <is>
          <t>CRITIQUE</t>
        </is>
      </c>
      <c r="P903" s="7" t="inlineStr">
        <is>
          <t>31/08/2026 02:59</t>
        </is>
      </c>
    </row>
    <row r="904">
      <c r="A904" s="8" t="inlineStr">
        <is>
          <t>WHAP 8x8</t>
        </is>
      </c>
      <c r="B904" s="8" t="inlineStr">
        <is>
          <t>WHAP-0900</t>
        </is>
      </c>
      <c r="C904" s="8" t="inlineStr">
        <is>
          <t>FRE-0900</t>
        </is>
      </c>
      <c r="D904" s="8" t="inlineStr">
        <is>
          <t>joint de piston — essieu 2</t>
        </is>
      </c>
      <c r="E904" s="8" t="inlineStr">
        <is>
          <t>Freinage</t>
        </is>
      </c>
      <c r="F904" s="8" t="inlineStr">
        <is>
          <t>Freinage</t>
        </is>
      </c>
      <c r="G904" s="8" t="inlineStr">
        <is>
          <t>PIECE_VEHICULE</t>
        </is>
      </c>
      <c r="H904" s="8" t="n">
        <v>1</v>
      </c>
      <c r="I904" s="8">
        <f>H904*$D$3</f>
        <v/>
      </c>
      <c r="J904" s="8" t="inlineStr">
        <is>
          <t>unité</t>
        </is>
      </c>
      <c r="K904" s="8" t="n">
        <v>0</v>
      </c>
      <c r="L904" s="8">
        <f>K904-I904</f>
        <v/>
      </c>
      <c r="M904" s="8">
        <f>IF(K904&lt;I904,"✕ INSUFFISANT",IF(K904&lt;I904*1.2,"⚠ STOCK FAIBLE","✓ COUVERT"))</f>
        <v/>
      </c>
      <c r="N904" s="8" t="inlineStr">
        <is>
          <t>HEL</t>
        </is>
      </c>
      <c r="O904" s="8" t="inlineStr">
        <is>
          <t>CRITIQUE</t>
        </is>
      </c>
      <c r="P904" s="8" t="inlineStr">
        <is>
          <t>31/08/2026 02:59</t>
        </is>
      </c>
    </row>
    <row r="905">
      <c r="A905" s="7" t="inlineStr">
        <is>
          <t>WHAP 8x8</t>
        </is>
      </c>
      <c r="B905" s="7" t="inlineStr">
        <is>
          <t>WHAP-0901</t>
        </is>
      </c>
      <c r="C905" s="7" t="inlineStr">
        <is>
          <t>FRE-0901</t>
        </is>
      </c>
      <c r="D905" s="7" t="inlineStr">
        <is>
          <t>flexible de frein — essieu 2</t>
        </is>
      </c>
      <c r="E905" s="7" t="inlineStr">
        <is>
          <t>Freinage</t>
        </is>
      </c>
      <c r="F905" s="7" t="inlineStr">
        <is>
          <t>Freinage</t>
        </is>
      </c>
      <c r="G905" s="7" t="inlineStr">
        <is>
          <t>PIECE_VEHICULE</t>
        </is>
      </c>
      <c r="H905" s="7" t="n">
        <v>1</v>
      </c>
      <c r="I905" s="7">
        <f>H905*$D$3</f>
        <v/>
      </c>
      <c r="J905" s="7" t="inlineStr">
        <is>
          <t>unité</t>
        </is>
      </c>
      <c r="K905" s="7" t="n">
        <v>0</v>
      </c>
      <c r="L905" s="7">
        <f>K905-I905</f>
        <v/>
      </c>
      <c r="M905" s="7">
        <f>IF(K905&lt;I905,"✕ INSUFFISANT",IF(K905&lt;I905*1.2,"⚠ STOCK FAIBLE","✓ COUVERT"))</f>
        <v/>
      </c>
      <c r="N905" s="7" t="inlineStr">
        <is>
          <t>SKF</t>
        </is>
      </c>
      <c r="O905" s="7" t="inlineStr">
        <is>
          <t>CRITIQUE</t>
        </is>
      </c>
      <c r="P905" s="7" t="inlineStr">
        <is>
          <t>31/08/2026 02:59</t>
        </is>
      </c>
    </row>
    <row r="906">
      <c r="A906" s="8" t="inlineStr">
        <is>
          <t>WHAP 8x8</t>
        </is>
      </c>
      <c r="B906" s="8" t="inlineStr">
        <is>
          <t>WHAP-0902</t>
        </is>
      </c>
      <c r="C906" s="8" t="inlineStr">
        <is>
          <t>FRE-0902</t>
        </is>
      </c>
      <c r="D906" s="8" t="inlineStr">
        <is>
          <t>conduite de frein — essieu 2</t>
        </is>
      </c>
      <c r="E906" s="8" t="inlineStr">
        <is>
          <t>Freinage</t>
        </is>
      </c>
      <c r="F906" s="8" t="inlineStr">
        <is>
          <t>Freinage</t>
        </is>
      </c>
      <c r="G906" s="8" t="inlineStr">
        <is>
          <t>PIECE_VEHICULE</t>
        </is>
      </c>
      <c r="H906" s="8" t="n">
        <v>1</v>
      </c>
      <c r="I906" s="8">
        <f>H906*$D$3</f>
        <v/>
      </c>
      <c r="J906" s="8" t="inlineStr">
        <is>
          <t>unité</t>
        </is>
      </c>
      <c r="K906" s="8" t="n">
        <v>0</v>
      </c>
      <c r="L906" s="8">
        <f>K906-I906</f>
        <v/>
      </c>
      <c r="M906" s="8">
        <f>IF(K906&lt;I906,"✕ INSUFFISANT",IF(K906&lt;I906*1.2,"⚠ STOCK FAIBLE","✓ COUVERT"))</f>
        <v/>
      </c>
      <c r="N906" s="8" t="inlineStr">
        <is>
          <t>FAU</t>
        </is>
      </c>
      <c r="O906" s="8" t="inlineStr">
        <is>
          <t>CRITIQUE</t>
        </is>
      </c>
      <c r="P906" s="8" t="inlineStr">
        <is>
          <t>31/08/2026 02:59</t>
        </is>
      </c>
    </row>
    <row r="907">
      <c r="A907" s="7" t="inlineStr">
        <is>
          <t>WHAP 8x8</t>
        </is>
      </c>
      <c r="B907" s="7" t="inlineStr">
        <is>
          <t>WHAP-0903</t>
        </is>
      </c>
      <c r="C907" s="7" t="inlineStr">
        <is>
          <t>FRE-0903</t>
        </is>
      </c>
      <c r="D907" s="7" t="inlineStr">
        <is>
          <t>maître-cylindre — essieu 2</t>
        </is>
      </c>
      <c r="E907" s="7" t="inlineStr">
        <is>
          <t>Freinage</t>
        </is>
      </c>
      <c r="F907" s="7" t="inlineStr">
        <is>
          <t>Freinage</t>
        </is>
      </c>
      <c r="G907" s="7" t="inlineStr">
        <is>
          <t>PIECE_VEHICULE</t>
        </is>
      </c>
      <c r="H907" s="7" t="n">
        <v>1</v>
      </c>
      <c r="I907" s="7">
        <f>H907*$D$3</f>
        <v/>
      </c>
      <c r="J907" s="7" t="inlineStr">
        <is>
          <t>unité</t>
        </is>
      </c>
      <c r="K907" s="7" t="n">
        <v>0</v>
      </c>
      <c r="L907" s="7">
        <f>K907-I907</f>
        <v/>
      </c>
      <c r="M907" s="7">
        <f>IF(K907&lt;I907,"✕ INSUFFISANT",IF(K907&lt;I907*1.2,"⚠ STOCK FAIBLE","✓ COUVERT"))</f>
        <v/>
      </c>
      <c r="N907" s="7" t="inlineStr">
        <is>
          <t>HEL</t>
        </is>
      </c>
      <c r="O907" s="7" t="inlineStr">
        <is>
          <t>CRITIQUE</t>
        </is>
      </c>
      <c r="P907" s="7" t="inlineStr">
        <is>
          <t>31/08/2026 02:59</t>
        </is>
      </c>
    </row>
    <row r="908">
      <c r="A908" s="8" t="inlineStr">
        <is>
          <t>WHAP 8x8</t>
        </is>
      </c>
      <c r="B908" s="8" t="inlineStr">
        <is>
          <t>WHAP-0904</t>
        </is>
      </c>
      <c r="C908" s="8" t="inlineStr">
        <is>
          <t>FRE-0904</t>
        </is>
      </c>
      <c r="D908" s="8" t="inlineStr">
        <is>
          <t>servofrein — essieu 2</t>
        </is>
      </c>
      <c r="E908" s="8" t="inlineStr">
        <is>
          <t>Freinage</t>
        </is>
      </c>
      <c r="F908" s="8" t="inlineStr">
        <is>
          <t>Freinage</t>
        </is>
      </c>
      <c r="G908" s="8" t="inlineStr">
        <is>
          <t>PIECE_VEHICULE</t>
        </is>
      </c>
      <c r="H908" s="8" t="n">
        <v>1</v>
      </c>
      <c r="I908" s="8">
        <f>H908*$D$3</f>
        <v/>
      </c>
      <c r="J908" s="8" t="inlineStr">
        <is>
          <t>unité</t>
        </is>
      </c>
      <c r="K908" s="8" t="n">
        <v>0</v>
      </c>
      <c r="L908" s="8">
        <f>K908-I908</f>
        <v/>
      </c>
      <c r="M908" s="8">
        <f>IF(K908&lt;I908,"✕ INSUFFISANT",IF(K908&lt;I908*1.2,"⚠ STOCK FAIBLE","✓ COUVERT"))</f>
        <v/>
      </c>
      <c r="N908" s="8" t="inlineStr">
        <is>
          <t>FAU</t>
        </is>
      </c>
      <c r="O908" s="8" t="inlineStr">
        <is>
          <t>CRITIQUE</t>
        </is>
      </c>
      <c r="P908" s="8" t="inlineStr">
        <is>
          <t>31/08/2026 02:59</t>
        </is>
      </c>
    </row>
    <row r="909">
      <c r="A909" s="7" t="inlineStr">
        <is>
          <t>WHAP 8x8</t>
        </is>
      </c>
      <c r="B909" s="7" t="inlineStr">
        <is>
          <t>WHAP-0905</t>
        </is>
      </c>
      <c r="C909" s="7" t="inlineStr">
        <is>
          <t>FRE-0905</t>
        </is>
      </c>
      <c r="D909" s="7" t="inlineStr">
        <is>
          <t>compresseur d'air — essieu 2</t>
        </is>
      </c>
      <c r="E909" s="7" t="inlineStr">
        <is>
          <t>Freinage</t>
        </is>
      </c>
      <c r="F909" s="7" t="inlineStr">
        <is>
          <t>Freinage</t>
        </is>
      </c>
      <c r="G909" s="7" t="inlineStr">
        <is>
          <t>PIECE_VEHICULE</t>
        </is>
      </c>
      <c r="H909" s="7" t="n">
        <v>1</v>
      </c>
      <c r="I909" s="7">
        <f>H909*$D$3</f>
        <v/>
      </c>
      <c r="J909" s="7" t="inlineStr">
        <is>
          <t>unité</t>
        </is>
      </c>
      <c r="K909" s="7" t="n">
        <v>0</v>
      </c>
      <c r="L909" s="7">
        <f>K909-I909</f>
        <v/>
      </c>
      <c r="M909" s="7">
        <f>IF(K909&lt;I909,"✕ INSUFFISANT",IF(K909&lt;I909*1.2,"⚠ STOCK FAIBLE","✓ COUVERT"))</f>
        <v/>
      </c>
      <c r="N909" s="7" t="inlineStr">
        <is>
          <t>MAG</t>
        </is>
      </c>
      <c r="O909" s="7" t="inlineStr">
        <is>
          <t>CRITIQUE</t>
        </is>
      </c>
      <c r="P909" s="7" t="inlineStr">
        <is>
          <t>31/08/2026 02:59</t>
        </is>
      </c>
    </row>
    <row r="910">
      <c r="A910" s="8" t="inlineStr">
        <is>
          <t>WHAP 8x8</t>
        </is>
      </c>
      <c r="B910" s="8" t="inlineStr">
        <is>
          <t>WHAP-0906</t>
        </is>
      </c>
      <c r="C910" s="8" t="inlineStr">
        <is>
          <t>FRE-0906</t>
        </is>
      </c>
      <c r="D910" s="8" t="inlineStr">
        <is>
          <t>réservoir d'air — essieu 2</t>
        </is>
      </c>
      <c r="E910" s="8" t="inlineStr">
        <is>
          <t>Freinage</t>
        </is>
      </c>
      <c r="F910" s="8" t="inlineStr">
        <is>
          <t>Freinage</t>
        </is>
      </c>
      <c r="G910" s="8" t="inlineStr">
        <is>
          <t>PIECE_VEHICULE</t>
        </is>
      </c>
      <c r="H910" s="8" t="n">
        <v>1</v>
      </c>
      <c r="I910" s="8">
        <f>H910*$D$3</f>
        <v/>
      </c>
      <c r="J910" s="8" t="inlineStr">
        <is>
          <t>unité</t>
        </is>
      </c>
      <c r="K910" s="8" t="n">
        <v>0</v>
      </c>
      <c r="L910" s="8">
        <f>K910-I910</f>
        <v/>
      </c>
      <c r="M910" s="8">
        <f>IF(K910&lt;I910,"✕ INSUFFISANT",IF(K910&lt;I910*1.2,"⚠ STOCK FAIBLE","✓ COUVERT"))</f>
        <v/>
      </c>
      <c r="N910" s="8" t="inlineStr">
        <is>
          <t>SKF</t>
        </is>
      </c>
      <c r="O910" s="8" t="inlineStr">
        <is>
          <t>CRITIQUE</t>
        </is>
      </c>
      <c r="P910" s="8" t="inlineStr">
        <is>
          <t>31/08/2026 02:59</t>
        </is>
      </c>
    </row>
    <row r="911">
      <c r="A911" s="7" t="inlineStr">
        <is>
          <t>WHAP 8x8</t>
        </is>
      </c>
      <c r="B911" s="7" t="inlineStr">
        <is>
          <t>WHAP-0907</t>
        </is>
      </c>
      <c r="C911" s="7" t="inlineStr">
        <is>
          <t>FRE-0907</t>
        </is>
      </c>
      <c r="D911" s="7" t="inlineStr">
        <is>
          <t>valve de frein — essieu 2</t>
        </is>
      </c>
      <c r="E911" s="7" t="inlineStr">
        <is>
          <t>Freinage</t>
        </is>
      </c>
      <c r="F911" s="7" t="inlineStr">
        <is>
          <t>Freinage</t>
        </is>
      </c>
      <c r="G911" s="7" t="inlineStr">
        <is>
          <t>PIECE_VEHICULE</t>
        </is>
      </c>
      <c r="H911" s="7" t="n">
        <v>1</v>
      </c>
      <c r="I911" s="7">
        <f>H911*$D$3</f>
        <v/>
      </c>
      <c r="J911" s="7" t="inlineStr">
        <is>
          <t>unité</t>
        </is>
      </c>
      <c r="K911" s="7" t="n">
        <v>0</v>
      </c>
      <c r="L911" s="7">
        <f>K911-I911</f>
        <v/>
      </c>
      <c r="M911" s="7">
        <f>IF(K911&lt;I911,"✕ INSUFFISANT",IF(K911&lt;I911*1.2,"⚠ STOCK FAIBLE","✓ COUVERT"))</f>
        <v/>
      </c>
      <c r="N911" s="7" t="inlineStr">
        <is>
          <t>FAU</t>
        </is>
      </c>
      <c r="O911" s="7" t="inlineStr">
        <is>
          <t>CRITIQUE</t>
        </is>
      </c>
      <c r="P911" s="7" t="inlineStr">
        <is>
          <t>31/08/2026 02:59</t>
        </is>
      </c>
    </row>
    <row r="912">
      <c r="A912" s="8" t="inlineStr">
        <is>
          <t>WHAP 8x8</t>
        </is>
      </c>
      <c r="B912" s="8" t="inlineStr">
        <is>
          <t>WHAP-0908</t>
        </is>
      </c>
      <c r="C912" s="8" t="inlineStr">
        <is>
          <t>FRE-0908</t>
        </is>
      </c>
      <c r="D912" s="8" t="inlineStr">
        <is>
          <t>valve relais — essieu 2</t>
        </is>
      </c>
      <c r="E912" s="8" t="inlineStr">
        <is>
          <t>Freinage</t>
        </is>
      </c>
      <c r="F912" s="8" t="inlineStr">
        <is>
          <t>Freinage</t>
        </is>
      </c>
      <c r="G912" s="8" t="inlineStr">
        <is>
          <t>PIECE_VEHICULE</t>
        </is>
      </c>
      <c r="H912" s="8" t="n">
        <v>1</v>
      </c>
      <c r="I912" s="8">
        <f>H912*$D$3</f>
        <v/>
      </c>
      <c r="J912" s="8" t="inlineStr">
        <is>
          <t>unité</t>
        </is>
      </c>
      <c r="K912" s="8" t="n">
        <v>0</v>
      </c>
      <c r="L912" s="8">
        <f>K912-I912</f>
        <v/>
      </c>
      <c r="M912" s="8">
        <f>IF(K912&lt;I912,"✕ INSUFFISANT",IF(K912&lt;I912*1.2,"⚠ STOCK FAIBLE","✓ COUVERT"))</f>
        <v/>
      </c>
      <c r="N912" s="8" t="inlineStr">
        <is>
          <t>YZK</t>
        </is>
      </c>
      <c r="O912" s="8" t="inlineStr">
        <is>
          <t>CRITIQUE</t>
        </is>
      </c>
      <c r="P912" s="8" t="inlineStr">
        <is>
          <t>31/08/2026 02:59</t>
        </is>
      </c>
    </row>
    <row r="913">
      <c r="A913" s="7" t="inlineStr">
        <is>
          <t>WHAP 8x8</t>
        </is>
      </c>
      <c r="B913" s="7" t="inlineStr">
        <is>
          <t>WHAP-0909</t>
        </is>
      </c>
      <c r="C913" s="7" t="inlineStr">
        <is>
          <t>FRE-0909</t>
        </is>
      </c>
      <c r="D913" s="7" t="inlineStr">
        <is>
          <t>valve de protection — essieu 2</t>
        </is>
      </c>
      <c r="E913" s="7" t="inlineStr">
        <is>
          <t>Freinage</t>
        </is>
      </c>
      <c r="F913" s="7" t="inlineStr">
        <is>
          <t>Freinage</t>
        </is>
      </c>
      <c r="G913" s="7" t="inlineStr">
        <is>
          <t>PIECE_VEHICULE</t>
        </is>
      </c>
      <c r="H913" s="7" t="n">
        <v>1</v>
      </c>
      <c r="I913" s="7">
        <f>H913*$D$3</f>
        <v/>
      </c>
      <c r="J913" s="7" t="inlineStr">
        <is>
          <t>unité</t>
        </is>
      </c>
      <c r="K913" s="7" t="n">
        <v>0</v>
      </c>
      <c r="L913" s="7">
        <f>K913-I913</f>
        <v/>
      </c>
      <c r="M913" s="7">
        <f>IF(K913&lt;I913,"✕ INSUFFISANT",IF(K913&lt;I913*1.2,"⚠ STOCK FAIBLE","✓ COUVERT"))</f>
        <v/>
      </c>
      <c r="N913" s="7" t="inlineStr">
        <is>
          <t>BOS</t>
        </is>
      </c>
      <c r="O913" s="7" t="inlineStr">
        <is>
          <t>CRITIQUE</t>
        </is>
      </c>
      <c r="P913" s="7" t="inlineStr">
        <is>
          <t>31/08/2026 02:59</t>
        </is>
      </c>
    </row>
    <row r="914">
      <c r="A914" s="8" t="inlineStr">
        <is>
          <t>WHAP 8x8</t>
        </is>
      </c>
      <c r="B914" s="8" t="inlineStr">
        <is>
          <t>WHAP-0910</t>
        </is>
      </c>
      <c r="C914" s="8" t="inlineStr">
        <is>
          <t>FRE-0910</t>
        </is>
      </c>
      <c r="D914" s="8" t="inlineStr">
        <is>
          <t>modulateur ABS — essieu 2</t>
        </is>
      </c>
      <c r="E914" s="8" t="inlineStr">
        <is>
          <t>Freinage</t>
        </is>
      </c>
      <c r="F914" s="8" t="inlineStr">
        <is>
          <t>Freinage</t>
        </is>
      </c>
      <c r="G914" s="8" t="inlineStr">
        <is>
          <t>PIECE_VEHICULE</t>
        </is>
      </c>
      <c r="H914" s="8" t="n">
        <v>1</v>
      </c>
      <c r="I914" s="8">
        <f>H914*$D$3</f>
        <v/>
      </c>
      <c r="J914" s="8" t="inlineStr">
        <is>
          <t>unité</t>
        </is>
      </c>
      <c r="K914" s="8" t="n">
        <v>0</v>
      </c>
      <c r="L914" s="8">
        <f>K914-I914</f>
        <v/>
      </c>
      <c r="M914" s="8">
        <f>IF(K914&lt;I914,"✕ INSUFFISANT",IF(K914&lt;I914*1.2,"⚠ STOCK FAIBLE","✓ COUVERT"))</f>
        <v/>
      </c>
      <c r="N914" s="8" t="inlineStr">
        <is>
          <t>VAL</t>
        </is>
      </c>
      <c r="O914" s="8" t="inlineStr">
        <is>
          <t>CRITIQUE</t>
        </is>
      </c>
      <c r="P914" s="8" t="inlineStr">
        <is>
          <t>31/08/2026 02:59</t>
        </is>
      </c>
    </row>
    <row r="915">
      <c r="A915" s="7" t="inlineStr">
        <is>
          <t>WHAP 8x8</t>
        </is>
      </c>
      <c r="B915" s="7" t="inlineStr">
        <is>
          <t>WHAP-0911</t>
        </is>
      </c>
      <c r="C915" s="7" t="inlineStr">
        <is>
          <t>FRE-0911</t>
        </is>
      </c>
      <c r="D915" s="7" t="inlineStr">
        <is>
          <t>capteur ABS — essieu 2</t>
        </is>
      </c>
      <c r="E915" s="7" t="inlineStr">
        <is>
          <t>Freinage</t>
        </is>
      </c>
      <c r="F915" s="7" t="inlineStr">
        <is>
          <t>Freinage</t>
        </is>
      </c>
      <c r="G915" s="7" t="inlineStr">
        <is>
          <t>PIECE_VEHICULE</t>
        </is>
      </c>
      <c r="H915" s="7" t="n">
        <v>1</v>
      </c>
      <c r="I915" s="7">
        <f>H915*$D$3</f>
        <v/>
      </c>
      <c r="J915" s="7" t="inlineStr">
        <is>
          <t>unité</t>
        </is>
      </c>
      <c r="K915" s="7" t="n">
        <v>0</v>
      </c>
      <c r="L915" s="7">
        <f>K915-I915</f>
        <v/>
      </c>
      <c r="M915" s="7">
        <f>IF(K915&lt;I915,"✕ INSUFFISANT",IF(K915&lt;I915*1.2,"⚠ STOCK FAIBLE","✓ COUVERT"))</f>
        <v/>
      </c>
      <c r="N915" s="7" t="inlineStr">
        <is>
          <t>SUM</t>
        </is>
      </c>
      <c r="O915" s="7" t="inlineStr">
        <is>
          <t>CRITIQUE</t>
        </is>
      </c>
      <c r="P915" s="7" t="inlineStr">
        <is>
          <t>31/08/2026 02:59</t>
        </is>
      </c>
    </row>
    <row r="916">
      <c r="A916" s="8" t="inlineStr">
        <is>
          <t>WHAP 8x8</t>
        </is>
      </c>
      <c r="B916" s="8" t="inlineStr">
        <is>
          <t>WHAP-0912</t>
        </is>
      </c>
      <c r="C916" s="8" t="inlineStr">
        <is>
          <t>FRE-0912</t>
        </is>
      </c>
      <c r="D916" s="8" t="inlineStr">
        <is>
          <t>couronne ABS — essieu 2</t>
        </is>
      </c>
      <c r="E916" s="8" t="inlineStr">
        <is>
          <t>Freinage</t>
        </is>
      </c>
      <c r="F916" s="8" t="inlineStr">
        <is>
          <t>Freinage</t>
        </is>
      </c>
      <c r="G916" s="8" t="inlineStr">
        <is>
          <t>PIECE_VEHICULE</t>
        </is>
      </c>
      <c r="H916" s="8" t="n">
        <v>1</v>
      </c>
      <c r="I916" s="8">
        <f>H916*$D$3</f>
        <v/>
      </c>
      <c r="J916" s="8" t="inlineStr">
        <is>
          <t>unité</t>
        </is>
      </c>
      <c r="K916" s="8" t="n">
        <v>0</v>
      </c>
      <c r="L916" s="8">
        <f>K916-I916</f>
        <v/>
      </c>
      <c r="M916" s="8">
        <f>IF(K916&lt;I916,"✕ INSUFFISANT",IF(K916&lt;I916*1.2,"⚠ STOCK FAIBLE","✓ COUVERT"))</f>
        <v/>
      </c>
      <c r="N916" s="8" t="inlineStr">
        <is>
          <t>SKF</t>
        </is>
      </c>
      <c r="O916" s="8" t="inlineStr">
        <is>
          <t>CRITIQUE</t>
        </is>
      </c>
      <c r="P916" s="8" t="inlineStr">
        <is>
          <t>31/08/2026 02:59</t>
        </is>
      </c>
    </row>
    <row r="917">
      <c r="A917" s="7" t="inlineStr">
        <is>
          <t>WHAP 8x8</t>
        </is>
      </c>
      <c r="B917" s="7" t="inlineStr">
        <is>
          <t>WHAP-0913</t>
        </is>
      </c>
      <c r="C917" s="7" t="inlineStr">
        <is>
          <t>FRE-0913</t>
        </is>
      </c>
      <c r="D917" s="7" t="inlineStr">
        <is>
          <t>actionneur frein de parc — essieu 2</t>
        </is>
      </c>
      <c r="E917" s="7" t="inlineStr">
        <is>
          <t>Freinage</t>
        </is>
      </c>
      <c r="F917" s="7" t="inlineStr">
        <is>
          <t>Freinage</t>
        </is>
      </c>
      <c r="G917" s="7" t="inlineStr">
        <is>
          <t>PIECE_VEHICULE</t>
        </is>
      </c>
      <c r="H917" s="7" t="n">
        <v>1</v>
      </c>
      <c r="I917" s="7">
        <f>H917*$D$3</f>
        <v/>
      </c>
      <c r="J917" s="7" t="inlineStr">
        <is>
          <t>unité</t>
        </is>
      </c>
      <c r="K917" s="7" t="n">
        <v>0</v>
      </c>
      <c r="L917" s="7">
        <f>K917-I917</f>
        <v/>
      </c>
      <c r="M917" s="7">
        <f>IF(K917&lt;I917,"✕ INSUFFISANT",IF(K917&lt;I917*1.2,"⚠ STOCK FAIBLE","✓ COUVERT"))</f>
        <v/>
      </c>
      <c r="N917" s="7" t="inlineStr">
        <is>
          <t>MAG</t>
        </is>
      </c>
      <c r="O917" s="7" t="inlineStr">
        <is>
          <t>CRITIQUE</t>
        </is>
      </c>
      <c r="P917" s="7" t="inlineStr">
        <is>
          <t>31/08/2026 02:59</t>
        </is>
      </c>
    </row>
    <row r="918">
      <c r="A918" s="8" t="inlineStr">
        <is>
          <t>WHAP 8x8</t>
        </is>
      </c>
      <c r="B918" s="8" t="inlineStr">
        <is>
          <t>WHAP-0914</t>
        </is>
      </c>
      <c r="C918" s="8" t="inlineStr">
        <is>
          <t>FRE-0914</t>
        </is>
      </c>
      <c r="D918" s="8" t="inlineStr">
        <is>
          <t>câble de frein — essieu 2</t>
        </is>
      </c>
      <c r="E918" s="8" t="inlineStr">
        <is>
          <t>Freinage</t>
        </is>
      </c>
      <c r="F918" s="8" t="inlineStr">
        <is>
          <t>Freinage</t>
        </is>
      </c>
      <c r="G918" s="8" t="inlineStr">
        <is>
          <t>PIECE_VEHICULE</t>
        </is>
      </c>
      <c r="H918" s="8" t="n">
        <v>1</v>
      </c>
      <c r="I918" s="8">
        <f>H918*$D$3</f>
        <v/>
      </c>
      <c r="J918" s="8" t="inlineStr">
        <is>
          <t>unité</t>
        </is>
      </c>
      <c r="K918" s="8" t="n">
        <v>0</v>
      </c>
      <c r="L918" s="8">
        <f>K918-I918</f>
        <v/>
      </c>
      <c r="M918" s="8">
        <f>IF(K918&lt;I918,"✕ INSUFFISANT",IF(K918&lt;I918*1.2,"⚠ STOCK FAIBLE","✓ COUVERT"))</f>
        <v/>
      </c>
      <c r="N918" s="8" t="inlineStr">
        <is>
          <t>HEL</t>
        </is>
      </c>
      <c r="O918" s="8" t="inlineStr">
        <is>
          <t>CRITIQUE</t>
        </is>
      </c>
      <c r="P918" s="8" t="inlineStr">
        <is>
          <t>31/08/2026 02:59</t>
        </is>
      </c>
    </row>
    <row r="919">
      <c r="A919" s="7" t="inlineStr">
        <is>
          <t>WHAP 8x8</t>
        </is>
      </c>
      <c r="B919" s="7" t="inlineStr">
        <is>
          <t>WHAP-0915</t>
        </is>
      </c>
      <c r="C919" s="7" t="inlineStr">
        <is>
          <t>FRE-0915</t>
        </is>
      </c>
      <c r="D919" s="7" t="inlineStr">
        <is>
          <t>ressort de frein — essieu 2</t>
        </is>
      </c>
      <c r="E919" s="7" t="inlineStr">
        <is>
          <t>Freinage</t>
        </is>
      </c>
      <c r="F919" s="7" t="inlineStr">
        <is>
          <t>Freinage</t>
        </is>
      </c>
      <c r="G919" s="7" t="inlineStr">
        <is>
          <t>PIECE_VEHICULE</t>
        </is>
      </c>
      <c r="H919" s="7" t="n">
        <v>1</v>
      </c>
      <c r="I919" s="7">
        <f>H919*$D$3</f>
        <v/>
      </c>
      <c r="J919" s="7" t="inlineStr">
        <is>
          <t>unité</t>
        </is>
      </c>
      <c r="K919" s="7" t="n">
        <v>0</v>
      </c>
      <c r="L919" s="7">
        <f>K919-I919</f>
        <v/>
      </c>
      <c r="M919" s="7">
        <f>IF(K919&lt;I919,"✕ INSUFFISANT",IF(K919&lt;I919*1.2,"⚠ STOCK FAIBLE","✓ COUVERT"))</f>
        <v/>
      </c>
      <c r="N919" s="7" t="inlineStr">
        <is>
          <t>DEL</t>
        </is>
      </c>
      <c r="O919" s="7" t="inlineStr">
        <is>
          <t>CRITIQUE</t>
        </is>
      </c>
      <c r="P919" s="7" t="inlineStr">
        <is>
          <t>31/08/2026 02:59</t>
        </is>
      </c>
    </row>
    <row r="920">
      <c r="A920" s="8" t="inlineStr">
        <is>
          <t>WHAP 8x8</t>
        </is>
      </c>
      <c r="B920" s="8" t="inlineStr">
        <is>
          <t>WHAP-0916</t>
        </is>
      </c>
      <c r="C920" s="8" t="inlineStr">
        <is>
          <t>FRE-0916</t>
        </is>
      </c>
      <c r="D920" s="8" t="inlineStr">
        <is>
          <t>tambour de frein — essieu 2</t>
        </is>
      </c>
      <c r="E920" s="8" t="inlineStr">
        <is>
          <t>Freinage</t>
        </is>
      </c>
      <c r="F920" s="8" t="inlineStr">
        <is>
          <t>Freinage</t>
        </is>
      </c>
      <c r="G920" s="8" t="inlineStr">
        <is>
          <t>PIECE_VEHICULE</t>
        </is>
      </c>
      <c r="H920" s="8" t="n">
        <v>1</v>
      </c>
      <c r="I920" s="8">
        <f>H920*$D$3</f>
        <v/>
      </c>
      <c r="J920" s="8" t="inlineStr">
        <is>
          <t>unité</t>
        </is>
      </c>
      <c r="K920" s="8" t="n">
        <v>0</v>
      </c>
      <c r="L920" s="8">
        <f>K920-I920</f>
        <v/>
      </c>
      <c r="M920" s="8">
        <f>IF(K920&lt;I920,"✕ INSUFFISANT",IF(K920&lt;I920*1.2,"⚠ STOCK FAIBLE","✓ COUVERT"))</f>
        <v/>
      </c>
      <c r="N920" s="8" t="inlineStr">
        <is>
          <t>HEL</t>
        </is>
      </c>
      <c r="O920" s="8" t="inlineStr">
        <is>
          <t>CRITIQUE</t>
        </is>
      </c>
      <c r="P920" s="8" t="inlineStr">
        <is>
          <t>31/08/2026 02:59</t>
        </is>
      </c>
    </row>
    <row r="921">
      <c r="A921" s="7" t="inlineStr">
        <is>
          <t>WHAP 8x8</t>
        </is>
      </c>
      <c r="B921" s="7" t="inlineStr">
        <is>
          <t>WHAP-0917</t>
        </is>
      </c>
      <c r="C921" s="7" t="inlineStr">
        <is>
          <t>FRE-0917</t>
        </is>
      </c>
      <c r="D921" s="7" t="inlineStr">
        <is>
          <t>garniture de frein — essieu 2</t>
        </is>
      </c>
      <c r="E921" s="7" t="inlineStr">
        <is>
          <t>Freinage</t>
        </is>
      </c>
      <c r="F921" s="7" t="inlineStr">
        <is>
          <t>Freinage</t>
        </is>
      </c>
      <c r="G921" s="7" t="inlineStr">
        <is>
          <t>PIECE_VEHICULE</t>
        </is>
      </c>
      <c r="H921" s="7" t="n">
        <v>1</v>
      </c>
      <c r="I921" s="7">
        <f>H921*$D$3</f>
        <v/>
      </c>
      <c r="J921" s="7" t="inlineStr">
        <is>
          <t>unité</t>
        </is>
      </c>
      <c r="K921" s="7" t="n">
        <v>0</v>
      </c>
      <c r="L921" s="7">
        <f>K921-I921</f>
        <v/>
      </c>
      <c r="M921" s="7">
        <f>IF(K921&lt;I921,"✕ INSUFFISANT",IF(K921&lt;I921*1.2,"⚠ STOCK FAIBLE","✓ COUVERT"))</f>
        <v/>
      </c>
      <c r="N921" s="7" t="inlineStr">
        <is>
          <t>SKF</t>
        </is>
      </c>
      <c r="O921" s="7" t="inlineStr">
        <is>
          <t>CRITIQUE</t>
        </is>
      </c>
      <c r="P921" s="7" t="inlineStr">
        <is>
          <t>31/08/2026 02:59</t>
        </is>
      </c>
    </row>
    <row r="922">
      <c r="A922" s="8" t="inlineStr">
        <is>
          <t>WHAP 8x8</t>
        </is>
      </c>
      <c r="B922" s="8" t="inlineStr">
        <is>
          <t>WHAP-0918</t>
        </is>
      </c>
      <c r="C922" s="8" t="inlineStr">
        <is>
          <t>FRE-0918</t>
        </is>
      </c>
      <c r="D922" s="8" t="inlineStr">
        <is>
          <t>purgeur — essieu 2</t>
        </is>
      </c>
      <c r="E922" s="8" t="inlineStr">
        <is>
          <t>Freinage</t>
        </is>
      </c>
      <c r="F922" s="8" t="inlineStr">
        <is>
          <t>Freinage</t>
        </is>
      </c>
      <c r="G922" s="8" t="inlineStr">
        <is>
          <t>PIECE_VEHICULE</t>
        </is>
      </c>
      <c r="H922" s="8" t="n">
        <v>1</v>
      </c>
      <c r="I922" s="8">
        <f>H922*$D$3</f>
        <v/>
      </c>
      <c r="J922" s="8" t="inlineStr">
        <is>
          <t>unité</t>
        </is>
      </c>
      <c r="K922" s="8" t="n">
        <v>0</v>
      </c>
      <c r="L922" s="8">
        <f>K922-I922</f>
        <v/>
      </c>
      <c r="M922" s="8">
        <f>IF(K922&lt;I922,"✕ INSUFFISANT",IF(K922&lt;I922*1.2,"⚠ STOCK FAIBLE","✓ COUVERT"))</f>
        <v/>
      </c>
      <c r="N922" s="8" t="inlineStr">
        <is>
          <t>CTL</t>
        </is>
      </c>
      <c r="O922" s="8" t="inlineStr">
        <is>
          <t>CRITIQUE</t>
        </is>
      </c>
      <c r="P922" s="8" t="inlineStr">
        <is>
          <t>31/08/2026 02:59</t>
        </is>
      </c>
    </row>
    <row r="923">
      <c r="A923" s="7" t="inlineStr">
        <is>
          <t>WHAP 8x8</t>
        </is>
      </c>
      <c r="B923" s="7" t="inlineStr">
        <is>
          <t>WHAP-0919</t>
        </is>
      </c>
      <c r="C923" s="7" t="inlineStr">
        <is>
          <t>FRE-0919</t>
        </is>
      </c>
      <c r="D923" s="7" t="inlineStr">
        <is>
          <t>raccord pneumatique — essieu 2</t>
        </is>
      </c>
      <c r="E923" s="7" t="inlineStr">
        <is>
          <t>Freinage</t>
        </is>
      </c>
      <c r="F923" s="7" t="inlineStr">
        <is>
          <t>Freinage</t>
        </is>
      </c>
      <c r="G923" s="7" t="inlineStr">
        <is>
          <t>PIECE_VEHICULE</t>
        </is>
      </c>
      <c r="H923" s="7" t="n">
        <v>1</v>
      </c>
      <c r="I923" s="7">
        <f>H923*$D$3</f>
        <v/>
      </c>
      <c r="J923" s="7" t="inlineStr">
        <is>
          <t>unité</t>
        </is>
      </c>
      <c r="K923" s="7" t="n">
        <v>0</v>
      </c>
      <c r="L923" s="7">
        <f>K923-I923</f>
        <v/>
      </c>
      <c r="M923" s="7">
        <f>IF(K923&lt;I923,"✕ INSUFFISANT",IF(K923&lt;I923*1.2,"⚠ STOCK FAIBLE","✓ COUVERT"))</f>
        <v/>
      </c>
      <c r="N923" s="7" t="inlineStr">
        <is>
          <t>HEL</t>
        </is>
      </c>
      <c r="O923" s="7" t="inlineStr">
        <is>
          <t>CRITIQUE</t>
        </is>
      </c>
      <c r="P923" s="7" t="inlineStr">
        <is>
          <t>31/08/2026 02:59</t>
        </is>
      </c>
    </row>
    <row r="924">
      <c r="A924" s="8" t="inlineStr">
        <is>
          <t>WHAP 8x8</t>
        </is>
      </c>
      <c r="B924" s="8" t="inlineStr">
        <is>
          <t>WHAP-0920</t>
        </is>
      </c>
      <c r="C924" s="8" t="inlineStr">
        <is>
          <t>FRE-0920</t>
        </is>
      </c>
      <c r="D924" s="8" t="inlineStr">
        <is>
          <t>disque de frein — essieu 3</t>
        </is>
      </c>
      <c r="E924" s="8" t="inlineStr">
        <is>
          <t>Freinage</t>
        </is>
      </c>
      <c r="F924" s="8" t="inlineStr">
        <is>
          <t>Freinage</t>
        </is>
      </c>
      <c r="G924" s="8" t="inlineStr">
        <is>
          <t>PIECE_VEHICULE</t>
        </is>
      </c>
      <c r="H924" s="8" t="n">
        <v>1</v>
      </c>
      <c r="I924" s="8">
        <f>H924*$D$3</f>
        <v/>
      </c>
      <c r="J924" s="8" t="inlineStr">
        <is>
          <t>unité</t>
        </is>
      </c>
      <c r="K924" s="8" t="n">
        <v>0</v>
      </c>
      <c r="L924" s="8">
        <f>K924-I924</f>
        <v/>
      </c>
      <c r="M924" s="8">
        <f>IF(K924&lt;I924,"✕ INSUFFISANT",IF(K924&lt;I924*1.2,"⚠ STOCK FAIBLE","✓ COUVERT"))</f>
        <v/>
      </c>
      <c r="N924" s="8" t="inlineStr">
        <is>
          <t>SUM</t>
        </is>
      </c>
      <c r="O924" s="8" t="inlineStr">
        <is>
          <t>CRITIQUE</t>
        </is>
      </c>
      <c r="P924" s="8" t="inlineStr">
        <is>
          <t>31/08/2026 02:59</t>
        </is>
      </c>
    </row>
    <row r="925">
      <c r="A925" s="7" t="inlineStr">
        <is>
          <t>WHAP 8x8</t>
        </is>
      </c>
      <c r="B925" s="7" t="inlineStr">
        <is>
          <t>WHAP-0921</t>
        </is>
      </c>
      <c r="C925" s="7" t="inlineStr">
        <is>
          <t>FRE-0921</t>
        </is>
      </c>
      <c r="D925" s="7" t="inlineStr">
        <is>
          <t>étrier de frein — essieu 3</t>
        </is>
      </c>
      <c r="E925" s="7" t="inlineStr">
        <is>
          <t>Freinage</t>
        </is>
      </c>
      <c r="F925" s="7" t="inlineStr">
        <is>
          <t>Freinage</t>
        </is>
      </c>
      <c r="G925" s="7" t="inlineStr">
        <is>
          <t>PIECE_VEHICULE</t>
        </is>
      </c>
      <c r="H925" s="7" t="n">
        <v>1</v>
      </c>
      <c r="I925" s="7">
        <f>H925*$D$3</f>
        <v/>
      </c>
      <c r="J925" s="7" t="inlineStr">
        <is>
          <t>unité</t>
        </is>
      </c>
      <c r="K925" s="7" t="n">
        <v>0</v>
      </c>
      <c r="L925" s="7">
        <f>K925-I925</f>
        <v/>
      </c>
      <c r="M925" s="7">
        <f>IF(K925&lt;I925,"✕ INSUFFISANT",IF(K925&lt;I925*1.2,"⚠ STOCK FAIBLE","✓ COUVERT"))</f>
        <v/>
      </c>
      <c r="N925" s="7" t="inlineStr">
        <is>
          <t>HEL</t>
        </is>
      </c>
      <c r="O925" s="7" t="inlineStr">
        <is>
          <t>CRITIQUE</t>
        </is>
      </c>
      <c r="P925" s="7" t="inlineStr">
        <is>
          <t>31/08/2026 02:59</t>
        </is>
      </c>
    </row>
    <row r="926">
      <c r="A926" s="8" t="inlineStr">
        <is>
          <t>WHAP 8x8</t>
        </is>
      </c>
      <c r="B926" s="8" t="inlineStr">
        <is>
          <t>WHAP-0922</t>
        </is>
      </c>
      <c r="C926" s="8" t="inlineStr">
        <is>
          <t>FRE-0922</t>
        </is>
      </c>
      <c r="D926" s="8" t="inlineStr">
        <is>
          <t>plaquette de frein — essieu 3</t>
        </is>
      </c>
      <c r="E926" s="8" t="inlineStr">
        <is>
          <t>Freinage</t>
        </is>
      </c>
      <c r="F926" s="8" t="inlineStr">
        <is>
          <t>Freinage</t>
        </is>
      </c>
      <c r="G926" s="8" t="inlineStr">
        <is>
          <t>PIECE_VEHICULE</t>
        </is>
      </c>
      <c r="H926" s="8" t="n">
        <v>1</v>
      </c>
      <c r="I926" s="8">
        <f>H926*$D$3</f>
        <v/>
      </c>
      <c r="J926" s="8" t="inlineStr">
        <is>
          <t>unité</t>
        </is>
      </c>
      <c r="K926" s="8" t="n">
        <v>0</v>
      </c>
      <c r="L926" s="8">
        <f>K926-I926</f>
        <v/>
      </c>
      <c r="M926" s="8">
        <f>IF(K926&lt;I926,"✕ INSUFFISANT",IF(K926&lt;I926*1.2,"⚠ STOCK FAIBLE","✓ COUVERT"))</f>
        <v/>
      </c>
      <c r="N926" s="8" t="inlineStr">
        <is>
          <t>HEL</t>
        </is>
      </c>
      <c r="O926" s="8" t="inlineStr">
        <is>
          <t>CRITIQUE</t>
        </is>
      </c>
      <c r="P926" s="8" t="inlineStr">
        <is>
          <t>31/08/2026 02:59</t>
        </is>
      </c>
    </row>
    <row r="927">
      <c r="A927" s="7" t="inlineStr">
        <is>
          <t>WHAP 8x8</t>
        </is>
      </c>
      <c r="B927" s="7" t="inlineStr">
        <is>
          <t>WHAP-0923</t>
        </is>
      </c>
      <c r="C927" s="7" t="inlineStr">
        <is>
          <t>FRE-0923</t>
        </is>
      </c>
      <c r="D927" s="7" t="inlineStr">
        <is>
          <t>porte-plaquette — essieu 3</t>
        </is>
      </c>
      <c r="E927" s="7" t="inlineStr">
        <is>
          <t>Freinage</t>
        </is>
      </c>
      <c r="F927" s="7" t="inlineStr">
        <is>
          <t>Freinage</t>
        </is>
      </c>
      <c r="G927" s="7" t="inlineStr">
        <is>
          <t>PIECE_VEHICULE</t>
        </is>
      </c>
      <c r="H927" s="7" t="n">
        <v>1</v>
      </c>
      <c r="I927" s="7">
        <f>H927*$D$3</f>
        <v/>
      </c>
      <c r="J927" s="7" t="inlineStr">
        <is>
          <t>unité</t>
        </is>
      </c>
      <c r="K927" s="7" t="n">
        <v>0</v>
      </c>
      <c r="L927" s="7">
        <f>K927-I927</f>
        <v/>
      </c>
      <c r="M927" s="7">
        <f>IF(K927&lt;I927,"✕ INSUFFISANT",IF(K927&lt;I927*1.2,"⚠ STOCK FAIBLE","✓ COUVERT"))</f>
        <v/>
      </c>
      <c r="N927" s="7" t="inlineStr">
        <is>
          <t>MAG</t>
        </is>
      </c>
      <c r="O927" s="7" t="inlineStr">
        <is>
          <t>CRITIQUE</t>
        </is>
      </c>
      <c r="P927" s="7" t="inlineStr">
        <is>
          <t>31/08/2026 02:59</t>
        </is>
      </c>
    </row>
    <row r="928">
      <c r="A928" s="8" t="inlineStr">
        <is>
          <t>WHAP 8x8</t>
        </is>
      </c>
      <c r="B928" s="8" t="inlineStr">
        <is>
          <t>WHAP-0924</t>
        </is>
      </c>
      <c r="C928" s="8" t="inlineStr">
        <is>
          <t>FRE-0924</t>
        </is>
      </c>
      <c r="D928" s="8" t="inlineStr">
        <is>
          <t>piston d'étrier — essieu 3</t>
        </is>
      </c>
      <c r="E928" s="8" t="inlineStr">
        <is>
          <t>Freinage</t>
        </is>
      </c>
      <c r="F928" s="8" t="inlineStr">
        <is>
          <t>Freinage</t>
        </is>
      </c>
      <c r="G928" s="8" t="inlineStr">
        <is>
          <t>PIECE_VEHICULE</t>
        </is>
      </c>
      <c r="H928" s="8" t="n">
        <v>1</v>
      </c>
      <c r="I928" s="8">
        <f>H928*$D$3</f>
        <v/>
      </c>
      <c r="J928" s="8" t="inlineStr">
        <is>
          <t>unité</t>
        </is>
      </c>
      <c r="K928" s="8" t="n">
        <v>0</v>
      </c>
      <c r="L928" s="8">
        <f>K928-I928</f>
        <v/>
      </c>
      <c r="M928" s="8">
        <f>IF(K928&lt;I928,"✕ INSUFFISANT",IF(K928&lt;I928*1.2,"⚠ STOCK FAIBLE","✓ COUVERT"))</f>
        <v/>
      </c>
      <c r="N928" s="8" t="inlineStr">
        <is>
          <t>BOS</t>
        </is>
      </c>
      <c r="O928" s="8" t="inlineStr">
        <is>
          <t>CRITIQUE</t>
        </is>
      </c>
      <c r="P928" s="8" t="inlineStr">
        <is>
          <t>31/08/2026 02:59</t>
        </is>
      </c>
    </row>
    <row r="929">
      <c r="A929" s="7" t="inlineStr">
        <is>
          <t>WHAP 8x8</t>
        </is>
      </c>
      <c r="B929" s="7" t="inlineStr">
        <is>
          <t>WHAP-0925</t>
        </is>
      </c>
      <c r="C929" s="7" t="inlineStr">
        <is>
          <t>FRE-0925</t>
        </is>
      </c>
      <c r="D929" s="7" t="inlineStr">
        <is>
          <t>joint de piston — essieu 3</t>
        </is>
      </c>
      <c r="E929" s="7" t="inlineStr">
        <is>
          <t>Freinage</t>
        </is>
      </c>
      <c r="F929" s="7" t="inlineStr">
        <is>
          <t>Freinage</t>
        </is>
      </c>
      <c r="G929" s="7" t="inlineStr">
        <is>
          <t>PIECE_VEHICULE</t>
        </is>
      </c>
      <c r="H929" s="7" t="n">
        <v>1</v>
      </c>
      <c r="I929" s="7">
        <f>H929*$D$3</f>
        <v/>
      </c>
      <c r="J929" s="7" t="inlineStr">
        <is>
          <t>unité</t>
        </is>
      </c>
      <c r="K929" s="7" t="n">
        <v>0</v>
      </c>
      <c r="L929" s="7">
        <f>K929-I929</f>
        <v/>
      </c>
      <c r="M929" s="7">
        <f>IF(K929&lt;I929,"✕ INSUFFISANT",IF(K929&lt;I929*1.2,"⚠ STOCK FAIBLE","✓ COUVERT"))</f>
        <v/>
      </c>
      <c r="N929" s="7" t="inlineStr">
        <is>
          <t>SUM</t>
        </is>
      </c>
      <c r="O929" s="7" t="inlineStr">
        <is>
          <t>CRITIQUE</t>
        </is>
      </c>
      <c r="P929" s="7" t="inlineStr">
        <is>
          <t>31/08/2026 02:59</t>
        </is>
      </c>
    </row>
    <row r="930">
      <c r="A930" s="8" t="inlineStr">
        <is>
          <t>WHAP 8x8</t>
        </is>
      </c>
      <c r="B930" s="8" t="inlineStr">
        <is>
          <t>WHAP-0926</t>
        </is>
      </c>
      <c r="C930" s="8" t="inlineStr">
        <is>
          <t>FRE-0926</t>
        </is>
      </c>
      <c r="D930" s="8" t="inlineStr">
        <is>
          <t>flexible de frein — essieu 3</t>
        </is>
      </c>
      <c r="E930" s="8" t="inlineStr">
        <is>
          <t>Freinage</t>
        </is>
      </c>
      <c r="F930" s="8" t="inlineStr">
        <is>
          <t>Freinage</t>
        </is>
      </c>
      <c r="G930" s="8" t="inlineStr">
        <is>
          <t>PIECE_VEHICULE</t>
        </is>
      </c>
      <c r="H930" s="8" t="n">
        <v>1</v>
      </c>
      <c r="I930" s="8">
        <f>H930*$D$3</f>
        <v/>
      </c>
      <c r="J930" s="8" t="inlineStr">
        <is>
          <t>unité</t>
        </is>
      </c>
      <c r="K930" s="8" t="n">
        <v>0</v>
      </c>
      <c r="L930" s="8">
        <f>K930-I930</f>
        <v/>
      </c>
      <c r="M930" s="8">
        <f>IF(K930&lt;I930,"✕ INSUFFISANT",IF(K930&lt;I930*1.2,"⚠ STOCK FAIBLE","✓ COUVERT"))</f>
        <v/>
      </c>
      <c r="N930" s="8" t="inlineStr">
        <is>
          <t>YZK</t>
        </is>
      </c>
      <c r="O930" s="8" t="inlineStr">
        <is>
          <t>CRITIQUE</t>
        </is>
      </c>
      <c r="P930" s="8" t="inlineStr">
        <is>
          <t>31/08/2026 02:59</t>
        </is>
      </c>
    </row>
    <row r="931">
      <c r="A931" s="7" t="inlineStr">
        <is>
          <t>WHAP 8x8</t>
        </is>
      </c>
      <c r="B931" s="7" t="inlineStr">
        <is>
          <t>WHAP-0927</t>
        </is>
      </c>
      <c r="C931" s="7" t="inlineStr">
        <is>
          <t>FRE-0927</t>
        </is>
      </c>
      <c r="D931" s="7" t="inlineStr">
        <is>
          <t>conduite de frein — essieu 3</t>
        </is>
      </c>
      <c r="E931" s="7" t="inlineStr">
        <is>
          <t>Freinage</t>
        </is>
      </c>
      <c r="F931" s="7" t="inlineStr">
        <is>
          <t>Freinage</t>
        </is>
      </c>
      <c r="G931" s="7" t="inlineStr">
        <is>
          <t>PIECE_VEHICULE</t>
        </is>
      </c>
      <c r="H931" s="7" t="n">
        <v>1</v>
      </c>
      <c r="I931" s="7">
        <f>H931*$D$3</f>
        <v/>
      </c>
      <c r="J931" s="7" t="inlineStr">
        <is>
          <t>unité</t>
        </is>
      </c>
      <c r="K931" s="7" t="n">
        <v>0</v>
      </c>
      <c r="L931" s="7">
        <f>K931-I931</f>
        <v/>
      </c>
      <c r="M931" s="7">
        <f>IF(K931&lt;I931,"✕ INSUFFISANT",IF(K931&lt;I931*1.2,"⚠ STOCK FAIBLE","✓ COUVERT"))</f>
        <v/>
      </c>
      <c r="N931" s="7" t="inlineStr">
        <is>
          <t>FAU</t>
        </is>
      </c>
      <c r="O931" s="7" t="inlineStr">
        <is>
          <t>CRITIQUE</t>
        </is>
      </c>
      <c r="P931" s="7" t="inlineStr">
        <is>
          <t>31/08/2026 02:59</t>
        </is>
      </c>
    </row>
    <row r="932">
      <c r="A932" s="8" t="inlineStr">
        <is>
          <t>WHAP 8x8</t>
        </is>
      </c>
      <c r="B932" s="8" t="inlineStr">
        <is>
          <t>WHAP-0928</t>
        </is>
      </c>
      <c r="C932" s="8" t="inlineStr">
        <is>
          <t>FRE-0928</t>
        </is>
      </c>
      <c r="D932" s="8" t="inlineStr">
        <is>
          <t>maître-cylindre — essieu 3</t>
        </is>
      </c>
      <c r="E932" s="8" t="inlineStr">
        <is>
          <t>Freinage</t>
        </is>
      </c>
      <c r="F932" s="8" t="inlineStr">
        <is>
          <t>Freinage</t>
        </is>
      </c>
      <c r="G932" s="8" t="inlineStr">
        <is>
          <t>PIECE_VEHICULE</t>
        </is>
      </c>
      <c r="H932" s="8" t="n">
        <v>1</v>
      </c>
      <c r="I932" s="8">
        <f>H932*$D$3</f>
        <v/>
      </c>
      <c r="J932" s="8" t="inlineStr">
        <is>
          <t>unité</t>
        </is>
      </c>
      <c r="K932" s="8" t="n">
        <v>0</v>
      </c>
      <c r="L932" s="8">
        <f>K932-I932</f>
        <v/>
      </c>
      <c r="M932" s="8">
        <f>IF(K932&lt;I932,"✕ INSUFFISANT",IF(K932&lt;I932*1.2,"⚠ STOCK FAIBLE","✓ COUVERT"))</f>
        <v/>
      </c>
      <c r="N932" s="8" t="inlineStr">
        <is>
          <t>MAG</t>
        </is>
      </c>
      <c r="O932" s="8" t="inlineStr">
        <is>
          <t>CRITIQUE</t>
        </is>
      </c>
      <c r="P932" s="8" t="inlineStr">
        <is>
          <t>31/08/2026 02:59</t>
        </is>
      </c>
    </row>
    <row r="933">
      <c r="A933" s="7" t="inlineStr">
        <is>
          <t>WHAP 8x8</t>
        </is>
      </c>
      <c r="B933" s="7" t="inlineStr">
        <is>
          <t>WHAP-0929</t>
        </is>
      </c>
      <c r="C933" s="7" t="inlineStr">
        <is>
          <t>FRE-0929</t>
        </is>
      </c>
      <c r="D933" s="7" t="inlineStr">
        <is>
          <t>servofrein — essieu 3</t>
        </is>
      </c>
      <c r="E933" s="7" t="inlineStr">
        <is>
          <t>Freinage</t>
        </is>
      </c>
      <c r="F933" s="7" t="inlineStr">
        <is>
          <t>Freinage</t>
        </is>
      </c>
      <c r="G933" s="7" t="inlineStr">
        <is>
          <t>PIECE_VEHICULE</t>
        </is>
      </c>
      <c r="H933" s="7" t="n">
        <v>1</v>
      </c>
      <c r="I933" s="7">
        <f>H933*$D$3</f>
        <v/>
      </c>
      <c r="J933" s="7" t="inlineStr">
        <is>
          <t>unité</t>
        </is>
      </c>
      <c r="K933" s="7" t="n">
        <v>0</v>
      </c>
      <c r="L933" s="7">
        <f>K933-I933</f>
        <v/>
      </c>
      <c r="M933" s="7">
        <f>IF(K933&lt;I933,"✕ INSUFFISANT",IF(K933&lt;I933*1.2,"⚠ STOCK FAIBLE","✓ COUVERT"))</f>
        <v/>
      </c>
      <c r="N933" s="7" t="inlineStr">
        <is>
          <t>YZK</t>
        </is>
      </c>
      <c r="O933" s="7" t="inlineStr">
        <is>
          <t>CRITIQUE</t>
        </is>
      </c>
      <c r="P933" s="7" t="inlineStr">
        <is>
          <t>31/08/2026 02:59</t>
        </is>
      </c>
    </row>
    <row r="934">
      <c r="A934" s="8" t="inlineStr">
        <is>
          <t>WHAP 8x8</t>
        </is>
      </c>
      <c r="B934" s="8" t="inlineStr">
        <is>
          <t>WHAP-0930</t>
        </is>
      </c>
      <c r="C934" s="8" t="inlineStr">
        <is>
          <t>FRE-0930</t>
        </is>
      </c>
      <c r="D934" s="8" t="inlineStr">
        <is>
          <t>compresseur d'air — essieu 3</t>
        </is>
      </c>
      <c r="E934" s="8" t="inlineStr">
        <is>
          <t>Freinage</t>
        </is>
      </c>
      <c r="F934" s="8" t="inlineStr">
        <is>
          <t>Freinage</t>
        </is>
      </c>
      <c r="G934" s="8" t="inlineStr">
        <is>
          <t>PIECE_VEHICULE</t>
        </is>
      </c>
      <c r="H934" s="8" t="n">
        <v>1</v>
      </c>
      <c r="I934" s="8">
        <f>H934*$D$3</f>
        <v/>
      </c>
      <c r="J934" s="8" t="inlineStr">
        <is>
          <t>unité</t>
        </is>
      </c>
      <c r="K934" s="8" t="n">
        <v>0</v>
      </c>
      <c r="L934" s="8">
        <f>K934-I934</f>
        <v/>
      </c>
      <c r="M934" s="8">
        <f>IF(K934&lt;I934,"✕ INSUFFISANT",IF(K934&lt;I934*1.2,"⚠ STOCK FAIBLE","✓ COUVERT"))</f>
        <v/>
      </c>
      <c r="N934" s="8" t="inlineStr">
        <is>
          <t>DEL</t>
        </is>
      </c>
      <c r="O934" s="8" t="inlineStr">
        <is>
          <t>CRITIQUE</t>
        </is>
      </c>
      <c r="P934" s="8" t="inlineStr">
        <is>
          <t>31/08/2026 02:59</t>
        </is>
      </c>
    </row>
    <row r="935">
      <c r="A935" s="7" t="inlineStr">
        <is>
          <t>WHAP 8x8</t>
        </is>
      </c>
      <c r="B935" s="7" t="inlineStr">
        <is>
          <t>WHAP-0931</t>
        </is>
      </c>
      <c r="C935" s="7" t="inlineStr">
        <is>
          <t>FRE-0931</t>
        </is>
      </c>
      <c r="D935" s="7" t="inlineStr">
        <is>
          <t>réservoir d'air — essieu 3</t>
        </is>
      </c>
      <c r="E935" s="7" t="inlineStr">
        <is>
          <t>Freinage</t>
        </is>
      </c>
      <c r="F935" s="7" t="inlineStr">
        <is>
          <t>Freinage</t>
        </is>
      </c>
      <c r="G935" s="7" t="inlineStr">
        <is>
          <t>PIECE_VEHICULE</t>
        </is>
      </c>
      <c r="H935" s="7" t="n">
        <v>1</v>
      </c>
      <c r="I935" s="7">
        <f>H935*$D$3</f>
        <v/>
      </c>
      <c r="J935" s="7" t="inlineStr">
        <is>
          <t>unité</t>
        </is>
      </c>
      <c r="K935" s="7" t="n">
        <v>0</v>
      </c>
      <c r="L935" s="7">
        <f>K935-I935</f>
        <v/>
      </c>
      <c r="M935" s="7">
        <f>IF(K935&lt;I935,"✕ INSUFFISANT",IF(K935&lt;I935*1.2,"⚠ STOCK FAIBLE","✓ COUVERT"))</f>
        <v/>
      </c>
      <c r="N935" s="7" t="inlineStr">
        <is>
          <t>BOS</t>
        </is>
      </c>
      <c r="O935" s="7" t="inlineStr">
        <is>
          <t>CRITIQUE</t>
        </is>
      </c>
      <c r="P935" s="7" t="inlineStr">
        <is>
          <t>31/08/2026 02:59</t>
        </is>
      </c>
    </row>
    <row r="936">
      <c r="A936" s="8" t="inlineStr">
        <is>
          <t>WHAP 8x8</t>
        </is>
      </c>
      <c r="B936" s="8" t="inlineStr">
        <is>
          <t>WHAP-0932</t>
        </is>
      </c>
      <c r="C936" s="8" t="inlineStr">
        <is>
          <t>FRE-0932</t>
        </is>
      </c>
      <c r="D936" s="8" t="inlineStr">
        <is>
          <t>valve de frein — essieu 3</t>
        </is>
      </c>
      <c r="E936" s="8" t="inlineStr">
        <is>
          <t>Freinage</t>
        </is>
      </c>
      <c r="F936" s="8" t="inlineStr">
        <is>
          <t>Freinage</t>
        </is>
      </c>
      <c r="G936" s="8" t="inlineStr">
        <is>
          <t>PIECE_VEHICULE</t>
        </is>
      </c>
      <c r="H936" s="8" t="n">
        <v>1</v>
      </c>
      <c r="I936" s="8">
        <f>H936*$D$3</f>
        <v/>
      </c>
      <c r="J936" s="8" t="inlineStr">
        <is>
          <t>unité</t>
        </is>
      </c>
      <c r="K936" s="8" t="n">
        <v>0</v>
      </c>
      <c r="L936" s="8">
        <f>K936-I936</f>
        <v/>
      </c>
      <c r="M936" s="8">
        <f>IF(K936&lt;I936,"✕ INSUFFISANT",IF(K936&lt;I936*1.2,"⚠ STOCK FAIBLE","✓ COUVERT"))</f>
        <v/>
      </c>
      <c r="N936" s="8" t="inlineStr">
        <is>
          <t>BOS</t>
        </is>
      </c>
      <c r="O936" s="8" t="inlineStr">
        <is>
          <t>CRITIQUE</t>
        </is>
      </c>
      <c r="P936" s="8" t="inlineStr">
        <is>
          <t>31/08/2026 02:59</t>
        </is>
      </c>
    </row>
    <row r="937">
      <c r="A937" s="7" t="inlineStr">
        <is>
          <t>WHAP 8x8</t>
        </is>
      </c>
      <c r="B937" s="7" t="inlineStr">
        <is>
          <t>WHAP-0933</t>
        </is>
      </c>
      <c r="C937" s="7" t="inlineStr">
        <is>
          <t>FRE-0933</t>
        </is>
      </c>
      <c r="D937" s="7" t="inlineStr">
        <is>
          <t>valve relais — essieu 3</t>
        </is>
      </c>
      <c r="E937" s="7" t="inlineStr">
        <is>
          <t>Freinage</t>
        </is>
      </c>
      <c r="F937" s="7" t="inlineStr">
        <is>
          <t>Freinage</t>
        </is>
      </c>
      <c r="G937" s="7" t="inlineStr">
        <is>
          <t>PIECE_VEHICULE</t>
        </is>
      </c>
      <c r="H937" s="7" t="n">
        <v>1</v>
      </c>
      <c r="I937" s="7">
        <f>H937*$D$3</f>
        <v/>
      </c>
      <c r="J937" s="7" t="inlineStr">
        <is>
          <t>unité</t>
        </is>
      </c>
      <c r="K937" s="7" t="n">
        <v>0</v>
      </c>
      <c r="L937" s="7">
        <f>K937-I937</f>
        <v/>
      </c>
      <c r="M937" s="7">
        <f>IF(K937&lt;I937,"✕ INSUFFISANT",IF(K937&lt;I937*1.2,"⚠ STOCK FAIBLE","✓ COUVERT"))</f>
        <v/>
      </c>
      <c r="N937" s="7" t="inlineStr">
        <is>
          <t>VAL</t>
        </is>
      </c>
      <c r="O937" s="7" t="inlineStr">
        <is>
          <t>CRITIQUE</t>
        </is>
      </c>
      <c r="P937" s="7" t="inlineStr">
        <is>
          <t>31/08/2026 02:59</t>
        </is>
      </c>
    </row>
    <row r="938">
      <c r="A938" s="8" t="inlineStr">
        <is>
          <t>WHAP 8x8</t>
        </is>
      </c>
      <c r="B938" s="8" t="inlineStr">
        <is>
          <t>WHAP-0934</t>
        </is>
      </c>
      <c r="C938" s="8" t="inlineStr">
        <is>
          <t>FRE-0934</t>
        </is>
      </c>
      <c r="D938" s="8" t="inlineStr">
        <is>
          <t>valve de protection — essieu 3</t>
        </is>
      </c>
      <c r="E938" s="8" t="inlineStr">
        <is>
          <t>Freinage</t>
        </is>
      </c>
      <c r="F938" s="8" t="inlineStr">
        <is>
          <t>Freinage</t>
        </is>
      </c>
      <c r="G938" s="8" t="inlineStr">
        <is>
          <t>PIECE_VEHICULE</t>
        </is>
      </c>
      <c r="H938" s="8" t="n">
        <v>1</v>
      </c>
      <c r="I938" s="8">
        <f>H938*$D$3</f>
        <v/>
      </c>
      <c r="J938" s="8" t="inlineStr">
        <is>
          <t>unité</t>
        </is>
      </c>
      <c r="K938" s="8" t="n">
        <v>0</v>
      </c>
      <c r="L938" s="8">
        <f>K938-I938</f>
        <v/>
      </c>
      <c r="M938" s="8">
        <f>IF(K938&lt;I938,"✕ INSUFFISANT",IF(K938&lt;I938*1.2,"⚠ STOCK FAIBLE","✓ COUVERT"))</f>
        <v/>
      </c>
      <c r="N938" s="8" t="inlineStr">
        <is>
          <t>CTL</t>
        </is>
      </c>
      <c r="O938" s="8" t="inlineStr">
        <is>
          <t>CRITIQUE</t>
        </is>
      </c>
      <c r="P938" s="8" t="inlineStr">
        <is>
          <t>31/08/2026 02:59</t>
        </is>
      </c>
    </row>
    <row r="939">
      <c r="A939" s="7" t="inlineStr">
        <is>
          <t>WHAP 8x8</t>
        </is>
      </c>
      <c r="B939" s="7" t="inlineStr">
        <is>
          <t>WHAP-0935</t>
        </is>
      </c>
      <c r="C939" s="7" t="inlineStr">
        <is>
          <t>FRE-0935</t>
        </is>
      </c>
      <c r="D939" s="7" t="inlineStr">
        <is>
          <t>modulateur ABS — essieu 3</t>
        </is>
      </c>
      <c r="E939" s="7" t="inlineStr">
        <is>
          <t>Freinage</t>
        </is>
      </c>
      <c r="F939" s="7" t="inlineStr">
        <is>
          <t>Freinage</t>
        </is>
      </c>
      <c r="G939" s="7" t="inlineStr">
        <is>
          <t>PIECE_VEHICULE</t>
        </is>
      </c>
      <c r="H939" s="7" t="n">
        <v>1</v>
      </c>
      <c r="I939" s="7">
        <f>H939*$D$3</f>
        <v/>
      </c>
      <c r="J939" s="7" t="inlineStr">
        <is>
          <t>unité</t>
        </is>
      </c>
      <c r="K939" s="7" t="n">
        <v>0</v>
      </c>
      <c r="L939" s="7">
        <f>K939-I939</f>
        <v/>
      </c>
      <c r="M939" s="7">
        <f>IF(K939&lt;I939,"✕ INSUFFISANT",IF(K939&lt;I939*1.2,"⚠ STOCK FAIBLE","✓ COUVERT"))</f>
        <v/>
      </c>
      <c r="N939" s="7" t="inlineStr">
        <is>
          <t>MAG</t>
        </is>
      </c>
      <c r="O939" s="7" t="inlineStr">
        <is>
          <t>CRITIQUE</t>
        </is>
      </c>
      <c r="P939" s="7" t="inlineStr">
        <is>
          <t>31/08/2026 02:59</t>
        </is>
      </c>
    </row>
    <row r="940">
      <c r="A940" s="8" t="inlineStr">
        <is>
          <t>WHAP 8x8</t>
        </is>
      </c>
      <c r="B940" s="8" t="inlineStr">
        <is>
          <t>WHAP-0936</t>
        </is>
      </c>
      <c r="C940" s="8" t="inlineStr">
        <is>
          <t>FRE-0936</t>
        </is>
      </c>
      <c r="D940" s="8" t="inlineStr">
        <is>
          <t>capteur ABS — essieu 3</t>
        </is>
      </c>
      <c r="E940" s="8" t="inlineStr">
        <is>
          <t>Freinage</t>
        </is>
      </c>
      <c r="F940" s="8" t="inlineStr">
        <is>
          <t>Freinage</t>
        </is>
      </c>
      <c r="G940" s="8" t="inlineStr">
        <is>
          <t>PIECE_VEHICULE</t>
        </is>
      </c>
      <c r="H940" s="8" t="n">
        <v>1</v>
      </c>
      <c r="I940" s="8">
        <f>H940*$D$3</f>
        <v/>
      </c>
      <c r="J940" s="8" t="inlineStr">
        <is>
          <t>unité</t>
        </is>
      </c>
      <c r="K940" s="8" t="n">
        <v>0</v>
      </c>
      <c r="L940" s="8">
        <f>K940-I940</f>
        <v/>
      </c>
      <c r="M940" s="8">
        <f>IF(K940&lt;I940,"✕ INSUFFISANT",IF(K940&lt;I940*1.2,"⚠ STOCK FAIBLE","✓ COUVERT"))</f>
        <v/>
      </c>
      <c r="N940" s="8" t="inlineStr">
        <is>
          <t>CTL</t>
        </is>
      </c>
      <c r="O940" s="8" t="inlineStr">
        <is>
          <t>CRITIQUE</t>
        </is>
      </c>
      <c r="P940" s="8" t="inlineStr">
        <is>
          <t>31/08/2026 02:59</t>
        </is>
      </c>
    </row>
    <row r="941">
      <c r="A941" s="7" t="inlineStr">
        <is>
          <t>WHAP 8x8</t>
        </is>
      </c>
      <c r="B941" s="7" t="inlineStr">
        <is>
          <t>WHAP-0937</t>
        </is>
      </c>
      <c r="C941" s="7" t="inlineStr">
        <is>
          <t>FRE-0937</t>
        </is>
      </c>
      <c r="D941" s="7" t="inlineStr">
        <is>
          <t>couronne ABS — essieu 3</t>
        </is>
      </c>
      <c r="E941" s="7" t="inlineStr">
        <is>
          <t>Freinage</t>
        </is>
      </c>
      <c r="F941" s="7" t="inlineStr">
        <is>
          <t>Freinage</t>
        </is>
      </c>
      <c r="G941" s="7" t="inlineStr">
        <is>
          <t>PIECE_VEHICULE</t>
        </is>
      </c>
      <c r="H941" s="7" t="n">
        <v>1</v>
      </c>
      <c r="I941" s="7">
        <f>H941*$D$3</f>
        <v/>
      </c>
      <c r="J941" s="7" t="inlineStr">
        <is>
          <t>unité</t>
        </is>
      </c>
      <c r="K941" s="7" t="n">
        <v>0</v>
      </c>
      <c r="L941" s="7">
        <f>K941-I941</f>
        <v/>
      </c>
      <c r="M941" s="7">
        <f>IF(K941&lt;I941,"✕ INSUFFISANT",IF(K941&lt;I941*1.2,"⚠ STOCK FAIBLE","✓ COUVERT"))</f>
        <v/>
      </c>
      <c r="N941" s="7" t="inlineStr">
        <is>
          <t>YZK</t>
        </is>
      </c>
      <c r="O941" s="7" t="inlineStr">
        <is>
          <t>CRITIQUE</t>
        </is>
      </c>
      <c r="P941" s="7" t="inlineStr">
        <is>
          <t>31/08/2026 02:59</t>
        </is>
      </c>
    </row>
    <row r="942">
      <c r="A942" s="8" t="inlineStr">
        <is>
          <t>WHAP 8x8</t>
        </is>
      </c>
      <c r="B942" s="8" t="inlineStr">
        <is>
          <t>WHAP-0938</t>
        </is>
      </c>
      <c r="C942" s="8" t="inlineStr">
        <is>
          <t>FRE-0938</t>
        </is>
      </c>
      <c r="D942" s="8" t="inlineStr">
        <is>
          <t>actionneur frein de parc — essieu 3</t>
        </is>
      </c>
      <c r="E942" s="8" t="inlineStr">
        <is>
          <t>Freinage</t>
        </is>
      </c>
      <c r="F942" s="8" t="inlineStr">
        <is>
          <t>Freinage</t>
        </is>
      </c>
      <c r="G942" s="8" t="inlineStr">
        <is>
          <t>PIECE_VEHICULE</t>
        </is>
      </c>
      <c r="H942" s="8" t="n">
        <v>1</v>
      </c>
      <c r="I942" s="8">
        <f>H942*$D$3</f>
        <v/>
      </c>
      <c r="J942" s="8" t="inlineStr">
        <is>
          <t>unité</t>
        </is>
      </c>
      <c r="K942" s="8" t="n">
        <v>0</v>
      </c>
      <c r="L942" s="8">
        <f>K942-I942</f>
        <v/>
      </c>
      <c r="M942" s="8">
        <f>IF(K942&lt;I942,"✕ INSUFFISANT",IF(K942&lt;I942*1.2,"⚠ STOCK FAIBLE","✓ COUVERT"))</f>
        <v/>
      </c>
      <c r="N942" s="8" t="inlineStr">
        <is>
          <t>SUM</t>
        </is>
      </c>
      <c r="O942" s="8" t="inlineStr">
        <is>
          <t>CRITIQUE</t>
        </is>
      </c>
      <c r="P942" s="8" t="inlineStr">
        <is>
          <t>31/08/2026 02:59</t>
        </is>
      </c>
    </row>
    <row r="943">
      <c r="A943" s="7" t="inlineStr">
        <is>
          <t>WHAP 8x8</t>
        </is>
      </c>
      <c r="B943" s="7" t="inlineStr">
        <is>
          <t>WHAP-0939</t>
        </is>
      </c>
      <c r="C943" s="7" t="inlineStr">
        <is>
          <t>FRE-0939</t>
        </is>
      </c>
      <c r="D943" s="7" t="inlineStr">
        <is>
          <t>câble de frein — essieu 3</t>
        </is>
      </c>
      <c r="E943" s="7" t="inlineStr">
        <is>
          <t>Freinage</t>
        </is>
      </c>
      <c r="F943" s="7" t="inlineStr">
        <is>
          <t>Freinage</t>
        </is>
      </c>
      <c r="G943" s="7" t="inlineStr">
        <is>
          <t>PIECE_VEHICULE</t>
        </is>
      </c>
      <c r="H943" s="7" t="n">
        <v>1</v>
      </c>
      <c r="I943" s="7">
        <f>H943*$D$3</f>
        <v/>
      </c>
      <c r="J943" s="7" t="inlineStr">
        <is>
          <t>unité</t>
        </is>
      </c>
      <c r="K943" s="7" t="n">
        <v>0</v>
      </c>
      <c r="L943" s="7">
        <f>K943-I943</f>
        <v/>
      </c>
      <c r="M943" s="7">
        <f>IF(K943&lt;I943,"✕ INSUFFISANT",IF(K943&lt;I943*1.2,"⚠ STOCK FAIBLE","✓ COUVERT"))</f>
        <v/>
      </c>
      <c r="N943" s="7" t="inlineStr">
        <is>
          <t>HEL</t>
        </is>
      </c>
      <c r="O943" s="7" t="inlineStr">
        <is>
          <t>CRITIQUE</t>
        </is>
      </c>
      <c r="P943" s="7" t="inlineStr">
        <is>
          <t>31/08/2026 02:59</t>
        </is>
      </c>
    </row>
    <row r="944">
      <c r="A944" s="8" t="inlineStr">
        <is>
          <t>WHAP 8x8</t>
        </is>
      </c>
      <c r="B944" s="8" t="inlineStr">
        <is>
          <t>WHAP-0940</t>
        </is>
      </c>
      <c r="C944" s="8" t="inlineStr">
        <is>
          <t>FRE-0940</t>
        </is>
      </c>
      <c r="D944" s="8" t="inlineStr">
        <is>
          <t>ressort de frein — essieu 3</t>
        </is>
      </c>
      <c r="E944" s="8" t="inlineStr">
        <is>
          <t>Freinage</t>
        </is>
      </c>
      <c r="F944" s="8" t="inlineStr">
        <is>
          <t>Freinage</t>
        </is>
      </c>
      <c r="G944" s="8" t="inlineStr">
        <is>
          <t>PIECE_VEHICULE</t>
        </is>
      </c>
      <c r="H944" s="8" t="n">
        <v>1</v>
      </c>
      <c r="I944" s="8">
        <f>H944*$D$3</f>
        <v/>
      </c>
      <c r="J944" s="8" t="inlineStr">
        <is>
          <t>unité</t>
        </is>
      </c>
      <c r="K944" s="8" t="n">
        <v>0</v>
      </c>
      <c r="L944" s="8">
        <f>K944-I944</f>
        <v/>
      </c>
      <c r="M944" s="8">
        <f>IF(K944&lt;I944,"✕ INSUFFISANT",IF(K944&lt;I944*1.2,"⚠ STOCK FAIBLE","✓ COUVERT"))</f>
        <v/>
      </c>
      <c r="N944" s="8" t="inlineStr">
        <is>
          <t>BOS</t>
        </is>
      </c>
      <c r="O944" s="8" t="inlineStr">
        <is>
          <t>CRITIQUE</t>
        </is>
      </c>
      <c r="P944" s="8" t="inlineStr">
        <is>
          <t>31/08/2026 02:59</t>
        </is>
      </c>
    </row>
    <row r="945">
      <c r="A945" s="7" t="inlineStr">
        <is>
          <t>WHAP 8x8</t>
        </is>
      </c>
      <c r="B945" s="7" t="inlineStr">
        <is>
          <t>WHAP-0941</t>
        </is>
      </c>
      <c r="C945" s="7" t="inlineStr">
        <is>
          <t>FRE-0941</t>
        </is>
      </c>
      <c r="D945" s="7" t="inlineStr">
        <is>
          <t>tambour de frein — essieu 3</t>
        </is>
      </c>
      <c r="E945" s="7" t="inlineStr">
        <is>
          <t>Freinage</t>
        </is>
      </c>
      <c r="F945" s="7" t="inlineStr">
        <is>
          <t>Freinage</t>
        </is>
      </c>
      <c r="G945" s="7" t="inlineStr">
        <is>
          <t>PIECE_VEHICULE</t>
        </is>
      </c>
      <c r="H945" s="7" t="n">
        <v>1</v>
      </c>
      <c r="I945" s="7">
        <f>H945*$D$3</f>
        <v/>
      </c>
      <c r="J945" s="7" t="inlineStr">
        <is>
          <t>unité</t>
        </is>
      </c>
      <c r="K945" s="7" t="n">
        <v>0</v>
      </c>
      <c r="L945" s="7">
        <f>K945-I945</f>
        <v/>
      </c>
      <c r="M945" s="7">
        <f>IF(K945&lt;I945,"✕ INSUFFISANT",IF(K945&lt;I945*1.2,"⚠ STOCK FAIBLE","✓ COUVERT"))</f>
        <v/>
      </c>
      <c r="N945" s="7" t="inlineStr">
        <is>
          <t>HEL</t>
        </is>
      </c>
      <c r="O945" s="7" t="inlineStr">
        <is>
          <t>CRITIQUE</t>
        </is>
      </c>
      <c r="P945" s="7" t="inlineStr">
        <is>
          <t>31/08/2026 02:59</t>
        </is>
      </c>
    </row>
    <row r="946">
      <c r="A946" s="8" t="inlineStr">
        <is>
          <t>WHAP 8x8</t>
        </is>
      </c>
      <c r="B946" s="8" t="inlineStr">
        <is>
          <t>WHAP-0942</t>
        </is>
      </c>
      <c r="C946" s="8" t="inlineStr">
        <is>
          <t>FRE-0942</t>
        </is>
      </c>
      <c r="D946" s="8" t="inlineStr">
        <is>
          <t>garniture de frein — essieu 3</t>
        </is>
      </c>
      <c r="E946" s="8" t="inlineStr">
        <is>
          <t>Freinage</t>
        </is>
      </c>
      <c r="F946" s="8" t="inlineStr">
        <is>
          <t>Freinage</t>
        </is>
      </c>
      <c r="G946" s="8" t="inlineStr">
        <is>
          <t>PIECE_VEHICULE</t>
        </is>
      </c>
      <c r="H946" s="8" t="n">
        <v>1</v>
      </c>
      <c r="I946" s="8">
        <f>H946*$D$3</f>
        <v/>
      </c>
      <c r="J946" s="8" t="inlineStr">
        <is>
          <t>unité</t>
        </is>
      </c>
      <c r="K946" s="8" t="n">
        <v>0</v>
      </c>
      <c r="L946" s="8">
        <f>K946-I946</f>
        <v/>
      </c>
      <c r="M946" s="8">
        <f>IF(K946&lt;I946,"✕ INSUFFISANT",IF(K946&lt;I946*1.2,"⚠ STOCK FAIBLE","✓ COUVERT"))</f>
        <v/>
      </c>
      <c r="N946" s="8" t="inlineStr">
        <is>
          <t>MAG</t>
        </is>
      </c>
      <c r="O946" s="8" t="inlineStr">
        <is>
          <t>CRITIQUE</t>
        </is>
      </c>
      <c r="P946" s="8" t="inlineStr">
        <is>
          <t>31/08/2026 02:59</t>
        </is>
      </c>
    </row>
    <row r="947">
      <c r="A947" s="7" t="inlineStr">
        <is>
          <t>WHAP 8x8</t>
        </is>
      </c>
      <c r="B947" s="7" t="inlineStr">
        <is>
          <t>WHAP-0943</t>
        </is>
      </c>
      <c r="C947" s="7" t="inlineStr">
        <is>
          <t>FRE-0943</t>
        </is>
      </c>
      <c r="D947" s="7" t="inlineStr">
        <is>
          <t>purgeur — essieu 3</t>
        </is>
      </c>
      <c r="E947" s="7" t="inlineStr">
        <is>
          <t>Freinage</t>
        </is>
      </c>
      <c r="F947" s="7" t="inlineStr">
        <is>
          <t>Freinage</t>
        </is>
      </c>
      <c r="G947" s="7" t="inlineStr">
        <is>
          <t>PIECE_VEHICULE</t>
        </is>
      </c>
      <c r="H947" s="7" t="n">
        <v>1</v>
      </c>
      <c r="I947" s="7">
        <f>H947*$D$3</f>
        <v/>
      </c>
      <c r="J947" s="7" t="inlineStr">
        <is>
          <t>unité</t>
        </is>
      </c>
      <c r="K947" s="7" t="n">
        <v>0</v>
      </c>
      <c r="L947" s="7">
        <f>K947-I947</f>
        <v/>
      </c>
      <c r="M947" s="7">
        <f>IF(K947&lt;I947,"✕ INSUFFISANT",IF(K947&lt;I947*1.2,"⚠ STOCK FAIBLE","✓ COUVERT"))</f>
        <v/>
      </c>
      <c r="N947" s="7" t="inlineStr">
        <is>
          <t>BOS</t>
        </is>
      </c>
      <c r="O947" s="7" t="inlineStr">
        <is>
          <t>CRITIQUE</t>
        </is>
      </c>
      <c r="P947" s="7" t="inlineStr">
        <is>
          <t>31/08/2026 02:59</t>
        </is>
      </c>
    </row>
    <row r="948">
      <c r="A948" s="8" t="inlineStr">
        <is>
          <t>WHAP 8x8</t>
        </is>
      </c>
      <c r="B948" s="8" t="inlineStr">
        <is>
          <t>WHAP-0944</t>
        </is>
      </c>
      <c r="C948" s="8" t="inlineStr">
        <is>
          <t>FRE-0944</t>
        </is>
      </c>
      <c r="D948" s="8" t="inlineStr">
        <is>
          <t>raccord pneumatique — essieu 3</t>
        </is>
      </c>
      <c r="E948" s="8" t="inlineStr">
        <is>
          <t>Freinage</t>
        </is>
      </c>
      <c r="F948" s="8" t="inlineStr">
        <is>
          <t>Freinage</t>
        </is>
      </c>
      <c r="G948" s="8" t="inlineStr">
        <is>
          <t>PIECE_VEHICULE</t>
        </is>
      </c>
      <c r="H948" s="8" t="n">
        <v>1</v>
      </c>
      <c r="I948" s="8">
        <f>H948*$D$3</f>
        <v/>
      </c>
      <c r="J948" s="8" t="inlineStr">
        <is>
          <t>unité</t>
        </is>
      </c>
      <c r="K948" s="8" t="n">
        <v>0</v>
      </c>
      <c r="L948" s="8">
        <f>K948-I948</f>
        <v/>
      </c>
      <c r="M948" s="8">
        <f>IF(K948&lt;I948,"✕ INSUFFISANT",IF(K948&lt;I948*1.2,"⚠ STOCK FAIBLE","✓ COUVERT"))</f>
        <v/>
      </c>
      <c r="N948" s="8" t="inlineStr">
        <is>
          <t>DEL</t>
        </is>
      </c>
      <c r="O948" s="8" t="inlineStr">
        <is>
          <t>CRITIQUE</t>
        </is>
      </c>
      <c r="P948" s="8" t="inlineStr">
        <is>
          <t>31/08/2026 02:59</t>
        </is>
      </c>
    </row>
    <row r="949">
      <c r="A949" s="7" t="inlineStr">
        <is>
          <t>WHAP 8x8</t>
        </is>
      </c>
      <c r="B949" s="7" t="inlineStr">
        <is>
          <t>WHAP-0945</t>
        </is>
      </c>
      <c r="C949" s="7" t="inlineStr">
        <is>
          <t>FRE-0945</t>
        </is>
      </c>
      <c r="D949" s="7" t="inlineStr">
        <is>
          <t>disque de frein — essieu 4</t>
        </is>
      </c>
      <c r="E949" s="7" t="inlineStr">
        <is>
          <t>Freinage</t>
        </is>
      </c>
      <c r="F949" s="7" t="inlineStr">
        <is>
          <t>Freinage</t>
        </is>
      </c>
      <c r="G949" s="7" t="inlineStr">
        <is>
          <t>PIECE_VEHICULE</t>
        </is>
      </c>
      <c r="H949" s="7" t="n">
        <v>1</v>
      </c>
      <c r="I949" s="7">
        <f>H949*$D$3</f>
        <v/>
      </c>
      <c r="J949" s="7" t="inlineStr">
        <is>
          <t>unité</t>
        </is>
      </c>
      <c r="K949" s="7" t="n">
        <v>0</v>
      </c>
      <c r="L949" s="7">
        <f>K949-I949</f>
        <v/>
      </c>
      <c r="M949" s="7">
        <f>IF(K949&lt;I949,"✕ INSUFFISANT",IF(K949&lt;I949*1.2,"⚠ STOCK FAIBLE","✓ COUVERT"))</f>
        <v/>
      </c>
      <c r="N949" s="7" t="inlineStr">
        <is>
          <t>MAG</t>
        </is>
      </c>
      <c r="O949" s="7" t="inlineStr">
        <is>
          <t>CRITIQUE</t>
        </is>
      </c>
      <c r="P949" s="7" t="inlineStr">
        <is>
          <t>31/08/2026 02:59</t>
        </is>
      </c>
    </row>
    <row r="950">
      <c r="A950" s="8" t="inlineStr">
        <is>
          <t>WHAP 8x8</t>
        </is>
      </c>
      <c r="B950" s="8" t="inlineStr">
        <is>
          <t>WHAP-0946</t>
        </is>
      </c>
      <c r="C950" s="8" t="inlineStr">
        <is>
          <t>FRE-0946</t>
        </is>
      </c>
      <c r="D950" s="8" t="inlineStr">
        <is>
          <t>étrier de frein — essieu 4</t>
        </is>
      </c>
      <c r="E950" s="8" t="inlineStr">
        <is>
          <t>Freinage</t>
        </is>
      </c>
      <c r="F950" s="8" t="inlineStr">
        <is>
          <t>Freinage</t>
        </is>
      </c>
      <c r="G950" s="8" t="inlineStr">
        <is>
          <t>PIECE_VEHICULE</t>
        </is>
      </c>
      <c r="H950" s="8" t="n">
        <v>1</v>
      </c>
      <c r="I950" s="8">
        <f>H950*$D$3</f>
        <v/>
      </c>
      <c r="J950" s="8" t="inlineStr">
        <is>
          <t>unité</t>
        </is>
      </c>
      <c r="K950" s="8" t="n">
        <v>0</v>
      </c>
      <c r="L950" s="8">
        <f>K950-I950</f>
        <v/>
      </c>
      <c r="M950" s="8">
        <f>IF(K950&lt;I950,"✕ INSUFFISANT",IF(K950&lt;I950*1.2,"⚠ STOCK FAIBLE","✓ COUVERT"))</f>
        <v/>
      </c>
      <c r="N950" s="8" t="inlineStr">
        <is>
          <t>YZK</t>
        </is>
      </c>
      <c r="O950" s="8" t="inlineStr">
        <is>
          <t>CRITIQUE</t>
        </is>
      </c>
      <c r="P950" s="8" t="inlineStr">
        <is>
          <t>31/08/2026 02:59</t>
        </is>
      </c>
    </row>
    <row r="951">
      <c r="A951" s="7" t="inlineStr">
        <is>
          <t>WHAP 8x8</t>
        </is>
      </c>
      <c r="B951" s="7" t="inlineStr">
        <is>
          <t>WHAP-0947</t>
        </is>
      </c>
      <c r="C951" s="7" t="inlineStr">
        <is>
          <t>FRE-0947</t>
        </is>
      </c>
      <c r="D951" s="7" t="inlineStr">
        <is>
          <t>plaquette de frein — essieu 4</t>
        </is>
      </c>
      <c r="E951" s="7" t="inlineStr">
        <is>
          <t>Freinage</t>
        </is>
      </c>
      <c r="F951" s="7" t="inlineStr">
        <is>
          <t>Freinage</t>
        </is>
      </c>
      <c r="G951" s="7" t="inlineStr">
        <is>
          <t>PIECE_VEHICULE</t>
        </is>
      </c>
      <c r="H951" s="7" t="n">
        <v>1</v>
      </c>
      <c r="I951" s="7">
        <f>H951*$D$3</f>
        <v/>
      </c>
      <c r="J951" s="7" t="inlineStr">
        <is>
          <t>unité</t>
        </is>
      </c>
      <c r="K951" s="7" t="n">
        <v>0</v>
      </c>
      <c r="L951" s="7">
        <f>K951-I951</f>
        <v/>
      </c>
      <c r="M951" s="7">
        <f>IF(K951&lt;I951,"✕ INSUFFISANT",IF(K951&lt;I951*1.2,"⚠ STOCK FAIBLE","✓ COUVERT"))</f>
        <v/>
      </c>
      <c r="N951" s="7" t="inlineStr">
        <is>
          <t>CTL</t>
        </is>
      </c>
      <c r="O951" s="7" t="inlineStr">
        <is>
          <t>CRITIQUE</t>
        </is>
      </c>
      <c r="P951" s="7" t="inlineStr">
        <is>
          <t>31/08/2026 02:59</t>
        </is>
      </c>
    </row>
    <row r="952">
      <c r="A952" s="8" t="inlineStr">
        <is>
          <t>WHAP 8x8</t>
        </is>
      </c>
      <c r="B952" s="8" t="inlineStr">
        <is>
          <t>WHAP-0948</t>
        </is>
      </c>
      <c r="C952" s="8" t="inlineStr">
        <is>
          <t>FRE-0948</t>
        </is>
      </c>
      <c r="D952" s="8" t="inlineStr">
        <is>
          <t>porte-plaquette — essieu 4</t>
        </is>
      </c>
      <c r="E952" s="8" t="inlineStr">
        <is>
          <t>Freinage</t>
        </is>
      </c>
      <c r="F952" s="8" t="inlineStr">
        <is>
          <t>Freinage</t>
        </is>
      </c>
      <c r="G952" s="8" t="inlineStr">
        <is>
          <t>PIECE_VEHICULE</t>
        </is>
      </c>
      <c r="H952" s="8" t="n">
        <v>1</v>
      </c>
      <c r="I952" s="8">
        <f>H952*$D$3</f>
        <v/>
      </c>
      <c r="J952" s="8" t="inlineStr">
        <is>
          <t>unité</t>
        </is>
      </c>
      <c r="K952" s="8" t="n">
        <v>0</v>
      </c>
      <c r="L952" s="8">
        <f>K952-I952</f>
        <v/>
      </c>
      <c r="M952" s="8">
        <f>IF(K952&lt;I952,"✕ INSUFFISANT",IF(K952&lt;I952*1.2,"⚠ STOCK FAIBLE","✓ COUVERT"))</f>
        <v/>
      </c>
      <c r="N952" s="8" t="inlineStr">
        <is>
          <t>SKF</t>
        </is>
      </c>
      <c r="O952" s="8" t="inlineStr">
        <is>
          <t>CRITIQUE</t>
        </is>
      </c>
      <c r="P952" s="8" t="inlineStr">
        <is>
          <t>31/08/2026 02:59</t>
        </is>
      </c>
    </row>
    <row r="953">
      <c r="A953" s="7" t="inlineStr">
        <is>
          <t>WHAP 8x8</t>
        </is>
      </c>
      <c r="B953" s="7" t="inlineStr">
        <is>
          <t>WHAP-0949</t>
        </is>
      </c>
      <c r="C953" s="7" t="inlineStr">
        <is>
          <t>FRE-0949</t>
        </is>
      </c>
      <c r="D953" s="7" t="inlineStr">
        <is>
          <t>piston d'étrier — essieu 4</t>
        </is>
      </c>
      <c r="E953" s="7" t="inlineStr">
        <is>
          <t>Freinage</t>
        </is>
      </c>
      <c r="F953" s="7" t="inlineStr">
        <is>
          <t>Freinage</t>
        </is>
      </c>
      <c r="G953" s="7" t="inlineStr">
        <is>
          <t>PIECE_VEHICULE</t>
        </is>
      </c>
      <c r="H953" s="7" t="n">
        <v>1</v>
      </c>
      <c r="I953" s="7">
        <f>H953*$D$3</f>
        <v/>
      </c>
      <c r="J953" s="7" t="inlineStr">
        <is>
          <t>unité</t>
        </is>
      </c>
      <c r="K953" s="7" t="n">
        <v>0</v>
      </c>
      <c r="L953" s="7">
        <f>K953-I953</f>
        <v/>
      </c>
      <c r="M953" s="7">
        <f>IF(K953&lt;I953,"✕ INSUFFISANT",IF(K953&lt;I953*1.2,"⚠ STOCK FAIBLE","✓ COUVERT"))</f>
        <v/>
      </c>
      <c r="N953" s="7" t="inlineStr">
        <is>
          <t>SKF</t>
        </is>
      </c>
      <c r="O953" s="7" t="inlineStr">
        <is>
          <t>CRITIQUE</t>
        </is>
      </c>
      <c r="P953" s="7" t="inlineStr">
        <is>
          <t>31/08/2026 02:59</t>
        </is>
      </c>
    </row>
    <row r="954">
      <c r="A954" s="8" t="inlineStr">
        <is>
          <t>WHAP 8x8</t>
        </is>
      </c>
      <c r="B954" s="8" t="inlineStr">
        <is>
          <t>WHAP-0950</t>
        </is>
      </c>
      <c r="C954" s="8" t="inlineStr">
        <is>
          <t>FRE-0950</t>
        </is>
      </c>
      <c r="D954" s="8" t="inlineStr">
        <is>
          <t>joint de piston — essieu 4</t>
        </is>
      </c>
      <c r="E954" s="8" t="inlineStr">
        <is>
          <t>Freinage</t>
        </is>
      </c>
      <c r="F954" s="8" t="inlineStr">
        <is>
          <t>Freinage</t>
        </is>
      </c>
      <c r="G954" s="8" t="inlineStr">
        <is>
          <t>PIECE_VEHICULE</t>
        </is>
      </c>
      <c r="H954" s="8" t="n">
        <v>1</v>
      </c>
      <c r="I954" s="8">
        <f>H954*$D$3</f>
        <v/>
      </c>
      <c r="J954" s="8" t="inlineStr">
        <is>
          <t>unité</t>
        </is>
      </c>
      <c r="K954" s="8" t="n">
        <v>0</v>
      </c>
      <c r="L954" s="8">
        <f>K954-I954</f>
        <v/>
      </c>
      <c r="M954" s="8">
        <f>IF(K954&lt;I954,"✕ INSUFFISANT",IF(K954&lt;I954*1.2,"⚠ STOCK FAIBLE","✓ COUVERT"))</f>
        <v/>
      </c>
      <c r="N954" s="8" t="inlineStr">
        <is>
          <t>YZK</t>
        </is>
      </c>
      <c r="O954" s="8" t="inlineStr">
        <is>
          <t>CRITIQUE</t>
        </is>
      </c>
      <c r="P954" s="8" t="inlineStr">
        <is>
          <t>31/08/2026 02:59</t>
        </is>
      </c>
    </row>
    <row r="955">
      <c r="A955" s="7" t="inlineStr">
        <is>
          <t>WHAP 8x8</t>
        </is>
      </c>
      <c r="B955" s="7" t="inlineStr">
        <is>
          <t>WHAP-0951</t>
        </is>
      </c>
      <c r="C955" s="7" t="inlineStr">
        <is>
          <t>FRE-0951</t>
        </is>
      </c>
      <c r="D955" s="7" t="inlineStr">
        <is>
          <t>flexible de frein — essieu 4</t>
        </is>
      </c>
      <c r="E955" s="7" t="inlineStr">
        <is>
          <t>Freinage</t>
        </is>
      </c>
      <c r="F955" s="7" t="inlineStr">
        <is>
          <t>Freinage</t>
        </is>
      </c>
      <c r="G955" s="7" t="inlineStr">
        <is>
          <t>PIECE_VEHICULE</t>
        </is>
      </c>
      <c r="H955" s="7" t="n">
        <v>1</v>
      </c>
      <c r="I955" s="7">
        <f>H955*$D$3</f>
        <v/>
      </c>
      <c r="J955" s="7" t="inlineStr">
        <is>
          <t>unité</t>
        </is>
      </c>
      <c r="K955" s="7" t="n">
        <v>0</v>
      </c>
      <c r="L955" s="7">
        <f>K955-I955</f>
        <v/>
      </c>
      <c r="M955" s="7">
        <f>IF(K955&lt;I955,"✕ INSUFFISANT",IF(K955&lt;I955*1.2,"⚠ STOCK FAIBLE","✓ COUVERT"))</f>
        <v/>
      </c>
      <c r="N955" s="7" t="inlineStr">
        <is>
          <t>DEL</t>
        </is>
      </c>
      <c r="O955" s="7" t="inlineStr">
        <is>
          <t>CRITIQUE</t>
        </is>
      </c>
      <c r="P955" s="7" t="inlineStr">
        <is>
          <t>31/08/2026 02:59</t>
        </is>
      </c>
    </row>
    <row r="956">
      <c r="A956" s="8" t="inlineStr">
        <is>
          <t>WHAP 8x8</t>
        </is>
      </c>
      <c r="B956" s="8" t="inlineStr">
        <is>
          <t>WHAP-0952</t>
        </is>
      </c>
      <c r="C956" s="8" t="inlineStr">
        <is>
          <t>FRE-0952</t>
        </is>
      </c>
      <c r="D956" s="8" t="inlineStr">
        <is>
          <t>conduite de frein — essieu 4</t>
        </is>
      </c>
      <c r="E956" s="8" t="inlineStr">
        <is>
          <t>Freinage</t>
        </is>
      </c>
      <c r="F956" s="8" t="inlineStr">
        <is>
          <t>Freinage</t>
        </is>
      </c>
      <c r="G956" s="8" t="inlineStr">
        <is>
          <t>PIECE_VEHICULE</t>
        </is>
      </c>
      <c r="H956" s="8" t="n">
        <v>1</v>
      </c>
      <c r="I956" s="8">
        <f>H956*$D$3</f>
        <v/>
      </c>
      <c r="J956" s="8" t="inlineStr">
        <is>
          <t>unité</t>
        </is>
      </c>
      <c r="K956" s="8" t="n">
        <v>0</v>
      </c>
      <c r="L956" s="8">
        <f>K956-I956</f>
        <v/>
      </c>
      <c r="M956" s="8">
        <f>IF(K956&lt;I956,"✕ INSUFFISANT",IF(K956&lt;I956*1.2,"⚠ STOCK FAIBLE","✓ COUVERT"))</f>
        <v/>
      </c>
      <c r="N956" s="8" t="inlineStr">
        <is>
          <t>BOS</t>
        </is>
      </c>
      <c r="O956" s="8" t="inlineStr">
        <is>
          <t>CRITIQUE</t>
        </is>
      </c>
      <c r="P956" s="8" t="inlineStr">
        <is>
          <t>31/08/2026 02:59</t>
        </is>
      </c>
    </row>
    <row r="957">
      <c r="A957" s="7" t="inlineStr">
        <is>
          <t>WHAP 8x8</t>
        </is>
      </c>
      <c r="B957" s="7" t="inlineStr">
        <is>
          <t>WHAP-0953</t>
        </is>
      </c>
      <c r="C957" s="7" t="inlineStr">
        <is>
          <t>FRE-0953</t>
        </is>
      </c>
      <c r="D957" s="7" t="inlineStr">
        <is>
          <t>maître-cylindre — essieu 4</t>
        </is>
      </c>
      <c r="E957" s="7" t="inlineStr">
        <is>
          <t>Freinage</t>
        </is>
      </c>
      <c r="F957" s="7" t="inlineStr">
        <is>
          <t>Freinage</t>
        </is>
      </c>
      <c r="G957" s="7" t="inlineStr">
        <is>
          <t>PIECE_VEHICULE</t>
        </is>
      </c>
      <c r="H957" s="7" t="n">
        <v>1</v>
      </c>
      <c r="I957" s="7">
        <f>H957*$D$3</f>
        <v/>
      </c>
      <c r="J957" s="7" t="inlineStr">
        <is>
          <t>unité</t>
        </is>
      </c>
      <c r="K957" s="7" t="n">
        <v>0</v>
      </c>
      <c r="L957" s="7">
        <f>K957-I957</f>
        <v/>
      </c>
      <c r="M957" s="7">
        <f>IF(K957&lt;I957,"✕ INSUFFISANT",IF(K957&lt;I957*1.2,"⚠ STOCK FAIBLE","✓ COUVERT"))</f>
        <v/>
      </c>
      <c r="N957" s="7" t="inlineStr">
        <is>
          <t>SUM</t>
        </is>
      </c>
      <c r="O957" s="7" t="inlineStr">
        <is>
          <t>CRITIQUE</t>
        </is>
      </c>
      <c r="P957" s="7" t="inlineStr">
        <is>
          <t>31/08/2026 02:59</t>
        </is>
      </c>
    </row>
    <row r="958">
      <c r="A958" s="8" t="inlineStr">
        <is>
          <t>WHAP 8x8</t>
        </is>
      </c>
      <c r="B958" s="8" t="inlineStr">
        <is>
          <t>WHAP-0954</t>
        </is>
      </c>
      <c r="C958" s="8" t="inlineStr">
        <is>
          <t>FRE-0954</t>
        </is>
      </c>
      <c r="D958" s="8" t="inlineStr">
        <is>
          <t>servofrein — essieu 4</t>
        </is>
      </c>
      <c r="E958" s="8" t="inlineStr">
        <is>
          <t>Freinage</t>
        </is>
      </c>
      <c r="F958" s="8" t="inlineStr">
        <is>
          <t>Freinage</t>
        </is>
      </c>
      <c r="G958" s="8" t="inlineStr">
        <is>
          <t>PIECE_VEHICULE</t>
        </is>
      </c>
      <c r="H958" s="8" t="n">
        <v>1</v>
      </c>
      <c r="I958" s="8">
        <f>H958*$D$3</f>
        <v/>
      </c>
      <c r="J958" s="8" t="inlineStr">
        <is>
          <t>unité</t>
        </is>
      </c>
      <c r="K958" s="8" t="n">
        <v>0</v>
      </c>
      <c r="L958" s="8">
        <f>K958-I958</f>
        <v/>
      </c>
      <c r="M958" s="8">
        <f>IF(K958&lt;I958,"✕ INSUFFISANT",IF(K958&lt;I958*1.2,"⚠ STOCK FAIBLE","✓ COUVERT"))</f>
        <v/>
      </c>
      <c r="N958" s="8" t="inlineStr">
        <is>
          <t>FAU</t>
        </is>
      </c>
      <c r="O958" s="8" t="inlineStr">
        <is>
          <t>CRITIQUE</t>
        </is>
      </c>
      <c r="P958" s="8" t="inlineStr">
        <is>
          <t>31/08/2026 02:59</t>
        </is>
      </c>
    </row>
    <row r="959">
      <c r="A959" s="7" t="inlineStr">
        <is>
          <t>WHAP 8x8</t>
        </is>
      </c>
      <c r="B959" s="7" t="inlineStr">
        <is>
          <t>WHAP-0955</t>
        </is>
      </c>
      <c r="C959" s="7" t="inlineStr">
        <is>
          <t>FRE-0955</t>
        </is>
      </c>
      <c r="D959" s="7" t="inlineStr">
        <is>
          <t>compresseur d'air — essieu 4</t>
        </is>
      </c>
      <c r="E959" s="7" t="inlineStr">
        <is>
          <t>Freinage</t>
        </is>
      </c>
      <c r="F959" s="7" t="inlineStr">
        <is>
          <t>Freinage</t>
        </is>
      </c>
      <c r="G959" s="7" t="inlineStr">
        <is>
          <t>PIECE_VEHICULE</t>
        </is>
      </c>
      <c r="H959" s="7" t="n">
        <v>1</v>
      </c>
      <c r="I959" s="7">
        <f>H959*$D$3</f>
        <v/>
      </c>
      <c r="J959" s="7" t="inlineStr">
        <is>
          <t>unité</t>
        </is>
      </c>
      <c r="K959" s="7" t="n">
        <v>0</v>
      </c>
      <c r="L959" s="7">
        <f>K959-I959</f>
        <v/>
      </c>
      <c r="M959" s="7">
        <f>IF(K959&lt;I959,"✕ INSUFFISANT",IF(K959&lt;I959*1.2,"⚠ STOCK FAIBLE","✓ COUVERT"))</f>
        <v/>
      </c>
      <c r="N959" s="7" t="inlineStr">
        <is>
          <t>SKF</t>
        </is>
      </c>
      <c r="O959" s="7" t="inlineStr">
        <is>
          <t>CRITIQUE</t>
        </is>
      </c>
      <c r="P959" s="7" t="inlineStr">
        <is>
          <t>31/08/2026 02:59</t>
        </is>
      </c>
    </row>
    <row r="960">
      <c r="A960" s="8" t="inlineStr">
        <is>
          <t>WHAP 8x8</t>
        </is>
      </c>
      <c r="B960" s="8" t="inlineStr">
        <is>
          <t>WHAP-0956</t>
        </is>
      </c>
      <c r="C960" s="8" t="inlineStr">
        <is>
          <t>FRE-0956</t>
        </is>
      </c>
      <c r="D960" s="8" t="inlineStr">
        <is>
          <t>réservoir d'air — essieu 4</t>
        </is>
      </c>
      <c r="E960" s="8" t="inlineStr">
        <is>
          <t>Freinage</t>
        </is>
      </c>
      <c r="F960" s="8" t="inlineStr">
        <is>
          <t>Freinage</t>
        </is>
      </c>
      <c r="G960" s="8" t="inlineStr">
        <is>
          <t>PIECE_VEHICULE</t>
        </is>
      </c>
      <c r="H960" s="8" t="n">
        <v>1</v>
      </c>
      <c r="I960" s="8">
        <f>H960*$D$3</f>
        <v/>
      </c>
      <c r="J960" s="8" t="inlineStr">
        <is>
          <t>unité</t>
        </is>
      </c>
      <c r="K960" s="8" t="n">
        <v>0</v>
      </c>
      <c r="L960" s="8">
        <f>K960-I960</f>
        <v/>
      </c>
      <c r="M960" s="8">
        <f>IF(K960&lt;I960,"✕ INSUFFISANT",IF(K960&lt;I960*1.2,"⚠ STOCK FAIBLE","✓ COUVERT"))</f>
        <v/>
      </c>
      <c r="N960" s="8" t="inlineStr">
        <is>
          <t>MAG</t>
        </is>
      </c>
      <c r="O960" s="8" t="inlineStr">
        <is>
          <t>CRITIQUE</t>
        </is>
      </c>
      <c r="P960" s="8" t="inlineStr">
        <is>
          <t>31/08/2026 02:59</t>
        </is>
      </c>
    </row>
    <row r="961">
      <c r="A961" s="7" t="inlineStr">
        <is>
          <t>WHAP 8x8</t>
        </is>
      </c>
      <c r="B961" s="7" t="inlineStr">
        <is>
          <t>WHAP-0957</t>
        </is>
      </c>
      <c r="C961" s="7" t="inlineStr">
        <is>
          <t>FRE-0957</t>
        </is>
      </c>
      <c r="D961" s="7" t="inlineStr">
        <is>
          <t>valve de frein — essieu 4</t>
        </is>
      </c>
      <c r="E961" s="7" t="inlineStr">
        <is>
          <t>Freinage</t>
        </is>
      </c>
      <c r="F961" s="7" t="inlineStr">
        <is>
          <t>Freinage</t>
        </is>
      </c>
      <c r="G961" s="7" t="inlineStr">
        <is>
          <t>PIECE_VEHICULE</t>
        </is>
      </c>
      <c r="H961" s="7" t="n">
        <v>1</v>
      </c>
      <c r="I961" s="7">
        <f>H961*$D$3</f>
        <v/>
      </c>
      <c r="J961" s="7" t="inlineStr">
        <is>
          <t>unité</t>
        </is>
      </c>
      <c r="K961" s="7" t="n">
        <v>0</v>
      </c>
      <c r="L961" s="7">
        <f>K961-I961</f>
        <v/>
      </c>
      <c r="M961" s="7">
        <f>IF(K961&lt;I961,"✕ INSUFFISANT",IF(K961&lt;I961*1.2,"⚠ STOCK FAIBLE","✓ COUVERT"))</f>
        <v/>
      </c>
      <c r="N961" s="7" t="inlineStr">
        <is>
          <t>BOS</t>
        </is>
      </c>
      <c r="O961" s="7" t="inlineStr">
        <is>
          <t>CRITIQUE</t>
        </is>
      </c>
      <c r="P961" s="7" t="inlineStr">
        <is>
          <t>31/08/2026 02:59</t>
        </is>
      </c>
    </row>
    <row r="962">
      <c r="A962" s="8" t="inlineStr">
        <is>
          <t>WHAP 8x8</t>
        </is>
      </c>
      <c r="B962" s="8" t="inlineStr">
        <is>
          <t>WHAP-0958</t>
        </is>
      </c>
      <c r="C962" s="8" t="inlineStr">
        <is>
          <t>FRE-0958</t>
        </is>
      </c>
      <c r="D962" s="8" t="inlineStr">
        <is>
          <t>valve relais — essieu 4</t>
        </is>
      </c>
      <c r="E962" s="8" t="inlineStr">
        <is>
          <t>Freinage</t>
        </is>
      </c>
      <c r="F962" s="8" t="inlineStr">
        <is>
          <t>Freinage</t>
        </is>
      </c>
      <c r="G962" s="8" t="inlineStr">
        <is>
          <t>PIECE_VEHICULE</t>
        </is>
      </c>
      <c r="H962" s="8" t="n">
        <v>1</v>
      </c>
      <c r="I962" s="8">
        <f>H962*$D$3</f>
        <v/>
      </c>
      <c r="J962" s="8" t="inlineStr">
        <is>
          <t>unité</t>
        </is>
      </c>
      <c r="K962" s="8" t="n">
        <v>0</v>
      </c>
      <c r="L962" s="8">
        <f>K962-I962</f>
        <v/>
      </c>
      <c r="M962" s="8">
        <f>IF(K962&lt;I962,"✕ INSUFFISANT",IF(K962&lt;I962*1.2,"⚠ STOCK FAIBLE","✓ COUVERT"))</f>
        <v/>
      </c>
      <c r="N962" s="8" t="inlineStr">
        <is>
          <t>MAG</t>
        </is>
      </c>
      <c r="O962" s="8" t="inlineStr">
        <is>
          <t>CRITIQUE</t>
        </is>
      </c>
      <c r="P962" s="8" t="inlineStr">
        <is>
          <t>31/08/2026 02:59</t>
        </is>
      </c>
    </row>
    <row r="963">
      <c r="A963" s="7" t="inlineStr">
        <is>
          <t>WHAP 8x8</t>
        </is>
      </c>
      <c r="B963" s="7" t="inlineStr">
        <is>
          <t>WHAP-0959</t>
        </is>
      </c>
      <c r="C963" s="7" t="inlineStr">
        <is>
          <t>FRE-0959</t>
        </is>
      </c>
      <c r="D963" s="7" t="inlineStr">
        <is>
          <t>valve de protection — essieu 4</t>
        </is>
      </c>
      <c r="E963" s="7" t="inlineStr">
        <is>
          <t>Freinage</t>
        </is>
      </c>
      <c r="F963" s="7" t="inlineStr">
        <is>
          <t>Freinage</t>
        </is>
      </c>
      <c r="G963" s="7" t="inlineStr">
        <is>
          <t>PIECE_VEHICULE</t>
        </is>
      </c>
      <c r="H963" s="7" t="n">
        <v>1</v>
      </c>
      <c r="I963" s="7">
        <f>H963*$D$3</f>
        <v/>
      </c>
      <c r="J963" s="7" t="inlineStr">
        <is>
          <t>unité</t>
        </is>
      </c>
      <c r="K963" s="7" t="n">
        <v>0</v>
      </c>
      <c r="L963" s="7">
        <f>K963-I963</f>
        <v/>
      </c>
      <c r="M963" s="7">
        <f>IF(K963&lt;I963,"✕ INSUFFISANT",IF(K963&lt;I963*1.2,"⚠ STOCK FAIBLE","✓ COUVERT"))</f>
        <v/>
      </c>
      <c r="N963" s="7" t="inlineStr">
        <is>
          <t>VAL</t>
        </is>
      </c>
      <c r="O963" s="7" t="inlineStr">
        <is>
          <t>CRITIQUE</t>
        </is>
      </c>
      <c r="P963" s="7" t="inlineStr">
        <is>
          <t>31/08/2026 02:59</t>
        </is>
      </c>
    </row>
    <row r="964">
      <c r="A964" s="8" t="inlineStr">
        <is>
          <t>WHAP 8x8</t>
        </is>
      </c>
      <c r="B964" s="8" t="inlineStr">
        <is>
          <t>WHAP-0960</t>
        </is>
      </c>
      <c r="C964" s="8" t="inlineStr">
        <is>
          <t>FRE-0960</t>
        </is>
      </c>
      <c r="D964" s="8" t="inlineStr">
        <is>
          <t>modulateur ABS — essieu 4</t>
        </is>
      </c>
      <c r="E964" s="8" t="inlineStr">
        <is>
          <t>Freinage</t>
        </is>
      </c>
      <c r="F964" s="8" t="inlineStr">
        <is>
          <t>Freinage</t>
        </is>
      </c>
      <c r="G964" s="8" t="inlineStr">
        <is>
          <t>PIECE_VEHICULE</t>
        </is>
      </c>
      <c r="H964" s="8" t="n">
        <v>1</v>
      </c>
      <c r="I964" s="8">
        <f>H964*$D$3</f>
        <v/>
      </c>
      <c r="J964" s="8" t="inlineStr">
        <is>
          <t>unité</t>
        </is>
      </c>
      <c r="K964" s="8" t="n">
        <v>0</v>
      </c>
      <c r="L964" s="8">
        <f>K964-I964</f>
        <v/>
      </c>
      <c r="M964" s="8">
        <f>IF(K964&lt;I964,"✕ INSUFFISANT",IF(K964&lt;I964*1.2,"⚠ STOCK FAIBLE","✓ COUVERT"))</f>
        <v/>
      </c>
      <c r="N964" s="8" t="inlineStr">
        <is>
          <t>VAL</t>
        </is>
      </c>
      <c r="O964" s="8" t="inlineStr">
        <is>
          <t>CRITIQUE</t>
        </is>
      </c>
      <c r="P964" s="8" t="inlineStr">
        <is>
          <t>31/08/2026 02:59</t>
        </is>
      </c>
    </row>
    <row r="965">
      <c r="A965" s="7" t="inlineStr">
        <is>
          <t>WHAP 8x8</t>
        </is>
      </c>
      <c r="B965" s="7" t="inlineStr">
        <is>
          <t>WHAP-0961</t>
        </is>
      </c>
      <c r="C965" s="7" t="inlineStr">
        <is>
          <t>FRE-0961</t>
        </is>
      </c>
      <c r="D965" s="7" t="inlineStr">
        <is>
          <t>capteur ABS — essieu 4</t>
        </is>
      </c>
      <c r="E965" s="7" t="inlineStr">
        <is>
          <t>Freinage</t>
        </is>
      </c>
      <c r="F965" s="7" t="inlineStr">
        <is>
          <t>Freinage</t>
        </is>
      </c>
      <c r="G965" s="7" t="inlineStr">
        <is>
          <t>PIECE_VEHICULE</t>
        </is>
      </c>
      <c r="H965" s="7" t="n">
        <v>1</v>
      </c>
      <c r="I965" s="7">
        <f>H965*$D$3</f>
        <v/>
      </c>
      <c r="J965" s="7" t="inlineStr">
        <is>
          <t>unité</t>
        </is>
      </c>
      <c r="K965" s="7" t="n">
        <v>0</v>
      </c>
      <c r="L965" s="7">
        <f>K965-I965</f>
        <v/>
      </c>
      <c r="M965" s="7">
        <f>IF(K965&lt;I965,"✕ INSUFFISANT",IF(K965&lt;I965*1.2,"⚠ STOCK FAIBLE","✓ COUVERT"))</f>
        <v/>
      </c>
      <c r="N965" s="7" t="inlineStr">
        <is>
          <t>HEL</t>
        </is>
      </c>
      <c r="O965" s="7" t="inlineStr">
        <is>
          <t>CRITIQUE</t>
        </is>
      </c>
      <c r="P965" s="7" t="inlineStr">
        <is>
          <t>31/08/2026 02:59</t>
        </is>
      </c>
    </row>
    <row r="966">
      <c r="A966" s="8" t="inlineStr">
        <is>
          <t>WHAP 8x8</t>
        </is>
      </c>
      <c r="B966" s="8" t="inlineStr">
        <is>
          <t>WHAP-0962</t>
        </is>
      </c>
      <c r="C966" s="8" t="inlineStr">
        <is>
          <t>FRE-0962</t>
        </is>
      </c>
      <c r="D966" s="8" t="inlineStr">
        <is>
          <t>couronne ABS — essieu 4</t>
        </is>
      </c>
      <c r="E966" s="8" t="inlineStr">
        <is>
          <t>Freinage</t>
        </is>
      </c>
      <c r="F966" s="8" t="inlineStr">
        <is>
          <t>Freinage</t>
        </is>
      </c>
      <c r="G966" s="8" t="inlineStr">
        <is>
          <t>PIECE_VEHICULE</t>
        </is>
      </c>
      <c r="H966" s="8" t="n">
        <v>1</v>
      </c>
      <c r="I966" s="8">
        <f>H966*$D$3</f>
        <v/>
      </c>
      <c r="J966" s="8" t="inlineStr">
        <is>
          <t>unité</t>
        </is>
      </c>
      <c r="K966" s="8" t="n">
        <v>0</v>
      </c>
      <c r="L966" s="8">
        <f>K966-I966</f>
        <v/>
      </c>
      <c r="M966" s="8">
        <f>IF(K966&lt;I966,"✕ INSUFFISANT",IF(K966&lt;I966*1.2,"⚠ STOCK FAIBLE","✓ COUVERT"))</f>
        <v/>
      </c>
      <c r="N966" s="8" t="inlineStr">
        <is>
          <t>MAG</t>
        </is>
      </c>
      <c r="O966" s="8" t="inlineStr">
        <is>
          <t>CRITIQUE</t>
        </is>
      </c>
      <c r="P966" s="8" t="inlineStr">
        <is>
          <t>31/08/2026 02:59</t>
        </is>
      </c>
    </row>
    <row r="967">
      <c r="A967" s="7" t="inlineStr">
        <is>
          <t>WHAP 8x8</t>
        </is>
      </c>
      <c r="B967" s="7" t="inlineStr">
        <is>
          <t>WHAP-0963</t>
        </is>
      </c>
      <c r="C967" s="7" t="inlineStr">
        <is>
          <t>FRE-0963</t>
        </is>
      </c>
      <c r="D967" s="7" t="inlineStr">
        <is>
          <t>actionneur frein de parc — essieu 4</t>
        </is>
      </c>
      <c r="E967" s="7" t="inlineStr">
        <is>
          <t>Freinage</t>
        </is>
      </c>
      <c r="F967" s="7" t="inlineStr">
        <is>
          <t>Freinage</t>
        </is>
      </c>
      <c r="G967" s="7" t="inlineStr">
        <is>
          <t>PIECE_VEHICULE</t>
        </is>
      </c>
      <c r="H967" s="7" t="n">
        <v>1</v>
      </c>
      <c r="I967" s="7">
        <f>H967*$D$3</f>
        <v/>
      </c>
      <c r="J967" s="7" t="inlineStr">
        <is>
          <t>unité</t>
        </is>
      </c>
      <c r="K967" s="7" t="n">
        <v>0</v>
      </c>
      <c r="L967" s="7">
        <f>K967-I967</f>
        <v/>
      </c>
      <c r="M967" s="7">
        <f>IF(K967&lt;I967,"✕ INSUFFISANT",IF(K967&lt;I967*1.2,"⚠ STOCK FAIBLE","✓ COUVERT"))</f>
        <v/>
      </c>
      <c r="N967" s="7" t="inlineStr">
        <is>
          <t>SKF</t>
        </is>
      </c>
      <c r="O967" s="7" t="inlineStr">
        <is>
          <t>CRITIQUE</t>
        </is>
      </c>
      <c r="P967" s="7" t="inlineStr">
        <is>
          <t>31/08/2026 02:59</t>
        </is>
      </c>
    </row>
    <row r="968">
      <c r="A968" s="8" t="inlineStr">
        <is>
          <t>WHAP 8x8</t>
        </is>
      </c>
      <c r="B968" s="8" t="inlineStr">
        <is>
          <t>WHAP-0964</t>
        </is>
      </c>
      <c r="C968" s="8" t="inlineStr">
        <is>
          <t>FRE-0964</t>
        </is>
      </c>
      <c r="D968" s="8" t="inlineStr">
        <is>
          <t>câble de frein — essieu 4</t>
        </is>
      </c>
      <c r="E968" s="8" t="inlineStr">
        <is>
          <t>Freinage</t>
        </is>
      </c>
      <c r="F968" s="8" t="inlineStr">
        <is>
          <t>Freinage</t>
        </is>
      </c>
      <c r="G968" s="8" t="inlineStr">
        <is>
          <t>PIECE_VEHICULE</t>
        </is>
      </c>
      <c r="H968" s="8" t="n">
        <v>1</v>
      </c>
      <c r="I968" s="8">
        <f>H968*$D$3</f>
        <v/>
      </c>
      <c r="J968" s="8" t="inlineStr">
        <is>
          <t>unité</t>
        </is>
      </c>
      <c r="K968" s="8" t="n">
        <v>0</v>
      </c>
      <c r="L968" s="8">
        <f>K968-I968</f>
        <v/>
      </c>
      <c r="M968" s="8">
        <f>IF(K968&lt;I968,"✕ INSUFFISANT",IF(K968&lt;I968*1.2,"⚠ STOCK FAIBLE","✓ COUVERT"))</f>
        <v/>
      </c>
      <c r="N968" s="8" t="inlineStr">
        <is>
          <t>SUM</t>
        </is>
      </c>
      <c r="O968" s="8" t="inlineStr">
        <is>
          <t>CRITIQUE</t>
        </is>
      </c>
      <c r="P968" s="8" t="inlineStr">
        <is>
          <t>31/08/2026 02:59</t>
        </is>
      </c>
    </row>
    <row r="969">
      <c r="A969" s="7" t="inlineStr">
        <is>
          <t>WHAP 8x8</t>
        </is>
      </c>
      <c r="B969" s="7" t="inlineStr">
        <is>
          <t>WHAP-0965</t>
        </is>
      </c>
      <c r="C969" s="7" t="inlineStr">
        <is>
          <t>FRE-0965</t>
        </is>
      </c>
      <c r="D969" s="7" t="inlineStr">
        <is>
          <t>ressort de frein — essieu 4</t>
        </is>
      </c>
      <c r="E969" s="7" t="inlineStr">
        <is>
          <t>Freinage</t>
        </is>
      </c>
      <c r="F969" s="7" t="inlineStr">
        <is>
          <t>Freinage</t>
        </is>
      </c>
      <c r="G969" s="7" t="inlineStr">
        <is>
          <t>PIECE_VEHICULE</t>
        </is>
      </c>
      <c r="H969" s="7" t="n">
        <v>1</v>
      </c>
      <c r="I969" s="7">
        <f>H969*$D$3</f>
        <v/>
      </c>
      <c r="J969" s="7" t="inlineStr">
        <is>
          <t>unité</t>
        </is>
      </c>
      <c r="K969" s="7" t="n">
        <v>0</v>
      </c>
      <c r="L969" s="7">
        <f>K969-I969</f>
        <v/>
      </c>
      <c r="M969" s="7">
        <f>IF(K969&lt;I969,"✕ INSUFFISANT",IF(K969&lt;I969*1.2,"⚠ STOCK FAIBLE","✓ COUVERT"))</f>
        <v/>
      </c>
      <c r="N969" s="7" t="inlineStr">
        <is>
          <t>CTL</t>
        </is>
      </c>
      <c r="O969" s="7" t="inlineStr">
        <is>
          <t>CRITIQUE</t>
        </is>
      </c>
      <c r="P969" s="7" t="inlineStr">
        <is>
          <t>31/08/2026 02:59</t>
        </is>
      </c>
    </row>
    <row r="970">
      <c r="A970" s="8" t="inlineStr">
        <is>
          <t>WHAP 8x8</t>
        </is>
      </c>
      <c r="B970" s="8" t="inlineStr">
        <is>
          <t>WHAP-0966</t>
        </is>
      </c>
      <c r="C970" s="8" t="inlineStr">
        <is>
          <t>FRE-0966</t>
        </is>
      </c>
      <c r="D970" s="8" t="inlineStr">
        <is>
          <t>tambour de frein — essieu 4</t>
        </is>
      </c>
      <c r="E970" s="8" t="inlineStr">
        <is>
          <t>Freinage</t>
        </is>
      </c>
      <c r="F970" s="8" t="inlineStr">
        <is>
          <t>Freinage</t>
        </is>
      </c>
      <c r="G970" s="8" t="inlineStr">
        <is>
          <t>PIECE_VEHICULE</t>
        </is>
      </c>
      <c r="H970" s="8" t="n">
        <v>1</v>
      </c>
      <c r="I970" s="8">
        <f>H970*$D$3</f>
        <v/>
      </c>
      <c r="J970" s="8" t="inlineStr">
        <is>
          <t>unité</t>
        </is>
      </c>
      <c r="K970" s="8" t="n">
        <v>0</v>
      </c>
      <c r="L970" s="8">
        <f>K970-I970</f>
        <v/>
      </c>
      <c r="M970" s="8">
        <f>IF(K970&lt;I970,"✕ INSUFFISANT",IF(K970&lt;I970*1.2,"⚠ STOCK FAIBLE","✓ COUVERT"))</f>
        <v/>
      </c>
      <c r="N970" s="8" t="inlineStr">
        <is>
          <t>CTL</t>
        </is>
      </c>
      <c r="O970" s="8" t="inlineStr">
        <is>
          <t>CRITIQUE</t>
        </is>
      </c>
      <c r="P970" s="8" t="inlineStr">
        <is>
          <t>31/08/2026 02:59</t>
        </is>
      </c>
    </row>
    <row r="971">
      <c r="A971" s="7" t="inlineStr">
        <is>
          <t>WHAP 8x8</t>
        </is>
      </c>
      <c r="B971" s="7" t="inlineStr">
        <is>
          <t>WHAP-0967</t>
        </is>
      </c>
      <c r="C971" s="7" t="inlineStr">
        <is>
          <t>FRE-0967</t>
        </is>
      </c>
      <c r="D971" s="7" t="inlineStr">
        <is>
          <t>garniture de frein — essieu 4</t>
        </is>
      </c>
      <c r="E971" s="7" t="inlineStr">
        <is>
          <t>Freinage</t>
        </is>
      </c>
      <c r="F971" s="7" t="inlineStr">
        <is>
          <t>Freinage</t>
        </is>
      </c>
      <c r="G971" s="7" t="inlineStr">
        <is>
          <t>PIECE_VEHICULE</t>
        </is>
      </c>
      <c r="H971" s="7" t="n">
        <v>1</v>
      </c>
      <c r="I971" s="7">
        <f>H971*$D$3</f>
        <v/>
      </c>
      <c r="J971" s="7" t="inlineStr">
        <is>
          <t>unité</t>
        </is>
      </c>
      <c r="K971" s="7" t="n">
        <v>0</v>
      </c>
      <c r="L971" s="7">
        <f>K971-I971</f>
        <v/>
      </c>
      <c r="M971" s="7">
        <f>IF(K971&lt;I971,"✕ INSUFFISANT",IF(K971&lt;I971*1.2,"⚠ STOCK FAIBLE","✓ COUVERT"))</f>
        <v/>
      </c>
      <c r="N971" s="7" t="inlineStr">
        <is>
          <t>SUM</t>
        </is>
      </c>
      <c r="O971" s="7" t="inlineStr">
        <is>
          <t>CRITIQUE</t>
        </is>
      </c>
      <c r="P971" s="7" t="inlineStr">
        <is>
          <t>31/08/2026 02:59</t>
        </is>
      </c>
    </row>
    <row r="972">
      <c r="A972" s="8" t="inlineStr">
        <is>
          <t>WHAP 8x8</t>
        </is>
      </c>
      <c r="B972" s="8" t="inlineStr">
        <is>
          <t>WHAP-0968</t>
        </is>
      </c>
      <c r="C972" s="8" t="inlineStr">
        <is>
          <t>FRE-0968</t>
        </is>
      </c>
      <c r="D972" s="8" t="inlineStr">
        <is>
          <t>purgeur — essieu 4</t>
        </is>
      </c>
      <c r="E972" s="8" t="inlineStr">
        <is>
          <t>Freinage</t>
        </is>
      </c>
      <c r="F972" s="8" t="inlineStr">
        <is>
          <t>Freinage</t>
        </is>
      </c>
      <c r="G972" s="8" t="inlineStr">
        <is>
          <t>PIECE_VEHICULE</t>
        </is>
      </c>
      <c r="H972" s="8" t="n">
        <v>1</v>
      </c>
      <c r="I972" s="8">
        <f>H972*$D$3</f>
        <v/>
      </c>
      <c r="J972" s="8" t="inlineStr">
        <is>
          <t>unité</t>
        </is>
      </c>
      <c r="K972" s="8" t="n">
        <v>0</v>
      </c>
      <c r="L972" s="8">
        <f>K972-I972</f>
        <v/>
      </c>
      <c r="M972" s="8">
        <f>IF(K972&lt;I972,"✕ INSUFFISANT",IF(K972&lt;I972*1.2,"⚠ STOCK FAIBLE","✓ COUVERT"))</f>
        <v/>
      </c>
      <c r="N972" s="8" t="inlineStr">
        <is>
          <t>VAL</t>
        </is>
      </c>
      <c r="O972" s="8" t="inlineStr">
        <is>
          <t>CRITIQUE</t>
        </is>
      </c>
      <c r="P972" s="8" t="inlineStr">
        <is>
          <t>31/08/2026 02:59</t>
        </is>
      </c>
    </row>
    <row r="973">
      <c r="A973" s="7" t="inlineStr">
        <is>
          <t>WHAP 8x8</t>
        </is>
      </c>
      <c r="B973" s="7" t="inlineStr">
        <is>
          <t>WHAP-0969</t>
        </is>
      </c>
      <c r="C973" s="7" t="inlineStr">
        <is>
          <t>FRE-0969</t>
        </is>
      </c>
      <c r="D973" s="7" t="inlineStr">
        <is>
          <t>raccord pneumatique — essieu 4</t>
        </is>
      </c>
      <c r="E973" s="7" t="inlineStr">
        <is>
          <t>Freinage</t>
        </is>
      </c>
      <c r="F973" s="7" t="inlineStr">
        <is>
          <t>Freinage</t>
        </is>
      </c>
      <c r="G973" s="7" t="inlineStr">
        <is>
          <t>PIECE_VEHICULE</t>
        </is>
      </c>
      <c r="H973" s="7" t="n">
        <v>1</v>
      </c>
      <c r="I973" s="7">
        <f>H973*$D$3</f>
        <v/>
      </c>
      <c r="J973" s="7" t="inlineStr">
        <is>
          <t>unité</t>
        </is>
      </c>
      <c r="K973" s="7" t="n">
        <v>0</v>
      </c>
      <c r="L973" s="7">
        <f>K973-I973</f>
        <v/>
      </c>
      <c r="M973" s="7">
        <f>IF(K973&lt;I973,"✕ INSUFFISANT",IF(K973&lt;I973*1.2,"⚠ STOCK FAIBLE","✓ COUVERT"))</f>
        <v/>
      </c>
      <c r="N973" s="7" t="inlineStr">
        <is>
          <t>CTL</t>
        </is>
      </c>
      <c r="O973" s="7" t="inlineStr">
        <is>
          <t>CRITIQUE</t>
        </is>
      </c>
      <c r="P973" s="7" t="inlineStr">
        <is>
          <t>31/08/2026 02:59</t>
        </is>
      </c>
    </row>
    <row r="974">
      <c r="A974" s="8" t="inlineStr">
        <is>
          <t>WHAP 8x8</t>
        </is>
      </c>
      <c r="B974" s="8" t="inlineStr">
        <is>
          <t>WHAP-0970</t>
        </is>
      </c>
      <c r="C974" s="8" t="inlineStr">
        <is>
          <t>SUS-0970</t>
        </is>
      </c>
      <c r="D974" s="8" t="inlineStr">
        <is>
          <t>bras supérieur — avant gauche</t>
        </is>
      </c>
      <c r="E974" s="8" t="inlineStr">
        <is>
          <t>Suspension</t>
        </is>
      </c>
      <c r="F974" s="8" t="inlineStr">
        <is>
          <t>Suspension</t>
        </is>
      </c>
      <c r="G974" s="8" t="inlineStr">
        <is>
          <t>PIECE_VEHICULE</t>
        </is>
      </c>
      <c r="H974" s="8" t="n">
        <v>1</v>
      </c>
      <c r="I974" s="8">
        <f>H974*$D$3</f>
        <v/>
      </c>
      <c r="J974" s="8" t="inlineStr">
        <is>
          <t>unité</t>
        </is>
      </c>
      <c r="K974" s="8" t="n">
        <v>0</v>
      </c>
      <c r="L974" s="8">
        <f>K974-I974</f>
        <v/>
      </c>
      <c r="M974" s="8">
        <f>IF(K974&lt;I974,"✕ INSUFFISANT",IF(K974&lt;I974*1.2,"⚠ STOCK FAIBLE","✓ COUVERT"))</f>
        <v/>
      </c>
      <c r="N974" s="8" t="inlineStr">
        <is>
          <t>VAL</t>
        </is>
      </c>
      <c r="O974" s="8" t="inlineStr">
        <is>
          <t>IMPORTANT</t>
        </is>
      </c>
      <c r="P974" s="8" t="inlineStr">
        <is>
          <t>31/08/2026 02:59</t>
        </is>
      </c>
    </row>
    <row r="975">
      <c r="A975" s="7" t="inlineStr">
        <is>
          <t>WHAP 8x8</t>
        </is>
      </c>
      <c r="B975" s="7" t="inlineStr">
        <is>
          <t>WHAP-0971</t>
        </is>
      </c>
      <c r="C975" s="7" t="inlineStr">
        <is>
          <t>SUS-0971</t>
        </is>
      </c>
      <c r="D975" s="7" t="inlineStr">
        <is>
          <t>bras inférieur — avant gauche</t>
        </is>
      </c>
      <c r="E975" s="7" t="inlineStr">
        <is>
          <t>Suspension</t>
        </is>
      </c>
      <c r="F975" s="7" t="inlineStr">
        <is>
          <t>Suspension</t>
        </is>
      </c>
      <c r="G975" s="7" t="inlineStr">
        <is>
          <t>PIECE_VEHICULE</t>
        </is>
      </c>
      <c r="H975" s="7" t="n">
        <v>1</v>
      </c>
      <c r="I975" s="7">
        <f>H975*$D$3</f>
        <v/>
      </c>
      <c r="J975" s="7" t="inlineStr">
        <is>
          <t>unité</t>
        </is>
      </c>
      <c r="K975" s="7" t="n">
        <v>0</v>
      </c>
      <c r="L975" s="7">
        <f>K975-I975</f>
        <v/>
      </c>
      <c r="M975" s="7">
        <f>IF(K975&lt;I975,"✕ INSUFFISANT",IF(K975&lt;I975*1.2,"⚠ STOCK FAIBLE","✓ COUVERT"))</f>
        <v/>
      </c>
      <c r="N975" s="7" t="inlineStr">
        <is>
          <t>YZK</t>
        </is>
      </c>
      <c r="O975" s="7" t="inlineStr">
        <is>
          <t>IMPORTANT</t>
        </is>
      </c>
      <c r="P975" s="7" t="inlineStr">
        <is>
          <t>31/08/2026 02:59</t>
        </is>
      </c>
    </row>
    <row r="976">
      <c r="A976" s="8" t="inlineStr">
        <is>
          <t>WHAP 8x8</t>
        </is>
      </c>
      <c r="B976" s="8" t="inlineStr">
        <is>
          <t>WHAP-0972</t>
        </is>
      </c>
      <c r="C976" s="8" t="inlineStr">
        <is>
          <t>SUS-0972</t>
        </is>
      </c>
      <c r="D976" s="8" t="inlineStr">
        <is>
          <t>triangle de suspension — avant gauche</t>
        </is>
      </c>
      <c r="E976" s="8" t="inlineStr">
        <is>
          <t>Suspension</t>
        </is>
      </c>
      <c r="F976" s="8" t="inlineStr">
        <is>
          <t>Suspension</t>
        </is>
      </c>
      <c r="G976" s="8" t="inlineStr">
        <is>
          <t>PIECE_VEHICULE</t>
        </is>
      </c>
      <c r="H976" s="8" t="n">
        <v>1</v>
      </c>
      <c r="I976" s="8">
        <f>H976*$D$3</f>
        <v/>
      </c>
      <c r="J976" s="8" t="inlineStr">
        <is>
          <t>unité</t>
        </is>
      </c>
      <c r="K976" s="8" t="n">
        <v>0</v>
      </c>
      <c r="L976" s="8">
        <f>K976-I976</f>
        <v/>
      </c>
      <c r="M976" s="8">
        <f>IF(K976&lt;I976,"✕ INSUFFISANT",IF(K976&lt;I976*1.2,"⚠ STOCK FAIBLE","✓ COUVERT"))</f>
        <v/>
      </c>
      <c r="N976" s="8" t="inlineStr">
        <is>
          <t>VAL</t>
        </is>
      </c>
      <c r="O976" s="8" t="inlineStr">
        <is>
          <t>IMPORTANT</t>
        </is>
      </c>
      <c r="P976" s="8" t="inlineStr">
        <is>
          <t>31/08/2026 02:59</t>
        </is>
      </c>
    </row>
    <row r="977">
      <c r="A977" s="7" t="inlineStr">
        <is>
          <t>WHAP 8x8</t>
        </is>
      </c>
      <c r="B977" s="7" t="inlineStr">
        <is>
          <t>WHAP-0973</t>
        </is>
      </c>
      <c r="C977" s="7" t="inlineStr">
        <is>
          <t>SUS-0973</t>
        </is>
      </c>
      <c r="D977" s="7" t="inlineStr">
        <is>
          <t>porte-moyeu — avant gauche</t>
        </is>
      </c>
      <c r="E977" s="7" t="inlineStr">
        <is>
          <t>Suspension</t>
        </is>
      </c>
      <c r="F977" s="7" t="inlineStr">
        <is>
          <t>Suspension</t>
        </is>
      </c>
      <c r="G977" s="7" t="inlineStr">
        <is>
          <t>PIECE_VEHICULE</t>
        </is>
      </c>
      <c r="H977" s="7" t="n">
        <v>1</v>
      </c>
      <c r="I977" s="7">
        <f>H977*$D$3</f>
        <v/>
      </c>
      <c r="J977" s="7" t="inlineStr">
        <is>
          <t>unité</t>
        </is>
      </c>
      <c r="K977" s="7" t="n">
        <v>0</v>
      </c>
      <c r="L977" s="7">
        <f>K977-I977</f>
        <v/>
      </c>
      <c r="M977" s="7">
        <f>IF(K977&lt;I977,"✕ INSUFFISANT",IF(K977&lt;I977*1.2,"⚠ STOCK FAIBLE","✓ COUVERT"))</f>
        <v/>
      </c>
      <c r="N977" s="7" t="inlineStr">
        <is>
          <t>CTL</t>
        </is>
      </c>
      <c r="O977" s="7" t="inlineStr">
        <is>
          <t>IMPORTANT</t>
        </is>
      </c>
      <c r="P977" s="7" t="inlineStr">
        <is>
          <t>31/08/2026 02:59</t>
        </is>
      </c>
    </row>
    <row r="978">
      <c r="A978" s="8" t="inlineStr">
        <is>
          <t>WHAP 8x8</t>
        </is>
      </c>
      <c r="B978" s="8" t="inlineStr">
        <is>
          <t>WHAP-0974</t>
        </is>
      </c>
      <c r="C978" s="8" t="inlineStr">
        <is>
          <t>SUS-0974</t>
        </is>
      </c>
      <c r="D978" s="8" t="inlineStr">
        <is>
          <t>rotule supérieure — avant gauche</t>
        </is>
      </c>
      <c r="E978" s="8" t="inlineStr">
        <is>
          <t>Suspension</t>
        </is>
      </c>
      <c r="F978" s="8" t="inlineStr">
        <is>
          <t>Suspension</t>
        </is>
      </c>
      <c r="G978" s="8" t="inlineStr">
        <is>
          <t>PIECE_VEHICULE</t>
        </is>
      </c>
      <c r="H978" s="8" t="n">
        <v>1</v>
      </c>
      <c r="I978" s="8">
        <f>H978*$D$3</f>
        <v/>
      </c>
      <c r="J978" s="8" t="inlineStr">
        <is>
          <t>unité</t>
        </is>
      </c>
      <c r="K978" s="8" t="n">
        <v>0</v>
      </c>
      <c r="L978" s="8">
        <f>K978-I978</f>
        <v/>
      </c>
      <c r="M978" s="8">
        <f>IF(K978&lt;I978,"✕ INSUFFISANT",IF(K978&lt;I978*1.2,"⚠ STOCK FAIBLE","✓ COUVERT"))</f>
        <v/>
      </c>
      <c r="N978" s="8" t="inlineStr">
        <is>
          <t>SKF</t>
        </is>
      </c>
      <c r="O978" s="8" t="inlineStr">
        <is>
          <t>IMPORTANT</t>
        </is>
      </c>
      <c r="P978" s="8" t="inlineStr">
        <is>
          <t>31/08/2026 02:59</t>
        </is>
      </c>
    </row>
    <row r="979">
      <c r="A979" s="7" t="inlineStr">
        <is>
          <t>WHAP 8x8</t>
        </is>
      </c>
      <c r="B979" s="7" t="inlineStr">
        <is>
          <t>WHAP-0975</t>
        </is>
      </c>
      <c r="C979" s="7" t="inlineStr">
        <is>
          <t>SUS-0975</t>
        </is>
      </c>
      <c r="D979" s="7" t="inlineStr">
        <is>
          <t>rotule inférieure — avant gauche</t>
        </is>
      </c>
      <c r="E979" s="7" t="inlineStr">
        <is>
          <t>Suspension</t>
        </is>
      </c>
      <c r="F979" s="7" t="inlineStr">
        <is>
          <t>Suspension</t>
        </is>
      </c>
      <c r="G979" s="7" t="inlineStr">
        <is>
          <t>PIECE_VEHICULE</t>
        </is>
      </c>
      <c r="H979" s="7" t="n">
        <v>1</v>
      </c>
      <c r="I979" s="7">
        <f>H979*$D$3</f>
        <v/>
      </c>
      <c r="J979" s="7" t="inlineStr">
        <is>
          <t>unité</t>
        </is>
      </c>
      <c r="K979" s="7" t="n">
        <v>0</v>
      </c>
      <c r="L979" s="7">
        <f>K979-I979</f>
        <v/>
      </c>
      <c r="M979" s="7">
        <f>IF(K979&lt;I979,"✕ INSUFFISANT",IF(K979&lt;I979*1.2,"⚠ STOCK FAIBLE","✓ COUVERT"))</f>
        <v/>
      </c>
      <c r="N979" s="7" t="inlineStr">
        <is>
          <t>DEL</t>
        </is>
      </c>
      <c r="O979" s="7" t="inlineStr">
        <is>
          <t>IMPORTANT</t>
        </is>
      </c>
      <c r="P979" s="7" t="inlineStr">
        <is>
          <t>31/08/2026 02:59</t>
        </is>
      </c>
    </row>
    <row r="980">
      <c r="A980" s="8" t="inlineStr">
        <is>
          <t>WHAP 8x8</t>
        </is>
      </c>
      <c r="B980" s="8" t="inlineStr">
        <is>
          <t>WHAP-0976</t>
        </is>
      </c>
      <c r="C980" s="8" t="inlineStr">
        <is>
          <t>SUS-0976</t>
        </is>
      </c>
      <c r="D980" s="8" t="inlineStr">
        <is>
          <t>amortisseur — avant gauche</t>
        </is>
      </c>
      <c r="E980" s="8" t="inlineStr">
        <is>
          <t>Suspension</t>
        </is>
      </c>
      <c r="F980" s="8" t="inlineStr">
        <is>
          <t>Suspension</t>
        </is>
      </c>
      <c r="G980" s="8" t="inlineStr">
        <is>
          <t>PIECE_VEHICULE</t>
        </is>
      </c>
      <c r="H980" s="8" t="n">
        <v>1</v>
      </c>
      <c r="I980" s="8">
        <f>H980*$D$3</f>
        <v/>
      </c>
      <c r="J980" s="8" t="inlineStr">
        <is>
          <t>unité</t>
        </is>
      </c>
      <c r="K980" s="8" t="n">
        <v>0</v>
      </c>
      <c r="L980" s="8">
        <f>K980-I980</f>
        <v/>
      </c>
      <c r="M980" s="8">
        <f>IF(K980&lt;I980,"✕ INSUFFISANT",IF(K980&lt;I980*1.2,"⚠ STOCK FAIBLE","✓ COUVERT"))</f>
        <v/>
      </c>
      <c r="N980" s="8" t="inlineStr">
        <is>
          <t>YZK</t>
        </is>
      </c>
      <c r="O980" s="8" t="inlineStr">
        <is>
          <t>IMPORTANT</t>
        </is>
      </c>
      <c r="P980" s="8" t="inlineStr">
        <is>
          <t>31/08/2026 02:59</t>
        </is>
      </c>
    </row>
    <row r="981">
      <c r="A981" s="7" t="inlineStr">
        <is>
          <t>WHAP 8x8</t>
        </is>
      </c>
      <c r="B981" s="7" t="inlineStr">
        <is>
          <t>WHAP-0977</t>
        </is>
      </c>
      <c r="C981" s="7" t="inlineStr">
        <is>
          <t>SUS-0977</t>
        </is>
      </c>
      <c r="D981" s="7" t="inlineStr">
        <is>
          <t>jambe hydropneumatique — avant gauche</t>
        </is>
      </c>
      <c r="E981" s="7" t="inlineStr">
        <is>
          <t>Suspension</t>
        </is>
      </c>
      <c r="F981" s="7" t="inlineStr">
        <is>
          <t>Suspension</t>
        </is>
      </c>
      <c r="G981" s="7" t="inlineStr">
        <is>
          <t>PIECE_VEHICULE</t>
        </is>
      </c>
      <c r="H981" s="7" t="n">
        <v>1</v>
      </c>
      <c r="I981" s="7">
        <f>H981*$D$3</f>
        <v/>
      </c>
      <c r="J981" s="7" t="inlineStr">
        <is>
          <t>unité</t>
        </is>
      </c>
      <c r="K981" s="7" t="n">
        <v>0</v>
      </c>
      <c r="L981" s="7">
        <f>K981-I981</f>
        <v/>
      </c>
      <c r="M981" s="7">
        <f>IF(K981&lt;I981,"✕ INSUFFISANT",IF(K981&lt;I981*1.2,"⚠ STOCK FAIBLE","✓ COUVERT"))</f>
        <v/>
      </c>
      <c r="N981" s="7" t="inlineStr">
        <is>
          <t>DEL</t>
        </is>
      </c>
      <c r="O981" s="7" t="inlineStr">
        <is>
          <t>IMPORTANT</t>
        </is>
      </c>
      <c r="P981" s="7" t="inlineStr">
        <is>
          <t>31/08/2026 02:59</t>
        </is>
      </c>
    </row>
    <row r="982">
      <c r="A982" s="8" t="inlineStr">
        <is>
          <t>WHAP 8x8</t>
        </is>
      </c>
      <c r="B982" s="8" t="inlineStr">
        <is>
          <t>WHAP-0978</t>
        </is>
      </c>
      <c r="C982" s="8" t="inlineStr">
        <is>
          <t>SUS-0978</t>
        </is>
      </c>
      <c r="D982" s="8" t="inlineStr">
        <is>
          <t>accumulateur hydropneumatique — avant gauche</t>
        </is>
      </c>
      <c r="E982" s="8" t="inlineStr">
        <is>
          <t>Suspension</t>
        </is>
      </c>
      <c r="F982" s="8" t="inlineStr">
        <is>
          <t>Suspension</t>
        </is>
      </c>
      <c r="G982" s="8" t="inlineStr">
        <is>
          <t>PIECE_VEHICULE</t>
        </is>
      </c>
      <c r="H982" s="8" t="n">
        <v>1</v>
      </c>
      <c r="I982" s="8">
        <f>H982*$D$3</f>
        <v/>
      </c>
      <c r="J982" s="8" t="inlineStr">
        <is>
          <t>unité</t>
        </is>
      </c>
      <c r="K982" s="8" t="n">
        <v>0</v>
      </c>
      <c r="L982" s="8">
        <f>K982-I982</f>
        <v/>
      </c>
      <c r="M982" s="8">
        <f>IF(K982&lt;I982,"✕ INSUFFISANT",IF(K982&lt;I982*1.2,"⚠ STOCK FAIBLE","✓ COUVERT"))</f>
        <v/>
      </c>
      <c r="N982" s="8" t="inlineStr">
        <is>
          <t>CTL</t>
        </is>
      </c>
      <c r="O982" s="8" t="inlineStr">
        <is>
          <t>IMPORTANT</t>
        </is>
      </c>
      <c r="P982" s="8" t="inlineStr">
        <is>
          <t>31/08/2026 02:59</t>
        </is>
      </c>
    </row>
    <row r="983">
      <c r="A983" s="7" t="inlineStr">
        <is>
          <t>WHAP 8x8</t>
        </is>
      </c>
      <c r="B983" s="7" t="inlineStr">
        <is>
          <t>WHAP-0979</t>
        </is>
      </c>
      <c r="C983" s="7" t="inlineStr">
        <is>
          <t>SUS-0979</t>
        </is>
      </c>
      <c r="D983" s="7" t="inlineStr">
        <is>
          <t>cylindre de suspension — avant gauche</t>
        </is>
      </c>
      <c r="E983" s="7" t="inlineStr">
        <is>
          <t>Suspension</t>
        </is>
      </c>
      <c r="F983" s="7" t="inlineStr">
        <is>
          <t>Suspension</t>
        </is>
      </c>
      <c r="G983" s="7" t="inlineStr">
        <is>
          <t>PIECE_VEHICULE</t>
        </is>
      </c>
      <c r="H983" s="7" t="n">
        <v>1</v>
      </c>
      <c r="I983" s="7">
        <f>H983*$D$3</f>
        <v/>
      </c>
      <c r="J983" s="7" t="inlineStr">
        <is>
          <t>unité</t>
        </is>
      </c>
      <c r="K983" s="7" t="n">
        <v>0</v>
      </c>
      <c r="L983" s="7">
        <f>K983-I983</f>
        <v/>
      </c>
      <c r="M983" s="7">
        <f>IF(K983&lt;I983,"✕ INSUFFISANT",IF(K983&lt;I983*1.2,"⚠ STOCK FAIBLE","✓ COUVERT"))</f>
        <v/>
      </c>
      <c r="N983" s="7" t="inlineStr">
        <is>
          <t>SKF</t>
        </is>
      </c>
      <c r="O983" s="7" t="inlineStr">
        <is>
          <t>IMPORTANT</t>
        </is>
      </c>
      <c r="P983" s="7" t="inlineStr">
        <is>
          <t>31/08/2026 02:59</t>
        </is>
      </c>
    </row>
    <row r="984">
      <c r="A984" s="8" t="inlineStr">
        <is>
          <t>WHAP 8x8</t>
        </is>
      </c>
      <c r="B984" s="8" t="inlineStr">
        <is>
          <t>WHAP-0980</t>
        </is>
      </c>
      <c r="C984" s="8" t="inlineStr">
        <is>
          <t>SUS-0980</t>
        </is>
      </c>
      <c r="D984" s="8" t="inlineStr">
        <is>
          <t>piston de suspension — avant gauche</t>
        </is>
      </c>
      <c r="E984" s="8" t="inlineStr">
        <is>
          <t>Suspension</t>
        </is>
      </c>
      <c r="F984" s="8" t="inlineStr">
        <is>
          <t>Suspension</t>
        </is>
      </c>
      <c r="G984" s="8" t="inlineStr">
        <is>
          <t>PIECE_VEHICULE</t>
        </is>
      </c>
      <c r="H984" s="8" t="n">
        <v>1</v>
      </c>
      <c r="I984" s="8">
        <f>H984*$D$3</f>
        <v/>
      </c>
      <c r="J984" s="8" t="inlineStr">
        <is>
          <t>unité</t>
        </is>
      </c>
      <c r="K984" s="8" t="n">
        <v>0</v>
      </c>
      <c r="L984" s="8">
        <f>K984-I984</f>
        <v/>
      </c>
      <c r="M984" s="8">
        <f>IF(K984&lt;I984,"✕ INSUFFISANT",IF(K984&lt;I984*1.2,"⚠ STOCK FAIBLE","✓ COUVERT"))</f>
        <v/>
      </c>
      <c r="N984" s="8" t="inlineStr">
        <is>
          <t>DEL</t>
        </is>
      </c>
      <c r="O984" s="8" t="inlineStr">
        <is>
          <t>IMPORTANT</t>
        </is>
      </c>
      <c r="P984" s="8" t="inlineStr">
        <is>
          <t>31/08/2026 02:59</t>
        </is>
      </c>
    </row>
    <row r="985">
      <c r="A985" s="7" t="inlineStr">
        <is>
          <t>WHAP 8x8</t>
        </is>
      </c>
      <c r="B985" s="7" t="inlineStr">
        <is>
          <t>WHAP-0981</t>
        </is>
      </c>
      <c r="C985" s="7" t="inlineStr">
        <is>
          <t>SUS-0981</t>
        </is>
      </c>
      <c r="D985" s="7" t="inlineStr">
        <is>
          <t>tige de suspension — avant gauche</t>
        </is>
      </c>
      <c r="E985" s="7" t="inlineStr">
        <is>
          <t>Suspension</t>
        </is>
      </c>
      <c r="F985" s="7" t="inlineStr">
        <is>
          <t>Suspension</t>
        </is>
      </c>
      <c r="G985" s="7" t="inlineStr">
        <is>
          <t>PIECE_VEHICULE</t>
        </is>
      </c>
      <c r="H985" s="7" t="n">
        <v>1</v>
      </c>
      <c r="I985" s="7">
        <f>H985*$D$3</f>
        <v/>
      </c>
      <c r="J985" s="7" t="inlineStr">
        <is>
          <t>unité</t>
        </is>
      </c>
      <c r="K985" s="7" t="n">
        <v>0</v>
      </c>
      <c r="L985" s="7">
        <f>K985-I985</f>
        <v/>
      </c>
      <c r="M985" s="7">
        <f>IF(K985&lt;I985,"✕ INSUFFISANT",IF(K985&lt;I985*1.2,"⚠ STOCK FAIBLE","✓ COUVERT"))</f>
        <v/>
      </c>
      <c r="N985" s="7" t="inlineStr">
        <is>
          <t>SKF</t>
        </is>
      </c>
      <c r="O985" s="7" t="inlineStr">
        <is>
          <t>IMPORTANT</t>
        </is>
      </c>
      <c r="P985" s="7" t="inlineStr">
        <is>
          <t>31/08/2026 02:59</t>
        </is>
      </c>
    </row>
    <row r="986">
      <c r="A986" s="8" t="inlineStr">
        <is>
          <t>WHAP 8x8</t>
        </is>
      </c>
      <c r="B986" s="8" t="inlineStr">
        <is>
          <t>WHAP-0982</t>
        </is>
      </c>
      <c r="C986" s="8" t="inlineStr">
        <is>
          <t>SUS-0982</t>
        </is>
      </c>
      <c r="D986" s="8" t="inlineStr">
        <is>
          <t>joint de tige — avant gauche</t>
        </is>
      </c>
      <c r="E986" s="8" t="inlineStr">
        <is>
          <t>Suspension</t>
        </is>
      </c>
      <c r="F986" s="8" t="inlineStr">
        <is>
          <t>Suspension</t>
        </is>
      </c>
      <c r="G986" s="8" t="inlineStr">
        <is>
          <t>PIECE_VEHICULE</t>
        </is>
      </c>
      <c r="H986" s="8" t="n">
        <v>1</v>
      </c>
      <c r="I986" s="8">
        <f>H986*$D$3</f>
        <v/>
      </c>
      <c r="J986" s="8" t="inlineStr">
        <is>
          <t>unité</t>
        </is>
      </c>
      <c r="K986" s="8" t="n">
        <v>0</v>
      </c>
      <c r="L986" s="8">
        <f>K986-I986</f>
        <v/>
      </c>
      <c r="M986" s="8">
        <f>IF(K986&lt;I986,"✕ INSUFFISANT",IF(K986&lt;I986*1.2,"⚠ STOCK FAIBLE","✓ COUVERT"))</f>
        <v/>
      </c>
      <c r="N986" s="8" t="inlineStr">
        <is>
          <t>SUM</t>
        </is>
      </c>
      <c r="O986" s="8" t="inlineStr">
        <is>
          <t>IMPORTANT</t>
        </is>
      </c>
      <c r="P986" s="8" t="inlineStr">
        <is>
          <t>31/08/2026 02:59</t>
        </is>
      </c>
    </row>
    <row r="987">
      <c r="A987" s="7" t="inlineStr">
        <is>
          <t>WHAP 8x8</t>
        </is>
      </c>
      <c r="B987" s="7" t="inlineStr">
        <is>
          <t>WHAP-0983</t>
        </is>
      </c>
      <c r="C987" s="7" t="inlineStr">
        <is>
          <t>SUS-0983</t>
        </is>
      </c>
      <c r="D987" s="7" t="inlineStr">
        <is>
          <t>bague de guidage — avant gauche</t>
        </is>
      </c>
      <c r="E987" s="7" t="inlineStr">
        <is>
          <t>Suspension</t>
        </is>
      </c>
      <c r="F987" s="7" t="inlineStr">
        <is>
          <t>Suspension</t>
        </is>
      </c>
      <c r="G987" s="7" t="inlineStr">
        <is>
          <t>PIECE_VEHICULE</t>
        </is>
      </c>
      <c r="H987" s="7" t="n">
        <v>1</v>
      </c>
      <c r="I987" s="7">
        <f>H987*$D$3</f>
        <v/>
      </c>
      <c r="J987" s="7" t="inlineStr">
        <is>
          <t>unité</t>
        </is>
      </c>
      <c r="K987" s="7" t="n">
        <v>0</v>
      </c>
      <c r="L987" s="7">
        <f>K987-I987</f>
        <v/>
      </c>
      <c r="M987" s="7">
        <f>IF(K987&lt;I987,"✕ INSUFFISANT",IF(K987&lt;I987*1.2,"⚠ STOCK FAIBLE","✓ COUVERT"))</f>
        <v/>
      </c>
      <c r="N987" s="7" t="inlineStr">
        <is>
          <t>BOS</t>
        </is>
      </c>
      <c r="O987" s="7" t="inlineStr">
        <is>
          <t>IMPORTANT</t>
        </is>
      </c>
      <c r="P987" s="7" t="inlineStr">
        <is>
          <t>31/08/2026 02:59</t>
        </is>
      </c>
    </row>
    <row r="988">
      <c r="A988" s="8" t="inlineStr">
        <is>
          <t>WHAP 8x8</t>
        </is>
      </c>
      <c r="B988" s="8" t="inlineStr">
        <is>
          <t>WHAP-0984</t>
        </is>
      </c>
      <c r="C988" s="8" t="inlineStr">
        <is>
          <t>SUS-0984</t>
        </is>
      </c>
      <c r="D988" s="8" t="inlineStr">
        <is>
          <t>ressort auxiliaire — avant gauche</t>
        </is>
      </c>
      <c r="E988" s="8" t="inlineStr">
        <is>
          <t>Suspension</t>
        </is>
      </c>
      <c r="F988" s="8" t="inlineStr">
        <is>
          <t>Suspension</t>
        </is>
      </c>
      <c r="G988" s="8" t="inlineStr">
        <is>
          <t>PIECE_VEHICULE</t>
        </is>
      </c>
      <c r="H988" s="8" t="n">
        <v>1</v>
      </c>
      <c r="I988" s="8">
        <f>H988*$D$3</f>
        <v/>
      </c>
      <c r="J988" s="8" t="inlineStr">
        <is>
          <t>unité</t>
        </is>
      </c>
      <c r="K988" s="8" t="n">
        <v>0</v>
      </c>
      <c r="L988" s="8">
        <f>K988-I988</f>
        <v/>
      </c>
      <c r="M988" s="8">
        <f>IF(K988&lt;I988,"✕ INSUFFISANT",IF(K988&lt;I988*1.2,"⚠ STOCK FAIBLE","✓ COUVERT"))</f>
        <v/>
      </c>
      <c r="N988" s="8" t="inlineStr">
        <is>
          <t>DEL</t>
        </is>
      </c>
      <c r="O988" s="8" t="inlineStr">
        <is>
          <t>IMPORTANT</t>
        </is>
      </c>
      <c r="P988" s="8" t="inlineStr">
        <is>
          <t>31/08/2026 02:59</t>
        </is>
      </c>
    </row>
    <row r="989">
      <c r="A989" s="7" t="inlineStr">
        <is>
          <t>WHAP 8x8</t>
        </is>
      </c>
      <c r="B989" s="7" t="inlineStr">
        <is>
          <t>WHAP-0985</t>
        </is>
      </c>
      <c r="C989" s="7" t="inlineStr">
        <is>
          <t>SUS-0985</t>
        </is>
      </c>
      <c r="D989" s="7" t="inlineStr">
        <is>
          <t>butée de suspension — avant gauche</t>
        </is>
      </c>
      <c r="E989" s="7" t="inlineStr">
        <is>
          <t>Suspension</t>
        </is>
      </c>
      <c r="F989" s="7" t="inlineStr">
        <is>
          <t>Suspension</t>
        </is>
      </c>
      <c r="G989" s="7" t="inlineStr">
        <is>
          <t>PIECE_VEHICULE</t>
        </is>
      </c>
      <c r="H989" s="7" t="n">
        <v>1</v>
      </c>
      <c r="I989" s="7">
        <f>H989*$D$3</f>
        <v/>
      </c>
      <c r="J989" s="7" t="inlineStr">
        <is>
          <t>unité</t>
        </is>
      </c>
      <c r="K989" s="7" t="n">
        <v>0</v>
      </c>
      <c r="L989" s="7">
        <f>K989-I989</f>
        <v/>
      </c>
      <c r="M989" s="7">
        <f>IF(K989&lt;I989,"✕ INSUFFISANT",IF(K989&lt;I989*1.2,"⚠ STOCK FAIBLE","✓ COUVERT"))</f>
        <v/>
      </c>
      <c r="N989" s="7" t="inlineStr">
        <is>
          <t>SKF</t>
        </is>
      </c>
      <c r="O989" s="7" t="inlineStr">
        <is>
          <t>IMPORTANT</t>
        </is>
      </c>
      <c r="P989" s="7" t="inlineStr">
        <is>
          <t>31/08/2026 02:59</t>
        </is>
      </c>
    </row>
    <row r="990">
      <c r="A990" s="8" t="inlineStr">
        <is>
          <t>WHAP 8x8</t>
        </is>
      </c>
      <c r="B990" s="8" t="inlineStr">
        <is>
          <t>WHAP-0986</t>
        </is>
      </c>
      <c r="C990" s="8" t="inlineStr">
        <is>
          <t>SUS-0986</t>
        </is>
      </c>
      <c r="D990" s="8" t="inlineStr">
        <is>
          <t>silentbloc de bras — avant gauche</t>
        </is>
      </c>
      <c r="E990" s="8" t="inlineStr">
        <is>
          <t>Suspension</t>
        </is>
      </c>
      <c r="F990" s="8" t="inlineStr">
        <is>
          <t>Suspension</t>
        </is>
      </c>
      <c r="G990" s="8" t="inlineStr">
        <is>
          <t>PIECE_VEHICULE</t>
        </is>
      </c>
      <c r="H990" s="8" t="n">
        <v>1</v>
      </c>
      <c r="I990" s="8">
        <f>H990*$D$3</f>
        <v/>
      </c>
      <c r="J990" s="8" t="inlineStr">
        <is>
          <t>unité</t>
        </is>
      </c>
      <c r="K990" s="8" t="n">
        <v>0</v>
      </c>
      <c r="L990" s="8">
        <f>K990-I990</f>
        <v/>
      </c>
      <c r="M990" s="8">
        <f>IF(K990&lt;I990,"✕ INSUFFISANT",IF(K990&lt;I990*1.2,"⚠ STOCK FAIBLE","✓ COUVERT"))</f>
        <v/>
      </c>
      <c r="N990" s="8" t="inlineStr">
        <is>
          <t>CTL</t>
        </is>
      </c>
      <c r="O990" s="8" t="inlineStr">
        <is>
          <t>IMPORTANT</t>
        </is>
      </c>
      <c r="P990" s="8" t="inlineStr">
        <is>
          <t>31/08/2026 02:59</t>
        </is>
      </c>
    </row>
    <row r="991">
      <c r="A991" s="7" t="inlineStr">
        <is>
          <t>WHAP 8x8</t>
        </is>
      </c>
      <c r="B991" s="7" t="inlineStr">
        <is>
          <t>WHAP-0987</t>
        </is>
      </c>
      <c r="C991" s="7" t="inlineStr">
        <is>
          <t>SUS-0987</t>
        </is>
      </c>
      <c r="D991" s="7" t="inlineStr">
        <is>
          <t>support de suspension — avant gauche</t>
        </is>
      </c>
      <c r="E991" s="7" t="inlineStr">
        <is>
          <t>Suspension</t>
        </is>
      </c>
      <c r="F991" s="7" t="inlineStr">
        <is>
          <t>Suspension</t>
        </is>
      </c>
      <c r="G991" s="7" t="inlineStr">
        <is>
          <t>PIECE_VEHICULE</t>
        </is>
      </c>
      <c r="H991" s="7" t="n">
        <v>1</v>
      </c>
      <c r="I991" s="7">
        <f>H991*$D$3</f>
        <v/>
      </c>
      <c r="J991" s="7" t="inlineStr">
        <is>
          <t>unité</t>
        </is>
      </c>
      <c r="K991" s="7" t="n">
        <v>0</v>
      </c>
      <c r="L991" s="7">
        <f>K991-I991</f>
        <v/>
      </c>
      <c r="M991" s="7">
        <f>IF(K991&lt;I991,"✕ INSUFFISANT",IF(K991&lt;I991*1.2,"⚠ STOCK FAIBLE","✓ COUVERT"))</f>
        <v/>
      </c>
      <c r="N991" s="7" t="inlineStr">
        <is>
          <t>VAL</t>
        </is>
      </c>
      <c r="O991" s="7" t="inlineStr">
        <is>
          <t>IMPORTANT</t>
        </is>
      </c>
      <c r="P991" s="7" t="inlineStr">
        <is>
          <t>31/08/2026 02:59</t>
        </is>
      </c>
    </row>
    <row r="992">
      <c r="A992" s="8" t="inlineStr">
        <is>
          <t>WHAP 8x8</t>
        </is>
      </c>
      <c r="B992" s="8" t="inlineStr">
        <is>
          <t>WHAP-0988</t>
        </is>
      </c>
      <c r="C992" s="8" t="inlineStr">
        <is>
          <t>SUS-0988</t>
        </is>
      </c>
      <c r="D992" s="8" t="inlineStr">
        <is>
          <t>capteur de hauteur — avant gauche</t>
        </is>
      </c>
      <c r="E992" s="8" t="inlineStr">
        <is>
          <t>Suspension</t>
        </is>
      </c>
      <c r="F992" s="8" t="inlineStr">
        <is>
          <t>Suspension</t>
        </is>
      </c>
      <c r="G992" s="8" t="inlineStr">
        <is>
          <t>PIECE_VEHICULE</t>
        </is>
      </c>
      <c r="H992" s="8" t="n">
        <v>1</v>
      </c>
      <c r="I992" s="8">
        <f>H992*$D$3</f>
        <v/>
      </c>
      <c r="J992" s="8" t="inlineStr">
        <is>
          <t>unité</t>
        </is>
      </c>
      <c r="K992" s="8" t="n">
        <v>0</v>
      </c>
      <c r="L992" s="8">
        <f>K992-I992</f>
        <v/>
      </c>
      <c r="M992" s="8">
        <f>IF(K992&lt;I992,"✕ INSUFFISANT",IF(K992&lt;I992*1.2,"⚠ STOCK FAIBLE","✓ COUVERT"))</f>
        <v/>
      </c>
      <c r="N992" s="8" t="inlineStr">
        <is>
          <t>YZK</t>
        </is>
      </c>
      <c r="O992" s="8" t="inlineStr">
        <is>
          <t>IMPORTANT</t>
        </is>
      </c>
      <c r="P992" s="8" t="inlineStr">
        <is>
          <t>31/08/2026 02:59</t>
        </is>
      </c>
    </row>
    <row r="993">
      <c r="A993" s="7" t="inlineStr">
        <is>
          <t>WHAP 8x8</t>
        </is>
      </c>
      <c r="B993" s="7" t="inlineStr">
        <is>
          <t>WHAP-0989</t>
        </is>
      </c>
      <c r="C993" s="7" t="inlineStr">
        <is>
          <t>SUS-0989</t>
        </is>
      </c>
      <c r="D993" s="7" t="inlineStr">
        <is>
          <t>valve de suspension — avant gauche</t>
        </is>
      </c>
      <c r="E993" s="7" t="inlineStr">
        <is>
          <t>Suspension</t>
        </is>
      </c>
      <c r="F993" s="7" t="inlineStr">
        <is>
          <t>Suspension</t>
        </is>
      </c>
      <c r="G993" s="7" t="inlineStr">
        <is>
          <t>PIECE_VEHICULE</t>
        </is>
      </c>
      <c r="H993" s="7" t="n">
        <v>1</v>
      </c>
      <c r="I993" s="7">
        <f>H993*$D$3</f>
        <v/>
      </c>
      <c r="J993" s="7" t="inlineStr">
        <is>
          <t>unité</t>
        </is>
      </c>
      <c r="K993" s="7" t="n">
        <v>0</v>
      </c>
      <c r="L993" s="7">
        <f>K993-I993</f>
        <v/>
      </c>
      <c r="M993" s="7">
        <f>IF(K993&lt;I993,"✕ INSUFFISANT",IF(K993&lt;I993*1.2,"⚠ STOCK FAIBLE","✓ COUVERT"))</f>
        <v/>
      </c>
      <c r="N993" s="7" t="inlineStr">
        <is>
          <t>DEL</t>
        </is>
      </c>
      <c r="O993" s="7" t="inlineStr">
        <is>
          <t>IMPORTANT</t>
        </is>
      </c>
      <c r="P993" s="7" t="inlineStr">
        <is>
          <t>31/08/2026 02:59</t>
        </is>
      </c>
    </row>
    <row r="994">
      <c r="A994" s="8" t="inlineStr">
        <is>
          <t>WHAP 8x8</t>
        </is>
      </c>
      <c r="B994" s="8" t="inlineStr">
        <is>
          <t>WHAP-0990</t>
        </is>
      </c>
      <c r="C994" s="8" t="inlineStr">
        <is>
          <t>SUS-0990</t>
        </is>
      </c>
      <c r="D994" s="8" t="inlineStr">
        <is>
          <t>conduite hydraulique — avant gauche</t>
        </is>
      </c>
      <c r="E994" s="8" t="inlineStr">
        <is>
          <t>Suspension</t>
        </is>
      </c>
      <c r="F994" s="8" t="inlineStr">
        <is>
          <t>Suspension</t>
        </is>
      </c>
      <c r="G994" s="8" t="inlineStr">
        <is>
          <t>PIECE_VEHICULE</t>
        </is>
      </c>
      <c r="H994" s="8" t="n">
        <v>1</v>
      </c>
      <c r="I994" s="8">
        <f>H994*$D$3</f>
        <v/>
      </c>
      <c r="J994" s="8" t="inlineStr">
        <is>
          <t>unité</t>
        </is>
      </c>
      <c r="K994" s="8" t="n">
        <v>0</v>
      </c>
      <c r="L994" s="8">
        <f>K994-I994</f>
        <v/>
      </c>
      <c r="M994" s="8">
        <f>IF(K994&lt;I994,"✕ INSUFFISANT",IF(K994&lt;I994*1.2,"⚠ STOCK FAIBLE","✓ COUVERT"))</f>
        <v/>
      </c>
      <c r="N994" s="8" t="inlineStr">
        <is>
          <t>FAU</t>
        </is>
      </c>
      <c r="O994" s="8" t="inlineStr">
        <is>
          <t>IMPORTANT</t>
        </is>
      </c>
      <c r="P994" s="8" t="inlineStr">
        <is>
          <t>31/08/2026 02:59</t>
        </is>
      </c>
    </row>
    <row r="995">
      <c r="A995" s="7" t="inlineStr">
        <is>
          <t>WHAP 8x8</t>
        </is>
      </c>
      <c r="B995" s="7" t="inlineStr">
        <is>
          <t>WHAP-0991</t>
        </is>
      </c>
      <c r="C995" s="7" t="inlineStr">
        <is>
          <t>SUS-0991</t>
        </is>
      </c>
      <c r="D995" s="7" t="inlineStr">
        <is>
          <t>raccord hydraulique — avant gauche</t>
        </is>
      </c>
      <c r="E995" s="7" t="inlineStr">
        <is>
          <t>Suspension</t>
        </is>
      </c>
      <c r="F995" s="7" t="inlineStr">
        <is>
          <t>Suspension</t>
        </is>
      </c>
      <c r="G995" s="7" t="inlineStr">
        <is>
          <t>PIECE_VEHICULE</t>
        </is>
      </c>
      <c r="H995" s="7" t="n">
        <v>1</v>
      </c>
      <c r="I995" s="7">
        <f>H995*$D$3</f>
        <v/>
      </c>
      <c r="J995" s="7" t="inlineStr">
        <is>
          <t>unité</t>
        </is>
      </c>
      <c r="K995" s="7" t="n">
        <v>0</v>
      </c>
      <c r="L995" s="7">
        <f>K995-I995</f>
        <v/>
      </c>
      <c r="M995" s="7">
        <f>IF(K995&lt;I995,"✕ INSUFFISANT",IF(K995&lt;I995*1.2,"⚠ STOCK FAIBLE","✓ COUVERT"))</f>
        <v/>
      </c>
      <c r="N995" s="7" t="inlineStr">
        <is>
          <t>YZK</t>
        </is>
      </c>
      <c r="O995" s="7" t="inlineStr">
        <is>
          <t>IMPORTANT</t>
        </is>
      </c>
      <c r="P995" s="7" t="inlineStr">
        <is>
          <t>31/08/2026 02:59</t>
        </is>
      </c>
    </row>
    <row r="996">
      <c r="A996" s="8" t="inlineStr">
        <is>
          <t>WHAP 8x8</t>
        </is>
      </c>
      <c r="B996" s="8" t="inlineStr">
        <is>
          <t>WHAP-0992</t>
        </is>
      </c>
      <c r="C996" s="8" t="inlineStr">
        <is>
          <t>SUS-0992</t>
        </is>
      </c>
      <c r="D996" s="8" t="inlineStr">
        <is>
          <t>pompe hydraulique — avant gauche</t>
        </is>
      </c>
      <c r="E996" s="8" t="inlineStr">
        <is>
          <t>Suspension</t>
        </is>
      </c>
      <c r="F996" s="8" t="inlineStr">
        <is>
          <t>Suspension</t>
        </is>
      </c>
      <c r="G996" s="8" t="inlineStr">
        <is>
          <t>PIECE_VEHICULE</t>
        </is>
      </c>
      <c r="H996" s="8" t="n">
        <v>1</v>
      </c>
      <c r="I996" s="8">
        <f>H996*$D$3</f>
        <v/>
      </c>
      <c r="J996" s="8" t="inlineStr">
        <is>
          <t>unité</t>
        </is>
      </c>
      <c r="K996" s="8" t="n">
        <v>0</v>
      </c>
      <c r="L996" s="8">
        <f>K996-I996</f>
        <v/>
      </c>
      <c r="M996" s="8">
        <f>IF(K996&lt;I996,"✕ INSUFFISANT",IF(K996&lt;I996*1.2,"⚠ STOCK FAIBLE","✓ COUVERT"))</f>
        <v/>
      </c>
      <c r="N996" s="8" t="inlineStr">
        <is>
          <t>SKF</t>
        </is>
      </c>
      <c r="O996" s="8" t="inlineStr">
        <is>
          <t>IMPORTANT</t>
        </is>
      </c>
      <c r="P996" s="8" t="inlineStr">
        <is>
          <t>31/08/2026 02:59</t>
        </is>
      </c>
    </row>
    <row r="997">
      <c r="A997" s="7" t="inlineStr">
        <is>
          <t>WHAP 8x8</t>
        </is>
      </c>
      <c r="B997" s="7" t="inlineStr">
        <is>
          <t>WHAP-0993</t>
        </is>
      </c>
      <c r="C997" s="7" t="inlineStr">
        <is>
          <t>SUS-0993</t>
        </is>
      </c>
      <c r="D997" s="7" t="inlineStr">
        <is>
          <t>réservoir hydraulique — avant gauche</t>
        </is>
      </c>
      <c r="E997" s="7" t="inlineStr">
        <is>
          <t>Suspension</t>
        </is>
      </c>
      <c r="F997" s="7" t="inlineStr">
        <is>
          <t>Suspension</t>
        </is>
      </c>
      <c r="G997" s="7" t="inlineStr">
        <is>
          <t>PIECE_VEHICULE</t>
        </is>
      </c>
      <c r="H997" s="7" t="n">
        <v>1</v>
      </c>
      <c r="I997" s="7">
        <f>H997*$D$3</f>
        <v/>
      </c>
      <c r="J997" s="7" t="inlineStr">
        <is>
          <t>unité</t>
        </is>
      </c>
      <c r="K997" s="7" t="n">
        <v>0</v>
      </c>
      <c r="L997" s="7">
        <f>K997-I997</f>
        <v/>
      </c>
      <c r="M997" s="7">
        <f>IF(K997&lt;I997,"✕ INSUFFISANT",IF(K997&lt;I997*1.2,"⚠ STOCK FAIBLE","✓ COUVERT"))</f>
        <v/>
      </c>
      <c r="N997" s="7" t="inlineStr">
        <is>
          <t>DEL</t>
        </is>
      </c>
      <c r="O997" s="7" t="inlineStr">
        <is>
          <t>IMPORTANT</t>
        </is>
      </c>
      <c r="P997" s="7" t="inlineStr">
        <is>
          <t>31/08/2026 02:59</t>
        </is>
      </c>
    </row>
    <row r="998">
      <c r="A998" s="8" t="inlineStr">
        <is>
          <t>WHAP 8x8</t>
        </is>
      </c>
      <c r="B998" s="8" t="inlineStr">
        <is>
          <t>WHAP-0994</t>
        </is>
      </c>
      <c r="C998" s="8" t="inlineStr">
        <is>
          <t>SUS-0994</t>
        </is>
      </c>
      <c r="D998" s="8" t="inlineStr">
        <is>
          <t>filtre hydraulique — avant gauche</t>
        </is>
      </c>
      <c r="E998" s="8" t="inlineStr">
        <is>
          <t>Suspension</t>
        </is>
      </c>
      <c r="F998" s="8" t="inlineStr">
        <is>
          <t>Suspension</t>
        </is>
      </c>
      <c r="G998" s="8" t="inlineStr">
        <is>
          <t>PIECE_VEHICULE</t>
        </is>
      </c>
      <c r="H998" s="8" t="n">
        <v>1</v>
      </c>
      <c r="I998" s="8">
        <f>H998*$D$3</f>
        <v/>
      </c>
      <c r="J998" s="8" t="inlineStr">
        <is>
          <t>unité</t>
        </is>
      </c>
      <c r="K998" s="8" t="n">
        <v>0</v>
      </c>
      <c r="L998" s="8">
        <f>K998-I998</f>
        <v/>
      </c>
      <c r="M998" s="8">
        <f>IF(K998&lt;I998,"✕ INSUFFISANT",IF(K998&lt;I998*1.2,"⚠ STOCK FAIBLE","✓ COUVERT"))</f>
        <v/>
      </c>
      <c r="N998" s="8" t="inlineStr">
        <is>
          <t>FAU</t>
        </is>
      </c>
      <c r="O998" s="8" t="inlineStr">
        <is>
          <t>IMPORTANT</t>
        </is>
      </c>
      <c r="P998" s="8" t="inlineStr">
        <is>
          <t>31/08/2026 02:59</t>
        </is>
      </c>
    </row>
    <row r="999">
      <c r="A999" s="7" t="inlineStr">
        <is>
          <t>WHAP 8x8</t>
        </is>
      </c>
      <c r="B999" s="7" t="inlineStr">
        <is>
          <t>WHAP-0995</t>
        </is>
      </c>
      <c r="C999" s="7" t="inlineStr">
        <is>
          <t>SUS-0995</t>
        </is>
      </c>
      <c r="D999" s="7" t="inlineStr">
        <is>
          <t>bras supérieur — avant droit</t>
        </is>
      </c>
      <c r="E999" s="7" t="inlineStr">
        <is>
          <t>Suspension</t>
        </is>
      </c>
      <c r="F999" s="7" t="inlineStr">
        <is>
          <t>Suspension</t>
        </is>
      </c>
      <c r="G999" s="7" t="inlineStr">
        <is>
          <t>PIECE_VEHICULE</t>
        </is>
      </c>
      <c r="H999" s="7" t="n">
        <v>1</v>
      </c>
      <c r="I999" s="7">
        <f>H999*$D$3</f>
        <v/>
      </c>
      <c r="J999" s="7" t="inlineStr">
        <is>
          <t>unité</t>
        </is>
      </c>
      <c r="K999" s="7" t="n">
        <v>0</v>
      </c>
      <c r="L999" s="7">
        <f>K999-I999</f>
        <v/>
      </c>
      <c r="M999" s="7">
        <f>IF(K999&lt;I999,"✕ INSUFFISANT",IF(K999&lt;I999*1.2,"⚠ STOCK FAIBLE","✓ COUVERT"))</f>
        <v/>
      </c>
      <c r="N999" s="7" t="inlineStr">
        <is>
          <t>SKF</t>
        </is>
      </c>
      <c r="O999" s="7" t="inlineStr">
        <is>
          <t>IMPORTANT</t>
        </is>
      </c>
      <c r="P999" s="7" t="inlineStr">
        <is>
          <t>31/08/2026 02:59</t>
        </is>
      </c>
    </row>
    <row r="1000">
      <c r="A1000" s="8" t="inlineStr">
        <is>
          <t>WHAP 8x8</t>
        </is>
      </c>
      <c r="B1000" s="8" t="inlineStr">
        <is>
          <t>WHAP-0996</t>
        </is>
      </c>
      <c r="C1000" s="8" t="inlineStr">
        <is>
          <t>SUS-0996</t>
        </is>
      </c>
      <c r="D1000" s="8" t="inlineStr">
        <is>
          <t>bras inférieur — avant droit</t>
        </is>
      </c>
      <c r="E1000" s="8" t="inlineStr">
        <is>
          <t>Suspension</t>
        </is>
      </c>
      <c r="F1000" s="8" t="inlineStr">
        <is>
          <t>Suspension</t>
        </is>
      </c>
      <c r="G1000" s="8" t="inlineStr">
        <is>
          <t>PIECE_VEHICULE</t>
        </is>
      </c>
      <c r="H1000" s="8" t="n">
        <v>1</v>
      </c>
      <c r="I1000" s="8">
        <f>H1000*$D$3</f>
        <v/>
      </c>
      <c r="J1000" s="8" t="inlineStr">
        <is>
          <t>unité</t>
        </is>
      </c>
      <c r="K1000" s="8" t="n">
        <v>0</v>
      </c>
      <c r="L1000" s="8">
        <f>K1000-I1000</f>
        <v/>
      </c>
      <c r="M1000" s="8">
        <f>IF(K1000&lt;I1000,"✕ INSUFFISANT",IF(K1000&lt;I1000*1.2,"⚠ STOCK FAIBLE","✓ COUVERT"))</f>
        <v/>
      </c>
      <c r="N1000" s="8" t="inlineStr">
        <is>
          <t>SUM</t>
        </is>
      </c>
      <c r="O1000" s="8" t="inlineStr">
        <is>
          <t>IMPORTANT</t>
        </is>
      </c>
      <c r="P1000" s="8" t="inlineStr">
        <is>
          <t>31/08/2026 02:59</t>
        </is>
      </c>
    </row>
    <row r="1001">
      <c r="A1001" s="7" t="inlineStr">
        <is>
          <t>WHAP 8x8</t>
        </is>
      </c>
      <c r="B1001" s="7" t="inlineStr">
        <is>
          <t>WHAP-0997</t>
        </is>
      </c>
      <c r="C1001" s="7" t="inlineStr">
        <is>
          <t>SUS-0997</t>
        </is>
      </c>
      <c r="D1001" s="7" t="inlineStr">
        <is>
          <t>triangle de suspension — avant droit</t>
        </is>
      </c>
      <c r="E1001" s="7" t="inlineStr">
        <is>
          <t>Suspension</t>
        </is>
      </c>
      <c r="F1001" s="7" t="inlineStr">
        <is>
          <t>Suspension</t>
        </is>
      </c>
      <c r="G1001" s="7" t="inlineStr">
        <is>
          <t>PIECE_VEHICULE</t>
        </is>
      </c>
      <c r="H1001" s="7" t="n">
        <v>1</v>
      </c>
      <c r="I1001" s="7">
        <f>H1001*$D$3</f>
        <v/>
      </c>
      <c r="J1001" s="7" t="inlineStr">
        <is>
          <t>unité</t>
        </is>
      </c>
      <c r="K1001" s="7" t="n">
        <v>0</v>
      </c>
      <c r="L1001" s="7">
        <f>K1001-I1001</f>
        <v/>
      </c>
      <c r="M1001" s="7">
        <f>IF(K1001&lt;I1001,"✕ INSUFFISANT",IF(K1001&lt;I1001*1.2,"⚠ STOCK FAIBLE","✓ COUVERT"))</f>
        <v/>
      </c>
      <c r="N1001" s="7" t="inlineStr">
        <is>
          <t>SKF</t>
        </is>
      </c>
      <c r="O1001" s="7" t="inlineStr">
        <is>
          <t>IMPORTANT</t>
        </is>
      </c>
      <c r="P1001" s="7" t="inlineStr">
        <is>
          <t>31/08/2026 02:59</t>
        </is>
      </c>
    </row>
    <row r="1002">
      <c r="A1002" s="8" t="inlineStr">
        <is>
          <t>WHAP 8x8</t>
        </is>
      </c>
      <c r="B1002" s="8" t="inlineStr">
        <is>
          <t>WHAP-0998</t>
        </is>
      </c>
      <c r="C1002" s="8" t="inlineStr">
        <is>
          <t>SUS-0998</t>
        </is>
      </c>
      <c r="D1002" s="8" t="inlineStr">
        <is>
          <t>porte-moyeu — avant droit</t>
        </is>
      </c>
      <c r="E1002" s="8" t="inlineStr">
        <is>
          <t>Suspension</t>
        </is>
      </c>
      <c r="F1002" s="8" t="inlineStr">
        <is>
          <t>Suspension</t>
        </is>
      </c>
      <c r="G1002" s="8" t="inlineStr">
        <is>
          <t>PIECE_VEHICULE</t>
        </is>
      </c>
      <c r="H1002" s="8" t="n">
        <v>1</v>
      </c>
      <c r="I1002" s="8">
        <f>H1002*$D$3</f>
        <v/>
      </c>
      <c r="J1002" s="8" t="inlineStr">
        <is>
          <t>unité</t>
        </is>
      </c>
      <c r="K1002" s="8" t="n">
        <v>0</v>
      </c>
      <c r="L1002" s="8">
        <f>K1002-I1002</f>
        <v/>
      </c>
      <c r="M1002" s="8">
        <f>IF(K1002&lt;I1002,"✕ INSUFFISANT",IF(K1002&lt;I1002*1.2,"⚠ STOCK FAIBLE","✓ COUVERT"))</f>
        <v/>
      </c>
      <c r="N1002" s="8" t="inlineStr">
        <is>
          <t>CTL</t>
        </is>
      </c>
      <c r="O1002" s="8" t="inlineStr">
        <is>
          <t>IMPORTANT</t>
        </is>
      </c>
      <c r="P1002" s="8" t="inlineStr">
        <is>
          <t>31/08/2026 02:59</t>
        </is>
      </c>
    </row>
    <row r="1003">
      <c r="A1003" s="7" t="inlineStr">
        <is>
          <t>WHAP 8x8</t>
        </is>
      </c>
      <c r="B1003" s="7" t="inlineStr">
        <is>
          <t>WHAP-0999</t>
        </is>
      </c>
      <c r="C1003" s="7" t="inlineStr">
        <is>
          <t>SUS-0999</t>
        </is>
      </c>
      <c r="D1003" s="7" t="inlineStr">
        <is>
          <t>rotule supérieure — avant droit</t>
        </is>
      </c>
      <c r="E1003" s="7" t="inlineStr">
        <is>
          <t>Suspension</t>
        </is>
      </c>
      <c r="F1003" s="7" t="inlineStr">
        <is>
          <t>Suspension</t>
        </is>
      </c>
      <c r="G1003" s="7" t="inlineStr">
        <is>
          <t>PIECE_VEHICULE</t>
        </is>
      </c>
      <c r="H1003" s="7" t="n">
        <v>1</v>
      </c>
      <c r="I1003" s="7">
        <f>H1003*$D$3</f>
        <v/>
      </c>
      <c r="J1003" s="7" t="inlineStr">
        <is>
          <t>unité</t>
        </is>
      </c>
      <c r="K1003" s="7" t="n">
        <v>0</v>
      </c>
      <c r="L1003" s="7">
        <f>K1003-I1003</f>
        <v/>
      </c>
      <c r="M1003" s="7">
        <f>IF(K1003&lt;I1003,"✕ INSUFFISANT",IF(K1003&lt;I1003*1.2,"⚠ STOCK FAIBLE","✓ COUVERT"))</f>
        <v/>
      </c>
      <c r="N1003" s="7" t="inlineStr">
        <is>
          <t>CTL</t>
        </is>
      </c>
      <c r="O1003" s="7" t="inlineStr">
        <is>
          <t>IMPORTANT</t>
        </is>
      </c>
      <c r="P1003" s="7" t="inlineStr">
        <is>
          <t>31/08/2026 02:59</t>
        </is>
      </c>
    </row>
    <row r="1004">
      <c r="A1004" s="8" t="inlineStr">
        <is>
          <t>WHAP 8x8</t>
        </is>
      </c>
      <c r="B1004" s="8" t="inlineStr">
        <is>
          <t>WHAP-1000</t>
        </is>
      </c>
      <c r="C1004" s="8" t="inlineStr">
        <is>
          <t>SUS-1000</t>
        </is>
      </c>
      <c r="D1004" s="8" t="inlineStr">
        <is>
          <t>rotule inférieure — avant droit</t>
        </is>
      </c>
      <c r="E1004" s="8" t="inlineStr">
        <is>
          <t>Suspension</t>
        </is>
      </c>
      <c r="F1004" s="8" t="inlineStr">
        <is>
          <t>Suspension</t>
        </is>
      </c>
      <c r="G1004" s="8" t="inlineStr">
        <is>
          <t>PIECE_VEHICULE</t>
        </is>
      </c>
      <c r="H1004" s="8" t="n">
        <v>1</v>
      </c>
      <c r="I1004" s="8">
        <f>H1004*$D$3</f>
        <v/>
      </c>
      <c r="J1004" s="8" t="inlineStr">
        <is>
          <t>unité</t>
        </is>
      </c>
      <c r="K1004" s="8" t="n">
        <v>0</v>
      </c>
      <c r="L1004" s="8">
        <f>K1004-I1004</f>
        <v/>
      </c>
      <c r="M1004" s="8">
        <f>IF(K1004&lt;I1004,"✕ INSUFFISANT",IF(K1004&lt;I1004*1.2,"⚠ STOCK FAIBLE","✓ COUVERT"))</f>
        <v/>
      </c>
      <c r="N1004" s="8" t="inlineStr">
        <is>
          <t>FAU</t>
        </is>
      </c>
      <c r="O1004" s="8" t="inlineStr">
        <is>
          <t>IMPORTANT</t>
        </is>
      </c>
      <c r="P1004" s="8" t="inlineStr">
        <is>
          <t>31/08/2026 02:59</t>
        </is>
      </c>
    </row>
    <row r="1005">
      <c r="A1005" s="7" t="inlineStr">
        <is>
          <t>WHAP 8x8</t>
        </is>
      </c>
      <c r="B1005" s="7" t="inlineStr">
        <is>
          <t>WHAP-1001</t>
        </is>
      </c>
      <c r="C1005" s="7" t="inlineStr">
        <is>
          <t>SUS-1001</t>
        </is>
      </c>
      <c r="D1005" s="7" t="inlineStr">
        <is>
          <t>amortisseur — avant droit</t>
        </is>
      </c>
      <c r="E1005" s="7" t="inlineStr">
        <is>
          <t>Suspension</t>
        </is>
      </c>
      <c r="F1005" s="7" t="inlineStr">
        <is>
          <t>Suspension</t>
        </is>
      </c>
      <c r="G1005" s="7" t="inlineStr">
        <is>
          <t>PIECE_VEHICULE</t>
        </is>
      </c>
      <c r="H1005" s="7" t="n">
        <v>1</v>
      </c>
      <c r="I1005" s="7">
        <f>H1005*$D$3</f>
        <v/>
      </c>
      <c r="J1005" s="7" t="inlineStr">
        <is>
          <t>unité</t>
        </is>
      </c>
      <c r="K1005" s="7" t="n">
        <v>0</v>
      </c>
      <c r="L1005" s="7">
        <f>K1005-I1005</f>
        <v/>
      </c>
      <c r="M1005" s="7">
        <f>IF(K1005&lt;I1005,"✕ INSUFFISANT",IF(K1005&lt;I1005*1.2,"⚠ STOCK FAIBLE","✓ COUVERT"))</f>
        <v/>
      </c>
      <c r="N1005" s="7" t="inlineStr">
        <is>
          <t>CTL</t>
        </is>
      </c>
      <c r="O1005" s="7" t="inlineStr">
        <is>
          <t>IMPORTANT</t>
        </is>
      </c>
      <c r="P1005" s="7" t="inlineStr">
        <is>
          <t>31/08/2026 02:59</t>
        </is>
      </c>
    </row>
    <row r="1006">
      <c r="A1006" s="8" t="inlineStr">
        <is>
          <t>WHAP 8x8</t>
        </is>
      </c>
      <c r="B1006" s="8" t="inlineStr">
        <is>
          <t>WHAP-1002</t>
        </is>
      </c>
      <c r="C1006" s="8" t="inlineStr">
        <is>
          <t>SUS-1002</t>
        </is>
      </c>
      <c r="D1006" s="8" t="inlineStr">
        <is>
          <t>jambe hydropneumatique — avant droit</t>
        </is>
      </c>
      <c r="E1006" s="8" t="inlineStr">
        <is>
          <t>Suspension</t>
        </is>
      </c>
      <c r="F1006" s="8" t="inlineStr">
        <is>
          <t>Suspension</t>
        </is>
      </c>
      <c r="G1006" s="8" t="inlineStr">
        <is>
          <t>PIECE_VEHICULE</t>
        </is>
      </c>
      <c r="H1006" s="8" t="n">
        <v>1</v>
      </c>
      <c r="I1006" s="8">
        <f>H1006*$D$3</f>
        <v/>
      </c>
      <c r="J1006" s="8" t="inlineStr">
        <is>
          <t>unité</t>
        </is>
      </c>
      <c r="K1006" s="8" t="n">
        <v>0</v>
      </c>
      <c r="L1006" s="8">
        <f>K1006-I1006</f>
        <v/>
      </c>
      <c r="M1006" s="8">
        <f>IF(K1006&lt;I1006,"✕ INSUFFISANT",IF(K1006&lt;I1006*1.2,"⚠ STOCK FAIBLE","✓ COUVERT"))</f>
        <v/>
      </c>
      <c r="N1006" s="8" t="inlineStr">
        <is>
          <t>DEL</t>
        </is>
      </c>
      <c r="O1006" s="8" t="inlineStr">
        <is>
          <t>IMPORTANT</t>
        </is>
      </c>
      <c r="P1006" s="8" t="inlineStr">
        <is>
          <t>31/08/2026 02:59</t>
        </is>
      </c>
    </row>
    <row r="1007">
      <c r="A1007" s="7" t="inlineStr">
        <is>
          <t>WHAP 8x8</t>
        </is>
      </c>
      <c r="B1007" s="7" t="inlineStr">
        <is>
          <t>WHAP-1003</t>
        </is>
      </c>
      <c r="C1007" s="7" t="inlineStr">
        <is>
          <t>SUS-1003</t>
        </is>
      </c>
      <c r="D1007" s="7" t="inlineStr">
        <is>
          <t>accumulateur hydropneumatique — avant droit</t>
        </is>
      </c>
      <c r="E1007" s="7" t="inlineStr">
        <is>
          <t>Suspension</t>
        </is>
      </c>
      <c r="F1007" s="7" t="inlineStr">
        <is>
          <t>Suspension</t>
        </is>
      </c>
      <c r="G1007" s="7" t="inlineStr">
        <is>
          <t>PIECE_VEHICULE</t>
        </is>
      </c>
      <c r="H1007" s="7" t="n">
        <v>1</v>
      </c>
      <c r="I1007" s="7">
        <f>H1007*$D$3</f>
        <v/>
      </c>
      <c r="J1007" s="7" t="inlineStr">
        <is>
          <t>unité</t>
        </is>
      </c>
      <c r="K1007" s="7" t="n">
        <v>0</v>
      </c>
      <c r="L1007" s="7">
        <f>K1007-I1007</f>
        <v/>
      </c>
      <c r="M1007" s="7">
        <f>IF(K1007&lt;I1007,"✕ INSUFFISANT",IF(K1007&lt;I1007*1.2,"⚠ STOCK FAIBLE","✓ COUVERT"))</f>
        <v/>
      </c>
      <c r="N1007" s="7" t="inlineStr">
        <is>
          <t>YZK</t>
        </is>
      </c>
      <c r="O1007" s="7" t="inlineStr">
        <is>
          <t>IMPORTANT</t>
        </is>
      </c>
      <c r="P1007" s="7" t="inlineStr">
        <is>
          <t>31/08/2026 02:59</t>
        </is>
      </c>
    </row>
    <row r="1008">
      <c r="A1008" s="8" t="inlineStr">
        <is>
          <t>WHAP 8x8</t>
        </is>
      </c>
      <c r="B1008" s="8" t="inlineStr">
        <is>
          <t>WHAP-1004</t>
        </is>
      </c>
      <c r="C1008" s="8" t="inlineStr">
        <is>
          <t>SUS-1004</t>
        </is>
      </c>
      <c r="D1008" s="8" t="inlineStr">
        <is>
          <t>cylindre de suspension — avant droit</t>
        </is>
      </c>
      <c r="E1008" s="8" t="inlineStr">
        <is>
          <t>Suspension</t>
        </is>
      </c>
      <c r="F1008" s="8" t="inlineStr">
        <is>
          <t>Suspension</t>
        </is>
      </c>
      <c r="G1008" s="8" t="inlineStr">
        <is>
          <t>PIECE_VEHICULE</t>
        </is>
      </c>
      <c r="H1008" s="8" t="n">
        <v>1</v>
      </c>
      <c r="I1008" s="8">
        <f>H1008*$D$3</f>
        <v/>
      </c>
      <c r="J1008" s="8" t="inlineStr">
        <is>
          <t>unité</t>
        </is>
      </c>
      <c r="K1008" s="8" t="n">
        <v>0</v>
      </c>
      <c r="L1008" s="8">
        <f>K1008-I1008</f>
        <v/>
      </c>
      <c r="M1008" s="8">
        <f>IF(K1008&lt;I1008,"✕ INSUFFISANT",IF(K1008&lt;I1008*1.2,"⚠ STOCK FAIBLE","✓ COUVERT"))</f>
        <v/>
      </c>
      <c r="N1008" s="8" t="inlineStr">
        <is>
          <t>SKF</t>
        </is>
      </c>
      <c r="O1008" s="8" t="inlineStr">
        <is>
          <t>IMPORTANT</t>
        </is>
      </c>
      <c r="P1008" s="8" t="inlineStr">
        <is>
          <t>31/08/2026 02:59</t>
        </is>
      </c>
    </row>
    <row r="1009">
      <c r="A1009" s="7" t="inlineStr">
        <is>
          <t>WHAP 8x8</t>
        </is>
      </c>
      <c r="B1009" s="7" t="inlineStr">
        <is>
          <t>WHAP-1005</t>
        </is>
      </c>
      <c r="C1009" s="7" t="inlineStr">
        <is>
          <t>SUS-1005</t>
        </is>
      </c>
      <c r="D1009" s="7" t="inlineStr">
        <is>
          <t>piston de suspension — avant droit</t>
        </is>
      </c>
      <c r="E1009" s="7" t="inlineStr">
        <is>
          <t>Suspension</t>
        </is>
      </c>
      <c r="F1009" s="7" t="inlineStr">
        <is>
          <t>Suspension</t>
        </is>
      </c>
      <c r="G1009" s="7" t="inlineStr">
        <is>
          <t>PIECE_VEHICULE</t>
        </is>
      </c>
      <c r="H1009" s="7" t="n">
        <v>1</v>
      </c>
      <c r="I1009" s="7">
        <f>H1009*$D$3</f>
        <v/>
      </c>
      <c r="J1009" s="7" t="inlineStr">
        <is>
          <t>unité</t>
        </is>
      </c>
      <c r="K1009" s="7" t="n">
        <v>0</v>
      </c>
      <c r="L1009" s="7">
        <f>K1009-I1009</f>
        <v/>
      </c>
      <c r="M1009" s="7">
        <f>IF(K1009&lt;I1009,"✕ INSUFFISANT",IF(K1009&lt;I1009*1.2,"⚠ STOCK FAIBLE","✓ COUVERT"))</f>
        <v/>
      </c>
      <c r="N1009" s="7" t="inlineStr">
        <is>
          <t>SKF</t>
        </is>
      </c>
      <c r="O1009" s="7" t="inlineStr">
        <is>
          <t>IMPORTANT</t>
        </is>
      </c>
      <c r="P1009" s="7" t="inlineStr">
        <is>
          <t>31/08/2026 02:59</t>
        </is>
      </c>
    </row>
    <row r="1010">
      <c r="A1010" s="8" t="inlineStr">
        <is>
          <t>WHAP 8x8</t>
        </is>
      </c>
      <c r="B1010" s="8" t="inlineStr">
        <is>
          <t>WHAP-1006</t>
        </is>
      </c>
      <c r="C1010" s="8" t="inlineStr">
        <is>
          <t>SUS-1006</t>
        </is>
      </c>
      <c r="D1010" s="8" t="inlineStr">
        <is>
          <t>tige de suspension — avant droit</t>
        </is>
      </c>
      <c r="E1010" s="8" t="inlineStr">
        <is>
          <t>Suspension</t>
        </is>
      </c>
      <c r="F1010" s="8" t="inlineStr">
        <is>
          <t>Suspension</t>
        </is>
      </c>
      <c r="G1010" s="8" t="inlineStr">
        <is>
          <t>PIECE_VEHICULE</t>
        </is>
      </c>
      <c r="H1010" s="8" t="n">
        <v>1</v>
      </c>
      <c r="I1010" s="8">
        <f>H1010*$D$3</f>
        <v/>
      </c>
      <c r="J1010" s="8" t="inlineStr">
        <is>
          <t>unité</t>
        </is>
      </c>
      <c r="K1010" s="8" t="n">
        <v>0</v>
      </c>
      <c r="L1010" s="8">
        <f>K1010-I1010</f>
        <v/>
      </c>
      <c r="M1010" s="8">
        <f>IF(K1010&lt;I1010,"✕ INSUFFISANT",IF(K1010&lt;I1010*1.2,"⚠ STOCK FAIBLE","✓ COUVERT"))</f>
        <v/>
      </c>
      <c r="N1010" s="8" t="inlineStr">
        <is>
          <t>FAU</t>
        </is>
      </c>
      <c r="O1010" s="8" t="inlineStr">
        <is>
          <t>IMPORTANT</t>
        </is>
      </c>
      <c r="P1010" s="8" t="inlineStr">
        <is>
          <t>31/08/2026 02:59</t>
        </is>
      </c>
    </row>
    <row r="1011">
      <c r="A1011" s="7" t="inlineStr">
        <is>
          <t>WHAP 8x8</t>
        </is>
      </c>
      <c r="B1011" s="7" t="inlineStr">
        <is>
          <t>WHAP-1007</t>
        </is>
      </c>
      <c r="C1011" s="7" t="inlineStr">
        <is>
          <t>SUS-1007</t>
        </is>
      </c>
      <c r="D1011" s="7" t="inlineStr">
        <is>
          <t>joint de tige — avant droit</t>
        </is>
      </c>
      <c r="E1011" s="7" t="inlineStr">
        <is>
          <t>Suspension</t>
        </is>
      </c>
      <c r="F1011" s="7" t="inlineStr">
        <is>
          <t>Suspension</t>
        </is>
      </c>
      <c r="G1011" s="7" t="inlineStr">
        <is>
          <t>PIECE_VEHICULE</t>
        </is>
      </c>
      <c r="H1011" s="7" t="n">
        <v>1</v>
      </c>
      <c r="I1011" s="7">
        <f>H1011*$D$3</f>
        <v/>
      </c>
      <c r="J1011" s="7" t="inlineStr">
        <is>
          <t>unité</t>
        </is>
      </c>
      <c r="K1011" s="7" t="n">
        <v>0</v>
      </c>
      <c r="L1011" s="7">
        <f>K1011-I1011</f>
        <v/>
      </c>
      <c r="M1011" s="7">
        <f>IF(K1011&lt;I1011,"✕ INSUFFISANT",IF(K1011&lt;I1011*1.2,"⚠ STOCK FAIBLE","✓ COUVERT"))</f>
        <v/>
      </c>
      <c r="N1011" s="7" t="inlineStr">
        <is>
          <t>CTL</t>
        </is>
      </c>
      <c r="O1011" s="7" t="inlineStr">
        <is>
          <t>IMPORTANT</t>
        </is>
      </c>
      <c r="P1011" s="7" t="inlineStr">
        <is>
          <t>31/08/2026 02:59</t>
        </is>
      </c>
    </row>
    <row r="1012">
      <c r="A1012" s="8" t="inlineStr">
        <is>
          <t>WHAP 8x8</t>
        </is>
      </c>
      <c r="B1012" s="8" t="inlineStr">
        <is>
          <t>WHAP-1008</t>
        </is>
      </c>
      <c r="C1012" s="8" t="inlineStr">
        <is>
          <t>SUS-1008</t>
        </is>
      </c>
      <c r="D1012" s="8" t="inlineStr">
        <is>
          <t>bague de guidage — avant droit</t>
        </is>
      </c>
      <c r="E1012" s="8" t="inlineStr">
        <is>
          <t>Suspension</t>
        </is>
      </c>
      <c r="F1012" s="8" t="inlineStr">
        <is>
          <t>Suspension</t>
        </is>
      </c>
      <c r="G1012" s="8" t="inlineStr">
        <is>
          <t>PIECE_VEHICULE</t>
        </is>
      </c>
      <c r="H1012" s="8" t="n">
        <v>1</v>
      </c>
      <c r="I1012" s="8">
        <f>H1012*$D$3</f>
        <v/>
      </c>
      <c r="J1012" s="8" t="inlineStr">
        <is>
          <t>unité</t>
        </is>
      </c>
      <c r="K1012" s="8" t="n">
        <v>0</v>
      </c>
      <c r="L1012" s="8">
        <f>K1012-I1012</f>
        <v/>
      </c>
      <c r="M1012" s="8">
        <f>IF(K1012&lt;I1012,"✕ INSUFFISANT",IF(K1012&lt;I1012*1.2,"⚠ STOCK FAIBLE","✓ COUVERT"))</f>
        <v/>
      </c>
      <c r="N1012" s="8" t="inlineStr">
        <is>
          <t>SUM</t>
        </is>
      </c>
      <c r="O1012" s="8" t="inlineStr">
        <is>
          <t>IMPORTANT</t>
        </is>
      </c>
      <c r="P1012" s="8" t="inlineStr">
        <is>
          <t>31/08/2026 02:59</t>
        </is>
      </c>
    </row>
    <row r="1013">
      <c r="A1013" s="7" t="inlineStr">
        <is>
          <t>WHAP 8x8</t>
        </is>
      </c>
      <c r="B1013" s="7" t="inlineStr">
        <is>
          <t>WHAP-1009</t>
        </is>
      </c>
      <c r="C1013" s="7" t="inlineStr">
        <is>
          <t>SUS-1009</t>
        </is>
      </c>
      <c r="D1013" s="7" t="inlineStr">
        <is>
          <t>ressort auxiliaire — avant droit</t>
        </is>
      </c>
      <c r="E1013" s="7" t="inlineStr">
        <is>
          <t>Suspension</t>
        </is>
      </c>
      <c r="F1013" s="7" t="inlineStr">
        <is>
          <t>Suspension</t>
        </is>
      </c>
      <c r="G1013" s="7" t="inlineStr">
        <is>
          <t>PIECE_VEHICULE</t>
        </is>
      </c>
      <c r="H1013" s="7" t="n">
        <v>1</v>
      </c>
      <c r="I1013" s="7">
        <f>H1013*$D$3</f>
        <v/>
      </c>
      <c r="J1013" s="7" t="inlineStr">
        <is>
          <t>unité</t>
        </is>
      </c>
      <c r="K1013" s="7" t="n">
        <v>0</v>
      </c>
      <c r="L1013" s="7">
        <f>K1013-I1013</f>
        <v/>
      </c>
      <c r="M1013" s="7">
        <f>IF(K1013&lt;I1013,"✕ INSUFFISANT",IF(K1013&lt;I1013*1.2,"⚠ STOCK FAIBLE","✓ COUVERT"))</f>
        <v/>
      </c>
      <c r="N1013" s="7" t="inlineStr">
        <is>
          <t>VAL</t>
        </is>
      </c>
      <c r="O1013" s="7" t="inlineStr">
        <is>
          <t>IMPORTANT</t>
        </is>
      </c>
      <c r="P1013" s="7" t="inlineStr">
        <is>
          <t>31/08/2026 02:59</t>
        </is>
      </c>
    </row>
    <row r="1014">
      <c r="A1014" s="8" t="inlineStr">
        <is>
          <t>WHAP 8x8</t>
        </is>
      </c>
      <c r="B1014" s="8" t="inlineStr">
        <is>
          <t>WHAP-1010</t>
        </is>
      </c>
      <c r="C1014" s="8" t="inlineStr">
        <is>
          <t>SUS-1010</t>
        </is>
      </c>
      <c r="D1014" s="8" t="inlineStr">
        <is>
          <t>butée de suspension — avant droit</t>
        </is>
      </c>
      <c r="E1014" s="8" t="inlineStr">
        <is>
          <t>Suspension</t>
        </is>
      </c>
      <c r="F1014" s="8" t="inlineStr">
        <is>
          <t>Suspension</t>
        </is>
      </c>
      <c r="G1014" s="8" t="inlineStr">
        <is>
          <t>PIECE_VEHICULE</t>
        </is>
      </c>
      <c r="H1014" s="8" t="n">
        <v>1</v>
      </c>
      <c r="I1014" s="8">
        <f>H1014*$D$3</f>
        <v/>
      </c>
      <c r="J1014" s="8" t="inlineStr">
        <is>
          <t>unité</t>
        </is>
      </c>
      <c r="K1014" s="8" t="n">
        <v>0</v>
      </c>
      <c r="L1014" s="8">
        <f>K1014-I1014</f>
        <v/>
      </c>
      <c r="M1014" s="8">
        <f>IF(K1014&lt;I1014,"✕ INSUFFISANT",IF(K1014&lt;I1014*1.2,"⚠ STOCK FAIBLE","✓ COUVERT"))</f>
        <v/>
      </c>
      <c r="N1014" s="8" t="inlineStr">
        <is>
          <t>VAL</t>
        </is>
      </c>
      <c r="O1014" s="8" t="inlineStr">
        <is>
          <t>IMPORTANT</t>
        </is>
      </c>
      <c r="P1014" s="8" t="inlineStr">
        <is>
          <t>31/08/2026 02:59</t>
        </is>
      </c>
    </row>
    <row r="1015">
      <c r="A1015" s="7" t="inlineStr">
        <is>
          <t>WHAP 8x8</t>
        </is>
      </c>
      <c r="B1015" s="7" t="inlineStr">
        <is>
          <t>WHAP-1011</t>
        </is>
      </c>
      <c r="C1015" s="7" t="inlineStr">
        <is>
          <t>SUS-1011</t>
        </is>
      </c>
      <c r="D1015" s="7" t="inlineStr">
        <is>
          <t>silentbloc de bras — avant droit</t>
        </is>
      </c>
      <c r="E1015" s="7" t="inlineStr">
        <is>
          <t>Suspension</t>
        </is>
      </c>
      <c r="F1015" s="7" t="inlineStr">
        <is>
          <t>Suspension</t>
        </is>
      </c>
      <c r="G1015" s="7" t="inlineStr">
        <is>
          <t>PIECE_VEHICULE</t>
        </is>
      </c>
      <c r="H1015" s="7" t="n">
        <v>1</v>
      </c>
      <c r="I1015" s="7">
        <f>H1015*$D$3</f>
        <v/>
      </c>
      <c r="J1015" s="7" t="inlineStr">
        <is>
          <t>unité</t>
        </is>
      </c>
      <c r="K1015" s="7" t="n">
        <v>0</v>
      </c>
      <c r="L1015" s="7">
        <f>K1015-I1015</f>
        <v/>
      </c>
      <c r="M1015" s="7">
        <f>IF(K1015&lt;I1015,"✕ INSUFFISANT",IF(K1015&lt;I1015*1.2,"⚠ STOCK FAIBLE","✓ COUVERT"))</f>
        <v/>
      </c>
      <c r="N1015" s="7" t="inlineStr">
        <is>
          <t>CTL</t>
        </is>
      </c>
      <c r="O1015" s="7" t="inlineStr">
        <is>
          <t>IMPORTANT</t>
        </is>
      </c>
      <c r="P1015" s="7" t="inlineStr">
        <is>
          <t>31/08/2026 02:59</t>
        </is>
      </c>
    </row>
    <row r="1016">
      <c r="A1016" s="8" t="inlineStr">
        <is>
          <t>WHAP 8x8</t>
        </is>
      </c>
      <c r="B1016" s="8" t="inlineStr">
        <is>
          <t>WHAP-1012</t>
        </is>
      </c>
      <c r="C1016" s="8" t="inlineStr">
        <is>
          <t>SUS-1012</t>
        </is>
      </c>
      <c r="D1016" s="8" t="inlineStr">
        <is>
          <t>support de suspension — avant droit</t>
        </is>
      </c>
      <c r="E1016" s="8" t="inlineStr">
        <is>
          <t>Suspension</t>
        </is>
      </c>
      <c r="F1016" s="8" t="inlineStr">
        <is>
          <t>Suspension</t>
        </is>
      </c>
      <c r="G1016" s="8" t="inlineStr">
        <is>
          <t>PIECE_VEHICULE</t>
        </is>
      </c>
      <c r="H1016" s="8" t="n">
        <v>1</v>
      </c>
      <c r="I1016" s="8">
        <f>H1016*$D$3</f>
        <v/>
      </c>
      <c r="J1016" s="8" t="inlineStr">
        <is>
          <t>unité</t>
        </is>
      </c>
      <c r="K1016" s="8" t="n">
        <v>0</v>
      </c>
      <c r="L1016" s="8">
        <f>K1016-I1016</f>
        <v/>
      </c>
      <c r="M1016" s="8">
        <f>IF(K1016&lt;I1016,"✕ INSUFFISANT",IF(K1016&lt;I1016*1.2,"⚠ STOCK FAIBLE","✓ COUVERT"))</f>
        <v/>
      </c>
      <c r="N1016" s="8" t="inlineStr">
        <is>
          <t>FAU</t>
        </is>
      </c>
      <c r="O1016" s="8" t="inlineStr">
        <is>
          <t>IMPORTANT</t>
        </is>
      </c>
      <c r="P1016" s="8" t="inlineStr">
        <is>
          <t>31/08/2026 02:59</t>
        </is>
      </c>
    </row>
    <row r="1017">
      <c r="A1017" s="7" t="inlineStr">
        <is>
          <t>WHAP 8x8</t>
        </is>
      </c>
      <c r="B1017" s="7" t="inlineStr">
        <is>
          <t>WHAP-1013</t>
        </is>
      </c>
      <c r="C1017" s="7" t="inlineStr">
        <is>
          <t>SUS-1013</t>
        </is>
      </c>
      <c r="D1017" s="7" t="inlineStr">
        <is>
          <t>capteur de hauteur — avant droit</t>
        </is>
      </c>
      <c r="E1017" s="7" t="inlineStr">
        <is>
          <t>Suspension</t>
        </is>
      </c>
      <c r="F1017" s="7" t="inlineStr">
        <is>
          <t>Suspension</t>
        </is>
      </c>
      <c r="G1017" s="7" t="inlineStr">
        <is>
          <t>PIECE_VEHICULE</t>
        </is>
      </c>
      <c r="H1017" s="7" t="n">
        <v>1</v>
      </c>
      <c r="I1017" s="7">
        <f>H1017*$D$3</f>
        <v/>
      </c>
      <c r="J1017" s="7" t="inlineStr">
        <is>
          <t>unité</t>
        </is>
      </c>
      <c r="K1017" s="7" t="n">
        <v>0</v>
      </c>
      <c r="L1017" s="7">
        <f>K1017-I1017</f>
        <v/>
      </c>
      <c r="M1017" s="7">
        <f>IF(K1017&lt;I1017,"✕ INSUFFISANT",IF(K1017&lt;I1017*1.2,"⚠ STOCK FAIBLE","✓ COUVERT"))</f>
        <v/>
      </c>
      <c r="N1017" s="7" t="inlineStr">
        <is>
          <t>SUM</t>
        </is>
      </c>
      <c r="O1017" s="7" t="inlineStr">
        <is>
          <t>IMPORTANT</t>
        </is>
      </c>
      <c r="P1017" s="7" t="inlineStr">
        <is>
          <t>31/08/2026 02:59</t>
        </is>
      </c>
    </row>
    <row r="1018">
      <c r="A1018" s="8" t="inlineStr">
        <is>
          <t>WHAP 8x8</t>
        </is>
      </c>
      <c r="B1018" s="8" t="inlineStr">
        <is>
          <t>WHAP-1014</t>
        </is>
      </c>
      <c r="C1018" s="8" t="inlineStr">
        <is>
          <t>SUS-1014</t>
        </is>
      </c>
      <c r="D1018" s="8" t="inlineStr">
        <is>
          <t>valve de suspension — avant droit</t>
        </is>
      </c>
      <c r="E1018" s="8" t="inlineStr">
        <is>
          <t>Suspension</t>
        </is>
      </c>
      <c r="F1018" s="8" t="inlineStr">
        <is>
          <t>Suspension</t>
        </is>
      </c>
      <c r="G1018" s="8" t="inlineStr">
        <is>
          <t>PIECE_VEHICULE</t>
        </is>
      </c>
      <c r="H1018" s="8" t="n">
        <v>1</v>
      </c>
      <c r="I1018" s="8">
        <f>H1018*$D$3</f>
        <v/>
      </c>
      <c r="J1018" s="8" t="inlineStr">
        <is>
          <t>unité</t>
        </is>
      </c>
      <c r="K1018" s="8" t="n">
        <v>0</v>
      </c>
      <c r="L1018" s="8">
        <f>K1018-I1018</f>
        <v/>
      </c>
      <c r="M1018" s="8">
        <f>IF(K1018&lt;I1018,"✕ INSUFFISANT",IF(K1018&lt;I1018*1.2,"⚠ STOCK FAIBLE","✓ COUVERT"))</f>
        <v/>
      </c>
      <c r="N1018" s="8" t="inlineStr">
        <is>
          <t>CTL</t>
        </is>
      </c>
      <c r="O1018" s="8" t="inlineStr">
        <is>
          <t>IMPORTANT</t>
        </is>
      </c>
      <c r="P1018" s="8" t="inlineStr">
        <is>
          <t>31/08/2026 02:59</t>
        </is>
      </c>
    </row>
    <row r="1019">
      <c r="A1019" s="7" t="inlineStr">
        <is>
          <t>WHAP 8x8</t>
        </is>
      </c>
      <c r="B1019" s="7" t="inlineStr">
        <is>
          <t>WHAP-1015</t>
        </is>
      </c>
      <c r="C1019" s="7" t="inlineStr">
        <is>
          <t>SUS-1015</t>
        </is>
      </c>
      <c r="D1019" s="7" t="inlineStr">
        <is>
          <t>conduite hydraulique — avant droit</t>
        </is>
      </c>
      <c r="E1019" s="7" t="inlineStr">
        <is>
          <t>Suspension</t>
        </is>
      </c>
      <c r="F1019" s="7" t="inlineStr">
        <is>
          <t>Suspension</t>
        </is>
      </c>
      <c r="G1019" s="7" t="inlineStr">
        <is>
          <t>PIECE_VEHICULE</t>
        </is>
      </c>
      <c r="H1019" s="7" t="n">
        <v>1</v>
      </c>
      <c r="I1019" s="7">
        <f>H1019*$D$3</f>
        <v/>
      </c>
      <c r="J1019" s="7" t="inlineStr">
        <is>
          <t>unité</t>
        </is>
      </c>
      <c r="K1019" s="7" t="n">
        <v>0</v>
      </c>
      <c r="L1019" s="7">
        <f>K1019-I1019</f>
        <v/>
      </c>
      <c r="M1019" s="7">
        <f>IF(K1019&lt;I1019,"✕ INSUFFISANT",IF(K1019&lt;I1019*1.2,"⚠ STOCK FAIBLE","✓ COUVERT"))</f>
        <v/>
      </c>
      <c r="N1019" s="7" t="inlineStr">
        <is>
          <t>SUM</t>
        </is>
      </c>
      <c r="O1019" s="7" t="inlineStr">
        <is>
          <t>IMPORTANT</t>
        </is>
      </c>
      <c r="P1019" s="7" t="inlineStr">
        <is>
          <t>31/08/2026 02:59</t>
        </is>
      </c>
    </row>
    <row r="1020">
      <c r="A1020" s="8" t="inlineStr">
        <is>
          <t>WHAP 8x8</t>
        </is>
      </c>
      <c r="B1020" s="8" t="inlineStr">
        <is>
          <t>WHAP-1016</t>
        </is>
      </c>
      <c r="C1020" s="8" t="inlineStr">
        <is>
          <t>SUS-1016</t>
        </is>
      </c>
      <c r="D1020" s="8" t="inlineStr">
        <is>
          <t>raccord hydraulique — avant droit</t>
        </is>
      </c>
      <c r="E1020" s="8" t="inlineStr">
        <is>
          <t>Suspension</t>
        </is>
      </c>
      <c r="F1020" s="8" t="inlineStr">
        <is>
          <t>Suspension</t>
        </is>
      </c>
      <c r="G1020" s="8" t="inlineStr">
        <is>
          <t>PIECE_VEHICULE</t>
        </is>
      </c>
      <c r="H1020" s="8" t="n">
        <v>1</v>
      </c>
      <c r="I1020" s="8">
        <f>H1020*$D$3</f>
        <v/>
      </c>
      <c r="J1020" s="8" t="inlineStr">
        <is>
          <t>unité</t>
        </is>
      </c>
      <c r="K1020" s="8" t="n">
        <v>0</v>
      </c>
      <c r="L1020" s="8">
        <f>K1020-I1020</f>
        <v/>
      </c>
      <c r="M1020" s="8">
        <f>IF(K1020&lt;I1020,"✕ INSUFFISANT",IF(K1020&lt;I1020*1.2,"⚠ STOCK FAIBLE","✓ COUVERT"))</f>
        <v/>
      </c>
      <c r="N1020" s="8" t="inlineStr">
        <is>
          <t>MAG</t>
        </is>
      </c>
      <c r="O1020" s="8" t="inlineStr">
        <is>
          <t>IMPORTANT</t>
        </is>
      </c>
      <c r="P1020" s="8" t="inlineStr">
        <is>
          <t>31/08/2026 02:59</t>
        </is>
      </c>
    </row>
    <row r="1021">
      <c r="A1021" s="7" t="inlineStr">
        <is>
          <t>WHAP 8x8</t>
        </is>
      </c>
      <c r="B1021" s="7" t="inlineStr">
        <is>
          <t>WHAP-1017</t>
        </is>
      </c>
      <c r="C1021" s="7" t="inlineStr">
        <is>
          <t>SUS-1017</t>
        </is>
      </c>
      <c r="D1021" s="7" t="inlineStr">
        <is>
          <t>pompe hydraulique — avant droit</t>
        </is>
      </c>
      <c r="E1021" s="7" t="inlineStr">
        <is>
          <t>Suspension</t>
        </is>
      </c>
      <c r="F1021" s="7" t="inlineStr">
        <is>
          <t>Suspension</t>
        </is>
      </c>
      <c r="G1021" s="7" t="inlineStr">
        <is>
          <t>PIECE_VEHICULE</t>
        </is>
      </c>
      <c r="H1021" s="7" t="n">
        <v>1</v>
      </c>
      <c r="I1021" s="7">
        <f>H1021*$D$3</f>
        <v/>
      </c>
      <c r="J1021" s="7" t="inlineStr">
        <is>
          <t>unité</t>
        </is>
      </c>
      <c r="K1021" s="7" t="n">
        <v>0</v>
      </c>
      <c r="L1021" s="7">
        <f>K1021-I1021</f>
        <v/>
      </c>
      <c r="M1021" s="7">
        <f>IF(K1021&lt;I1021,"✕ INSUFFISANT",IF(K1021&lt;I1021*1.2,"⚠ STOCK FAIBLE","✓ COUVERT"))</f>
        <v/>
      </c>
      <c r="N1021" s="7" t="inlineStr">
        <is>
          <t>YZK</t>
        </is>
      </c>
      <c r="O1021" s="7" t="inlineStr">
        <is>
          <t>IMPORTANT</t>
        </is>
      </c>
      <c r="P1021" s="7" t="inlineStr">
        <is>
          <t>31/08/2026 02:59</t>
        </is>
      </c>
    </row>
    <row r="1022">
      <c r="A1022" s="8" t="inlineStr">
        <is>
          <t>WHAP 8x8</t>
        </is>
      </c>
      <c r="B1022" s="8" t="inlineStr">
        <is>
          <t>WHAP-1018</t>
        </is>
      </c>
      <c r="C1022" s="8" t="inlineStr">
        <is>
          <t>SUS-1018</t>
        </is>
      </c>
      <c r="D1022" s="8" t="inlineStr">
        <is>
          <t>réservoir hydraulique — avant droit</t>
        </is>
      </c>
      <c r="E1022" s="8" t="inlineStr">
        <is>
          <t>Suspension</t>
        </is>
      </c>
      <c r="F1022" s="8" t="inlineStr">
        <is>
          <t>Suspension</t>
        </is>
      </c>
      <c r="G1022" s="8" t="inlineStr">
        <is>
          <t>PIECE_VEHICULE</t>
        </is>
      </c>
      <c r="H1022" s="8" t="n">
        <v>1</v>
      </c>
      <c r="I1022" s="8">
        <f>H1022*$D$3</f>
        <v/>
      </c>
      <c r="J1022" s="8" t="inlineStr">
        <is>
          <t>unité</t>
        </is>
      </c>
      <c r="K1022" s="8" t="n">
        <v>0</v>
      </c>
      <c r="L1022" s="8">
        <f>K1022-I1022</f>
        <v/>
      </c>
      <c r="M1022" s="8">
        <f>IF(K1022&lt;I1022,"✕ INSUFFISANT",IF(K1022&lt;I1022*1.2,"⚠ STOCK FAIBLE","✓ COUVERT"))</f>
        <v/>
      </c>
      <c r="N1022" s="8" t="inlineStr">
        <is>
          <t>VAL</t>
        </is>
      </c>
      <c r="O1022" s="8" t="inlineStr">
        <is>
          <t>IMPORTANT</t>
        </is>
      </c>
      <c r="P1022" s="8" t="inlineStr">
        <is>
          <t>31/08/2026 02:59</t>
        </is>
      </c>
    </row>
    <row r="1023">
      <c r="A1023" s="7" t="inlineStr">
        <is>
          <t>WHAP 8x8</t>
        </is>
      </c>
      <c r="B1023" s="7" t="inlineStr">
        <is>
          <t>WHAP-1019</t>
        </is>
      </c>
      <c r="C1023" s="7" t="inlineStr">
        <is>
          <t>SUS-1019</t>
        </is>
      </c>
      <c r="D1023" s="7" t="inlineStr">
        <is>
          <t>filtre hydraulique — avant droit</t>
        </is>
      </c>
      <c r="E1023" s="7" t="inlineStr">
        <is>
          <t>Suspension</t>
        </is>
      </c>
      <c r="F1023" s="7" t="inlineStr">
        <is>
          <t>Suspension</t>
        </is>
      </c>
      <c r="G1023" s="7" t="inlineStr">
        <is>
          <t>PIECE_VEHICULE</t>
        </is>
      </c>
      <c r="H1023" s="7" t="n">
        <v>1</v>
      </c>
      <c r="I1023" s="7">
        <f>H1023*$D$3</f>
        <v/>
      </c>
      <c r="J1023" s="7" t="inlineStr">
        <is>
          <t>unité</t>
        </is>
      </c>
      <c r="K1023" s="7" t="n">
        <v>0</v>
      </c>
      <c r="L1023" s="7">
        <f>K1023-I1023</f>
        <v/>
      </c>
      <c r="M1023" s="7">
        <f>IF(K1023&lt;I1023,"✕ INSUFFISANT",IF(K1023&lt;I1023*1.2,"⚠ STOCK FAIBLE","✓ COUVERT"))</f>
        <v/>
      </c>
      <c r="N1023" s="7" t="inlineStr">
        <is>
          <t>FAU</t>
        </is>
      </c>
      <c r="O1023" s="7" t="inlineStr">
        <is>
          <t>IMPORTANT</t>
        </is>
      </c>
      <c r="P1023" s="7" t="inlineStr">
        <is>
          <t>31/08/2026 02:59</t>
        </is>
      </c>
    </row>
    <row r="1024">
      <c r="A1024" s="8" t="inlineStr">
        <is>
          <t>WHAP 8x8</t>
        </is>
      </c>
      <c r="B1024" s="8" t="inlineStr">
        <is>
          <t>WHAP-1020</t>
        </is>
      </c>
      <c r="C1024" s="8" t="inlineStr">
        <is>
          <t>SUS-1020</t>
        </is>
      </c>
      <c r="D1024" s="8" t="inlineStr">
        <is>
          <t>bras supérieur — arrière gauche</t>
        </is>
      </c>
      <c r="E1024" s="8" t="inlineStr">
        <is>
          <t>Suspension</t>
        </is>
      </c>
      <c r="F1024" s="8" t="inlineStr">
        <is>
          <t>Suspension</t>
        </is>
      </c>
      <c r="G1024" s="8" t="inlineStr">
        <is>
          <t>PIECE_VEHICULE</t>
        </is>
      </c>
      <c r="H1024" s="8" t="n">
        <v>1</v>
      </c>
      <c r="I1024" s="8">
        <f>H1024*$D$3</f>
        <v/>
      </c>
      <c r="J1024" s="8" t="inlineStr">
        <is>
          <t>unité</t>
        </is>
      </c>
      <c r="K1024" s="8" t="n">
        <v>0</v>
      </c>
      <c r="L1024" s="8">
        <f>K1024-I1024</f>
        <v/>
      </c>
      <c r="M1024" s="8">
        <f>IF(K1024&lt;I1024,"✕ INSUFFISANT",IF(K1024&lt;I1024*1.2,"⚠ STOCK FAIBLE","✓ COUVERT"))</f>
        <v/>
      </c>
      <c r="N1024" s="8" t="inlineStr">
        <is>
          <t>BOS</t>
        </is>
      </c>
      <c r="O1024" s="8" t="inlineStr">
        <is>
          <t>IMPORTANT</t>
        </is>
      </c>
      <c r="P1024" s="8" t="inlineStr">
        <is>
          <t>31/08/2026 02:59</t>
        </is>
      </c>
    </row>
    <row r="1025">
      <c r="A1025" s="7" t="inlineStr">
        <is>
          <t>WHAP 8x8</t>
        </is>
      </c>
      <c r="B1025" s="7" t="inlineStr">
        <is>
          <t>WHAP-1021</t>
        </is>
      </c>
      <c r="C1025" s="7" t="inlineStr">
        <is>
          <t>SUS-1021</t>
        </is>
      </c>
      <c r="D1025" s="7" t="inlineStr">
        <is>
          <t>bras inférieur — arrière gauche</t>
        </is>
      </c>
      <c r="E1025" s="7" t="inlineStr">
        <is>
          <t>Suspension</t>
        </is>
      </c>
      <c r="F1025" s="7" t="inlineStr">
        <is>
          <t>Suspension</t>
        </is>
      </c>
      <c r="G1025" s="7" t="inlineStr">
        <is>
          <t>PIECE_VEHICULE</t>
        </is>
      </c>
      <c r="H1025" s="7" t="n">
        <v>1</v>
      </c>
      <c r="I1025" s="7">
        <f>H1025*$D$3</f>
        <v/>
      </c>
      <c r="J1025" s="7" t="inlineStr">
        <is>
          <t>unité</t>
        </is>
      </c>
      <c r="K1025" s="7" t="n">
        <v>0</v>
      </c>
      <c r="L1025" s="7">
        <f>K1025-I1025</f>
        <v/>
      </c>
      <c r="M1025" s="7">
        <f>IF(K1025&lt;I1025,"✕ INSUFFISANT",IF(K1025&lt;I1025*1.2,"⚠ STOCK FAIBLE","✓ COUVERT"))</f>
        <v/>
      </c>
      <c r="N1025" s="7" t="inlineStr">
        <is>
          <t>YZK</t>
        </is>
      </c>
      <c r="O1025" s="7" t="inlineStr">
        <is>
          <t>IMPORTANT</t>
        </is>
      </c>
      <c r="P1025" s="7" t="inlineStr">
        <is>
          <t>31/08/2026 02:59</t>
        </is>
      </c>
    </row>
    <row r="1026">
      <c r="A1026" s="8" t="inlineStr">
        <is>
          <t>WHAP 8x8</t>
        </is>
      </c>
      <c r="B1026" s="8" t="inlineStr">
        <is>
          <t>WHAP-1022</t>
        </is>
      </c>
      <c r="C1026" s="8" t="inlineStr">
        <is>
          <t>SUS-1022</t>
        </is>
      </c>
      <c r="D1026" s="8" t="inlineStr">
        <is>
          <t>triangle de suspension — arrière gauche</t>
        </is>
      </c>
      <c r="E1026" s="8" t="inlineStr">
        <is>
          <t>Suspension</t>
        </is>
      </c>
      <c r="F1026" s="8" t="inlineStr">
        <is>
          <t>Suspension</t>
        </is>
      </c>
      <c r="G1026" s="8" t="inlineStr">
        <is>
          <t>PIECE_VEHICULE</t>
        </is>
      </c>
      <c r="H1026" s="8" t="n">
        <v>1</v>
      </c>
      <c r="I1026" s="8">
        <f>H1026*$D$3</f>
        <v/>
      </c>
      <c r="J1026" s="8" t="inlineStr">
        <is>
          <t>unité</t>
        </is>
      </c>
      <c r="K1026" s="8" t="n">
        <v>0</v>
      </c>
      <c r="L1026" s="8">
        <f>K1026-I1026</f>
        <v/>
      </c>
      <c r="M1026" s="8">
        <f>IF(K1026&lt;I1026,"✕ INSUFFISANT",IF(K1026&lt;I1026*1.2,"⚠ STOCK FAIBLE","✓ COUVERT"))</f>
        <v/>
      </c>
      <c r="N1026" s="8" t="inlineStr">
        <is>
          <t>BOS</t>
        </is>
      </c>
      <c r="O1026" s="8" t="inlineStr">
        <is>
          <t>IMPORTANT</t>
        </is>
      </c>
      <c r="P1026" s="8" t="inlineStr">
        <is>
          <t>31/08/2026 02:59</t>
        </is>
      </c>
    </row>
    <row r="1027">
      <c r="A1027" s="7" t="inlineStr">
        <is>
          <t>WHAP 8x8</t>
        </is>
      </c>
      <c r="B1027" s="7" t="inlineStr">
        <is>
          <t>WHAP-1023</t>
        </is>
      </c>
      <c r="C1027" s="7" t="inlineStr">
        <is>
          <t>SUS-1023</t>
        </is>
      </c>
      <c r="D1027" s="7" t="inlineStr">
        <is>
          <t>porte-moyeu — arrière gauche</t>
        </is>
      </c>
      <c r="E1027" s="7" t="inlineStr">
        <is>
          <t>Suspension</t>
        </is>
      </c>
      <c r="F1027" s="7" t="inlineStr">
        <is>
          <t>Suspension</t>
        </is>
      </c>
      <c r="G1027" s="7" t="inlineStr">
        <is>
          <t>PIECE_VEHICULE</t>
        </is>
      </c>
      <c r="H1027" s="7" t="n">
        <v>1</v>
      </c>
      <c r="I1027" s="7">
        <f>H1027*$D$3</f>
        <v/>
      </c>
      <c r="J1027" s="7" t="inlineStr">
        <is>
          <t>unité</t>
        </is>
      </c>
      <c r="K1027" s="7" t="n">
        <v>0</v>
      </c>
      <c r="L1027" s="7">
        <f>K1027-I1027</f>
        <v/>
      </c>
      <c r="M1027" s="7">
        <f>IF(K1027&lt;I1027,"✕ INSUFFISANT",IF(K1027&lt;I1027*1.2,"⚠ STOCK FAIBLE","✓ COUVERT"))</f>
        <v/>
      </c>
      <c r="N1027" s="7" t="inlineStr">
        <is>
          <t>YZK</t>
        </is>
      </c>
      <c r="O1027" s="7" t="inlineStr">
        <is>
          <t>IMPORTANT</t>
        </is>
      </c>
      <c r="P1027" s="7" t="inlineStr">
        <is>
          <t>31/08/2026 02:59</t>
        </is>
      </c>
    </row>
    <row r="1028">
      <c r="A1028" s="8" t="inlineStr">
        <is>
          <t>WHAP 8x8</t>
        </is>
      </c>
      <c r="B1028" s="8" t="inlineStr">
        <is>
          <t>WHAP-1024</t>
        </is>
      </c>
      <c r="C1028" s="8" t="inlineStr">
        <is>
          <t>SUS-1024</t>
        </is>
      </c>
      <c r="D1028" s="8" t="inlineStr">
        <is>
          <t>rotule supérieure — arrière gauche</t>
        </is>
      </c>
      <c r="E1028" s="8" t="inlineStr">
        <is>
          <t>Suspension</t>
        </is>
      </c>
      <c r="F1028" s="8" t="inlineStr">
        <is>
          <t>Suspension</t>
        </is>
      </c>
      <c r="G1028" s="8" t="inlineStr">
        <is>
          <t>PIECE_VEHICULE</t>
        </is>
      </c>
      <c r="H1028" s="8" t="n">
        <v>1</v>
      </c>
      <c r="I1028" s="8">
        <f>H1028*$D$3</f>
        <v/>
      </c>
      <c r="J1028" s="8" t="inlineStr">
        <is>
          <t>unité</t>
        </is>
      </c>
      <c r="K1028" s="8" t="n">
        <v>0</v>
      </c>
      <c r="L1028" s="8">
        <f>K1028-I1028</f>
        <v/>
      </c>
      <c r="M1028" s="8">
        <f>IF(K1028&lt;I1028,"✕ INSUFFISANT",IF(K1028&lt;I1028*1.2,"⚠ STOCK FAIBLE","✓ COUVERT"))</f>
        <v/>
      </c>
      <c r="N1028" s="8" t="inlineStr">
        <is>
          <t>YZK</t>
        </is>
      </c>
      <c r="O1028" s="8" t="inlineStr">
        <is>
          <t>IMPORTANT</t>
        </is>
      </c>
      <c r="P1028" s="8" t="inlineStr">
        <is>
          <t>31/08/2026 02:59</t>
        </is>
      </c>
    </row>
    <row r="1029">
      <c r="A1029" s="7" t="inlineStr">
        <is>
          <t>WHAP 8x8</t>
        </is>
      </c>
      <c r="B1029" s="7" t="inlineStr">
        <is>
          <t>WHAP-1025</t>
        </is>
      </c>
      <c r="C1029" s="7" t="inlineStr">
        <is>
          <t>SUS-1025</t>
        </is>
      </c>
      <c r="D1029" s="7" t="inlineStr">
        <is>
          <t>rotule inférieure — arrière gauche</t>
        </is>
      </c>
      <c r="E1029" s="7" t="inlineStr">
        <is>
          <t>Suspension</t>
        </is>
      </c>
      <c r="F1029" s="7" t="inlineStr">
        <is>
          <t>Suspension</t>
        </is>
      </c>
      <c r="G1029" s="7" t="inlineStr">
        <is>
          <t>PIECE_VEHICULE</t>
        </is>
      </c>
      <c r="H1029" s="7" t="n">
        <v>1</v>
      </c>
      <c r="I1029" s="7">
        <f>H1029*$D$3</f>
        <v/>
      </c>
      <c r="J1029" s="7" t="inlineStr">
        <is>
          <t>unité</t>
        </is>
      </c>
      <c r="K1029" s="7" t="n">
        <v>0</v>
      </c>
      <c r="L1029" s="7">
        <f>K1029-I1029</f>
        <v/>
      </c>
      <c r="M1029" s="7">
        <f>IF(K1029&lt;I1029,"✕ INSUFFISANT",IF(K1029&lt;I1029*1.2,"⚠ STOCK FAIBLE","✓ COUVERT"))</f>
        <v/>
      </c>
      <c r="N1029" s="7" t="inlineStr">
        <is>
          <t>DEL</t>
        </is>
      </c>
      <c r="O1029" s="7" t="inlineStr">
        <is>
          <t>IMPORTANT</t>
        </is>
      </c>
      <c r="P1029" s="7" t="inlineStr">
        <is>
          <t>31/08/2026 02:59</t>
        </is>
      </c>
    </row>
    <row r="1030">
      <c r="A1030" s="8" t="inlineStr">
        <is>
          <t>WHAP 8x8</t>
        </is>
      </c>
      <c r="B1030" s="8" t="inlineStr">
        <is>
          <t>WHAP-1026</t>
        </is>
      </c>
      <c r="C1030" s="8" t="inlineStr">
        <is>
          <t>SUS-1026</t>
        </is>
      </c>
      <c r="D1030" s="8" t="inlineStr">
        <is>
          <t>amortisseur — arrière gauche</t>
        </is>
      </c>
      <c r="E1030" s="8" t="inlineStr">
        <is>
          <t>Suspension</t>
        </is>
      </c>
      <c r="F1030" s="8" t="inlineStr">
        <is>
          <t>Suspension</t>
        </is>
      </c>
      <c r="G1030" s="8" t="inlineStr">
        <is>
          <t>PIECE_VEHICULE</t>
        </is>
      </c>
      <c r="H1030" s="8" t="n">
        <v>1</v>
      </c>
      <c r="I1030" s="8">
        <f>H1030*$D$3</f>
        <v/>
      </c>
      <c r="J1030" s="8" t="inlineStr">
        <is>
          <t>unité</t>
        </is>
      </c>
      <c r="K1030" s="8" t="n">
        <v>0</v>
      </c>
      <c r="L1030" s="8">
        <f>K1030-I1030</f>
        <v/>
      </c>
      <c r="M1030" s="8">
        <f>IF(K1030&lt;I1030,"✕ INSUFFISANT",IF(K1030&lt;I1030*1.2,"⚠ STOCK FAIBLE","✓ COUVERT"))</f>
        <v/>
      </c>
      <c r="N1030" s="8" t="inlineStr">
        <is>
          <t>VAL</t>
        </is>
      </c>
      <c r="O1030" s="8" t="inlineStr">
        <is>
          <t>IMPORTANT</t>
        </is>
      </c>
      <c r="P1030" s="8" t="inlineStr">
        <is>
          <t>31/08/2026 02:59</t>
        </is>
      </c>
    </row>
    <row r="1031">
      <c r="A1031" s="7" t="inlineStr">
        <is>
          <t>WHAP 8x8</t>
        </is>
      </c>
      <c r="B1031" s="7" t="inlineStr">
        <is>
          <t>WHAP-1027</t>
        </is>
      </c>
      <c r="C1031" s="7" t="inlineStr">
        <is>
          <t>SUS-1027</t>
        </is>
      </c>
      <c r="D1031" s="7" t="inlineStr">
        <is>
          <t>jambe hydropneumatique — arrière gauche</t>
        </is>
      </c>
      <c r="E1031" s="7" t="inlineStr">
        <is>
          <t>Suspension</t>
        </is>
      </c>
      <c r="F1031" s="7" t="inlineStr">
        <is>
          <t>Suspension</t>
        </is>
      </c>
      <c r="G1031" s="7" t="inlineStr">
        <is>
          <t>PIECE_VEHICULE</t>
        </is>
      </c>
      <c r="H1031" s="7" t="n">
        <v>1</v>
      </c>
      <c r="I1031" s="7">
        <f>H1031*$D$3</f>
        <v/>
      </c>
      <c r="J1031" s="7" t="inlineStr">
        <is>
          <t>unité</t>
        </is>
      </c>
      <c r="K1031" s="7" t="n">
        <v>0</v>
      </c>
      <c r="L1031" s="7">
        <f>K1031-I1031</f>
        <v/>
      </c>
      <c r="M1031" s="7">
        <f>IF(K1031&lt;I1031,"✕ INSUFFISANT",IF(K1031&lt;I1031*1.2,"⚠ STOCK FAIBLE","✓ COUVERT"))</f>
        <v/>
      </c>
      <c r="N1031" s="7" t="inlineStr">
        <is>
          <t>VAL</t>
        </is>
      </c>
      <c r="O1031" s="7" t="inlineStr">
        <is>
          <t>IMPORTANT</t>
        </is>
      </c>
      <c r="P1031" s="7" t="inlineStr">
        <is>
          <t>31/08/2026 02:59</t>
        </is>
      </c>
    </row>
    <row r="1032">
      <c r="A1032" s="8" t="inlineStr">
        <is>
          <t>WHAP 8x8</t>
        </is>
      </c>
      <c r="B1032" s="8" t="inlineStr">
        <is>
          <t>WHAP-1028</t>
        </is>
      </c>
      <c r="C1032" s="8" t="inlineStr">
        <is>
          <t>SUS-1028</t>
        </is>
      </c>
      <c r="D1032" s="8" t="inlineStr">
        <is>
          <t>accumulateur hydropneumatique — arrière gauche</t>
        </is>
      </c>
      <c r="E1032" s="8" t="inlineStr">
        <is>
          <t>Suspension</t>
        </is>
      </c>
      <c r="F1032" s="8" t="inlineStr">
        <is>
          <t>Suspension</t>
        </is>
      </c>
      <c r="G1032" s="8" t="inlineStr">
        <is>
          <t>PIECE_VEHICULE</t>
        </is>
      </c>
      <c r="H1032" s="8" t="n">
        <v>1</v>
      </c>
      <c r="I1032" s="8">
        <f>H1032*$D$3</f>
        <v/>
      </c>
      <c r="J1032" s="8" t="inlineStr">
        <is>
          <t>unité</t>
        </is>
      </c>
      <c r="K1032" s="8" t="n">
        <v>0</v>
      </c>
      <c r="L1032" s="8">
        <f>K1032-I1032</f>
        <v/>
      </c>
      <c r="M1032" s="8">
        <f>IF(K1032&lt;I1032,"✕ INSUFFISANT",IF(K1032&lt;I1032*1.2,"⚠ STOCK FAIBLE","✓ COUVERT"))</f>
        <v/>
      </c>
      <c r="N1032" s="8" t="inlineStr">
        <is>
          <t>DEL</t>
        </is>
      </c>
      <c r="O1032" s="8" t="inlineStr">
        <is>
          <t>IMPORTANT</t>
        </is>
      </c>
      <c r="P1032" s="8" t="inlineStr">
        <is>
          <t>31/08/2026 02:59</t>
        </is>
      </c>
    </row>
    <row r="1033">
      <c r="A1033" s="7" t="inlineStr">
        <is>
          <t>WHAP 8x8</t>
        </is>
      </c>
      <c r="B1033" s="7" t="inlineStr">
        <is>
          <t>WHAP-1029</t>
        </is>
      </c>
      <c r="C1033" s="7" t="inlineStr">
        <is>
          <t>SUS-1029</t>
        </is>
      </c>
      <c r="D1033" s="7" t="inlineStr">
        <is>
          <t>cylindre de suspension — arrière gauche</t>
        </is>
      </c>
      <c r="E1033" s="7" t="inlineStr">
        <is>
          <t>Suspension</t>
        </is>
      </c>
      <c r="F1033" s="7" t="inlineStr">
        <is>
          <t>Suspension</t>
        </is>
      </c>
      <c r="G1033" s="7" t="inlineStr">
        <is>
          <t>PIECE_VEHICULE</t>
        </is>
      </c>
      <c r="H1033" s="7" t="n">
        <v>1</v>
      </c>
      <c r="I1033" s="7">
        <f>H1033*$D$3</f>
        <v/>
      </c>
      <c r="J1033" s="7" t="inlineStr">
        <is>
          <t>unité</t>
        </is>
      </c>
      <c r="K1033" s="7" t="n">
        <v>0</v>
      </c>
      <c r="L1033" s="7">
        <f>K1033-I1033</f>
        <v/>
      </c>
      <c r="M1033" s="7">
        <f>IF(K1033&lt;I1033,"✕ INSUFFISANT",IF(K1033&lt;I1033*1.2,"⚠ STOCK FAIBLE","✓ COUVERT"))</f>
        <v/>
      </c>
      <c r="N1033" s="7" t="inlineStr">
        <is>
          <t>FAU</t>
        </is>
      </c>
      <c r="O1033" s="7" t="inlineStr">
        <is>
          <t>IMPORTANT</t>
        </is>
      </c>
      <c r="P1033" s="7" t="inlineStr">
        <is>
          <t>31/08/2026 02:59</t>
        </is>
      </c>
    </row>
    <row r="1034">
      <c r="A1034" s="8" t="inlineStr">
        <is>
          <t>WHAP 8x8</t>
        </is>
      </c>
      <c r="B1034" s="8" t="inlineStr">
        <is>
          <t>WHAP-1030</t>
        </is>
      </c>
      <c r="C1034" s="8" t="inlineStr">
        <is>
          <t>SUS-1030</t>
        </is>
      </c>
      <c r="D1034" s="8" t="inlineStr">
        <is>
          <t>piston de suspension — arrière gauche</t>
        </is>
      </c>
      <c r="E1034" s="8" t="inlineStr">
        <is>
          <t>Suspension</t>
        </is>
      </c>
      <c r="F1034" s="8" t="inlineStr">
        <is>
          <t>Suspension</t>
        </is>
      </c>
      <c r="G1034" s="8" t="inlineStr">
        <is>
          <t>PIECE_VEHICULE</t>
        </is>
      </c>
      <c r="H1034" s="8" t="n">
        <v>1</v>
      </c>
      <c r="I1034" s="8">
        <f>H1034*$D$3</f>
        <v/>
      </c>
      <c r="J1034" s="8" t="inlineStr">
        <is>
          <t>unité</t>
        </is>
      </c>
      <c r="K1034" s="8" t="n">
        <v>0</v>
      </c>
      <c r="L1034" s="8">
        <f>K1034-I1034</f>
        <v/>
      </c>
      <c r="M1034" s="8">
        <f>IF(K1034&lt;I1034,"✕ INSUFFISANT",IF(K1034&lt;I1034*1.2,"⚠ STOCK FAIBLE","✓ COUVERT"))</f>
        <v/>
      </c>
      <c r="N1034" s="8" t="inlineStr">
        <is>
          <t>MAG</t>
        </is>
      </c>
      <c r="O1034" s="8" t="inlineStr">
        <is>
          <t>IMPORTANT</t>
        </is>
      </c>
      <c r="P1034" s="8" t="inlineStr">
        <is>
          <t>31/08/2026 02:59</t>
        </is>
      </c>
    </row>
    <row r="1035">
      <c r="A1035" s="7" t="inlineStr">
        <is>
          <t>WHAP 8x8</t>
        </is>
      </c>
      <c r="B1035" s="7" t="inlineStr">
        <is>
          <t>WHAP-1031</t>
        </is>
      </c>
      <c r="C1035" s="7" t="inlineStr">
        <is>
          <t>SUS-1031</t>
        </is>
      </c>
      <c r="D1035" s="7" t="inlineStr">
        <is>
          <t>tige de suspension — arrière gauche</t>
        </is>
      </c>
      <c r="E1035" s="7" t="inlineStr">
        <is>
          <t>Suspension</t>
        </is>
      </c>
      <c r="F1035" s="7" t="inlineStr">
        <is>
          <t>Suspension</t>
        </is>
      </c>
      <c r="G1035" s="7" t="inlineStr">
        <is>
          <t>PIECE_VEHICULE</t>
        </is>
      </c>
      <c r="H1035" s="7" t="n">
        <v>1</v>
      </c>
      <c r="I1035" s="7">
        <f>H1035*$D$3</f>
        <v/>
      </c>
      <c r="J1035" s="7" t="inlineStr">
        <is>
          <t>unité</t>
        </is>
      </c>
      <c r="K1035" s="7" t="n">
        <v>0</v>
      </c>
      <c r="L1035" s="7">
        <f>K1035-I1035</f>
        <v/>
      </c>
      <c r="M1035" s="7">
        <f>IF(K1035&lt;I1035,"✕ INSUFFISANT",IF(K1035&lt;I1035*1.2,"⚠ STOCK FAIBLE","✓ COUVERT"))</f>
        <v/>
      </c>
      <c r="N1035" s="7" t="inlineStr">
        <is>
          <t>YZK</t>
        </is>
      </c>
      <c r="O1035" s="7" t="inlineStr">
        <is>
          <t>IMPORTANT</t>
        </is>
      </c>
      <c r="P1035" s="7" t="inlineStr">
        <is>
          <t>31/08/2026 02:59</t>
        </is>
      </c>
    </row>
    <row r="1036">
      <c r="A1036" s="8" t="inlineStr">
        <is>
          <t>WHAP 8x8</t>
        </is>
      </c>
      <c r="B1036" s="8" t="inlineStr">
        <is>
          <t>WHAP-1032</t>
        </is>
      </c>
      <c r="C1036" s="8" t="inlineStr">
        <is>
          <t>SUS-1032</t>
        </is>
      </c>
      <c r="D1036" s="8" t="inlineStr">
        <is>
          <t>joint de tige — arrière gauche</t>
        </is>
      </c>
      <c r="E1036" s="8" t="inlineStr">
        <is>
          <t>Suspension</t>
        </is>
      </c>
      <c r="F1036" s="8" t="inlineStr">
        <is>
          <t>Suspension</t>
        </is>
      </c>
      <c r="G1036" s="8" t="inlineStr">
        <is>
          <t>PIECE_VEHICULE</t>
        </is>
      </c>
      <c r="H1036" s="8" t="n">
        <v>1</v>
      </c>
      <c r="I1036" s="8">
        <f>H1036*$D$3</f>
        <v/>
      </c>
      <c r="J1036" s="8" t="inlineStr">
        <is>
          <t>unité</t>
        </is>
      </c>
      <c r="K1036" s="8" t="n">
        <v>0</v>
      </c>
      <c r="L1036" s="8">
        <f>K1036-I1036</f>
        <v/>
      </c>
      <c r="M1036" s="8">
        <f>IF(K1036&lt;I1036,"✕ INSUFFISANT",IF(K1036&lt;I1036*1.2,"⚠ STOCK FAIBLE","✓ COUVERT"))</f>
        <v/>
      </c>
      <c r="N1036" s="8" t="inlineStr">
        <is>
          <t>SUM</t>
        </is>
      </c>
      <c r="O1036" s="8" t="inlineStr">
        <is>
          <t>IMPORTANT</t>
        </is>
      </c>
      <c r="P1036" s="8" t="inlineStr">
        <is>
          <t>31/08/2026 02:59</t>
        </is>
      </c>
    </row>
    <row r="1037">
      <c r="A1037" s="7" t="inlineStr">
        <is>
          <t>WHAP 8x8</t>
        </is>
      </c>
      <c r="B1037" s="7" t="inlineStr">
        <is>
          <t>WHAP-1033</t>
        </is>
      </c>
      <c r="C1037" s="7" t="inlineStr">
        <is>
          <t>SUS-1033</t>
        </is>
      </c>
      <c r="D1037" s="7" t="inlineStr">
        <is>
          <t>bague de guidage — arrière gauche</t>
        </is>
      </c>
      <c r="E1037" s="7" t="inlineStr">
        <is>
          <t>Suspension</t>
        </is>
      </c>
      <c r="F1037" s="7" t="inlineStr">
        <is>
          <t>Suspension</t>
        </is>
      </c>
      <c r="G1037" s="7" t="inlineStr">
        <is>
          <t>PIECE_VEHICULE</t>
        </is>
      </c>
      <c r="H1037" s="7" t="n">
        <v>1</v>
      </c>
      <c r="I1037" s="7">
        <f>H1037*$D$3</f>
        <v/>
      </c>
      <c r="J1037" s="7" t="inlineStr">
        <is>
          <t>unité</t>
        </is>
      </c>
      <c r="K1037" s="7" t="n">
        <v>0</v>
      </c>
      <c r="L1037" s="7">
        <f>K1037-I1037</f>
        <v/>
      </c>
      <c r="M1037" s="7">
        <f>IF(K1037&lt;I1037,"✕ INSUFFISANT",IF(K1037&lt;I1037*1.2,"⚠ STOCK FAIBLE","✓ COUVERT"))</f>
        <v/>
      </c>
      <c r="N1037" s="7" t="inlineStr">
        <is>
          <t>HEL</t>
        </is>
      </c>
      <c r="O1037" s="7" t="inlineStr">
        <is>
          <t>IMPORTANT</t>
        </is>
      </c>
      <c r="P1037" s="7" t="inlineStr">
        <is>
          <t>31/08/2026 02:59</t>
        </is>
      </c>
    </row>
    <row r="1038">
      <c r="A1038" s="8" t="inlineStr">
        <is>
          <t>WHAP 8x8</t>
        </is>
      </c>
      <c r="B1038" s="8" t="inlineStr">
        <is>
          <t>WHAP-1034</t>
        </is>
      </c>
      <c r="C1038" s="8" t="inlineStr">
        <is>
          <t>SUS-1034</t>
        </is>
      </c>
      <c r="D1038" s="8" t="inlineStr">
        <is>
          <t>ressort auxiliaire — arrière gauche</t>
        </is>
      </c>
      <c r="E1038" s="8" t="inlineStr">
        <is>
          <t>Suspension</t>
        </is>
      </c>
      <c r="F1038" s="8" t="inlineStr">
        <is>
          <t>Suspension</t>
        </is>
      </c>
      <c r="G1038" s="8" t="inlineStr">
        <is>
          <t>PIECE_VEHICULE</t>
        </is>
      </c>
      <c r="H1038" s="8" t="n">
        <v>1</v>
      </c>
      <c r="I1038" s="8">
        <f>H1038*$D$3</f>
        <v/>
      </c>
      <c r="J1038" s="8" t="inlineStr">
        <is>
          <t>unité</t>
        </is>
      </c>
      <c r="K1038" s="8" t="n">
        <v>0</v>
      </c>
      <c r="L1038" s="8">
        <f>K1038-I1038</f>
        <v/>
      </c>
      <c r="M1038" s="8">
        <f>IF(K1038&lt;I1038,"✕ INSUFFISANT",IF(K1038&lt;I1038*1.2,"⚠ STOCK FAIBLE","✓ COUVERT"))</f>
        <v/>
      </c>
      <c r="N1038" s="8" t="inlineStr">
        <is>
          <t>BOS</t>
        </is>
      </c>
      <c r="O1038" s="8" t="inlineStr">
        <is>
          <t>IMPORTANT</t>
        </is>
      </c>
      <c r="P1038" s="8" t="inlineStr">
        <is>
          <t>31/08/2026 02:59</t>
        </is>
      </c>
    </row>
    <row r="1039">
      <c r="A1039" s="7" t="inlineStr">
        <is>
          <t>WHAP 8x8</t>
        </is>
      </c>
      <c r="B1039" s="7" t="inlineStr">
        <is>
          <t>WHAP-1035</t>
        </is>
      </c>
      <c r="C1039" s="7" t="inlineStr">
        <is>
          <t>SUS-1035</t>
        </is>
      </c>
      <c r="D1039" s="7" t="inlineStr">
        <is>
          <t>butée de suspension — arrière gauche</t>
        </is>
      </c>
      <c r="E1039" s="7" t="inlineStr">
        <is>
          <t>Suspension</t>
        </is>
      </c>
      <c r="F1039" s="7" t="inlineStr">
        <is>
          <t>Suspension</t>
        </is>
      </c>
      <c r="G1039" s="7" t="inlineStr">
        <is>
          <t>PIECE_VEHICULE</t>
        </is>
      </c>
      <c r="H1039" s="7" t="n">
        <v>1</v>
      </c>
      <c r="I1039" s="7">
        <f>H1039*$D$3</f>
        <v/>
      </c>
      <c r="J1039" s="7" t="inlineStr">
        <is>
          <t>unité</t>
        </is>
      </c>
      <c r="K1039" s="7" t="n">
        <v>0</v>
      </c>
      <c r="L1039" s="7">
        <f>K1039-I1039</f>
        <v/>
      </c>
      <c r="M1039" s="7">
        <f>IF(K1039&lt;I1039,"✕ INSUFFISANT",IF(K1039&lt;I1039*1.2,"⚠ STOCK FAIBLE","✓ COUVERT"))</f>
        <v/>
      </c>
      <c r="N1039" s="7" t="inlineStr">
        <is>
          <t>SKF</t>
        </is>
      </c>
      <c r="O1039" s="7" t="inlineStr">
        <is>
          <t>IMPORTANT</t>
        </is>
      </c>
      <c r="P1039" s="7" t="inlineStr">
        <is>
          <t>31/08/2026 02:59</t>
        </is>
      </c>
    </row>
    <row r="1040">
      <c r="A1040" s="8" t="inlineStr">
        <is>
          <t>WHAP 8x8</t>
        </is>
      </c>
      <c r="B1040" s="8" t="inlineStr">
        <is>
          <t>WHAP-1036</t>
        </is>
      </c>
      <c r="C1040" s="8" t="inlineStr">
        <is>
          <t>SUS-1036</t>
        </is>
      </c>
      <c r="D1040" s="8" t="inlineStr">
        <is>
          <t>silentbloc de bras — arrière gauche</t>
        </is>
      </c>
      <c r="E1040" s="8" t="inlineStr">
        <is>
          <t>Suspension</t>
        </is>
      </c>
      <c r="F1040" s="8" t="inlineStr">
        <is>
          <t>Suspension</t>
        </is>
      </c>
      <c r="G1040" s="8" t="inlineStr">
        <is>
          <t>PIECE_VEHICULE</t>
        </is>
      </c>
      <c r="H1040" s="8" t="n">
        <v>1</v>
      </c>
      <c r="I1040" s="8">
        <f>H1040*$D$3</f>
        <v/>
      </c>
      <c r="J1040" s="8" t="inlineStr">
        <is>
          <t>unité</t>
        </is>
      </c>
      <c r="K1040" s="8" t="n">
        <v>0</v>
      </c>
      <c r="L1040" s="8">
        <f>K1040-I1040</f>
        <v/>
      </c>
      <c r="M1040" s="8">
        <f>IF(K1040&lt;I1040,"✕ INSUFFISANT",IF(K1040&lt;I1040*1.2,"⚠ STOCK FAIBLE","✓ COUVERT"))</f>
        <v/>
      </c>
      <c r="N1040" s="8" t="inlineStr">
        <is>
          <t>HEL</t>
        </is>
      </c>
      <c r="O1040" s="8" t="inlineStr">
        <is>
          <t>IMPORTANT</t>
        </is>
      </c>
      <c r="P1040" s="8" t="inlineStr">
        <is>
          <t>31/08/2026 02:59</t>
        </is>
      </c>
    </row>
    <row r="1041">
      <c r="A1041" s="7" t="inlineStr">
        <is>
          <t>WHAP 8x8</t>
        </is>
      </c>
      <c r="B1041" s="7" t="inlineStr">
        <is>
          <t>WHAP-1037</t>
        </is>
      </c>
      <c r="C1041" s="7" t="inlineStr">
        <is>
          <t>SUS-1037</t>
        </is>
      </c>
      <c r="D1041" s="7" t="inlineStr">
        <is>
          <t>support de suspension — arrière gauche</t>
        </is>
      </c>
      <c r="E1041" s="7" t="inlineStr">
        <is>
          <t>Suspension</t>
        </is>
      </c>
      <c r="F1041" s="7" t="inlineStr">
        <is>
          <t>Suspension</t>
        </is>
      </c>
      <c r="G1041" s="7" t="inlineStr">
        <is>
          <t>PIECE_VEHICULE</t>
        </is>
      </c>
      <c r="H1041" s="7" t="n">
        <v>1</v>
      </c>
      <c r="I1041" s="7">
        <f>H1041*$D$3</f>
        <v/>
      </c>
      <c r="J1041" s="7" t="inlineStr">
        <is>
          <t>unité</t>
        </is>
      </c>
      <c r="K1041" s="7" t="n">
        <v>0</v>
      </c>
      <c r="L1041" s="7">
        <f>K1041-I1041</f>
        <v/>
      </c>
      <c r="M1041" s="7">
        <f>IF(K1041&lt;I1041,"✕ INSUFFISANT",IF(K1041&lt;I1041*1.2,"⚠ STOCK FAIBLE","✓ COUVERT"))</f>
        <v/>
      </c>
      <c r="N1041" s="7" t="inlineStr">
        <is>
          <t>CTL</t>
        </is>
      </c>
      <c r="O1041" s="7" t="inlineStr">
        <is>
          <t>IMPORTANT</t>
        </is>
      </c>
      <c r="P1041" s="7" t="inlineStr">
        <is>
          <t>31/08/2026 02:59</t>
        </is>
      </c>
    </row>
    <row r="1042">
      <c r="A1042" s="8" t="inlineStr">
        <is>
          <t>WHAP 8x8</t>
        </is>
      </c>
      <c r="B1042" s="8" t="inlineStr">
        <is>
          <t>WHAP-1038</t>
        </is>
      </c>
      <c r="C1042" s="8" t="inlineStr">
        <is>
          <t>SUS-1038</t>
        </is>
      </c>
      <c r="D1042" s="8" t="inlineStr">
        <is>
          <t>capteur de hauteur — arrière gauche</t>
        </is>
      </c>
      <c r="E1042" s="8" t="inlineStr">
        <is>
          <t>Suspension</t>
        </is>
      </c>
      <c r="F1042" s="8" t="inlineStr">
        <is>
          <t>Suspension</t>
        </is>
      </c>
      <c r="G1042" s="8" t="inlineStr">
        <is>
          <t>PIECE_VEHICULE</t>
        </is>
      </c>
      <c r="H1042" s="8" t="n">
        <v>1</v>
      </c>
      <c r="I1042" s="8">
        <f>H1042*$D$3</f>
        <v/>
      </c>
      <c r="J1042" s="8" t="inlineStr">
        <is>
          <t>unité</t>
        </is>
      </c>
      <c r="K1042" s="8" t="n">
        <v>0</v>
      </c>
      <c r="L1042" s="8">
        <f>K1042-I1042</f>
        <v/>
      </c>
      <c r="M1042" s="8">
        <f>IF(K1042&lt;I1042,"✕ INSUFFISANT",IF(K1042&lt;I1042*1.2,"⚠ STOCK FAIBLE","✓ COUVERT"))</f>
        <v/>
      </c>
      <c r="N1042" s="8" t="inlineStr">
        <is>
          <t>SKF</t>
        </is>
      </c>
      <c r="O1042" s="8" t="inlineStr">
        <is>
          <t>IMPORTANT</t>
        </is>
      </c>
      <c r="P1042" s="8" t="inlineStr">
        <is>
          <t>31/08/2026 02:59</t>
        </is>
      </c>
    </row>
    <row r="1043">
      <c r="A1043" s="7" t="inlineStr">
        <is>
          <t>WHAP 8x8</t>
        </is>
      </c>
      <c r="B1043" s="7" t="inlineStr">
        <is>
          <t>WHAP-1039</t>
        </is>
      </c>
      <c r="C1043" s="7" t="inlineStr">
        <is>
          <t>SUS-1039</t>
        </is>
      </c>
      <c r="D1043" s="7" t="inlineStr">
        <is>
          <t>valve de suspension — arrière gauche</t>
        </is>
      </c>
      <c r="E1043" s="7" t="inlineStr">
        <is>
          <t>Suspension</t>
        </is>
      </c>
      <c r="F1043" s="7" t="inlineStr">
        <is>
          <t>Suspension</t>
        </is>
      </c>
      <c r="G1043" s="7" t="inlineStr">
        <is>
          <t>PIECE_VEHICULE</t>
        </is>
      </c>
      <c r="H1043" s="7" t="n">
        <v>1</v>
      </c>
      <c r="I1043" s="7">
        <f>H1043*$D$3</f>
        <v/>
      </c>
      <c r="J1043" s="7" t="inlineStr">
        <is>
          <t>unité</t>
        </is>
      </c>
      <c r="K1043" s="7" t="n">
        <v>0</v>
      </c>
      <c r="L1043" s="7">
        <f>K1043-I1043</f>
        <v/>
      </c>
      <c r="M1043" s="7">
        <f>IF(K1043&lt;I1043,"✕ INSUFFISANT",IF(K1043&lt;I1043*1.2,"⚠ STOCK FAIBLE","✓ COUVERT"))</f>
        <v/>
      </c>
      <c r="N1043" s="7" t="inlineStr">
        <is>
          <t>SUM</t>
        </is>
      </c>
      <c r="O1043" s="7" t="inlineStr">
        <is>
          <t>IMPORTANT</t>
        </is>
      </c>
      <c r="P1043" s="7" t="inlineStr">
        <is>
          <t>31/08/2026 02:59</t>
        </is>
      </c>
    </row>
    <row r="1044">
      <c r="A1044" s="8" t="inlineStr">
        <is>
          <t>WHAP 8x8</t>
        </is>
      </c>
      <c r="B1044" s="8" t="inlineStr">
        <is>
          <t>WHAP-1040</t>
        </is>
      </c>
      <c r="C1044" s="8" t="inlineStr">
        <is>
          <t>SUS-1040</t>
        </is>
      </c>
      <c r="D1044" s="8" t="inlineStr">
        <is>
          <t>conduite hydraulique — arrière gauche</t>
        </is>
      </c>
      <c r="E1044" s="8" t="inlineStr">
        <is>
          <t>Suspension</t>
        </is>
      </c>
      <c r="F1044" s="8" t="inlineStr">
        <is>
          <t>Suspension</t>
        </is>
      </c>
      <c r="G1044" s="8" t="inlineStr">
        <is>
          <t>PIECE_VEHICULE</t>
        </is>
      </c>
      <c r="H1044" s="8" t="n">
        <v>1</v>
      </c>
      <c r="I1044" s="8">
        <f>H1044*$D$3</f>
        <v/>
      </c>
      <c r="J1044" s="8" t="inlineStr">
        <is>
          <t>unité</t>
        </is>
      </c>
      <c r="K1044" s="8" t="n">
        <v>0</v>
      </c>
      <c r="L1044" s="8">
        <f>K1044-I1044</f>
        <v/>
      </c>
      <c r="M1044" s="8">
        <f>IF(K1044&lt;I1044,"✕ INSUFFISANT",IF(K1044&lt;I1044*1.2,"⚠ STOCK FAIBLE","✓ COUVERT"))</f>
        <v/>
      </c>
      <c r="N1044" s="8" t="inlineStr">
        <is>
          <t>CTL</t>
        </is>
      </c>
      <c r="O1044" s="8" t="inlineStr">
        <is>
          <t>IMPORTANT</t>
        </is>
      </c>
      <c r="P1044" s="8" t="inlineStr">
        <is>
          <t>31/08/2026 02:59</t>
        </is>
      </c>
    </row>
    <row r="1045">
      <c r="A1045" s="7" t="inlineStr">
        <is>
          <t>WHAP 8x8</t>
        </is>
      </c>
      <c r="B1045" s="7" t="inlineStr">
        <is>
          <t>WHAP-1041</t>
        </is>
      </c>
      <c r="C1045" s="7" t="inlineStr">
        <is>
          <t>SUS-1041</t>
        </is>
      </c>
      <c r="D1045" s="7" t="inlineStr">
        <is>
          <t>raccord hydraulique — arrière gauche</t>
        </is>
      </c>
      <c r="E1045" s="7" t="inlineStr">
        <is>
          <t>Suspension</t>
        </is>
      </c>
      <c r="F1045" s="7" t="inlineStr">
        <is>
          <t>Suspension</t>
        </is>
      </c>
      <c r="G1045" s="7" t="inlineStr">
        <is>
          <t>PIECE_VEHICULE</t>
        </is>
      </c>
      <c r="H1045" s="7" t="n">
        <v>1</v>
      </c>
      <c r="I1045" s="7">
        <f>H1045*$D$3</f>
        <v/>
      </c>
      <c r="J1045" s="7" t="inlineStr">
        <is>
          <t>unité</t>
        </is>
      </c>
      <c r="K1045" s="7" t="n">
        <v>0</v>
      </c>
      <c r="L1045" s="7">
        <f>K1045-I1045</f>
        <v/>
      </c>
      <c r="M1045" s="7">
        <f>IF(K1045&lt;I1045,"✕ INSUFFISANT",IF(K1045&lt;I1045*1.2,"⚠ STOCK FAIBLE","✓ COUVERT"))</f>
        <v/>
      </c>
      <c r="N1045" s="7" t="inlineStr">
        <is>
          <t>MAG</t>
        </is>
      </c>
      <c r="O1045" s="7" t="inlineStr">
        <is>
          <t>IMPORTANT</t>
        </is>
      </c>
      <c r="P1045" s="7" t="inlineStr">
        <is>
          <t>31/08/2026 02:59</t>
        </is>
      </c>
    </row>
    <row r="1046">
      <c r="A1046" s="8" t="inlineStr">
        <is>
          <t>WHAP 8x8</t>
        </is>
      </c>
      <c r="B1046" s="8" t="inlineStr">
        <is>
          <t>WHAP-1042</t>
        </is>
      </c>
      <c r="C1046" s="8" t="inlineStr">
        <is>
          <t>SUS-1042</t>
        </is>
      </c>
      <c r="D1046" s="8" t="inlineStr">
        <is>
          <t>pompe hydraulique — arrière gauche</t>
        </is>
      </c>
      <c r="E1046" s="8" t="inlineStr">
        <is>
          <t>Suspension</t>
        </is>
      </c>
      <c r="F1046" s="8" t="inlineStr">
        <is>
          <t>Suspension</t>
        </is>
      </c>
      <c r="G1046" s="8" t="inlineStr">
        <is>
          <t>PIECE_VEHICULE</t>
        </is>
      </c>
      <c r="H1046" s="8" t="n">
        <v>1</v>
      </c>
      <c r="I1046" s="8">
        <f>H1046*$D$3</f>
        <v/>
      </c>
      <c r="J1046" s="8" t="inlineStr">
        <is>
          <t>unité</t>
        </is>
      </c>
      <c r="K1046" s="8" t="n">
        <v>0</v>
      </c>
      <c r="L1046" s="8">
        <f>K1046-I1046</f>
        <v/>
      </c>
      <c r="M1046" s="8">
        <f>IF(K1046&lt;I1046,"✕ INSUFFISANT",IF(K1046&lt;I1046*1.2,"⚠ STOCK FAIBLE","✓ COUVERT"))</f>
        <v/>
      </c>
      <c r="N1046" s="8" t="inlineStr">
        <is>
          <t>SKF</t>
        </is>
      </c>
      <c r="O1046" s="8" t="inlineStr">
        <is>
          <t>IMPORTANT</t>
        </is>
      </c>
      <c r="P1046" s="8" t="inlineStr">
        <is>
          <t>31/08/2026 02:59</t>
        </is>
      </c>
    </row>
    <row r="1047">
      <c r="A1047" s="7" t="inlineStr">
        <is>
          <t>WHAP 8x8</t>
        </is>
      </c>
      <c r="B1047" s="7" t="inlineStr">
        <is>
          <t>WHAP-1043</t>
        </is>
      </c>
      <c r="C1047" s="7" t="inlineStr">
        <is>
          <t>SUS-1043</t>
        </is>
      </c>
      <c r="D1047" s="7" t="inlineStr">
        <is>
          <t>réservoir hydraulique — arrière gauche</t>
        </is>
      </c>
      <c r="E1047" s="7" t="inlineStr">
        <is>
          <t>Suspension</t>
        </is>
      </c>
      <c r="F1047" s="7" t="inlineStr">
        <is>
          <t>Suspension</t>
        </is>
      </c>
      <c r="G1047" s="7" t="inlineStr">
        <is>
          <t>PIECE_VEHICULE</t>
        </is>
      </c>
      <c r="H1047" s="7" t="n">
        <v>1</v>
      </c>
      <c r="I1047" s="7">
        <f>H1047*$D$3</f>
        <v/>
      </c>
      <c r="J1047" s="7" t="inlineStr">
        <is>
          <t>unité</t>
        </is>
      </c>
      <c r="K1047" s="7" t="n">
        <v>0</v>
      </c>
      <c r="L1047" s="7">
        <f>K1047-I1047</f>
        <v/>
      </c>
      <c r="M1047" s="7">
        <f>IF(K1047&lt;I1047,"✕ INSUFFISANT",IF(K1047&lt;I1047*1.2,"⚠ STOCK FAIBLE","✓ COUVERT"))</f>
        <v/>
      </c>
      <c r="N1047" s="7" t="inlineStr">
        <is>
          <t>FAU</t>
        </is>
      </c>
      <c r="O1047" s="7" t="inlineStr">
        <is>
          <t>IMPORTANT</t>
        </is>
      </c>
      <c r="P1047" s="7" t="inlineStr">
        <is>
          <t>31/08/2026 02:59</t>
        </is>
      </c>
    </row>
    <row r="1048">
      <c r="A1048" s="8" t="inlineStr">
        <is>
          <t>WHAP 8x8</t>
        </is>
      </c>
      <c r="B1048" s="8" t="inlineStr">
        <is>
          <t>WHAP-1044</t>
        </is>
      </c>
      <c r="C1048" s="8" t="inlineStr">
        <is>
          <t>SUS-1044</t>
        </is>
      </c>
      <c r="D1048" s="8" t="inlineStr">
        <is>
          <t>filtre hydraulique — arrière gauche</t>
        </is>
      </c>
      <c r="E1048" s="8" t="inlineStr">
        <is>
          <t>Suspension</t>
        </is>
      </c>
      <c r="F1048" s="8" t="inlineStr">
        <is>
          <t>Suspension</t>
        </is>
      </c>
      <c r="G1048" s="8" t="inlineStr">
        <is>
          <t>PIECE_VEHICULE</t>
        </is>
      </c>
      <c r="H1048" s="8" t="n">
        <v>1</v>
      </c>
      <c r="I1048" s="8">
        <f>H1048*$D$3</f>
        <v/>
      </c>
      <c r="J1048" s="8" t="inlineStr">
        <is>
          <t>unité</t>
        </is>
      </c>
      <c r="K1048" s="8" t="n">
        <v>0</v>
      </c>
      <c r="L1048" s="8">
        <f>K1048-I1048</f>
        <v/>
      </c>
      <c r="M1048" s="8">
        <f>IF(K1048&lt;I1048,"✕ INSUFFISANT",IF(K1048&lt;I1048*1.2,"⚠ STOCK FAIBLE","✓ COUVERT"))</f>
        <v/>
      </c>
      <c r="N1048" s="8" t="inlineStr">
        <is>
          <t>BOS</t>
        </is>
      </c>
      <c r="O1048" s="8" t="inlineStr">
        <is>
          <t>IMPORTANT</t>
        </is>
      </c>
      <c r="P1048" s="8" t="inlineStr">
        <is>
          <t>31/08/2026 02:59</t>
        </is>
      </c>
    </row>
    <row r="1049">
      <c r="A1049" s="7" t="inlineStr">
        <is>
          <t>WHAP 8x8</t>
        </is>
      </c>
      <c r="B1049" s="7" t="inlineStr">
        <is>
          <t>WHAP-1045</t>
        </is>
      </c>
      <c r="C1049" s="7" t="inlineStr">
        <is>
          <t>SUS-1045</t>
        </is>
      </c>
      <c r="D1049" s="7" t="inlineStr">
        <is>
          <t>bras supérieur — arrière droit</t>
        </is>
      </c>
      <c r="E1049" s="7" t="inlineStr">
        <is>
          <t>Suspension</t>
        </is>
      </c>
      <c r="F1049" s="7" t="inlineStr">
        <is>
          <t>Suspension</t>
        </is>
      </c>
      <c r="G1049" s="7" t="inlineStr">
        <is>
          <t>PIECE_VEHICULE</t>
        </is>
      </c>
      <c r="H1049" s="7" t="n">
        <v>1</v>
      </c>
      <c r="I1049" s="7">
        <f>H1049*$D$3</f>
        <v/>
      </c>
      <c r="J1049" s="7" t="inlineStr">
        <is>
          <t>unité</t>
        </is>
      </c>
      <c r="K1049" s="7" t="n">
        <v>0</v>
      </c>
      <c r="L1049" s="7">
        <f>K1049-I1049</f>
        <v/>
      </c>
      <c r="M1049" s="7">
        <f>IF(K1049&lt;I1049,"✕ INSUFFISANT",IF(K1049&lt;I1049*1.2,"⚠ STOCK FAIBLE","✓ COUVERT"))</f>
        <v/>
      </c>
      <c r="N1049" s="7" t="inlineStr">
        <is>
          <t>DEL</t>
        </is>
      </c>
      <c r="O1049" s="7" t="inlineStr">
        <is>
          <t>IMPORTANT</t>
        </is>
      </c>
      <c r="P1049" s="7" t="inlineStr">
        <is>
          <t>31/08/2026 02:59</t>
        </is>
      </c>
    </row>
    <row r="1050">
      <c r="A1050" s="8" t="inlineStr">
        <is>
          <t>WHAP 8x8</t>
        </is>
      </c>
      <c r="B1050" s="8" t="inlineStr">
        <is>
          <t>WHAP-1046</t>
        </is>
      </c>
      <c r="C1050" s="8" t="inlineStr">
        <is>
          <t>SUS-1046</t>
        </is>
      </c>
      <c r="D1050" s="8" t="inlineStr">
        <is>
          <t>bras inférieur — arrière droit</t>
        </is>
      </c>
      <c r="E1050" s="8" t="inlineStr">
        <is>
          <t>Suspension</t>
        </is>
      </c>
      <c r="F1050" s="8" t="inlineStr">
        <is>
          <t>Suspension</t>
        </is>
      </c>
      <c r="G1050" s="8" t="inlineStr">
        <is>
          <t>PIECE_VEHICULE</t>
        </is>
      </c>
      <c r="H1050" s="8" t="n">
        <v>1</v>
      </c>
      <c r="I1050" s="8">
        <f>H1050*$D$3</f>
        <v/>
      </c>
      <c r="J1050" s="8" t="inlineStr">
        <is>
          <t>unité</t>
        </is>
      </c>
      <c r="K1050" s="8" t="n">
        <v>0</v>
      </c>
      <c r="L1050" s="8">
        <f>K1050-I1050</f>
        <v/>
      </c>
      <c r="M1050" s="8">
        <f>IF(K1050&lt;I1050,"✕ INSUFFISANT",IF(K1050&lt;I1050*1.2,"⚠ STOCK FAIBLE","✓ COUVERT"))</f>
        <v/>
      </c>
      <c r="N1050" s="8" t="inlineStr">
        <is>
          <t>SUM</t>
        </is>
      </c>
      <c r="O1050" s="8" t="inlineStr">
        <is>
          <t>IMPORTANT</t>
        </is>
      </c>
      <c r="P1050" s="8" t="inlineStr">
        <is>
          <t>31/08/2026 02:59</t>
        </is>
      </c>
    </row>
    <row r="1051">
      <c r="A1051" s="7" t="inlineStr">
        <is>
          <t>WHAP 8x8</t>
        </is>
      </c>
      <c r="B1051" s="7" t="inlineStr">
        <is>
          <t>WHAP-1047</t>
        </is>
      </c>
      <c r="C1051" s="7" t="inlineStr">
        <is>
          <t>SUS-1047</t>
        </is>
      </c>
      <c r="D1051" s="7" t="inlineStr">
        <is>
          <t>triangle de suspension — arrière droit</t>
        </is>
      </c>
      <c r="E1051" s="7" t="inlineStr">
        <is>
          <t>Suspension</t>
        </is>
      </c>
      <c r="F1051" s="7" t="inlineStr">
        <is>
          <t>Suspension</t>
        </is>
      </c>
      <c r="G1051" s="7" t="inlineStr">
        <is>
          <t>PIECE_VEHICULE</t>
        </is>
      </c>
      <c r="H1051" s="7" t="n">
        <v>1</v>
      </c>
      <c r="I1051" s="7">
        <f>H1051*$D$3</f>
        <v/>
      </c>
      <c r="J1051" s="7" t="inlineStr">
        <is>
          <t>unité</t>
        </is>
      </c>
      <c r="K1051" s="7" t="n">
        <v>0</v>
      </c>
      <c r="L1051" s="7">
        <f>K1051-I1051</f>
        <v/>
      </c>
      <c r="M1051" s="7">
        <f>IF(K1051&lt;I1051,"✕ INSUFFISANT",IF(K1051&lt;I1051*1.2,"⚠ STOCK FAIBLE","✓ COUVERT"))</f>
        <v/>
      </c>
      <c r="N1051" s="7" t="inlineStr">
        <is>
          <t>VAL</t>
        </is>
      </c>
      <c r="O1051" s="7" t="inlineStr">
        <is>
          <t>IMPORTANT</t>
        </is>
      </c>
      <c r="P1051" s="7" t="inlineStr">
        <is>
          <t>31/08/2026 02:59</t>
        </is>
      </c>
    </row>
    <row r="1052">
      <c r="A1052" s="8" t="inlineStr">
        <is>
          <t>WHAP 8x8</t>
        </is>
      </c>
      <c r="B1052" s="8" t="inlineStr">
        <is>
          <t>WHAP-1048</t>
        </is>
      </c>
      <c r="C1052" s="8" t="inlineStr">
        <is>
          <t>SUS-1048</t>
        </is>
      </c>
      <c r="D1052" s="8" t="inlineStr">
        <is>
          <t>porte-moyeu — arrière droit</t>
        </is>
      </c>
      <c r="E1052" s="8" t="inlineStr">
        <is>
          <t>Suspension</t>
        </is>
      </c>
      <c r="F1052" s="8" t="inlineStr">
        <is>
          <t>Suspension</t>
        </is>
      </c>
      <c r="G1052" s="8" t="inlineStr">
        <is>
          <t>PIECE_VEHICULE</t>
        </is>
      </c>
      <c r="H1052" s="8" t="n">
        <v>1</v>
      </c>
      <c r="I1052" s="8">
        <f>H1052*$D$3</f>
        <v/>
      </c>
      <c r="J1052" s="8" t="inlineStr">
        <is>
          <t>unité</t>
        </is>
      </c>
      <c r="K1052" s="8" t="n">
        <v>0</v>
      </c>
      <c r="L1052" s="8">
        <f>K1052-I1052</f>
        <v/>
      </c>
      <c r="M1052" s="8">
        <f>IF(K1052&lt;I1052,"✕ INSUFFISANT",IF(K1052&lt;I1052*1.2,"⚠ STOCK FAIBLE","✓ COUVERT"))</f>
        <v/>
      </c>
      <c r="N1052" s="8" t="inlineStr">
        <is>
          <t>MAG</t>
        </is>
      </c>
      <c r="O1052" s="8" t="inlineStr">
        <is>
          <t>IMPORTANT</t>
        </is>
      </c>
      <c r="P1052" s="8" t="inlineStr">
        <is>
          <t>31/08/2026 02:59</t>
        </is>
      </c>
    </row>
    <row r="1053">
      <c r="A1053" s="7" t="inlineStr">
        <is>
          <t>WHAP 8x8</t>
        </is>
      </c>
      <c r="B1053" s="7" t="inlineStr">
        <is>
          <t>WHAP-1049</t>
        </is>
      </c>
      <c r="C1053" s="7" t="inlineStr">
        <is>
          <t>SUS-1049</t>
        </is>
      </c>
      <c r="D1053" s="7" t="inlineStr">
        <is>
          <t>rotule supérieure — arrière droit</t>
        </is>
      </c>
      <c r="E1053" s="7" t="inlineStr">
        <is>
          <t>Suspension</t>
        </is>
      </c>
      <c r="F1053" s="7" t="inlineStr">
        <is>
          <t>Suspension</t>
        </is>
      </c>
      <c r="G1053" s="7" t="inlineStr">
        <is>
          <t>PIECE_VEHICULE</t>
        </is>
      </c>
      <c r="H1053" s="7" t="n">
        <v>1</v>
      </c>
      <c r="I1053" s="7">
        <f>H1053*$D$3</f>
        <v/>
      </c>
      <c r="J1053" s="7" t="inlineStr">
        <is>
          <t>unité</t>
        </is>
      </c>
      <c r="K1053" s="7" t="n">
        <v>0</v>
      </c>
      <c r="L1053" s="7">
        <f>K1053-I1053</f>
        <v/>
      </c>
      <c r="M1053" s="7">
        <f>IF(K1053&lt;I1053,"✕ INSUFFISANT",IF(K1053&lt;I1053*1.2,"⚠ STOCK FAIBLE","✓ COUVERT"))</f>
        <v/>
      </c>
      <c r="N1053" s="7" t="inlineStr">
        <is>
          <t>VAL</t>
        </is>
      </c>
      <c r="O1053" s="7" t="inlineStr">
        <is>
          <t>IMPORTANT</t>
        </is>
      </c>
      <c r="P1053" s="7" t="inlineStr">
        <is>
          <t>31/08/2026 02:59</t>
        </is>
      </c>
    </row>
    <row r="1054">
      <c r="A1054" s="8" t="inlineStr">
        <is>
          <t>WHAP 8x8</t>
        </is>
      </c>
      <c r="B1054" s="8" t="inlineStr">
        <is>
          <t>WHAP-1050</t>
        </is>
      </c>
      <c r="C1054" s="8" t="inlineStr">
        <is>
          <t>SUS-1050</t>
        </is>
      </c>
      <c r="D1054" s="8" t="inlineStr">
        <is>
          <t>rotule inférieure — arrière droit</t>
        </is>
      </c>
      <c r="E1054" s="8" t="inlineStr">
        <is>
          <t>Suspension</t>
        </is>
      </c>
      <c r="F1054" s="8" t="inlineStr">
        <is>
          <t>Suspension</t>
        </is>
      </c>
      <c r="G1054" s="8" t="inlineStr">
        <is>
          <t>PIECE_VEHICULE</t>
        </is>
      </c>
      <c r="H1054" s="8" t="n">
        <v>1</v>
      </c>
      <c r="I1054" s="8">
        <f>H1054*$D$3</f>
        <v/>
      </c>
      <c r="J1054" s="8" t="inlineStr">
        <is>
          <t>unité</t>
        </is>
      </c>
      <c r="K1054" s="8" t="n">
        <v>0</v>
      </c>
      <c r="L1054" s="8">
        <f>K1054-I1054</f>
        <v/>
      </c>
      <c r="M1054" s="8">
        <f>IF(K1054&lt;I1054,"✕ INSUFFISANT",IF(K1054&lt;I1054*1.2,"⚠ STOCK FAIBLE","✓ COUVERT"))</f>
        <v/>
      </c>
      <c r="N1054" s="8" t="inlineStr">
        <is>
          <t>SUM</t>
        </is>
      </c>
      <c r="O1054" s="8" t="inlineStr">
        <is>
          <t>IMPORTANT</t>
        </is>
      </c>
      <c r="P1054" s="8" t="inlineStr">
        <is>
          <t>31/08/2026 02:59</t>
        </is>
      </c>
    </row>
    <row r="1055">
      <c r="A1055" s="7" t="inlineStr">
        <is>
          <t>WHAP 8x8</t>
        </is>
      </c>
      <c r="B1055" s="7" t="inlineStr">
        <is>
          <t>WHAP-1051</t>
        </is>
      </c>
      <c r="C1055" s="7" t="inlineStr">
        <is>
          <t>SUS-1051</t>
        </is>
      </c>
      <c r="D1055" s="7" t="inlineStr">
        <is>
          <t>amortisseur — arrière droit</t>
        </is>
      </c>
      <c r="E1055" s="7" t="inlineStr">
        <is>
          <t>Suspension</t>
        </is>
      </c>
      <c r="F1055" s="7" t="inlineStr">
        <is>
          <t>Suspension</t>
        </is>
      </c>
      <c r="G1055" s="7" t="inlineStr">
        <is>
          <t>PIECE_VEHICULE</t>
        </is>
      </c>
      <c r="H1055" s="7" t="n">
        <v>1</v>
      </c>
      <c r="I1055" s="7">
        <f>H1055*$D$3</f>
        <v/>
      </c>
      <c r="J1055" s="7" t="inlineStr">
        <is>
          <t>unité</t>
        </is>
      </c>
      <c r="K1055" s="7" t="n">
        <v>0</v>
      </c>
      <c r="L1055" s="7">
        <f>K1055-I1055</f>
        <v/>
      </c>
      <c r="M1055" s="7">
        <f>IF(K1055&lt;I1055,"✕ INSUFFISANT",IF(K1055&lt;I1055*1.2,"⚠ STOCK FAIBLE","✓ COUVERT"))</f>
        <v/>
      </c>
      <c r="N1055" s="7" t="inlineStr">
        <is>
          <t>FAU</t>
        </is>
      </c>
      <c r="O1055" s="7" t="inlineStr">
        <is>
          <t>IMPORTANT</t>
        </is>
      </c>
      <c r="P1055" s="7" t="inlineStr">
        <is>
          <t>31/08/2026 02:59</t>
        </is>
      </c>
    </row>
    <row r="1056">
      <c r="A1056" s="8" t="inlineStr">
        <is>
          <t>WHAP 8x8</t>
        </is>
      </c>
      <c r="B1056" s="8" t="inlineStr">
        <is>
          <t>WHAP-1052</t>
        </is>
      </c>
      <c r="C1056" s="8" t="inlineStr">
        <is>
          <t>SUS-1052</t>
        </is>
      </c>
      <c r="D1056" s="8" t="inlineStr">
        <is>
          <t>jambe hydropneumatique — arrière droit</t>
        </is>
      </c>
      <c r="E1056" s="8" t="inlineStr">
        <is>
          <t>Suspension</t>
        </is>
      </c>
      <c r="F1056" s="8" t="inlineStr">
        <is>
          <t>Suspension</t>
        </is>
      </c>
      <c r="G1056" s="8" t="inlineStr">
        <is>
          <t>PIECE_VEHICULE</t>
        </is>
      </c>
      <c r="H1056" s="8" t="n">
        <v>1</v>
      </c>
      <c r="I1056" s="8">
        <f>H1056*$D$3</f>
        <v/>
      </c>
      <c r="J1056" s="8" t="inlineStr">
        <is>
          <t>unité</t>
        </is>
      </c>
      <c r="K1056" s="8" t="n">
        <v>0</v>
      </c>
      <c r="L1056" s="8">
        <f>K1056-I1056</f>
        <v/>
      </c>
      <c r="M1056" s="8">
        <f>IF(K1056&lt;I1056,"✕ INSUFFISANT",IF(K1056&lt;I1056*1.2,"⚠ STOCK FAIBLE","✓ COUVERT"))</f>
        <v/>
      </c>
      <c r="N1056" s="8" t="inlineStr">
        <is>
          <t>SKF</t>
        </is>
      </c>
      <c r="O1056" s="8" t="inlineStr">
        <is>
          <t>IMPORTANT</t>
        </is>
      </c>
      <c r="P1056" s="8" t="inlineStr">
        <is>
          <t>31/08/2026 02:59</t>
        </is>
      </c>
    </row>
    <row r="1057">
      <c r="A1057" s="7" t="inlineStr">
        <is>
          <t>WHAP 8x8</t>
        </is>
      </c>
      <c r="B1057" s="7" t="inlineStr">
        <is>
          <t>WHAP-1053</t>
        </is>
      </c>
      <c r="C1057" s="7" t="inlineStr">
        <is>
          <t>SUS-1053</t>
        </is>
      </c>
      <c r="D1057" s="7" t="inlineStr">
        <is>
          <t>accumulateur hydropneumatique — arrière droit</t>
        </is>
      </c>
      <c r="E1057" s="7" t="inlineStr">
        <is>
          <t>Suspension</t>
        </is>
      </c>
      <c r="F1057" s="7" t="inlineStr">
        <is>
          <t>Suspension</t>
        </is>
      </c>
      <c r="G1057" s="7" t="inlineStr">
        <is>
          <t>PIECE_VEHICULE</t>
        </is>
      </c>
      <c r="H1057" s="7" t="n">
        <v>1</v>
      </c>
      <c r="I1057" s="7">
        <f>H1057*$D$3</f>
        <v/>
      </c>
      <c r="J1057" s="7" t="inlineStr">
        <is>
          <t>unité</t>
        </is>
      </c>
      <c r="K1057" s="7" t="n">
        <v>0</v>
      </c>
      <c r="L1057" s="7">
        <f>K1057-I1057</f>
        <v/>
      </c>
      <c r="M1057" s="7">
        <f>IF(K1057&lt;I1057,"✕ INSUFFISANT",IF(K1057&lt;I1057*1.2,"⚠ STOCK FAIBLE","✓ COUVERT"))</f>
        <v/>
      </c>
      <c r="N1057" s="7" t="inlineStr">
        <is>
          <t>FAU</t>
        </is>
      </c>
      <c r="O1057" s="7" t="inlineStr">
        <is>
          <t>IMPORTANT</t>
        </is>
      </c>
      <c r="P1057" s="7" t="inlineStr">
        <is>
          <t>31/08/2026 02:59</t>
        </is>
      </c>
    </row>
    <row r="1058">
      <c r="A1058" s="8" t="inlineStr">
        <is>
          <t>WHAP 8x8</t>
        </is>
      </c>
      <c r="B1058" s="8" t="inlineStr">
        <is>
          <t>WHAP-1054</t>
        </is>
      </c>
      <c r="C1058" s="8" t="inlineStr">
        <is>
          <t>SUS-1054</t>
        </is>
      </c>
      <c r="D1058" s="8" t="inlineStr">
        <is>
          <t>cylindre de suspension — arrière droit</t>
        </is>
      </c>
      <c r="E1058" s="8" t="inlineStr">
        <is>
          <t>Suspension</t>
        </is>
      </c>
      <c r="F1058" s="8" t="inlineStr">
        <is>
          <t>Suspension</t>
        </is>
      </c>
      <c r="G1058" s="8" t="inlineStr">
        <is>
          <t>PIECE_VEHICULE</t>
        </is>
      </c>
      <c r="H1058" s="8" t="n">
        <v>1</v>
      </c>
      <c r="I1058" s="8">
        <f>H1058*$D$3</f>
        <v/>
      </c>
      <c r="J1058" s="8" t="inlineStr">
        <is>
          <t>unité</t>
        </is>
      </c>
      <c r="K1058" s="8" t="n">
        <v>0</v>
      </c>
      <c r="L1058" s="8">
        <f>K1058-I1058</f>
        <v/>
      </c>
      <c r="M1058" s="8">
        <f>IF(K1058&lt;I1058,"✕ INSUFFISANT",IF(K1058&lt;I1058*1.2,"⚠ STOCK FAIBLE","✓ COUVERT"))</f>
        <v/>
      </c>
      <c r="N1058" s="8" t="inlineStr">
        <is>
          <t>BOS</t>
        </is>
      </c>
      <c r="O1058" s="8" t="inlineStr">
        <is>
          <t>IMPORTANT</t>
        </is>
      </c>
      <c r="P1058" s="8" t="inlineStr">
        <is>
          <t>31/08/2026 02:59</t>
        </is>
      </c>
    </row>
    <row r="1059">
      <c r="A1059" s="7" t="inlineStr">
        <is>
          <t>WHAP 8x8</t>
        </is>
      </c>
      <c r="B1059" s="7" t="inlineStr">
        <is>
          <t>WHAP-1055</t>
        </is>
      </c>
      <c r="C1059" s="7" t="inlineStr">
        <is>
          <t>SUS-1055</t>
        </is>
      </c>
      <c r="D1059" s="7" t="inlineStr">
        <is>
          <t>piston de suspension — arrière droit</t>
        </is>
      </c>
      <c r="E1059" s="7" t="inlineStr">
        <is>
          <t>Suspension</t>
        </is>
      </c>
      <c r="F1059" s="7" t="inlineStr">
        <is>
          <t>Suspension</t>
        </is>
      </c>
      <c r="G1059" s="7" t="inlineStr">
        <is>
          <t>PIECE_VEHICULE</t>
        </is>
      </c>
      <c r="H1059" s="7" t="n">
        <v>1</v>
      </c>
      <c r="I1059" s="7">
        <f>H1059*$D$3</f>
        <v/>
      </c>
      <c r="J1059" s="7" t="inlineStr">
        <is>
          <t>unité</t>
        </is>
      </c>
      <c r="K1059" s="7" t="n">
        <v>0</v>
      </c>
      <c r="L1059" s="7">
        <f>K1059-I1059</f>
        <v/>
      </c>
      <c r="M1059" s="7">
        <f>IF(K1059&lt;I1059,"✕ INSUFFISANT",IF(K1059&lt;I1059*1.2,"⚠ STOCK FAIBLE","✓ COUVERT"))</f>
        <v/>
      </c>
      <c r="N1059" s="7" t="inlineStr">
        <is>
          <t>SKF</t>
        </is>
      </c>
      <c r="O1059" s="7" t="inlineStr">
        <is>
          <t>IMPORTANT</t>
        </is>
      </c>
      <c r="P1059" s="7" t="inlineStr">
        <is>
          <t>31/08/2026 02:59</t>
        </is>
      </c>
    </row>
    <row r="1060">
      <c r="A1060" s="8" t="inlineStr">
        <is>
          <t>WHAP 8x8</t>
        </is>
      </c>
      <c r="B1060" s="8" t="inlineStr">
        <is>
          <t>WHAP-1056</t>
        </is>
      </c>
      <c r="C1060" s="8" t="inlineStr">
        <is>
          <t>SUS-1056</t>
        </is>
      </c>
      <c r="D1060" s="8" t="inlineStr">
        <is>
          <t>tige de suspension — arrière droit</t>
        </is>
      </c>
      <c r="E1060" s="8" t="inlineStr">
        <is>
          <t>Suspension</t>
        </is>
      </c>
      <c r="F1060" s="8" t="inlineStr">
        <is>
          <t>Suspension</t>
        </is>
      </c>
      <c r="G1060" s="8" t="inlineStr">
        <is>
          <t>PIECE_VEHICULE</t>
        </is>
      </c>
      <c r="H1060" s="8" t="n">
        <v>1</v>
      </c>
      <c r="I1060" s="8">
        <f>H1060*$D$3</f>
        <v/>
      </c>
      <c r="J1060" s="8" t="inlineStr">
        <is>
          <t>unité</t>
        </is>
      </c>
      <c r="K1060" s="8" t="n">
        <v>0</v>
      </c>
      <c r="L1060" s="8">
        <f>K1060-I1060</f>
        <v/>
      </c>
      <c r="M1060" s="8">
        <f>IF(K1060&lt;I1060,"✕ INSUFFISANT",IF(K1060&lt;I1060*1.2,"⚠ STOCK FAIBLE","✓ COUVERT"))</f>
        <v/>
      </c>
      <c r="N1060" s="8" t="inlineStr">
        <is>
          <t>SUM</t>
        </is>
      </c>
      <c r="O1060" s="8" t="inlineStr">
        <is>
          <t>IMPORTANT</t>
        </is>
      </c>
      <c r="P1060" s="8" t="inlineStr">
        <is>
          <t>31/08/2026 02:59</t>
        </is>
      </c>
    </row>
    <row r="1061">
      <c r="A1061" s="7" t="inlineStr">
        <is>
          <t>WHAP 8x8</t>
        </is>
      </c>
      <c r="B1061" s="7" t="inlineStr">
        <is>
          <t>WHAP-1057</t>
        </is>
      </c>
      <c r="C1061" s="7" t="inlineStr">
        <is>
          <t>SUS-1057</t>
        </is>
      </c>
      <c r="D1061" s="7" t="inlineStr">
        <is>
          <t>joint de tige — arrière droit</t>
        </is>
      </c>
      <c r="E1061" s="7" t="inlineStr">
        <is>
          <t>Suspension</t>
        </is>
      </c>
      <c r="F1061" s="7" t="inlineStr">
        <is>
          <t>Suspension</t>
        </is>
      </c>
      <c r="G1061" s="7" t="inlineStr">
        <is>
          <t>PIECE_VEHICULE</t>
        </is>
      </c>
      <c r="H1061" s="7" t="n">
        <v>1</v>
      </c>
      <c r="I1061" s="7">
        <f>H1061*$D$3</f>
        <v/>
      </c>
      <c r="J1061" s="7" t="inlineStr">
        <is>
          <t>unité</t>
        </is>
      </c>
      <c r="K1061" s="7" t="n">
        <v>0</v>
      </c>
      <c r="L1061" s="7">
        <f>K1061-I1061</f>
        <v/>
      </c>
      <c r="M1061" s="7">
        <f>IF(K1061&lt;I1061,"✕ INSUFFISANT",IF(K1061&lt;I1061*1.2,"⚠ STOCK FAIBLE","✓ COUVERT"))</f>
        <v/>
      </c>
      <c r="N1061" s="7" t="inlineStr">
        <is>
          <t>BOS</t>
        </is>
      </c>
      <c r="O1061" s="7" t="inlineStr">
        <is>
          <t>IMPORTANT</t>
        </is>
      </c>
      <c r="P1061" s="7" t="inlineStr">
        <is>
          <t>31/08/2026 02:59</t>
        </is>
      </c>
    </row>
    <row r="1062">
      <c r="A1062" s="8" t="inlineStr">
        <is>
          <t>WHAP 8x8</t>
        </is>
      </c>
      <c r="B1062" s="8" t="inlineStr">
        <is>
          <t>WHAP-1058</t>
        </is>
      </c>
      <c r="C1062" s="8" t="inlineStr">
        <is>
          <t>SUS-1058</t>
        </is>
      </c>
      <c r="D1062" s="8" t="inlineStr">
        <is>
          <t>bague de guidage — arrière droit</t>
        </is>
      </c>
      <c r="E1062" s="8" t="inlineStr">
        <is>
          <t>Suspension</t>
        </is>
      </c>
      <c r="F1062" s="8" t="inlineStr">
        <is>
          <t>Suspension</t>
        </is>
      </c>
      <c r="G1062" s="8" t="inlineStr">
        <is>
          <t>PIECE_VEHICULE</t>
        </is>
      </c>
      <c r="H1062" s="8" t="n">
        <v>1</v>
      </c>
      <c r="I1062" s="8">
        <f>H1062*$D$3</f>
        <v/>
      </c>
      <c r="J1062" s="8" t="inlineStr">
        <is>
          <t>unité</t>
        </is>
      </c>
      <c r="K1062" s="8" t="n">
        <v>0</v>
      </c>
      <c r="L1062" s="8">
        <f>K1062-I1062</f>
        <v/>
      </c>
      <c r="M1062" s="8">
        <f>IF(K1062&lt;I1062,"✕ INSUFFISANT",IF(K1062&lt;I1062*1.2,"⚠ STOCK FAIBLE","✓ COUVERT"))</f>
        <v/>
      </c>
      <c r="N1062" s="8" t="inlineStr">
        <is>
          <t>MAG</t>
        </is>
      </c>
      <c r="O1062" s="8" t="inlineStr">
        <is>
          <t>IMPORTANT</t>
        </is>
      </c>
      <c r="P1062" s="8" t="inlineStr">
        <is>
          <t>31/08/2026 02:59</t>
        </is>
      </c>
    </row>
    <row r="1063">
      <c r="A1063" s="7" t="inlineStr">
        <is>
          <t>WHAP 8x8</t>
        </is>
      </c>
      <c r="B1063" s="7" t="inlineStr">
        <is>
          <t>WHAP-1059</t>
        </is>
      </c>
      <c r="C1063" s="7" t="inlineStr">
        <is>
          <t>SUS-1059</t>
        </is>
      </c>
      <c r="D1063" s="7" t="inlineStr">
        <is>
          <t>ressort auxiliaire — arrière droit</t>
        </is>
      </c>
      <c r="E1063" s="7" t="inlineStr">
        <is>
          <t>Suspension</t>
        </is>
      </c>
      <c r="F1063" s="7" t="inlineStr">
        <is>
          <t>Suspension</t>
        </is>
      </c>
      <c r="G1063" s="7" t="inlineStr">
        <is>
          <t>PIECE_VEHICULE</t>
        </is>
      </c>
      <c r="H1063" s="7" t="n">
        <v>1</v>
      </c>
      <c r="I1063" s="7">
        <f>H1063*$D$3</f>
        <v/>
      </c>
      <c r="J1063" s="7" t="inlineStr">
        <is>
          <t>unité</t>
        </is>
      </c>
      <c r="K1063" s="7" t="n">
        <v>0</v>
      </c>
      <c r="L1063" s="7">
        <f>K1063-I1063</f>
        <v/>
      </c>
      <c r="M1063" s="7">
        <f>IF(K1063&lt;I1063,"✕ INSUFFISANT",IF(K1063&lt;I1063*1.2,"⚠ STOCK FAIBLE","✓ COUVERT"))</f>
        <v/>
      </c>
      <c r="N1063" s="7" t="inlineStr">
        <is>
          <t>DEL</t>
        </is>
      </c>
      <c r="O1063" s="7" t="inlineStr">
        <is>
          <t>IMPORTANT</t>
        </is>
      </c>
      <c r="P1063" s="7" t="inlineStr">
        <is>
          <t>31/08/2026 02:59</t>
        </is>
      </c>
    </row>
    <row r="1064">
      <c r="A1064" s="8" t="inlineStr">
        <is>
          <t>WHAP 8x8</t>
        </is>
      </c>
      <c r="B1064" s="8" t="inlineStr">
        <is>
          <t>WHAP-1060</t>
        </is>
      </c>
      <c r="C1064" s="8" t="inlineStr">
        <is>
          <t>SUS-1060</t>
        </is>
      </c>
      <c r="D1064" s="8" t="inlineStr">
        <is>
          <t>butée de suspension — arrière droit</t>
        </is>
      </c>
      <c r="E1064" s="8" t="inlineStr">
        <is>
          <t>Suspension</t>
        </is>
      </c>
      <c r="F1064" s="8" t="inlineStr">
        <is>
          <t>Suspension</t>
        </is>
      </c>
      <c r="G1064" s="8" t="inlineStr">
        <is>
          <t>PIECE_VEHICULE</t>
        </is>
      </c>
      <c r="H1064" s="8" t="n">
        <v>1</v>
      </c>
      <c r="I1064" s="8">
        <f>H1064*$D$3</f>
        <v/>
      </c>
      <c r="J1064" s="8" t="inlineStr">
        <is>
          <t>unité</t>
        </is>
      </c>
      <c r="K1064" s="8" t="n">
        <v>0</v>
      </c>
      <c r="L1064" s="8">
        <f>K1064-I1064</f>
        <v/>
      </c>
      <c r="M1064" s="8">
        <f>IF(K1064&lt;I1064,"✕ INSUFFISANT",IF(K1064&lt;I1064*1.2,"⚠ STOCK FAIBLE","✓ COUVERT"))</f>
        <v/>
      </c>
      <c r="N1064" s="8" t="inlineStr">
        <is>
          <t>HEL</t>
        </is>
      </c>
      <c r="O1064" s="8" t="inlineStr">
        <is>
          <t>IMPORTANT</t>
        </is>
      </c>
      <c r="P1064" s="8" t="inlineStr">
        <is>
          <t>31/08/2026 02:59</t>
        </is>
      </c>
    </row>
    <row r="1065">
      <c r="A1065" s="7" t="inlineStr">
        <is>
          <t>WHAP 8x8</t>
        </is>
      </c>
      <c r="B1065" s="7" t="inlineStr">
        <is>
          <t>WHAP-1061</t>
        </is>
      </c>
      <c r="C1065" s="7" t="inlineStr">
        <is>
          <t>SUS-1061</t>
        </is>
      </c>
      <c r="D1065" s="7" t="inlineStr">
        <is>
          <t>silentbloc de bras — arrière droit</t>
        </is>
      </c>
      <c r="E1065" s="7" t="inlineStr">
        <is>
          <t>Suspension</t>
        </is>
      </c>
      <c r="F1065" s="7" t="inlineStr">
        <is>
          <t>Suspension</t>
        </is>
      </c>
      <c r="G1065" s="7" t="inlineStr">
        <is>
          <t>PIECE_VEHICULE</t>
        </is>
      </c>
      <c r="H1065" s="7" t="n">
        <v>1</v>
      </c>
      <c r="I1065" s="7">
        <f>H1065*$D$3</f>
        <v/>
      </c>
      <c r="J1065" s="7" t="inlineStr">
        <is>
          <t>unité</t>
        </is>
      </c>
      <c r="K1065" s="7" t="n">
        <v>0</v>
      </c>
      <c r="L1065" s="7">
        <f>K1065-I1065</f>
        <v/>
      </c>
      <c r="M1065" s="7">
        <f>IF(K1065&lt;I1065,"✕ INSUFFISANT",IF(K1065&lt;I1065*1.2,"⚠ STOCK FAIBLE","✓ COUVERT"))</f>
        <v/>
      </c>
      <c r="N1065" s="7" t="inlineStr">
        <is>
          <t>DEL</t>
        </is>
      </c>
      <c r="O1065" s="7" t="inlineStr">
        <is>
          <t>IMPORTANT</t>
        </is>
      </c>
      <c r="P1065" s="7" t="inlineStr">
        <is>
          <t>31/08/2026 02:59</t>
        </is>
      </c>
    </row>
    <row r="1066">
      <c r="A1066" s="8" t="inlineStr">
        <is>
          <t>WHAP 8x8</t>
        </is>
      </c>
      <c r="B1066" s="8" t="inlineStr">
        <is>
          <t>WHAP-1062</t>
        </is>
      </c>
      <c r="C1066" s="8" t="inlineStr">
        <is>
          <t>SUS-1062</t>
        </is>
      </c>
      <c r="D1066" s="8" t="inlineStr">
        <is>
          <t>support de suspension — arrière droit</t>
        </is>
      </c>
      <c r="E1066" s="8" t="inlineStr">
        <is>
          <t>Suspension</t>
        </is>
      </c>
      <c r="F1066" s="8" t="inlineStr">
        <is>
          <t>Suspension</t>
        </is>
      </c>
      <c r="G1066" s="8" t="inlineStr">
        <is>
          <t>PIECE_VEHICULE</t>
        </is>
      </c>
      <c r="H1066" s="8" t="n">
        <v>1</v>
      </c>
      <c r="I1066" s="8">
        <f>H1066*$D$3</f>
        <v/>
      </c>
      <c r="J1066" s="8" t="inlineStr">
        <is>
          <t>unité</t>
        </is>
      </c>
      <c r="K1066" s="8" t="n">
        <v>0</v>
      </c>
      <c r="L1066" s="8">
        <f>K1066-I1066</f>
        <v/>
      </c>
      <c r="M1066" s="8">
        <f>IF(K1066&lt;I1066,"✕ INSUFFISANT",IF(K1066&lt;I1066*1.2,"⚠ STOCK FAIBLE","✓ COUVERT"))</f>
        <v/>
      </c>
      <c r="N1066" s="8" t="inlineStr">
        <is>
          <t>MAG</t>
        </is>
      </c>
      <c r="O1066" s="8" t="inlineStr">
        <is>
          <t>IMPORTANT</t>
        </is>
      </c>
      <c r="P1066" s="8" t="inlineStr">
        <is>
          <t>31/08/2026 02:59</t>
        </is>
      </c>
    </row>
    <row r="1067">
      <c r="A1067" s="7" t="inlineStr">
        <is>
          <t>WHAP 8x8</t>
        </is>
      </c>
      <c r="B1067" s="7" t="inlineStr">
        <is>
          <t>WHAP-1063</t>
        </is>
      </c>
      <c r="C1067" s="7" t="inlineStr">
        <is>
          <t>SUS-1063</t>
        </is>
      </c>
      <c r="D1067" s="7" t="inlineStr">
        <is>
          <t>capteur de hauteur — arrière droit</t>
        </is>
      </c>
      <c r="E1067" s="7" t="inlineStr">
        <is>
          <t>Suspension</t>
        </is>
      </c>
      <c r="F1067" s="7" t="inlineStr">
        <is>
          <t>Suspension</t>
        </is>
      </c>
      <c r="G1067" s="7" t="inlineStr">
        <is>
          <t>PIECE_VEHICULE</t>
        </is>
      </c>
      <c r="H1067" s="7" t="n">
        <v>1</v>
      </c>
      <c r="I1067" s="7">
        <f>H1067*$D$3</f>
        <v/>
      </c>
      <c r="J1067" s="7" t="inlineStr">
        <is>
          <t>unité</t>
        </is>
      </c>
      <c r="K1067" s="7" t="n">
        <v>0</v>
      </c>
      <c r="L1067" s="7">
        <f>K1067-I1067</f>
        <v/>
      </c>
      <c r="M1067" s="7">
        <f>IF(K1067&lt;I1067,"✕ INSUFFISANT",IF(K1067&lt;I1067*1.2,"⚠ STOCK FAIBLE","✓ COUVERT"))</f>
        <v/>
      </c>
      <c r="N1067" s="7" t="inlineStr">
        <is>
          <t>CTL</t>
        </is>
      </c>
      <c r="O1067" s="7" t="inlineStr">
        <is>
          <t>IMPORTANT</t>
        </is>
      </c>
      <c r="P1067" s="7" t="inlineStr">
        <is>
          <t>31/08/2026 02:59</t>
        </is>
      </c>
    </row>
    <row r="1068">
      <c r="A1068" s="8" t="inlineStr">
        <is>
          <t>WHAP 8x8</t>
        </is>
      </c>
      <c r="B1068" s="8" t="inlineStr">
        <is>
          <t>WHAP-1064</t>
        </is>
      </c>
      <c r="C1068" s="8" t="inlineStr">
        <is>
          <t>SUS-1064</t>
        </is>
      </c>
      <c r="D1068" s="8" t="inlineStr">
        <is>
          <t>valve de suspension — arrière droit</t>
        </is>
      </c>
      <c r="E1068" s="8" t="inlineStr">
        <is>
          <t>Suspension</t>
        </is>
      </c>
      <c r="F1068" s="8" t="inlineStr">
        <is>
          <t>Suspension</t>
        </is>
      </c>
      <c r="G1068" s="8" t="inlineStr">
        <is>
          <t>PIECE_VEHICULE</t>
        </is>
      </c>
      <c r="H1068" s="8" t="n">
        <v>1</v>
      </c>
      <c r="I1068" s="8">
        <f>H1068*$D$3</f>
        <v/>
      </c>
      <c r="J1068" s="8" t="inlineStr">
        <is>
          <t>unité</t>
        </is>
      </c>
      <c r="K1068" s="8" t="n">
        <v>0</v>
      </c>
      <c r="L1068" s="8">
        <f>K1068-I1068</f>
        <v/>
      </c>
      <c r="M1068" s="8">
        <f>IF(K1068&lt;I1068,"✕ INSUFFISANT",IF(K1068&lt;I1068*1.2,"⚠ STOCK FAIBLE","✓ COUVERT"))</f>
        <v/>
      </c>
      <c r="N1068" s="8" t="inlineStr">
        <is>
          <t>SUM</t>
        </is>
      </c>
      <c r="O1068" s="8" t="inlineStr">
        <is>
          <t>IMPORTANT</t>
        </is>
      </c>
      <c r="P1068" s="8" t="inlineStr">
        <is>
          <t>31/08/2026 02:59</t>
        </is>
      </c>
    </row>
    <row r="1069">
      <c r="A1069" s="7" t="inlineStr">
        <is>
          <t>WHAP 8x8</t>
        </is>
      </c>
      <c r="B1069" s="7" t="inlineStr">
        <is>
          <t>WHAP-1065</t>
        </is>
      </c>
      <c r="C1069" s="7" t="inlineStr">
        <is>
          <t>SUS-1065</t>
        </is>
      </c>
      <c r="D1069" s="7" t="inlineStr">
        <is>
          <t>conduite hydraulique — arrière droit</t>
        </is>
      </c>
      <c r="E1069" s="7" t="inlineStr">
        <is>
          <t>Suspension</t>
        </is>
      </c>
      <c r="F1069" s="7" t="inlineStr">
        <is>
          <t>Suspension</t>
        </is>
      </c>
      <c r="G1069" s="7" t="inlineStr">
        <is>
          <t>PIECE_VEHICULE</t>
        </is>
      </c>
      <c r="H1069" s="7" t="n">
        <v>1</v>
      </c>
      <c r="I1069" s="7">
        <f>H1069*$D$3</f>
        <v/>
      </c>
      <c r="J1069" s="7" t="inlineStr">
        <is>
          <t>unité</t>
        </is>
      </c>
      <c r="K1069" s="7" t="n">
        <v>0</v>
      </c>
      <c r="L1069" s="7">
        <f>K1069-I1069</f>
        <v/>
      </c>
      <c r="M1069" s="7">
        <f>IF(K1069&lt;I1069,"✕ INSUFFISANT",IF(K1069&lt;I1069*1.2,"⚠ STOCK FAIBLE","✓ COUVERT"))</f>
        <v/>
      </c>
      <c r="N1069" s="7" t="inlineStr">
        <is>
          <t>MAG</t>
        </is>
      </c>
      <c r="O1069" s="7" t="inlineStr">
        <is>
          <t>IMPORTANT</t>
        </is>
      </c>
      <c r="P1069" s="7" t="inlineStr">
        <is>
          <t>31/08/2026 02:59</t>
        </is>
      </c>
    </row>
    <row r="1070">
      <c r="A1070" s="8" t="inlineStr">
        <is>
          <t>WHAP 8x8</t>
        </is>
      </c>
      <c r="B1070" s="8" t="inlineStr">
        <is>
          <t>WHAP-1066</t>
        </is>
      </c>
      <c r="C1070" s="8" t="inlineStr">
        <is>
          <t>SUS-1066</t>
        </is>
      </c>
      <c r="D1070" s="8" t="inlineStr">
        <is>
          <t>raccord hydraulique — arrière droit</t>
        </is>
      </c>
      <c r="E1070" s="8" t="inlineStr">
        <is>
          <t>Suspension</t>
        </is>
      </c>
      <c r="F1070" s="8" t="inlineStr">
        <is>
          <t>Suspension</t>
        </is>
      </c>
      <c r="G1070" s="8" t="inlineStr">
        <is>
          <t>PIECE_VEHICULE</t>
        </is>
      </c>
      <c r="H1070" s="8" t="n">
        <v>1</v>
      </c>
      <c r="I1070" s="8">
        <f>H1070*$D$3</f>
        <v/>
      </c>
      <c r="J1070" s="8" t="inlineStr">
        <is>
          <t>unité</t>
        </is>
      </c>
      <c r="K1070" s="8" t="n">
        <v>0</v>
      </c>
      <c r="L1070" s="8">
        <f>K1070-I1070</f>
        <v/>
      </c>
      <c r="M1070" s="8">
        <f>IF(K1070&lt;I1070,"✕ INSUFFISANT",IF(K1070&lt;I1070*1.2,"⚠ STOCK FAIBLE","✓ COUVERT"))</f>
        <v/>
      </c>
      <c r="N1070" s="8" t="inlineStr">
        <is>
          <t>YZK</t>
        </is>
      </c>
      <c r="O1070" s="8" t="inlineStr">
        <is>
          <t>IMPORTANT</t>
        </is>
      </c>
      <c r="P1070" s="8" t="inlineStr">
        <is>
          <t>31/08/2026 02:59</t>
        </is>
      </c>
    </row>
    <row r="1071">
      <c r="A1071" s="7" t="inlineStr">
        <is>
          <t>WHAP 8x8</t>
        </is>
      </c>
      <c r="B1071" s="7" t="inlineStr">
        <is>
          <t>WHAP-1067</t>
        </is>
      </c>
      <c r="C1071" s="7" t="inlineStr">
        <is>
          <t>SUS-1067</t>
        </is>
      </c>
      <c r="D1071" s="7" t="inlineStr">
        <is>
          <t>pompe hydraulique — arrière droit</t>
        </is>
      </c>
      <c r="E1071" s="7" t="inlineStr">
        <is>
          <t>Suspension</t>
        </is>
      </c>
      <c r="F1071" s="7" t="inlineStr">
        <is>
          <t>Suspension</t>
        </is>
      </c>
      <c r="G1071" s="7" t="inlineStr">
        <is>
          <t>PIECE_VEHICULE</t>
        </is>
      </c>
      <c r="H1071" s="7" t="n">
        <v>1</v>
      </c>
      <c r="I1071" s="7">
        <f>H1071*$D$3</f>
        <v/>
      </c>
      <c r="J1071" s="7" t="inlineStr">
        <is>
          <t>unité</t>
        </is>
      </c>
      <c r="K1071" s="7" t="n">
        <v>0</v>
      </c>
      <c r="L1071" s="7">
        <f>K1071-I1071</f>
        <v/>
      </c>
      <c r="M1071" s="7">
        <f>IF(K1071&lt;I1071,"✕ INSUFFISANT",IF(K1071&lt;I1071*1.2,"⚠ STOCK FAIBLE","✓ COUVERT"))</f>
        <v/>
      </c>
      <c r="N1071" s="7" t="inlineStr">
        <is>
          <t>BOS</t>
        </is>
      </c>
      <c r="O1071" s="7" t="inlineStr">
        <is>
          <t>IMPORTANT</t>
        </is>
      </c>
      <c r="P1071" s="7" t="inlineStr">
        <is>
          <t>31/08/2026 02:59</t>
        </is>
      </c>
    </row>
    <row r="1072">
      <c r="A1072" s="8" t="inlineStr">
        <is>
          <t>WHAP 8x8</t>
        </is>
      </c>
      <c r="B1072" s="8" t="inlineStr">
        <is>
          <t>WHAP-1068</t>
        </is>
      </c>
      <c r="C1072" s="8" t="inlineStr">
        <is>
          <t>SUS-1068</t>
        </is>
      </c>
      <c r="D1072" s="8" t="inlineStr">
        <is>
          <t>réservoir hydraulique — arrière droit</t>
        </is>
      </c>
      <c r="E1072" s="8" t="inlineStr">
        <is>
          <t>Suspension</t>
        </is>
      </c>
      <c r="F1072" s="8" t="inlineStr">
        <is>
          <t>Suspension</t>
        </is>
      </c>
      <c r="G1072" s="8" t="inlineStr">
        <is>
          <t>PIECE_VEHICULE</t>
        </is>
      </c>
      <c r="H1072" s="8" t="n">
        <v>1</v>
      </c>
      <c r="I1072" s="8">
        <f>H1072*$D$3</f>
        <v/>
      </c>
      <c r="J1072" s="8" t="inlineStr">
        <is>
          <t>unité</t>
        </is>
      </c>
      <c r="K1072" s="8" t="n">
        <v>0</v>
      </c>
      <c r="L1072" s="8">
        <f>K1072-I1072</f>
        <v/>
      </c>
      <c r="M1072" s="8">
        <f>IF(K1072&lt;I1072,"✕ INSUFFISANT",IF(K1072&lt;I1072*1.2,"⚠ STOCK FAIBLE","✓ COUVERT"))</f>
        <v/>
      </c>
      <c r="N1072" s="8" t="inlineStr">
        <is>
          <t>HEL</t>
        </is>
      </c>
      <c r="O1072" s="8" t="inlineStr">
        <is>
          <t>IMPORTANT</t>
        </is>
      </c>
      <c r="P1072" s="8" t="inlineStr">
        <is>
          <t>31/08/2026 02:59</t>
        </is>
      </c>
    </row>
    <row r="1073">
      <c r="A1073" s="7" t="inlineStr">
        <is>
          <t>WHAP 8x8</t>
        </is>
      </c>
      <c r="B1073" s="7" t="inlineStr">
        <is>
          <t>WHAP-1069</t>
        </is>
      </c>
      <c r="C1073" s="7" t="inlineStr">
        <is>
          <t>SUS-1069</t>
        </is>
      </c>
      <c r="D1073" s="7" t="inlineStr">
        <is>
          <t>filtre hydraulique — arrière droit</t>
        </is>
      </c>
      <c r="E1073" s="7" t="inlineStr">
        <is>
          <t>Suspension</t>
        </is>
      </c>
      <c r="F1073" s="7" t="inlineStr">
        <is>
          <t>Suspension</t>
        </is>
      </c>
      <c r="G1073" s="7" t="inlineStr">
        <is>
          <t>PIECE_VEHICULE</t>
        </is>
      </c>
      <c r="H1073" s="7" t="n">
        <v>1</v>
      </c>
      <c r="I1073" s="7">
        <f>H1073*$D$3</f>
        <v/>
      </c>
      <c r="J1073" s="7" t="inlineStr">
        <is>
          <t>unité</t>
        </is>
      </c>
      <c r="K1073" s="7" t="n">
        <v>0</v>
      </c>
      <c r="L1073" s="7">
        <f>K1073-I1073</f>
        <v/>
      </c>
      <c r="M1073" s="7">
        <f>IF(K1073&lt;I1073,"✕ INSUFFISANT",IF(K1073&lt;I1073*1.2,"⚠ STOCK FAIBLE","✓ COUVERT"))</f>
        <v/>
      </c>
      <c r="N1073" s="7" t="inlineStr">
        <is>
          <t>VAL</t>
        </is>
      </c>
      <c r="O1073" s="7" t="inlineStr">
        <is>
          <t>IMPORTANT</t>
        </is>
      </c>
      <c r="P1073" s="7" t="inlineStr">
        <is>
          <t>31/08/2026 02:59</t>
        </is>
      </c>
    </row>
    <row r="1074">
      <c r="A1074" s="8" t="inlineStr">
        <is>
          <t>WHAP 8x8</t>
        </is>
      </c>
      <c r="B1074" s="8" t="inlineStr">
        <is>
          <t>WHAP-1070</t>
        </is>
      </c>
      <c r="C1074" s="8" t="inlineStr">
        <is>
          <t>ECL-1070</t>
        </is>
      </c>
      <c r="D1074" s="8" t="inlineStr">
        <is>
          <t>phare avant — avant gauche</t>
        </is>
      </c>
      <c r="E1074" s="8" t="inlineStr">
        <is>
          <t>Éclairage</t>
        </is>
      </c>
      <c r="F1074" s="8" t="inlineStr">
        <is>
          <t>Éclairage</t>
        </is>
      </c>
      <c r="G1074" s="8" t="inlineStr">
        <is>
          <t>PIECE_VEHICULE</t>
        </is>
      </c>
      <c r="H1074" s="8" t="n">
        <v>1</v>
      </c>
      <c r="I1074" s="8">
        <f>H1074*$D$3</f>
        <v/>
      </c>
      <c r="J1074" s="8" t="inlineStr">
        <is>
          <t>unité</t>
        </is>
      </c>
      <c r="K1074" s="8" t="n">
        <v>0</v>
      </c>
      <c r="L1074" s="8">
        <f>K1074-I1074</f>
        <v/>
      </c>
      <c r="M1074" s="8">
        <f>IF(K1074&lt;I1074,"✕ INSUFFISANT",IF(K1074&lt;I1074*1.2,"⚠ STOCK FAIBLE","✓ COUVERT"))</f>
        <v/>
      </c>
      <c r="N1074" s="8" t="inlineStr">
        <is>
          <t>CTL</t>
        </is>
      </c>
      <c r="O1074" s="8" t="inlineStr">
        <is>
          <t>STANDARD</t>
        </is>
      </c>
      <c r="P1074" s="8" t="inlineStr">
        <is>
          <t>31/08/2026 02:59</t>
        </is>
      </c>
    </row>
    <row r="1075">
      <c r="A1075" s="7" t="inlineStr">
        <is>
          <t>WHAP 8x8</t>
        </is>
      </c>
      <c r="B1075" s="7" t="inlineStr">
        <is>
          <t>WHAP-1071</t>
        </is>
      </c>
      <c r="C1075" s="7" t="inlineStr">
        <is>
          <t>ECL-1071</t>
        </is>
      </c>
      <c r="D1075" s="7" t="inlineStr">
        <is>
          <t>projecteur LED — avant gauche</t>
        </is>
      </c>
      <c r="E1075" s="7" t="inlineStr">
        <is>
          <t>Éclairage</t>
        </is>
      </c>
      <c r="F1075" s="7" t="inlineStr">
        <is>
          <t>Éclairage</t>
        </is>
      </c>
      <c r="G1075" s="7" t="inlineStr">
        <is>
          <t>PIECE_VEHICULE</t>
        </is>
      </c>
      <c r="H1075" s="7" t="n">
        <v>1</v>
      </c>
      <c r="I1075" s="7">
        <f>H1075*$D$3</f>
        <v/>
      </c>
      <c r="J1075" s="7" t="inlineStr">
        <is>
          <t>unité</t>
        </is>
      </c>
      <c r="K1075" s="7" t="n">
        <v>0</v>
      </c>
      <c r="L1075" s="7">
        <f>K1075-I1075</f>
        <v/>
      </c>
      <c r="M1075" s="7">
        <f>IF(K1075&lt;I1075,"✕ INSUFFISANT",IF(K1075&lt;I1075*1.2,"⚠ STOCK FAIBLE","✓ COUVERT"))</f>
        <v/>
      </c>
      <c r="N1075" s="7" t="inlineStr">
        <is>
          <t>FAU</t>
        </is>
      </c>
      <c r="O1075" s="7" t="inlineStr">
        <is>
          <t>STANDARD</t>
        </is>
      </c>
      <c r="P1075" s="7" t="inlineStr">
        <is>
          <t>31/08/2026 02:59</t>
        </is>
      </c>
    </row>
    <row r="1076">
      <c r="A1076" s="8" t="inlineStr">
        <is>
          <t>WHAP 8x8</t>
        </is>
      </c>
      <c r="B1076" s="8" t="inlineStr">
        <is>
          <t>WHAP-1072</t>
        </is>
      </c>
      <c r="C1076" s="8" t="inlineStr">
        <is>
          <t>ECL-1072</t>
        </is>
      </c>
      <c r="D1076" s="8" t="inlineStr">
        <is>
          <t>feu de position — avant gauche</t>
        </is>
      </c>
      <c r="E1076" s="8" t="inlineStr">
        <is>
          <t>Éclairage</t>
        </is>
      </c>
      <c r="F1076" s="8" t="inlineStr">
        <is>
          <t>Éclairage</t>
        </is>
      </c>
      <c r="G1076" s="8" t="inlineStr">
        <is>
          <t>PIECE_VEHICULE</t>
        </is>
      </c>
      <c r="H1076" s="8" t="n">
        <v>1</v>
      </c>
      <c r="I1076" s="8">
        <f>H1076*$D$3</f>
        <v/>
      </c>
      <c r="J1076" s="8" t="inlineStr">
        <is>
          <t>unité</t>
        </is>
      </c>
      <c r="K1076" s="8" t="n">
        <v>0</v>
      </c>
      <c r="L1076" s="8">
        <f>K1076-I1076</f>
        <v/>
      </c>
      <c r="M1076" s="8">
        <f>IF(K1076&lt;I1076,"✕ INSUFFISANT",IF(K1076&lt;I1076*1.2,"⚠ STOCK FAIBLE","✓ COUVERT"))</f>
        <v/>
      </c>
      <c r="N1076" s="8" t="inlineStr">
        <is>
          <t>VAL</t>
        </is>
      </c>
      <c r="O1076" s="8" t="inlineStr">
        <is>
          <t>STANDARD</t>
        </is>
      </c>
      <c r="P1076" s="8" t="inlineStr">
        <is>
          <t>31/08/2026 02:59</t>
        </is>
      </c>
    </row>
    <row r="1077">
      <c r="A1077" s="7" t="inlineStr">
        <is>
          <t>WHAP 8x8</t>
        </is>
      </c>
      <c r="B1077" s="7" t="inlineStr">
        <is>
          <t>WHAP-1073</t>
        </is>
      </c>
      <c r="C1077" s="7" t="inlineStr">
        <is>
          <t>ECL-1073</t>
        </is>
      </c>
      <c r="D1077" s="7" t="inlineStr">
        <is>
          <t>feu arrière — avant gauche</t>
        </is>
      </c>
      <c r="E1077" s="7" t="inlineStr">
        <is>
          <t>Éclairage</t>
        </is>
      </c>
      <c r="F1077" s="7" t="inlineStr">
        <is>
          <t>Éclairage</t>
        </is>
      </c>
      <c r="G1077" s="7" t="inlineStr">
        <is>
          <t>PIECE_VEHICULE</t>
        </is>
      </c>
      <c r="H1077" s="7" t="n">
        <v>1</v>
      </c>
      <c r="I1077" s="7">
        <f>H1077*$D$3</f>
        <v/>
      </c>
      <c r="J1077" s="7" t="inlineStr">
        <is>
          <t>unité</t>
        </is>
      </c>
      <c r="K1077" s="7" t="n">
        <v>0</v>
      </c>
      <c r="L1077" s="7">
        <f>K1077-I1077</f>
        <v/>
      </c>
      <c r="M1077" s="7">
        <f>IF(K1077&lt;I1077,"✕ INSUFFISANT",IF(K1077&lt;I1077*1.2,"⚠ STOCK FAIBLE","✓ COUVERT"))</f>
        <v/>
      </c>
      <c r="N1077" s="7" t="inlineStr">
        <is>
          <t>MAG</t>
        </is>
      </c>
      <c r="O1077" s="7" t="inlineStr">
        <is>
          <t>STANDARD</t>
        </is>
      </c>
      <c r="P1077" s="7" t="inlineStr">
        <is>
          <t>31/08/2026 02:59</t>
        </is>
      </c>
    </row>
    <row r="1078">
      <c r="A1078" s="8" t="inlineStr">
        <is>
          <t>WHAP 8x8</t>
        </is>
      </c>
      <c r="B1078" s="8" t="inlineStr">
        <is>
          <t>WHAP-1074</t>
        </is>
      </c>
      <c r="C1078" s="8" t="inlineStr">
        <is>
          <t>ECL-1074</t>
        </is>
      </c>
      <c r="D1078" s="8" t="inlineStr">
        <is>
          <t>feu stop — avant gauche</t>
        </is>
      </c>
      <c r="E1078" s="8" t="inlineStr">
        <is>
          <t>Éclairage</t>
        </is>
      </c>
      <c r="F1078" s="8" t="inlineStr">
        <is>
          <t>Éclairage</t>
        </is>
      </c>
      <c r="G1078" s="8" t="inlineStr">
        <is>
          <t>PIECE_VEHICULE</t>
        </is>
      </c>
      <c r="H1078" s="8" t="n">
        <v>1</v>
      </c>
      <c r="I1078" s="8">
        <f>H1078*$D$3</f>
        <v/>
      </c>
      <c r="J1078" s="8" t="inlineStr">
        <is>
          <t>unité</t>
        </is>
      </c>
      <c r="K1078" s="8" t="n">
        <v>0</v>
      </c>
      <c r="L1078" s="8">
        <f>K1078-I1078</f>
        <v/>
      </c>
      <c r="M1078" s="8">
        <f>IF(K1078&lt;I1078,"✕ INSUFFISANT",IF(K1078&lt;I1078*1.2,"⚠ STOCK FAIBLE","✓ COUVERT"))</f>
        <v/>
      </c>
      <c r="N1078" s="8" t="inlineStr">
        <is>
          <t>SUM</t>
        </is>
      </c>
      <c r="O1078" s="8" t="inlineStr">
        <is>
          <t>STANDARD</t>
        </is>
      </c>
      <c r="P1078" s="8" t="inlineStr">
        <is>
          <t>31/08/2026 02:59</t>
        </is>
      </c>
    </row>
    <row r="1079">
      <c r="A1079" s="7" t="inlineStr">
        <is>
          <t>WHAP 8x8</t>
        </is>
      </c>
      <c r="B1079" s="7" t="inlineStr">
        <is>
          <t>WHAP-1075</t>
        </is>
      </c>
      <c r="C1079" s="7" t="inlineStr">
        <is>
          <t>ECL-1075</t>
        </is>
      </c>
      <c r="D1079" s="7" t="inlineStr">
        <is>
          <t>clignotant — avant gauche</t>
        </is>
      </c>
      <c r="E1079" s="7" t="inlineStr">
        <is>
          <t>Éclairage</t>
        </is>
      </c>
      <c r="F1079" s="7" t="inlineStr">
        <is>
          <t>Éclairage</t>
        </is>
      </c>
      <c r="G1079" s="7" t="inlineStr">
        <is>
          <t>PIECE_VEHICULE</t>
        </is>
      </c>
      <c r="H1079" s="7" t="n">
        <v>1</v>
      </c>
      <c r="I1079" s="7">
        <f>H1079*$D$3</f>
        <v/>
      </c>
      <c r="J1079" s="7" t="inlineStr">
        <is>
          <t>unité</t>
        </is>
      </c>
      <c r="K1079" s="7" t="n">
        <v>0</v>
      </c>
      <c r="L1079" s="7">
        <f>K1079-I1079</f>
        <v/>
      </c>
      <c r="M1079" s="7">
        <f>IF(K1079&lt;I1079,"✕ INSUFFISANT",IF(K1079&lt;I1079*1.2,"⚠ STOCK FAIBLE","✓ COUVERT"))</f>
        <v/>
      </c>
      <c r="N1079" s="7" t="inlineStr">
        <is>
          <t>SUM</t>
        </is>
      </c>
      <c r="O1079" s="7" t="inlineStr">
        <is>
          <t>STANDARD</t>
        </is>
      </c>
      <c r="P1079" s="7" t="inlineStr">
        <is>
          <t>31/08/2026 02:59</t>
        </is>
      </c>
    </row>
    <row r="1080">
      <c r="A1080" s="8" t="inlineStr">
        <is>
          <t>WHAP 8x8</t>
        </is>
      </c>
      <c r="B1080" s="8" t="inlineStr">
        <is>
          <t>WHAP-1076</t>
        </is>
      </c>
      <c r="C1080" s="8" t="inlineStr">
        <is>
          <t>ECL-1076</t>
        </is>
      </c>
      <c r="D1080" s="8" t="inlineStr">
        <is>
          <t>feu de recul — avant gauche</t>
        </is>
      </c>
      <c r="E1080" s="8" t="inlineStr">
        <is>
          <t>Éclairage</t>
        </is>
      </c>
      <c r="F1080" s="8" t="inlineStr">
        <is>
          <t>Éclairage</t>
        </is>
      </c>
      <c r="G1080" s="8" t="inlineStr">
        <is>
          <t>PIECE_VEHICULE</t>
        </is>
      </c>
      <c r="H1080" s="8" t="n">
        <v>1</v>
      </c>
      <c r="I1080" s="8">
        <f>H1080*$D$3</f>
        <v/>
      </c>
      <c r="J1080" s="8" t="inlineStr">
        <is>
          <t>unité</t>
        </is>
      </c>
      <c r="K1080" s="8" t="n">
        <v>0</v>
      </c>
      <c r="L1080" s="8">
        <f>K1080-I1080</f>
        <v/>
      </c>
      <c r="M1080" s="8">
        <f>IF(K1080&lt;I1080,"✕ INSUFFISANT",IF(K1080&lt;I1080*1.2,"⚠ STOCK FAIBLE","✓ COUVERT"))</f>
        <v/>
      </c>
      <c r="N1080" s="8" t="inlineStr">
        <is>
          <t>BOS</t>
        </is>
      </c>
      <c r="O1080" s="8" t="inlineStr">
        <is>
          <t>STANDARD</t>
        </is>
      </c>
      <c r="P1080" s="8" t="inlineStr">
        <is>
          <t>31/08/2026 02:59</t>
        </is>
      </c>
    </row>
    <row r="1081">
      <c r="A1081" s="7" t="inlineStr">
        <is>
          <t>WHAP 8x8</t>
        </is>
      </c>
      <c r="B1081" s="7" t="inlineStr">
        <is>
          <t>WHAP-1077</t>
        </is>
      </c>
      <c r="C1081" s="7" t="inlineStr">
        <is>
          <t>ECL-1077</t>
        </is>
      </c>
      <c r="D1081" s="7" t="inlineStr">
        <is>
          <t>feu antibrouillard — avant gauche</t>
        </is>
      </c>
      <c r="E1081" s="7" t="inlineStr">
        <is>
          <t>Éclairage</t>
        </is>
      </c>
      <c r="F1081" s="7" t="inlineStr">
        <is>
          <t>Éclairage</t>
        </is>
      </c>
      <c r="G1081" s="7" t="inlineStr">
        <is>
          <t>PIECE_VEHICULE</t>
        </is>
      </c>
      <c r="H1081" s="7" t="n">
        <v>1</v>
      </c>
      <c r="I1081" s="7">
        <f>H1081*$D$3</f>
        <v/>
      </c>
      <c r="J1081" s="7" t="inlineStr">
        <is>
          <t>unité</t>
        </is>
      </c>
      <c r="K1081" s="7" t="n">
        <v>0</v>
      </c>
      <c r="L1081" s="7">
        <f>K1081-I1081</f>
        <v/>
      </c>
      <c r="M1081" s="7">
        <f>IF(K1081&lt;I1081,"✕ INSUFFISANT",IF(K1081&lt;I1081*1.2,"⚠ STOCK FAIBLE","✓ COUVERT"))</f>
        <v/>
      </c>
      <c r="N1081" s="7" t="inlineStr">
        <is>
          <t>FAU</t>
        </is>
      </c>
      <c r="O1081" s="7" t="inlineStr">
        <is>
          <t>STANDARD</t>
        </is>
      </c>
      <c r="P1081" s="7" t="inlineStr">
        <is>
          <t>31/08/2026 02:59</t>
        </is>
      </c>
    </row>
    <row r="1082">
      <c r="A1082" s="8" t="inlineStr">
        <is>
          <t>WHAP 8x8</t>
        </is>
      </c>
      <c r="B1082" s="8" t="inlineStr">
        <is>
          <t>WHAP-1078</t>
        </is>
      </c>
      <c r="C1082" s="8" t="inlineStr">
        <is>
          <t>ECL-1078</t>
        </is>
      </c>
      <c r="D1082" s="8" t="inlineStr">
        <is>
          <t>éclairage intérieur — avant gauche</t>
        </is>
      </c>
      <c r="E1082" s="8" t="inlineStr">
        <is>
          <t>Éclairage</t>
        </is>
      </c>
      <c r="F1082" s="8" t="inlineStr">
        <is>
          <t>Éclairage</t>
        </is>
      </c>
      <c r="G1082" s="8" t="inlineStr">
        <is>
          <t>PIECE_VEHICULE</t>
        </is>
      </c>
      <c r="H1082" s="8" t="n">
        <v>1</v>
      </c>
      <c r="I1082" s="8">
        <f>H1082*$D$3</f>
        <v/>
      </c>
      <c r="J1082" s="8" t="inlineStr">
        <is>
          <t>unité</t>
        </is>
      </c>
      <c r="K1082" s="8" t="n">
        <v>0</v>
      </c>
      <c r="L1082" s="8">
        <f>K1082-I1082</f>
        <v/>
      </c>
      <c r="M1082" s="8">
        <f>IF(K1082&lt;I1082,"✕ INSUFFISANT",IF(K1082&lt;I1082*1.2,"⚠ STOCK FAIBLE","✓ COUVERT"))</f>
        <v/>
      </c>
      <c r="N1082" s="8" t="inlineStr">
        <is>
          <t>VAL</t>
        </is>
      </c>
      <c r="O1082" s="8" t="inlineStr">
        <is>
          <t>STANDARD</t>
        </is>
      </c>
      <c r="P1082" s="8" t="inlineStr">
        <is>
          <t>31/08/2026 02:59</t>
        </is>
      </c>
    </row>
    <row r="1083">
      <c r="A1083" s="7" t="inlineStr">
        <is>
          <t>WHAP 8x8</t>
        </is>
      </c>
      <c r="B1083" s="7" t="inlineStr">
        <is>
          <t>WHAP-1079</t>
        </is>
      </c>
      <c r="C1083" s="7" t="inlineStr">
        <is>
          <t>ECL-1079</t>
        </is>
      </c>
      <c r="D1083" s="7" t="inlineStr">
        <is>
          <t>éclairage compartiment moteur — avant gauche</t>
        </is>
      </c>
      <c r="E1083" s="7" t="inlineStr">
        <is>
          <t>Éclairage</t>
        </is>
      </c>
      <c r="F1083" s="7" t="inlineStr">
        <is>
          <t>Éclairage</t>
        </is>
      </c>
      <c r="G1083" s="7" t="inlineStr">
        <is>
          <t>PIECE_VEHICULE</t>
        </is>
      </c>
      <c r="H1083" s="7" t="n">
        <v>1</v>
      </c>
      <c r="I1083" s="7">
        <f>H1083*$D$3</f>
        <v/>
      </c>
      <c r="J1083" s="7" t="inlineStr">
        <is>
          <t>unité</t>
        </is>
      </c>
      <c r="K1083" s="7" t="n">
        <v>0</v>
      </c>
      <c r="L1083" s="7">
        <f>K1083-I1083</f>
        <v/>
      </c>
      <c r="M1083" s="7">
        <f>IF(K1083&lt;I1083,"✕ INSUFFISANT",IF(K1083&lt;I1083*1.2,"⚠ STOCK FAIBLE","✓ COUVERT"))</f>
        <v/>
      </c>
      <c r="N1083" s="7" t="inlineStr">
        <is>
          <t>YZK</t>
        </is>
      </c>
      <c r="O1083" s="7" t="inlineStr">
        <is>
          <t>STANDARD</t>
        </is>
      </c>
      <c r="P1083" s="7" t="inlineStr">
        <is>
          <t>31/08/2026 02:59</t>
        </is>
      </c>
    </row>
    <row r="1084">
      <c r="A1084" s="8" t="inlineStr">
        <is>
          <t>WHAP 8x8</t>
        </is>
      </c>
      <c r="B1084" s="8" t="inlineStr">
        <is>
          <t>WHAP-1080</t>
        </is>
      </c>
      <c r="C1084" s="8" t="inlineStr">
        <is>
          <t>ECL-1080</t>
        </is>
      </c>
      <c r="D1084" s="8" t="inlineStr">
        <is>
          <t>éclairage poste de conduite — avant gauche</t>
        </is>
      </c>
      <c r="E1084" s="8" t="inlineStr">
        <is>
          <t>Éclairage</t>
        </is>
      </c>
      <c r="F1084" s="8" t="inlineStr">
        <is>
          <t>Éclairage</t>
        </is>
      </c>
      <c r="G1084" s="8" t="inlineStr">
        <is>
          <t>PIECE_VEHICULE</t>
        </is>
      </c>
      <c r="H1084" s="8" t="n">
        <v>1</v>
      </c>
      <c r="I1084" s="8">
        <f>H1084*$D$3</f>
        <v/>
      </c>
      <c r="J1084" s="8" t="inlineStr">
        <is>
          <t>unité</t>
        </is>
      </c>
      <c r="K1084" s="8" t="n">
        <v>0</v>
      </c>
      <c r="L1084" s="8">
        <f>K1084-I1084</f>
        <v/>
      </c>
      <c r="M1084" s="8">
        <f>IF(K1084&lt;I1084,"✕ INSUFFISANT",IF(K1084&lt;I1084*1.2,"⚠ STOCK FAIBLE","✓ COUVERT"))</f>
        <v/>
      </c>
      <c r="N1084" s="8" t="inlineStr">
        <is>
          <t>VAL</t>
        </is>
      </c>
      <c r="O1084" s="8" t="inlineStr">
        <is>
          <t>STANDARD</t>
        </is>
      </c>
      <c r="P1084" s="8" t="inlineStr">
        <is>
          <t>31/08/2026 02:59</t>
        </is>
      </c>
    </row>
    <row r="1085">
      <c r="A1085" s="7" t="inlineStr">
        <is>
          <t>WHAP 8x8</t>
        </is>
      </c>
      <c r="B1085" s="7" t="inlineStr">
        <is>
          <t>WHAP-1081</t>
        </is>
      </c>
      <c r="C1085" s="7" t="inlineStr">
        <is>
          <t>ECL-1081</t>
        </is>
      </c>
      <c r="D1085" s="7" t="inlineStr">
        <is>
          <t>gyrophare — avant gauche</t>
        </is>
      </c>
      <c r="E1085" s="7" t="inlineStr">
        <is>
          <t>Éclairage</t>
        </is>
      </c>
      <c r="F1085" s="7" t="inlineStr">
        <is>
          <t>Éclairage</t>
        </is>
      </c>
      <c r="G1085" s="7" t="inlineStr">
        <is>
          <t>PIECE_VEHICULE</t>
        </is>
      </c>
      <c r="H1085" s="7" t="n">
        <v>1</v>
      </c>
      <c r="I1085" s="7">
        <f>H1085*$D$3</f>
        <v/>
      </c>
      <c r="J1085" s="7" t="inlineStr">
        <is>
          <t>unité</t>
        </is>
      </c>
      <c r="K1085" s="7" t="n">
        <v>0</v>
      </c>
      <c r="L1085" s="7">
        <f>K1085-I1085</f>
        <v/>
      </c>
      <c r="M1085" s="7">
        <f>IF(K1085&lt;I1085,"✕ INSUFFISANT",IF(K1085&lt;I1085*1.2,"⚠ STOCK FAIBLE","✓ COUVERT"))</f>
        <v/>
      </c>
      <c r="N1085" s="7" t="inlineStr">
        <is>
          <t>SKF</t>
        </is>
      </c>
      <c r="O1085" s="7" t="inlineStr">
        <is>
          <t>STANDARD</t>
        </is>
      </c>
      <c r="P1085" s="7" t="inlineStr">
        <is>
          <t>31/08/2026 02:59</t>
        </is>
      </c>
    </row>
    <row r="1086">
      <c r="A1086" s="8" t="inlineStr">
        <is>
          <t>WHAP 8x8</t>
        </is>
      </c>
      <c r="B1086" s="8" t="inlineStr">
        <is>
          <t>WHAP-1082</t>
        </is>
      </c>
      <c r="C1086" s="8" t="inlineStr">
        <is>
          <t>ECL-1082</t>
        </is>
      </c>
      <c r="D1086" s="8" t="inlineStr">
        <is>
          <t>lampe de lecture — avant gauche</t>
        </is>
      </c>
      <c r="E1086" s="8" t="inlineStr">
        <is>
          <t>Éclairage</t>
        </is>
      </c>
      <c r="F1086" s="8" t="inlineStr">
        <is>
          <t>Éclairage</t>
        </is>
      </c>
      <c r="G1086" s="8" t="inlineStr">
        <is>
          <t>PIECE_VEHICULE</t>
        </is>
      </c>
      <c r="H1086" s="8" t="n">
        <v>1</v>
      </c>
      <c r="I1086" s="8">
        <f>H1086*$D$3</f>
        <v/>
      </c>
      <c r="J1086" s="8" t="inlineStr">
        <is>
          <t>unité</t>
        </is>
      </c>
      <c r="K1086" s="8" t="n">
        <v>0</v>
      </c>
      <c r="L1086" s="8">
        <f>K1086-I1086</f>
        <v/>
      </c>
      <c r="M1086" s="8">
        <f>IF(K1086&lt;I1086,"✕ INSUFFISANT",IF(K1086&lt;I1086*1.2,"⚠ STOCK FAIBLE","✓ COUVERT"))</f>
        <v/>
      </c>
      <c r="N1086" s="8" t="inlineStr">
        <is>
          <t>DEL</t>
        </is>
      </c>
      <c r="O1086" s="8" t="inlineStr">
        <is>
          <t>STANDARD</t>
        </is>
      </c>
      <c r="P1086" s="8" t="inlineStr">
        <is>
          <t>31/08/2026 02:59</t>
        </is>
      </c>
    </row>
    <row r="1087">
      <c r="A1087" s="7" t="inlineStr">
        <is>
          <t>WHAP 8x8</t>
        </is>
      </c>
      <c r="B1087" s="7" t="inlineStr">
        <is>
          <t>WHAP-1083</t>
        </is>
      </c>
      <c r="C1087" s="7" t="inlineStr">
        <is>
          <t>ECL-1083</t>
        </is>
      </c>
      <c r="D1087" s="7" t="inlineStr">
        <is>
          <t>projecteur de recherche — avant gauche</t>
        </is>
      </c>
      <c r="E1087" s="7" t="inlineStr">
        <is>
          <t>Éclairage</t>
        </is>
      </c>
      <c r="F1087" s="7" t="inlineStr">
        <is>
          <t>Éclairage</t>
        </is>
      </c>
      <c r="G1087" s="7" t="inlineStr">
        <is>
          <t>PIECE_VEHICULE</t>
        </is>
      </c>
      <c r="H1087" s="7" t="n">
        <v>1</v>
      </c>
      <c r="I1087" s="7">
        <f>H1087*$D$3</f>
        <v/>
      </c>
      <c r="J1087" s="7" t="inlineStr">
        <is>
          <t>unité</t>
        </is>
      </c>
      <c r="K1087" s="7" t="n">
        <v>0</v>
      </c>
      <c r="L1087" s="7">
        <f>K1087-I1087</f>
        <v/>
      </c>
      <c r="M1087" s="7">
        <f>IF(K1087&lt;I1087,"✕ INSUFFISANT",IF(K1087&lt;I1087*1.2,"⚠ STOCK FAIBLE","✓ COUVERT"))</f>
        <v/>
      </c>
      <c r="N1087" s="7" t="inlineStr">
        <is>
          <t>CTL</t>
        </is>
      </c>
      <c r="O1087" s="7" t="inlineStr">
        <is>
          <t>STANDARD</t>
        </is>
      </c>
      <c r="P1087" s="7" t="inlineStr">
        <is>
          <t>31/08/2026 02:59</t>
        </is>
      </c>
    </row>
    <row r="1088">
      <c r="A1088" s="8" t="inlineStr">
        <is>
          <t>WHAP 8x8</t>
        </is>
      </c>
      <c r="B1088" s="8" t="inlineStr">
        <is>
          <t>WHAP-1084</t>
        </is>
      </c>
      <c r="C1088" s="8" t="inlineStr">
        <is>
          <t>ECL-1084</t>
        </is>
      </c>
      <c r="D1088" s="8" t="inlineStr">
        <is>
          <t>module LED — avant gauche</t>
        </is>
      </c>
      <c r="E1088" s="8" t="inlineStr">
        <is>
          <t>Éclairage</t>
        </is>
      </c>
      <c r="F1088" s="8" t="inlineStr">
        <is>
          <t>Éclairage</t>
        </is>
      </c>
      <c r="G1088" s="8" t="inlineStr">
        <is>
          <t>PIECE_VEHICULE</t>
        </is>
      </c>
      <c r="H1088" s="8" t="n">
        <v>1</v>
      </c>
      <c r="I1088" s="8">
        <f>H1088*$D$3</f>
        <v/>
      </c>
      <c r="J1088" s="8" t="inlineStr">
        <is>
          <t>unité</t>
        </is>
      </c>
      <c r="K1088" s="8" t="n">
        <v>0</v>
      </c>
      <c r="L1088" s="8">
        <f>K1088-I1088</f>
        <v/>
      </c>
      <c r="M1088" s="8">
        <f>IF(K1088&lt;I1088,"✕ INSUFFISANT",IF(K1088&lt;I1088*1.2,"⚠ STOCK FAIBLE","✓ COUVERT"))</f>
        <v/>
      </c>
      <c r="N1088" s="8" t="inlineStr">
        <is>
          <t>MAG</t>
        </is>
      </c>
      <c r="O1088" s="8" t="inlineStr">
        <is>
          <t>STANDARD</t>
        </is>
      </c>
      <c r="P1088" s="8" t="inlineStr">
        <is>
          <t>31/08/2026 02:59</t>
        </is>
      </c>
    </row>
    <row r="1089">
      <c r="A1089" s="7" t="inlineStr">
        <is>
          <t>WHAP 8x8</t>
        </is>
      </c>
      <c r="B1089" s="7" t="inlineStr">
        <is>
          <t>WHAP-1085</t>
        </is>
      </c>
      <c r="C1089" s="7" t="inlineStr">
        <is>
          <t>ECL-1085</t>
        </is>
      </c>
      <c r="D1089" s="7" t="inlineStr">
        <is>
          <t>lentille — avant gauche</t>
        </is>
      </c>
      <c r="E1089" s="7" t="inlineStr">
        <is>
          <t>Éclairage</t>
        </is>
      </c>
      <c r="F1089" s="7" t="inlineStr">
        <is>
          <t>Éclairage</t>
        </is>
      </c>
      <c r="G1089" s="7" t="inlineStr">
        <is>
          <t>PIECE_VEHICULE</t>
        </is>
      </c>
      <c r="H1089" s="7" t="n">
        <v>1</v>
      </c>
      <c r="I1089" s="7">
        <f>H1089*$D$3</f>
        <v/>
      </c>
      <c r="J1089" s="7" t="inlineStr">
        <is>
          <t>unité</t>
        </is>
      </c>
      <c r="K1089" s="7" t="n">
        <v>0</v>
      </c>
      <c r="L1089" s="7">
        <f>K1089-I1089</f>
        <v/>
      </c>
      <c r="M1089" s="7">
        <f>IF(K1089&lt;I1089,"✕ INSUFFISANT",IF(K1089&lt;I1089*1.2,"⚠ STOCK FAIBLE","✓ COUVERT"))</f>
        <v/>
      </c>
      <c r="N1089" s="7" t="inlineStr">
        <is>
          <t>BOS</t>
        </is>
      </c>
      <c r="O1089" s="7" t="inlineStr">
        <is>
          <t>STANDARD</t>
        </is>
      </c>
      <c r="P1089" s="7" t="inlineStr">
        <is>
          <t>31/08/2026 02:59</t>
        </is>
      </c>
    </row>
    <row r="1090">
      <c r="A1090" s="8" t="inlineStr">
        <is>
          <t>WHAP 8x8</t>
        </is>
      </c>
      <c r="B1090" s="8" t="inlineStr">
        <is>
          <t>WHAP-1086</t>
        </is>
      </c>
      <c r="C1090" s="8" t="inlineStr">
        <is>
          <t>ECL-1086</t>
        </is>
      </c>
      <c r="D1090" s="8" t="inlineStr">
        <is>
          <t>réflecteur — avant gauche</t>
        </is>
      </c>
      <c r="E1090" s="8" t="inlineStr">
        <is>
          <t>Éclairage</t>
        </is>
      </c>
      <c r="F1090" s="8" t="inlineStr">
        <is>
          <t>Éclairage</t>
        </is>
      </c>
      <c r="G1090" s="8" t="inlineStr">
        <is>
          <t>PIECE_VEHICULE</t>
        </is>
      </c>
      <c r="H1090" s="8" t="n">
        <v>1</v>
      </c>
      <c r="I1090" s="8">
        <f>H1090*$D$3</f>
        <v/>
      </c>
      <c r="J1090" s="8" t="inlineStr">
        <is>
          <t>unité</t>
        </is>
      </c>
      <c r="K1090" s="8" t="n">
        <v>0</v>
      </c>
      <c r="L1090" s="8">
        <f>K1090-I1090</f>
        <v/>
      </c>
      <c r="M1090" s="8">
        <f>IF(K1090&lt;I1090,"✕ INSUFFISANT",IF(K1090&lt;I1090*1.2,"⚠ STOCK FAIBLE","✓ COUVERT"))</f>
        <v/>
      </c>
      <c r="N1090" s="8" t="inlineStr">
        <is>
          <t>CTL</t>
        </is>
      </c>
      <c r="O1090" s="8" t="inlineStr">
        <is>
          <t>STANDARD</t>
        </is>
      </c>
      <c r="P1090" s="8" t="inlineStr">
        <is>
          <t>31/08/2026 02:59</t>
        </is>
      </c>
    </row>
    <row r="1091">
      <c r="A1091" s="7" t="inlineStr">
        <is>
          <t>WHAP 8x8</t>
        </is>
      </c>
      <c r="B1091" s="7" t="inlineStr">
        <is>
          <t>WHAP-1087</t>
        </is>
      </c>
      <c r="C1091" s="7" t="inlineStr">
        <is>
          <t>ECL-1087</t>
        </is>
      </c>
      <c r="D1091" s="7" t="inlineStr">
        <is>
          <t>support de phare — avant gauche</t>
        </is>
      </c>
      <c r="E1091" s="7" t="inlineStr">
        <is>
          <t>Éclairage</t>
        </is>
      </c>
      <c r="F1091" s="7" t="inlineStr">
        <is>
          <t>Éclairage</t>
        </is>
      </c>
      <c r="G1091" s="7" t="inlineStr">
        <is>
          <t>PIECE_VEHICULE</t>
        </is>
      </c>
      <c r="H1091" s="7" t="n">
        <v>1</v>
      </c>
      <c r="I1091" s="7">
        <f>H1091*$D$3</f>
        <v/>
      </c>
      <c r="J1091" s="7" t="inlineStr">
        <is>
          <t>unité</t>
        </is>
      </c>
      <c r="K1091" s="7" t="n">
        <v>0</v>
      </c>
      <c r="L1091" s="7">
        <f>K1091-I1091</f>
        <v/>
      </c>
      <c r="M1091" s="7">
        <f>IF(K1091&lt;I1091,"✕ INSUFFISANT",IF(K1091&lt;I1091*1.2,"⚠ STOCK FAIBLE","✓ COUVERT"))</f>
        <v/>
      </c>
      <c r="N1091" s="7" t="inlineStr">
        <is>
          <t>YZK</t>
        </is>
      </c>
      <c r="O1091" s="7" t="inlineStr">
        <is>
          <t>STANDARD</t>
        </is>
      </c>
      <c r="P1091" s="7" t="inlineStr">
        <is>
          <t>31/08/2026 02:59</t>
        </is>
      </c>
    </row>
    <row r="1092">
      <c r="A1092" s="8" t="inlineStr">
        <is>
          <t>WHAP 8x8</t>
        </is>
      </c>
      <c r="B1092" s="8" t="inlineStr">
        <is>
          <t>WHAP-1088</t>
        </is>
      </c>
      <c r="C1092" s="8" t="inlineStr">
        <is>
          <t>ECL-1088</t>
        </is>
      </c>
      <c r="D1092" s="8" t="inlineStr">
        <is>
          <t>interrupteur éclairage — avant gauche</t>
        </is>
      </c>
      <c r="E1092" s="8" t="inlineStr">
        <is>
          <t>Éclairage</t>
        </is>
      </c>
      <c r="F1092" s="8" t="inlineStr">
        <is>
          <t>Éclairage</t>
        </is>
      </c>
      <c r="G1092" s="8" t="inlineStr">
        <is>
          <t>PIECE_VEHICULE</t>
        </is>
      </c>
      <c r="H1092" s="8" t="n">
        <v>1</v>
      </c>
      <c r="I1092" s="8">
        <f>H1092*$D$3</f>
        <v/>
      </c>
      <c r="J1092" s="8" t="inlineStr">
        <is>
          <t>unité</t>
        </is>
      </c>
      <c r="K1092" s="8" t="n">
        <v>0</v>
      </c>
      <c r="L1092" s="8">
        <f>K1092-I1092</f>
        <v/>
      </c>
      <c r="M1092" s="8">
        <f>IF(K1092&lt;I1092,"✕ INSUFFISANT",IF(K1092&lt;I1092*1.2,"⚠ STOCK FAIBLE","✓ COUVERT"))</f>
        <v/>
      </c>
      <c r="N1092" s="8" t="inlineStr">
        <is>
          <t>SKF</t>
        </is>
      </c>
      <c r="O1092" s="8" t="inlineStr">
        <is>
          <t>STANDARD</t>
        </is>
      </c>
      <c r="P1092" s="8" t="inlineStr">
        <is>
          <t>31/08/2026 02:59</t>
        </is>
      </c>
    </row>
    <row r="1093">
      <c r="A1093" s="7" t="inlineStr">
        <is>
          <t>WHAP 8x8</t>
        </is>
      </c>
      <c r="B1093" s="7" t="inlineStr">
        <is>
          <t>WHAP-1089</t>
        </is>
      </c>
      <c r="C1093" s="7" t="inlineStr">
        <is>
          <t>ECL-1089</t>
        </is>
      </c>
      <c r="D1093" s="7" t="inlineStr">
        <is>
          <t>faisceau éclairage — avant gauche</t>
        </is>
      </c>
      <c r="E1093" s="7" t="inlineStr">
        <is>
          <t>Éclairage</t>
        </is>
      </c>
      <c r="F1093" s="7" t="inlineStr">
        <is>
          <t>Éclairage</t>
        </is>
      </c>
      <c r="G1093" s="7" t="inlineStr">
        <is>
          <t>PIECE_VEHICULE</t>
        </is>
      </c>
      <c r="H1093" s="7" t="n">
        <v>1</v>
      </c>
      <c r="I1093" s="7">
        <f>H1093*$D$3</f>
        <v/>
      </c>
      <c r="J1093" s="7" t="inlineStr">
        <is>
          <t>unité</t>
        </is>
      </c>
      <c r="K1093" s="7" t="n">
        <v>0</v>
      </c>
      <c r="L1093" s="7">
        <f>K1093-I1093</f>
        <v/>
      </c>
      <c r="M1093" s="7">
        <f>IF(K1093&lt;I1093,"✕ INSUFFISANT",IF(K1093&lt;I1093*1.2,"⚠ STOCK FAIBLE","✓ COUVERT"))</f>
        <v/>
      </c>
      <c r="N1093" s="7" t="inlineStr">
        <is>
          <t>SUM</t>
        </is>
      </c>
      <c r="O1093" s="7" t="inlineStr">
        <is>
          <t>STANDARD</t>
        </is>
      </c>
      <c r="P1093" s="7" t="inlineStr">
        <is>
          <t>31/08/2026 02:59</t>
        </is>
      </c>
    </row>
    <row r="1094">
      <c r="A1094" s="8" t="inlineStr">
        <is>
          <t>WHAP 8x8</t>
        </is>
      </c>
      <c r="B1094" s="8" t="inlineStr">
        <is>
          <t>WHAP-1090</t>
        </is>
      </c>
      <c r="C1094" s="8" t="inlineStr">
        <is>
          <t>ECL-1090</t>
        </is>
      </c>
      <c r="D1094" s="8" t="inlineStr">
        <is>
          <t>connecteur de phare — avant gauche</t>
        </is>
      </c>
      <c r="E1094" s="8" t="inlineStr">
        <is>
          <t>Éclairage</t>
        </is>
      </c>
      <c r="F1094" s="8" t="inlineStr">
        <is>
          <t>Éclairage</t>
        </is>
      </c>
      <c r="G1094" s="8" t="inlineStr">
        <is>
          <t>PIECE_VEHICULE</t>
        </is>
      </c>
      <c r="H1094" s="8" t="n">
        <v>1</v>
      </c>
      <c r="I1094" s="8">
        <f>H1094*$D$3</f>
        <v/>
      </c>
      <c r="J1094" s="8" t="inlineStr">
        <is>
          <t>unité</t>
        </is>
      </c>
      <c r="K1094" s="8" t="n">
        <v>0</v>
      </c>
      <c r="L1094" s="8">
        <f>K1094-I1094</f>
        <v/>
      </c>
      <c r="M1094" s="8">
        <f>IF(K1094&lt;I1094,"✕ INSUFFISANT",IF(K1094&lt;I1094*1.2,"⚠ STOCK FAIBLE","✓ COUVERT"))</f>
        <v/>
      </c>
      <c r="N1094" s="8" t="inlineStr">
        <is>
          <t>YZK</t>
        </is>
      </c>
      <c r="O1094" s="8" t="inlineStr">
        <is>
          <t>STANDARD</t>
        </is>
      </c>
      <c r="P1094" s="8" t="inlineStr">
        <is>
          <t>31/08/2026 02:59</t>
        </is>
      </c>
    </row>
    <row r="1095">
      <c r="A1095" s="7" t="inlineStr">
        <is>
          <t>WHAP 8x8</t>
        </is>
      </c>
      <c r="B1095" s="7" t="inlineStr">
        <is>
          <t>WHAP-1091</t>
        </is>
      </c>
      <c r="C1095" s="7" t="inlineStr">
        <is>
          <t>ECL-1091</t>
        </is>
      </c>
      <c r="D1095" s="7" t="inlineStr">
        <is>
          <t>fusible éclairage — avant gauche</t>
        </is>
      </c>
      <c r="E1095" s="7" t="inlineStr">
        <is>
          <t>Éclairage</t>
        </is>
      </c>
      <c r="F1095" s="7" t="inlineStr">
        <is>
          <t>Éclairage</t>
        </is>
      </c>
      <c r="G1095" s="7" t="inlineStr">
        <is>
          <t>PIECE_VEHICULE</t>
        </is>
      </c>
      <c r="H1095" s="7" t="n">
        <v>1</v>
      </c>
      <c r="I1095" s="7">
        <f>H1095*$D$3</f>
        <v/>
      </c>
      <c r="J1095" s="7" t="inlineStr">
        <is>
          <t>unité</t>
        </is>
      </c>
      <c r="K1095" s="7" t="n">
        <v>0</v>
      </c>
      <c r="L1095" s="7">
        <f>K1095-I1095</f>
        <v/>
      </c>
      <c r="M1095" s="7">
        <f>IF(K1095&lt;I1095,"✕ INSUFFISANT",IF(K1095&lt;I1095*1.2,"⚠ STOCK FAIBLE","✓ COUVERT"))</f>
        <v/>
      </c>
      <c r="N1095" s="7" t="inlineStr">
        <is>
          <t>FAU</t>
        </is>
      </c>
      <c r="O1095" s="7" t="inlineStr">
        <is>
          <t>STANDARD</t>
        </is>
      </c>
      <c r="P1095" s="7" t="inlineStr">
        <is>
          <t>31/08/2026 02:59</t>
        </is>
      </c>
    </row>
    <row r="1096">
      <c r="A1096" s="8" t="inlineStr">
        <is>
          <t>WHAP 8x8</t>
        </is>
      </c>
      <c r="B1096" s="8" t="inlineStr">
        <is>
          <t>WHAP-1092</t>
        </is>
      </c>
      <c r="C1096" s="8" t="inlineStr">
        <is>
          <t>ECL-1092</t>
        </is>
      </c>
      <c r="D1096" s="8" t="inlineStr">
        <is>
          <t>phare avant — avant droit</t>
        </is>
      </c>
      <c r="E1096" s="8" t="inlineStr">
        <is>
          <t>Éclairage</t>
        </is>
      </c>
      <c r="F1096" s="8" t="inlineStr">
        <is>
          <t>Éclairage</t>
        </is>
      </c>
      <c r="G1096" s="8" t="inlineStr">
        <is>
          <t>PIECE_VEHICULE</t>
        </is>
      </c>
      <c r="H1096" s="8" t="n">
        <v>1</v>
      </c>
      <c r="I1096" s="8">
        <f>H1096*$D$3</f>
        <v/>
      </c>
      <c r="J1096" s="8" t="inlineStr">
        <is>
          <t>unité</t>
        </is>
      </c>
      <c r="K1096" s="8" t="n">
        <v>0</v>
      </c>
      <c r="L1096" s="8">
        <f>K1096-I1096</f>
        <v/>
      </c>
      <c r="M1096" s="8">
        <f>IF(K1096&lt;I1096,"✕ INSUFFISANT",IF(K1096&lt;I1096*1.2,"⚠ STOCK FAIBLE","✓ COUVERT"))</f>
        <v/>
      </c>
      <c r="N1096" s="8" t="inlineStr">
        <is>
          <t>YZK</t>
        </is>
      </c>
      <c r="O1096" s="8" t="inlineStr">
        <is>
          <t>STANDARD</t>
        </is>
      </c>
      <c r="P1096" s="8" t="inlineStr">
        <is>
          <t>31/08/2026 02:59</t>
        </is>
      </c>
    </row>
    <row r="1097">
      <c r="A1097" s="7" t="inlineStr">
        <is>
          <t>WHAP 8x8</t>
        </is>
      </c>
      <c r="B1097" s="7" t="inlineStr">
        <is>
          <t>WHAP-1093</t>
        </is>
      </c>
      <c r="C1097" s="7" t="inlineStr">
        <is>
          <t>ECL-1093</t>
        </is>
      </c>
      <c r="D1097" s="7" t="inlineStr">
        <is>
          <t>projecteur LED — avant droit</t>
        </is>
      </c>
      <c r="E1097" s="7" t="inlineStr">
        <is>
          <t>Éclairage</t>
        </is>
      </c>
      <c r="F1097" s="7" t="inlineStr">
        <is>
          <t>Éclairage</t>
        </is>
      </c>
      <c r="G1097" s="7" t="inlineStr">
        <is>
          <t>PIECE_VEHICULE</t>
        </is>
      </c>
      <c r="H1097" s="7" t="n">
        <v>1</v>
      </c>
      <c r="I1097" s="7">
        <f>H1097*$D$3</f>
        <v/>
      </c>
      <c r="J1097" s="7" t="inlineStr">
        <is>
          <t>unité</t>
        </is>
      </c>
      <c r="K1097" s="7" t="n">
        <v>0</v>
      </c>
      <c r="L1097" s="7">
        <f>K1097-I1097</f>
        <v/>
      </c>
      <c r="M1097" s="7">
        <f>IF(K1097&lt;I1097,"✕ INSUFFISANT",IF(K1097&lt;I1097*1.2,"⚠ STOCK FAIBLE","✓ COUVERT"))</f>
        <v/>
      </c>
      <c r="N1097" s="7" t="inlineStr">
        <is>
          <t>BOS</t>
        </is>
      </c>
      <c r="O1097" s="7" t="inlineStr">
        <is>
          <t>STANDARD</t>
        </is>
      </c>
      <c r="P1097" s="7" t="inlineStr">
        <is>
          <t>31/08/2026 02:59</t>
        </is>
      </c>
    </row>
    <row r="1098">
      <c r="A1098" s="8" t="inlineStr">
        <is>
          <t>WHAP 8x8</t>
        </is>
      </c>
      <c r="B1098" s="8" t="inlineStr">
        <is>
          <t>WHAP-1094</t>
        </is>
      </c>
      <c r="C1098" s="8" t="inlineStr">
        <is>
          <t>ECL-1094</t>
        </is>
      </c>
      <c r="D1098" s="8" t="inlineStr">
        <is>
          <t>feu de position — avant droit</t>
        </is>
      </c>
      <c r="E1098" s="8" t="inlineStr">
        <is>
          <t>Éclairage</t>
        </is>
      </c>
      <c r="F1098" s="8" t="inlineStr">
        <is>
          <t>Éclairage</t>
        </is>
      </c>
      <c r="G1098" s="8" t="inlineStr">
        <is>
          <t>PIECE_VEHICULE</t>
        </is>
      </c>
      <c r="H1098" s="8" t="n">
        <v>1</v>
      </c>
      <c r="I1098" s="8">
        <f>H1098*$D$3</f>
        <v/>
      </c>
      <c r="J1098" s="8" t="inlineStr">
        <is>
          <t>unité</t>
        </is>
      </c>
      <c r="K1098" s="8" t="n">
        <v>0</v>
      </c>
      <c r="L1098" s="8">
        <f>K1098-I1098</f>
        <v/>
      </c>
      <c r="M1098" s="8">
        <f>IF(K1098&lt;I1098,"✕ INSUFFISANT",IF(K1098&lt;I1098*1.2,"⚠ STOCK FAIBLE","✓ COUVERT"))</f>
        <v/>
      </c>
      <c r="N1098" s="8" t="inlineStr">
        <is>
          <t>SKF</t>
        </is>
      </c>
      <c r="O1098" s="8" t="inlineStr">
        <is>
          <t>STANDARD</t>
        </is>
      </c>
      <c r="P1098" s="8" t="inlineStr">
        <is>
          <t>31/08/2026 02:59</t>
        </is>
      </c>
    </row>
    <row r="1099">
      <c r="A1099" s="7" t="inlineStr">
        <is>
          <t>WHAP 8x8</t>
        </is>
      </c>
      <c r="B1099" s="7" t="inlineStr">
        <is>
          <t>WHAP-1095</t>
        </is>
      </c>
      <c r="C1099" s="7" t="inlineStr">
        <is>
          <t>ECL-1095</t>
        </is>
      </c>
      <c r="D1099" s="7" t="inlineStr">
        <is>
          <t>feu arrière — avant droit</t>
        </is>
      </c>
      <c r="E1099" s="7" t="inlineStr">
        <is>
          <t>Éclairage</t>
        </is>
      </c>
      <c r="F1099" s="7" t="inlineStr">
        <is>
          <t>Éclairage</t>
        </is>
      </c>
      <c r="G1099" s="7" t="inlineStr">
        <is>
          <t>PIECE_VEHICULE</t>
        </is>
      </c>
      <c r="H1099" s="7" t="n">
        <v>1</v>
      </c>
      <c r="I1099" s="7">
        <f>H1099*$D$3</f>
        <v/>
      </c>
      <c r="J1099" s="7" t="inlineStr">
        <is>
          <t>unité</t>
        </is>
      </c>
      <c r="K1099" s="7" t="n">
        <v>0</v>
      </c>
      <c r="L1099" s="7">
        <f>K1099-I1099</f>
        <v/>
      </c>
      <c r="M1099" s="7">
        <f>IF(K1099&lt;I1099,"✕ INSUFFISANT",IF(K1099&lt;I1099*1.2,"⚠ STOCK FAIBLE","✓ COUVERT"))</f>
        <v/>
      </c>
      <c r="N1099" s="7" t="inlineStr">
        <is>
          <t>YZK</t>
        </is>
      </c>
      <c r="O1099" s="7" t="inlineStr">
        <is>
          <t>STANDARD</t>
        </is>
      </c>
      <c r="P1099" s="7" t="inlineStr">
        <is>
          <t>31/08/2026 02:59</t>
        </is>
      </c>
    </row>
    <row r="1100">
      <c r="A1100" s="8" t="inlineStr">
        <is>
          <t>WHAP 8x8</t>
        </is>
      </c>
      <c r="B1100" s="8" t="inlineStr">
        <is>
          <t>WHAP-1096</t>
        </is>
      </c>
      <c r="C1100" s="8" t="inlineStr">
        <is>
          <t>ECL-1096</t>
        </is>
      </c>
      <c r="D1100" s="8" t="inlineStr">
        <is>
          <t>feu stop — avant droit</t>
        </is>
      </c>
      <c r="E1100" s="8" t="inlineStr">
        <is>
          <t>Éclairage</t>
        </is>
      </c>
      <c r="F1100" s="8" t="inlineStr">
        <is>
          <t>Éclairage</t>
        </is>
      </c>
      <c r="G1100" s="8" t="inlineStr">
        <is>
          <t>PIECE_VEHICULE</t>
        </is>
      </c>
      <c r="H1100" s="8" t="n">
        <v>1</v>
      </c>
      <c r="I1100" s="8">
        <f>H1100*$D$3</f>
        <v/>
      </c>
      <c r="J1100" s="8" t="inlineStr">
        <is>
          <t>unité</t>
        </is>
      </c>
      <c r="K1100" s="8" t="n">
        <v>0</v>
      </c>
      <c r="L1100" s="8">
        <f>K1100-I1100</f>
        <v/>
      </c>
      <c r="M1100" s="8">
        <f>IF(K1100&lt;I1100,"✕ INSUFFISANT",IF(K1100&lt;I1100*1.2,"⚠ STOCK FAIBLE","✓ COUVERT"))</f>
        <v/>
      </c>
      <c r="N1100" s="8" t="inlineStr">
        <is>
          <t>VAL</t>
        </is>
      </c>
      <c r="O1100" s="8" t="inlineStr">
        <is>
          <t>STANDARD</t>
        </is>
      </c>
      <c r="P1100" s="8" t="inlineStr">
        <is>
          <t>31/08/2026 02:59</t>
        </is>
      </c>
    </row>
    <row r="1101">
      <c r="A1101" s="7" t="inlineStr">
        <is>
          <t>WHAP 8x8</t>
        </is>
      </c>
      <c r="B1101" s="7" t="inlineStr">
        <is>
          <t>WHAP-1097</t>
        </is>
      </c>
      <c r="C1101" s="7" t="inlineStr">
        <is>
          <t>ECL-1097</t>
        </is>
      </c>
      <c r="D1101" s="7" t="inlineStr">
        <is>
          <t>clignotant — avant droit</t>
        </is>
      </c>
      <c r="E1101" s="7" t="inlineStr">
        <is>
          <t>Éclairage</t>
        </is>
      </c>
      <c r="F1101" s="7" t="inlineStr">
        <is>
          <t>Éclairage</t>
        </is>
      </c>
      <c r="G1101" s="7" t="inlineStr">
        <is>
          <t>PIECE_VEHICULE</t>
        </is>
      </c>
      <c r="H1101" s="7" t="n">
        <v>1</v>
      </c>
      <c r="I1101" s="7">
        <f>H1101*$D$3</f>
        <v/>
      </c>
      <c r="J1101" s="7" t="inlineStr">
        <is>
          <t>unité</t>
        </is>
      </c>
      <c r="K1101" s="7" t="n">
        <v>0</v>
      </c>
      <c r="L1101" s="7">
        <f>K1101-I1101</f>
        <v/>
      </c>
      <c r="M1101" s="7">
        <f>IF(K1101&lt;I1101,"✕ INSUFFISANT",IF(K1101&lt;I1101*1.2,"⚠ STOCK FAIBLE","✓ COUVERT"))</f>
        <v/>
      </c>
      <c r="N1101" s="7" t="inlineStr">
        <is>
          <t>FAU</t>
        </is>
      </c>
      <c r="O1101" s="7" t="inlineStr">
        <is>
          <t>STANDARD</t>
        </is>
      </c>
      <c r="P1101" s="7" t="inlineStr">
        <is>
          <t>31/08/2026 02:59</t>
        </is>
      </c>
    </row>
    <row r="1102">
      <c r="A1102" s="8" t="inlineStr">
        <is>
          <t>WHAP 8x8</t>
        </is>
      </c>
      <c r="B1102" s="8" t="inlineStr">
        <is>
          <t>WHAP-1098</t>
        </is>
      </c>
      <c r="C1102" s="8" t="inlineStr">
        <is>
          <t>ECL-1098</t>
        </is>
      </c>
      <c r="D1102" s="8" t="inlineStr">
        <is>
          <t>feu de recul — avant droit</t>
        </is>
      </c>
      <c r="E1102" s="8" t="inlineStr">
        <is>
          <t>Éclairage</t>
        </is>
      </c>
      <c r="F1102" s="8" t="inlineStr">
        <is>
          <t>Éclairage</t>
        </is>
      </c>
      <c r="G1102" s="8" t="inlineStr">
        <is>
          <t>PIECE_VEHICULE</t>
        </is>
      </c>
      <c r="H1102" s="8" t="n">
        <v>1</v>
      </c>
      <c r="I1102" s="8">
        <f>H1102*$D$3</f>
        <v/>
      </c>
      <c r="J1102" s="8" t="inlineStr">
        <is>
          <t>unité</t>
        </is>
      </c>
      <c r="K1102" s="8" t="n">
        <v>0</v>
      </c>
      <c r="L1102" s="8">
        <f>K1102-I1102</f>
        <v/>
      </c>
      <c r="M1102" s="8">
        <f>IF(K1102&lt;I1102,"✕ INSUFFISANT",IF(K1102&lt;I1102*1.2,"⚠ STOCK FAIBLE","✓ COUVERT"))</f>
        <v/>
      </c>
      <c r="N1102" s="8" t="inlineStr">
        <is>
          <t>HEL</t>
        </is>
      </c>
      <c r="O1102" s="8" t="inlineStr">
        <is>
          <t>STANDARD</t>
        </is>
      </c>
      <c r="P1102" s="8" t="inlineStr">
        <is>
          <t>31/08/2026 02:59</t>
        </is>
      </c>
    </row>
    <row r="1103">
      <c r="A1103" s="7" t="inlineStr">
        <is>
          <t>WHAP 8x8</t>
        </is>
      </c>
      <c r="B1103" s="7" t="inlineStr">
        <is>
          <t>WHAP-1099</t>
        </is>
      </c>
      <c r="C1103" s="7" t="inlineStr">
        <is>
          <t>ECL-1099</t>
        </is>
      </c>
      <c r="D1103" s="7" t="inlineStr">
        <is>
          <t>feu antibrouillard — avant droit</t>
        </is>
      </c>
      <c r="E1103" s="7" t="inlineStr">
        <is>
          <t>Éclairage</t>
        </is>
      </c>
      <c r="F1103" s="7" t="inlineStr">
        <is>
          <t>Éclairage</t>
        </is>
      </c>
      <c r="G1103" s="7" t="inlineStr">
        <is>
          <t>PIECE_VEHICULE</t>
        </is>
      </c>
      <c r="H1103" s="7" t="n">
        <v>1</v>
      </c>
      <c r="I1103" s="7">
        <f>H1103*$D$3</f>
        <v/>
      </c>
      <c r="J1103" s="7" t="inlineStr">
        <is>
          <t>unité</t>
        </is>
      </c>
      <c r="K1103" s="7" t="n">
        <v>0</v>
      </c>
      <c r="L1103" s="7">
        <f>K1103-I1103</f>
        <v/>
      </c>
      <c r="M1103" s="7">
        <f>IF(K1103&lt;I1103,"✕ INSUFFISANT",IF(K1103&lt;I1103*1.2,"⚠ STOCK FAIBLE","✓ COUVERT"))</f>
        <v/>
      </c>
      <c r="N1103" s="7" t="inlineStr">
        <is>
          <t>CTL</t>
        </is>
      </c>
      <c r="O1103" s="7" t="inlineStr">
        <is>
          <t>STANDARD</t>
        </is>
      </c>
      <c r="P1103" s="7" t="inlineStr">
        <is>
          <t>31/08/2026 02:59</t>
        </is>
      </c>
    </row>
    <row r="1104">
      <c r="A1104" s="8" t="inlineStr">
        <is>
          <t>WHAP 8x8</t>
        </is>
      </c>
      <c r="B1104" s="8" t="inlineStr">
        <is>
          <t>WHAP-1100</t>
        </is>
      </c>
      <c r="C1104" s="8" t="inlineStr">
        <is>
          <t>ECL-1100</t>
        </is>
      </c>
      <c r="D1104" s="8" t="inlineStr">
        <is>
          <t>éclairage intérieur — avant droit</t>
        </is>
      </c>
      <c r="E1104" s="8" t="inlineStr">
        <is>
          <t>Éclairage</t>
        </is>
      </c>
      <c r="F1104" s="8" t="inlineStr">
        <is>
          <t>Éclairage</t>
        </is>
      </c>
      <c r="G1104" s="8" t="inlineStr">
        <is>
          <t>PIECE_VEHICULE</t>
        </is>
      </c>
      <c r="H1104" s="8" t="n">
        <v>1</v>
      </c>
      <c r="I1104" s="8">
        <f>H1104*$D$3</f>
        <v/>
      </c>
      <c r="J1104" s="8" t="inlineStr">
        <is>
          <t>unité</t>
        </is>
      </c>
      <c r="K1104" s="8" t="n">
        <v>0</v>
      </c>
      <c r="L1104" s="8">
        <f>K1104-I1104</f>
        <v/>
      </c>
      <c r="M1104" s="8">
        <f>IF(K1104&lt;I1104,"✕ INSUFFISANT",IF(K1104&lt;I1104*1.2,"⚠ STOCK FAIBLE","✓ COUVERT"))</f>
        <v/>
      </c>
      <c r="N1104" s="8" t="inlineStr">
        <is>
          <t>BOS</t>
        </is>
      </c>
      <c r="O1104" s="8" t="inlineStr">
        <is>
          <t>STANDARD</t>
        </is>
      </c>
      <c r="P1104" s="8" t="inlineStr">
        <is>
          <t>31/08/2026 02:59</t>
        </is>
      </c>
    </row>
    <row r="1105">
      <c r="A1105" s="7" t="inlineStr">
        <is>
          <t>WHAP 8x8</t>
        </is>
      </c>
      <c r="B1105" s="7" t="inlineStr">
        <is>
          <t>WHAP-1101</t>
        </is>
      </c>
      <c r="C1105" s="7" t="inlineStr">
        <is>
          <t>ECL-1101</t>
        </is>
      </c>
      <c r="D1105" s="7" t="inlineStr">
        <is>
          <t>éclairage compartiment moteur — avant droit</t>
        </is>
      </c>
      <c r="E1105" s="7" t="inlineStr">
        <is>
          <t>Éclairage</t>
        </is>
      </c>
      <c r="F1105" s="7" t="inlineStr">
        <is>
          <t>Éclairage</t>
        </is>
      </c>
      <c r="G1105" s="7" t="inlineStr">
        <is>
          <t>PIECE_VEHICULE</t>
        </is>
      </c>
      <c r="H1105" s="7" t="n">
        <v>1</v>
      </c>
      <c r="I1105" s="7">
        <f>H1105*$D$3</f>
        <v/>
      </c>
      <c r="J1105" s="7" t="inlineStr">
        <is>
          <t>unité</t>
        </is>
      </c>
      <c r="K1105" s="7" t="n">
        <v>0</v>
      </c>
      <c r="L1105" s="7">
        <f>K1105-I1105</f>
        <v/>
      </c>
      <c r="M1105" s="7">
        <f>IF(K1105&lt;I1105,"✕ INSUFFISANT",IF(K1105&lt;I1105*1.2,"⚠ STOCK FAIBLE","✓ COUVERT"))</f>
        <v/>
      </c>
      <c r="N1105" s="7" t="inlineStr">
        <is>
          <t>FAU</t>
        </is>
      </c>
      <c r="O1105" s="7" t="inlineStr">
        <is>
          <t>STANDARD</t>
        </is>
      </c>
      <c r="P1105" s="7" t="inlineStr">
        <is>
          <t>31/08/2026 02:59</t>
        </is>
      </c>
    </row>
    <row r="1106">
      <c r="A1106" s="8" t="inlineStr">
        <is>
          <t>WHAP 8x8</t>
        </is>
      </c>
      <c r="B1106" s="8" t="inlineStr">
        <is>
          <t>WHAP-1102</t>
        </is>
      </c>
      <c r="C1106" s="8" t="inlineStr">
        <is>
          <t>ECL-1102</t>
        </is>
      </c>
      <c r="D1106" s="8" t="inlineStr">
        <is>
          <t>éclairage poste de conduite — avant droit</t>
        </is>
      </c>
      <c r="E1106" s="8" t="inlineStr">
        <is>
          <t>Éclairage</t>
        </is>
      </c>
      <c r="F1106" s="8" t="inlineStr">
        <is>
          <t>Éclairage</t>
        </is>
      </c>
      <c r="G1106" s="8" t="inlineStr">
        <is>
          <t>PIECE_VEHICULE</t>
        </is>
      </c>
      <c r="H1106" s="8" t="n">
        <v>1</v>
      </c>
      <c r="I1106" s="8">
        <f>H1106*$D$3</f>
        <v/>
      </c>
      <c r="J1106" s="8" t="inlineStr">
        <is>
          <t>unité</t>
        </is>
      </c>
      <c r="K1106" s="8" t="n">
        <v>0</v>
      </c>
      <c r="L1106" s="8">
        <f>K1106-I1106</f>
        <v/>
      </c>
      <c r="M1106" s="8">
        <f>IF(K1106&lt;I1106,"✕ INSUFFISANT",IF(K1106&lt;I1106*1.2,"⚠ STOCK FAIBLE","✓ COUVERT"))</f>
        <v/>
      </c>
      <c r="N1106" s="8" t="inlineStr">
        <is>
          <t>HEL</t>
        </is>
      </c>
      <c r="O1106" s="8" t="inlineStr">
        <is>
          <t>STANDARD</t>
        </is>
      </c>
      <c r="P1106" s="8" t="inlineStr">
        <is>
          <t>31/08/2026 02:59</t>
        </is>
      </c>
    </row>
    <row r="1107">
      <c r="A1107" s="7" t="inlineStr">
        <is>
          <t>WHAP 8x8</t>
        </is>
      </c>
      <c r="B1107" s="7" t="inlineStr">
        <is>
          <t>WHAP-1103</t>
        </is>
      </c>
      <c r="C1107" s="7" t="inlineStr">
        <is>
          <t>ECL-1103</t>
        </is>
      </c>
      <c r="D1107" s="7" t="inlineStr">
        <is>
          <t>gyrophare — avant droit</t>
        </is>
      </c>
      <c r="E1107" s="7" t="inlineStr">
        <is>
          <t>Éclairage</t>
        </is>
      </c>
      <c r="F1107" s="7" t="inlineStr">
        <is>
          <t>Éclairage</t>
        </is>
      </c>
      <c r="G1107" s="7" t="inlineStr">
        <is>
          <t>PIECE_VEHICULE</t>
        </is>
      </c>
      <c r="H1107" s="7" t="n">
        <v>1</v>
      </c>
      <c r="I1107" s="7">
        <f>H1107*$D$3</f>
        <v/>
      </c>
      <c r="J1107" s="7" t="inlineStr">
        <is>
          <t>unité</t>
        </is>
      </c>
      <c r="K1107" s="7" t="n">
        <v>0</v>
      </c>
      <c r="L1107" s="7">
        <f>K1107-I1107</f>
        <v/>
      </c>
      <c r="M1107" s="7">
        <f>IF(K1107&lt;I1107,"✕ INSUFFISANT",IF(K1107&lt;I1107*1.2,"⚠ STOCK FAIBLE","✓ COUVERT"))</f>
        <v/>
      </c>
      <c r="N1107" s="7" t="inlineStr">
        <is>
          <t>MAG</t>
        </is>
      </c>
      <c r="O1107" s="7" t="inlineStr">
        <is>
          <t>STANDARD</t>
        </is>
      </c>
      <c r="P1107" s="7" t="inlineStr">
        <is>
          <t>31/08/2026 02:59</t>
        </is>
      </c>
    </row>
    <row r="1108">
      <c r="A1108" s="8" t="inlineStr">
        <is>
          <t>WHAP 8x8</t>
        </is>
      </c>
      <c r="B1108" s="8" t="inlineStr">
        <is>
          <t>WHAP-1104</t>
        </is>
      </c>
      <c r="C1108" s="8" t="inlineStr">
        <is>
          <t>ECL-1104</t>
        </is>
      </c>
      <c r="D1108" s="8" t="inlineStr">
        <is>
          <t>lampe de lecture — avant droit</t>
        </is>
      </c>
      <c r="E1108" s="8" t="inlineStr">
        <is>
          <t>Éclairage</t>
        </is>
      </c>
      <c r="F1108" s="8" t="inlineStr">
        <is>
          <t>Éclairage</t>
        </is>
      </c>
      <c r="G1108" s="8" t="inlineStr">
        <is>
          <t>PIECE_VEHICULE</t>
        </is>
      </c>
      <c r="H1108" s="8" t="n">
        <v>1</v>
      </c>
      <c r="I1108" s="8">
        <f>H1108*$D$3</f>
        <v/>
      </c>
      <c r="J1108" s="8" t="inlineStr">
        <is>
          <t>unité</t>
        </is>
      </c>
      <c r="K1108" s="8" t="n">
        <v>0</v>
      </c>
      <c r="L1108" s="8">
        <f>K1108-I1108</f>
        <v/>
      </c>
      <c r="M1108" s="8">
        <f>IF(K1108&lt;I1108,"✕ INSUFFISANT",IF(K1108&lt;I1108*1.2,"⚠ STOCK FAIBLE","✓ COUVERT"))</f>
        <v/>
      </c>
      <c r="N1108" s="8" t="inlineStr">
        <is>
          <t>YZK</t>
        </is>
      </c>
      <c r="O1108" s="8" t="inlineStr">
        <is>
          <t>STANDARD</t>
        </is>
      </c>
      <c r="P1108" s="8" t="inlineStr">
        <is>
          <t>31/08/2026 02:59</t>
        </is>
      </c>
    </row>
    <row r="1109">
      <c r="A1109" s="7" t="inlineStr">
        <is>
          <t>WHAP 8x8</t>
        </is>
      </c>
      <c r="B1109" s="7" t="inlineStr">
        <is>
          <t>WHAP-1105</t>
        </is>
      </c>
      <c r="C1109" s="7" t="inlineStr">
        <is>
          <t>ECL-1105</t>
        </is>
      </c>
      <c r="D1109" s="7" t="inlineStr">
        <is>
          <t>projecteur de recherche — avant droit</t>
        </is>
      </c>
      <c r="E1109" s="7" t="inlineStr">
        <is>
          <t>Éclairage</t>
        </is>
      </c>
      <c r="F1109" s="7" t="inlineStr">
        <is>
          <t>Éclairage</t>
        </is>
      </c>
      <c r="G1109" s="7" t="inlineStr">
        <is>
          <t>PIECE_VEHICULE</t>
        </is>
      </c>
      <c r="H1109" s="7" t="n">
        <v>1</v>
      </c>
      <c r="I1109" s="7">
        <f>H1109*$D$3</f>
        <v/>
      </c>
      <c r="J1109" s="7" t="inlineStr">
        <is>
          <t>unité</t>
        </is>
      </c>
      <c r="K1109" s="7" t="n">
        <v>0</v>
      </c>
      <c r="L1109" s="7">
        <f>K1109-I1109</f>
        <v/>
      </c>
      <c r="M1109" s="7">
        <f>IF(K1109&lt;I1109,"✕ INSUFFISANT",IF(K1109&lt;I1109*1.2,"⚠ STOCK FAIBLE","✓ COUVERT"))</f>
        <v/>
      </c>
      <c r="N1109" s="7" t="inlineStr">
        <is>
          <t>YZK</t>
        </is>
      </c>
      <c r="O1109" s="7" t="inlineStr">
        <is>
          <t>STANDARD</t>
        </is>
      </c>
      <c r="P1109" s="7" t="inlineStr">
        <is>
          <t>31/08/2026 02:59</t>
        </is>
      </c>
    </row>
    <row r="1110">
      <c r="A1110" s="8" t="inlineStr">
        <is>
          <t>WHAP 8x8</t>
        </is>
      </c>
      <c r="B1110" s="8" t="inlineStr">
        <is>
          <t>WHAP-1106</t>
        </is>
      </c>
      <c r="C1110" s="8" t="inlineStr">
        <is>
          <t>ECL-1106</t>
        </is>
      </c>
      <c r="D1110" s="8" t="inlineStr">
        <is>
          <t>module LED — avant droit</t>
        </is>
      </c>
      <c r="E1110" s="8" t="inlineStr">
        <is>
          <t>Éclairage</t>
        </is>
      </c>
      <c r="F1110" s="8" t="inlineStr">
        <is>
          <t>Éclairage</t>
        </is>
      </c>
      <c r="G1110" s="8" t="inlineStr">
        <is>
          <t>PIECE_VEHICULE</t>
        </is>
      </c>
      <c r="H1110" s="8" t="n">
        <v>1</v>
      </c>
      <c r="I1110" s="8">
        <f>H1110*$D$3</f>
        <v/>
      </c>
      <c r="J1110" s="8" t="inlineStr">
        <is>
          <t>unité</t>
        </is>
      </c>
      <c r="K1110" s="8" t="n">
        <v>0</v>
      </c>
      <c r="L1110" s="8">
        <f>K1110-I1110</f>
        <v/>
      </c>
      <c r="M1110" s="8">
        <f>IF(K1110&lt;I1110,"✕ INSUFFISANT",IF(K1110&lt;I1110*1.2,"⚠ STOCK FAIBLE","✓ COUVERT"))</f>
        <v/>
      </c>
      <c r="N1110" s="8" t="inlineStr">
        <is>
          <t>HEL</t>
        </is>
      </c>
      <c r="O1110" s="8" t="inlineStr">
        <is>
          <t>STANDARD</t>
        </is>
      </c>
      <c r="P1110" s="8" t="inlineStr">
        <is>
          <t>31/08/2026 02:59</t>
        </is>
      </c>
    </row>
    <row r="1111">
      <c r="A1111" s="7" t="inlineStr">
        <is>
          <t>WHAP 8x8</t>
        </is>
      </c>
      <c r="B1111" s="7" t="inlineStr">
        <is>
          <t>WHAP-1107</t>
        </is>
      </c>
      <c r="C1111" s="7" t="inlineStr">
        <is>
          <t>ECL-1107</t>
        </is>
      </c>
      <c r="D1111" s="7" t="inlineStr">
        <is>
          <t>lentille — avant droit</t>
        </is>
      </c>
      <c r="E1111" s="7" t="inlineStr">
        <is>
          <t>Éclairage</t>
        </is>
      </c>
      <c r="F1111" s="7" t="inlineStr">
        <is>
          <t>Éclairage</t>
        </is>
      </c>
      <c r="G1111" s="7" t="inlineStr">
        <is>
          <t>PIECE_VEHICULE</t>
        </is>
      </c>
      <c r="H1111" s="7" t="n">
        <v>1</v>
      </c>
      <c r="I1111" s="7">
        <f>H1111*$D$3</f>
        <v/>
      </c>
      <c r="J1111" s="7" t="inlineStr">
        <is>
          <t>unité</t>
        </is>
      </c>
      <c r="K1111" s="7" t="n">
        <v>0</v>
      </c>
      <c r="L1111" s="7">
        <f>K1111-I1111</f>
        <v/>
      </c>
      <c r="M1111" s="7">
        <f>IF(K1111&lt;I1111,"✕ INSUFFISANT",IF(K1111&lt;I1111*1.2,"⚠ STOCK FAIBLE","✓ COUVERT"))</f>
        <v/>
      </c>
      <c r="N1111" s="7" t="inlineStr">
        <is>
          <t>YZK</t>
        </is>
      </c>
      <c r="O1111" s="7" t="inlineStr">
        <is>
          <t>STANDARD</t>
        </is>
      </c>
      <c r="P1111" s="7" t="inlineStr">
        <is>
          <t>31/08/2026 02:59</t>
        </is>
      </c>
    </row>
    <row r="1112">
      <c r="A1112" s="8" t="inlineStr">
        <is>
          <t>WHAP 8x8</t>
        </is>
      </c>
      <c r="B1112" s="8" t="inlineStr">
        <is>
          <t>WHAP-1108</t>
        </is>
      </c>
      <c r="C1112" s="8" t="inlineStr">
        <is>
          <t>ECL-1108</t>
        </is>
      </c>
      <c r="D1112" s="8" t="inlineStr">
        <is>
          <t>réflecteur — avant droit</t>
        </is>
      </c>
      <c r="E1112" s="8" t="inlineStr">
        <is>
          <t>Éclairage</t>
        </is>
      </c>
      <c r="F1112" s="8" t="inlineStr">
        <is>
          <t>Éclairage</t>
        </is>
      </c>
      <c r="G1112" s="8" t="inlineStr">
        <is>
          <t>PIECE_VEHICULE</t>
        </is>
      </c>
      <c r="H1112" s="8" t="n">
        <v>1</v>
      </c>
      <c r="I1112" s="8">
        <f>H1112*$D$3</f>
        <v/>
      </c>
      <c r="J1112" s="8" t="inlineStr">
        <is>
          <t>unité</t>
        </is>
      </c>
      <c r="K1112" s="8" t="n">
        <v>0</v>
      </c>
      <c r="L1112" s="8">
        <f>K1112-I1112</f>
        <v/>
      </c>
      <c r="M1112" s="8">
        <f>IF(K1112&lt;I1112,"✕ INSUFFISANT",IF(K1112&lt;I1112*1.2,"⚠ STOCK FAIBLE","✓ COUVERT"))</f>
        <v/>
      </c>
      <c r="N1112" s="8" t="inlineStr">
        <is>
          <t>MAG</t>
        </is>
      </c>
      <c r="O1112" s="8" t="inlineStr">
        <is>
          <t>STANDARD</t>
        </is>
      </c>
      <c r="P1112" s="8" t="inlineStr">
        <is>
          <t>31/08/2026 02:59</t>
        </is>
      </c>
    </row>
    <row r="1113">
      <c r="A1113" s="7" t="inlineStr">
        <is>
          <t>WHAP 8x8</t>
        </is>
      </c>
      <c r="B1113" s="7" t="inlineStr">
        <is>
          <t>WHAP-1109</t>
        </is>
      </c>
      <c r="C1113" s="7" t="inlineStr">
        <is>
          <t>ECL-1109</t>
        </is>
      </c>
      <c r="D1113" s="7" t="inlineStr">
        <is>
          <t>support de phare — avant droit</t>
        </is>
      </c>
      <c r="E1113" s="7" t="inlineStr">
        <is>
          <t>Éclairage</t>
        </is>
      </c>
      <c r="F1113" s="7" t="inlineStr">
        <is>
          <t>Éclairage</t>
        </is>
      </c>
      <c r="G1113" s="7" t="inlineStr">
        <is>
          <t>PIECE_VEHICULE</t>
        </is>
      </c>
      <c r="H1113" s="7" t="n">
        <v>1</v>
      </c>
      <c r="I1113" s="7">
        <f>H1113*$D$3</f>
        <v/>
      </c>
      <c r="J1113" s="7" t="inlineStr">
        <is>
          <t>unité</t>
        </is>
      </c>
      <c r="K1113" s="7" t="n">
        <v>0</v>
      </c>
      <c r="L1113" s="7">
        <f>K1113-I1113</f>
        <v/>
      </c>
      <c r="M1113" s="7">
        <f>IF(K1113&lt;I1113,"✕ INSUFFISANT",IF(K1113&lt;I1113*1.2,"⚠ STOCK FAIBLE","✓ COUVERT"))</f>
        <v/>
      </c>
      <c r="N1113" s="7" t="inlineStr">
        <is>
          <t>SKF</t>
        </is>
      </c>
      <c r="O1113" s="7" t="inlineStr">
        <is>
          <t>STANDARD</t>
        </is>
      </c>
      <c r="P1113" s="7" t="inlineStr">
        <is>
          <t>31/08/2026 02:59</t>
        </is>
      </c>
    </row>
    <row r="1114">
      <c r="A1114" s="8" t="inlineStr">
        <is>
          <t>WHAP 8x8</t>
        </is>
      </c>
      <c r="B1114" s="8" t="inlineStr">
        <is>
          <t>WHAP-1110</t>
        </is>
      </c>
      <c r="C1114" s="8" t="inlineStr">
        <is>
          <t>ECL-1110</t>
        </is>
      </c>
      <c r="D1114" s="8" t="inlineStr">
        <is>
          <t>interrupteur éclairage — avant droit</t>
        </is>
      </c>
      <c r="E1114" s="8" t="inlineStr">
        <is>
          <t>Éclairage</t>
        </is>
      </c>
      <c r="F1114" s="8" t="inlineStr">
        <is>
          <t>Éclairage</t>
        </is>
      </c>
      <c r="G1114" s="8" t="inlineStr">
        <is>
          <t>PIECE_VEHICULE</t>
        </is>
      </c>
      <c r="H1114" s="8" t="n">
        <v>1</v>
      </c>
      <c r="I1114" s="8">
        <f>H1114*$D$3</f>
        <v/>
      </c>
      <c r="J1114" s="8" t="inlineStr">
        <is>
          <t>unité</t>
        </is>
      </c>
      <c r="K1114" s="8" t="n">
        <v>0</v>
      </c>
      <c r="L1114" s="8">
        <f>K1114-I1114</f>
        <v/>
      </c>
      <c r="M1114" s="8">
        <f>IF(K1114&lt;I1114,"✕ INSUFFISANT",IF(K1114&lt;I1114*1.2,"⚠ STOCK FAIBLE","✓ COUVERT"))</f>
        <v/>
      </c>
      <c r="N1114" s="8" t="inlineStr">
        <is>
          <t>FAU</t>
        </is>
      </c>
      <c r="O1114" s="8" t="inlineStr">
        <is>
          <t>STANDARD</t>
        </is>
      </c>
      <c r="P1114" s="8" t="inlineStr">
        <is>
          <t>31/08/2026 02:59</t>
        </is>
      </c>
    </row>
    <row r="1115">
      <c r="A1115" s="7" t="inlineStr">
        <is>
          <t>WHAP 8x8</t>
        </is>
      </c>
      <c r="B1115" s="7" t="inlineStr">
        <is>
          <t>WHAP-1111</t>
        </is>
      </c>
      <c r="C1115" s="7" t="inlineStr">
        <is>
          <t>ECL-1111</t>
        </is>
      </c>
      <c r="D1115" s="7" t="inlineStr">
        <is>
          <t>faisceau éclairage — avant droit</t>
        </is>
      </c>
      <c r="E1115" s="7" t="inlineStr">
        <is>
          <t>Éclairage</t>
        </is>
      </c>
      <c r="F1115" s="7" t="inlineStr">
        <is>
          <t>Éclairage</t>
        </is>
      </c>
      <c r="G1115" s="7" t="inlineStr">
        <is>
          <t>PIECE_VEHICULE</t>
        </is>
      </c>
      <c r="H1115" s="7" t="n">
        <v>1</v>
      </c>
      <c r="I1115" s="7">
        <f>H1115*$D$3</f>
        <v/>
      </c>
      <c r="J1115" s="7" t="inlineStr">
        <is>
          <t>unité</t>
        </is>
      </c>
      <c r="K1115" s="7" t="n">
        <v>0</v>
      </c>
      <c r="L1115" s="7">
        <f>K1115-I1115</f>
        <v/>
      </c>
      <c r="M1115" s="7">
        <f>IF(K1115&lt;I1115,"✕ INSUFFISANT",IF(K1115&lt;I1115*1.2,"⚠ STOCK FAIBLE","✓ COUVERT"))</f>
        <v/>
      </c>
      <c r="N1115" s="7" t="inlineStr">
        <is>
          <t>FAU</t>
        </is>
      </c>
      <c r="O1115" s="7" t="inlineStr">
        <is>
          <t>STANDARD</t>
        </is>
      </c>
      <c r="P1115" s="7" t="inlineStr">
        <is>
          <t>31/08/2026 02:59</t>
        </is>
      </c>
    </row>
    <row r="1116">
      <c r="A1116" s="8" t="inlineStr">
        <is>
          <t>WHAP 8x8</t>
        </is>
      </c>
      <c r="B1116" s="8" t="inlineStr">
        <is>
          <t>WHAP-1112</t>
        </is>
      </c>
      <c r="C1116" s="8" t="inlineStr">
        <is>
          <t>ECL-1112</t>
        </is>
      </c>
      <c r="D1116" s="8" t="inlineStr">
        <is>
          <t>connecteur de phare — avant droit</t>
        </is>
      </c>
      <c r="E1116" s="8" t="inlineStr">
        <is>
          <t>Éclairage</t>
        </is>
      </c>
      <c r="F1116" s="8" t="inlineStr">
        <is>
          <t>Éclairage</t>
        </is>
      </c>
      <c r="G1116" s="8" t="inlineStr">
        <is>
          <t>PIECE_VEHICULE</t>
        </is>
      </c>
      <c r="H1116" s="8" t="n">
        <v>1</v>
      </c>
      <c r="I1116" s="8">
        <f>H1116*$D$3</f>
        <v/>
      </c>
      <c r="J1116" s="8" t="inlineStr">
        <is>
          <t>unité</t>
        </is>
      </c>
      <c r="K1116" s="8" t="n">
        <v>0</v>
      </c>
      <c r="L1116" s="8">
        <f>K1116-I1116</f>
        <v/>
      </c>
      <c r="M1116" s="8">
        <f>IF(K1116&lt;I1116,"✕ INSUFFISANT",IF(K1116&lt;I1116*1.2,"⚠ STOCK FAIBLE","✓ COUVERT"))</f>
        <v/>
      </c>
      <c r="N1116" s="8" t="inlineStr">
        <is>
          <t>CTL</t>
        </is>
      </c>
      <c r="O1116" s="8" t="inlineStr">
        <is>
          <t>STANDARD</t>
        </is>
      </c>
      <c r="P1116" s="8" t="inlineStr">
        <is>
          <t>31/08/2026 02:59</t>
        </is>
      </c>
    </row>
    <row r="1117">
      <c r="A1117" s="7" t="inlineStr">
        <is>
          <t>WHAP 8x8</t>
        </is>
      </c>
      <c r="B1117" s="7" t="inlineStr">
        <is>
          <t>WHAP-1113</t>
        </is>
      </c>
      <c r="C1117" s="7" t="inlineStr">
        <is>
          <t>ECL-1113</t>
        </is>
      </c>
      <c r="D1117" s="7" t="inlineStr">
        <is>
          <t>fusible éclairage — avant droit</t>
        </is>
      </c>
      <c r="E1117" s="7" t="inlineStr">
        <is>
          <t>Éclairage</t>
        </is>
      </c>
      <c r="F1117" s="7" t="inlineStr">
        <is>
          <t>Éclairage</t>
        </is>
      </c>
      <c r="G1117" s="7" t="inlineStr">
        <is>
          <t>PIECE_VEHICULE</t>
        </is>
      </c>
      <c r="H1117" s="7" t="n">
        <v>1</v>
      </c>
      <c r="I1117" s="7">
        <f>H1117*$D$3</f>
        <v/>
      </c>
      <c r="J1117" s="7" t="inlineStr">
        <is>
          <t>unité</t>
        </is>
      </c>
      <c r="K1117" s="7" t="n">
        <v>0</v>
      </c>
      <c r="L1117" s="7">
        <f>K1117-I1117</f>
        <v/>
      </c>
      <c r="M1117" s="7">
        <f>IF(K1117&lt;I1117,"✕ INSUFFISANT",IF(K1117&lt;I1117*1.2,"⚠ STOCK FAIBLE","✓ COUVERT"))</f>
        <v/>
      </c>
      <c r="N1117" s="7" t="inlineStr">
        <is>
          <t>MAG</t>
        </is>
      </c>
      <c r="O1117" s="7" t="inlineStr">
        <is>
          <t>STANDARD</t>
        </is>
      </c>
      <c r="P1117" s="7" t="inlineStr">
        <is>
          <t>31/08/2026 02:59</t>
        </is>
      </c>
    </row>
    <row r="1118">
      <c r="A1118" s="8" t="inlineStr">
        <is>
          <t>WHAP 8x8</t>
        </is>
      </c>
      <c r="B1118" s="8" t="inlineStr">
        <is>
          <t>WHAP-1114</t>
        </is>
      </c>
      <c r="C1118" s="8" t="inlineStr">
        <is>
          <t>ECL-1114</t>
        </is>
      </c>
      <c r="D1118" s="8" t="inlineStr">
        <is>
          <t>phare avant — arrière gauche</t>
        </is>
      </c>
      <c r="E1118" s="8" t="inlineStr">
        <is>
          <t>Éclairage</t>
        </is>
      </c>
      <c r="F1118" s="8" t="inlineStr">
        <is>
          <t>Éclairage</t>
        </is>
      </c>
      <c r="G1118" s="8" t="inlineStr">
        <is>
          <t>PIECE_VEHICULE</t>
        </is>
      </c>
      <c r="H1118" s="8" t="n">
        <v>1</v>
      </c>
      <c r="I1118" s="8">
        <f>H1118*$D$3</f>
        <v/>
      </c>
      <c r="J1118" s="8" t="inlineStr">
        <is>
          <t>unité</t>
        </is>
      </c>
      <c r="K1118" s="8" t="n">
        <v>0</v>
      </c>
      <c r="L1118" s="8">
        <f>K1118-I1118</f>
        <v/>
      </c>
      <c r="M1118" s="8">
        <f>IF(K1118&lt;I1118,"✕ INSUFFISANT",IF(K1118&lt;I1118*1.2,"⚠ STOCK FAIBLE","✓ COUVERT"))</f>
        <v/>
      </c>
      <c r="N1118" s="8" t="inlineStr">
        <is>
          <t>YZK</t>
        </is>
      </c>
      <c r="O1118" s="8" t="inlineStr">
        <is>
          <t>STANDARD</t>
        </is>
      </c>
      <c r="P1118" s="8" t="inlineStr">
        <is>
          <t>31/08/2026 02:59</t>
        </is>
      </c>
    </row>
    <row r="1119">
      <c r="A1119" s="7" t="inlineStr">
        <is>
          <t>WHAP 8x8</t>
        </is>
      </c>
      <c r="B1119" s="7" t="inlineStr">
        <is>
          <t>WHAP-1115</t>
        </is>
      </c>
      <c r="C1119" s="7" t="inlineStr">
        <is>
          <t>ECL-1115</t>
        </is>
      </c>
      <c r="D1119" s="7" t="inlineStr">
        <is>
          <t>projecteur LED — arrière gauche</t>
        </is>
      </c>
      <c r="E1119" s="7" t="inlineStr">
        <is>
          <t>Éclairage</t>
        </is>
      </c>
      <c r="F1119" s="7" t="inlineStr">
        <is>
          <t>Éclairage</t>
        </is>
      </c>
      <c r="G1119" s="7" t="inlineStr">
        <is>
          <t>PIECE_VEHICULE</t>
        </is>
      </c>
      <c r="H1119" s="7" t="n">
        <v>1</v>
      </c>
      <c r="I1119" s="7">
        <f>H1119*$D$3</f>
        <v/>
      </c>
      <c r="J1119" s="7" t="inlineStr">
        <is>
          <t>unité</t>
        </is>
      </c>
      <c r="K1119" s="7" t="n">
        <v>0</v>
      </c>
      <c r="L1119" s="7">
        <f>K1119-I1119</f>
        <v/>
      </c>
      <c r="M1119" s="7">
        <f>IF(K1119&lt;I1119,"✕ INSUFFISANT",IF(K1119&lt;I1119*1.2,"⚠ STOCK FAIBLE","✓ COUVERT"))</f>
        <v/>
      </c>
      <c r="N1119" s="7" t="inlineStr">
        <is>
          <t>SUM</t>
        </is>
      </c>
      <c r="O1119" s="7" t="inlineStr">
        <is>
          <t>STANDARD</t>
        </is>
      </c>
      <c r="P1119" s="7" t="inlineStr">
        <is>
          <t>31/08/2026 02:59</t>
        </is>
      </c>
    </row>
    <row r="1120">
      <c r="A1120" s="8" t="inlineStr">
        <is>
          <t>WHAP 8x8</t>
        </is>
      </c>
      <c r="B1120" s="8" t="inlineStr">
        <is>
          <t>WHAP-1116</t>
        </is>
      </c>
      <c r="C1120" s="8" t="inlineStr">
        <is>
          <t>ECL-1116</t>
        </is>
      </c>
      <c r="D1120" s="8" t="inlineStr">
        <is>
          <t>feu de position — arrière gauche</t>
        </is>
      </c>
      <c r="E1120" s="8" t="inlineStr">
        <is>
          <t>Éclairage</t>
        </is>
      </c>
      <c r="F1120" s="8" t="inlineStr">
        <is>
          <t>Éclairage</t>
        </is>
      </c>
      <c r="G1120" s="8" t="inlineStr">
        <is>
          <t>PIECE_VEHICULE</t>
        </is>
      </c>
      <c r="H1120" s="8" t="n">
        <v>1</v>
      </c>
      <c r="I1120" s="8">
        <f>H1120*$D$3</f>
        <v/>
      </c>
      <c r="J1120" s="8" t="inlineStr">
        <is>
          <t>unité</t>
        </is>
      </c>
      <c r="K1120" s="8" t="n">
        <v>0</v>
      </c>
      <c r="L1120" s="8">
        <f>K1120-I1120</f>
        <v/>
      </c>
      <c r="M1120" s="8">
        <f>IF(K1120&lt;I1120,"✕ INSUFFISANT",IF(K1120&lt;I1120*1.2,"⚠ STOCK FAIBLE","✓ COUVERT"))</f>
        <v/>
      </c>
      <c r="N1120" s="8" t="inlineStr">
        <is>
          <t>BOS</t>
        </is>
      </c>
      <c r="O1120" s="8" t="inlineStr">
        <is>
          <t>STANDARD</t>
        </is>
      </c>
      <c r="P1120" s="8" t="inlineStr">
        <is>
          <t>31/08/2026 02:59</t>
        </is>
      </c>
    </row>
    <row r="1121">
      <c r="A1121" s="7" t="inlineStr">
        <is>
          <t>WHAP 8x8</t>
        </is>
      </c>
      <c r="B1121" s="7" t="inlineStr">
        <is>
          <t>WHAP-1117</t>
        </is>
      </c>
      <c r="C1121" s="7" t="inlineStr">
        <is>
          <t>ECL-1117</t>
        </is>
      </c>
      <c r="D1121" s="7" t="inlineStr">
        <is>
          <t>feu arrière — arrière gauche</t>
        </is>
      </c>
      <c r="E1121" s="7" t="inlineStr">
        <is>
          <t>Éclairage</t>
        </is>
      </c>
      <c r="F1121" s="7" t="inlineStr">
        <is>
          <t>Éclairage</t>
        </is>
      </c>
      <c r="G1121" s="7" t="inlineStr">
        <is>
          <t>PIECE_VEHICULE</t>
        </is>
      </c>
      <c r="H1121" s="7" t="n">
        <v>1</v>
      </c>
      <c r="I1121" s="7">
        <f>H1121*$D$3</f>
        <v/>
      </c>
      <c r="J1121" s="7" t="inlineStr">
        <is>
          <t>unité</t>
        </is>
      </c>
      <c r="K1121" s="7" t="n">
        <v>0</v>
      </c>
      <c r="L1121" s="7">
        <f>K1121-I1121</f>
        <v/>
      </c>
      <c r="M1121" s="7">
        <f>IF(K1121&lt;I1121,"✕ INSUFFISANT",IF(K1121&lt;I1121*1.2,"⚠ STOCK FAIBLE","✓ COUVERT"))</f>
        <v/>
      </c>
      <c r="N1121" s="7" t="inlineStr">
        <is>
          <t>BOS</t>
        </is>
      </c>
      <c r="O1121" s="7" t="inlineStr">
        <is>
          <t>STANDARD</t>
        </is>
      </c>
      <c r="P1121" s="7" t="inlineStr">
        <is>
          <t>31/08/2026 02:59</t>
        </is>
      </c>
    </row>
    <row r="1122">
      <c r="A1122" s="8" t="inlineStr">
        <is>
          <t>WHAP 8x8</t>
        </is>
      </c>
      <c r="B1122" s="8" t="inlineStr">
        <is>
          <t>WHAP-1118</t>
        </is>
      </c>
      <c r="C1122" s="8" t="inlineStr">
        <is>
          <t>ECL-1118</t>
        </is>
      </c>
      <c r="D1122" s="8" t="inlineStr">
        <is>
          <t>feu stop — arrière gauche</t>
        </is>
      </c>
      <c r="E1122" s="8" t="inlineStr">
        <is>
          <t>Éclairage</t>
        </is>
      </c>
      <c r="F1122" s="8" t="inlineStr">
        <is>
          <t>Éclairage</t>
        </is>
      </c>
      <c r="G1122" s="8" t="inlineStr">
        <is>
          <t>PIECE_VEHICULE</t>
        </is>
      </c>
      <c r="H1122" s="8" t="n">
        <v>1</v>
      </c>
      <c r="I1122" s="8">
        <f>H1122*$D$3</f>
        <v/>
      </c>
      <c r="J1122" s="8" t="inlineStr">
        <is>
          <t>unité</t>
        </is>
      </c>
      <c r="K1122" s="8" t="n">
        <v>0</v>
      </c>
      <c r="L1122" s="8">
        <f>K1122-I1122</f>
        <v/>
      </c>
      <c r="M1122" s="8">
        <f>IF(K1122&lt;I1122,"✕ INSUFFISANT",IF(K1122&lt;I1122*1.2,"⚠ STOCK FAIBLE","✓ COUVERT"))</f>
        <v/>
      </c>
      <c r="N1122" s="8" t="inlineStr">
        <is>
          <t>DEL</t>
        </is>
      </c>
      <c r="O1122" s="8" t="inlineStr">
        <is>
          <t>STANDARD</t>
        </is>
      </c>
      <c r="P1122" s="8" t="inlineStr">
        <is>
          <t>31/08/2026 02:59</t>
        </is>
      </c>
    </row>
    <row r="1123">
      <c r="A1123" s="7" t="inlineStr">
        <is>
          <t>WHAP 8x8</t>
        </is>
      </c>
      <c r="B1123" s="7" t="inlineStr">
        <is>
          <t>WHAP-1119</t>
        </is>
      </c>
      <c r="C1123" s="7" t="inlineStr">
        <is>
          <t>ECL-1119</t>
        </is>
      </c>
      <c r="D1123" s="7" t="inlineStr">
        <is>
          <t>clignotant — arrière gauche</t>
        </is>
      </c>
      <c r="E1123" s="7" t="inlineStr">
        <is>
          <t>Éclairage</t>
        </is>
      </c>
      <c r="F1123" s="7" t="inlineStr">
        <is>
          <t>Éclairage</t>
        </is>
      </c>
      <c r="G1123" s="7" t="inlineStr">
        <is>
          <t>PIECE_VEHICULE</t>
        </is>
      </c>
      <c r="H1123" s="7" t="n">
        <v>1</v>
      </c>
      <c r="I1123" s="7">
        <f>H1123*$D$3</f>
        <v/>
      </c>
      <c r="J1123" s="7" t="inlineStr">
        <is>
          <t>unité</t>
        </is>
      </c>
      <c r="K1123" s="7" t="n">
        <v>0</v>
      </c>
      <c r="L1123" s="7">
        <f>K1123-I1123</f>
        <v/>
      </c>
      <c r="M1123" s="7">
        <f>IF(K1123&lt;I1123,"✕ INSUFFISANT",IF(K1123&lt;I1123*1.2,"⚠ STOCK FAIBLE","✓ COUVERT"))</f>
        <v/>
      </c>
      <c r="N1123" s="7" t="inlineStr">
        <is>
          <t>BOS</t>
        </is>
      </c>
      <c r="O1123" s="7" t="inlineStr">
        <is>
          <t>STANDARD</t>
        </is>
      </c>
      <c r="P1123" s="7" t="inlineStr">
        <is>
          <t>31/08/2026 02:59</t>
        </is>
      </c>
    </row>
    <row r="1124">
      <c r="A1124" s="8" t="inlineStr">
        <is>
          <t>WHAP 8x8</t>
        </is>
      </c>
      <c r="B1124" s="8" t="inlineStr">
        <is>
          <t>WHAP-1120</t>
        </is>
      </c>
      <c r="C1124" s="8" t="inlineStr">
        <is>
          <t>ECL-1120</t>
        </is>
      </c>
      <c r="D1124" s="8" t="inlineStr">
        <is>
          <t>feu de recul — arrière gauche</t>
        </is>
      </c>
      <c r="E1124" s="8" t="inlineStr">
        <is>
          <t>Éclairage</t>
        </is>
      </c>
      <c r="F1124" s="8" t="inlineStr">
        <is>
          <t>Éclairage</t>
        </is>
      </c>
      <c r="G1124" s="8" t="inlineStr">
        <is>
          <t>PIECE_VEHICULE</t>
        </is>
      </c>
      <c r="H1124" s="8" t="n">
        <v>1</v>
      </c>
      <c r="I1124" s="8">
        <f>H1124*$D$3</f>
        <v/>
      </c>
      <c r="J1124" s="8" t="inlineStr">
        <is>
          <t>unité</t>
        </is>
      </c>
      <c r="K1124" s="8" t="n">
        <v>0</v>
      </c>
      <c r="L1124" s="8">
        <f>K1124-I1124</f>
        <v/>
      </c>
      <c r="M1124" s="8">
        <f>IF(K1124&lt;I1124,"✕ INSUFFISANT",IF(K1124&lt;I1124*1.2,"⚠ STOCK FAIBLE","✓ COUVERT"))</f>
        <v/>
      </c>
      <c r="N1124" s="8" t="inlineStr">
        <is>
          <t>YZK</t>
        </is>
      </c>
      <c r="O1124" s="8" t="inlineStr">
        <is>
          <t>STANDARD</t>
        </is>
      </c>
      <c r="P1124" s="8" t="inlineStr">
        <is>
          <t>31/08/2026 02:59</t>
        </is>
      </c>
    </row>
    <row r="1125">
      <c r="A1125" s="7" t="inlineStr">
        <is>
          <t>WHAP 8x8</t>
        </is>
      </c>
      <c r="B1125" s="7" t="inlineStr">
        <is>
          <t>WHAP-1121</t>
        </is>
      </c>
      <c r="C1125" s="7" t="inlineStr">
        <is>
          <t>ECL-1121</t>
        </is>
      </c>
      <c r="D1125" s="7" t="inlineStr">
        <is>
          <t>feu antibrouillard — arrière gauche</t>
        </is>
      </c>
      <c r="E1125" s="7" t="inlineStr">
        <is>
          <t>Éclairage</t>
        </is>
      </c>
      <c r="F1125" s="7" t="inlineStr">
        <is>
          <t>Éclairage</t>
        </is>
      </c>
      <c r="G1125" s="7" t="inlineStr">
        <is>
          <t>PIECE_VEHICULE</t>
        </is>
      </c>
      <c r="H1125" s="7" t="n">
        <v>1</v>
      </c>
      <c r="I1125" s="7">
        <f>H1125*$D$3</f>
        <v/>
      </c>
      <c r="J1125" s="7" t="inlineStr">
        <is>
          <t>unité</t>
        </is>
      </c>
      <c r="K1125" s="7" t="n">
        <v>0</v>
      </c>
      <c r="L1125" s="7">
        <f>K1125-I1125</f>
        <v/>
      </c>
      <c r="M1125" s="7">
        <f>IF(K1125&lt;I1125,"✕ INSUFFISANT",IF(K1125&lt;I1125*1.2,"⚠ STOCK FAIBLE","✓ COUVERT"))</f>
        <v/>
      </c>
      <c r="N1125" s="7" t="inlineStr">
        <is>
          <t>HEL</t>
        </is>
      </c>
      <c r="O1125" s="7" t="inlineStr">
        <is>
          <t>STANDARD</t>
        </is>
      </c>
      <c r="P1125" s="7" t="inlineStr">
        <is>
          <t>31/08/2026 02:59</t>
        </is>
      </c>
    </row>
    <row r="1126">
      <c r="A1126" s="8" t="inlineStr">
        <is>
          <t>WHAP 8x8</t>
        </is>
      </c>
      <c r="B1126" s="8" t="inlineStr">
        <is>
          <t>WHAP-1122</t>
        </is>
      </c>
      <c r="C1126" s="8" t="inlineStr">
        <is>
          <t>ECL-1122</t>
        </is>
      </c>
      <c r="D1126" s="8" t="inlineStr">
        <is>
          <t>éclairage intérieur — arrière gauche</t>
        </is>
      </c>
      <c r="E1126" s="8" t="inlineStr">
        <is>
          <t>Éclairage</t>
        </is>
      </c>
      <c r="F1126" s="8" t="inlineStr">
        <is>
          <t>Éclairage</t>
        </is>
      </c>
      <c r="G1126" s="8" t="inlineStr">
        <is>
          <t>PIECE_VEHICULE</t>
        </is>
      </c>
      <c r="H1126" s="8" t="n">
        <v>1</v>
      </c>
      <c r="I1126" s="8">
        <f>H1126*$D$3</f>
        <v/>
      </c>
      <c r="J1126" s="8" t="inlineStr">
        <is>
          <t>unité</t>
        </is>
      </c>
      <c r="K1126" s="8" t="n">
        <v>0</v>
      </c>
      <c r="L1126" s="8">
        <f>K1126-I1126</f>
        <v/>
      </c>
      <c r="M1126" s="8">
        <f>IF(K1126&lt;I1126,"✕ INSUFFISANT",IF(K1126&lt;I1126*1.2,"⚠ STOCK FAIBLE","✓ COUVERT"))</f>
        <v/>
      </c>
      <c r="N1126" s="8" t="inlineStr">
        <is>
          <t>HEL</t>
        </is>
      </c>
      <c r="O1126" s="8" t="inlineStr">
        <is>
          <t>STANDARD</t>
        </is>
      </c>
      <c r="P1126" s="8" t="inlineStr">
        <is>
          <t>31/08/2026 02:59</t>
        </is>
      </c>
    </row>
    <row r="1127">
      <c r="A1127" s="7" t="inlineStr">
        <is>
          <t>WHAP 8x8</t>
        </is>
      </c>
      <c r="B1127" s="7" t="inlineStr">
        <is>
          <t>WHAP-1123</t>
        </is>
      </c>
      <c r="C1127" s="7" t="inlineStr">
        <is>
          <t>ECL-1123</t>
        </is>
      </c>
      <c r="D1127" s="7" t="inlineStr">
        <is>
          <t>éclairage compartiment moteur — arrière gauche</t>
        </is>
      </c>
      <c r="E1127" s="7" t="inlineStr">
        <is>
          <t>Éclairage</t>
        </is>
      </c>
      <c r="F1127" s="7" t="inlineStr">
        <is>
          <t>Éclairage</t>
        </is>
      </c>
      <c r="G1127" s="7" t="inlineStr">
        <is>
          <t>PIECE_VEHICULE</t>
        </is>
      </c>
      <c r="H1127" s="7" t="n">
        <v>1</v>
      </c>
      <c r="I1127" s="7">
        <f>H1127*$D$3</f>
        <v/>
      </c>
      <c r="J1127" s="7" t="inlineStr">
        <is>
          <t>unité</t>
        </is>
      </c>
      <c r="K1127" s="7" t="n">
        <v>0</v>
      </c>
      <c r="L1127" s="7">
        <f>K1127-I1127</f>
        <v/>
      </c>
      <c r="M1127" s="7">
        <f>IF(K1127&lt;I1127,"✕ INSUFFISANT",IF(K1127&lt;I1127*1.2,"⚠ STOCK FAIBLE","✓ COUVERT"))</f>
        <v/>
      </c>
      <c r="N1127" s="7" t="inlineStr">
        <is>
          <t>HEL</t>
        </is>
      </c>
      <c r="O1127" s="7" t="inlineStr">
        <is>
          <t>STANDARD</t>
        </is>
      </c>
      <c r="P1127" s="7" t="inlineStr">
        <is>
          <t>31/08/2026 02:59</t>
        </is>
      </c>
    </row>
    <row r="1128">
      <c r="A1128" s="8" t="inlineStr">
        <is>
          <t>WHAP 8x8</t>
        </is>
      </c>
      <c r="B1128" s="8" t="inlineStr">
        <is>
          <t>WHAP-1124</t>
        </is>
      </c>
      <c r="C1128" s="8" t="inlineStr">
        <is>
          <t>ECL-1124</t>
        </is>
      </c>
      <c r="D1128" s="8" t="inlineStr">
        <is>
          <t>éclairage poste de conduite — arrière gauche</t>
        </is>
      </c>
      <c r="E1128" s="8" t="inlineStr">
        <is>
          <t>Éclairage</t>
        </is>
      </c>
      <c r="F1128" s="8" t="inlineStr">
        <is>
          <t>Éclairage</t>
        </is>
      </c>
      <c r="G1128" s="8" t="inlineStr">
        <is>
          <t>PIECE_VEHICULE</t>
        </is>
      </c>
      <c r="H1128" s="8" t="n">
        <v>1</v>
      </c>
      <c r="I1128" s="8">
        <f>H1128*$D$3</f>
        <v/>
      </c>
      <c r="J1128" s="8" t="inlineStr">
        <is>
          <t>unité</t>
        </is>
      </c>
      <c r="K1128" s="8" t="n">
        <v>0</v>
      </c>
      <c r="L1128" s="8">
        <f>K1128-I1128</f>
        <v/>
      </c>
      <c r="M1128" s="8">
        <f>IF(K1128&lt;I1128,"✕ INSUFFISANT",IF(K1128&lt;I1128*1.2,"⚠ STOCK FAIBLE","✓ COUVERT"))</f>
        <v/>
      </c>
      <c r="N1128" s="8" t="inlineStr">
        <is>
          <t>DEL</t>
        </is>
      </c>
      <c r="O1128" s="8" t="inlineStr">
        <is>
          <t>STANDARD</t>
        </is>
      </c>
      <c r="P1128" s="8" t="inlineStr">
        <is>
          <t>31/08/2026 02:59</t>
        </is>
      </c>
    </row>
    <row r="1129">
      <c r="A1129" s="7" t="inlineStr">
        <is>
          <t>WHAP 8x8</t>
        </is>
      </c>
      <c r="B1129" s="7" t="inlineStr">
        <is>
          <t>WHAP-1125</t>
        </is>
      </c>
      <c r="C1129" s="7" t="inlineStr">
        <is>
          <t>ECL-1125</t>
        </is>
      </c>
      <c r="D1129" s="7" t="inlineStr">
        <is>
          <t>gyrophare — arrière gauche</t>
        </is>
      </c>
      <c r="E1129" s="7" t="inlineStr">
        <is>
          <t>Éclairage</t>
        </is>
      </c>
      <c r="F1129" s="7" t="inlineStr">
        <is>
          <t>Éclairage</t>
        </is>
      </c>
      <c r="G1129" s="7" t="inlineStr">
        <is>
          <t>PIECE_VEHICULE</t>
        </is>
      </c>
      <c r="H1129" s="7" t="n">
        <v>1</v>
      </c>
      <c r="I1129" s="7">
        <f>H1129*$D$3</f>
        <v/>
      </c>
      <c r="J1129" s="7" t="inlineStr">
        <is>
          <t>unité</t>
        </is>
      </c>
      <c r="K1129" s="7" t="n">
        <v>0</v>
      </c>
      <c r="L1129" s="7">
        <f>K1129-I1129</f>
        <v/>
      </c>
      <c r="M1129" s="7">
        <f>IF(K1129&lt;I1129,"✕ INSUFFISANT",IF(K1129&lt;I1129*1.2,"⚠ STOCK FAIBLE","✓ COUVERT"))</f>
        <v/>
      </c>
      <c r="N1129" s="7" t="inlineStr">
        <is>
          <t>MAG</t>
        </is>
      </c>
      <c r="O1129" s="7" t="inlineStr">
        <is>
          <t>STANDARD</t>
        </is>
      </c>
      <c r="P1129" s="7" t="inlineStr">
        <is>
          <t>31/08/2026 02:59</t>
        </is>
      </c>
    </row>
    <row r="1130">
      <c r="A1130" s="8" t="inlineStr">
        <is>
          <t>WHAP 8x8</t>
        </is>
      </c>
      <c r="B1130" s="8" t="inlineStr">
        <is>
          <t>WHAP-1126</t>
        </is>
      </c>
      <c r="C1130" s="8" t="inlineStr">
        <is>
          <t>ECL-1126</t>
        </is>
      </c>
      <c r="D1130" s="8" t="inlineStr">
        <is>
          <t>lampe de lecture — arrière gauche</t>
        </is>
      </c>
      <c r="E1130" s="8" t="inlineStr">
        <is>
          <t>Éclairage</t>
        </is>
      </c>
      <c r="F1130" s="8" t="inlineStr">
        <is>
          <t>Éclairage</t>
        </is>
      </c>
      <c r="G1130" s="8" t="inlineStr">
        <is>
          <t>PIECE_VEHICULE</t>
        </is>
      </c>
      <c r="H1130" s="8" t="n">
        <v>1</v>
      </c>
      <c r="I1130" s="8">
        <f>H1130*$D$3</f>
        <v/>
      </c>
      <c r="J1130" s="8" t="inlineStr">
        <is>
          <t>unité</t>
        </is>
      </c>
      <c r="K1130" s="8" t="n">
        <v>0</v>
      </c>
      <c r="L1130" s="8">
        <f>K1130-I1130</f>
        <v/>
      </c>
      <c r="M1130" s="8">
        <f>IF(K1130&lt;I1130,"✕ INSUFFISANT",IF(K1130&lt;I1130*1.2,"⚠ STOCK FAIBLE","✓ COUVERT"))</f>
        <v/>
      </c>
      <c r="N1130" s="8" t="inlineStr">
        <is>
          <t>FAU</t>
        </is>
      </c>
      <c r="O1130" s="8" t="inlineStr">
        <is>
          <t>STANDARD</t>
        </is>
      </c>
      <c r="P1130" s="8" t="inlineStr">
        <is>
          <t>31/08/2026 02:59</t>
        </is>
      </c>
    </row>
    <row r="1131">
      <c r="A1131" s="7" t="inlineStr">
        <is>
          <t>WHAP 8x8</t>
        </is>
      </c>
      <c r="B1131" s="7" t="inlineStr">
        <is>
          <t>WHAP-1127</t>
        </is>
      </c>
      <c r="C1131" s="7" t="inlineStr">
        <is>
          <t>ECL-1127</t>
        </is>
      </c>
      <c r="D1131" s="7" t="inlineStr">
        <is>
          <t>projecteur de recherche — arrière gauche</t>
        </is>
      </c>
      <c r="E1131" s="7" t="inlineStr">
        <is>
          <t>Éclairage</t>
        </is>
      </c>
      <c r="F1131" s="7" t="inlineStr">
        <is>
          <t>Éclairage</t>
        </is>
      </c>
      <c r="G1131" s="7" t="inlineStr">
        <is>
          <t>PIECE_VEHICULE</t>
        </is>
      </c>
      <c r="H1131" s="7" t="n">
        <v>1</v>
      </c>
      <c r="I1131" s="7">
        <f>H1131*$D$3</f>
        <v/>
      </c>
      <c r="J1131" s="7" t="inlineStr">
        <is>
          <t>unité</t>
        </is>
      </c>
      <c r="K1131" s="7" t="n">
        <v>0</v>
      </c>
      <c r="L1131" s="7">
        <f>K1131-I1131</f>
        <v/>
      </c>
      <c r="M1131" s="7">
        <f>IF(K1131&lt;I1131,"✕ INSUFFISANT",IF(K1131&lt;I1131*1.2,"⚠ STOCK FAIBLE","✓ COUVERT"))</f>
        <v/>
      </c>
      <c r="N1131" s="7" t="inlineStr">
        <is>
          <t>CTL</t>
        </is>
      </c>
      <c r="O1131" s="7" t="inlineStr">
        <is>
          <t>STANDARD</t>
        </is>
      </c>
      <c r="P1131" s="7" t="inlineStr">
        <is>
          <t>31/08/2026 02:59</t>
        </is>
      </c>
    </row>
    <row r="1132">
      <c r="A1132" s="8" t="inlineStr">
        <is>
          <t>WHAP 8x8</t>
        </is>
      </c>
      <c r="B1132" s="8" t="inlineStr">
        <is>
          <t>WHAP-1128</t>
        </is>
      </c>
      <c r="C1132" s="8" t="inlineStr">
        <is>
          <t>ECL-1128</t>
        </is>
      </c>
      <c r="D1132" s="8" t="inlineStr">
        <is>
          <t>module LED — arrière gauche</t>
        </is>
      </c>
      <c r="E1132" s="8" t="inlineStr">
        <is>
          <t>Éclairage</t>
        </is>
      </c>
      <c r="F1132" s="8" t="inlineStr">
        <is>
          <t>Éclairage</t>
        </is>
      </c>
      <c r="G1132" s="8" t="inlineStr">
        <is>
          <t>PIECE_VEHICULE</t>
        </is>
      </c>
      <c r="H1132" s="8" t="n">
        <v>1</v>
      </c>
      <c r="I1132" s="8">
        <f>H1132*$D$3</f>
        <v/>
      </c>
      <c r="J1132" s="8" t="inlineStr">
        <is>
          <t>unité</t>
        </is>
      </c>
      <c r="K1132" s="8" t="n">
        <v>0</v>
      </c>
      <c r="L1132" s="8">
        <f>K1132-I1132</f>
        <v/>
      </c>
      <c r="M1132" s="8">
        <f>IF(K1132&lt;I1132,"✕ INSUFFISANT",IF(K1132&lt;I1132*1.2,"⚠ STOCK FAIBLE","✓ COUVERT"))</f>
        <v/>
      </c>
      <c r="N1132" s="8" t="inlineStr">
        <is>
          <t>CTL</t>
        </is>
      </c>
      <c r="O1132" s="8" t="inlineStr">
        <is>
          <t>STANDARD</t>
        </is>
      </c>
      <c r="P1132" s="8" t="inlineStr">
        <is>
          <t>31/08/2026 02:59</t>
        </is>
      </c>
    </row>
    <row r="1133">
      <c r="A1133" s="7" t="inlineStr">
        <is>
          <t>WHAP 8x8</t>
        </is>
      </c>
      <c r="B1133" s="7" t="inlineStr">
        <is>
          <t>WHAP-1129</t>
        </is>
      </c>
      <c r="C1133" s="7" t="inlineStr">
        <is>
          <t>ECL-1129</t>
        </is>
      </c>
      <c r="D1133" s="7" t="inlineStr">
        <is>
          <t>lentille — arrière gauche</t>
        </is>
      </c>
      <c r="E1133" s="7" t="inlineStr">
        <is>
          <t>Éclairage</t>
        </is>
      </c>
      <c r="F1133" s="7" t="inlineStr">
        <is>
          <t>Éclairage</t>
        </is>
      </c>
      <c r="G1133" s="7" t="inlineStr">
        <is>
          <t>PIECE_VEHICULE</t>
        </is>
      </c>
      <c r="H1133" s="7" t="n">
        <v>1</v>
      </c>
      <c r="I1133" s="7">
        <f>H1133*$D$3</f>
        <v/>
      </c>
      <c r="J1133" s="7" t="inlineStr">
        <is>
          <t>unité</t>
        </is>
      </c>
      <c r="K1133" s="7" t="n">
        <v>0</v>
      </c>
      <c r="L1133" s="7">
        <f>K1133-I1133</f>
        <v/>
      </c>
      <c r="M1133" s="7">
        <f>IF(K1133&lt;I1133,"✕ INSUFFISANT",IF(K1133&lt;I1133*1.2,"⚠ STOCK FAIBLE","✓ COUVERT"))</f>
        <v/>
      </c>
      <c r="N1133" s="7" t="inlineStr">
        <is>
          <t>SUM</t>
        </is>
      </c>
      <c r="O1133" s="7" t="inlineStr">
        <is>
          <t>STANDARD</t>
        </is>
      </c>
      <c r="P1133" s="7" t="inlineStr">
        <is>
          <t>31/08/2026 02:59</t>
        </is>
      </c>
    </row>
    <row r="1134">
      <c r="A1134" s="8" t="inlineStr">
        <is>
          <t>WHAP 8x8</t>
        </is>
      </c>
      <c r="B1134" s="8" t="inlineStr">
        <is>
          <t>WHAP-1130</t>
        </is>
      </c>
      <c r="C1134" s="8" t="inlineStr">
        <is>
          <t>ECL-1130</t>
        </is>
      </c>
      <c r="D1134" s="8" t="inlineStr">
        <is>
          <t>réflecteur — arrière gauche</t>
        </is>
      </c>
      <c r="E1134" s="8" t="inlineStr">
        <is>
          <t>Éclairage</t>
        </is>
      </c>
      <c r="F1134" s="8" t="inlineStr">
        <is>
          <t>Éclairage</t>
        </is>
      </c>
      <c r="G1134" s="8" t="inlineStr">
        <is>
          <t>PIECE_VEHICULE</t>
        </is>
      </c>
      <c r="H1134" s="8" t="n">
        <v>1</v>
      </c>
      <c r="I1134" s="8">
        <f>H1134*$D$3</f>
        <v/>
      </c>
      <c r="J1134" s="8" t="inlineStr">
        <is>
          <t>unité</t>
        </is>
      </c>
      <c r="K1134" s="8" t="n">
        <v>0</v>
      </c>
      <c r="L1134" s="8">
        <f>K1134-I1134</f>
        <v/>
      </c>
      <c r="M1134" s="8">
        <f>IF(K1134&lt;I1134,"✕ INSUFFISANT",IF(K1134&lt;I1134*1.2,"⚠ STOCK FAIBLE","✓ COUVERT"))</f>
        <v/>
      </c>
      <c r="N1134" s="8" t="inlineStr">
        <is>
          <t>SUM</t>
        </is>
      </c>
      <c r="O1134" s="8" t="inlineStr">
        <is>
          <t>STANDARD</t>
        </is>
      </c>
      <c r="P1134" s="8" t="inlineStr">
        <is>
          <t>31/08/2026 02:59</t>
        </is>
      </c>
    </row>
    <row r="1135">
      <c r="A1135" s="7" t="inlineStr">
        <is>
          <t>WHAP 8x8</t>
        </is>
      </c>
      <c r="B1135" s="7" t="inlineStr">
        <is>
          <t>WHAP-1131</t>
        </is>
      </c>
      <c r="C1135" s="7" t="inlineStr">
        <is>
          <t>ECL-1131</t>
        </is>
      </c>
      <c r="D1135" s="7" t="inlineStr">
        <is>
          <t>support de phare — arrière gauche</t>
        </is>
      </c>
      <c r="E1135" s="7" t="inlineStr">
        <is>
          <t>Éclairage</t>
        </is>
      </c>
      <c r="F1135" s="7" t="inlineStr">
        <is>
          <t>Éclairage</t>
        </is>
      </c>
      <c r="G1135" s="7" t="inlineStr">
        <is>
          <t>PIECE_VEHICULE</t>
        </is>
      </c>
      <c r="H1135" s="7" t="n">
        <v>1</v>
      </c>
      <c r="I1135" s="7">
        <f>H1135*$D$3</f>
        <v/>
      </c>
      <c r="J1135" s="7" t="inlineStr">
        <is>
          <t>unité</t>
        </is>
      </c>
      <c r="K1135" s="7" t="n">
        <v>0</v>
      </c>
      <c r="L1135" s="7">
        <f>K1135-I1135</f>
        <v/>
      </c>
      <c r="M1135" s="7">
        <f>IF(K1135&lt;I1135,"✕ INSUFFISANT",IF(K1135&lt;I1135*1.2,"⚠ STOCK FAIBLE","✓ COUVERT"))</f>
        <v/>
      </c>
      <c r="N1135" s="7" t="inlineStr">
        <is>
          <t>SKF</t>
        </is>
      </c>
      <c r="O1135" s="7" t="inlineStr">
        <is>
          <t>STANDARD</t>
        </is>
      </c>
      <c r="P1135" s="7" t="inlineStr">
        <is>
          <t>31/08/2026 02:59</t>
        </is>
      </c>
    </row>
    <row r="1136">
      <c r="A1136" s="8" t="inlineStr">
        <is>
          <t>WHAP 8x8</t>
        </is>
      </c>
      <c r="B1136" s="8" t="inlineStr">
        <is>
          <t>WHAP-1132</t>
        </is>
      </c>
      <c r="C1136" s="8" t="inlineStr">
        <is>
          <t>ECL-1132</t>
        </is>
      </c>
      <c r="D1136" s="8" t="inlineStr">
        <is>
          <t>interrupteur éclairage — arrière gauche</t>
        </is>
      </c>
      <c r="E1136" s="8" t="inlineStr">
        <is>
          <t>Éclairage</t>
        </is>
      </c>
      <c r="F1136" s="8" t="inlineStr">
        <is>
          <t>Éclairage</t>
        </is>
      </c>
      <c r="G1136" s="8" t="inlineStr">
        <is>
          <t>PIECE_VEHICULE</t>
        </is>
      </c>
      <c r="H1136" s="8" t="n">
        <v>1</v>
      </c>
      <c r="I1136" s="8">
        <f>H1136*$D$3</f>
        <v/>
      </c>
      <c r="J1136" s="8" t="inlineStr">
        <is>
          <t>unité</t>
        </is>
      </c>
      <c r="K1136" s="8" t="n">
        <v>0</v>
      </c>
      <c r="L1136" s="8">
        <f>K1136-I1136</f>
        <v/>
      </c>
      <c r="M1136" s="8">
        <f>IF(K1136&lt;I1136,"✕ INSUFFISANT",IF(K1136&lt;I1136*1.2,"⚠ STOCK FAIBLE","✓ COUVERT"))</f>
        <v/>
      </c>
      <c r="N1136" s="8" t="inlineStr">
        <is>
          <t>YZK</t>
        </is>
      </c>
      <c r="O1136" s="8" t="inlineStr">
        <is>
          <t>STANDARD</t>
        </is>
      </c>
      <c r="P1136" s="8" t="inlineStr">
        <is>
          <t>31/08/2026 02:59</t>
        </is>
      </c>
    </row>
    <row r="1137">
      <c r="A1137" s="7" t="inlineStr">
        <is>
          <t>WHAP 8x8</t>
        </is>
      </c>
      <c r="B1137" s="7" t="inlineStr">
        <is>
          <t>WHAP-1133</t>
        </is>
      </c>
      <c r="C1137" s="7" t="inlineStr">
        <is>
          <t>ECL-1133</t>
        </is>
      </c>
      <c r="D1137" s="7" t="inlineStr">
        <is>
          <t>faisceau éclairage — arrière gauche</t>
        </is>
      </c>
      <c r="E1137" s="7" t="inlineStr">
        <is>
          <t>Éclairage</t>
        </is>
      </c>
      <c r="F1137" s="7" t="inlineStr">
        <is>
          <t>Éclairage</t>
        </is>
      </c>
      <c r="G1137" s="7" t="inlineStr">
        <is>
          <t>PIECE_VEHICULE</t>
        </is>
      </c>
      <c r="H1137" s="7" t="n">
        <v>1</v>
      </c>
      <c r="I1137" s="7">
        <f>H1137*$D$3</f>
        <v/>
      </c>
      <c r="J1137" s="7" t="inlineStr">
        <is>
          <t>unité</t>
        </is>
      </c>
      <c r="K1137" s="7" t="n">
        <v>0</v>
      </c>
      <c r="L1137" s="7">
        <f>K1137-I1137</f>
        <v/>
      </c>
      <c r="M1137" s="7">
        <f>IF(K1137&lt;I1137,"✕ INSUFFISANT",IF(K1137&lt;I1137*1.2,"⚠ STOCK FAIBLE","✓ COUVERT"))</f>
        <v/>
      </c>
      <c r="N1137" s="7" t="inlineStr">
        <is>
          <t>SUM</t>
        </is>
      </c>
      <c r="O1137" s="7" t="inlineStr">
        <is>
          <t>STANDARD</t>
        </is>
      </c>
      <c r="P1137" s="7" t="inlineStr">
        <is>
          <t>31/08/2026 02:59</t>
        </is>
      </c>
    </row>
    <row r="1138">
      <c r="A1138" s="8" t="inlineStr">
        <is>
          <t>WHAP 8x8</t>
        </is>
      </c>
      <c r="B1138" s="8" t="inlineStr">
        <is>
          <t>WHAP-1134</t>
        </is>
      </c>
      <c r="C1138" s="8" t="inlineStr">
        <is>
          <t>ECL-1134</t>
        </is>
      </c>
      <c r="D1138" s="8" t="inlineStr">
        <is>
          <t>connecteur de phare — arrière gauche</t>
        </is>
      </c>
      <c r="E1138" s="8" t="inlineStr">
        <is>
          <t>Éclairage</t>
        </is>
      </c>
      <c r="F1138" s="8" t="inlineStr">
        <is>
          <t>Éclairage</t>
        </is>
      </c>
      <c r="G1138" s="8" t="inlineStr">
        <is>
          <t>PIECE_VEHICULE</t>
        </is>
      </c>
      <c r="H1138" s="8" t="n">
        <v>1</v>
      </c>
      <c r="I1138" s="8">
        <f>H1138*$D$3</f>
        <v/>
      </c>
      <c r="J1138" s="8" t="inlineStr">
        <is>
          <t>unité</t>
        </is>
      </c>
      <c r="K1138" s="8" t="n">
        <v>0</v>
      </c>
      <c r="L1138" s="8">
        <f>K1138-I1138</f>
        <v/>
      </c>
      <c r="M1138" s="8">
        <f>IF(K1138&lt;I1138,"✕ INSUFFISANT",IF(K1138&lt;I1138*1.2,"⚠ STOCK FAIBLE","✓ COUVERT"))</f>
        <v/>
      </c>
      <c r="N1138" s="8" t="inlineStr">
        <is>
          <t>CTL</t>
        </is>
      </c>
      <c r="O1138" s="8" t="inlineStr">
        <is>
          <t>STANDARD</t>
        </is>
      </c>
      <c r="P1138" s="8" t="inlineStr">
        <is>
          <t>31/08/2026 02:59</t>
        </is>
      </c>
    </row>
    <row r="1139">
      <c r="A1139" s="7" t="inlineStr">
        <is>
          <t>WHAP 8x8</t>
        </is>
      </c>
      <c r="B1139" s="7" t="inlineStr">
        <is>
          <t>WHAP-1135</t>
        </is>
      </c>
      <c r="C1139" s="7" t="inlineStr">
        <is>
          <t>ECL-1135</t>
        </is>
      </c>
      <c r="D1139" s="7" t="inlineStr">
        <is>
          <t>fusible éclairage — arrière gauche</t>
        </is>
      </c>
      <c r="E1139" s="7" t="inlineStr">
        <is>
          <t>Éclairage</t>
        </is>
      </c>
      <c r="F1139" s="7" t="inlineStr">
        <is>
          <t>Éclairage</t>
        </is>
      </c>
      <c r="G1139" s="7" t="inlineStr">
        <is>
          <t>PIECE_VEHICULE</t>
        </is>
      </c>
      <c r="H1139" s="7" t="n">
        <v>1</v>
      </c>
      <c r="I1139" s="7">
        <f>H1139*$D$3</f>
        <v/>
      </c>
      <c r="J1139" s="7" t="inlineStr">
        <is>
          <t>unité</t>
        </is>
      </c>
      <c r="K1139" s="7" t="n">
        <v>0</v>
      </c>
      <c r="L1139" s="7">
        <f>K1139-I1139</f>
        <v/>
      </c>
      <c r="M1139" s="7">
        <f>IF(K1139&lt;I1139,"✕ INSUFFISANT",IF(K1139&lt;I1139*1.2,"⚠ STOCK FAIBLE","✓ COUVERT"))</f>
        <v/>
      </c>
      <c r="N1139" s="7" t="inlineStr">
        <is>
          <t>VAL</t>
        </is>
      </c>
      <c r="O1139" s="7" t="inlineStr">
        <is>
          <t>STANDARD</t>
        </is>
      </c>
      <c r="P1139" s="7" t="inlineStr">
        <is>
          <t>31/08/2026 02:59</t>
        </is>
      </c>
    </row>
    <row r="1140">
      <c r="A1140" s="8" t="inlineStr">
        <is>
          <t>WHAP 8x8</t>
        </is>
      </c>
      <c r="B1140" s="8" t="inlineStr">
        <is>
          <t>WHAP-1136</t>
        </is>
      </c>
      <c r="C1140" s="8" t="inlineStr">
        <is>
          <t>ECL-1136</t>
        </is>
      </c>
      <c r="D1140" s="8" t="inlineStr">
        <is>
          <t>phare avant — arrière droit</t>
        </is>
      </c>
      <c r="E1140" s="8" t="inlineStr">
        <is>
          <t>Éclairage</t>
        </is>
      </c>
      <c r="F1140" s="8" t="inlineStr">
        <is>
          <t>Éclairage</t>
        </is>
      </c>
      <c r="G1140" s="8" t="inlineStr">
        <is>
          <t>PIECE_VEHICULE</t>
        </is>
      </c>
      <c r="H1140" s="8" t="n">
        <v>1</v>
      </c>
      <c r="I1140" s="8">
        <f>H1140*$D$3</f>
        <v/>
      </c>
      <c r="J1140" s="8" t="inlineStr">
        <is>
          <t>unité</t>
        </is>
      </c>
      <c r="K1140" s="8" t="n">
        <v>0</v>
      </c>
      <c r="L1140" s="8">
        <f>K1140-I1140</f>
        <v/>
      </c>
      <c r="M1140" s="8">
        <f>IF(K1140&lt;I1140,"✕ INSUFFISANT",IF(K1140&lt;I1140*1.2,"⚠ STOCK FAIBLE","✓ COUVERT"))</f>
        <v/>
      </c>
      <c r="N1140" s="8" t="inlineStr">
        <is>
          <t>HEL</t>
        </is>
      </c>
      <c r="O1140" s="8" t="inlineStr">
        <is>
          <t>STANDARD</t>
        </is>
      </c>
      <c r="P1140" s="8" t="inlineStr">
        <is>
          <t>31/08/2026 02:59</t>
        </is>
      </c>
    </row>
    <row r="1141">
      <c r="A1141" s="7" t="inlineStr">
        <is>
          <t>WHAP 8x8</t>
        </is>
      </c>
      <c r="B1141" s="7" t="inlineStr">
        <is>
          <t>WHAP-1137</t>
        </is>
      </c>
      <c r="C1141" s="7" t="inlineStr">
        <is>
          <t>ECL-1137</t>
        </is>
      </c>
      <c r="D1141" s="7" t="inlineStr">
        <is>
          <t>projecteur LED — arrière droit</t>
        </is>
      </c>
      <c r="E1141" s="7" t="inlineStr">
        <is>
          <t>Éclairage</t>
        </is>
      </c>
      <c r="F1141" s="7" t="inlineStr">
        <is>
          <t>Éclairage</t>
        </is>
      </c>
      <c r="G1141" s="7" t="inlineStr">
        <is>
          <t>PIECE_VEHICULE</t>
        </is>
      </c>
      <c r="H1141" s="7" t="n">
        <v>1</v>
      </c>
      <c r="I1141" s="7">
        <f>H1141*$D$3</f>
        <v/>
      </c>
      <c r="J1141" s="7" t="inlineStr">
        <is>
          <t>unité</t>
        </is>
      </c>
      <c r="K1141" s="7" t="n">
        <v>0</v>
      </c>
      <c r="L1141" s="7">
        <f>K1141-I1141</f>
        <v/>
      </c>
      <c r="M1141" s="7">
        <f>IF(K1141&lt;I1141,"✕ INSUFFISANT",IF(K1141&lt;I1141*1.2,"⚠ STOCK FAIBLE","✓ COUVERT"))</f>
        <v/>
      </c>
      <c r="N1141" s="7" t="inlineStr">
        <is>
          <t>FAU</t>
        </is>
      </c>
      <c r="O1141" s="7" t="inlineStr">
        <is>
          <t>STANDARD</t>
        </is>
      </c>
      <c r="P1141" s="7" t="inlineStr">
        <is>
          <t>31/08/2026 02:59</t>
        </is>
      </c>
    </row>
    <row r="1142">
      <c r="A1142" s="8" t="inlineStr">
        <is>
          <t>WHAP 8x8</t>
        </is>
      </c>
      <c r="B1142" s="8" t="inlineStr">
        <is>
          <t>WHAP-1138</t>
        </is>
      </c>
      <c r="C1142" s="8" t="inlineStr">
        <is>
          <t>ECL-1138</t>
        </is>
      </c>
      <c r="D1142" s="8" t="inlineStr">
        <is>
          <t>feu de position — arrière droit</t>
        </is>
      </c>
      <c r="E1142" s="8" t="inlineStr">
        <is>
          <t>Éclairage</t>
        </is>
      </c>
      <c r="F1142" s="8" t="inlineStr">
        <is>
          <t>Éclairage</t>
        </is>
      </c>
      <c r="G1142" s="8" t="inlineStr">
        <is>
          <t>PIECE_VEHICULE</t>
        </is>
      </c>
      <c r="H1142" s="8" t="n">
        <v>1</v>
      </c>
      <c r="I1142" s="8">
        <f>H1142*$D$3</f>
        <v/>
      </c>
      <c r="J1142" s="8" t="inlineStr">
        <is>
          <t>unité</t>
        </is>
      </c>
      <c r="K1142" s="8" t="n">
        <v>0</v>
      </c>
      <c r="L1142" s="8">
        <f>K1142-I1142</f>
        <v/>
      </c>
      <c r="M1142" s="8">
        <f>IF(K1142&lt;I1142,"✕ INSUFFISANT",IF(K1142&lt;I1142*1.2,"⚠ STOCK FAIBLE","✓ COUVERT"))</f>
        <v/>
      </c>
      <c r="N1142" s="8" t="inlineStr">
        <is>
          <t>MAG</t>
        </is>
      </c>
      <c r="O1142" s="8" t="inlineStr">
        <is>
          <t>STANDARD</t>
        </is>
      </c>
      <c r="P1142" s="8" t="inlineStr">
        <is>
          <t>31/08/2026 02:59</t>
        </is>
      </c>
    </row>
    <row r="1143">
      <c r="A1143" s="7" t="inlineStr">
        <is>
          <t>WHAP 8x8</t>
        </is>
      </c>
      <c r="B1143" s="7" t="inlineStr">
        <is>
          <t>WHAP-1139</t>
        </is>
      </c>
      <c r="C1143" s="7" t="inlineStr">
        <is>
          <t>ECL-1139</t>
        </is>
      </c>
      <c r="D1143" s="7" t="inlineStr">
        <is>
          <t>feu arrière — arrière droit</t>
        </is>
      </c>
      <c r="E1143" s="7" t="inlineStr">
        <is>
          <t>Éclairage</t>
        </is>
      </c>
      <c r="F1143" s="7" t="inlineStr">
        <is>
          <t>Éclairage</t>
        </is>
      </c>
      <c r="G1143" s="7" t="inlineStr">
        <is>
          <t>PIECE_VEHICULE</t>
        </is>
      </c>
      <c r="H1143" s="7" t="n">
        <v>1</v>
      </c>
      <c r="I1143" s="7">
        <f>H1143*$D$3</f>
        <v/>
      </c>
      <c r="J1143" s="7" t="inlineStr">
        <is>
          <t>unité</t>
        </is>
      </c>
      <c r="K1143" s="7" t="n">
        <v>0</v>
      </c>
      <c r="L1143" s="7">
        <f>K1143-I1143</f>
        <v/>
      </c>
      <c r="M1143" s="7">
        <f>IF(K1143&lt;I1143,"✕ INSUFFISANT",IF(K1143&lt;I1143*1.2,"⚠ STOCK FAIBLE","✓ COUVERT"))</f>
        <v/>
      </c>
      <c r="N1143" s="7" t="inlineStr">
        <is>
          <t>MAG</t>
        </is>
      </c>
      <c r="O1143" s="7" t="inlineStr">
        <is>
          <t>STANDARD</t>
        </is>
      </c>
      <c r="P1143" s="7" t="inlineStr">
        <is>
          <t>31/08/2026 02:59</t>
        </is>
      </c>
    </row>
    <row r="1144">
      <c r="A1144" s="8" t="inlineStr">
        <is>
          <t>WHAP 8x8</t>
        </is>
      </c>
      <c r="B1144" s="8" t="inlineStr">
        <is>
          <t>WHAP-1140</t>
        </is>
      </c>
      <c r="C1144" s="8" t="inlineStr">
        <is>
          <t>ECL-1140</t>
        </is>
      </c>
      <c r="D1144" s="8" t="inlineStr">
        <is>
          <t>feu stop — arrière droit</t>
        </is>
      </c>
      <c r="E1144" s="8" t="inlineStr">
        <is>
          <t>Éclairage</t>
        </is>
      </c>
      <c r="F1144" s="8" t="inlineStr">
        <is>
          <t>Éclairage</t>
        </is>
      </c>
      <c r="G1144" s="8" t="inlineStr">
        <is>
          <t>PIECE_VEHICULE</t>
        </is>
      </c>
      <c r="H1144" s="8" t="n">
        <v>1</v>
      </c>
      <c r="I1144" s="8">
        <f>H1144*$D$3</f>
        <v/>
      </c>
      <c r="J1144" s="8" t="inlineStr">
        <is>
          <t>unité</t>
        </is>
      </c>
      <c r="K1144" s="8" t="n">
        <v>0</v>
      </c>
      <c r="L1144" s="8">
        <f>K1144-I1144</f>
        <v/>
      </c>
      <c r="M1144" s="8">
        <f>IF(K1144&lt;I1144,"✕ INSUFFISANT",IF(K1144&lt;I1144*1.2,"⚠ STOCK FAIBLE","✓ COUVERT"))</f>
        <v/>
      </c>
      <c r="N1144" s="8" t="inlineStr">
        <is>
          <t>YZK</t>
        </is>
      </c>
      <c r="O1144" s="8" t="inlineStr">
        <is>
          <t>STANDARD</t>
        </is>
      </c>
      <c r="P1144" s="8" t="inlineStr">
        <is>
          <t>31/08/2026 02:59</t>
        </is>
      </c>
    </row>
    <row r="1145">
      <c r="A1145" s="7" t="inlineStr">
        <is>
          <t>WHAP 8x8</t>
        </is>
      </c>
      <c r="B1145" s="7" t="inlineStr">
        <is>
          <t>WHAP-1141</t>
        </is>
      </c>
      <c r="C1145" s="7" t="inlineStr">
        <is>
          <t>ECL-1141</t>
        </is>
      </c>
      <c r="D1145" s="7" t="inlineStr">
        <is>
          <t>clignotant — arrière droit</t>
        </is>
      </c>
      <c r="E1145" s="7" t="inlineStr">
        <is>
          <t>Éclairage</t>
        </is>
      </c>
      <c r="F1145" s="7" t="inlineStr">
        <is>
          <t>Éclairage</t>
        </is>
      </c>
      <c r="G1145" s="7" t="inlineStr">
        <is>
          <t>PIECE_VEHICULE</t>
        </is>
      </c>
      <c r="H1145" s="7" t="n">
        <v>1</v>
      </c>
      <c r="I1145" s="7">
        <f>H1145*$D$3</f>
        <v/>
      </c>
      <c r="J1145" s="7" t="inlineStr">
        <is>
          <t>unité</t>
        </is>
      </c>
      <c r="K1145" s="7" t="n">
        <v>0</v>
      </c>
      <c r="L1145" s="7">
        <f>K1145-I1145</f>
        <v/>
      </c>
      <c r="M1145" s="7">
        <f>IF(K1145&lt;I1145,"✕ INSUFFISANT",IF(K1145&lt;I1145*1.2,"⚠ STOCK FAIBLE","✓ COUVERT"))</f>
        <v/>
      </c>
      <c r="N1145" s="7" t="inlineStr">
        <is>
          <t>DEL</t>
        </is>
      </c>
      <c r="O1145" s="7" t="inlineStr">
        <is>
          <t>STANDARD</t>
        </is>
      </c>
      <c r="P1145" s="7" t="inlineStr">
        <is>
          <t>31/08/2026 02:59</t>
        </is>
      </c>
    </row>
    <row r="1146">
      <c r="A1146" s="8" t="inlineStr">
        <is>
          <t>WHAP 8x8</t>
        </is>
      </c>
      <c r="B1146" s="8" t="inlineStr">
        <is>
          <t>WHAP-1142</t>
        </is>
      </c>
      <c r="C1146" s="8" t="inlineStr">
        <is>
          <t>ECL-1142</t>
        </is>
      </c>
      <c r="D1146" s="8" t="inlineStr">
        <is>
          <t>feu de recul — arrière droit</t>
        </is>
      </c>
      <c r="E1146" s="8" t="inlineStr">
        <is>
          <t>Éclairage</t>
        </is>
      </c>
      <c r="F1146" s="8" t="inlineStr">
        <is>
          <t>Éclairage</t>
        </is>
      </c>
      <c r="G1146" s="8" t="inlineStr">
        <is>
          <t>PIECE_VEHICULE</t>
        </is>
      </c>
      <c r="H1146" s="8" t="n">
        <v>1</v>
      </c>
      <c r="I1146" s="8">
        <f>H1146*$D$3</f>
        <v/>
      </c>
      <c r="J1146" s="8" t="inlineStr">
        <is>
          <t>unité</t>
        </is>
      </c>
      <c r="K1146" s="8" t="n">
        <v>0</v>
      </c>
      <c r="L1146" s="8">
        <f>K1146-I1146</f>
        <v/>
      </c>
      <c r="M1146" s="8">
        <f>IF(K1146&lt;I1146,"✕ INSUFFISANT",IF(K1146&lt;I1146*1.2,"⚠ STOCK FAIBLE","✓ COUVERT"))</f>
        <v/>
      </c>
      <c r="N1146" s="8" t="inlineStr">
        <is>
          <t>CTL</t>
        </is>
      </c>
      <c r="O1146" s="8" t="inlineStr">
        <is>
          <t>STANDARD</t>
        </is>
      </c>
      <c r="P1146" s="8" t="inlineStr">
        <is>
          <t>31/08/2026 02:59</t>
        </is>
      </c>
    </row>
    <row r="1147">
      <c r="A1147" s="7" t="inlineStr">
        <is>
          <t>WHAP 8x8</t>
        </is>
      </c>
      <c r="B1147" s="7" t="inlineStr">
        <is>
          <t>WHAP-1143</t>
        </is>
      </c>
      <c r="C1147" s="7" t="inlineStr">
        <is>
          <t>ECL-1143</t>
        </is>
      </c>
      <c r="D1147" s="7" t="inlineStr">
        <is>
          <t>feu antibrouillard — arrière droit</t>
        </is>
      </c>
      <c r="E1147" s="7" t="inlineStr">
        <is>
          <t>Éclairage</t>
        </is>
      </c>
      <c r="F1147" s="7" t="inlineStr">
        <is>
          <t>Éclairage</t>
        </is>
      </c>
      <c r="G1147" s="7" t="inlineStr">
        <is>
          <t>PIECE_VEHICULE</t>
        </is>
      </c>
      <c r="H1147" s="7" t="n">
        <v>1</v>
      </c>
      <c r="I1147" s="7">
        <f>H1147*$D$3</f>
        <v/>
      </c>
      <c r="J1147" s="7" t="inlineStr">
        <is>
          <t>unité</t>
        </is>
      </c>
      <c r="K1147" s="7" t="n">
        <v>0</v>
      </c>
      <c r="L1147" s="7">
        <f>K1147-I1147</f>
        <v/>
      </c>
      <c r="M1147" s="7">
        <f>IF(K1147&lt;I1147,"✕ INSUFFISANT",IF(K1147&lt;I1147*1.2,"⚠ STOCK FAIBLE","✓ COUVERT"))</f>
        <v/>
      </c>
      <c r="N1147" s="7" t="inlineStr">
        <is>
          <t>DEL</t>
        </is>
      </c>
      <c r="O1147" s="7" t="inlineStr">
        <is>
          <t>STANDARD</t>
        </is>
      </c>
      <c r="P1147" s="7" t="inlineStr">
        <is>
          <t>31/08/2026 02:59</t>
        </is>
      </c>
    </row>
    <row r="1148">
      <c r="A1148" s="8" t="inlineStr">
        <is>
          <t>WHAP 8x8</t>
        </is>
      </c>
      <c r="B1148" s="8" t="inlineStr">
        <is>
          <t>WHAP-1144</t>
        </is>
      </c>
      <c r="C1148" s="8" t="inlineStr">
        <is>
          <t>ECL-1144</t>
        </is>
      </c>
      <c r="D1148" s="8" t="inlineStr">
        <is>
          <t>éclairage intérieur — arrière droit</t>
        </is>
      </c>
      <c r="E1148" s="8" t="inlineStr">
        <is>
          <t>Éclairage</t>
        </is>
      </c>
      <c r="F1148" s="8" t="inlineStr">
        <is>
          <t>Éclairage</t>
        </is>
      </c>
      <c r="G1148" s="8" t="inlineStr">
        <is>
          <t>PIECE_VEHICULE</t>
        </is>
      </c>
      <c r="H1148" s="8" t="n">
        <v>1</v>
      </c>
      <c r="I1148" s="8">
        <f>H1148*$D$3</f>
        <v/>
      </c>
      <c r="J1148" s="8" t="inlineStr">
        <is>
          <t>unité</t>
        </is>
      </c>
      <c r="K1148" s="8" t="n">
        <v>0</v>
      </c>
      <c r="L1148" s="8">
        <f>K1148-I1148</f>
        <v/>
      </c>
      <c r="M1148" s="8">
        <f>IF(K1148&lt;I1148,"✕ INSUFFISANT",IF(K1148&lt;I1148*1.2,"⚠ STOCK FAIBLE","✓ COUVERT"))</f>
        <v/>
      </c>
      <c r="N1148" s="8" t="inlineStr">
        <is>
          <t>VAL</t>
        </is>
      </c>
      <c r="O1148" s="8" t="inlineStr">
        <is>
          <t>STANDARD</t>
        </is>
      </c>
      <c r="P1148" s="8" t="inlineStr">
        <is>
          <t>31/08/2026 02:59</t>
        </is>
      </c>
    </row>
    <row r="1149">
      <c r="A1149" s="7" t="inlineStr">
        <is>
          <t>WHAP 8x8</t>
        </is>
      </c>
      <c r="B1149" s="7" t="inlineStr">
        <is>
          <t>WHAP-1145</t>
        </is>
      </c>
      <c r="C1149" s="7" t="inlineStr">
        <is>
          <t>ECL-1145</t>
        </is>
      </c>
      <c r="D1149" s="7" t="inlineStr">
        <is>
          <t>éclairage compartiment moteur — arrière droit</t>
        </is>
      </c>
      <c r="E1149" s="7" t="inlineStr">
        <is>
          <t>Éclairage</t>
        </is>
      </c>
      <c r="F1149" s="7" t="inlineStr">
        <is>
          <t>Éclairage</t>
        </is>
      </c>
      <c r="G1149" s="7" t="inlineStr">
        <is>
          <t>PIECE_VEHICULE</t>
        </is>
      </c>
      <c r="H1149" s="7" t="n">
        <v>1</v>
      </c>
      <c r="I1149" s="7">
        <f>H1149*$D$3</f>
        <v/>
      </c>
      <c r="J1149" s="7" t="inlineStr">
        <is>
          <t>unité</t>
        </is>
      </c>
      <c r="K1149" s="7" t="n">
        <v>0</v>
      </c>
      <c r="L1149" s="7">
        <f>K1149-I1149</f>
        <v/>
      </c>
      <c r="M1149" s="7">
        <f>IF(K1149&lt;I1149,"✕ INSUFFISANT",IF(K1149&lt;I1149*1.2,"⚠ STOCK FAIBLE","✓ COUVERT"))</f>
        <v/>
      </c>
      <c r="N1149" s="7" t="inlineStr">
        <is>
          <t>FAU</t>
        </is>
      </c>
      <c r="O1149" s="7" t="inlineStr">
        <is>
          <t>STANDARD</t>
        </is>
      </c>
      <c r="P1149" s="7" t="inlineStr">
        <is>
          <t>31/08/2026 02:59</t>
        </is>
      </c>
    </row>
    <row r="1150">
      <c r="A1150" s="8" t="inlineStr">
        <is>
          <t>WHAP 8x8</t>
        </is>
      </c>
      <c r="B1150" s="8" t="inlineStr">
        <is>
          <t>WHAP-1146</t>
        </is>
      </c>
      <c r="C1150" s="8" t="inlineStr">
        <is>
          <t>ECL-1146</t>
        </is>
      </c>
      <c r="D1150" s="8" t="inlineStr">
        <is>
          <t>éclairage poste de conduite — arrière droit</t>
        </is>
      </c>
      <c r="E1150" s="8" t="inlineStr">
        <is>
          <t>Éclairage</t>
        </is>
      </c>
      <c r="F1150" s="8" t="inlineStr">
        <is>
          <t>Éclairage</t>
        </is>
      </c>
      <c r="G1150" s="8" t="inlineStr">
        <is>
          <t>PIECE_VEHICULE</t>
        </is>
      </c>
      <c r="H1150" s="8" t="n">
        <v>1</v>
      </c>
      <c r="I1150" s="8">
        <f>H1150*$D$3</f>
        <v/>
      </c>
      <c r="J1150" s="8" t="inlineStr">
        <is>
          <t>unité</t>
        </is>
      </c>
      <c r="K1150" s="8" t="n">
        <v>0</v>
      </c>
      <c r="L1150" s="8">
        <f>K1150-I1150</f>
        <v/>
      </c>
      <c r="M1150" s="8">
        <f>IF(K1150&lt;I1150,"✕ INSUFFISANT",IF(K1150&lt;I1150*1.2,"⚠ STOCK FAIBLE","✓ COUVERT"))</f>
        <v/>
      </c>
      <c r="N1150" s="8" t="inlineStr">
        <is>
          <t>MAG</t>
        </is>
      </c>
      <c r="O1150" s="8" t="inlineStr">
        <is>
          <t>STANDARD</t>
        </is>
      </c>
      <c r="P1150" s="8" t="inlineStr">
        <is>
          <t>31/08/2026 02:59</t>
        </is>
      </c>
    </row>
    <row r="1151">
      <c r="A1151" s="7" t="inlineStr">
        <is>
          <t>WHAP 8x8</t>
        </is>
      </c>
      <c r="B1151" s="7" t="inlineStr">
        <is>
          <t>WHAP-1147</t>
        </is>
      </c>
      <c r="C1151" s="7" t="inlineStr">
        <is>
          <t>ECL-1147</t>
        </is>
      </c>
      <c r="D1151" s="7" t="inlineStr">
        <is>
          <t>gyrophare — arrière droit</t>
        </is>
      </c>
      <c r="E1151" s="7" t="inlineStr">
        <is>
          <t>Éclairage</t>
        </is>
      </c>
      <c r="F1151" s="7" t="inlineStr">
        <is>
          <t>Éclairage</t>
        </is>
      </c>
      <c r="G1151" s="7" t="inlineStr">
        <is>
          <t>PIECE_VEHICULE</t>
        </is>
      </c>
      <c r="H1151" s="7" t="n">
        <v>1</v>
      </c>
      <c r="I1151" s="7">
        <f>H1151*$D$3</f>
        <v/>
      </c>
      <c r="J1151" s="7" t="inlineStr">
        <is>
          <t>unité</t>
        </is>
      </c>
      <c r="K1151" s="7" t="n">
        <v>0</v>
      </c>
      <c r="L1151" s="7">
        <f>K1151-I1151</f>
        <v/>
      </c>
      <c r="M1151" s="7">
        <f>IF(K1151&lt;I1151,"✕ INSUFFISANT",IF(K1151&lt;I1151*1.2,"⚠ STOCK FAIBLE","✓ COUVERT"))</f>
        <v/>
      </c>
      <c r="N1151" s="7" t="inlineStr">
        <is>
          <t>FAU</t>
        </is>
      </c>
      <c r="O1151" s="7" t="inlineStr">
        <is>
          <t>STANDARD</t>
        </is>
      </c>
      <c r="P1151" s="7" t="inlineStr">
        <is>
          <t>31/08/2026 02:59</t>
        </is>
      </c>
    </row>
    <row r="1152">
      <c r="A1152" s="8" t="inlineStr">
        <is>
          <t>WHAP 8x8</t>
        </is>
      </c>
      <c r="B1152" s="8" t="inlineStr">
        <is>
          <t>WHAP-1148</t>
        </is>
      </c>
      <c r="C1152" s="8" t="inlineStr">
        <is>
          <t>ECL-1148</t>
        </is>
      </c>
      <c r="D1152" s="8" t="inlineStr">
        <is>
          <t>lampe de lecture — arrière droit</t>
        </is>
      </c>
      <c r="E1152" s="8" t="inlineStr">
        <is>
          <t>Éclairage</t>
        </is>
      </c>
      <c r="F1152" s="8" t="inlineStr">
        <is>
          <t>Éclairage</t>
        </is>
      </c>
      <c r="G1152" s="8" t="inlineStr">
        <is>
          <t>PIECE_VEHICULE</t>
        </is>
      </c>
      <c r="H1152" s="8" t="n">
        <v>1</v>
      </c>
      <c r="I1152" s="8">
        <f>H1152*$D$3</f>
        <v/>
      </c>
      <c r="J1152" s="8" t="inlineStr">
        <is>
          <t>unité</t>
        </is>
      </c>
      <c r="K1152" s="8" t="n">
        <v>0</v>
      </c>
      <c r="L1152" s="8">
        <f>K1152-I1152</f>
        <v/>
      </c>
      <c r="M1152" s="8">
        <f>IF(K1152&lt;I1152,"✕ INSUFFISANT",IF(K1152&lt;I1152*1.2,"⚠ STOCK FAIBLE","✓ COUVERT"))</f>
        <v/>
      </c>
      <c r="N1152" s="8" t="inlineStr">
        <is>
          <t>SUM</t>
        </is>
      </c>
      <c r="O1152" s="8" t="inlineStr">
        <is>
          <t>STANDARD</t>
        </is>
      </c>
      <c r="P1152" s="8" t="inlineStr">
        <is>
          <t>31/08/2026 02:59</t>
        </is>
      </c>
    </row>
    <row r="1153">
      <c r="A1153" s="7" t="inlineStr">
        <is>
          <t>WHAP 8x8</t>
        </is>
      </c>
      <c r="B1153" s="7" t="inlineStr">
        <is>
          <t>WHAP-1149</t>
        </is>
      </c>
      <c r="C1153" s="7" t="inlineStr">
        <is>
          <t>ECL-1149</t>
        </is>
      </c>
      <c r="D1153" s="7" t="inlineStr">
        <is>
          <t>projecteur de recherche — arrière droit</t>
        </is>
      </c>
      <c r="E1153" s="7" t="inlineStr">
        <is>
          <t>Éclairage</t>
        </is>
      </c>
      <c r="F1153" s="7" t="inlineStr">
        <is>
          <t>Éclairage</t>
        </is>
      </c>
      <c r="G1153" s="7" t="inlineStr">
        <is>
          <t>PIECE_VEHICULE</t>
        </is>
      </c>
      <c r="H1153" s="7" t="n">
        <v>1</v>
      </c>
      <c r="I1153" s="7">
        <f>H1153*$D$3</f>
        <v/>
      </c>
      <c r="J1153" s="7" t="inlineStr">
        <is>
          <t>unité</t>
        </is>
      </c>
      <c r="K1153" s="7" t="n">
        <v>0</v>
      </c>
      <c r="L1153" s="7">
        <f>K1153-I1153</f>
        <v/>
      </c>
      <c r="M1153" s="7">
        <f>IF(K1153&lt;I1153,"✕ INSUFFISANT",IF(K1153&lt;I1153*1.2,"⚠ STOCK FAIBLE","✓ COUVERT"))</f>
        <v/>
      </c>
      <c r="N1153" s="7" t="inlineStr">
        <is>
          <t>MAG</t>
        </is>
      </c>
      <c r="O1153" s="7" t="inlineStr">
        <is>
          <t>STANDARD</t>
        </is>
      </c>
      <c r="P1153" s="7" t="inlineStr">
        <is>
          <t>31/08/2026 02:59</t>
        </is>
      </c>
    </row>
    <row r="1154">
      <c r="A1154" s="8" t="inlineStr">
        <is>
          <t>WHAP 8x8</t>
        </is>
      </c>
      <c r="B1154" s="8" t="inlineStr">
        <is>
          <t>WHAP-1150</t>
        </is>
      </c>
      <c r="C1154" s="8" t="inlineStr">
        <is>
          <t>ECL-1150</t>
        </is>
      </c>
      <c r="D1154" s="8" t="inlineStr">
        <is>
          <t>module LED — arrière droit</t>
        </is>
      </c>
      <c r="E1154" s="8" t="inlineStr">
        <is>
          <t>Éclairage</t>
        </is>
      </c>
      <c r="F1154" s="8" t="inlineStr">
        <is>
          <t>Éclairage</t>
        </is>
      </c>
      <c r="G1154" s="8" t="inlineStr">
        <is>
          <t>PIECE_VEHICULE</t>
        </is>
      </c>
      <c r="H1154" s="8" t="n">
        <v>1</v>
      </c>
      <c r="I1154" s="8">
        <f>H1154*$D$3</f>
        <v/>
      </c>
      <c r="J1154" s="8" t="inlineStr">
        <is>
          <t>unité</t>
        </is>
      </c>
      <c r="K1154" s="8" t="n">
        <v>0</v>
      </c>
      <c r="L1154" s="8">
        <f>K1154-I1154</f>
        <v/>
      </c>
      <c r="M1154" s="8">
        <f>IF(K1154&lt;I1154,"✕ INSUFFISANT",IF(K1154&lt;I1154*1.2,"⚠ STOCK FAIBLE","✓ COUVERT"))</f>
        <v/>
      </c>
      <c r="N1154" s="8" t="inlineStr">
        <is>
          <t>HEL</t>
        </is>
      </c>
      <c r="O1154" s="8" t="inlineStr">
        <is>
          <t>STANDARD</t>
        </is>
      </c>
      <c r="P1154" s="8" t="inlineStr">
        <is>
          <t>31/08/2026 02:59</t>
        </is>
      </c>
    </row>
    <row r="1155">
      <c r="A1155" s="7" t="inlineStr">
        <is>
          <t>WHAP 8x8</t>
        </is>
      </c>
      <c r="B1155" s="7" t="inlineStr">
        <is>
          <t>WHAP-1151</t>
        </is>
      </c>
      <c r="C1155" s="7" t="inlineStr">
        <is>
          <t>ECL-1151</t>
        </is>
      </c>
      <c r="D1155" s="7" t="inlineStr">
        <is>
          <t>lentille — arrière droit</t>
        </is>
      </c>
      <c r="E1155" s="7" t="inlineStr">
        <is>
          <t>Éclairage</t>
        </is>
      </c>
      <c r="F1155" s="7" t="inlineStr">
        <is>
          <t>Éclairage</t>
        </is>
      </c>
      <c r="G1155" s="7" t="inlineStr">
        <is>
          <t>PIECE_VEHICULE</t>
        </is>
      </c>
      <c r="H1155" s="7" t="n">
        <v>1</v>
      </c>
      <c r="I1155" s="7">
        <f>H1155*$D$3</f>
        <v/>
      </c>
      <c r="J1155" s="7" t="inlineStr">
        <is>
          <t>unité</t>
        </is>
      </c>
      <c r="K1155" s="7" t="n">
        <v>0</v>
      </c>
      <c r="L1155" s="7">
        <f>K1155-I1155</f>
        <v/>
      </c>
      <c r="M1155" s="7">
        <f>IF(K1155&lt;I1155,"✕ INSUFFISANT",IF(K1155&lt;I1155*1.2,"⚠ STOCK FAIBLE","✓ COUVERT"))</f>
        <v/>
      </c>
      <c r="N1155" s="7" t="inlineStr">
        <is>
          <t>DEL</t>
        </is>
      </c>
      <c r="O1155" s="7" t="inlineStr">
        <is>
          <t>STANDARD</t>
        </is>
      </c>
      <c r="P1155" s="7" t="inlineStr">
        <is>
          <t>31/08/2026 02:59</t>
        </is>
      </c>
    </row>
    <row r="1156">
      <c r="A1156" s="8" t="inlineStr">
        <is>
          <t>WHAP 8x8</t>
        </is>
      </c>
      <c r="B1156" s="8" t="inlineStr">
        <is>
          <t>WHAP-1152</t>
        </is>
      </c>
      <c r="C1156" s="8" t="inlineStr">
        <is>
          <t>ECL-1152</t>
        </is>
      </c>
      <c r="D1156" s="8" t="inlineStr">
        <is>
          <t>réflecteur — arrière droit</t>
        </is>
      </c>
      <c r="E1156" s="8" t="inlineStr">
        <is>
          <t>Éclairage</t>
        </is>
      </c>
      <c r="F1156" s="8" t="inlineStr">
        <is>
          <t>Éclairage</t>
        </is>
      </c>
      <c r="G1156" s="8" t="inlineStr">
        <is>
          <t>PIECE_VEHICULE</t>
        </is>
      </c>
      <c r="H1156" s="8" t="n">
        <v>1</v>
      </c>
      <c r="I1156" s="8">
        <f>H1156*$D$3</f>
        <v/>
      </c>
      <c r="J1156" s="8" t="inlineStr">
        <is>
          <t>unité</t>
        </is>
      </c>
      <c r="K1156" s="8" t="n">
        <v>0</v>
      </c>
      <c r="L1156" s="8">
        <f>K1156-I1156</f>
        <v/>
      </c>
      <c r="M1156" s="8">
        <f>IF(K1156&lt;I1156,"✕ INSUFFISANT",IF(K1156&lt;I1156*1.2,"⚠ STOCK FAIBLE","✓ COUVERT"))</f>
        <v/>
      </c>
      <c r="N1156" s="8" t="inlineStr">
        <is>
          <t>DEL</t>
        </is>
      </c>
      <c r="O1156" s="8" t="inlineStr">
        <is>
          <t>STANDARD</t>
        </is>
      </c>
      <c r="P1156" s="8" t="inlineStr">
        <is>
          <t>31/08/2026 02:59</t>
        </is>
      </c>
    </row>
    <row r="1157">
      <c r="A1157" s="7" t="inlineStr">
        <is>
          <t>WHAP 8x8</t>
        </is>
      </c>
      <c r="B1157" s="7" t="inlineStr">
        <is>
          <t>WHAP-1153</t>
        </is>
      </c>
      <c r="C1157" s="7" t="inlineStr">
        <is>
          <t>ECL-1153</t>
        </is>
      </c>
      <c r="D1157" s="7" t="inlineStr">
        <is>
          <t>support de phare — arrière droit</t>
        </is>
      </c>
      <c r="E1157" s="7" t="inlineStr">
        <is>
          <t>Éclairage</t>
        </is>
      </c>
      <c r="F1157" s="7" t="inlineStr">
        <is>
          <t>Éclairage</t>
        </is>
      </c>
      <c r="G1157" s="7" t="inlineStr">
        <is>
          <t>PIECE_VEHICULE</t>
        </is>
      </c>
      <c r="H1157" s="7" t="n">
        <v>1</v>
      </c>
      <c r="I1157" s="7">
        <f>H1157*$D$3</f>
        <v/>
      </c>
      <c r="J1157" s="7" t="inlineStr">
        <is>
          <t>unité</t>
        </is>
      </c>
      <c r="K1157" s="7" t="n">
        <v>0</v>
      </c>
      <c r="L1157" s="7">
        <f>K1157-I1157</f>
        <v/>
      </c>
      <c r="M1157" s="7">
        <f>IF(K1157&lt;I1157,"✕ INSUFFISANT",IF(K1157&lt;I1157*1.2,"⚠ STOCK FAIBLE","✓ COUVERT"))</f>
        <v/>
      </c>
      <c r="N1157" s="7" t="inlineStr">
        <is>
          <t>BOS</t>
        </is>
      </c>
      <c r="O1157" s="7" t="inlineStr">
        <is>
          <t>STANDARD</t>
        </is>
      </c>
      <c r="P1157" s="7" t="inlineStr">
        <is>
          <t>31/08/2026 02:59</t>
        </is>
      </c>
    </row>
    <row r="1158">
      <c r="A1158" s="8" t="inlineStr">
        <is>
          <t>WHAP 8x8</t>
        </is>
      </c>
      <c r="B1158" s="8" t="inlineStr">
        <is>
          <t>WHAP-1154</t>
        </is>
      </c>
      <c r="C1158" s="8" t="inlineStr">
        <is>
          <t>ECL-1154</t>
        </is>
      </c>
      <c r="D1158" s="8" t="inlineStr">
        <is>
          <t>interrupteur éclairage — arrière droit</t>
        </is>
      </c>
      <c r="E1158" s="8" t="inlineStr">
        <is>
          <t>Éclairage</t>
        </is>
      </c>
      <c r="F1158" s="8" t="inlineStr">
        <is>
          <t>Éclairage</t>
        </is>
      </c>
      <c r="G1158" s="8" t="inlineStr">
        <is>
          <t>PIECE_VEHICULE</t>
        </is>
      </c>
      <c r="H1158" s="8" t="n">
        <v>1</v>
      </c>
      <c r="I1158" s="8">
        <f>H1158*$D$3</f>
        <v/>
      </c>
      <c r="J1158" s="8" t="inlineStr">
        <is>
          <t>unité</t>
        </is>
      </c>
      <c r="K1158" s="8" t="n">
        <v>0</v>
      </c>
      <c r="L1158" s="8">
        <f>K1158-I1158</f>
        <v/>
      </c>
      <c r="M1158" s="8">
        <f>IF(K1158&lt;I1158,"✕ INSUFFISANT",IF(K1158&lt;I1158*1.2,"⚠ STOCK FAIBLE","✓ COUVERT"))</f>
        <v/>
      </c>
      <c r="N1158" s="8" t="inlineStr">
        <is>
          <t>HEL</t>
        </is>
      </c>
      <c r="O1158" s="8" t="inlineStr">
        <is>
          <t>STANDARD</t>
        </is>
      </c>
      <c r="P1158" s="8" t="inlineStr">
        <is>
          <t>31/08/2026 02:59</t>
        </is>
      </c>
    </row>
    <row r="1159">
      <c r="A1159" s="7" t="inlineStr">
        <is>
          <t>WHAP 8x8</t>
        </is>
      </c>
      <c r="B1159" s="7" t="inlineStr">
        <is>
          <t>WHAP-1155</t>
        </is>
      </c>
      <c r="C1159" s="7" t="inlineStr">
        <is>
          <t>ECL-1155</t>
        </is>
      </c>
      <c r="D1159" s="7" t="inlineStr">
        <is>
          <t>faisceau éclairage — arrière droit</t>
        </is>
      </c>
      <c r="E1159" s="7" t="inlineStr">
        <is>
          <t>Éclairage</t>
        </is>
      </c>
      <c r="F1159" s="7" t="inlineStr">
        <is>
          <t>Éclairage</t>
        </is>
      </c>
      <c r="G1159" s="7" t="inlineStr">
        <is>
          <t>PIECE_VEHICULE</t>
        </is>
      </c>
      <c r="H1159" s="7" t="n">
        <v>1</v>
      </c>
      <c r="I1159" s="7">
        <f>H1159*$D$3</f>
        <v/>
      </c>
      <c r="J1159" s="7" t="inlineStr">
        <is>
          <t>unité</t>
        </is>
      </c>
      <c r="K1159" s="7" t="n">
        <v>0</v>
      </c>
      <c r="L1159" s="7">
        <f>K1159-I1159</f>
        <v/>
      </c>
      <c r="M1159" s="7">
        <f>IF(K1159&lt;I1159,"✕ INSUFFISANT",IF(K1159&lt;I1159*1.2,"⚠ STOCK FAIBLE","✓ COUVERT"))</f>
        <v/>
      </c>
      <c r="N1159" s="7" t="inlineStr">
        <is>
          <t>HEL</t>
        </is>
      </c>
      <c r="O1159" s="7" t="inlineStr">
        <is>
          <t>STANDARD</t>
        </is>
      </c>
      <c r="P1159" s="7" t="inlineStr">
        <is>
          <t>31/08/2026 02:59</t>
        </is>
      </c>
    </row>
    <row r="1160">
      <c r="A1160" s="8" t="inlineStr">
        <is>
          <t>WHAP 8x8</t>
        </is>
      </c>
      <c r="B1160" s="8" t="inlineStr">
        <is>
          <t>WHAP-1156</t>
        </is>
      </c>
      <c r="C1160" s="8" t="inlineStr">
        <is>
          <t>ECL-1156</t>
        </is>
      </c>
      <c r="D1160" s="8" t="inlineStr">
        <is>
          <t>connecteur de phare — arrière droit</t>
        </is>
      </c>
      <c r="E1160" s="8" t="inlineStr">
        <is>
          <t>Éclairage</t>
        </is>
      </c>
      <c r="F1160" s="8" t="inlineStr">
        <is>
          <t>Éclairage</t>
        </is>
      </c>
      <c r="G1160" s="8" t="inlineStr">
        <is>
          <t>PIECE_VEHICULE</t>
        </is>
      </c>
      <c r="H1160" s="8" t="n">
        <v>1</v>
      </c>
      <c r="I1160" s="8">
        <f>H1160*$D$3</f>
        <v/>
      </c>
      <c r="J1160" s="8" t="inlineStr">
        <is>
          <t>unité</t>
        </is>
      </c>
      <c r="K1160" s="8" t="n">
        <v>0</v>
      </c>
      <c r="L1160" s="8">
        <f>K1160-I1160</f>
        <v/>
      </c>
      <c r="M1160" s="8">
        <f>IF(K1160&lt;I1160,"✕ INSUFFISANT",IF(K1160&lt;I1160*1.2,"⚠ STOCK FAIBLE","✓ COUVERT"))</f>
        <v/>
      </c>
      <c r="N1160" s="8" t="inlineStr">
        <is>
          <t>SKF</t>
        </is>
      </c>
      <c r="O1160" s="8" t="inlineStr">
        <is>
          <t>STANDARD</t>
        </is>
      </c>
      <c r="P1160" s="8" t="inlineStr">
        <is>
          <t>31/08/2026 02:59</t>
        </is>
      </c>
    </row>
    <row r="1161">
      <c r="A1161" s="7" t="inlineStr">
        <is>
          <t>WHAP 8x8</t>
        </is>
      </c>
      <c r="B1161" s="7" t="inlineStr">
        <is>
          <t>WHAP-1157</t>
        </is>
      </c>
      <c r="C1161" s="7" t="inlineStr">
        <is>
          <t>ECL-1157</t>
        </is>
      </c>
      <c r="D1161" s="7" t="inlineStr">
        <is>
          <t>fusible éclairage — arrière droit</t>
        </is>
      </c>
      <c r="E1161" s="7" t="inlineStr">
        <is>
          <t>Éclairage</t>
        </is>
      </c>
      <c r="F1161" s="7" t="inlineStr">
        <is>
          <t>Éclairage</t>
        </is>
      </c>
      <c r="G1161" s="7" t="inlineStr">
        <is>
          <t>PIECE_VEHICULE</t>
        </is>
      </c>
      <c r="H1161" s="7" t="n">
        <v>1</v>
      </c>
      <c r="I1161" s="7">
        <f>H1161*$D$3</f>
        <v/>
      </c>
      <c r="J1161" s="7" t="inlineStr">
        <is>
          <t>unité</t>
        </is>
      </c>
      <c r="K1161" s="7" t="n">
        <v>0</v>
      </c>
      <c r="L1161" s="7">
        <f>K1161-I1161</f>
        <v/>
      </c>
      <c r="M1161" s="7">
        <f>IF(K1161&lt;I1161,"✕ INSUFFISANT",IF(K1161&lt;I1161*1.2,"⚠ STOCK FAIBLE","✓ COUVERT"))</f>
        <v/>
      </c>
      <c r="N1161" s="7" t="inlineStr">
        <is>
          <t>VAL</t>
        </is>
      </c>
      <c r="O1161" s="7" t="inlineStr">
        <is>
          <t>STANDARD</t>
        </is>
      </c>
      <c r="P1161" s="7" t="inlineStr">
        <is>
          <t>31/08/2026 02:59</t>
        </is>
      </c>
    </row>
    <row r="1162">
      <c r="A1162" s="8" t="inlineStr">
        <is>
          <t>WHAP 8x8</t>
        </is>
      </c>
      <c r="B1162" s="8" t="inlineStr">
        <is>
          <t>WHAP-1158</t>
        </is>
      </c>
      <c r="C1162" s="8" t="inlineStr">
        <is>
          <t>POR-1158</t>
        </is>
      </c>
      <c r="D1162" s="8" t="inlineStr">
        <is>
          <t>porte conducteur — conducteur</t>
        </is>
      </c>
      <c r="E1162" s="8" t="inlineStr">
        <is>
          <t>Portes et trappes</t>
        </is>
      </c>
      <c r="F1162" s="8" t="inlineStr">
        <is>
          <t>Portes et trappes</t>
        </is>
      </c>
      <c r="G1162" s="8" t="inlineStr">
        <is>
          <t>PIECE_VEHICULE</t>
        </is>
      </c>
      <c r="H1162" s="8" t="n">
        <v>1</v>
      </c>
      <c r="I1162" s="8">
        <f>H1162*$D$3</f>
        <v/>
      </c>
      <c r="J1162" s="8" t="inlineStr">
        <is>
          <t>unité</t>
        </is>
      </c>
      <c r="K1162" s="8" t="n">
        <v>0</v>
      </c>
      <c r="L1162" s="8">
        <f>K1162-I1162</f>
        <v/>
      </c>
      <c r="M1162" s="8">
        <f>IF(K1162&lt;I1162,"✕ INSUFFISANT",IF(K1162&lt;I1162*1.2,"⚠ STOCK FAIBLE","✓ COUVERT"))</f>
        <v/>
      </c>
      <c r="N1162" s="8" t="inlineStr">
        <is>
          <t>FAU</t>
        </is>
      </c>
      <c r="O1162" s="8" t="inlineStr">
        <is>
          <t>STANDARD</t>
        </is>
      </c>
      <c r="P1162" s="8" t="inlineStr">
        <is>
          <t>31/08/2026 02:59</t>
        </is>
      </c>
    </row>
    <row r="1163">
      <c r="A1163" s="7" t="inlineStr">
        <is>
          <t>WHAP 8x8</t>
        </is>
      </c>
      <c r="B1163" s="7" t="inlineStr">
        <is>
          <t>WHAP-1159</t>
        </is>
      </c>
      <c r="C1163" s="7" t="inlineStr">
        <is>
          <t>POR-1159</t>
        </is>
      </c>
      <c r="D1163" s="7" t="inlineStr">
        <is>
          <t>porte équipage — conducteur</t>
        </is>
      </c>
      <c r="E1163" s="7" t="inlineStr">
        <is>
          <t>Portes et trappes</t>
        </is>
      </c>
      <c r="F1163" s="7" t="inlineStr">
        <is>
          <t>Portes et trappes</t>
        </is>
      </c>
      <c r="G1163" s="7" t="inlineStr">
        <is>
          <t>PIECE_VEHICULE</t>
        </is>
      </c>
      <c r="H1163" s="7" t="n">
        <v>1</v>
      </c>
      <c r="I1163" s="7">
        <f>H1163*$D$3</f>
        <v/>
      </c>
      <c r="J1163" s="7" t="inlineStr">
        <is>
          <t>unité</t>
        </is>
      </c>
      <c r="K1163" s="7" t="n">
        <v>0</v>
      </c>
      <c r="L1163" s="7">
        <f>K1163-I1163</f>
        <v/>
      </c>
      <c r="M1163" s="7">
        <f>IF(K1163&lt;I1163,"✕ INSUFFISANT",IF(K1163&lt;I1163*1.2,"⚠ STOCK FAIBLE","✓ COUVERT"))</f>
        <v/>
      </c>
      <c r="N1163" s="7" t="inlineStr">
        <is>
          <t>YZK</t>
        </is>
      </c>
      <c r="O1163" s="7" t="inlineStr">
        <is>
          <t>STANDARD</t>
        </is>
      </c>
      <c r="P1163" s="7" t="inlineStr">
        <is>
          <t>31/08/2026 02:59</t>
        </is>
      </c>
    </row>
    <row r="1164">
      <c r="A1164" s="8" t="inlineStr">
        <is>
          <t>WHAP 8x8</t>
        </is>
      </c>
      <c r="B1164" s="8" t="inlineStr">
        <is>
          <t>WHAP-1160</t>
        </is>
      </c>
      <c r="C1164" s="8" t="inlineStr">
        <is>
          <t>POR-1160</t>
        </is>
      </c>
      <c r="D1164" s="8" t="inlineStr">
        <is>
          <t>porte arrière — conducteur</t>
        </is>
      </c>
      <c r="E1164" s="8" t="inlineStr">
        <is>
          <t>Portes et trappes</t>
        </is>
      </c>
      <c r="F1164" s="8" t="inlineStr">
        <is>
          <t>Portes et trappes</t>
        </is>
      </c>
      <c r="G1164" s="8" t="inlineStr">
        <is>
          <t>PIECE_VEHICULE</t>
        </is>
      </c>
      <c r="H1164" s="8" t="n">
        <v>1</v>
      </c>
      <c r="I1164" s="8">
        <f>H1164*$D$3</f>
        <v/>
      </c>
      <c r="J1164" s="8" t="inlineStr">
        <is>
          <t>unité</t>
        </is>
      </c>
      <c r="K1164" s="8" t="n">
        <v>0</v>
      </c>
      <c r="L1164" s="8">
        <f>K1164-I1164</f>
        <v/>
      </c>
      <c r="M1164" s="8">
        <f>IF(K1164&lt;I1164,"✕ INSUFFISANT",IF(K1164&lt;I1164*1.2,"⚠ STOCK FAIBLE","✓ COUVERT"))</f>
        <v/>
      </c>
      <c r="N1164" s="8" t="inlineStr">
        <is>
          <t>YZK</t>
        </is>
      </c>
      <c r="O1164" s="8" t="inlineStr">
        <is>
          <t>STANDARD</t>
        </is>
      </c>
      <c r="P1164" s="8" t="inlineStr">
        <is>
          <t>31/08/2026 02:59</t>
        </is>
      </c>
    </row>
    <row r="1165">
      <c r="A1165" s="7" t="inlineStr">
        <is>
          <t>WHAP 8x8</t>
        </is>
      </c>
      <c r="B1165" s="7" t="inlineStr">
        <is>
          <t>WHAP-1161</t>
        </is>
      </c>
      <c r="C1165" s="7" t="inlineStr">
        <is>
          <t>POR-1161</t>
        </is>
      </c>
      <c r="D1165" s="7" t="inlineStr">
        <is>
          <t>trappe supérieure — conducteur</t>
        </is>
      </c>
      <c r="E1165" s="7" t="inlineStr">
        <is>
          <t>Portes et trappes</t>
        </is>
      </c>
      <c r="F1165" s="7" t="inlineStr">
        <is>
          <t>Portes et trappes</t>
        </is>
      </c>
      <c r="G1165" s="7" t="inlineStr">
        <is>
          <t>PIECE_VEHICULE</t>
        </is>
      </c>
      <c r="H1165" s="7" t="n">
        <v>1</v>
      </c>
      <c r="I1165" s="7">
        <f>H1165*$D$3</f>
        <v/>
      </c>
      <c r="J1165" s="7" t="inlineStr">
        <is>
          <t>unité</t>
        </is>
      </c>
      <c r="K1165" s="7" t="n">
        <v>0</v>
      </c>
      <c r="L1165" s="7">
        <f>K1165-I1165</f>
        <v/>
      </c>
      <c r="M1165" s="7">
        <f>IF(K1165&lt;I1165,"✕ INSUFFISANT",IF(K1165&lt;I1165*1.2,"⚠ STOCK FAIBLE","✓ COUVERT"))</f>
        <v/>
      </c>
      <c r="N1165" s="7" t="inlineStr">
        <is>
          <t>BOS</t>
        </is>
      </c>
      <c r="O1165" s="7" t="inlineStr">
        <is>
          <t>STANDARD</t>
        </is>
      </c>
      <c r="P1165" s="7" t="inlineStr">
        <is>
          <t>31/08/2026 02:59</t>
        </is>
      </c>
    </row>
    <row r="1166">
      <c r="A1166" s="8" t="inlineStr">
        <is>
          <t>WHAP 8x8</t>
        </is>
      </c>
      <c r="B1166" s="8" t="inlineStr">
        <is>
          <t>WHAP-1162</t>
        </is>
      </c>
      <c r="C1166" s="8" t="inlineStr">
        <is>
          <t>POR-1162</t>
        </is>
      </c>
      <c r="D1166" s="8" t="inlineStr">
        <is>
          <t>trappe latérale — conducteur</t>
        </is>
      </c>
      <c r="E1166" s="8" t="inlineStr">
        <is>
          <t>Portes et trappes</t>
        </is>
      </c>
      <c r="F1166" s="8" t="inlineStr">
        <is>
          <t>Portes et trappes</t>
        </is>
      </c>
      <c r="G1166" s="8" t="inlineStr">
        <is>
          <t>PIECE_VEHICULE</t>
        </is>
      </c>
      <c r="H1166" s="8" t="n">
        <v>1</v>
      </c>
      <c r="I1166" s="8">
        <f>H1166*$D$3</f>
        <v/>
      </c>
      <c r="J1166" s="8" t="inlineStr">
        <is>
          <t>unité</t>
        </is>
      </c>
      <c r="K1166" s="8" t="n">
        <v>0</v>
      </c>
      <c r="L1166" s="8">
        <f>K1166-I1166</f>
        <v/>
      </c>
      <c r="M1166" s="8">
        <f>IF(K1166&lt;I1166,"✕ INSUFFISANT",IF(K1166&lt;I1166*1.2,"⚠ STOCK FAIBLE","✓ COUVERT"))</f>
        <v/>
      </c>
      <c r="N1166" s="8" t="inlineStr">
        <is>
          <t>VAL</t>
        </is>
      </c>
      <c r="O1166" s="8" t="inlineStr">
        <is>
          <t>STANDARD</t>
        </is>
      </c>
      <c r="P1166" s="8" t="inlineStr">
        <is>
          <t>31/08/2026 02:59</t>
        </is>
      </c>
    </row>
    <row r="1167">
      <c r="A1167" s="7" t="inlineStr">
        <is>
          <t>WHAP 8x8</t>
        </is>
      </c>
      <c r="B1167" s="7" t="inlineStr">
        <is>
          <t>WHAP-1163</t>
        </is>
      </c>
      <c r="C1167" s="7" t="inlineStr">
        <is>
          <t>POR-1163</t>
        </is>
      </c>
      <c r="D1167" s="7" t="inlineStr">
        <is>
          <t>trappe moteur — conducteur</t>
        </is>
      </c>
      <c r="E1167" s="7" t="inlineStr">
        <is>
          <t>Portes et trappes</t>
        </is>
      </c>
      <c r="F1167" s="7" t="inlineStr">
        <is>
          <t>Portes et trappes</t>
        </is>
      </c>
      <c r="G1167" s="7" t="inlineStr">
        <is>
          <t>PIECE_VEHICULE</t>
        </is>
      </c>
      <c r="H1167" s="7" t="n">
        <v>1</v>
      </c>
      <c r="I1167" s="7">
        <f>H1167*$D$3</f>
        <v/>
      </c>
      <c r="J1167" s="7" t="inlineStr">
        <is>
          <t>unité</t>
        </is>
      </c>
      <c r="K1167" s="7" t="n">
        <v>0</v>
      </c>
      <c r="L1167" s="7">
        <f>K1167-I1167</f>
        <v/>
      </c>
      <c r="M1167" s="7">
        <f>IF(K1167&lt;I1167,"✕ INSUFFISANT",IF(K1167&lt;I1167*1.2,"⚠ STOCK FAIBLE","✓ COUVERT"))</f>
        <v/>
      </c>
      <c r="N1167" s="7" t="inlineStr">
        <is>
          <t>SUM</t>
        </is>
      </c>
      <c r="O1167" s="7" t="inlineStr">
        <is>
          <t>STANDARD</t>
        </is>
      </c>
      <c r="P1167" s="7" t="inlineStr">
        <is>
          <t>31/08/2026 02:59</t>
        </is>
      </c>
    </row>
    <row r="1168">
      <c r="A1168" s="8" t="inlineStr">
        <is>
          <t>WHAP 8x8</t>
        </is>
      </c>
      <c r="B1168" s="8" t="inlineStr">
        <is>
          <t>WHAP-1164</t>
        </is>
      </c>
      <c r="C1168" s="8" t="inlineStr">
        <is>
          <t>POR-1164</t>
        </is>
      </c>
      <c r="D1168" s="8" t="inlineStr">
        <is>
          <t>charnière — conducteur</t>
        </is>
      </c>
      <c r="E1168" s="8" t="inlineStr">
        <is>
          <t>Portes et trappes</t>
        </is>
      </c>
      <c r="F1168" s="8" t="inlineStr">
        <is>
          <t>Portes et trappes</t>
        </is>
      </c>
      <c r="G1168" s="8" t="inlineStr">
        <is>
          <t>PIECE_VEHICULE</t>
        </is>
      </c>
      <c r="H1168" s="8" t="n">
        <v>1</v>
      </c>
      <c r="I1168" s="8">
        <f>H1168*$D$3</f>
        <v/>
      </c>
      <c r="J1168" s="8" t="inlineStr">
        <is>
          <t>unité</t>
        </is>
      </c>
      <c r="K1168" s="8" t="n">
        <v>0</v>
      </c>
      <c r="L1168" s="8">
        <f>K1168-I1168</f>
        <v/>
      </c>
      <c r="M1168" s="8">
        <f>IF(K1168&lt;I1168,"✕ INSUFFISANT",IF(K1168&lt;I1168*1.2,"⚠ STOCK FAIBLE","✓ COUVERT"))</f>
        <v/>
      </c>
      <c r="N1168" s="8" t="inlineStr">
        <is>
          <t>MAG</t>
        </is>
      </c>
      <c r="O1168" s="8" t="inlineStr">
        <is>
          <t>STANDARD</t>
        </is>
      </c>
      <c r="P1168" s="8" t="inlineStr">
        <is>
          <t>31/08/2026 02:59</t>
        </is>
      </c>
    </row>
    <row r="1169">
      <c r="A1169" s="7" t="inlineStr">
        <is>
          <t>WHAP 8x8</t>
        </is>
      </c>
      <c r="B1169" s="7" t="inlineStr">
        <is>
          <t>WHAP-1165</t>
        </is>
      </c>
      <c r="C1169" s="7" t="inlineStr">
        <is>
          <t>POR-1165</t>
        </is>
      </c>
      <c r="D1169" s="7" t="inlineStr">
        <is>
          <t>serrure — conducteur</t>
        </is>
      </c>
      <c r="E1169" s="7" t="inlineStr">
        <is>
          <t>Portes et trappes</t>
        </is>
      </c>
      <c r="F1169" s="7" t="inlineStr">
        <is>
          <t>Portes et trappes</t>
        </is>
      </c>
      <c r="G1169" s="7" t="inlineStr">
        <is>
          <t>PIECE_VEHICULE</t>
        </is>
      </c>
      <c r="H1169" s="7" t="n">
        <v>1</v>
      </c>
      <c r="I1169" s="7">
        <f>H1169*$D$3</f>
        <v/>
      </c>
      <c r="J1169" s="7" t="inlineStr">
        <is>
          <t>unité</t>
        </is>
      </c>
      <c r="K1169" s="7" t="n">
        <v>0</v>
      </c>
      <c r="L1169" s="7">
        <f>K1169-I1169</f>
        <v/>
      </c>
      <c r="M1169" s="7">
        <f>IF(K1169&lt;I1169,"✕ INSUFFISANT",IF(K1169&lt;I1169*1.2,"⚠ STOCK FAIBLE","✓ COUVERT"))</f>
        <v/>
      </c>
      <c r="N1169" s="7" t="inlineStr">
        <is>
          <t>SUM</t>
        </is>
      </c>
      <c r="O1169" s="7" t="inlineStr">
        <is>
          <t>STANDARD</t>
        </is>
      </c>
      <c r="P1169" s="7" t="inlineStr">
        <is>
          <t>31/08/2026 02:59</t>
        </is>
      </c>
    </row>
    <row r="1170">
      <c r="A1170" s="8" t="inlineStr">
        <is>
          <t>WHAP 8x8</t>
        </is>
      </c>
      <c r="B1170" s="8" t="inlineStr">
        <is>
          <t>WHAP-1166</t>
        </is>
      </c>
      <c r="C1170" s="8" t="inlineStr">
        <is>
          <t>POR-1166</t>
        </is>
      </c>
      <c r="D1170" s="8" t="inlineStr">
        <is>
          <t>loquet — conducteur</t>
        </is>
      </c>
      <c r="E1170" s="8" t="inlineStr">
        <is>
          <t>Portes et trappes</t>
        </is>
      </c>
      <c r="F1170" s="8" t="inlineStr">
        <is>
          <t>Portes et trappes</t>
        </is>
      </c>
      <c r="G1170" s="8" t="inlineStr">
        <is>
          <t>PIECE_VEHICULE</t>
        </is>
      </c>
      <c r="H1170" s="8" t="n">
        <v>1</v>
      </c>
      <c r="I1170" s="8">
        <f>H1170*$D$3</f>
        <v/>
      </c>
      <c r="J1170" s="8" t="inlineStr">
        <is>
          <t>unité</t>
        </is>
      </c>
      <c r="K1170" s="8" t="n">
        <v>0</v>
      </c>
      <c r="L1170" s="8">
        <f>K1170-I1170</f>
        <v/>
      </c>
      <c r="M1170" s="8">
        <f>IF(K1170&lt;I1170,"✕ INSUFFISANT",IF(K1170&lt;I1170*1.2,"⚠ STOCK FAIBLE","✓ COUVERT"))</f>
        <v/>
      </c>
      <c r="N1170" s="8" t="inlineStr">
        <is>
          <t>SKF</t>
        </is>
      </c>
      <c r="O1170" s="8" t="inlineStr">
        <is>
          <t>STANDARD</t>
        </is>
      </c>
      <c r="P1170" s="8" t="inlineStr">
        <is>
          <t>31/08/2026 02:59</t>
        </is>
      </c>
    </row>
    <row r="1171">
      <c r="A1171" s="7" t="inlineStr">
        <is>
          <t>WHAP 8x8</t>
        </is>
      </c>
      <c r="B1171" s="7" t="inlineStr">
        <is>
          <t>WHAP-1167</t>
        </is>
      </c>
      <c r="C1171" s="7" t="inlineStr">
        <is>
          <t>POR-1167</t>
        </is>
      </c>
      <c r="D1171" s="7" t="inlineStr">
        <is>
          <t>verrou rotatif — conducteur</t>
        </is>
      </c>
      <c r="E1171" s="7" t="inlineStr">
        <is>
          <t>Portes et trappes</t>
        </is>
      </c>
      <c r="F1171" s="7" t="inlineStr">
        <is>
          <t>Portes et trappes</t>
        </is>
      </c>
      <c r="G1171" s="7" t="inlineStr">
        <is>
          <t>PIECE_VEHICULE</t>
        </is>
      </c>
      <c r="H1171" s="7" t="n">
        <v>1</v>
      </c>
      <c r="I1171" s="7">
        <f>H1171*$D$3</f>
        <v/>
      </c>
      <c r="J1171" s="7" t="inlineStr">
        <is>
          <t>unité</t>
        </is>
      </c>
      <c r="K1171" s="7" t="n">
        <v>0</v>
      </c>
      <c r="L1171" s="7">
        <f>K1171-I1171</f>
        <v/>
      </c>
      <c r="M1171" s="7">
        <f>IF(K1171&lt;I1171,"✕ INSUFFISANT",IF(K1171&lt;I1171*1.2,"⚠ STOCK FAIBLE","✓ COUVERT"))</f>
        <v/>
      </c>
      <c r="N1171" s="7" t="inlineStr">
        <is>
          <t>VAL</t>
        </is>
      </c>
      <c r="O1171" s="7" t="inlineStr">
        <is>
          <t>STANDARD</t>
        </is>
      </c>
      <c r="P1171" s="7" t="inlineStr">
        <is>
          <t>31/08/2026 02:59</t>
        </is>
      </c>
    </row>
    <row r="1172">
      <c r="A1172" s="8" t="inlineStr">
        <is>
          <t>WHAP 8x8</t>
        </is>
      </c>
      <c r="B1172" s="8" t="inlineStr">
        <is>
          <t>WHAP-1168</t>
        </is>
      </c>
      <c r="C1172" s="8" t="inlineStr">
        <is>
          <t>POR-1168</t>
        </is>
      </c>
      <c r="D1172" s="8" t="inlineStr">
        <is>
          <t>poignée intérieure — conducteur</t>
        </is>
      </c>
      <c r="E1172" s="8" t="inlineStr">
        <is>
          <t>Portes et trappes</t>
        </is>
      </c>
      <c r="F1172" s="8" t="inlineStr">
        <is>
          <t>Portes et trappes</t>
        </is>
      </c>
      <c r="G1172" s="8" t="inlineStr">
        <is>
          <t>PIECE_VEHICULE</t>
        </is>
      </c>
      <c r="H1172" s="8" t="n">
        <v>1</v>
      </c>
      <c r="I1172" s="8">
        <f>H1172*$D$3</f>
        <v/>
      </c>
      <c r="J1172" s="8" t="inlineStr">
        <is>
          <t>unité</t>
        </is>
      </c>
      <c r="K1172" s="8" t="n">
        <v>0</v>
      </c>
      <c r="L1172" s="8">
        <f>K1172-I1172</f>
        <v/>
      </c>
      <c r="M1172" s="8">
        <f>IF(K1172&lt;I1172,"✕ INSUFFISANT",IF(K1172&lt;I1172*1.2,"⚠ STOCK FAIBLE","✓ COUVERT"))</f>
        <v/>
      </c>
      <c r="N1172" s="8" t="inlineStr">
        <is>
          <t>MAG</t>
        </is>
      </c>
      <c r="O1172" s="8" t="inlineStr">
        <is>
          <t>STANDARD</t>
        </is>
      </c>
      <c r="P1172" s="8" t="inlineStr">
        <is>
          <t>31/08/2026 02:59</t>
        </is>
      </c>
    </row>
    <row r="1173">
      <c r="A1173" s="7" t="inlineStr">
        <is>
          <t>WHAP 8x8</t>
        </is>
      </c>
      <c r="B1173" s="7" t="inlineStr">
        <is>
          <t>WHAP-1169</t>
        </is>
      </c>
      <c r="C1173" s="7" t="inlineStr">
        <is>
          <t>POR-1169</t>
        </is>
      </c>
      <c r="D1173" s="7" t="inlineStr">
        <is>
          <t>poignée extérieure — conducteur</t>
        </is>
      </c>
      <c r="E1173" s="7" t="inlineStr">
        <is>
          <t>Portes et trappes</t>
        </is>
      </c>
      <c r="F1173" s="7" t="inlineStr">
        <is>
          <t>Portes et trappes</t>
        </is>
      </c>
      <c r="G1173" s="7" t="inlineStr">
        <is>
          <t>PIECE_VEHICULE</t>
        </is>
      </c>
      <c r="H1173" s="7" t="n">
        <v>1</v>
      </c>
      <c r="I1173" s="7">
        <f>H1173*$D$3</f>
        <v/>
      </c>
      <c r="J1173" s="7" t="inlineStr">
        <is>
          <t>unité</t>
        </is>
      </c>
      <c r="K1173" s="7" t="n">
        <v>0</v>
      </c>
      <c r="L1173" s="7">
        <f>K1173-I1173</f>
        <v/>
      </c>
      <c r="M1173" s="7">
        <f>IF(K1173&lt;I1173,"✕ INSUFFISANT",IF(K1173&lt;I1173*1.2,"⚠ STOCK FAIBLE","✓ COUVERT"))</f>
        <v/>
      </c>
      <c r="N1173" s="7" t="inlineStr">
        <is>
          <t>HEL</t>
        </is>
      </c>
      <c r="O1173" s="7" t="inlineStr">
        <is>
          <t>STANDARD</t>
        </is>
      </c>
      <c r="P1173" s="7" t="inlineStr">
        <is>
          <t>31/08/2026 02:59</t>
        </is>
      </c>
    </row>
    <row r="1174">
      <c r="A1174" s="8" t="inlineStr">
        <is>
          <t>WHAP 8x8</t>
        </is>
      </c>
      <c r="B1174" s="8" t="inlineStr">
        <is>
          <t>WHAP-1170</t>
        </is>
      </c>
      <c r="C1174" s="8" t="inlineStr">
        <is>
          <t>POR-1170</t>
        </is>
      </c>
      <c r="D1174" s="8" t="inlineStr">
        <is>
          <t>câble de commande — conducteur</t>
        </is>
      </c>
      <c r="E1174" s="8" t="inlineStr">
        <is>
          <t>Portes et trappes</t>
        </is>
      </c>
      <c r="F1174" s="8" t="inlineStr">
        <is>
          <t>Portes et trappes</t>
        </is>
      </c>
      <c r="G1174" s="8" t="inlineStr">
        <is>
          <t>PIECE_VEHICULE</t>
        </is>
      </c>
      <c r="H1174" s="8" t="n">
        <v>1</v>
      </c>
      <c r="I1174" s="8">
        <f>H1174*$D$3</f>
        <v/>
      </c>
      <c r="J1174" s="8" t="inlineStr">
        <is>
          <t>unité</t>
        </is>
      </c>
      <c r="K1174" s="8" t="n">
        <v>0</v>
      </c>
      <c r="L1174" s="8">
        <f>K1174-I1174</f>
        <v/>
      </c>
      <c r="M1174" s="8">
        <f>IF(K1174&lt;I1174,"✕ INSUFFISANT",IF(K1174&lt;I1174*1.2,"⚠ STOCK FAIBLE","✓ COUVERT"))</f>
        <v/>
      </c>
      <c r="N1174" s="8" t="inlineStr">
        <is>
          <t>DEL</t>
        </is>
      </c>
      <c r="O1174" s="8" t="inlineStr">
        <is>
          <t>STANDARD</t>
        </is>
      </c>
      <c r="P1174" s="8" t="inlineStr">
        <is>
          <t>31/08/2026 02:59</t>
        </is>
      </c>
    </row>
    <row r="1175">
      <c r="A1175" s="7" t="inlineStr">
        <is>
          <t>WHAP 8x8</t>
        </is>
      </c>
      <c r="B1175" s="7" t="inlineStr">
        <is>
          <t>WHAP-1171</t>
        </is>
      </c>
      <c r="C1175" s="7" t="inlineStr">
        <is>
          <t>POR-1171</t>
        </is>
      </c>
      <c r="D1175" s="7" t="inlineStr">
        <is>
          <t>vérin à gaz — conducteur</t>
        </is>
      </c>
      <c r="E1175" s="7" t="inlineStr">
        <is>
          <t>Portes et trappes</t>
        </is>
      </c>
      <c r="F1175" s="7" t="inlineStr">
        <is>
          <t>Portes et trappes</t>
        </is>
      </c>
      <c r="G1175" s="7" t="inlineStr">
        <is>
          <t>PIECE_VEHICULE</t>
        </is>
      </c>
      <c r="H1175" s="7" t="n">
        <v>1</v>
      </c>
      <c r="I1175" s="7">
        <f>H1175*$D$3</f>
        <v/>
      </c>
      <c r="J1175" s="7" t="inlineStr">
        <is>
          <t>unité</t>
        </is>
      </c>
      <c r="K1175" s="7" t="n">
        <v>0</v>
      </c>
      <c r="L1175" s="7">
        <f>K1175-I1175</f>
        <v/>
      </c>
      <c r="M1175" s="7">
        <f>IF(K1175&lt;I1175,"✕ INSUFFISANT",IF(K1175&lt;I1175*1.2,"⚠ STOCK FAIBLE","✓ COUVERT"))</f>
        <v/>
      </c>
      <c r="N1175" s="7" t="inlineStr">
        <is>
          <t>CTL</t>
        </is>
      </c>
      <c r="O1175" s="7" t="inlineStr">
        <is>
          <t>STANDARD</t>
        </is>
      </c>
      <c r="P1175" s="7" t="inlineStr">
        <is>
          <t>31/08/2026 02:59</t>
        </is>
      </c>
    </row>
    <row r="1176">
      <c r="A1176" s="8" t="inlineStr">
        <is>
          <t>WHAP 8x8</t>
        </is>
      </c>
      <c r="B1176" s="8" t="inlineStr">
        <is>
          <t>WHAP-1172</t>
        </is>
      </c>
      <c r="C1176" s="8" t="inlineStr">
        <is>
          <t>POR-1172</t>
        </is>
      </c>
      <c r="D1176" s="8" t="inlineStr">
        <is>
          <t>vérin hydraulique — conducteur</t>
        </is>
      </c>
      <c r="E1176" s="8" t="inlineStr">
        <is>
          <t>Portes et trappes</t>
        </is>
      </c>
      <c r="F1176" s="8" t="inlineStr">
        <is>
          <t>Portes et trappes</t>
        </is>
      </c>
      <c r="G1176" s="8" t="inlineStr">
        <is>
          <t>PIECE_VEHICULE</t>
        </is>
      </c>
      <c r="H1176" s="8" t="n">
        <v>1</v>
      </c>
      <c r="I1176" s="8">
        <f>H1176*$D$3</f>
        <v/>
      </c>
      <c r="J1176" s="8" t="inlineStr">
        <is>
          <t>unité</t>
        </is>
      </c>
      <c r="K1176" s="8" t="n">
        <v>0</v>
      </c>
      <c r="L1176" s="8">
        <f>K1176-I1176</f>
        <v/>
      </c>
      <c r="M1176" s="8">
        <f>IF(K1176&lt;I1176,"✕ INSUFFISANT",IF(K1176&lt;I1176*1.2,"⚠ STOCK FAIBLE","✓ COUVERT"))</f>
        <v/>
      </c>
      <c r="N1176" s="8" t="inlineStr">
        <is>
          <t>BOS</t>
        </is>
      </c>
      <c r="O1176" s="8" t="inlineStr">
        <is>
          <t>STANDARD</t>
        </is>
      </c>
      <c r="P1176" s="8" t="inlineStr">
        <is>
          <t>31/08/2026 02:59</t>
        </is>
      </c>
    </row>
    <row r="1177">
      <c r="A1177" s="7" t="inlineStr">
        <is>
          <t>WHAP 8x8</t>
        </is>
      </c>
      <c r="B1177" s="7" t="inlineStr">
        <is>
          <t>WHAP-1173</t>
        </is>
      </c>
      <c r="C1177" s="7" t="inlineStr">
        <is>
          <t>POR-1173</t>
        </is>
      </c>
      <c r="D1177" s="7" t="inlineStr">
        <is>
          <t>joint de porte — conducteur</t>
        </is>
      </c>
      <c r="E1177" s="7" t="inlineStr">
        <is>
          <t>Portes et trappes</t>
        </is>
      </c>
      <c r="F1177" s="7" t="inlineStr">
        <is>
          <t>Portes et trappes</t>
        </is>
      </c>
      <c r="G1177" s="7" t="inlineStr">
        <is>
          <t>PIECE_VEHICULE</t>
        </is>
      </c>
      <c r="H1177" s="7" t="n">
        <v>1</v>
      </c>
      <c r="I1177" s="7">
        <f>H1177*$D$3</f>
        <v/>
      </c>
      <c r="J1177" s="7" t="inlineStr">
        <is>
          <t>unité</t>
        </is>
      </c>
      <c r="K1177" s="7" t="n">
        <v>0</v>
      </c>
      <c r="L1177" s="7">
        <f>K1177-I1177</f>
        <v/>
      </c>
      <c r="M1177" s="7">
        <f>IF(K1177&lt;I1177,"✕ INSUFFISANT",IF(K1177&lt;I1177*1.2,"⚠ STOCK FAIBLE","✓ COUVERT"))</f>
        <v/>
      </c>
      <c r="N1177" s="7" t="inlineStr">
        <is>
          <t>SKF</t>
        </is>
      </c>
      <c r="O1177" s="7" t="inlineStr">
        <is>
          <t>STANDARD</t>
        </is>
      </c>
      <c r="P1177" s="7" t="inlineStr">
        <is>
          <t>31/08/2026 02:59</t>
        </is>
      </c>
    </row>
    <row r="1178">
      <c r="A1178" s="8" t="inlineStr">
        <is>
          <t>WHAP 8x8</t>
        </is>
      </c>
      <c r="B1178" s="8" t="inlineStr">
        <is>
          <t>WHAP-1174</t>
        </is>
      </c>
      <c r="C1178" s="8" t="inlineStr">
        <is>
          <t>POR-1174</t>
        </is>
      </c>
      <c r="D1178" s="8" t="inlineStr">
        <is>
          <t>joint de trappe — conducteur</t>
        </is>
      </c>
      <c r="E1178" s="8" t="inlineStr">
        <is>
          <t>Portes et trappes</t>
        </is>
      </c>
      <c r="F1178" s="8" t="inlineStr">
        <is>
          <t>Portes et trappes</t>
        </is>
      </c>
      <c r="G1178" s="8" t="inlineStr">
        <is>
          <t>PIECE_VEHICULE</t>
        </is>
      </c>
      <c r="H1178" s="8" t="n">
        <v>1</v>
      </c>
      <c r="I1178" s="8">
        <f>H1178*$D$3</f>
        <v/>
      </c>
      <c r="J1178" s="8" t="inlineStr">
        <is>
          <t>unité</t>
        </is>
      </c>
      <c r="K1178" s="8" t="n">
        <v>0</v>
      </c>
      <c r="L1178" s="8">
        <f>K1178-I1178</f>
        <v/>
      </c>
      <c r="M1178" s="8">
        <f>IF(K1178&lt;I1178,"✕ INSUFFISANT",IF(K1178&lt;I1178*1.2,"⚠ STOCK FAIBLE","✓ COUVERT"))</f>
        <v/>
      </c>
      <c r="N1178" s="8" t="inlineStr">
        <is>
          <t>VAL</t>
        </is>
      </c>
      <c r="O1178" s="8" t="inlineStr">
        <is>
          <t>STANDARD</t>
        </is>
      </c>
      <c r="P1178" s="8" t="inlineStr">
        <is>
          <t>31/08/2026 02:59</t>
        </is>
      </c>
    </row>
    <row r="1179">
      <c r="A1179" s="7" t="inlineStr">
        <is>
          <t>WHAP 8x8</t>
        </is>
      </c>
      <c r="B1179" s="7" t="inlineStr">
        <is>
          <t>WHAP-1175</t>
        </is>
      </c>
      <c r="C1179" s="7" t="inlineStr">
        <is>
          <t>POR-1175</t>
        </is>
      </c>
      <c r="D1179" s="7" t="inlineStr">
        <is>
          <t>vitre blindée — conducteur</t>
        </is>
      </c>
      <c r="E1179" s="7" t="inlineStr">
        <is>
          <t>Portes et trappes</t>
        </is>
      </c>
      <c r="F1179" s="7" t="inlineStr">
        <is>
          <t>Portes et trappes</t>
        </is>
      </c>
      <c r="G1179" s="7" t="inlineStr">
        <is>
          <t>PIECE_VEHICULE</t>
        </is>
      </c>
      <c r="H1179" s="7" t="n">
        <v>1</v>
      </c>
      <c r="I1179" s="7">
        <f>H1179*$D$3</f>
        <v/>
      </c>
      <c r="J1179" s="7" t="inlineStr">
        <is>
          <t>unité</t>
        </is>
      </c>
      <c r="K1179" s="7" t="n">
        <v>0</v>
      </c>
      <c r="L1179" s="7">
        <f>K1179-I1179</f>
        <v/>
      </c>
      <c r="M1179" s="7">
        <f>IF(K1179&lt;I1179,"✕ INSUFFISANT",IF(K1179&lt;I1179*1.2,"⚠ STOCK FAIBLE","✓ COUVERT"))</f>
        <v/>
      </c>
      <c r="N1179" s="7" t="inlineStr">
        <is>
          <t>SUM</t>
        </is>
      </c>
      <c r="O1179" s="7" t="inlineStr">
        <is>
          <t>STANDARD</t>
        </is>
      </c>
      <c r="P1179" s="7" t="inlineStr">
        <is>
          <t>31/08/2026 02:59</t>
        </is>
      </c>
    </row>
    <row r="1180">
      <c r="A1180" s="8" t="inlineStr">
        <is>
          <t>WHAP 8x8</t>
        </is>
      </c>
      <c r="B1180" s="8" t="inlineStr">
        <is>
          <t>WHAP-1176</t>
        </is>
      </c>
      <c r="C1180" s="8" t="inlineStr">
        <is>
          <t>POR-1176</t>
        </is>
      </c>
      <c r="D1180" s="8" t="inlineStr">
        <is>
          <t>cadre de vitre — conducteur</t>
        </is>
      </c>
      <c r="E1180" s="8" t="inlineStr">
        <is>
          <t>Portes et trappes</t>
        </is>
      </c>
      <c r="F1180" s="8" t="inlineStr">
        <is>
          <t>Portes et trappes</t>
        </is>
      </c>
      <c r="G1180" s="8" t="inlineStr">
        <is>
          <t>PIECE_VEHICULE</t>
        </is>
      </c>
      <c r="H1180" s="8" t="n">
        <v>1</v>
      </c>
      <c r="I1180" s="8">
        <f>H1180*$D$3</f>
        <v/>
      </c>
      <c r="J1180" s="8" t="inlineStr">
        <is>
          <t>unité</t>
        </is>
      </c>
      <c r="K1180" s="8" t="n">
        <v>0</v>
      </c>
      <c r="L1180" s="8">
        <f>K1180-I1180</f>
        <v/>
      </c>
      <c r="M1180" s="8">
        <f>IF(K1180&lt;I1180,"✕ INSUFFISANT",IF(K1180&lt;I1180*1.2,"⚠ STOCK FAIBLE","✓ COUVERT"))</f>
        <v/>
      </c>
      <c r="N1180" s="8" t="inlineStr">
        <is>
          <t>SUM</t>
        </is>
      </c>
      <c r="O1180" s="8" t="inlineStr">
        <is>
          <t>STANDARD</t>
        </is>
      </c>
      <c r="P1180" s="8" t="inlineStr">
        <is>
          <t>31/08/2026 02:59</t>
        </is>
      </c>
    </row>
    <row r="1181">
      <c r="A1181" s="7" t="inlineStr">
        <is>
          <t>WHAP 8x8</t>
        </is>
      </c>
      <c r="B1181" s="7" t="inlineStr">
        <is>
          <t>WHAP-1177</t>
        </is>
      </c>
      <c r="C1181" s="7" t="inlineStr">
        <is>
          <t>POR-1177</t>
        </is>
      </c>
      <c r="D1181" s="7" t="inlineStr">
        <is>
          <t>lève-vitre — conducteur</t>
        </is>
      </c>
      <c r="E1181" s="7" t="inlineStr">
        <is>
          <t>Portes et trappes</t>
        </is>
      </c>
      <c r="F1181" s="7" t="inlineStr">
        <is>
          <t>Portes et trappes</t>
        </is>
      </c>
      <c r="G1181" s="7" t="inlineStr">
        <is>
          <t>PIECE_VEHICULE</t>
        </is>
      </c>
      <c r="H1181" s="7" t="n">
        <v>1</v>
      </c>
      <c r="I1181" s="7">
        <f>H1181*$D$3</f>
        <v/>
      </c>
      <c r="J1181" s="7" t="inlineStr">
        <is>
          <t>unité</t>
        </is>
      </c>
      <c r="K1181" s="7" t="n">
        <v>0</v>
      </c>
      <c r="L1181" s="7">
        <f>K1181-I1181</f>
        <v/>
      </c>
      <c r="M1181" s="7">
        <f>IF(K1181&lt;I1181,"✕ INSUFFISANT",IF(K1181&lt;I1181*1.2,"⚠ STOCK FAIBLE","✓ COUVERT"))</f>
        <v/>
      </c>
      <c r="N1181" s="7" t="inlineStr">
        <is>
          <t>CTL</t>
        </is>
      </c>
      <c r="O1181" s="7" t="inlineStr">
        <is>
          <t>STANDARD</t>
        </is>
      </c>
      <c r="P1181" s="7" t="inlineStr">
        <is>
          <t>31/08/2026 02:59</t>
        </is>
      </c>
    </row>
    <row r="1182">
      <c r="A1182" s="8" t="inlineStr">
        <is>
          <t>WHAP 8x8</t>
        </is>
      </c>
      <c r="B1182" s="8" t="inlineStr">
        <is>
          <t>WHAP-1178</t>
        </is>
      </c>
      <c r="C1182" s="8" t="inlineStr">
        <is>
          <t>POR-1178</t>
        </is>
      </c>
      <c r="D1182" s="8" t="inlineStr">
        <is>
          <t>mécanisme de vitre — conducteur</t>
        </is>
      </c>
      <c r="E1182" s="8" t="inlineStr">
        <is>
          <t>Portes et trappes</t>
        </is>
      </c>
      <c r="F1182" s="8" t="inlineStr">
        <is>
          <t>Portes et trappes</t>
        </is>
      </c>
      <c r="G1182" s="8" t="inlineStr">
        <is>
          <t>PIECE_VEHICULE</t>
        </is>
      </c>
      <c r="H1182" s="8" t="n">
        <v>1</v>
      </c>
      <c r="I1182" s="8">
        <f>H1182*$D$3</f>
        <v/>
      </c>
      <c r="J1182" s="8" t="inlineStr">
        <is>
          <t>unité</t>
        </is>
      </c>
      <c r="K1182" s="8" t="n">
        <v>0</v>
      </c>
      <c r="L1182" s="8">
        <f>K1182-I1182</f>
        <v/>
      </c>
      <c r="M1182" s="8">
        <f>IF(K1182&lt;I1182,"✕ INSUFFISANT",IF(K1182&lt;I1182*1.2,"⚠ STOCK FAIBLE","✓ COUVERT"))</f>
        <v/>
      </c>
      <c r="N1182" s="8" t="inlineStr">
        <is>
          <t>SUM</t>
        </is>
      </c>
      <c r="O1182" s="8" t="inlineStr">
        <is>
          <t>STANDARD</t>
        </is>
      </c>
      <c r="P1182" s="8" t="inlineStr">
        <is>
          <t>31/08/2026 02:59</t>
        </is>
      </c>
    </row>
    <row r="1183">
      <c r="A1183" s="7" t="inlineStr">
        <is>
          <t>WHAP 8x8</t>
        </is>
      </c>
      <c r="B1183" s="7" t="inlineStr">
        <is>
          <t>WHAP-1179</t>
        </is>
      </c>
      <c r="C1183" s="7" t="inlineStr">
        <is>
          <t>POR-1179</t>
        </is>
      </c>
      <c r="D1183" s="7" t="inlineStr">
        <is>
          <t>butée — conducteur</t>
        </is>
      </c>
      <c r="E1183" s="7" t="inlineStr">
        <is>
          <t>Portes et trappes</t>
        </is>
      </c>
      <c r="F1183" s="7" t="inlineStr">
        <is>
          <t>Portes et trappes</t>
        </is>
      </c>
      <c r="G1183" s="7" t="inlineStr">
        <is>
          <t>PIECE_VEHICULE</t>
        </is>
      </c>
      <c r="H1183" s="7" t="n">
        <v>1</v>
      </c>
      <c r="I1183" s="7">
        <f>H1183*$D$3</f>
        <v/>
      </c>
      <c r="J1183" s="7" t="inlineStr">
        <is>
          <t>unité</t>
        </is>
      </c>
      <c r="K1183" s="7" t="n">
        <v>0</v>
      </c>
      <c r="L1183" s="7">
        <f>K1183-I1183</f>
        <v/>
      </c>
      <c r="M1183" s="7">
        <f>IF(K1183&lt;I1183,"✕ INSUFFISANT",IF(K1183&lt;I1183*1.2,"⚠ STOCK FAIBLE","✓ COUVERT"))</f>
        <v/>
      </c>
      <c r="N1183" s="7" t="inlineStr">
        <is>
          <t>YZK</t>
        </is>
      </c>
      <c r="O1183" s="7" t="inlineStr">
        <is>
          <t>STANDARD</t>
        </is>
      </c>
      <c r="P1183" s="7" t="inlineStr">
        <is>
          <t>31/08/2026 02:59</t>
        </is>
      </c>
    </row>
    <row r="1184">
      <c r="A1184" s="8" t="inlineStr">
        <is>
          <t>WHAP 8x8</t>
        </is>
      </c>
      <c r="B1184" s="8" t="inlineStr">
        <is>
          <t>WHAP-1180</t>
        </is>
      </c>
      <c r="C1184" s="8" t="inlineStr">
        <is>
          <t>POR-1180</t>
        </is>
      </c>
      <c r="D1184" s="8" t="inlineStr">
        <is>
          <t>gâche — conducteur</t>
        </is>
      </c>
      <c r="E1184" s="8" t="inlineStr">
        <is>
          <t>Portes et trappes</t>
        </is>
      </c>
      <c r="F1184" s="8" t="inlineStr">
        <is>
          <t>Portes et trappes</t>
        </is>
      </c>
      <c r="G1184" s="8" t="inlineStr">
        <is>
          <t>PIECE_VEHICULE</t>
        </is>
      </c>
      <c r="H1184" s="8" t="n">
        <v>1</v>
      </c>
      <c r="I1184" s="8">
        <f>H1184*$D$3</f>
        <v/>
      </c>
      <c r="J1184" s="8" t="inlineStr">
        <is>
          <t>unité</t>
        </is>
      </c>
      <c r="K1184" s="8" t="n">
        <v>0</v>
      </c>
      <c r="L1184" s="8">
        <f>K1184-I1184</f>
        <v/>
      </c>
      <c r="M1184" s="8">
        <f>IF(K1184&lt;I1184,"✕ INSUFFISANT",IF(K1184&lt;I1184*1.2,"⚠ STOCK FAIBLE","✓ COUVERT"))</f>
        <v/>
      </c>
      <c r="N1184" s="8" t="inlineStr">
        <is>
          <t>SKF</t>
        </is>
      </c>
      <c r="O1184" s="8" t="inlineStr">
        <is>
          <t>STANDARD</t>
        </is>
      </c>
      <c r="P1184" s="8" t="inlineStr">
        <is>
          <t>31/08/2026 02:59</t>
        </is>
      </c>
    </row>
    <row r="1185">
      <c r="A1185" s="7" t="inlineStr">
        <is>
          <t>WHAP 8x8</t>
        </is>
      </c>
      <c r="B1185" s="7" t="inlineStr">
        <is>
          <t>WHAP-1181</t>
        </is>
      </c>
      <c r="C1185" s="7" t="inlineStr">
        <is>
          <t>POR-1181</t>
        </is>
      </c>
      <c r="D1185" s="7" t="inlineStr">
        <is>
          <t>axe de charnière — conducteur</t>
        </is>
      </c>
      <c r="E1185" s="7" t="inlineStr">
        <is>
          <t>Portes et trappes</t>
        </is>
      </c>
      <c r="F1185" s="7" t="inlineStr">
        <is>
          <t>Portes et trappes</t>
        </is>
      </c>
      <c r="G1185" s="7" t="inlineStr">
        <is>
          <t>PIECE_VEHICULE</t>
        </is>
      </c>
      <c r="H1185" s="7" t="n">
        <v>1</v>
      </c>
      <c r="I1185" s="7">
        <f>H1185*$D$3</f>
        <v/>
      </c>
      <c r="J1185" s="7" t="inlineStr">
        <is>
          <t>unité</t>
        </is>
      </c>
      <c r="K1185" s="7" t="n">
        <v>0</v>
      </c>
      <c r="L1185" s="7">
        <f>K1185-I1185</f>
        <v/>
      </c>
      <c r="M1185" s="7">
        <f>IF(K1185&lt;I1185,"✕ INSUFFISANT",IF(K1185&lt;I1185*1.2,"⚠ STOCK FAIBLE","✓ COUVERT"))</f>
        <v/>
      </c>
      <c r="N1185" s="7" t="inlineStr">
        <is>
          <t>FAU</t>
        </is>
      </c>
      <c r="O1185" s="7" t="inlineStr">
        <is>
          <t>STANDARD</t>
        </is>
      </c>
      <c r="P1185" s="7" t="inlineStr">
        <is>
          <t>31/08/2026 02:59</t>
        </is>
      </c>
    </row>
    <row r="1186">
      <c r="A1186" s="8" t="inlineStr">
        <is>
          <t>WHAP 8x8</t>
        </is>
      </c>
      <c r="B1186" s="8" t="inlineStr">
        <is>
          <t>WHAP-1182</t>
        </is>
      </c>
      <c r="C1186" s="8" t="inlineStr">
        <is>
          <t>POR-1182</t>
        </is>
      </c>
      <c r="D1186" s="8" t="inlineStr">
        <is>
          <t>porte conducteur — chef de bord</t>
        </is>
      </c>
      <c r="E1186" s="8" t="inlineStr">
        <is>
          <t>Portes et trappes</t>
        </is>
      </c>
      <c r="F1186" s="8" t="inlineStr">
        <is>
          <t>Portes et trappes</t>
        </is>
      </c>
      <c r="G1186" s="8" t="inlineStr">
        <is>
          <t>PIECE_VEHICULE</t>
        </is>
      </c>
      <c r="H1186" s="8" t="n">
        <v>1</v>
      </c>
      <c r="I1186" s="8">
        <f>H1186*$D$3</f>
        <v/>
      </c>
      <c r="J1186" s="8" t="inlineStr">
        <is>
          <t>unité</t>
        </is>
      </c>
      <c r="K1186" s="8" t="n">
        <v>0</v>
      </c>
      <c r="L1186" s="8">
        <f>K1186-I1186</f>
        <v/>
      </c>
      <c r="M1186" s="8">
        <f>IF(K1186&lt;I1186,"✕ INSUFFISANT",IF(K1186&lt;I1186*1.2,"⚠ STOCK FAIBLE","✓ COUVERT"))</f>
        <v/>
      </c>
      <c r="N1186" s="8" t="inlineStr">
        <is>
          <t>CTL</t>
        </is>
      </c>
      <c r="O1186" s="8" t="inlineStr">
        <is>
          <t>STANDARD</t>
        </is>
      </c>
      <c r="P1186" s="8" t="inlineStr">
        <is>
          <t>31/08/2026 02:59</t>
        </is>
      </c>
    </row>
    <row r="1187">
      <c r="A1187" s="7" t="inlineStr">
        <is>
          <t>WHAP 8x8</t>
        </is>
      </c>
      <c r="B1187" s="7" t="inlineStr">
        <is>
          <t>WHAP-1183</t>
        </is>
      </c>
      <c r="C1187" s="7" t="inlineStr">
        <is>
          <t>POR-1183</t>
        </is>
      </c>
      <c r="D1187" s="7" t="inlineStr">
        <is>
          <t>porte équipage — chef de bord</t>
        </is>
      </c>
      <c r="E1187" s="7" t="inlineStr">
        <is>
          <t>Portes et trappes</t>
        </is>
      </c>
      <c r="F1187" s="7" t="inlineStr">
        <is>
          <t>Portes et trappes</t>
        </is>
      </c>
      <c r="G1187" s="7" t="inlineStr">
        <is>
          <t>PIECE_VEHICULE</t>
        </is>
      </c>
      <c r="H1187" s="7" t="n">
        <v>1</v>
      </c>
      <c r="I1187" s="7">
        <f>H1187*$D$3</f>
        <v/>
      </c>
      <c r="J1187" s="7" t="inlineStr">
        <is>
          <t>unité</t>
        </is>
      </c>
      <c r="K1187" s="7" t="n">
        <v>0</v>
      </c>
      <c r="L1187" s="7">
        <f>K1187-I1187</f>
        <v/>
      </c>
      <c r="M1187" s="7">
        <f>IF(K1187&lt;I1187,"✕ INSUFFISANT",IF(K1187&lt;I1187*1.2,"⚠ STOCK FAIBLE","✓ COUVERT"))</f>
        <v/>
      </c>
      <c r="N1187" s="7" t="inlineStr">
        <is>
          <t>BOS</t>
        </is>
      </c>
      <c r="O1187" s="7" t="inlineStr">
        <is>
          <t>STANDARD</t>
        </is>
      </c>
      <c r="P1187" s="7" t="inlineStr">
        <is>
          <t>31/08/2026 02:59</t>
        </is>
      </c>
    </row>
    <row r="1188">
      <c r="A1188" s="8" t="inlineStr">
        <is>
          <t>WHAP 8x8</t>
        </is>
      </c>
      <c r="B1188" s="8" t="inlineStr">
        <is>
          <t>WHAP-1184</t>
        </is>
      </c>
      <c r="C1188" s="8" t="inlineStr">
        <is>
          <t>POR-1184</t>
        </is>
      </c>
      <c r="D1188" s="8" t="inlineStr">
        <is>
          <t>porte arrière — chef de bord</t>
        </is>
      </c>
      <c r="E1188" s="8" t="inlineStr">
        <is>
          <t>Portes et trappes</t>
        </is>
      </c>
      <c r="F1188" s="8" t="inlineStr">
        <is>
          <t>Portes et trappes</t>
        </is>
      </c>
      <c r="G1188" s="8" t="inlineStr">
        <is>
          <t>PIECE_VEHICULE</t>
        </is>
      </c>
      <c r="H1188" s="8" t="n">
        <v>1</v>
      </c>
      <c r="I1188" s="8">
        <f>H1188*$D$3</f>
        <v/>
      </c>
      <c r="J1188" s="8" t="inlineStr">
        <is>
          <t>unité</t>
        </is>
      </c>
      <c r="K1188" s="8" t="n">
        <v>0</v>
      </c>
      <c r="L1188" s="8">
        <f>K1188-I1188</f>
        <v/>
      </c>
      <c r="M1188" s="8">
        <f>IF(K1188&lt;I1188,"✕ INSUFFISANT",IF(K1188&lt;I1188*1.2,"⚠ STOCK FAIBLE","✓ COUVERT"))</f>
        <v/>
      </c>
      <c r="N1188" s="8" t="inlineStr">
        <is>
          <t>VAL</t>
        </is>
      </c>
      <c r="O1188" s="8" t="inlineStr">
        <is>
          <t>STANDARD</t>
        </is>
      </c>
      <c r="P1188" s="8" t="inlineStr">
        <is>
          <t>31/08/2026 02:59</t>
        </is>
      </c>
    </row>
    <row r="1189">
      <c r="A1189" s="7" t="inlineStr">
        <is>
          <t>WHAP 8x8</t>
        </is>
      </c>
      <c r="B1189" s="7" t="inlineStr">
        <is>
          <t>WHAP-1185</t>
        </is>
      </c>
      <c r="C1189" s="7" t="inlineStr">
        <is>
          <t>POR-1185</t>
        </is>
      </c>
      <c r="D1189" s="7" t="inlineStr">
        <is>
          <t>trappe supérieure — chef de bord</t>
        </is>
      </c>
      <c r="E1189" s="7" t="inlineStr">
        <is>
          <t>Portes et trappes</t>
        </is>
      </c>
      <c r="F1189" s="7" t="inlineStr">
        <is>
          <t>Portes et trappes</t>
        </is>
      </c>
      <c r="G1189" s="7" t="inlineStr">
        <is>
          <t>PIECE_VEHICULE</t>
        </is>
      </c>
      <c r="H1189" s="7" t="n">
        <v>1</v>
      </c>
      <c r="I1189" s="7">
        <f>H1189*$D$3</f>
        <v/>
      </c>
      <c r="J1189" s="7" t="inlineStr">
        <is>
          <t>unité</t>
        </is>
      </c>
      <c r="K1189" s="7" t="n">
        <v>0</v>
      </c>
      <c r="L1189" s="7">
        <f>K1189-I1189</f>
        <v/>
      </c>
      <c r="M1189" s="7">
        <f>IF(K1189&lt;I1189,"✕ INSUFFISANT",IF(K1189&lt;I1189*1.2,"⚠ STOCK FAIBLE","✓ COUVERT"))</f>
        <v/>
      </c>
      <c r="N1189" s="7" t="inlineStr">
        <is>
          <t>DEL</t>
        </is>
      </c>
      <c r="O1189" s="7" t="inlineStr">
        <is>
          <t>STANDARD</t>
        </is>
      </c>
      <c r="P1189" s="7" t="inlineStr">
        <is>
          <t>31/08/2026 02:59</t>
        </is>
      </c>
    </row>
    <row r="1190">
      <c r="A1190" s="8" t="inlineStr">
        <is>
          <t>WHAP 8x8</t>
        </is>
      </c>
      <c r="B1190" s="8" t="inlineStr">
        <is>
          <t>WHAP-1186</t>
        </is>
      </c>
      <c r="C1190" s="8" t="inlineStr">
        <is>
          <t>POR-1186</t>
        </is>
      </c>
      <c r="D1190" s="8" t="inlineStr">
        <is>
          <t>trappe latérale — chef de bord</t>
        </is>
      </c>
      <c r="E1190" s="8" t="inlineStr">
        <is>
          <t>Portes et trappes</t>
        </is>
      </c>
      <c r="F1190" s="8" t="inlineStr">
        <is>
          <t>Portes et trappes</t>
        </is>
      </c>
      <c r="G1190" s="8" t="inlineStr">
        <is>
          <t>PIECE_VEHICULE</t>
        </is>
      </c>
      <c r="H1190" s="8" t="n">
        <v>1</v>
      </c>
      <c r="I1190" s="8">
        <f>H1190*$D$3</f>
        <v/>
      </c>
      <c r="J1190" s="8" t="inlineStr">
        <is>
          <t>unité</t>
        </is>
      </c>
      <c r="K1190" s="8" t="n">
        <v>0</v>
      </c>
      <c r="L1190" s="8">
        <f>K1190-I1190</f>
        <v/>
      </c>
      <c r="M1190" s="8">
        <f>IF(K1190&lt;I1190,"✕ INSUFFISANT",IF(K1190&lt;I1190*1.2,"⚠ STOCK FAIBLE","✓ COUVERT"))</f>
        <v/>
      </c>
      <c r="N1190" s="8" t="inlineStr">
        <is>
          <t>SUM</t>
        </is>
      </c>
      <c r="O1190" s="8" t="inlineStr">
        <is>
          <t>STANDARD</t>
        </is>
      </c>
      <c r="P1190" s="8" t="inlineStr">
        <is>
          <t>31/08/2026 02:59</t>
        </is>
      </c>
    </row>
    <row r="1191">
      <c r="A1191" s="7" t="inlineStr">
        <is>
          <t>WHAP 8x8</t>
        </is>
      </c>
      <c r="B1191" s="7" t="inlineStr">
        <is>
          <t>WHAP-1187</t>
        </is>
      </c>
      <c r="C1191" s="7" t="inlineStr">
        <is>
          <t>POR-1187</t>
        </is>
      </c>
      <c r="D1191" s="7" t="inlineStr">
        <is>
          <t>trappe moteur — chef de bord</t>
        </is>
      </c>
      <c r="E1191" s="7" t="inlineStr">
        <is>
          <t>Portes et trappes</t>
        </is>
      </c>
      <c r="F1191" s="7" t="inlineStr">
        <is>
          <t>Portes et trappes</t>
        </is>
      </c>
      <c r="G1191" s="7" t="inlineStr">
        <is>
          <t>PIECE_VEHICULE</t>
        </is>
      </c>
      <c r="H1191" s="7" t="n">
        <v>1</v>
      </c>
      <c r="I1191" s="7">
        <f>H1191*$D$3</f>
        <v/>
      </c>
      <c r="J1191" s="7" t="inlineStr">
        <is>
          <t>unité</t>
        </is>
      </c>
      <c r="K1191" s="7" t="n">
        <v>0</v>
      </c>
      <c r="L1191" s="7">
        <f>K1191-I1191</f>
        <v/>
      </c>
      <c r="M1191" s="7">
        <f>IF(K1191&lt;I1191,"✕ INSUFFISANT",IF(K1191&lt;I1191*1.2,"⚠ STOCK FAIBLE","✓ COUVERT"))</f>
        <v/>
      </c>
      <c r="N1191" s="7" t="inlineStr">
        <is>
          <t>SKF</t>
        </is>
      </c>
      <c r="O1191" s="7" t="inlineStr">
        <is>
          <t>STANDARD</t>
        </is>
      </c>
      <c r="P1191" s="7" t="inlineStr">
        <is>
          <t>31/08/2026 02:59</t>
        </is>
      </c>
    </row>
    <row r="1192">
      <c r="A1192" s="8" t="inlineStr">
        <is>
          <t>WHAP 8x8</t>
        </is>
      </c>
      <c r="B1192" s="8" t="inlineStr">
        <is>
          <t>WHAP-1188</t>
        </is>
      </c>
      <c r="C1192" s="8" t="inlineStr">
        <is>
          <t>POR-1188</t>
        </is>
      </c>
      <c r="D1192" s="8" t="inlineStr">
        <is>
          <t>charnière — chef de bord</t>
        </is>
      </c>
      <c r="E1192" s="8" t="inlineStr">
        <is>
          <t>Portes et trappes</t>
        </is>
      </c>
      <c r="F1192" s="8" t="inlineStr">
        <is>
          <t>Portes et trappes</t>
        </is>
      </c>
      <c r="G1192" s="8" t="inlineStr">
        <is>
          <t>PIECE_VEHICULE</t>
        </is>
      </c>
      <c r="H1192" s="8" t="n">
        <v>1</v>
      </c>
      <c r="I1192" s="8">
        <f>H1192*$D$3</f>
        <v/>
      </c>
      <c r="J1192" s="8" t="inlineStr">
        <is>
          <t>unité</t>
        </is>
      </c>
      <c r="K1192" s="8" t="n">
        <v>0</v>
      </c>
      <c r="L1192" s="8">
        <f>K1192-I1192</f>
        <v/>
      </c>
      <c r="M1192" s="8">
        <f>IF(K1192&lt;I1192,"✕ INSUFFISANT",IF(K1192&lt;I1192*1.2,"⚠ STOCK FAIBLE","✓ COUVERT"))</f>
        <v/>
      </c>
      <c r="N1192" s="8" t="inlineStr">
        <is>
          <t>FAU</t>
        </is>
      </c>
      <c r="O1192" s="8" t="inlineStr">
        <is>
          <t>STANDARD</t>
        </is>
      </c>
      <c r="P1192" s="8" t="inlineStr">
        <is>
          <t>31/08/2026 02:59</t>
        </is>
      </c>
    </row>
    <row r="1193">
      <c r="A1193" s="7" t="inlineStr">
        <is>
          <t>WHAP 8x8</t>
        </is>
      </c>
      <c r="B1193" s="7" t="inlineStr">
        <is>
          <t>WHAP-1189</t>
        </is>
      </c>
      <c r="C1193" s="7" t="inlineStr">
        <is>
          <t>POR-1189</t>
        </is>
      </c>
      <c r="D1193" s="7" t="inlineStr">
        <is>
          <t>serrure — chef de bord</t>
        </is>
      </c>
      <c r="E1193" s="7" t="inlineStr">
        <is>
          <t>Portes et trappes</t>
        </is>
      </c>
      <c r="F1193" s="7" t="inlineStr">
        <is>
          <t>Portes et trappes</t>
        </is>
      </c>
      <c r="G1193" s="7" t="inlineStr">
        <is>
          <t>PIECE_VEHICULE</t>
        </is>
      </c>
      <c r="H1193" s="7" t="n">
        <v>1</v>
      </c>
      <c r="I1193" s="7">
        <f>H1193*$D$3</f>
        <v/>
      </c>
      <c r="J1193" s="7" t="inlineStr">
        <is>
          <t>unité</t>
        </is>
      </c>
      <c r="K1193" s="7" t="n">
        <v>0</v>
      </c>
      <c r="L1193" s="7">
        <f>K1193-I1193</f>
        <v/>
      </c>
      <c r="M1193" s="7">
        <f>IF(K1193&lt;I1193,"✕ INSUFFISANT",IF(K1193&lt;I1193*1.2,"⚠ STOCK FAIBLE","✓ COUVERT"))</f>
        <v/>
      </c>
      <c r="N1193" s="7" t="inlineStr">
        <is>
          <t>YZK</t>
        </is>
      </c>
      <c r="O1193" s="7" t="inlineStr">
        <is>
          <t>STANDARD</t>
        </is>
      </c>
      <c r="P1193" s="7" t="inlineStr">
        <is>
          <t>31/08/2026 02:59</t>
        </is>
      </c>
    </row>
    <row r="1194">
      <c r="A1194" s="8" t="inlineStr">
        <is>
          <t>WHAP 8x8</t>
        </is>
      </c>
      <c r="B1194" s="8" t="inlineStr">
        <is>
          <t>WHAP-1190</t>
        </is>
      </c>
      <c r="C1194" s="8" t="inlineStr">
        <is>
          <t>POR-1190</t>
        </is>
      </c>
      <c r="D1194" s="8" t="inlineStr">
        <is>
          <t>loquet — chef de bord</t>
        </is>
      </c>
      <c r="E1194" s="8" t="inlineStr">
        <is>
          <t>Portes et trappes</t>
        </is>
      </c>
      <c r="F1194" s="8" t="inlineStr">
        <is>
          <t>Portes et trappes</t>
        </is>
      </c>
      <c r="G1194" s="8" t="inlineStr">
        <is>
          <t>PIECE_VEHICULE</t>
        </is>
      </c>
      <c r="H1194" s="8" t="n">
        <v>1</v>
      </c>
      <c r="I1194" s="8">
        <f>H1194*$D$3</f>
        <v/>
      </c>
      <c r="J1194" s="8" t="inlineStr">
        <is>
          <t>unité</t>
        </is>
      </c>
      <c r="K1194" s="8" t="n">
        <v>0</v>
      </c>
      <c r="L1194" s="8">
        <f>K1194-I1194</f>
        <v/>
      </c>
      <c r="M1194" s="8">
        <f>IF(K1194&lt;I1194,"✕ INSUFFISANT",IF(K1194&lt;I1194*1.2,"⚠ STOCK FAIBLE","✓ COUVERT"))</f>
        <v/>
      </c>
      <c r="N1194" s="8" t="inlineStr">
        <is>
          <t>FAU</t>
        </is>
      </c>
      <c r="O1194" s="8" t="inlineStr">
        <is>
          <t>STANDARD</t>
        </is>
      </c>
      <c r="P1194" s="8" t="inlineStr">
        <is>
          <t>31/08/2026 02:59</t>
        </is>
      </c>
    </row>
    <row r="1195">
      <c r="A1195" s="7" t="inlineStr">
        <is>
          <t>WHAP 8x8</t>
        </is>
      </c>
      <c r="B1195" s="7" t="inlineStr">
        <is>
          <t>WHAP-1191</t>
        </is>
      </c>
      <c r="C1195" s="7" t="inlineStr">
        <is>
          <t>POR-1191</t>
        </is>
      </c>
      <c r="D1195" s="7" t="inlineStr">
        <is>
          <t>verrou rotatif — chef de bord</t>
        </is>
      </c>
      <c r="E1195" s="7" t="inlineStr">
        <is>
          <t>Portes et trappes</t>
        </is>
      </c>
      <c r="F1195" s="7" t="inlineStr">
        <is>
          <t>Portes et trappes</t>
        </is>
      </c>
      <c r="G1195" s="7" t="inlineStr">
        <is>
          <t>PIECE_VEHICULE</t>
        </is>
      </c>
      <c r="H1195" s="7" t="n">
        <v>1</v>
      </c>
      <c r="I1195" s="7">
        <f>H1195*$D$3</f>
        <v/>
      </c>
      <c r="J1195" s="7" t="inlineStr">
        <is>
          <t>unité</t>
        </is>
      </c>
      <c r="K1195" s="7" t="n">
        <v>0</v>
      </c>
      <c r="L1195" s="7">
        <f>K1195-I1195</f>
        <v/>
      </c>
      <c r="M1195" s="7">
        <f>IF(K1195&lt;I1195,"✕ INSUFFISANT",IF(K1195&lt;I1195*1.2,"⚠ STOCK FAIBLE","✓ COUVERT"))</f>
        <v/>
      </c>
      <c r="N1195" s="7" t="inlineStr">
        <is>
          <t>YZK</t>
        </is>
      </c>
      <c r="O1195" s="7" t="inlineStr">
        <is>
          <t>STANDARD</t>
        </is>
      </c>
      <c r="P1195" s="7" t="inlineStr">
        <is>
          <t>31/08/2026 02:59</t>
        </is>
      </c>
    </row>
    <row r="1196">
      <c r="A1196" s="8" t="inlineStr">
        <is>
          <t>WHAP 8x8</t>
        </is>
      </c>
      <c r="B1196" s="8" t="inlineStr">
        <is>
          <t>WHAP-1192</t>
        </is>
      </c>
      <c r="C1196" s="8" t="inlineStr">
        <is>
          <t>POR-1192</t>
        </is>
      </c>
      <c r="D1196" s="8" t="inlineStr">
        <is>
          <t>poignée intérieure — chef de bord</t>
        </is>
      </c>
      <c r="E1196" s="8" t="inlineStr">
        <is>
          <t>Portes et trappes</t>
        </is>
      </c>
      <c r="F1196" s="8" t="inlineStr">
        <is>
          <t>Portes et trappes</t>
        </is>
      </c>
      <c r="G1196" s="8" t="inlineStr">
        <is>
          <t>PIECE_VEHICULE</t>
        </is>
      </c>
      <c r="H1196" s="8" t="n">
        <v>1</v>
      </c>
      <c r="I1196" s="8">
        <f>H1196*$D$3</f>
        <v/>
      </c>
      <c r="J1196" s="8" t="inlineStr">
        <is>
          <t>unité</t>
        </is>
      </c>
      <c r="K1196" s="8" t="n">
        <v>0</v>
      </c>
      <c r="L1196" s="8">
        <f>K1196-I1196</f>
        <v/>
      </c>
      <c r="M1196" s="8">
        <f>IF(K1196&lt;I1196,"✕ INSUFFISANT",IF(K1196&lt;I1196*1.2,"⚠ STOCK FAIBLE","✓ COUVERT"))</f>
        <v/>
      </c>
      <c r="N1196" s="8" t="inlineStr">
        <is>
          <t>SKF</t>
        </is>
      </c>
      <c r="O1196" s="8" t="inlineStr">
        <is>
          <t>STANDARD</t>
        </is>
      </c>
      <c r="P1196" s="8" t="inlineStr">
        <is>
          <t>31/08/2026 02:59</t>
        </is>
      </c>
    </row>
    <row r="1197">
      <c r="A1197" s="7" t="inlineStr">
        <is>
          <t>WHAP 8x8</t>
        </is>
      </c>
      <c r="B1197" s="7" t="inlineStr">
        <is>
          <t>WHAP-1193</t>
        </is>
      </c>
      <c r="C1197" s="7" t="inlineStr">
        <is>
          <t>POR-1193</t>
        </is>
      </c>
      <c r="D1197" s="7" t="inlineStr">
        <is>
          <t>poignée extérieure — chef de bord</t>
        </is>
      </c>
      <c r="E1197" s="7" t="inlineStr">
        <is>
          <t>Portes et trappes</t>
        </is>
      </c>
      <c r="F1197" s="7" t="inlineStr">
        <is>
          <t>Portes et trappes</t>
        </is>
      </c>
      <c r="G1197" s="7" t="inlineStr">
        <is>
          <t>PIECE_VEHICULE</t>
        </is>
      </c>
      <c r="H1197" s="7" t="n">
        <v>1</v>
      </c>
      <c r="I1197" s="7">
        <f>H1197*$D$3</f>
        <v/>
      </c>
      <c r="J1197" s="7" t="inlineStr">
        <is>
          <t>unité</t>
        </is>
      </c>
      <c r="K1197" s="7" t="n">
        <v>0</v>
      </c>
      <c r="L1197" s="7">
        <f>K1197-I1197</f>
        <v/>
      </c>
      <c r="M1197" s="7">
        <f>IF(K1197&lt;I1197,"✕ INSUFFISANT",IF(K1197&lt;I1197*1.2,"⚠ STOCK FAIBLE","✓ COUVERT"))</f>
        <v/>
      </c>
      <c r="N1197" s="7" t="inlineStr">
        <is>
          <t>SKF</t>
        </is>
      </c>
      <c r="O1197" s="7" t="inlineStr">
        <is>
          <t>STANDARD</t>
        </is>
      </c>
      <c r="P1197" s="7" t="inlineStr">
        <is>
          <t>31/08/2026 02:59</t>
        </is>
      </c>
    </row>
    <row r="1198">
      <c r="A1198" s="8" t="inlineStr">
        <is>
          <t>WHAP 8x8</t>
        </is>
      </c>
      <c r="B1198" s="8" t="inlineStr">
        <is>
          <t>WHAP-1194</t>
        </is>
      </c>
      <c r="C1198" s="8" t="inlineStr">
        <is>
          <t>POR-1194</t>
        </is>
      </c>
      <c r="D1198" s="8" t="inlineStr">
        <is>
          <t>câble de commande — chef de bord</t>
        </is>
      </c>
      <c r="E1198" s="8" t="inlineStr">
        <is>
          <t>Portes et trappes</t>
        </is>
      </c>
      <c r="F1198" s="8" t="inlineStr">
        <is>
          <t>Portes et trappes</t>
        </is>
      </c>
      <c r="G1198" s="8" t="inlineStr">
        <is>
          <t>PIECE_VEHICULE</t>
        </is>
      </c>
      <c r="H1198" s="8" t="n">
        <v>1</v>
      </c>
      <c r="I1198" s="8">
        <f>H1198*$D$3</f>
        <v/>
      </c>
      <c r="J1198" s="8" t="inlineStr">
        <is>
          <t>unité</t>
        </is>
      </c>
      <c r="K1198" s="8" t="n">
        <v>0</v>
      </c>
      <c r="L1198" s="8">
        <f>K1198-I1198</f>
        <v/>
      </c>
      <c r="M1198" s="8">
        <f>IF(K1198&lt;I1198,"✕ INSUFFISANT",IF(K1198&lt;I1198*1.2,"⚠ STOCK FAIBLE","✓ COUVERT"))</f>
        <v/>
      </c>
      <c r="N1198" s="8" t="inlineStr">
        <is>
          <t>HEL</t>
        </is>
      </c>
      <c r="O1198" s="8" t="inlineStr">
        <is>
          <t>STANDARD</t>
        </is>
      </c>
      <c r="P1198" s="8" t="inlineStr">
        <is>
          <t>31/08/2026 02:59</t>
        </is>
      </c>
    </row>
    <row r="1199">
      <c r="A1199" s="7" t="inlineStr">
        <is>
          <t>WHAP 8x8</t>
        </is>
      </c>
      <c r="B1199" s="7" t="inlineStr">
        <is>
          <t>WHAP-1195</t>
        </is>
      </c>
      <c r="C1199" s="7" t="inlineStr">
        <is>
          <t>POR-1195</t>
        </is>
      </c>
      <c r="D1199" s="7" t="inlineStr">
        <is>
          <t>vérin à gaz — chef de bord</t>
        </is>
      </c>
      <c r="E1199" s="7" t="inlineStr">
        <is>
          <t>Portes et trappes</t>
        </is>
      </c>
      <c r="F1199" s="7" t="inlineStr">
        <is>
          <t>Portes et trappes</t>
        </is>
      </c>
      <c r="G1199" s="7" t="inlineStr">
        <is>
          <t>PIECE_VEHICULE</t>
        </is>
      </c>
      <c r="H1199" s="7" t="n">
        <v>1</v>
      </c>
      <c r="I1199" s="7">
        <f>H1199*$D$3</f>
        <v/>
      </c>
      <c r="J1199" s="7" t="inlineStr">
        <is>
          <t>unité</t>
        </is>
      </c>
      <c r="K1199" s="7" t="n">
        <v>0</v>
      </c>
      <c r="L1199" s="7">
        <f>K1199-I1199</f>
        <v/>
      </c>
      <c r="M1199" s="7">
        <f>IF(K1199&lt;I1199,"✕ INSUFFISANT",IF(K1199&lt;I1199*1.2,"⚠ STOCK FAIBLE","✓ COUVERT"))</f>
        <v/>
      </c>
      <c r="N1199" s="7" t="inlineStr">
        <is>
          <t>FAU</t>
        </is>
      </c>
      <c r="O1199" s="7" t="inlineStr">
        <is>
          <t>STANDARD</t>
        </is>
      </c>
      <c r="P1199" s="7" t="inlineStr">
        <is>
          <t>31/08/2026 02:59</t>
        </is>
      </c>
    </row>
    <row r="1200">
      <c r="A1200" s="8" t="inlineStr">
        <is>
          <t>WHAP 8x8</t>
        </is>
      </c>
      <c r="B1200" s="8" t="inlineStr">
        <is>
          <t>WHAP-1196</t>
        </is>
      </c>
      <c r="C1200" s="8" t="inlineStr">
        <is>
          <t>POR-1196</t>
        </is>
      </c>
      <c r="D1200" s="8" t="inlineStr">
        <is>
          <t>vérin hydraulique — chef de bord</t>
        </is>
      </c>
      <c r="E1200" s="8" t="inlineStr">
        <is>
          <t>Portes et trappes</t>
        </is>
      </c>
      <c r="F1200" s="8" t="inlineStr">
        <is>
          <t>Portes et trappes</t>
        </is>
      </c>
      <c r="G1200" s="8" t="inlineStr">
        <is>
          <t>PIECE_VEHICULE</t>
        </is>
      </c>
      <c r="H1200" s="8" t="n">
        <v>1</v>
      </c>
      <c r="I1200" s="8">
        <f>H1200*$D$3</f>
        <v/>
      </c>
      <c r="J1200" s="8" t="inlineStr">
        <is>
          <t>unité</t>
        </is>
      </c>
      <c r="K1200" s="8" t="n">
        <v>0</v>
      </c>
      <c r="L1200" s="8">
        <f>K1200-I1200</f>
        <v/>
      </c>
      <c r="M1200" s="8">
        <f>IF(K1200&lt;I1200,"✕ INSUFFISANT",IF(K1200&lt;I1200*1.2,"⚠ STOCK FAIBLE","✓ COUVERT"))</f>
        <v/>
      </c>
      <c r="N1200" s="8" t="inlineStr">
        <is>
          <t>VAL</t>
        </is>
      </c>
      <c r="O1200" s="8" t="inlineStr">
        <is>
          <t>STANDARD</t>
        </is>
      </c>
      <c r="P1200" s="8" t="inlineStr">
        <is>
          <t>31/08/2026 02:59</t>
        </is>
      </c>
    </row>
    <row r="1201">
      <c r="A1201" s="7" t="inlineStr">
        <is>
          <t>WHAP 8x8</t>
        </is>
      </c>
      <c r="B1201" s="7" t="inlineStr">
        <is>
          <t>WHAP-1197</t>
        </is>
      </c>
      <c r="C1201" s="7" t="inlineStr">
        <is>
          <t>POR-1197</t>
        </is>
      </c>
      <c r="D1201" s="7" t="inlineStr">
        <is>
          <t>joint de porte — chef de bord</t>
        </is>
      </c>
      <c r="E1201" s="7" t="inlineStr">
        <is>
          <t>Portes et trappes</t>
        </is>
      </c>
      <c r="F1201" s="7" t="inlineStr">
        <is>
          <t>Portes et trappes</t>
        </is>
      </c>
      <c r="G1201" s="7" t="inlineStr">
        <is>
          <t>PIECE_VEHICULE</t>
        </is>
      </c>
      <c r="H1201" s="7" t="n">
        <v>1</v>
      </c>
      <c r="I1201" s="7">
        <f>H1201*$D$3</f>
        <v/>
      </c>
      <c r="J1201" s="7" t="inlineStr">
        <is>
          <t>unité</t>
        </is>
      </c>
      <c r="K1201" s="7" t="n">
        <v>0</v>
      </c>
      <c r="L1201" s="7">
        <f>K1201-I1201</f>
        <v/>
      </c>
      <c r="M1201" s="7">
        <f>IF(K1201&lt;I1201,"✕ INSUFFISANT",IF(K1201&lt;I1201*1.2,"⚠ STOCK FAIBLE","✓ COUVERT"))</f>
        <v/>
      </c>
      <c r="N1201" s="7" t="inlineStr">
        <is>
          <t>YZK</t>
        </is>
      </c>
      <c r="O1201" s="7" t="inlineStr">
        <is>
          <t>STANDARD</t>
        </is>
      </c>
      <c r="P1201" s="7" t="inlineStr">
        <is>
          <t>31/08/2026 02:59</t>
        </is>
      </c>
    </row>
    <row r="1202">
      <c r="A1202" s="8" t="inlineStr">
        <is>
          <t>WHAP 8x8</t>
        </is>
      </c>
      <c r="B1202" s="8" t="inlineStr">
        <is>
          <t>WHAP-1198</t>
        </is>
      </c>
      <c r="C1202" s="8" t="inlineStr">
        <is>
          <t>POR-1198</t>
        </is>
      </c>
      <c r="D1202" s="8" t="inlineStr">
        <is>
          <t>joint de trappe — chef de bord</t>
        </is>
      </c>
      <c r="E1202" s="8" t="inlineStr">
        <is>
          <t>Portes et trappes</t>
        </is>
      </c>
      <c r="F1202" s="8" t="inlineStr">
        <is>
          <t>Portes et trappes</t>
        </is>
      </c>
      <c r="G1202" s="8" t="inlineStr">
        <is>
          <t>PIECE_VEHICULE</t>
        </is>
      </c>
      <c r="H1202" s="8" t="n">
        <v>1</v>
      </c>
      <c r="I1202" s="8">
        <f>H1202*$D$3</f>
        <v/>
      </c>
      <c r="J1202" s="8" t="inlineStr">
        <is>
          <t>unité</t>
        </is>
      </c>
      <c r="K1202" s="8" t="n">
        <v>0</v>
      </c>
      <c r="L1202" s="8">
        <f>K1202-I1202</f>
        <v/>
      </c>
      <c r="M1202" s="8">
        <f>IF(K1202&lt;I1202,"✕ INSUFFISANT",IF(K1202&lt;I1202*1.2,"⚠ STOCK FAIBLE","✓ COUVERT"))</f>
        <v/>
      </c>
      <c r="N1202" s="8" t="inlineStr">
        <is>
          <t>CTL</t>
        </is>
      </c>
      <c r="O1202" s="8" t="inlineStr">
        <is>
          <t>STANDARD</t>
        </is>
      </c>
      <c r="P1202" s="8" t="inlineStr">
        <is>
          <t>31/08/2026 02:59</t>
        </is>
      </c>
    </row>
    <row r="1203">
      <c r="A1203" s="7" t="inlineStr">
        <is>
          <t>WHAP 8x8</t>
        </is>
      </c>
      <c r="B1203" s="7" t="inlineStr">
        <is>
          <t>WHAP-1199</t>
        </is>
      </c>
      <c r="C1203" s="7" t="inlineStr">
        <is>
          <t>POR-1199</t>
        </is>
      </c>
      <c r="D1203" s="7" t="inlineStr">
        <is>
          <t>vitre blindée — chef de bord</t>
        </is>
      </c>
      <c r="E1203" s="7" t="inlineStr">
        <is>
          <t>Portes et trappes</t>
        </is>
      </c>
      <c r="F1203" s="7" t="inlineStr">
        <is>
          <t>Portes et trappes</t>
        </is>
      </c>
      <c r="G1203" s="7" t="inlineStr">
        <is>
          <t>PIECE_VEHICULE</t>
        </is>
      </c>
      <c r="H1203" s="7" t="n">
        <v>1</v>
      </c>
      <c r="I1203" s="7">
        <f>H1203*$D$3</f>
        <v/>
      </c>
      <c r="J1203" s="7" t="inlineStr">
        <is>
          <t>unité</t>
        </is>
      </c>
      <c r="K1203" s="7" t="n">
        <v>0</v>
      </c>
      <c r="L1203" s="7">
        <f>K1203-I1203</f>
        <v/>
      </c>
      <c r="M1203" s="7">
        <f>IF(K1203&lt;I1203,"✕ INSUFFISANT",IF(K1203&lt;I1203*1.2,"⚠ STOCK FAIBLE","✓ COUVERT"))</f>
        <v/>
      </c>
      <c r="N1203" s="7" t="inlineStr">
        <is>
          <t>MAG</t>
        </is>
      </c>
      <c r="O1203" s="7" t="inlineStr">
        <is>
          <t>STANDARD</t>
        </is>
      </c>
      <c r="P1203" s="7" t="inlineStr">
        <is>
          <t>31/08/2026 02:59</t>
        </is>
      </c>
    </row>
    <row r="1204">
      <c r="A1204" s="8" t="inlineStr">
        <is>
          <t>WHAP 8x8</t>
        </is>
      </c>
      <c r="B1204" s="8" t="inlineStr">
        <is>
          <t>WHAP-1200</t>
        </is>
      </c>
      <c r="C1204" s="8" t="inlineStr">
        <is>
          <t>POR-1200</t>
        </is>
      </c>
      <c r="D1204" s="8" t="inlineStr">
        <is>
          <t>cadre de vitre — chef de bord</t>
        </is>
      </c>
      <c r="E1204" s="8" t="inlineStr">
        <is>
          <t>Portes et trappes</t>
        </is>
      </c>
      <c r="F1204" s="8" t="inlineStr">
        <is>
          <t>Portes et trappes</t>
        </is>
      </c>
      <c r="G1204" s="8" t="inlineStr">
        <is>
          <t>PIECE_VEHICULE</t>
        </is>
      </c>
      <c r="H1204" s="8" t="n">
        <v>1</v>
      </c>
      <c r="I1204" s="8">
        <f>H1204*$D$3</f>
        <v/>
      </c>
      <c r="J1204" s="8" t="inlineStr">
        <is>
          <t>unité</t>
        </is>
      </c>
      <c r="K1204" s="8" t="n">
        <v>0</v>
      </c>
      <c r="L1204" s="8">
        <f>K1204-I1204</f>
        <v/>
      </c>
      <c r="M1204" s="8">
        <f>IF(K1204&lt;I1204,"✕ INSUFFISANT",IF(K1204&lt;I1204*1.2,"⚠ STOCK FAIBLE","✓ COUVERT"))</f>
        <v/>
      </c>
      <c r="N1204" s="8" t="inlineStr">
        <is>
          <t>FAU</t>
        </is>
      </c>
      <c r="O1204" s="8" t="inlineStr">
        <is>
          <t>STANDARD</t>
        </is>
      </c>
      <c r="P1204" s="8" t="inlineStr">
        <is>
          <t>31/08/2026 02:59</t>
        </is>
      </c>
    </row>
    <row r="1205">
      <c r="A1205" s="7" t="inlineStr">
        <is>
          <t>WHAP 8x8</t>
        </is>
      </c>
      <c r="B1205" s="7" t="inlineStr">
        <is>
          <t>WHAP-1201</t>
        </is>
      </c>
      <c r="C1205" s="7" t="inlineStr">
        <is>
          <t>POR-1201</t>
        </is>
      </c>
      <c r="D1205" s="7" t="inlineStr">
        <is>
          <t>lève-vitre — chef de bord</t>
        </is>
      </c>
      <c r="E1205" s="7" t="inlineStr">
        <is>
          <t>Portes et trappes</t>
        </is>
      </c>
      <c r="F1205" s="7" t="inlineStr">
        <is>
          <t>Portes et trappes</t>
        </is>
      </c>
      <c r="G1205" s="7" t="inlineStr">
        <is>
          <t>PIECE_VEHICULE</t>
        </is>
      </c>
      <c r="H1205" s="7" t="n">
        <v>1</v>
      </c>
      <c r="I1205" s="7">
        <f>H1205*$D$3</f>
        <v/>
      </c>
      <c r="J1205" s="7" t="inlineStr">
        <is>
          <t>unité</t>
        </is>
      </c>
      <c r="K1205" s="7" t="n">
        <v>0</v>
      </c>
      <c r="L1205" s="7">
        <f>K1205-I1205</f>
        <v/>
      </c>
      <c r="M1205" s="7">
        <f>IF(K1205&lt;I1205,"✕ INSUFFISANT",IF(K1205&lt;I1205*1.2,"⚠ STOCK FAIBLE","✓ COUVERT"))</f>
        <v/>
      </c>
      <c r="N1205" s="7" t="inlineStr">
        <is>
          <t>DEL</t>
        </is>
      </c>
      <c r="O1205" s="7" t="inlineStr">
        <is>
          <t>STANDARD</t>
        </is>
      </c>
      <c r="P1205" s="7" t="inlineStr">
        <is>
          <t>31/08/2026 02:59</t>
        </is>
      </c>
    </row>
    <row r="1206">
      <c r="A1206" s="8" t="inlineStr">
        <is>
          <t>WHAP 8x8</t>
        </is>
      </c>
      <c r="B1206" s="8" t="inlineStr">
        <is>
          <t>WHAP-1202</t>
        </is>
      </c>
      <c r="C1206" s="8" t="inlineStr">
        <is>
          <t>POR-1202</t>
        </is>
      </c>
      <c r="D1206" s="8" t="inlineStr">
        <is>
          <t>mécanisme de vitre — chef de bord</t>
        </is>
      </c>
      <c r="E1206" s="8" t="inlineStr">
        <is>
          <t>Portes et trappes</t>
        </is>
      </c>
      <c r="F1206" s="8" t="inlineStr">
        <is>
          <t>Portes et trappes</t>
        </is>
      </c>
      <c r="G1206" s="8" t="inlineStr">
        <is>
          <t>PIECE_VEHICULE</t>
        </is>
      </c>
      <c r="H1206" s="8" t="n">
        <v>1</v>
      </c>
      <c r="I1206" s="8">
        <f>H1206*$D$3</f>
        <v/>
      </c>
      <c r="J1206" s="8" t="inlineStr">
        <is>
          <t>unité</t>
        </is>
      </c>
      <c r="K1206" s="8" t="n">
        <v>0</v>
      </c>
      <c r="L1206" s="8">
        <f>K1206-I1206</f>
        <v/>
      </c>
      <c r="M1206" s="8">
        <f>IF(K1206&lt;I1206,"✕ INSUFFISANT",IF(K1206&lt;I1206*1.2,"⚠ STOCK FAIBLE","✓ COUVERT"))</f>
        <v/>
      </c>
      <c r="N1206" s="8" t="inlineStr">
        <is>
          <t>SUM</t>
        </is>
      </c>
      <c r="O1206" s="8" t="inlineStr">
        <is>
          <t>STANDARD</t>
        </is>
      </c>
      <c r="P1206" s="8" t="inlineStr">
        <is>
          <t>31/08/2026 02:59</t>
        </is>
      </c>
    </row>
    <row r="1207">
      <c r="A1207" s="7" t="inlineStr">
        <is>
          <t>WHAP 8x8</t>
        </is>
      </c>
      <c r="B1207" s="7" t="inlineStr">
        <is>
          <t>WHAP-1203</t>
        </is>
      </c>
      <c r="C1207" s="7" t="inlineStr">
        <is>
          <t>POR-1203</t>
        </is>
      </c>
      <c r="D1207" s="7" t="inlineStr">
        <is>
          <t>butée — chef de bord</t>
        </is>
      </c>
      <c r="E1207" s="7" t="inlineStr">
        <is>
          <t>Portes et trappes</t>
        </is>
      </c>
      <c r="F1207" s="7" t="inlineStr">
        <is>
          <t>Portes et trappes</t>
        </is>
      </c>
      <c r="G1207" s="7" t="inlineStr">
        <is>
          <t>PIECE_VEHICULE</t>
        </is>
      </c>
      <c r="H1207" s="7" t="n">
        <v>1</v>
      </c>
      <c r="I1207" s="7">
        <f>H1207*$D$3</f>
        <v/>
      </c>
      <c r="J1207" s="7" t="inlineStr">
        <is>
          <t>unité</t>
        </is>
      </c>
      <c r="K1207" s="7" t="n">
        <v>0</v>
      </c>
      <c r="L1207" s="7">
        <f>K1207-I1207</f>
        <v/>
      </c>
      <c r="M1207" s="7">
        <f>IF(K1207&lt;I1207,"✕ INSUFFISANT",IF(K1207&lt;I1207*1.2,"⚠ STOCK FAIBLE","✓ COUVERT"))</f>
        <v/>
      </c>
      <c r="N1207" s="7" t="inlineStr">
        <is>
          <t>VAL</t>
        </is>
      </c>
      <c r="O1207" s="7" t="inlineStr">
        <is>
          <t>STANDARD</t>
        </is>
      </c>
      <c r="P1207" s="7" t="inlineStr">
        <is>
          <t>31/08/2026 02:59</t>
        </is>
      </c>
    </row>
    <row r="1208">
      <c r="A1208" s="8" t="inlineStr">
        <is>
          <t>WHAP 8x8</t>
        </is>
      </c>
      <c r="B1208" s="8" t="inlineStr">
        <is>
          <t>WHAP-1204</t>
        </is>
      </c>
      <c r="C1208" s="8" t="inlineStr">
        <is>
          <t>POR-1204</t>
        </is>
      </c>
      <c r="D1208" s="8" t="inlineStr">
        <is>
          <t>gâche — chef de bord</t>
        </is>
      </c>
      <c r="E1208" s="8" t="inlineStr">
        <is>
          <t>Portes et trappes</t>
        </is>
      </c>
      <c r="F1208" s="8" t="inlineStr">
        <is>
          <t>Portes et trappes</t>
        </is>
      </c>
      <c r="G1208" s="8" t="inlineStr">
        <is>
          <t>PIECE_VEHICULE</t>
        </is>
      </c>
      <c r="H1208" s="8" t="n">
        <v>1</v>
      </c>
      <c r="I1208" s="8">
        <f>H1208*$D$3</f>
        <v/>
      </c>
      <c r="J1208" s="8" t="inlineStr">
        <is>
          <t>unité</t>
        </is>
      </c>
      <c r="K1208" s="8" t="n">
        <v>0</v>
      </c>
      <c r="L1208" s="8">
        <f>K1208-I1208</f>
        <v/>
      </c>
      <c r="M1208" s="8">
        <f>IF(K1208&lt;I1208,"✕ INSUFFISANT",IF(K1208&lt;I1208*1.2,"⚠ STOCK FAIBLE","✓ COUVERT"))</f>
        <v/>
      </c>
      <c r="N1208" s="8" t="inlineStr">
        <is>
          <t>DEL</t>
        </is>
      </c>
      <c r="O1208" s="8" t="inlineStr">
        <is>
          <t>STANDARD</t>
        </is>
      </c>
      <c r="P1208" s="8" t="inlineStr">
        <is>
          <t>31/08/2026 02:59</t>
        </is>
      </c>
    </row>
    <row r="1209">
      <c r="A1209" s="7" t="inlineStr">
        <is>
          <t>WHAP 8x8</t>
        </is>
      </c>
      <c r="B1209" s="7" t="inlineStr">
        <is>
          <t>WHAP-1205</t>
        </is>
      </c>
      <c r="C1209" s="7" t="inlineStr">
        <is>
          <t>POR-1205</t>
        </is>
      </c>
      <c r="D1209" s="7" t="inlineStr">
        <is>
          <t>axe de charnière — chef de bord</t>
        </is>
      </c>
      <c r="E1209" s="7" t="inlineStr">
        <is>
          <t>Portes et trappes</t>
        </is>
      </c>
      <c r="F1209" s="7" t="inlineStr">
        <is>
          <t>Portes et trappes</t>
        </is>
      </c>
      <c r="G1209" s="7" t="inlineStr">
        <is>
          <t>PIECE_VEHICULE</t>
        </is>
      </c>
      <c r="H1209" s="7" t="n">
        <v>1</v>
      </c>
      <c r="I1209" s="7">
        <f>H1209*$D$3</f>
        <v/>
      </c>
      <c r="J1209" s="7" t="inlineStr">
        <is>
          <t>unité</t>
        </is>
      </c>
      <c r="K1209" s="7" t="n">
        <v>0</v>
      </c>
      <c r="L1209" s="7">
        <f>K1209-I1209</f>
        <v/>
      </c>
      <c r="M1209" s="7">
        <f>IF(K1209&lt;I1209,"✕ INSUFFISANT",IF(K1209&lt;I1209*1.2,"⚠ STOCK FAIBLE","✓ COUVERT"))</f>
        <v/>
      </c>
      <c r="N1209" s="7" t="inlineStr">
        <is>
          <t>SUM</t>
        </is>
      </c>
      <c r="O1209" s="7" t="inlineStr">
        <is>
          <t>STANDARD</t>
        </is>
      </c>
      <c r="P1209" s="7" t="inlineStr">
        <is>
          <t>31/08/2026 02:59</t>
        </is>
      </c>
    </row>
    <row r="1210">
      <c r="A1210" s="8" t="inlineStr">
        <is>
          <t>WHAP 8x8</t>
        </is>
      </c>
      <c r="B1210" s="8" t="inlineStr">
        <is>
          <t>WHAP-1206</t>
        </is>
      </c>
      <c r="C1210" s="8" t="inlineStr">
        <is>
          <t>POR-1206</t>
        </is>
      </c>
      <c r="D1210" s="8" t="inlineStr">
        <is>
          <t>porte conducteur — arrière gauche</t>
        </is>
      </c>
      <c r="E1210" s="8" t="inlineStr">
        <is>
          <t>Portes et trappes</t>
        </is>
      </c>
      <c r="F1210" s="8" t="inlineStr">
        <is>
          <t>Portes et trappes</t>
        </is>
      </c>
      <c r="G1210" s="8" t="inlineStr">
        <is>
          <t>PIECE_VEHICULE</t>
        </is>
      </c>
      <c r="H1210" s="8" t="n">
        <v>1</v>
      </c>
      <c r="I1210" s="8">
        <f>H1210*$D$3</f>
        <v/>
      </c>
      <c r="J1210" s="8" t="inlineStr">
        <is>
          <t>unité</t>
        </is>
      </c>
      <c r="K1210" s="8" t="n">
        <v>0</v>
      </c>
      <c r="L1210" s="8">
        <f>K1210-I1210</f>
        <v/>
      </c>
      <c r="M1210" s="8">
        <f>IF(K1210&lt;I1210,"✕ INSUFFISANT",IF(K1210&lt;I1210*1.2,"⚠ STOCK FAIBLE","✓ COUVERT"))</f>
        <v/>
      </c>
      <c r="N1210" s="8" t="inlineStr">
        <is>
          <t>FAU</t>
        </is>
      </c>
      <c r="O1210" s="8" t="inlineStr">
        <is>
          <t>STANDARD</t>
        </is>
      </c>
      <c r="P1210" s="8" t="inlineStr">
        <is>
          <t>31/08/2026 02:59</t>
        </is>
      </c>
    </row>
    <row r="1211">
      <c r="A1211" s="7" t="inlineStr">
        <is>
          <t>WHAP 8x8</t>
        </is>
      </c>
      <c r="B1211" s="7" t="inlineStr">
        <is>
          <t>WHAP-1207</t>
        </is>
      </c>
      <c r="C1211" s="7" t="inlineStr">
        <is>
          <t>POR-1207</t>
        </is>
      </c>
      <c r="D1211" s="7" t="inlineStr">
        <is>
          <t>porte équipage — arrière gauche</t>
        </is>
      </c>
      <c r="E1211" s="7" t="inlineStr">
        <is>
          <t>Portes et trappes</t>
        </is>
      </c>
      <c r="F1211" s="7" t="inlineStr">
        <is>
          <t>Portes et trappes</t>
        </is>
      </c>
      <c r="G1211" s="7" t="inlineStr">
        <is>
          <t>PIECE_VEHICULE</t>
        </is>
      </c>
      <c r="H1211" s="7" t="n">
        <v>1</v>
      </c>
      <c r="I1211" s="7">
        <f>H1211*$D$3</f>
        <v/>
      </c>
      <c r="J1211" s="7" t="inlineStr">
        <is>
          <t>unité</t>
        </is>
      </c>
      <c r="K1211" s="7" t="n">
        <v>0</v>
      </c>
      <c r="L1211" s="7">
        <f>K1211-I1211</f>
        <v/>
      </c>
      <c r="M1211" s="7">
        <f>IF(K1211&lt;I1211,"✕ INSUFFISANT",IF(K1211&lt;I1211*1.2,"⚠ STOCK FAIBLE","✓ COUVERT"))</f>
        <v/>
      </c>
      <c r="N1211" s="7" t="inlineStr">
        <is>
          <t>VAL</t>
        </is>
      </c>
      <c r="O1211" s="7" t="inlineStr">
        <is>
          <t>STANDARD</t>
        </is>
      </c>
      <c r="P1211" s="7" t="inlineStr">
        <is>
          <t>31/08/2026 02:59</t>
        </is>
      </c>
    </row>
    <row r="1212">
      <c r="A1212" s="8" t="inlineStr">
        <is>
          <t>WHAP 8x8</t>
        </is>
      </c>
      <c r="B1212" s="8" t="inlineStr">
        <is>
          <t>WHAP-1208</t>
        </is>
      </c>
      <c r="C1212" s="8" t="inlineStr">
        <is>
          <t>POR-1208</t>
        </is>
      </c>
      <c r="D1212" s="8" t="inlineStr">
        <is>
          <t>porte arrière — arrière gauche</t>
        </is>
      </c>
      <c r="E1212" s="8" t="inlineStr">
        <is>
          <t>Portes et trappes</t>
        </is>
      </c>
      <c r="F1212" s="8" t="inlineStr">
        <is>
          <t>Portes et trappes</t>
        </is>
      </c>
      <c r="G1212" s="8" t="inlineStr">
        <is>
          <t>PIECE_VEHICULE</t>
        </is>
      </c>
      <c r="H1212" s="8" t="n">
        <v>1</v>
      </c>
      <c r="I1212" s="8">
        <f>H1212*$D$3</f>
        <v/>
      </c>
      <c r="J1212" s="8" t="inlineStr">
        <is>
          <t>unité</t>
        </is>
      </c>
      <c r="K1212" s="8" t="n">
        <v>0</v>
      </c>
      <c r="L1212" s="8">
        <f>K1212-I1212</f>
        <v/>
      </c>
      <c r="M1212" s="8">
        <f>IF(K1212&lt;I1212,"✕ INSUFFISANT",IF(K1212&lt;I1212*1.2,"⚠ STOCK FAIBLE","✓ COUVERT"))</f>
        <v/>
      </c>
      <c r="N1212" s="8" t="inlineStr">
        <is>
          <t>FAU</t>
        </is>
      </c>
      <c r="O1212" s="8" t="inlineStr">
        <is>
          <t>STANDARD</t>
        </is>
      </c>
      <c r="P1212" s="8" t="inlineStr">
        <is>
          <t>31/08/2026 02:59</t>
        </is>
      </c>
    </row>
    <row r="1213">
      <c r="A1213" s="7" t="inlineStr">
        <is>
          <t>WHAP 8x8</t>
        </is>
      </c>
      <c r="B1213" s="7" t="inlineStr">
        <is>
          <t>WHAP-1209</t>
        </is>
      </c>
      <c r="C1213" s="7" t="inlineStr">
        <is>
          <t>POR-1209</t>
        </is>
      </c>
      <c r="D1213" s="7" t="inlineStr">
        <is>
          <t>trappe supérieure — arrière gauche</t>
        </is>
      </c>
      <c r="E1213" s="7" t="inlineStr">
        <is>
          <t>Portes et trappes</t>
        </is>
      </c>
      <c r="F1213" s="7" t="inlineStr">
        <is>
          <t>Portes et trappes</t>
        </is>
      </c>
      <c r="G1213" s="7" t="inlineStr">
        <is>
          <t>PIECE_VEHICULE</t>
        </is>
      </c>
      <c r="H1213" s="7" t="n">
        <v>1</v>
      </c>
      <c r="I1213" s="7">
        <f>H1213*$D$3</f>
        <v/>
      </c>
      <c r="J1213" s="7" t="inlineStr">
        <is>
          <t>unité</t>
        </is>
      </c>
      <c r="K1213" s="7" t="n">
        <v>0</v>
      </c>
      <c r="L1213" s="7">
        <f>K1213-I1213</f>
        <v/>
      </c>
      <c r="M1213" s="7">
        <f>IF(K1213&lt;I1213,"✕ INSUFFISANT",IF(K1213&lt;I1213*1.2,"⚠ STOCK FAIBLE","✓ COUVERT"))</f>
        <v/>
      </c>
      <c r="N1213" s="7" t="inlineStr">
        <is>
          <t>DEL</t>
        </is>
      </c>
      <c r="O1213" s="7" t="inlineStr">
        <is>
          <t>STANDARD</t>
        </is>
      </c>
      <c r="P1213" s="7" t="inlineStr">
        <is>
          <t>31/08/2026 02:59</t>
        </is>
      </c>
    </row>
    <row r="1214">
      <c r="A1214" s="8" t="inlineStr">
        <is>
          <t>WHAP 8x8</t>
        </is>
      </c>
      <c r="B1214" s="8" t="inlineStr">
        <is>
          <t>WHAP-1210</t>
        </is>
      </c>
      <c r="C1214" s="8" t="inlineStr">
        <is>
          <t>POR-1210</t>
        </is>
      </c>
      <c r="D1214" s="8" t="inlineStr">
        <is>
          <t>trappe latérale — arrière gauche</t>
        </is>
      </c>
      <c r="E1214" s="8" t="inlineStr">
        <is>
          <t>Portes et trappes</t>
        </is>
      </c>
      <c r="F1214" s="8" t="inlineStr">
        <is>
          <t>Portes et trappes</t>
        </is>
      </c>
      <c r="G1214" s="8" t="inlineStr">
        <is>
          <t>PIECE_VEHICULE</t>
        </is>
      </c>
      <c r="H1214" s="8" t="n">
        <v>1</v>
      </c>
      <c r="I1214" s="8">
        <f>H1214*$D$3</f>
        <v/>
      </c>
      <c r="J1214" s="8" t="inlineStr">
        <is>
          <t>unité</t>
        </is>
      </c>
      <c r="K1214" s="8" t="n">
        <v>0</v>
      </c>
      <c r="L1214" s="8">
        <f>K1214-I1214</f>
        <v/>
      </c>
      <c r="M1214" s="8">
        <f>IF(K1214&lt;I1214,"✕ INSUFFISANT",IF(K1214&lt;I1214*1.2,"⚠ STOCK FAIBLE","✓ COUVERT"))</f>
        <v/>
      </c>
      <c r="N1214" s="8" t="inlineStr">
        <is>
          <t>CTL</t>
        </is>
      </c>
      <c r="O1214" s="8" t="inlineStr">
        <is>
          <t>STANDARD</t>
        </is>
      </c>
      <c r="P1214" s="8" t="inlineStr">
        <is>
          <t>31/08/2026 02:59</t>
        </is>
      </c>
    </row>
    <row r="1215">
      <c r="A1215" s="7" t="inlineStr">
        <is>
          <t>WHAP 8x8</t>
        </is>
      </c>
      <c r="B1215" s="7" t="inlineStr">
        <is>
          <t>WHAP-1211</t>
        </is>
      </c>
      <c r="C1215" s="7" t="inlineStr">
        <is>
          <t>POR-1211</t>
        </is>
      </c>
      <c r="D1215" s="7" t="inlineStr">
        <is>
          <t>trappe moteur — arrière gauche</t>
        </is>
      </c>
      <c r="E1215" s="7" t="inlineStr">
        <is>
          <t>Portes et trappes</t>
        </is>
      </c>
      <c r="F1215" s="7" t="inlineStr">
        <is>
          <t>Portes et trappes</t>
        </is>
      </c>
      <c r="G1215" s="7" t="inlineStr">
        <is>
          <t>PIECE_VEHICULE</t>
        </is>
      </c>
      <c r="H1215" s="7" t="n">
        <v>1</v>
      </c>
      <c r="I1215" s="7">
        <f>H1215*$D$3</f>
        <v/>
      </c>
      <c r="J1215" s="7" t="inlineStr">
        <is>
          <t>unité</t>
        </is>
      </c>
      <c r="K1215" s="7" t="n">
        <v>0</v>
      </c>
      <c r="L1215" s="7">
        <f>K1215-I1215</f>
        <v/>
      </c>
      <c r="M1215" s="7">
        <f>IF(K1215&lt;I1215,"✕ INSUFFISANT",IF(K1215&lt;I1215*1.2,"⚠ STOCK FAIBLE","✓ COUVERT"))</f>
        <v/>
      </c>
      <c r="N1215" s="7" t="inlineStr">
        <is>
          <t>HEL</t>
        </is>
      </c>
      <c r="O1215" s="7" t="inlineStr">
        <is>
          <t>STANDARD</t>
        </is>
      </c>
      <c r="P1215" s="7" t="inlineStr">
        <is>
          <t>31/08/2026 02:59</t>
        </is>
      </c>
    </row>
    <row r="1216">
      <c r="A1216" s="8" t="inlineStr">
        <is>
          <t>WHAP 8x8</t>
        </is>
      </c>
      <c r="B1216" s="8" t="inlineStr">
        <is>
          <t>WHAP-1212</t>
        </is>
      </c>
      <c r="C1216" s="8" t="inlineStr">
        <is>
          <t>POR-1212</t>
        </is>
      </c>
      <c r="D1216" s="8" t="inlineStr">
        <is>
          <t>charnière — arrière gauche</t>
        </is>
      </c>
      <c r="E1216" s="8" t="inlineStr">
        <is>
          <t>Portes et trappes</t>
        </is>
      </c>
      <c r="F1216" s="8" t="inlineStr">
        <is>
          <t>Portes et trappes</t>
        </is>
      </c>
      <c r="G1216" s="8" t="inlineStr">
        <is>
          <t>PIECE_VEHICULE</t>
        </is>
      </c>
      <c r="H1216" s="8" t="n">
        <v>1</v>
      </c>
      <c r="I1216" s="8">
        <f>H1216*$D$3</f>
        <v/>
      </c>
      <c r="J1216" s="8" t="inlineStr">
        <is>
          <t>unité</t>
        </is>
      </c>
      <c r="K1216" s="8" t="n">
        <v>0</v>
      </c>
      <c r="L1216" s="8">
        <f>K1216-I1216</f>
        <v/>
      </c>
      <c r="M1216" s="8">
        <f>IF(K1216&lt;I1216,"✕ INSUFFISANT",IF(K1216&lt;I1216*1.2,"⚠ STOCK FAIBLE","✓ COUVERT"))</f>
        <v/>
      </c>
      <c r="N1216" s="8" t="inlineStr">
        <is>
          <t>FAU</t>
        </is>
      </c>
      <c r="O1216" s="8" t="inlineStr">
        <is>
          <t>STANDARD</t>
        </is>
      </c>
      <c r="P1216" s="8" t="inlineStr">
        <is>
          <t>31/08/2026 02:59</t>
        </is>
      </c>
    </row>
    <row r="1217">
      <c r="A1217" s="7" t="inlineStr">
        <is>
          <t>WHAP 8x8</t>
        </is>
      </c>
      <c r="B1217" s="7" t="inlineStr">
        <is>
          <t>WHAP-1213</t>
        </is>
      </c>
      <c r="C1217" s="7" t="inlineStr">
        <is>
          <t>POR-1213</t>
        </is>
      </c>
      <c r="D1217" s="7" t="inlineStr">
        <is>
          <t>serrure — arrière gauche</t>
        </is>
      </c>
      <c r="E1217" s="7" t="inlineStr">
        <is>
          <t>Portes et trappes</t>
        </is>
      </c>
      <c r="F1217" s="7" t="inlineStr">
        <is>
          <t>Portes et trappes</t>
        </is>
      </c>
      <c r="G1217" s="7" t="inlineStr">
        <is>
          <t>PIECE_VEHICULE</t>
        </is>
      </c>
      <c r="H1217" s="7" t="n">
        <v>1</v>
      </c>
      <c r="I1217" s="7">
        <f>H1217*$D$3</f>
        <v/>
      </c>
      <c r="J1217" s="7" t="inlineStr">
        <is>
          <t>unité</t>
        </is>
      </c>
      <c r="K1217" s="7" t="n">
        <v>0</v>
      </c>
      <c r="L1217" s="7">
        <f>K1217-I1217</f>
        <v/>
      </c>
      <c r="M1217" s="7">
        <f>IF(K1217&lt;I1217,"✕ INSUFFISANT",IF(K1217&lt;I1217*1.2,"⚠ STOCK FAIBLE","✓ COUVERT"))</f>
        <v/>
      </c>
      <c r="N1217" s="7" t="inlineStr">
        <is>
          <t>BOS</t>
        </is>
      </c>
      <c r="O1217" s="7" t="inlineStr">
        <is>
          <t>STANDARD</t>
        </is>
      </c>
      <c r="P1217" s="7" t="inlineStr">
        <is>
          <t>31/08/2026 02:59</t>
        </is>
      </c>
    </row>
    <row r="1218">
      <c r="A1218" s="8" t="inlineStr">
        <is>
          <t>WHAP 8x8</t>
        </is>
      </c>
      <c r="B1218" s="8" t="inlineStr">
        <is>
          <t>WHAP-1214</t>
        </is>
      </c>
      <c r="C1218" s="8" t="inlineStr">
        <is>
          <t>POR-1214</t>
        </is>
      </c>
      <c r="D1218" s="8" t="inlineStr">
        <is>
          <t>loquet — arrière gauche</t>
        </is>
      </c>
      <c r="E1218" s="8" t="inlineStr">
        <is>
          <t>Portes et trappes</t>
        </is>
      </c>
      <c r="F1218" s="8" t="inlineStr">
        <is>
          <t>Portes et trappes</t>
        </is>
      </c>
      <c r="G1218" s="8" t="inlineStr">
        <is>
          <t>PIECE_VEHICULE</t>
        </is>
      </c>
      <c r="H1218" s="8" t="n">
        <v>1</v>
      </c>
      <c r="I1218" s="8">
        <f>H1218*$D$3</f>
        <v/>
      </c>
      <c r="J1218" s="8" t="inlineStr">
        <is>
          <t>unité</t>
        </is>
      </c>
      <c r="K1218" s="8" t="n">
        <v>0</v>
      </c>
      <c r="L1218" s="8">
        <f>K1218-I1218</f>
        <v/>
      </c>
      <c r="M1218" s="8">
        <f>IF(K1218&lt;I1218,"✕ INSUFFISANT",IF(K1218&lt;I1218*1.2,"⚠ STOCK FAIBLE","✓ COUVERT"))</f>
        <v/>
      </c>
      <c r="N1218" s="8" t="inlineStr">
        <is>
          <t>FAU</t>
        </is>
      </c>
      <c r="O1218" s="8" t="inlineStr">
        <is>
          <t>STANDARD</t>
        </is>
      </c>
      <c r="P1218" s="8" t="inlineStr">
        <is>
          <t>31/08/2026 02:59</t>
        </is>
      </c>
    </row>
    <row r="1219">
      <c r="A1219" s="7" t="inlineStr">
        <is>
          <t>WHAP 8x8</t>
        </is>
      </c>
      <c r="B1219" s="7" t="inlineStr">
        <is>
          <t>WHAP-1215</t>
        </is>
      </c>
      <c r="C1219" s="7" t="inlineStr">
        <is>
          <t>POR-1215</t>
        </is>
      </c>
      <c r="D1219" s="7" t="inlineStr">
        <is>
          <t>verrou rotatif — arrière gauche</t>
        </is>
      </c>
      <c r="E1219" s="7" t="inlineStr">
        <is>
          <t>Portes et trappes</t>
        </is>
      </c>
      <c r="F1219" s="7" t="inlineStr">
        <is>
          <t>Portes et trappes</t>
        </is>
      </c>
      <c r="G1219" s="7" t="inlineStr">
        <is>
          <t>PIECE_VEHICULE</t>
        </is>
      </c>
      <c r="H1219" s="7" t="n">
        <v>1</v>
      </c>
      <c r="I1219" s="7">
        <f>H1219*$D$3</f>
        <v/>
      </c>
      <c r="J1219" s="7" t="inlineStr">
        <is>
          <t>unité</t>
        </is>
      </c>
      <c r="K1219" s="7" t="n">
        <v>0</v>
      </c>
      <c r="L1219" s="7">
        <f>K1219-I1219</f>
        <v/>
      </c>
      <c r="M1219" s="7">
        <f>IF(K1219&lt;I1219,"✕ INSUFFISANT",IF(K1219&lt;I1219*1.2,"⚠ STOCK FAIBLE","✓ COUVERT"))</f>
        <v/>
      </c>
      <c r="N1219" s="7" t="inlineStr">
        <is>
          <t>HEL</t>
        </is>
      </c>
      <c r="O1219" s="7" t="inlineStr">
        <is>
          <t>STANDARD</t>
        </is>
      </c>
      <c r="P1219" s="7" t="inlineStr">
        <is>
          <t>31/08/2026 02:59</t>
        </is>
      </c>
    </row>
    <row r="1220">
      <c r="A1220" s="8" t="inlineStr">
        <is>
          <t>WHAP 8x8</t>
        </is>
      </c>
      <c r="B1220" s="8" t="inlineStr">
        <is>
          <t>WHAP-1216</t>
        </is>
      </c>
      <c r="C1220" s="8" t="inlineStr">
        <is>
          <t>POR-1216</t>
        </is>
      </c>
      <c r="D1220" s="8" t="inlineStr">
        <is>
          <t>poignée intérieure — arrière gauche</t>
        </is>
      </c>
      <c r="E1220" s="8" t="inlineStr">
        <is>
          <t>Portes et trappes</t>
        </is>
      </c>
      <c r="F1220" s="8" t="inlineStr">
        <is>
          <t>Portes et trappes</t>
        </is>
      </c>
      <c r="G1220" s="8" t="inlineStr">
        <is>
          <t>PIECE_VEHICULE</t>
        </is>
      </c>
      <c r="H1220" s="8" t="n">
        <v>1</v>
      </c>
      <c r="I1220" s="8">
        <f>H1220*$D$3</f>
        <v/>
      </c>
      <c r="J1220" s="8" t="inlineStr">
        <is>
          <t>unité</t>
        </is>
      </c>
      <c r="K1220" s="8" t="n">
        <v>0</v>
      </c>
      <c r="L1220" s="8">
        <f>K1220-I1220</f>
        <v/>
      </c>
      <c r="M1220" s="8">
        <f>IF(K1220&lt;I1220,"✕ INSUFFISANT",IF(K1220&lt;I1220*1.2,"⚠ STOCK FAIBLE","✓ COUVERT"))</f>
        <v/>
      </c>
      <c r="N1220" s="8" t="inlineStr">
        <is>
          <t>VAL</t>
        </is>
      </c>
      <c r="O1220" s="8" t="inlineStr">
        <is>
          <t>STANDARD</t>
        </is>
      </c>
      <c r="P1220" s="8" t="inlineStr">
        <is>
          <t>31/08/2026 02:59</t>
        </is>
      </c>
    </row>
    <row r="1221">
      <c r="A1221" s="7" t="inlineStr">
        <is>
          <t>WHAP 8x8</t>
        </is>
      </c>
      <c r="B1221" s="7" t="inlineStr">
        <is>
          <t>WHAP-1217</t>
        </is>
      </c>
      <c r="C1221" s="7" t="inlineStr">
        <is>
          <t>POR-1217</t>
        </is>
      </c>
      <c r="D1221" s="7" t="inlineStr">
        <is>
          <t>poignée extérieure — arrière gauche</t>
        </is>
      </c>
      <c r="E1221" s="7" t="inlineStr">
        <is>
          <t>Portes et trappes</t>
        </is>
      </c>
      <c r="F1221" s="7" t="inlineStr">
        <is>
          <t>Portes et trappes</t>
        </is>
      </c>
      <c r="G1221" s="7" t="inlineStr">
        <is>
          <t>PIECE_VEHICULE</t>
        </is>
      </c>
      <c r="H1221" s="7" t="n">
        <v>1</v>
      </c>
      <c r="I1221" s="7">
        <f>H1221*$D$3</f>
        <v/>
      </c>
      <c r="J1221" s="7" t="inlineStr">
        <is>
          <t>unité</t>
        </is>
      </c>
      <c r="K1221" s="7" t="n">
        <v>0</v>
      </c>
      <c r="L1221" s="7">
        <f>K1221-I1221</f>
        <v/>
      </c>
      <c r="M1221" s="7">
        <f>IF(K1221&lt;I1221,"✕ INSUFFISANT",IF(K1221&lt;I1221*1.2,"⚠ STOCK FAIBLE","✓ COUVERT"))</f>
        <v/>
      </c>
      <c r="N1221" s="7" t="inlineStr">
        <is>
          <t>YZK</t>
        </is>
      </c>
      <c r="O1221" s="7" t="inlineStr">
        <is>
          <t>STANDARD</t>
        </is>
      </c>
      <c r="P1221" s="7" t="inlineStr">
        <is>
          <t>31/08/2026 02:59</t>
        </is>
      </c>
    </row>
    <row r="1222">
      <c r="A1222" s="8" t="inlineStr">
        <is>
          <t>WHAP 8x8</t>
        </is>
      </c>
      <c r="B1222" s="8" t="inlineStr">
        <is>
          <t>WHAP-1218</t>
        </is>
      </c>
      <c r="C1222" s="8" t="inlineStr">
        <is>
          <t>POR-1218</t>
        </is>
      </c>
      <c r="D1222" s="8" t="inlineStr">
        <is>
          <t>câble de commande — arrière gauche</t>
        </is>
      </c>
      <c r="E1222" s="8" t="inlineStr">
        <is>
          <t>Portes et trappes</t>
        </is>
      </c>
      <c r="F1222" s="8" t="inlineStr">
        <is>
          <t>Portes et trappes</t>
        </is>
      </c>
      <c r="G1222" s="8" t="inlineStr">
        <is>
          <t>PIECE_VEHICULE</t>
        </is>
      </c>
      <c r="H1222" s="8" t="n">
        <v>1</v>
      </c>
      <c r="I1222" s="8">
        <f>H1222*$D$3</f>
        <v/>
      </c>
      <c r="J1222" s="8" t="inlineStr">
        <is>
          <t>unité</t>
        </is>
      </c>
      <c r="K1222" s="8" t="n">
        <v>0</v>
      </c>
      <c r="L1222" s="8">
        <f>K1222-I1222</f>
        <v/>
      </c>
      <c r="M1222" s="8">
        <f>IF(K1222&lt;I1222,"✕ INSUFFISANT",IF(K1222&lt;I1222*1.2,"⚠ STOCK FAIBLE","✓ COUVERT"))</f>
        <v/>
      </c>
      <c r="N1222" s="8" t="inlineStr">
        <is>
          <t>CTL</t>
        </is>
      </c>
      <c r="O1222" s="8" t="inlineStr">
        <is>
          <t>STANDARD</t>
        </is>
      </c>
      <c r="P1222" s="8" t="inlineStr">
        <is>
          <t>31/08/2026 02:59</t>
        </is>
      </c>
    </row>
    <row r="1223">
      <c r="A1223" s="7" t="inlineStr">
        <is>
          <t>WHAP 8x8</t>
        </is>
      </c>
      <c r="B1223" s="7" t="inlineStr">
        <is>
          <t>WHAP-1219</t>
        </is>
      </c>
      <c r="C1223" s="7" t="inlineStr">
        <is>
          <t>POR-1219</t>
        </is>
      </c>
      <c r="D1223" s="7" t="inlineStr">
        <is>
          <t>vérin à gaz — arrière gauche</t>
        </is>
      </c>
      <c r="E1223" s="7" t="inlineStr">
        <is>
          <t>Portes et trappes</t>
        </is>
      </c>
      <c r="F1223" s="7" t="inlineStr">
        <is>
          <t>Portes et trappes</t>
        </is>
      </c>
      <c r="G1223" s="7" t="inlineStr">
        <is>
          <t>PIECE_VEHICULE</t>
        </is>
      </c>
      <c r="H1223" s="7" t="n">
        <v>1</v>
      </c>
      <c r="I1223" s="7">
        <f>H1223*$D$3</f>
        <v/>
      </c>
      <c r="J1223" s="7" t="inlineStr">
        <is>
          <t>unité</t>
        </is>
      </c>
      <c r="K1223" s="7" t="n">
        <v>0</v>
      </c>
      <c r="L1223" s="7">
        <f>K1223-I1223</f>
        <v/>
      </c>
      <c r="M1223" s="7">
        <f>IF(K1223&lt;I1223,"✕ INSUFFISANT",IF(K1223&lt;I1223*1.2,"⚠ STOCK FAIBLE","✓ COUVERT"))</f>
        <v/>
      </c>
      <c r="N1223" s="7" t="inlineStr">
        <is>
          <t>VAL</t>
        </is>
      </c>
      <c r="O1223" s="7" t="inlineStr">
        <is>
          <t>STANDARD</t>
        </is>
      </c>
      <c r="P1223" s="7" t="inlineStr">
        <is>
          <t>31/08/2026 02:59</t>
        </is>
      </c>
    </row>
    <row r="1224">
      <c r="A1224" s="8" t="inlineStr">
        <is>
          <t>WHAP 8x8</t>
        </is>
      </c>
      <c r="B1224" s="8" t="inlineStr">
        <is>
          <t>WHAP-1220</t>
        </is>
      </c>
      <c r="C1224" s="8" t="inlineStr">
        <is>
          <t>POR-1220</t>
        </is>
      </c>
      <c r="D1224" s="8" t="inlineStr">
        <is>
          <t>vérin hydraulique — arrière gauche</t>
        </is>
      </c>
      <c r="E1224" s="8" t="inlineStr">
        <is>
          <t>Portes et trappes</t>
        </is>
      </c>
      <c r="F1224" s="8" t="inlineStr">
        <is>
          <t>Portes et trappes</t>
        </is>
      </c>
      <c r="G1224" s="8" t="inlineStr">
        <is>
          <t>PIECE_VEHICULE</t>
        </is>
      </c>
      <c r="H1224" s="8" t="n">
        <v>1</v>
      </c>
      <c r="I1224" s="8">
        <f>H1224*$D$3</f>
        <v/>
      </c>
      <c r="J1224" s="8" t="inlineStr">
        <is>
          <t>unité</t>
        </is>
      </c>
      <c r="K1224" s="8" t="n">
        <v>0</v>
      </c>
      <c r="L1224" s="8">
        <f>K1224-I1224</f>
        <v/>
      </c>
      <c r="M1224" s="8">
        <f>IF(K1224&lt;I1224,"✕ INSUFFISANT",IF(K1224&lt;I1224*1.2,"⚠ STOCK FAIBLE","✓ COUVERT"))</f>
        <v/>
      </c>
      <c r="N1224" s="8" t="inlineStr">
        <is>
          <t>VAL</t>
        </is>
      </c>
      <c r="O1224" s="8" t="inlineStr">
        <is>
          <t>STANDARD</t>
        </is>
      </c>
      <c r="P1224" s="8" t="inlineStr">
        <is>
          <t>31/08/2026 02:59</t>
        </is>
      </c>
    </row>
    <row r="1225">
      <c r="A1225" s="7" t="inlineStr">
        <is>
          <t>WHAP 8x8</t>
        </is>
      </c>
      <c r="B1225" s="7" t="inlineStr">
        <is>
          <t>WHAP-1221</t>
        </is>
      </c>
      <c r="C1225" s="7" t="inlineStr">
        <is>
          <t>POR-1221</t>
        </is>
      </c>
      <c r="D1225" s="7" t="inlineStr">
        <is>
          <t>joint de porte — arrière gauche</t>
        </is>
      </c>
      <c r="E1225" s="7" t="inlineStr">
        <is>
          <t>Portes et trappes</t>
        </is>
      </c>
      <c r="F1225" s="7" t="inlineStr">
        <is>
          <t>Portes et trappes</t>
        </is>
      </c>
      <c r="G1225" s="7" t="inlineStr">
        <is>
          <t>PIECE_VEHICULE</t>
        </is>
      </c>
      <c r="H1225" s="7" t="n">
        <v>1</v>
      </c>
      <c r="I1225" s="7">
        <f>H1225*$D$3</f>
        <v/>
      </c>
      <c r="J1225" s="7" t="inlineStr">
        <is>
          <t>unité</t>
        </is>
      </c>
      <c r="K1225" s="7" t="n">
        <v>0</v>
      </c>
      <c r="L1225" s="7">
        <f>K1225-I1225</f>
        <v/>
      </c>
      <c r="M1225" s="7">
        <f>IF(K1225&lt;I1225,"✕ INSUFFISANT",IF(K1225&lt;I1225*1.2,"⚠ STOCK FAIBLE","✓ COUVERT"))</f>
        <v/>
      </c>
      <c r="N1225" s="7" t="inlineStr">
        <is>
          <t>DEL</t>
        </is>
      </c>
      <c r="O1225" s="7" t="inlineStr">
        <is>
          <t>STANDARD</t>
        </is>
      </c>
      <c r="P1225" s="7" t="inlineStr">
        <is>
          <t>31/08/2026 02:59</t>
        </is>
      </c>
    </row>
    <row r="1226">
      <c r="A1226" s="8" t="inlineStr">
        <is>
          <t>WHAP 8x8</t>
        </is>
      </c>
      <c r="B1226" s="8" t="inlineStr">
        <is>
          <t>WHAP-1222</t>
        </is>
      </c>
      <c r="C1226" s="8" t="inlineStr">
        <is>
          <t>POR-1222</t>
        </is>
      </c>
      <c r="D1226" s="8" t="inlineStr">
        <is>
          <t>joint de trappe — arrière gauche</t>
        </is>
      </c>
      <c r="E1226" s="8" t="inlineStr">
        <is>
          <t>Portes et trappes</t>
        </is>
      </c>
      <c r="F1226" s="8" t="inlineStr">
        <is>
          <t>Portes et trappes</t>
        </is>
      </c>
      <c r="G1226" s="8" t="inlineStr">
        <is>
          <t>PIECE_VEHICULE</t>
        </is>
      </c>
      <c r="H1226" s="8" t="n">
        <v>1</v>
      </c>
      <c r="I1226" s="8">
        <f>H1226*$D$3</f>
        <v/>
      </c>
      <c r="J1226" s="8" t="inlineStr">
        <is>
          <t>unité</t>
        </is>
      </c>
      <c r="K1226" s="8" t="n">
        <v>0</v>
      </c>
      <c r="L1226" s="8">
        <f>K1226-I1226</f>
        <v/>
      </c>
      <c r="M1226" s="8">
        <f>IF(K1226&lt;I1226,"✕ INSUFFISANT",IF(K1226&lt;I1226*1.2,"⚠ STOCK FAIBLE","✓ COUVERT"))</f>
        <v/>
      </c>
      <c r="N1226" s="8" t="inlineStr">
        <is>
          <t>HEL</t>
        </is>
      </c>
      <c r="O1226" s="8" t="inlineStr">
        <is>
          <t>STANDARD</t>
        </is>
      </c>
      <c r="P1226" s="8" t="inlineStr">
        <is>
          <t>31/08/2026 02:59</t>
        </is>
      </c>
    </row>
    <row r="1227">
      <c r="A1227" s="7" t="inlineStr">
        <is>
          <t>WHAP 8x8</t>
        </is>
      </c>
      <c r="B1227" s="7" t="inlineStr">
        <is>
          <t>WHAP-1223</t>
        </is>
      </c>
      <c r="C1227" s="7" t="inlineStr">
        <is>
          <t>POR-1223</t>
        </is>
      </c>
      <c r="D1227" s="7" t="inlineStr">
        <is>
          <t>vitre blindée — arrière gauche</t>
        </is>
      </c>
      <c r="E1227" s="7" t="inlineStr">
        <is>
          <t>Portes et trappes</t>
        </is>
      </c>
      <c r="F1227" s="7" t="inlineStr">
        <is>
          <t>Portes et trappes</t>
        </is>
      </c>
      <c r="G1227" s="7" t="inlineStr">
        <is>
          <t>PIECE_VEHICULE</t>
        </is>
      </c>
      <c r="H1227" s="7" t="n">
        <v>1</v>
      </c>
      <c r="I1227" s="7">
        <f>H1227*$D$3</f>
        <v/>
      </c>
      <c r="J1227" s="7" t="inlineStr">
        <is>
          <t>unité</t>
        </is>
      </c>
      <c r="K1227" s="7" t="n">
        <v>0</v>
      </c>
      <c r="L1227" s="7">
        <f>K1227-I1227</f>
        <v/>
      </c>
      <c r="M1227" s="7">
        <f>IF(K1227&lt;I1227,"✕ INSUFFISANT",IF(K1227&lt;I1227*1.2,"⚠ STOCK FAIBLE","✓ COUVERT"))</f>
        <v/>
      </c>
      <c r="N1227" s="7" t="inlineStr">
        <is>
          <t>CTL</t>
        </is>
      </c>
      <c r="O1227" s="7" t="inlineStr">
        <is>
          <t>STANDARD</t>
        </is>
      </c>
      <c r="P1227" s="7" t="inlineStr">
        <is>
          <t>31/08/2026 02:59</t>
        </is>
      </c>
    </row>
    <row r="1228">
      <c r="A1228" s="8" t="inlineStr">
        <is>
          <t>WHAP 8x8</t>
        </is>
      </c>
      <c r="B1228" s="8" t="inlineStr">
        <is>
          <t>WHAP-1224</t>
        </is>
      </c>
      <c r="C1228" s="8" t="inlineStr">
        <is>
          <t>POR-1224</t>
        </is>
      </c>
      <c r="D1228" s="8" t="inlineStr">
        <is>
          <t>cadre de vitre — arrière gauche</t>
        </is>
      </c>
      <c r="E1228" s="8" t="inlineStr">
        <is>
          <t>Portes et trappes</t>
        </is>
      </c>
      <c r="F1228" s="8" t="inlineStr">
        <is>
          <t>Portes et trappes</t>
        </is>
      </c>
      <c r="G1228" s="8" t="inlineStr">
        <is>
          <t>PIECE_VEHICULE</t>
        </is>
      </c>
      <c r="H1228" s="8" t="n">
        <v>1</v>
      </c>
      <c r="I1228" s="8">
        <f>H1228*$D$3</f>
        <v/>
      </c>
      <c r="J1228" s="8" t="inlineStr">
        <is>
          <t>unité</t>
        </is>
      </c>
      <c r="K1228" s="8" t="n">
        <v>0</v>
      </c>
      <c r="L1228" s="8">
        <f>K1228-I1228</f>
        <v/>
      </c>
      <c r="M1228" s="8">
        <f>IF(K1228&lt;I1228,"✕ INSUFFISANT",IF(K1228&lt;I1228*1.2,"⚠ STOCK FAIBLE","✓ COUVERT"))</f>
        <v/>
      </c>
      <c r="N1228" s="8" t="inlineStr">
        <is>
          <t>FAU</t>
        </is>
      </c>
      <c r="O1228" s="8" t="inlineStr">
        <is>
          <t>STANDARD</t>
        </is>
      </c>
      <c r="P1228" s="8" t="inlineStr">
        <is>
          <t>31/08/2026 02:59</t>
        </is>
      </c>
    </row>
    <row r="1229">
      <c r="A1229" s="7" t="inlineStr">
        <is>
          <t>WHAP 8x8</t>
        </is>
      </c>
      <c r="B1229" s="7" t="inlineStr">
        <is>
          <t>WHAP-1225</t>
        </is>
      </c>
      <c r="C1229" s="7" t="inlineStr">
        <is>
          <t>POR-1225</t>
        </is>
      </c>
      <c r="D1229" s="7" t="inlineStr">
        <is>
          <t>lève-vitre — arrière gauche</t>
        </is>
      </c>
      <c r="E1229" s="7" t="inlineStr">
        <is>
          <t>Portes et trappes</t>
        </is>
      </c>
      <c r="F1229" s="7" t="inlineStr">
        <is>
          <t>Portes et trappes</t>
        </is>
      </c>
      <c r="G1229" s="7" t="inlineStr">
        <is>
          <t>PIECE_VEHICULE</t>
        </is>
      </c>
      <c r="H1229" s="7" t="n">
        <v>1</v>
      </c>
      <c r="I1229" s="7">
        <f>H1229*$D$3</f>
        <v/>
      </c>
      <c r="J1229" s="7" t="inlineStr">
        <is>
          <t>unité</t>
        </is>
      </c>
      <c r="K1229" s="7" t="n">
        <v>0</v>
      </c>
      <c r="L1229" s="7">
        <f>K1229-I1229</f>
        <v/>
      </c>
      <c r="M1229" s="7">
        <f>IF(K1229&lt;I1229,"✕ INSUFFISANT",IF(K1229&lt;I1229*1.2,"⚠ STOCK FAIBLE","✓ COUVERT"))</f>
        <v/>
      </c>
      <c r="N1229" s="7" t="inlineStr">
        <is>
          <t>SUM</t>
        </is>
      </c>
      <c r="O1229" s="7" t="inlineStr">
        <is>
          <t>STANDARD</t>
        </is>
      </c>
      <c r="P1229" s="7" t="inlineStr">
        <is>
          <t>31/08/2026 02:59</t>
        </is>
      </c>
    </row>
    <row r="1230">
      <c r="A1230" s="8" t="inlineStr">
        <is>
          <t>WHAP 8x8</t>
        </is>
      </c>
      <c r="B1230" s="8" t="inlineStr">
        <is>
          <t>WHAP-1226</t>
        </is>
      </c>
      <c r="C1230" s="8" t="inlineStr">
        <is>
          <t>POR-1226</t>
        </is>
      </c>
      <c r="D1230" s="8" t="inlineStr">
        <is>
          <t>mécanisme de vitre — arrière gauche</t>
        </is>
      </c>
      <c r="E1230" s="8" t="inlineStr">
        <is>
          <t>Portes et trappes</t>
        </is>
      </c>
      <c r="F1230" s="8" t="inlineStr">
        <is>
          <t>Portes et trappes</t>
        </is>
      </c>
      <c r="G1230" s="8" t="inlineStr">
        <is>
          <t>PIECE_VEHICULE</t>
        </is>
      </c>
      <c r="H1230" s="8" t="n">
        <v>1</v>
      </c>
      <c r="I1230" s="8">
        <f>H1230*$D$3</f>
        <v/>
      </c>
      <c r="J1230" s="8" t="inlineStr">
        <is>
          <t>unité</t>
        </is>
      </c>
      <c r="K1230" s="8" t="n">
        <v>0</v>
      </c>
      <c r="L1230" s="8">
        <f>K1230-I1230</f>
        <v/>
      </c>
      <c r="M1230" s="8">
        <f>IF(K1230&lt;I1230,"✕ INSUFFISANT",IF(K1230&lt;I1230*1.2,"⚠ STOCK FAIBLE","✓ COUVERT"))</f>
        <v/>
      </c>
      <c r="N1230" s="8" t="inlineStr">
        <is>
          <t>YZK</t>
        </is>
      </c>
      <c r="O1230" s="8" t="inlineStr">
        <is>
          <t>STANDARD</t>
        </is>
      </c>
      <c r="P1230" s="8" t="inlineStr">
        <is>
          <t>31/08/2026 02:59</t>
        </is>
      </c>
    </row>
    <row r="1231">
      <c r="A1231" s="7" t="inlineStr">
        <is>
          <t>WHAP 8x8</t>
        </is>
      </c>
      <c r="B1231" s="7" t="inlineStr">
        <is>
          <t>WHAP-1227</t>
        </is>
      </c>
      <c r="C1231" s="7" t="inlineStr">
        <is>
          <t>POR-1227</t>
        </is>
      </c>
      <c r="D1231" s="7" t="inlineStr">
        <is>
          <t>butée — arrière gauche</t>
        </is>
      </c>
      <c r="E1231" s="7" t="inlineStr">
        <is>
          <t>Portes et trappes</t>
        </is>
      </c>
      <c r="F1231" s="7" t="inlineStr">
        <is>
          <t>Portes et trappes</t>
        </is>
      </c>
      <c r="G1231" s="7" t="inlineStr">
        <is>
          <t>PIECE_VEHICULE</t>
        </is>
      </c>
      <c r="H1231" s="7" t="n">
        <v>1</v>
      </c>
      <c r="I1231" s="7">
        <f>H1231*$D$3</f>
        <v/>
      </c>
      <c r="J1231" s="7" t="inlineStr">
        <is>
          <t>unité</t>
        </is>
      </c>
      <c r="K1231" s="7" t="n">
        <v>0</v>
      </c>
      <c r="L1231" s="7">
        <f>K1231-I1231</f>
        <v/>
      </c>
      <c r="M1231" s="7">
        <f>IF(K1231&lt;I1231,"✕ INSUFFISANT",IF(K1231&lt;I1231*1.2,"⚠ STOCK FAIBLE","✓ COUVERT"))</f>
        <v/>
      </c>
      <c r="N1231" s="7" t="inlineStr">
        <is>
          <t>HEL</t>
        </is>
      </c>
      <c r="O1231" s="7" t="inlineStr">
        <is>
          <t>STANDARD</t>
        </is>
      </c>
      <c r="P1231" s="7" t="inlineStr">
        <is>
          <t>31/08/2026 02:59</t>
        </is>
      </c>
    </row>
    <row r="1232">
      <c r="A1232" s="8" t="inlineStr">
        <is>
          <t>WHAP 8x8</t>
        </is>
      </c>
      <c r="B1232" s="8" t="inlineStr">
        <is>
          <t>WHAP-1228</t>
        </is>
      </c>
      <c r="C1232" s="8" t="inlineStr">
        <is>
          <t>POR-1228</t>
        </is>
      </c>
      <c r="D1232" s="8" t="inlineStr">
        <is>
          <t>gâche — arrière gauche</t>
        </is>
      </c>
      <c r="E1232" s="8" t="inlineStr">
        <is>
          <t>Portes et trappes</t>
        </is>
      </c>
      <c r="F1232" s="8" t="inlineStr">
        <is>
          <t>Portes et trappes</t>
        </is>
      </c>
      <c r="G1232" s="8" t="inlineStr">
        <is>
          <t>PIECE_VEHICULE</t>
        </is>
      </c>
      <c r="H1232" s="8" t="n">
        <v>1</v>
      </c>
      <c r="I1232" s="8">
        <f>H1232*$D$3</f>
        <v/>
      </c>
      <c r="J1232" s="8" t="inlineStr">
        <is>
          <t>unité</t>
        </is>
      </c>
      <c r="K1232" s="8" t="n">
        <v>0</v>
      </c>
      <c r="L1232" s="8">
        <f>K1232-I1232</f>
        <v/>
      </c>
      <c r="M1232" s="8">
        <f>IF(K1232&lt;I1232,"✕ INSUFFISANT",IF(K1232&lt;I1232*1.2,"⚠ STOCK FAIBLE","✓ COUVERT"))</f>
        <v/>
      </c>
      <c r="N1232" s="8" t="inlineStr">
        <is>
          <t>MAG</t>
        </is>
      </c>
      <c r="O1232" s="8" t="inlineStr">
        <is>
          <t>STANDARD</t>
        </is>
      </c>
      <c r="P1232" s="8" t="inlineStr">
        <is>
          <t>31/08/2026 02:59</t>
        </is>
      </c>
    </row>
    <row r="1233">
      <c r="A1233" s="7" t="inlineStr">
        <is>
          <t>WHAP 8x8</t>
        </is>
      </c>
      <c r="B1233" s="7" t="inlineStr">
        <is>
          <t>WHAP-1229</t>
        </is>
      </c>
      <c r="C1233" s="7" t="inlineStr">
        <is>
          <t>POR-1229</t>
        </is>
      </c>
      <c r="D1233" s="7" t="inlineStr">
        <is>
          <t>axe de charnière — arrière gauche</t>
        </is>
      </c>
      <c r="E1233" s="7" t="inlineStr">
        <is>
          <t>Portes et trappes</t>
        </is>
      </c>
      <c r="F1233" s="7" t="inlineStr">
        <is>
          <t>Portes et trappes</t>
        </is>
      </c>
      <c r="G1233" s="7" t="inlineStr">
        <is>
          <t>PIECE_VEHICULE</t>
        </is>
      </c>
      <c r="H1233" s="7" t="n">
        <v>1</v>
      </c>
      <c r="I1233" s="7">
        <f>H1233*$D$3</f>
        <v/>
      </c>
      <c r="J1233" s="7" t="inlineStr">
        <is>
          <t>unité</t>
        </is>
      </c>
      <c r="K1233" s="7" t="n">
        <v>0</v>
      </c>
      <c r="L1233" s="7">
        <f>K1233-I1233</f>
        <v/>
      </c>
      <c r="M1233" s="7">
        <f>IF(K1233&lt;I1233,"✕ INSUFFISANT",IF(K1233&lt;I1233*1.2,"⚠ STOCK FAIBLE","✓ COUVERT"))</f>
        <v/>
      </c>
      <c r="N1233" s="7" t="inlineStr">
        <is>
          <t>YZK</t>
        </is>
      </c>
      <c r="O1233" s="7" t="inlineStr">
        <is>
          <t>STANDARD</t>
        </is>
      </c>
      <c r="P1233" s="7" t="inlineStr">
        <is>
          <t>31/08/2026 02:59</t>
        </is>
      </c>
    </row>
    <row r="1234">
      <c r="A1234" s="8" t="inlineStr">
        <is>
          <t>WHAP 8x8</t>
        </is>
      </c>
      <c r="B1234" s="8" t="inlineStr">
        <is>
          <t>WHAP-1230</t>
        </is>
      </c>
      <c r="C1234" s="8" t="inlineStr">
        <is>
          <t>POR-1230</t>
        </is>
      </c>
      <c r="D1234" s="8" t="inlineStr">
        <is>
          <t>porte conducteur — arrière droit</t>
        </is>
      </c>
      <c r="E1234" s="8" t="inlineStr">
        <is>
          <t>Portes et trappes</t>
        </is>
      </c>
      <c r="F1234" s="8" t="inlineStr">
        <is>
          <t>Portes et trappes</t>
        </is>
      </c>
      <c r="G1234" s="8" t="inlineStr">
        <is>
          <t>PIECE_VEHICULE</t>
        </is>
      </c>
      <c r="H1234" s="8" t="n">
        <v>1</v>
      </c>
      <c r="I1234" s="8">
        <f>H1234*$D$3</f>
        <v/>
      </c>
      <c r="J1234" s="8" t="inlineStr">
        <is>
          <t>unité</t>
        </is>
      </c>
      <c r="K1234" s="8" t="n">
        <v>0</v>
      </c>
      <c r="L1234" s="8">
        <f>K1234-I1234</f>
        <v/>
      </c>
      <c r="M1234" s="8">
        <f>IF(K1234&lt;I1234,"✕ INSUFFISANT",IF(K1234&lt;I1234*1.2,"⚠ STOCK FAIBLE","✓ COUVERT"))</f>
        <v/>
      </c>
      <c r="N1234" s="8" t="inlineStr">
        <is>
          <t>CTL</t>
        </is>
      </c>
      <c r="O1234" s="8" t="inlineStr">
        <is>
          <t>STANDARD</t>
        </is>
      </c>
      <c r="P1234" s="8" t="inlineStr">
        <is>
          <t>31/08/2026 02:59</t>
        </is>
      </c>
    </row>
    <row r="1235">
      <c r="A1235" s="7" t="inlineStr">
        <is>
          <t>WHAP 8x8</t>
        </is>
      </c>
      <c r="B1235" s="7" t="inlineStr">
        <is>
          <t>WHAP-1231</t>
        </is>
      </c>
      <c r="C1235" s="7" t="inlineStr">
        <is>
          <t>POR-1231</t>
        </is>
      </c>
      <c r="D1235" s="7" t="inlineStr">
        <is>
          <t>porte équipage — arrière droit</t>
        </is>
      </c>
      <c r="E1235" s="7" t="inlineStr">
        <is>
          <t>Portes et trappes</t>
        </is>
      </c>
      <c r="F1235" s="7" t="inlineStr">
        <is>
          <t>Portes et trappes</t>
        </is>
      </c>
      <c r="G1235" s="7" t="inlineStr">
        <is>
          <t>PIECE_VEHICULE</t>
        </is>
      </c>
      <c r="H1235" s="7" t="n">
        <v>1</v>
      </c>
      <c r="I1235" s="7">
        <f>H1235*$D$3</f>
        <v/>
      </c>
      <c r="J1235" s="7" t="inlineStr">
        <is>
          <t>unité</t>
        </is>
      </c>
      <c r="K1235" s="7" t="n">
        <v>0</v>
      </c>
      <c r="L1235" s="7">
        <f>K1235-I1235</f>
        <v/>
      </c>
      <c r="M1235" s="7">
        <f>IF(K1235&lt;I1235,"✕ INSUFFISANT",IF(K1235&lt;I1235*1.2,"⚠ STOCK FAIBLE","✓ COUVERT"))</f>
        <v/>
      </c>
      <c r="N1235" s="7" t="inlineStr">
        <is>
          <t>YZK</t>
        </is>
      </c>
      <c r="O1235" s="7" t="inlineStr">
        <is>
          <t>STANDARD</t>
        </is>
      </c>
      <c r="P1235" s="7" t="inlineStr">
        <is>
          <t>31/08/2026 02:59</t>
        </is>
      </c>
    </row>
    <row r="1236">
      <c r="A1236" s="8" t="inlineStr">
        <is>
          <t>WHAP 8x8</t>
        </is>
      </c>
      <c r="B1236" s="8" t="inlineStr">
        <is>
          <t>WHAP-1232</t>
        </is>
      </c>
      <c r="C1236" s="8" t="inlineStr">
        <is>
          <t>POR-1232</t>
        </is>
      </c>
      <c r="D1236" s="8" t="inlineStr">
        <is>
          <t>porte arrière — arrière droit</t>
        </is>
      </c>
      <c r="E1236" s="8" t="inlineStr">
        <is>
          <t>Portes et trappes</t>
        </is>
      </c>
      <c r="F1236" s="8" t="inlineStr">
        <is>
          <t>Portes et trappes</t>
        </is>
      </c>
      <c r="G1236" s="8" t="inlineStr">
        <is>
          <t>PIECE_VEHICULE</t>
        </is>
      </c>
      <c r="H1236" s="8" t="n">
        <v>1</v>
      </c>
      <c r="I1236" s="8">
        <f>H1236*$D$3</f>
        <v/>
      </c>
      <c r="J1236" s="8" t="inlineStr">
        <is>
          <t>unité</t>
        </is>
      </c>
      <c r="K1236" s="8" t="n">
        <v>0</v>
      </c>
      <c r="L1236" s="8">
        <f>K1236-I1236</f>
        <v/>
      </c>
      <c r="M1236" s="8">
        <f>IF(K1236&lt;I1236,"✕ INSUFFISANT",IF(K1236&lt;I1236*1.2,"⚠ STOCK FAIBLE","✓ COUVERT"))</f>
        <v/>
      </c>
      <c r="N1236" s="8" t="inlineStr">
        <is>
          <t>MAG</t>
        </is>
      </c>
      <c r="O1236" s="8" t="inlineStr">
        <is>
          <t>STANDARD</t>
        </is>
      </c>
      <c r="P1236" s="8" t="inlineStr">
        <is>
          <t>31/08/2026 02:59</t>
        </is>
      </c>
    </row>
    <row r="1237">
      <c r="A1237" s="7" t="inlineStr">
        <is>
          <t>WHAP 8x8</t>
        </is>
      </c>
      <c r="B1237" s="7" t="inlineStr">
        <is>
          <t>WHAP-1233</t>
        </is>
      </c>
      <c r="C1237" s="7" t="inlineStr">
        <is>
          <t>POR-1233</t>
        </is>
      </c>
      <c r="D1237" s="7" t="inlineStr">
        <is>
          <t>trappe supérieure — arrière droit</t>
        </is>
      </c>
      <c r="E1237" s="7" t="inlineStr">
        <is>
          <t>Portes et trappes</t>
        </is>
      </c>
      <c r="F1237" s="7" t="inlineStr">
        <is>
          <t>Portes et trappes</t>
        </is>
      </c>
      <c r="G1237" s="7" t="inlineStr">
        <is>
          <t>PIECE_VEHICULE</t>
        </is>
      </c>
      <c r="H1237" s="7" t="n">
        <v>1</v>
      </c>
      <c r="I1237" s="7">
        <f>H1237*$D$3</f>
        <v/>
      </c>
      <c r="J1237" s="7" t="inlineStr">
        <is>
          <t>unité</t>
        </is>
      </c>
      <c r="K1237" s="7" t="n">
        <v>0</v>
      </c>
      <c r="L1237" s="7">
        <f>K1237-I1237</f>
        <v/>
      </c>
      <c r="M1237" s="7">
        <f>IF(K1237&lt;I1237,"✕ INSUFFISANT",IF(K1237&lt;I1237*1.2,"⚠ STOCK FAIBLE","✓ COUVERT"))</f>
        <v/>
      </c>
      <c r="N1237" s="7" t="inlineStr">
        <is>
          <t>MAG</t>
        </is>
      </c>
      <c r="O1237" s="7" t="inlineStr">
        <is>
          <t>STANDARD</t>
        </is>
      </c>
      <c r="P1237" s="7" t="inlineStr">
        <is>
          <t>31/08/2026 02:59</t>
        </is>
      </c>
    </row>
    <row r="1238">
      <c r="A1238" s="8" t="inlineStr">
        <is>
          <t>WHAP 8x8</t>
        </is>
      </c>
      <c r="B1238" s="8" t="inlineStr">
        <is>
          <t>WHAP-1234</t>
        </is>
      </c>
      <c r="C1238" s="8" t="inlineStr">
        <is>
          <t>POR-1234</t>
        </is>
      </c>
      <c r="D1238" s="8" t="inlineStr">
        <is>
          <t>trappe latérale — arrière droit</t>
        </is>
      </c>
      <c r="E1238" s="8" t="inlineStr">
        <is>
          <t>Portes et trappes</t>
        </is>
      </c>
      <c r="F1238" s="8" t="inlineStr">
        <is>
          <t>Portes et trappes</t>
        </is>
      </c>
      <c r="G1238" s="8" t="inlineStr">
        <is>
          <t>PIECE_VEHICULE</t>
        </is>
      </c>
      <c r="H1238" s="8" t="n">
        <v>1</v>
      </c>
      <c r="I1238" s="8">
        <f>H1238*$D$3</f>
        <v/>
      </c>
      <c r="J1238" s="8" t="inlineStr">
        <is>
          <t>unité</t>
        </is>
      </c>
      <c r="K1238" s="8" t="n">
        <v>0</v>
      </c>
      <c r="L1238" s="8">
        <f>K1238-I1238</f>
        <v/>
      </c>
      <c r="M1238" s="8">
        <f>IF(K1238&lt;I1238,"✕ INSUFFISANT",IF(K1238&lt;I1238*1.2,"⚠ STOCK FAIBLE","✓ COUVERT"))</f>
        <v/>
      </c>
      <c r="N1238" s="8" t="inlineStr">
        <is>
          <t>SUM</t>
        </is>
      </c>
      <c r="O1238" s="8" t="inlineStr">
        <is>
          <t>STANDARD</t>
        </is>
      </c>
      <c r="P1238" s="8" t="inlineStr">
        <is>
          <t>31/08/2026 02:59</t>
        </is>
      </c>
    </row>
    <row r="1239">
      <c r="A1239" s="7" t="inlineStr">
        <is>
          <t>WHAP 8x8</t>
        </is>
      </c>
      <c r="B1239" s="7" t="inlineStr">
        <is>
          <t>WHAP-1235</t>
        </is>
      </c>
      <c r="C1239" s="7" t="inlineStr">
        <is>
          <t>POR-1235</t>
        </is>
      </c>
      <c r="D1239" s="7" t="inlineStr">
        <is>
          <t>trappe moteur — arrière droit</t>
        </is>
      </c>
      <c r="E1239" s="7" t="inlineStr">
        <is>
          <t>Portes et trappes</t>
        </is>
      </c>
      <c r="F1239" s="7" t="inlineStr">
        <is>
          <t>Portes et trappes</t>
        </is>
      </c>
      <c r="G1239" s="7" t="inlineStr">
        <is>
          <t>PIECE_VEHICULE</t>
        </is>
      </c>
      <c r="H1239" s="7" t="n">
        <v>1</v>
      </c>
      <c r="I1239" s="7">
        <f>H1239*$D$3</f>
        <v/>
      </c>
      <c r="J1239" s="7" t="inlineStr">
        <is>
          <t>unité</t>
        </is>
      </c>
      <c r="K1239" s="7" t="n">
        <v>0</v>
      </c>
      <c r="L1239" s="7">
        <f>K1239-I1239</f>
        <v/>
      </c>
      <c r="M1239" s="7">
        <f>IF(K1239&lt;I1239,"✕ INSUFFISANT",IF(K1239&lt;I1239*1.2,"⚠ STOCK FAIBLE","✓ COUVERT"))</f>
        <v/>
      </c>
      <c r="N1239" s="7" t="inlineStr">
        <is>
          <t>VAL</t>
        </is>
      </c>
      <c r="O1239" s="7" t="inlineStr">
        <is>
          <t>STANDARD</t>
        </is>
      </c>
      <c r="P1239" s="7" t="inlineStr">
        <is>
          <t>31/08/2026 02:59</t>
        </is>
      </c>
    </row>
    <row r="1240">
      <c r="A1240" s="8" t="inlineStr">
        <is>
          <t>WHAP 8x8</t>
        </is>
      </c>
      <c r="B1240" s="8" t="inlineStr">
        <is>
          <t>WHAP-1236</t>
        </is>
      </c>
      <c r="C1240" s="8" t="inlineStr">
        <is>
          <t>POR-1236</t>
        </is>
      </c>
      <c r="D1240" s="8" t="inlineStr">
        <is>
          <t>charnière — arrière droit</t>
        </is>
      </c>
      <c r="E1240" s="8" t="inlineStr">
        <is>
          <t>Portes et trappes</t>
        </is>
      </c>
      <c r="F1240" s="8" t="inlineStr">
        <is>
          <t>Portes et trappes</t>
        </is>
      </c>
      <c r="G1240" s="8" t="inlineStr">
        <is>
          <t>PIECE_VEHICULE</t>
        </is>
      </c>
      <c r="H1240" s="8" t="n">
        <v>1</v>
      </c>
      <c r="I1240" s="8">
        <f>H1240*$D$3</f>
        <v/>
      </c>
      <c r="J1240" s="8" t="inlineStr">
        <is>
          <t>unité</t>
        </is>
      </c>
      <c r="K1240" s="8" t="n">
        <v>0</v>
      </c>
      <c r="L1240" s="8">
        <f>K1240-I1240</f>
        <v/>
      </c>
      <c r="M1240" s="8">
        <f>IF(K1240&lt;I1240,"✕ INSUFFISANT",IF(K1240&lt;I1240*1.2,"⚠ STOCK FAIBLE","✓ COUVERT"))</f>
        <v/>
      </c>
      <c r="N1240" s="8" t="inlineStr">
        <is>
          <t>DEL</t>
        </is>
      </c>
      <c r="O1240" s="8" t="inlineStr">
        <is>
          <t>STANDARD</t>
        </is>
      </c>
      <c r="P1240" s="8" t="inlineStr">
        <is>
          <t>31/08/2026 02:59</t>
        </is>
      </c>
    </row>
    <row r="1241">
      <c r="A1241" s="7" t="inlineStr">
        <is>
          <t>WHAP 8x8</t>
        </is>
      </c>
      <c r="B1241" s="7" t="inlineStr">
        <is>
          <t>WHAP-1237</t>
        </is>
      </c>
      <c r="C1241" s="7" t="inlineStr">
        <is>
          <t>POR-1237</t>
        </is>
      </c>
      <c r="D1241" s="7" t="inlineStr">
        <is>
          <t>serrure — arrière droit</t>
        </is>
      </c>
      <c r="E1241" s="7" t="inlineStr">
        <is>
          <t>Portes et trappes</t>
        </is>
      </c>
      <c r="F1241" s="7" t="inlineStr">
        <is>
          <t>Portes et trappes</t>
        </is>
      </c>
      <c r="G1241" s="7" t="inlineStr">
        <is>
          <t>PIECE_VEHICULE</t>
        </is>
      </c>
      <c r="H1241" s="7" t="n">
        <v>1</v>
      </c>
      <c r="I1241" s="7">
        <f>H1241*$D$3</f>
        <v/>
      </c>
      <c r="J1241" s="7" t="inlineStr">
        <is>
          <t>unité</t>
        </is>
      </c>
      <c r="K1241" s="7" t="n">
        <v>0</v>
      </c>
      <c r="L1241" s="7">
        <f>K1241-I1241</f>
        <v/>
      </c>
      <c r="M1241" s="7">
        <f>IF(K1241&lt;I1241,"✕ INSUFFISANT",IF(K1241&lt;I1241*1.2,"⚠ STOCK FAIBLE","✓ COUVERT"))</f>
        <v/>
      </c>
      <c r="N1241" s="7" t="inlineStr">
        <is>
          <t>SKF</t>
        </is>
      </c>
      <c r="O1241" s="7" t="inlineStr">
        <is>
          <t>STANDARD</t>
        </is>
      </c>
      <c r="P1241" s="7" t="inlineStr">
        <is>
          <t>31/08/2026 02:59</t>
        </is>
      </c>
    </row>
    <row r="1242">
      <c r="A1242" s="8" t="inlineStr">
        <is>
          <t>WHAP 8x8</t>
        </is>
      </c>
      <c r="B1242" s="8" t="inlineStr">
        <is>
          <t>WHAP-1238</t>
        </is>
      </c>
      <c r="C1242" s="8" t="inlineStr">
        <is>
          <t>POR-1238</t>
        </is>
      </c>
      <c r="D1242" s="8" t="inlineStr">
        <is>
          <t>loquet — arrière droit</t>
        </is>
      </c>
      <c r="E1242" s="8" t="inlineStr">
        <is>
          <t>Portes et trappes</t>
        </is>
      </c>
      <c r="F1242" s="8" t="inlineStr">
        <is>
          <t>Portes et trappes</t>
        </is>
      </c>
      <c r="G1242" s="8" t="inlineStr">
        <is>
          <t>PIECE_VEHICULE</t>
        </is>
      </c>
      <c r="H1242" s="8" t="n">
        <v>1</v>
      </c>
      <c r="I1242" s="8">
        <f>H1242*$D$3</f>
        <v/>
      </c>
      <c r="J1242" s="8" t="inlineStr">
        <is>
          <t>unité</t>
        </is>
      </c>
      <c r="K1242" s="8" t="n">
        <v>0</v>
      </c>
      <c r="L1242" s="8">
        <f>K1242-I1242</f>
        <v/>
      </c>
      <c r="M1242" s="8">
        <f>IF(K1242&lt;I1242,"✕ INSUFFISANT",IF(K1242&lt;I1242*1.2,"⚠ STOCK FAIBLE","✓ COUVERT"))</f>
        <v/>
      </c>
      <c r="N1242" s="8" t="inlineStr">
        <is>
          <t>BOS</t>
        </is>
      </c>
      <c r="O1242" s="8" t="inlineStr">
        <is>
          <t>STANDARD</t>
        </is>
      </c>
      <c r="P1242" s="8" t="inlineStr">
        <is>
          <t>31/08/2026 02:59</t>
        </is>
      </c>
    </row>
    <row r="1243">
      <c r="A1243" s="7" t="inlineStr">
        <is>
          <t>WHAP 8x8</t>
        </is>
      </c>
      <c r="B1243" s="7" t="inlineStr">
        <is>
          <t>WHAP-1239</t>
        </is>
      </c>
      <c r="C1243" s="7" t="inlineStr">
        <is>
          <t>POR-1239</t>
        </is>
      </c>
      <c r="D1243" s="7" t="inlineStr">
        <is>
          <t>verrou rotatif — arrière droit</t>
        </is>
      </c>
      <c r="E1243" s="7" t="inlineStr">
        <is>
          <t>Portes et trappes</t>
        </is>
      </c>
      <c r="F1243" s="7" t="inlineStr">
        <is>
          <t>Portes et trappes</t>
        </is>
      </c>
      <c r="G1243" s="7" t="inlineStr">
        <is>
          <t>PIECE_VEHICULE</t>
        </is>
      </c>
      <c r="H1243" s="7" t="n">
        <v>1</v>
      </c>
      <c r="I1243" s="7">
        <f>H1243*$D$3</f>
        <v/>
      </c>
      <c r="J1243" s="7" t="inlineStr">
        <is>
          <t>unité</t>
        </is>
      </c>
      <c r="K1243" s="7" t="n">
        <v>0</v>
      </c>
      <c r="L1243" s="7">
        <f>K1243-I1243</f>
        <v/>
      </c>
      <c r="M1243" s="7">
        <f>IF(K1243&lt;I1243,"✕ INSUFFISANT",IF(K1243&lt;I1243*1.2,"⚠ STOCK FAIBLE","✓ COUVERT"))</f>
        <v/>
      </c>
      <c r="N1243" s="7" t="inlineStr">
        <is>
          <t>SKF</t>
        </is>
      </c>
      <c r="O1243" s="7" t="inlineStr">
        <is>
          <t>STANDARD</t>
        </is>
      </c>
      <c r="P1243" s="7" t="inlineStr">
        <is>
          <t>31/08/2026 02:59</t>
        </is>
      </c>
    </row>
    <row r="1244">
      <c r="A1244" s="8" t="inlineStr">
        <is>
          <t>WHAP 8x8</t>
        </is>
      </c>
      <c r="B1244" s="8" t="inlineStr">
        <is>
          <t>WHAP-1240</t>
        </is>
      </c>
      <c r="C1244" s="8" t="inlineStr">
        <is>
          <t>POR-1240</t>
        </is>
      </c>
      <c r="D1244" s="8" t="inlineStr">
        <is>
          <t>poignée intérieure — arrière droit</t>
        </is>
      </c>
      <c r="E1244" s="8" t="inlineStr">
        <is>
          <t>Portes et trappes</t>
        </is>
      </c>
      <c r="F1244" s="8" t="inlineStr">
        <is>
          <t>Portes et trappes</t>
        </is>
      </c>
      <c r="G1244" s="8" t="inlineStr">
        <is>
          <t>PIECE_VEHICULE</t>
        </is>
      </c>
      <c r="H1244" s="8" t="n">
        <v>1</v>
      </c>
      <c r="I1244" s="8">
        <f>H1244*$D$3</f>
        <v/>
      </c>
      <c r="J1244" s="8" t="inlineStr">
        <is>
          <t>unité</t>
        </is>
      </c>
      <c r="K1244" s="8" t="n">
        <v>0</v>
      </c>
      <c r="L1244" s="8">
        <f>K1244-I1244</f>
        <v/>
      </c>
      <c r="M1244" s="8">
        <f>IF(K1244&lt;I1244,"✕ INSUFFISANT",IF(K1244&lt;I1244*1.2,"⚠ STOCK FAIBLE","✓ COUVERT"))</f>
        <v/>
      </c>
      <c r="N1244" s="8" t="inlineStr">
        <is>
          <t>VAL</t>
        </is>
      </c>
      <c r="O1244" s="8" t="inlineStr">
        <is>
          <t>STANDARD</t>
        </is>
      </c>
      <c r="P1244" s="8" t="inlineStr">
        <is>
          <t>31/08/2026 02:59</t>
        </is>
      </c>
    </row>
    <row r="1245">
      <c r="A1245" s="7" t="inlineStr">
        <is>
          <t>WHAP 8x8</t>
        </is>
      </c>
      <c r="B1245" s="7" t="inlineStr">
        <is>
          <t>WHAP-1241</t>
        </is>
      </c>
      <c r="C1245" s="7" t="inlineStr">
        <is>
          <t>POR-1241</t>
        </is>
      </c>
      <c r="D1245" s="7" t="inlineStr">
        <is>
          <t>poignée extérieure — arrière droit</t>
        </is>
      </c>
      <c r="E1245" s="7" t="inlineStr">
        <is>
          <t>Portes et trappes</t>
        </is>
      </c>
      <c r="F1245" s="7" t="inlineStr">
        <is>
          <t>Portes et trappes</t>
        </is>
      </c>
      <c r="G1245" s="7" t="inlineStr">
        <is>
          <t>PIECE_VEHICULE</t>
        </is>
      </c>
      <c r="H1245" s="7" t="n">
        <v>1</v>
      </c>
      <c r="I1245" s="7">
        <f>H1245*$D$3</f>
        <v/>
      </c>
      <c r="J1245" s="7" t="inlineStr">
        <is>
          <t>unité</t>
        </is>
      </c>
      <c r="K1245" s="7" t="n">
        <v>0</v>
      </c>
      <c r="L1245" s="7">
        <f>K1245-I1245</f>
        <v/>
      </c>
      <c r="M1245" s="7">
        <f>IF(K1245&lt;I1245,"✕ INSUFFISANT",IF(K1245&lt;I1245*1.2,"⚠ STOCK FAIBLE","✓ COUVERT"))</f>
        <v/>
      </c>
      <c r="N1245" s="7" t="inlineStr">
        <is>
          <t>VAL</t>
        </is>
      </c>
      <c r="O1245" s="7" t="inlineStr">
        <is>
          <t>STANDARD</t>
        </is>
      </c>
      <c r="P1245" s="7" t="inlineStr">
        <is>
          <t>31/08/2026 02:59</t>
        </is>
      </c>
    </row>
    <row r="1246">
      <c r="A1246" s="8" t="inlineStr">
        <is>
          <t>WHAP 8x8</t>
        </is>
      </c>
      <c r="B1246" s="8" t="inlineStr">
        <is>
          <t>WHAP-1242</t>
        </is>
      </c>
      <c r="C1246" s="8" t="inlineStr">
        <is>
          <t>POR-1242</t>
        </is>
      </c>
      <c r="D1246" s="8" t="inlineStr">
        <is>
          <t>câble de commande — arrière droit</t>
        </is>
      </c>
      <c r="E1246" s="8" t="inlineStr">
        <is>
          <t>Portes et trappes</t>
        </is>
      </c>
      <c r="F1246" s="8" t="inlineStr">
        <is>
          <t>Portes et trappes</t>
        </is>
      </c>
      <c r="G1246" s="8" t="inlineStr">
        <is>
          <t>PIECE_VEHICULE</t>
        </is>
      </c>
      <c r="H1246" s="8" t="n">
        <v>1</v>
      </c>
      <c r="I1246" s="8">
        <f>H1246*$D$3</f>
        <v/>
      </c>
      <c r="J1246" s="8" t="inlineStr">
        <is>
          <t>unité</t>
        </is>
      </c>
      <c r="K1246" s="8" t="n">
        <v>0</v>
      </c>
      <c r="L1246" s="8">
        <f>K1246-I1246</f>
        <v/>
      </c>
      <c r="M1246" s="8">
        <f>IF(K1246&lt;I1246,"✕ INSUFFISANT",IF(K1246&lt;I1246*1.2,"⚠ STOCK FAIBLE","✓ COUVERT"))</f>
        <v/>
      </c>
      <c r="N1246" s="8" t="inlineStr">
        <is>
          <t>YZK</t>
        </is>
      </c>
      <c r="O1246" s="8" t="inlineStr">
        <is>
          <t>STANDARD</t>
        </is>
      </c>
      <c r="P1246" s="8" t="inlineStr">
        <is>
          <t>31/08/2026 02:59</t>
        </is>
      </c>
    </row>
    <row r="1247">
      <c r="A1247" s="7" t="inlineStr">
        <is>
          <t>WHAP 8x8</t>
        </is>
      </c>
      <c r="B1247" s="7" t="inlineStr">
        <is>
          <t>WHAP-1243</t>
        </is>
      </c>
      <c r="C1247" s="7" t="inlineStr">
        <is>
          <t>POR-1243</t>
        </is>
      </c>
      <c r="D1247" s="7" t="inlineStr">
        <is>
          <t>vérin à gaz — arrière droit</t>
        </is>
      </c>
      <c r="E1247" s="7" t="inlineStr">
        <is>
          <t>Portes et trappes</t>
        </is>
      </c>
      <c r="F1247" s="7" t="inlineStr">
        <is>
          <t>Portes et trappes</t>
        </is>
      </c>
      <c r="G1247" s="7" t="inlineStr">
        <is>
          <t>PIECE_VEHICULE</t>
        </is>
      </c>
      <c r="H1247" s="7" t="n">
        <v>1</v>
      </c>
      <c r="I1247" s="7">
        <f>H1247*$D$3</f>
        <v/>
      </c>
      <c r="J1247" s="7" t="inlineStr">
        <is>
          <t>unité</t>
        </is>
      </c>
      <c r="K1247" s="7" t="n">
        <v>0</v>
      </c>
      <c r="L1247" s="7">
        <f>K1247-I1247</f>
        <v/>
      </c>
      <c r="M1247" s="7">
        <f>IF(K1247&lt;I1247,"✕ INSUFFISANT",IF(K1247&lt;I1247*1.2,"⚠ STOCK FAIBLE","✓ COUVERT"))</f>
        <v/>
      </c>
      <c r="N1247" s="7" t="inlineStr">
        <is>
          <t>VAL</t>
        </is>
      </c>
      <c r="O1247" s="7" t="inlineStr">
        <is>
          <t>STANDARD</t>
        </is>
      </c>
      <c r="P1247" s="7" t="inlineStr">
        <is>
          <t>31/08/2026 02:59</t>
        </is>
      </c>
    </row>
    <row r="1248">
      <c r="A1248" s="8" t="inlineStr">
        <is>
          <t>WHAP 8x8</t>
        </is>
      </c>
      <c r="B1248" s="8" t="inlineStr">
        <is>
          <t>WHAP-1244</t>
        </is>
      </c>
      <c r="C1248" s="8" t="inlineStr">
        <is>
          <t>POR-1244</t>
        </is>
      </c>
      <c r="D1248" s="8" t="inlineStr">
        <is>
          <t>vérin hydraulique — arrière droit</t>
        </is>
      </c>
      <c r="E1248" s="8" t="inlineStr">
        <is>
          <t>Portes et trappes</t>
        </is>
      </c>
      <c r="F1248" s="8" t="inlineStr">
        <is>
          <t>Portes et trappes</t>
        </is>
      </c>
      <c r="G1248" s="8" t="inlineStr">
        <is>
          <t>PIECE_VEHICULE</t>
        </is>
      </c>
      <c r="H1248" s="8" t="n">
        <v>1</v>
      </c>
      <c r="I1248" s="8">
        <f>H1248*$D$3</f>
        <v/>
      </c>
      <c r="J1248" s="8" t="inlineStr">
        <is>
          <t>unité</t>
        </is>
      </c>
      <c r="K1248" s="8" t="n">
        <v>0</v>
      </c>
      <c r="L1248" s="8">
        <f>K1248-I1248</f>
        <v/>
      </c>
      <c r="M1248" s="8">
        <f>IF(K1248&lt;I1248,"✕ INSUFFISANT",IF(K1248&lt;I1248*1.2,"⚠ STOCK FAIBLE","✓ COUVERT"))</f>
        <v/>
      </c>
      <c r="N1248" s="8" t="inlineStr">
        <is>
          <t>BOS</t>
        </is>
      </c>
      <c r="O1248" s="8" t="inlineStr">
        <is>
          <t>STANDARD</t>
        </is>
      </c>
      <c r="P1248" s="8" t="inlineStr">
        <is>
          <t>31/08/2026 02:59</t>
        </is>
      </c>
    </row>
    <row r="1249">
      <c r="A1249" s="7" t="inlineStr">
        <is>
          <t>WHAP 8x8</t>
        </is>
      </c>
      <c r="B1249" s="7" t="inlineStr">
        <is>
          <t>WHAP-1245</t>
        </is>
      </c>
      <c r="C1249" s="7" t="inlineStr">
        <is>
          <t>POR-1245</t>
        </is>
      </c>
      <c r="D1249" s="7" t="inlineStr">
        <is>
          <t>joint de porte — arrière droit</t>
        </is>
      </c>
      <c r="E1249" s="7" t="inlineStr">
        <is>
          <t>Portes et trappes</t>
        </is>
      </c>
      <c r="F1249" s="7" t="inlineStr">
        <is>
          <t>Portes et trappes</t>
        </is>
      </c>
      <c r="G1249" s="7" t="inlineStr">
        <is>
          <t>PIECE_VEHICULE</t>
        </is>
      </c>
      <c r="H1249" s="7" t="n">
        <v>1</v>
      </c>
      <c r="I1249" s="7">
        <f>H1249*$D$3</f>
        <v/>
      </c>
      <c r="J1249" s="7" t="inlineStr">
        <is>
          <t>unité</t>
        </is>
      </c>
      <c r="K1249" s="7" t="n">
        <v>0</v>
      </c>
      <c r="L1249" s="7">
        <f>K1249-I1249</f>
        <v/>
      </c>
      <c r="M1249" s="7">
        <f>IF(K1249&lt;I1249,"✕ INSUFFISANT",IF(K1249&lt;I1249*1.2,"⚠ STOCK FAIBLE","✓ COUVERT"))</f>
        <v/>
      </c>
      <c r="N1249" s="7" t="inlineStr">
        <is>
          <t>SKF</t>
        </is>
      </c>
      <c r="O1249" s="7" t="inlineStr">
        <is>
          <t>STANDARD</t>
        </is>
      </c>
      <c r="P1249" s="7" t="inlineStr">
        <is>
          <t>31/08/2026 02:59</t>
        </is>
      </c>
    </row>
    <row r="1250">
      <c r="A1250" s="8" t="inlineStr">
        <is>
          <t>WHAP 8x8</t>
        </is>
      </c>
      <c r="B1250" s="8" t="inlineStr">
        <is>
          <t>WHAP-1246</t>
        </is>
      </c>
      <c r="C1250" s="8" t="inlineStr">
        <is>
          <t>POR-1246</t>
        </is>
      </c>
      <c r="D1250" s="8" t="inlineStr">
        <is>
          <t>joint de trappe — arrière droit</t>
        </is>
      </c>
      <c r="E1250" s="8" t="inlineStr">
        <is>
          <t>Portes et trappes</t>
        </is>
      </c>
      <c r="F1250" s="8" t="inlineStr">
        <is>
          <t>Portes et trappes</t>
        </is>
      </c>
      <c r="G1250" s="8" t="inlineStr">
        <is>
          <t>PIECE_VEHICULE</t>
        </is>
      </c>
      <c r="H1250" s="8" t="n">
        <v>1</v>
      </c>
      <c r="I1250" s="8">
        <f>H1250*$D$3</f>
        <v/>
      </c>
      <c r="J1250" s="8" t="inlineStr">
        <is>
          <t>unité</t>
        </is>
      </c>
      <c r="K1250" s="8" t="n">
        <v>0</v>
      </c>
      <c r="L1250" s="8">
        <f>K1250-I1250</f>
        <v/>
      </c>
      <c r="M1250" s="8">
        <f>IF(K1250&lt;I1250,"✕ INSUFFISANT",IF(K1250&lt;I1250*1.2,"⚠ STOCK FAIBLE","✓ COUVERT"))</f>
        <v/>
      </c>
      <c r="N1250" s="8" t="inlineStr">
        <is>
          <t>BOS</t>
        </is>
      </c>
      <c r="O1250" s="8" t="inlineStr">
        <is>
          <t>STANDARD</t>
        </is>
      </c>
      <c r="P1250" s="8" t="inlineStr">
        <is>
          <t>31/08/2026 02:59</t>
        </is>
      </c>
    </row>
    <row r="1251">
      <c r="A1251" s="7" t="inlineStr">
        <is>
          <t>WHAP 8x8</t>
        </is>
      </c>
      <c r="B1251" s="7" t="inlineStr">
        <is>
          <t>WHAP-1247</t>
        </is>
      </c>
      <c r="C1251" s="7" t="inlineStr">
        <is>
          <t>POR-1247</t>
        </is>
      </c>
      <c r="D1251" s="7" t="inlineStr">
        <is>
          <t>vitre blindée — arrière droit</t>
        </is>
      </c>
      <c r="E1251" s="7" t="inlineStr">
        <is>
          <t>Portes et trappes</t>
        </is>
      </c>
      <c r="F1251" s="7" t="inlineStr">
        <is>
          <t>Portes et trappes</t>
        </is>
      </c>
      <c r="G1251" s="7" t="inlineStr">
        <is>
          <t>PIECE_VEHICULE</t>
        </is>
      </c>
      <c r="H1251" s="7" t="n">
        <v>1</v>
      </c>
      <c r="I1251" s="7">
        <f>H1251*$D$3</f>
        <v/>
      </c>
      <c r="J1251" s="7" t="inlineStr">
        <is>
          <t>unité</t>
        </is>
      </c>
      <c r="K1251" s="7" t="n">
        <v>0</v>
      </c>
      <c r="L1251" s="7">
        <f>K1251-I1251</f>
        <v/>
      </c>
      <c r="M1251" s="7">
        <f>IF(K1251&lt;I1251,"✕ INSUFFISANT",IF(K1251&lt;I1251*1.2,"⚠ STOCK FAIBLE","✓ COUVERT"))</f>
        <v/>
      </c>
      <c r="N1251" s="7" t="inlineStr">
        <is>
          <t>SKF</t>
        </is>
      </c>
      <c r="O1251" s="7" t="inlineStr">
        <is>
          <t>STANDARD</t>
        </is>
      </c>
      <c r="P1251" s="7" t="inlineStr">
        <is>
          <t>31/08/2026 02:59</t>
        </is>
      </c>
    </row>
    <row r="1252">
      <c r="A1252" s="8" t="inlineStr">
        <is>
          <t>WHAP 8x8</t>
        </is>
      </c>
      <c r="B1252" s="8" t="inlineStr">
        <is>
          <t>WHAP-1248</t>
        </is>
      </c>
      <c r="C1252" s="8" t="inlineStr">
        <is>
          <t>POR-1248</t>
        </is>
      </c>
      <c r="D1252" s="8" t="inlineStr">
        <is>
          <t>cadre de vitre — arrière droit</t>
        </is>
      </c>
      <c r="E1252" s="8" t="inlineStr">
        <is>
          <t>Portes et trappes</t>
        </is>
      </c>
      <c r="F1252" s="8" t="inlineStr">
        <is>
          <t>Portes et trappes</t>
        </is>
      </c>
      <c r="G1252" s="8" t="inlineStr">
        <is>
          <t>PIECE_VEHICULE</t>
        </is>
      </c>
      <c r="H1252" s="8" t="n">
        <v>1</v>
      </c>
      <c r="I1252" s="8">
        <f>H1252*$D$3</f>
        <v/>
      </c>
      <c r="J1252" s="8" t="inlineStr">
        <is>
          <t>unité</t>
        </is>
      </c>
      <c r="K1252" s="8" t="n">
        <v>0</v>
      </c>
      <c r="L1252" s="8">
        <f>K1252-I1252</f>
        <v/>
      </c>
      <c r="M1252" s="8">
        <f>IF(K1252&lt;I1252,"✕ INSUFFISANT",IF(K1252&lt;I1252*1.2,"⚠ STOCK FAIBLE","✓ COUVERT"))</f>
        <v/>
      </c>
      <c r="N1252" s="8" t="inlineStr">
        <is>
          <t>SKF</t>
        </is>
      </c>
      <c r="O1252" s="8" t="inlineStr">
        <is>
          <t>STANDARD</t>
        </is>
      </c>
      <c r="P1252" s="8" t="inlineStr">
        <is>
          <t>31/08/2026 02:59</t>
        </is>
      </c>
    </row>
    <row r="1253">
      <c r="A1253" s="7" t="inlineStr">
        <is>
          <t>WHAP 8x8</t>
        </is>
      </c>
      <c r="B1253" s="7" t="inlineStr">
        <is>
          <t>WHAP-1249</t>
        </is>
      </c>
      <c r="C1253" s="7" t="inlineStr">
        <is>
          <t>POR-1249</t>
        </is>
      </c>
      <c r="D1253" s="7" t="inlineStr">
        <is>
          <t>lève-vitre — arrière droit</t>
        </is>
      </c>
      <c r="E1253" s="7" t="inlineStr">
        <is>
          <t>Portes et trappes</t>
        </is>
      </c>
      <c r="F1253" s="7" t="inlineStr">
        <is>
          <t>Portes et trappes</t>
        </is>
      </c>
      <c r="G1253" s="7" t="inlineStr">
        <is>
          <t>PIECE_VEHICULE</t>
        </is>
      </c>
      <c r="H1253" s="7" t="n">
        <v>1</v>
      </c>
      <c r="I1253" s="7">
        <f>H1253*$D$3</f>
        <v/>
      </c>
      <c r="J1253" s="7" t="inlineStr">
        <is>
          <t>unité</t>
        </is>
      </c>
      <c r="K1253" s="7" t="n">
        <v>0</v>
      </c>
      <c r="L1253" s="7">
        <f>K1253-I1253</f>
        <v/>
      </c>
      <c r="M1253" s="7">
        <f>IF(K1253&lt;I1253,"✕ INSUFFISANT",IF(K1253&lt;I1253*1.2,"⚠ STOCK FAIBLE","✓ COUVERT"))</f>
        <v/>
      </c>
      <c r="N1253" s="7" t="inlineStr">
        <is>
          <t>BOS</t>
        </is>
      </c>
      <c r="O1253" s="7" t="inlineStr">
        <is>
          <t>STANDARD</t>
        </is>
      </c>
      <c r="P1253" s="7" t="inlineStr">
        <is>
          <t>31/08/2026 02:59</t>
        </is>
      </c>
    </row>
    <row r="1254">
      <c r="A1254" s="8" t="inlineStr">
        <is>
          <t>WHAP 8x8</t>
        </is>
      </c>
      <c r="B1254" s="8" t="inlineStr">
        <is>
          <t>WHAP-1250</t>
        </is>
      </c>
      <c r="C1254" s="8" t="inlineStr">
        <is>
          <t>POR-1250</t>
        </is>
      </c>
      <c r="D1254" s="8" t="inlineStr">
        <is>
          <t>mécanisme de vitre — arrière droit</t>
        </is>
      </c>
      <c r="E1254" s="8" t="inlineStr">
        <is>
          <t>Portes et trappes</t>
        </is>
      </c>
      <c r="F1254" s="8" t="inlineStr">
        <is>
          <t>Portes et trappes</t>
        </is>
      </c>
      <c r="G1254" s="8" t="inlineStr">
        <is>
          <t>PIECE_VEHICULE</t>
        </is>
      </c>
      <c r="H1254" s="8" t="n">
        <v>1</v>
      </c>
      <c r="I1254" s="8">
        <f>H1254*$D$3</f>
        <v/>
      </c>
      <c r="J1254" s="8" t="inlineStr">
        <is>
          <t>unité</t>
        </is>
      </c>
      <c r="K1254" s="8" t="n">
        <v>0</v>
      </c>
      <c r="L1254" s="8">
        <f>K1254-I1254</f>
        <v/>
      </c>
      <c r="M1254" s="8">
        <f>IF(K1254&lt;I1254,"✕ INSUFFISANT",IF(K1254&lt;I1254*1.2,"⚠ STOCK FAIBLE","✓ COUVERT"))</f>
        <v/>
      </c>
      <c r="N1254" s="8" t="inlineStr">
        <is>
          <t>BOS</t>
        </is>
      </c>
      <c r="O1254" s="8" t="inlineStr">
        <is>
          <t>STANDARD</t>
        </is>
      </c>
      <c r="P1254" s="8" t="inlineStr">
        <is>
          <t>31/08/2026 02:59</t>
        </is>
      </c>
    </row>
    <row r="1255">
      <c r="A1255" s="7" t="inlineStr">
        <is>
          <t>WHAP 8x8</t>
        </is>
      </c>
      <c r="B1255" s="7" t="inlineStr">
        <is>
          <t>WHAP-1251</t>
        </is>
      </c>
      <c r="C1255" s="7" t="inlineStr">
        <is>
          <t>POR-1251</t>
        </is>
      </c>
      <c r="D1255" s="7" t="inlineStr">
        <is>
          <t>butée — arrière droit</t>
        </is>
      </c>
      <c r="E1255" s="7" t="inlineStr">
        <is>
          <t>Portes et trappes</t>
        </is>
      </c>
      <c r="F1255" s="7" t="inlineStr">
        <is>
          <t>Portes et trappes</t>
        </is>
      </c>
      <c r="G1255" s="7" t="inlineStr">
        <is>
          <t>PIECE_VEHICULE</t>
        </is>
      </c>
      <c r="H1255" s="7" t="n">
        <v>1</v>
      </c>
      <c r="I1255" s="7">
        <f>H1255*$D$3</f>
        <v/>
      </c>
      <c r="J1255" s="7" t="inlineStr">
        <is>
          <t>unité</t>
        </is>
      </c>
      <c r="K1255" s="7" t="n">
        <v>0</v>
      </c>
      <c r="L1255" s="7">
        <f>K1255-I1255</f>
        <v/>
      </c>
      <c r="M1255" s="7">
        <f>IF(K1255&lt;I1255,"✕ INSUFFISANT",IF(K1255&lt;I1255*1.2,"⚠ STOCK FAIBLE","✓ COUVERT"))</f>
        <v/>
      </c>
      <c r="N1255" s="7" t="inlineStr">
        <is>
          <t>HEL</t>
        </is>
      </c>
      <c r="O1255" s="7" t="inlineStr">
        <is>
          <t>STANDARD</t>
        </is>
      </c>
      <c r="P1255" s="7" t="inlineStr">
        <is>
          <t>31/08/2026 02:59</t>
        </is>
      </c>
    </row>
    <row r="1256">
      <c r="A1256" s="8" t="inlineStr">
        <is>
          <t>WHAP 8x8</t>
        </is>
      </c>
      <c r="B1256" s="8" t="inlineStr">
        <is>
          <t>WHAP-1252</t>
        </is>
      </c>
      <c r="C1256" s="8" t="inlineStr">
        <is>
          <t>POR-1252</t>
        </is>
      </c>
      <c r="D1256" s="8" t="inlineStr">
        <is>
          <t>gâche — arrière droit</t>
        </is>
      </c>
      <c r="E1256" s="8" t="inlineStr">
        <is>
          <t>Portes et trappes</t>
        </is>
      </c>
      <c r="F1256" s="8" t="inlineStr">
        <is>
          <t>Portes et trappes</t>
        </is>
      </c>
      <c r="G1256" s="8" t="inlineStr">
        <is>
          <t>PIECE_VEHICULE</t>
        </is>
      </c>
      <c r="H1256" s="8" t="n">
        <v>1</v>
      </c>
      <c r="I1256" s="8">
        <f>H1256*$D$3</f>
        <v/>
      </c>
      <c r="J1256" s="8" t="inlineStr">
        <is>
          <t>unité</t>
        </is>
      </c>
      <c r="K1256" s="8" t="n">
        <v>0</v>
      </c>
      <c r="L1256" s="8">
        <f>K1256-I1256</f>
        <v/>
      </c>
      <c r="M1256" s="8">
        <f>IF(K1256&lt;I1256,"✕ INSUFFISANT",IF(K1256&lt;I1256*1.2,"⚠ STOCK FAIBLE","✓ COUVERT"))</f>
        <v/>
      </c>
      <c r="N1256" s="8" t="inlineStr">
        <is>
          <t>HEL</t>
        </is>
      </c>
      <c r="O1256" s="8" t="inlineStr">
        <is>
          <t>STANDARD</t>
        </is>
      </c>
      <c r="P1256" s="8" t="inlineStr">
        <is>
          <t>31/08/2026 02:59</t>
        </is>
      </c>
    </row>
    <row r="1257">
      <c r="A1257" s="7" t="inlineStr">
        <is>
          <t>WHAP 8x8</t>
        </is>
      </c>
      <c r="B1257" s="7" t="inlineStr">
        <is>
          <t>WHAP-1253</t>
        </is>
      </c>
      <c r="C1257" s="7" t="inlineStr">
        <is>
          <t>POR-1253</t>
        </is>
      </c>
      <c r="D1257" s="7" t="inlineStr">
        <is>
          <t>axe de charnière — arrière droit</t>
        </is>
      </c>
      <c r="E1257" s="7" t="inlineStr">
        <is>
          <t>Portes et trappes</t>
        </is>
      </c>
      <c r="F1257" s="7" t="inlineStr">
        <is>
          <t>Portes et trappes</t>
        </is>
      </c>
      <c r="G1257" s="7" t="inlineStr">
        <is>
          <t>PIECE_VEHICULE</t>
        </is>
      </c>
      <c r="H1257" s="7" t="n">
        <v>1</v>
      </c>
      <c r="I1257" s="7">
        <f>H1257*$D$3</f>
        <v/>
      </c>
      <c r="J1257" s="7" t="inlineStr">
        <is>
          <t>unité</t>
        </is>
      </c>
      <c r="K1257" s="7" t="n">
        <v>0</v>
      </c>
      <c r="L1257" s="7">
        <f>K1257-I1257</f>
        <v/>
      </c>
      <c r="M1257" s="7">
        <f>IF(K1257&lt;I1257,"✕ INSUFFISANT",IF(K1257&lt;I1257*1.2,"⚠ STOCK FAIBLE","✓ COUVERT"))</f>
        <v/>
      </c>
      <c r="N1257" s="7" t="inlineStr">
        <is>
          <t>YZK</t>
        </is>
      </c>
      <c r="O1257" s="7" t="inlineStr">
        <is>
          <t>STANDARD</t>
        </is>
      </c>
      <c r="P1257" s="7" t="inlineStr">
        <is>
          <t>31/08/2026 02:59</t>
        </is>
      </c>
    </row>
    <row r="1258">
      <c r="A1258" s="8" t="inlineStr">
        <is>
          <t>WHAP 8x8</t>
        </is>
      </c>
      <c r="B1258" s="8" t="inlineStr">
        <is>
          <t>WHAP-1254</t>
        </is>
      </c>
      <c r="C1258" s="8" t="inlineStr">
        <is>
          <t>OBS-1254</t>
        </is>
      </c>
      <c r="D1258" s="8" t="inlineStr">
        <is>
          <t>périscope — avant</t>
        </is>
      </c>
      <c r="E1258" s="8" t="inlineStr">
        <is>
          <t>Observation</t>
        </is>
      </c>
      <c r="F1258" s="8" t="inlineStr">
        <is>
          <t>Observation</t>
        </is>
      </c>
      <c r="G1258" s="8" t="inlineStr">
        <is>
          <t>EQUIPEMENT_VEHICULE</t>
        </is>
      </c>
      <c r="H1258" s="8" t="n">
        <v>1</v>
      </c>
      <c r="I1258" s="8">
        <f>H1258*$D$3</f>
        <v/>
      </c>
      <c r="J1258" s="8" t="inlineStr">
        <is>
          <t>unité</t>
        </is>
      </c>
      <c r="K1258" s="8" t="n">
        <v>0</v>
      </c>
      <c r="L1258" s="8">
        <f>K1258-I1258</f>
        <v/>
      </c>
      <c r="M1258" s="8">
        <f>IF(K1258&lt;I1258,"✕ INSUFFISANT",IF(K1258&lt;I1258*1.2,"⚠ STOCK FAIBLE","✓ COUVERT"))</f>
        <v/>
      </c>
      <c r="N1258" s="8" t="inlineStr">
        <is>
          <t>MAG</t>
        </is>
      </c>
      <c r="O1258" s="8" t="inlineStr">
        <is>
          <t>STANDARD</t>
        </is>
      </c>
      <c r="P1258" s="8" t="inlineStr">
        <is>
          <t>31/08/2026 02:59</t>
        </is>
      </c>
    </row>
    <row r="1259">
      <c r="A1259" s="7" t="inlineStr">
        <is>
          <t>WHAP 8x8</t>
        </is>
      </c>
      <c r="B1259" s="7" t="inlineStr">
        <is>
          <t>WHAP-1255</t>
        </is>
      </c>
      <c r="C1259" s="7" t="inlineStr">
        <is>
          <t>OBS-1255</t>
        </is>
      </c>
      <c r="D1259" s="7" t="inlineStr">
        <is>
          <t>bloc optique — avant</t>
        </is>
      </c>
      <c r="E1259" s="7" t="inlineStr">
        <is>
          <t>Observation</t>
        </is>
      </c>
      <c r="F1259" s="7" t="inlineStr">
        <is>
          <t>Observation</t>
        </is>
      </c>
      <c r="G1259" s="7" t="inlineStr">
        <is>
          <t>EQUIPEMENT_VEHICULE</t>
        </is>
      </c>
      <c r="H1259" s="7" t="n">
        <v>1</v>
      </c>
      <c r="I1259" s="7">
        <f>H1259*$D$3</f>
        <v/>
      </c>
      <c r="J1259" s="7" t="inlineStr">
        <is>
          <t>unité</t>
        </is>
      </c>
      <c r="K1259" s="7" t="n">
        <v>0</v>
      </c>
      <c r="L1259" s="7">
        <f>K1259-I1259</f>
        <v/>
      </c>
      <c r="M1259" s="7">
        <f>IF(K1259&lt;I1259,"✕ INSUFFISANT",IF(K1259&lt;I1259*1.2,"⚠ STOCK FAIBLE","✓ COUVERT"))</f>
        <v/>
      </c>
      <c r="N1259" s="7" t="inlineStr">
        <is>
          <t>MAG</t>
        </is>
      </c>
      <c r="O1259" s="7" t="inlineStr">
        <is>
          <t>STANDARD</t>
        </is>
      </c>
      <c r="P1259" s="7" t="inlineStr">
        <is>
          <t>31/08/2026 02:59</t>
        </is>
      </c>
    </row>
    <row r="1260">
      <c r="A1260" s="8" t="inlineStr">
        <is>
          <t>WHAP 8x8</t>
        </is>
      </c>
      <c r="B1260" s="8" t="inlineStr">
        <is>
          <t>WHAP-1256</t>
        </is>
      </c>
      <c r="C1260" s="8" t="inlineStr">
        <is>
          <t>OBS-1256</t>
        </is>
      </c>
      <c r="D1260" s="8" t="inlineStr">
        <is>
          <t>viseur conducteur — avant</t>
        </is>
      </c>
      <c r="E1260" s="8" t="inlineStr">
        <is>
          <t>Observation</t>
        </is>
      </c>
      <c r="F1260" s="8" t="inlineStr">
        <is>
          <t>Observation</t>
        </is>
      </c>
      <c r="G1260" s="8" t="inlineStr">
        <is>
          <t>EQUIPEMENT_VEHICULE</t>
        </is>
      </c>
      <c r="H1260" s="8" t="n">
        <v>1</v>
      </c>
      <c r="I1260" s="8">
        <f>H1260*$D$3</f>
        <v/>
      </c>
      <c r="J1260" s="8" t="inlineStr">
        <is>
          <t>unité</t>
        </is>
      </c>
      <c r="K1260" s="8" t="n">
        <v>0</v>
      </c>
      <c r="L1260" s="8">
        <f>K1260-I1260</f>
        <v/>
      </c>
      <c r="M1260" s="8">
        <f>IF(K1260&lt;I1260,"✕ INSUFFISANT",IF(K1260&lt;I1260*1.2,"⚠ STOCK FAIBLE","✓ COUVERT"))</f>
        <v/>
      </c>
      <c r="N1260" s="8" t="inlineStr">
        <is>
          <t>VAL</t>
        </is>
      </c>
      <c r="O1260" s="8" t="inlineStr">
        <is>
          <t>STANDARD</t>
        </is>
      </c>
      <c r="P1260" s="8" t="inlineStr">
        <is>
          <t>31/08/2026 02:59</t>
        </is>
      </c>
    </row>
    <row r="1261">
      <c r="A1261" s="7" t="inlineStr">
        <is>
          <t>WHAP 8x8</t>
        </is>
      </c>
      <c r="B1261" s="7" t="inlineStr">
        <is>
          <t>WHAP-1257</t>
        </is>
      </c>
      <c r="C1261" s="7" t="inlineStr">
        <is>
          <t>OBS-1257</t>
        </is>
      </c>
      <c r="D1261" s="7" t="inlineStr">
        <is>
          <t>caméra avant — avant</t>
        </is>
      </c>
      <c r="E1261" s="7" t="inlineStr">
        <is>
          <t>Observation</t>
        </is>
      </c>
      <c r="F1261" s="7" t="inlineStr">
        <is>
          <t>Observation</t>
        </is>
      </c>
      <c r="G1261" s="7" t="inlineStr">
        <is>
          <t>EQUIPEMENT_VEHICULE</t>
        </is>
      </c>
      <c r="H1261" s="7" t="n">
        <v>1</v>
      </c>
      <c r="I1261" s="7">
        <f>H1261*$D$3</f>
        <v/>
      </c>
      <c r="J1261" s="7" t="inlineStr">
        <is>
          <t>unité</t>
        </is>
      </c>
      <c r="K1261" s="7" t="n">
        <v>0</v>
      </c>
      <c r="L1261" s="7">
        <f>K1261-I1261</f>
        <v/>
      </c>
      <c r="M1261" s="7">
        <f>IF(K1261&lt;I1261,"✕ INSUFFISANT",IF(K1261&lt;I1261*1.2,"⚠ STOCK FAIBLE","✓ COUVERT"))</f>
        <v/>
      </c>
      <c r="N1261" s="7" t="inlineStr">
        <is>
          <t>SKF</t>
        </is>
      </c>
      <c r="O1261" s="7" t="inlineStr">
        <is>
          <t>STANDARD</t>
        </is>
      </c>
      <c r="P1261" s="7" t="inlineStr">
        <is>
          <t>31/08/2026 02:59</t>
        </is>
      </c>
    </row>
    <row r="1262">
      <c r="A1262" s="8" t="inlineStr">
        <is>
          <t>WHAP 8x8</t>
        </is>
      </c>
      <c r="B1262" s="8" t="inlineStr">
        <is>
          <t>WHAP-1258</t>
        </is>
      </c>
      <c r="C1262" s="8" t="inlineStr">
        <is>
          <t>OBS-1258</t>
        </is>
      </c>
      <c r="D1262" s="8" t="inlineStr">
        <is>
          <t>caméra arrière — avant</t>
        </is>
      </c>
      <c r="E1262" s="8" t="inlineStr">
        <is>
          <t>Observation</t>
        </is>
      </c>
      <c r="F1262" s="8" t="inlineStr">
        <is>
          <t>Observation</t>
        </is>
      </c>
      <c r="G1262" s="8" t="inlineStr">
        <is>
          <t>EQUIPEMENT_VEHICULE</t>
        </is>
      </c>
      <c r="H1262" s="8" t="n">
        <v>1</v>
      </c>
      <c r="I1262" s="8">
        <f>H1262*$D$3</f>
        <v/>
      </c>
      <c r="J1262" s="8" t="inlineStr">
        <is>
          <t>unité</t>
        </is>
      </c>
      <c r="K1262" s="8" t="n">
        <v>0</v>
      </c>
      <c r="L1262" s="8">
        <f>K1262-I1262</f>
        <v/>
      </c>
      <c r="M1262" s="8">
        <f>IF(K1262&lt;I1262,"✕ INSUFFISANT",IF(K1262&lt;I1262*1.2,"⚠ STOCK FAIBLE","✓ COUVERT"))</f>
        <v/>
      </c>
      <c r="N1262" s="8" t="inlineStr">
        <is>
          <t>DEL</t>
        </is>
      </c>
      <c r="O1262" s="8" t="inlineStr">
        <is>
          <t>STANDARD</t>
        </is>
      </c>
      <c r="P1262" s="8" t="inlineStr">
        <is>
          <t>31/08/2026 02:59</t>
        </is>
      </c>
    </row>
    <row r="1263">
      <c r="A1263" s="7" t="inlineStr">
        <is>
          <t>WHAP 8x8</t>
        </is>
      </c>
      <c r="B1263" s="7" t="inlineStr">
        <is>
          <t>WHAP-1259</t>
        </is>
      </c>
      <c r="C1263" s="7" t="inlineStr">
        <is>
          <t>OBS-1259</t>
        </is>
      </c>
      <c r="D1263" s="7" t="inlineStr">
        <is>
          <t>caméra latérale — avant</t>
        </is>
      </c>
      <c r="E1263" s="7" t="inlineStr">
        <is>
          <t>Observation</t>
        </is>
      </c>
      <c r="F1263" s="7" t="inlineStr">
        <is>
          <t>Observation</t>
        </is>
      </c>
      <c r="G1263" s="7" t="inlineStr">
        <is>
          <t>EQUIPEMENT_VEHICULE</t>
        </is>
      </c>
      <c r="H1263" s="7" t="n">
        <v>1</v>
      </c>
      <c r="I1263" s="7">
        <f>H1263*$D$3</f>
        <v/>
      </c>
      <c r="J1263" s="7" t="inlineStr">
        <is>
          <t>unité</t>
        </is>
      </c>
      <c r="K1263" s="7" t="n">
        <v>0</v>
      </c>
      <c r="L1263" s="7">
        <f>K1263-I1263</f>
        <v/>
      </c>
      <c r="M1263" s="7">
        <f>IF(K1263&lt;I1263,"✕ INSUFFISANT",IF(K1263&lt;I1263*1.2,"⚠ STOCK FAIBLE","✓ COUVERT"))</f>
        <v/>
      </c>
      <c r="N1263" s="7" t="inlineStr">
        <is>
          <t>DEL</t>
        </is>
      </c>
      <c r="O1263" s="7" t="inlineStr">
        <is>
          <t>STANDARD</t>
        </is>
      </c>
      <c r="P1263" s="7" t="inlineStr">
        <is>
          <t>31/08/2026 02:59</t>
        </is>
      </c>
    </row>
    <row r="1264">
      <c r="A1264" s="8" t="inlineStr">
        <is>
          <t>WHAP 8x8</t>
        </is>
      </c>
      <c r="B1264" s="8" t="inlineStr">
        <is>
          <t>WHAP-1260</t>
        </is>
      </c>
      <c r="C1264" s="8" t="inlineStr">
        <is>
          <t>OBS-1260</t>
        </is>
      </c>
      <c r="D1264" s="8" t="inlineStr">
        <is>
          <t>caméra thermique — avant</t>
        </is>
      </c>
      <c r="E1264" s="8" t="inlineStr">
        <is>
          <t>Observation</t>
        </is>
      </c>
      <c r="F1264" s="8" t="inlineStr">
        <is>
          <t>Observation</t>
        </is>
      </c>
      <c r="G1264" s="8" t="inlineStr">
        <is>
          <t>EQUIPEMENT_VEHICULE</t>
        </is>
      </c>
      <c r="H1264" s="8" t="n">
        <v>1</v>
      </c>
      <c r="I1264" s="8">
        <f>H1264*$D$3</f>
        <v/>
      </c>
      <c r="J1264" s="8" t="inlineStr">
        <is>
          <t>unité</t>
        </is>
      </c>
      <c r="K1264" s="8" t="n">
        <v>0</v>
      </c>
      <c r="L1264" s="8">
        <f>K1264-I1264</f>
        <v/>
      </c>
      <c r="M1264" s="8">
        <f>IF(K1264&lt;I1264,"✕ INSUFFISANT",IF(K1264&lt;I1264*1.2,"⚠ STOCK FAIBLE","✓ COUVERT"))</f>
        <v/>
      </c>
      <c r="N1264" s="8" t="inlineStr">
        <is>
          <t>YZK</t>
        </is>
      </c>
      <c r="O1264" s="8" t="inlineStr">
        <is>
          <t>STANDARD</t>
        </is>
      </c>
      <c r="P1264" s="8" t="inlineStr">
        <is>
          <t>31/08/2026 02:59</t>
        </is>
      </c>
    </row>
    <row r="1265">
      <c r="A1265" s="7" t="inlineStr">
        <is>
          <t>WHAP 8x8</t>
        </is>
      </c>
      <c r="B1265" s="7" t="inlineStr">
        <is>
          <t>WHAP-1261</t>
        </is>
      </c>
      <c r="C1265" s="7" t="inlineStr">
        <is>
          <t>OBS-1261</t>
        </is>
      </c>
      <c r="D1265" s="7" t="inlineStr">
        <is>
          <t>module infrarouge — avant</t>
        </is>
      </c>
      <c r="E1265" s="7" t="inlineStr">
        <is>
          <t>Observation</t>
        </is>
      </c>
      <c r="F1265" s="7" t="inlineStr">
        <is>
          <t>Observation</t>
        </is>
      </c>
      <c r="G1265" s="7" t="inlineStr">
        <is>
          <t>EQUIPEMENT_VEHICULE</t>
        </is>
      </c>
      <c r="H1265" s="7" t="n">
        <v>1</v>
      </c>
      <c r="I1265" s="7">
        <f>H1265*$D$3</f>
        <v/>
      </c>
      <c r="J1265" s="7" t="inlineStr">
        <is>
          <t>unité</t>
        </is>
      </c>
      <c r="K1265" s="7" t="n">
        <v>0</v>
      </c>
      <c r="L1265" s="7">
        <f>K1265-I1265</f>
        <v/>
      </c>
      <c r="M1265" s="7">
        <f>IF(K1265&lt;I1265,"✕ INSUFFISANT",IF(K1265&lt;I1265*1.2,"⚠ STOCK FAIBLE","✓ COUVERT"))</f>
        <v/>
      </c>
      <c r="N1265" s="7" t="inlineStr">
        <is>
          <t>SKF</t>
        </is>
      </c>
      <c r="O1265" s="7" t="inlineStr">
        <is>
          <t>STANDARD</t>
        </is>
      </c>
      <c r="P1265" s="7" t="inlineStr">
        <is>
          <t>31/08/2026 02:59</t>
        </is>
      </c>
    </row>
    <row r="1266">
      <c r="A1266" s="8" t="inlineStr">
        <is>
          <t>WHAP 8x8</t>
        </is>
      </c>
      <c r="B1266" s="8" t="inlineStr">
        <is>
          <t>WHAP-1262</t>
        </is>
      </c>
      <c r="C1266" s="8" t="inlineStr">
        <is>
          <t>OBS-1262</t>
        </is>
      </c>
      <c r="D1266" s="8" t="inlineStr">
        <is>
          <t>écran caméra — avant</t>
        </is>
      </c>
      <c r="E1266" s="8" t="inlineStr">
        <is>
          <t>Observation</t>
        </is>
      </c>
      <c r="F1266" s="8" t="inlineStr">
        <is>
          <t>Observation</t>
        </is>
      </c>
      <c r="G1266" s="8" t="inlineStr">
        <is>
          <t>EQUIPEMENT_VEHICULE</t>
        </is>
      </c>
      <c r="H1266" s="8" t="n">
        <v>1</v>
      </c>
      <c r="I1266" s="8">
        <f>H1266*$D$3</f>
        <v/>
      </c>
      <c r="J1266" s="8" t="inlineStr">
        <is>
          <t>unité</t>
        </is>
      </c>
      <c r="K1266" s="8" t="n">
        <v>0</v>
      </c>
      <c r="L1266" s="8">
        <f>K1266-I1266</f>
        <v/>
      </c>
      <c r="M1266" s="8">
        <f>IF(K1266&lt;I1266,"✕ INSUFFISANT",IF(K1266&lt;I1266*1.2,"⚠ STOCK FAIBLE","✓ COUVERT"))</f>
        <v/>
      </c>
      <c r="N1266" s="8" t="inlineStr">
        <is>
          <t>SKF</t>
        </is>
      </c>
      <c r="O1266" s="8" t="inlineStr">
        <is>
          <t>STANDARD</t>
        </is>
      </c>
      <c r="P1266" s="8" t="inlineStr">
        <is>
          <t>31/08/2026 02:59</t>
        </is>
      </c>
    </row>
    <row r="1267">
      <c r="A1267" s="7" t="inlineStr">
        <is>
          <t>WHAP 8x8</t>
        </is>
      </c>
      <c r="B1267" s="7" t="inlineStr">
        <is>
          <t>WHAP-1263</t>
        </is>
      </c>
      <c r="C1267" s="7" t="inlineStr">
        <is>
          <t>OBS-1263</t>
        </is>
      </c>
      <c r="D1267" s="7" t="inlineStr">
        <is>
          <t>unité de traitement vidéo — avant</t>
        </is>
      </c>
      <c r="E1267" s="7" t="inlineStr">
        <is>
          <t>Observation</t>
        </is>
      </c>
      <c r="F1267" s="7" t="inlineStr">
        <is>
          <t>Observation</t>
        </is>
      </c>
      <c r="G1267" s="7" t="inlineStr">
        <is>
          <t>EQUIPEMENT_VEHICULE</t>
        </is>
      </c>
      <c r="H1267" s="7" t="n">
        <v>1</v>
      </c>
      <c r="I1267" s="7">
        <f>H1267*$D$3</f>
        <v/>
      </c>
      <c r="J1267" s="7" t="inlineStr">
        <is>
          <t>unité</t>
        </is>
      </c>
      <c r="K1267" s="7" t="n">
        <v>0</v>
      </c>
      <c r="L1267" s="7">
        <f>K1267-I1267</f>
        <v/>
      </c>
      <c r="M1267" s="7">
        <f>IF(K1267&lt;I1267,"✕ INSUFFISANT",IF(K1267&lt;I1267*1.2,"⚠ STOCK FAIBLE","✓ COUVERT"))</f>
        <v/>
      </c>
      <c r="N1267" s="7" t="inlineStr">
        <is>
          <t>FAU</t>
        </is>
      </c>
      <c r="O1267" s="7" t="inlineStr">
        <is>
          <t>STANDARD</t>
        </is>
      </c>
      <c r="P1267" s="7" t="inlineStr">
        <is>
          <t>31/08/2026 02:59</t>
        </is>
      </c>
    </row>
    <row r="1268">
      <c r="A1268" s="8" t="inlineStr">
        <is>
          <t>WHAP 8x8</t>
        </is>
      </c>
      <c r="B1268" s="8" t="inlineStr">
        <is>
          <t>WHAP-1264</t>
        </is>
      </c>
      <c r="C1268" s="8" t="inlineStr">
        <is>
          <t>OBS-1264</t>
        </is>
      </c>
      <c r="D1268" s="8" t="inlineStr">
        <is>
          <t>câble vidéo — avant</t>
        </is>
      </c>
      <c r="E1268" s="8" t="inlineStr">
        <is>
          <t>Observation</t>
        </is>
      </c>
      <c r="F1268" s="8" t="inlineStr">
        <is>
          <t>Observation</t>
        </is>
      </c>
      <c r="G1268" s="8" t="inlineStr">
        <is>
          <t>EQUIPEMENT_VEHICULE</t>
        </is>
      </c>
      <c r="H1268" s="8" t="n">
        <v>1</v>
      </c>
      <c r="I1268" s="8">
        <f>H1268*$D$3</f>
        <v/>
      </c>
      <c r="J1268" s="8" t="inlineStr">
        <is>
          <t>unité</t>
        </is>
      </c>
      <c r="K1268" s="8" t="n">
        <v>0</v>
      </c>
      <c r="L1268" s="8">
        <f>K1268-I1268</f>
        <v/>
      </c>
      <c r="M1268" s="8">
        <f>IF(K1268&lt;I1268,"✕ INSUFFISANT",IF(K1268&lt;I1268*1.2,"⚠ STOCK FAIBLE","✓ COUVERT"))</f>
        <v/>
      </c>
      <c r="N1268" s="8" t="inlineStr">
        <is>
          <t>SUM</t>
        </is>
      </c>
      <c r="O1268" s="8" t="inlineStr">
        <is>
          <t>STANDARD</t>
        </is>
      </c>
      <c r="P1268" s="8" t="inlineStr">
        <is>
          <t>31/08/2026 02:59</t>
        </is>
      </c>
    </row>
    <row r="1269">
      <c r="A1269" s="7" t="inlineStr">
        <is>
          <t>WHAP 8x8</t>
        </is>
      </c>
      <c r="B1269" s="7" t="inlineStr">
        <is>
          <t>WHAP-1265</t>
        </is>
      </c>
      <c r="C1269" s="7" t="inlineStr">
        <is>
          <t>OBS-1265</t>
        </is>
      </c>
      <c r="D1269" s="7" t="inlineStr">
        <is>
          <t>connecteur vidéo — avant</t>
        </is>
      </c>
      <c r="E1269" s="7" t="inlineStr">
        <is>
          <t>Observation</t>
        </is>
      </c>
      <c r="F1269" s="7" t="inlineStr">
        <is>
          <t>Observation</t>
        </is>
      </c>
      <c r="G1269" s="7" t="inlineStr">
        <is>
          <t>EQUIPEMENT_VEHICULE</t>
        </is>
      </c>
      <c r="H1269" s="7" t="n">
        <v>1</v>
      </c>
      <c r="I1269" s="7">
        <f>H1269*$D$3</f>
        <v/>
      </c>
      <c r="J1269" s="7" t="inlineStr">
        <is>
          <t>unité</t>
        </is>
      </c>
      <c r="K1269" s="7" t="n">
        <v>0</v>
      </c>
      <c r="L1269" s="7">
        <f>K1269-I1269</f>
        <v/>
      </c>
      <c r="M1269" s="7">
        <f>IF(K1269&lt;I1269,"✕ INSUFFISANT",IF(K1269&lt;I1269*1.2,"⚠ STOCK FAIBLE","✓ COUVERT"))</f>
        <v/>
      </c>
      <c r="N1269" s="7" t="inlineStr">
        <is>
          <t>CTL</t>
        </is>
      </c>
      <c r="O1269" s="7" t="inlineStr">
        <is>
          <t>STANDARD</t>
        </is>
      </c>
      <c r="P1269" s="7" t="inlineStr">
        <is>
          <t>31/08/2026 02:59</t>
        </is>
      </c>
    </row>
    <row r="1270">
      <c r="A1270" s="8" t="inlineStr">
        <is>
          <t>WHAP 8x8</t>
        </is>
      </c>
      <c r="B1270" s="8" t="inlineStr">
        <is>
          <t>WHAP-1266</t>
        </is>
      </c>
      <c r="C1270" s="8" t="inlineStr">
        <is>
          <t>OBS-1266</t>
        </is>
      </c>
      <c r="D1270" s="8" t="inlineStr">
        <is>
          <t>support caméra — avant</t>
        </is>
      </c>
      <c r="E1270" s="8" t="inlineStr">
        <is>
          <t>Observation</t>
        </is>
      </c>
      <c r="F1270" s="8" t="inlineStr">
        <is>
          <t>Observation</t>
        </is>
      </c>
      <c r="G1270" s="8" t="inlineStr">
        <is>
          <t>EQUIPEMENT_VEHICULE</t>
        </is>
      </c>
      <c r="H1270" s="8" t="n">
        <v>1</v>
      </c>
      <c r="I1270" s="8">
        <f>H1270*$D$3</f>
        <v/>
      </c>
      <c r="J1270" s="8" t="inlineStr">
        <is>
          <t>unité</t>
        </is>
      </c>
      <c r="K1270" s="8" t="n">
        <v>0</v>
      </c>
      <c r="L1270" s="8">
        <f>K1270-I1270</f>
        <v/>
      </c>
      <c r="M1270" s="8">
        <f>IF(K1270&lt;I1270,"✕ INSUFFISANT",IF(K1270&lt;I1270*1.2,"⚠ STOCK FAIBLE","✓ COUVERT"))</f>
        <v/>
      </c>
      <c r="N1270" s="8" t="inlineStr">
        <is>
          <t>SUM</t>
        </is>
      </c>
      <c r="O1270" s="8" t="inlineStr">
        <is>
          <t>STANDARD</t>
        </is>
      </c>
      <c r="P1270" s="8" t="inlineStr">
        <is>
          <t>31/08/2026 02:59</t>
        </is>
      </c>
    </row>
    <row r="1271">
      <c r="A1271" s="7" t="inlineStr">
        <is>
          <t>WHAP 8x8</t>
        </is>
      </c>
      <c r="B1271" s="7" t="inlineStr">
        <is>
          <t>WHAP-1267</t>
        </is>
      </c>
      <c r="C1271" s="7" t="inlineStr">
        <is>
          <t>OBS-1267</t>
        </is>
      </c>
      <c r="D1271" s="7" t="inlineStr">
        <is>
          <t>capot caméra — avant</t>
        </is>
      </c>
      <c r="E1271" s="7" t="inlineStr">
        <is>
          <t>Observation</t>
        </is>
      </c>
      <c r="F1271" s="7" t="inlineStr">
        <is>
          <t>Observation</t>
        </is>
      </c>
      <c r="G1271" s="7" t="inlineStr">
        <is>
          <t>EQUIPEMENT_VEHICULE</t>
        </is>
      </c>
      <c r="H1271" s="7" t="n">
        <v>1</v>
      </c>
      <c r="I1271" s="7">
        <f>H1271*$D$3</f>
        <v/>
      </c>
      <c r="J1271" s="7" t="inlineStr">
        <is>
          <t>unité</t>
        </is>
      </c>
      <c r="K1271" s="7" t="n">
        <v>0</v>
      </c>
      <c r="L1271" s="7">
        <f>K1271-I1271</f>
        <v/>
      </c>
      <c r="M1271" s="7">
        <f>IF(K1271&lt;I1271,"✕ INSUFFISANT",IF(K1271&lt;I1271*1.2,"⚠ STOCK FAIBLE","✓ COUVERT"))</f>
        <v/>
      </c>
      <c r="N1271" s="7" t="inlineStr">
        <is>
          <t>YZK</t>
        </is>
      </c>
      <c r="O1271" s="7" t="inlineStr">
        <is>
          <t>STANDARD</t>
        </is>
      </c>
      <c r="P1271" s="7" t="inlineStr">
        <is>
          <t>31/08/2026 02:59</t>
        </is>
      </c>
    </row>
    <row r="1272">
      <c r="A1272" s="8" t="inlineStr">
        <is>
          <t>WHAP 8x8</t>
        </is>
      </c>
      <c r="B1272" s="8" t="inlineStr">
        <is>
          <t>WHAP-1268</t>
        </is>
      </c>
      <c r="C1272" s="8" t="inlineStr">
        <is>
          <t>OBS-1268</t>
        </is>
      </c>
      <c r="D1272" s="8" t="inlineStr">
        <is>
          <t>essuie-optique — avant</t>
        </is>
      </c>
      <c r="E1272" s="8" t="inlineStr">
        <is>
          <t>Observation</t>
        </is>
      </c>
      <c r="F1272" s="8" t="inlineStr">
        <is>
          <t>Observation</t>
        </is>
      </c>
      <c r="G1272" s="8" t="inlineStr">
        <is>
          <t>EQUIPEMENT_VEHICULE</t>
        </is>
      </c>
      <c r="H1272" s="8" t="n">
        <v>1</v>
      </c>
      <c r="I1272" s="8">
        <f>H1272*$D$3</f>
        <v/>
      </c>
      <c r="J1272" s="8" t="inlineStr">
        <is>
          <t>unité</t>
        </is>
      </c>
      <c r="K1272" s="8" t="n">
        <v>0</v>
      </c>
      <c r="L1272" s="8">
        <f>K1272-I1272</f>
        <v/>
      </c>
      <c r="M1272" s="8">
        <f>IF(K1272&lt;I1272,"✕ INSUFFISANT",IF(K1272&lt;I1272*1.2,"⚠ STOCK FAIBLE","✓ COUVERT"))</f>
        <v/>
      </c>
      <c r="N1272" s="8" t="inlineStr">
        <is>
          <t>VAL</t>
        </is>
      </c>
      <c r="O1272" s="8" t="inlineStr">
        <is>
          <t>STANDARD</t>
        </is>
      </c>
      <c r="P1272" s="8" t="inlineStr">
        <is>
          <t>31/08/2026 02:59</t>
        </is>
      </c>
    </row>
    <row r="1273">
      <c r="A1273" s="7" t="inlineStr">
        <is>
          <t>WHAP 8x8</t>
        </is>
      </c>
      <c r="B1273" s="7" t="inlineStr">
        <is>
          <t>WHAP-1269</t>
        </is>
      </c>
      <c r="C1273" s="7" t="inlineStr">
        <is>
          <t>OBS-1269</t>
        </is>
      </c>
      <c r="D1273" s="7" t="inlineStr">
        <is>
          <t>chauffage optique — avant</t>
        </is>
      </c>
      <c r="E1273" s="7" t="inlineStr">
        <is>
          <t>Observation</t>
        </is>
      </c>
      <c r="F1273" s="7" t="inlineStr">
        <is>
          <t>Observation</t>
        </is>
      </c>
      <c r="G1273" s="7" t="inlineStr">
        <is>
          <t>EQUIPEMENT_VEHICULE</t>
        </is>
      </c>
      <c r="H1273" s="7" t="n">
        <v>1</v>
      </c>
      <c r="I1273" s="7">
        <f>H1273*$D$3</f>
        <v/>
      </c>
      <c r="J1273" s="7" t="inlineStr">
        <is>
          <t>unité</t>
        </is>
      </c>
      <c r="K1273" s="7" t="n">
        <v>0</v>
      </c>
      <c r="L1273" s="7">
        <f>K1273-I1273</f>
        <v/>
      </c>
      <c r="M1273" s="7">
        <f>IF(K1273&lt;I1273,"✕ INSUFFISANT",IF(K1273&lt;I1273*1.2,"⚠ STOCK FAIBLE","✓ COUVERT"))</f>
        <v/>
      </c>
      <c r="N1273" s="7" t="inlineStr">
        <is>
          <t>HEL</t>
        </is>
      </c>
      <c r="O1273" s="7" t="inlineStr">
        <is>
          <t>STANDARD</t>
        </is>
      </c>
      <c r="P1273" s="7" t="inlineStr">
        <is>
          <t>31/08/2026 02:59</t>
        </is>
      </c>
    </row>
    <row r="1274">
      <c r="A1274" s="8" t="inlineStr">
        <is>
          <t>WHAP 8x8</t>
        </is>
      </c>
      <c r="B1274" s="8" t="inlineStr">
        <is>
          <t>WHAP-1270</t>
        </is>
      </c>
      <c r="C1274" s="8" t="inlineStr">
        <is>
          <t>OBS-1270</t>
        </is>
      </c>
      <c r="D1274" s="8" t="inlineStr">
        <is>
          <t>capteur luminosité — avant</t>
        </is>
      </c>
      <c r="E1274" s="8" t="inlineStr">
        <is>
          <t>Observation</t>
        </is>
      </c>
      <c r="F1274" s="8" t="inlineStr">
        <is>
          <t>Observation</t>
        </is>
      </c>
      <c r="G1274" s="8" t="inlineStr">
        <is>
          <t>EQUIPEMENT_VEHICULE</t>
        </is>
      </c>
      <c r="H1274" s="8" t="n">
        <v>1</v>
      </c>
      <c r="I1274" s="8">
        <f>H1274*$D$3</f>
        <v/>
      </c>
      <c r="J1274" s="8" t="inlineStr">
        <is>
          <t>unité</t>
        </is>
      </c>
      <c r="K1274" s="8" t="n">
        <v>0</v>
      </c>
      <c r="L1274" s="8">
        <f>K1274-I1274</f>
        <v/>
      </c>
      <c r="M1274" s="8">
        <f>IF(K1274&lt;I1274,"✕ INSUFFISANT",IF(K1274&lt;I1274*1.2,"⚠ STOCK FAIBLE","✓ COUVERT"))</f>
        <v/>
      </c>
      <c r="N1274" s="8" t="inlineStr">
        <is>
          <t>SKF</t>
        </is>
      </c>
      <c r="O1274" s="8" t="inlineStr">
        <is>
          <t>STANDARD</t>
        </is>
      </c>
      <c r="P1274" s="8" t="inlineStr">
        <is>
          <t>31/08/2026 02:59</t>
        </is>
      </c>
    </row>
    <row r="1275">
      <c r="A1275" s="7" t="inlineStr">
        <is>
          <t>WHAP 8x8</t>
        </is>
      </c>
      <c r="B1275" s="7" t="inlineStr">
        <is>
          <t>WHAP-1271</t>
        </is>
      </c>
      <c r="C1275" s="7" t="inlineStr">
        <is>
          <t>OBS-1271</t>
        </is>
      </c>
      <c r="D1275" s="7" t="inlineStr">
        <is>
          <t>périscope — arrière</t>
        </is>
      </c>
      <c r="E1275" s="7" t="inlineStr">
        <is>
          <t>Observation</t>
        </is>
      </c>
      <c r="F1275" s="7" t="inlineStr">
        <is>
          <t>Observation</t>
        </is>
      </c>
      <c r="G1275" s="7" t="inlineStr">
        <is>
          <t>EQUIPEMENT_VEHICULE</t>
        </is>
      </c>
      <c r="H1275" s="7" t="n">
        <v>1</v>
      </c>
      <c r="I1275" s="7">
        <f>H1275*$D$3</f>
        <v/>
      </c>
      <c r="J1275" s="7" t="inlineStr">
        <is>
          <t>unité</t>
        </is>
      </c>
      <c r="K1275" s="7" t="n">
        <v>0</v>
      </c>
      <c r="L1275" s="7">
        <f>K1275-I1275</f>
        <v/>
      </c>
      <c r="M1275" s="7">
        <f>IF(K1275&lt;I1275,"✕ INSUFFISANT",IF(K1275&lt;I1275*1.2,"⚠ STOCK FAIBLE","✓ COUVERT"))</f>
        <v/>
      </c>
      <c r="N1275" s="7" t="inlineStr">
        <is>
          <t>MAG</t>
        </is>
      </c>
      <c r="O1275" s="7" t="inlineStr">
        <is>
          <t>STANDARD</t>
        </is>
      </c>
      <c r="P1275" s="7" t="inlineStr">
        <is>
          <t>31/08/2026 02:59</t>
        </is>
      </c>
    </row>
    <row r="1276">
      <c r="A1276" s="8" t="inlineStr">
        <is>
          <t>WHAP 8x8</t>
        </is>
      </c>
      <c r="B1276" s="8" t="inlineStr">
        <is>
          <t>WHAP-1272</t>
        </is>
      </c>
      <c r="C1276" s="8" t="inlineStr">
        <is>
          <t>OBS-1272</t>
        </is>
      </c>
      <c r="D1276" s="8" t="inlineStr">
        <is>
          <t>bloc optique — arrière</t>
        </is>
      </c>
      <c r="E1276" s="8" t="inlineStr">
        <is>
          <t>Observation</t>
        </is>
      </c>
      <c r="F1276" s="8" t="inlineStr">
        <is>
          <t>Observation</t>
        </is>
      </c>
      <c r="G1276" s="8" t="inlineStr">
        <is>
          <t>EQUIPEMENT_VEHICULE</t>
        </is>
      </c>
      <c r="H1276" s="8" t="n">
        <v>1</v>
      </c>
      <c r="I1276" s="8">
        <f>H1276*$D$3</f>
        <v/>
      </c>
      <c r="J1276" s="8" t="inlineStr">
        <is>
          <t>unité</t>
        </is>
      </c>
      <c r="K1276" s="8" t="n">
        <v>0</v>
      </c>
      <c r="L1276" s="8">
        <f>K1276-I1276</f>
        <v/>
      </c>
      <c r="M1276" s="8">
        <f>IF(K1276&lt;I1276,"✕ INSUFFISANT",IF(K1276&lt;I1276*1.2,"⚠ STOCK FAIBLE","✓ COUVERT"))</f>
        <v/>
      </c>
      <c r="N1276" s="8" t="inlineStr">
        <is>
          <t>DEL</t>
        </is>
      </c>
      <c r="O1276" s="8" t="inlineStr">
        <is>
          <t>STANDARD</t>
        </is>
      </c>
      <c r="P1276" s="8" t="inlineStr">
        <is>
          <t>31/08/2026 02:59</t>
        </is>
      </c>
    </row>
    <row r="1277">
      <c r="A1277" s="7" t="inlineStr">
        <is>
          <t>WHAP 8x8</t>
        </is>
      </c>
      <c r="B1277" s="7" t="inlineStr">
        <is>
          <t>WHAP-1273</t>
        </is>
      </c>
      <c r="C1277" s="7" t="inlineStr">
        <is>
          <t>OBS-1273</t>
        </is>
      </c>
      <c r="D1277" s="7" t="inlineStr">
        <is>
          <t>viseur conducteur — arrière</t>
        </is>
      </c>
      <c r="E1277" s="7" t="inlineStr">
        <is>
          <t>Observation</t>
        </is>
      </c>
      <c r="F1277" s="7" t="inlineStr">
        <is>
          <t>Observation</t>
        </is>
      </c>
      <c r="G1277" s="7" t="inlineStr">
        <is>
          <t>EQUIPEMENT_VEHICULE</t>
        </is>
      </c>
      <c r="H1277" s="7" t="n">
        <v>1</v>
      </c>
      <c r="I1277" s="7">
        <f>H1277*$D$3</f>
        <v/>
      </c>
      <c r="J1277" s="7" t="inlineStr">
        <is>
          <t>unité</t>
        </is>
      </c>
      <c r="K1277" s="7" t="n">
        <v>0</v>
      </c>
      <c r="L1277" s="7">
        <f>K1277-I1277</f>
        <v/>
      </c>
      <c r="M1277" s="7">
        <f>IF(K1277&lt;I1277,"✕ INSUFFISANT",IF(K1277&lt;I1277*1.2,"⚠ STOCK FAIBLE","✓ COUVERT"))</f>
        <v/>
      </c>
      <c r="N1277" s="7" t="inlineStr">
        <is>
          <t>FAU</t>
        </is>
      </c>
      <c r="O1277" s="7" t="inlineStr">
        <is>
          <t>STANDARD</t>
        </is>
      </c>
      <c r="P1277" s="7" t="inlineStr">
        <is>
          <t>31/08/2026 02:59</t>
        </is>
      </c>
    </row>
    <row r="1278">
      <c r="A1278" s="8" t="inlineStr">
        <is>
          <t>WHAP 8x8</t>
        </is>
      </c>
      <c r="B1278" s="8" t="inlineStr">
        <is>
          <t>WHAP-1274</t>
        </is>
      </c>
      <c r="C1278" s="8" t="inlineStr">
        <is>
          <t>OBS-1274</t>
        </is>
      </c>
      <c r="D1278" s="8" t="inlineStr">
        <is>
          <t>caméra avant — arrière</t>
        </is>
      </c>
      <c r="E1278" s="8" t="inlineStr">
        <is>
          <t>Observation</t>
        </is>
      </c>
      <c r="F1278" s="8" t="inlineStr">
        <is>
          <t>Observation</t>
        </is>
      </c>
      <c r="G1278" s="8" t="inlineStr">
        <is>
          <t>EQUIPEMENT_VEHICULE</t>
        </is>
      </c>
      <c r="H1278" s="8" t="n">
        <v>1</v>
      </c>
      <c r="I1278" s="8">
        <f>H1278*$D$3</f>
        <v/>
      </c>
      <c r="J1278" s="8" t="inlineStr">
        <is>
          <t>unité</t>
        </is>
      </c>
      <c r="K1278" s="8" t="n">
        <v>0</v>
      </c>
      <c r="L1278" s="8">
        <f>K1278-I1278</f>
        <v/>
      </c>
      <c r="M1278" s="8">
        <f>IF(K1278&lt;I1278,"✕ INSUFFISANT",IF(K1278&lt;I1278*1.2,"⚠ STOCK FAIBLE","✓ COUVERT"))</f>
        <v/>
      </c>
      <c r="N1278" s="8" t="inlineStr">
        <is>
          <t>SUM</t>
        </is>
      </c>
      <c r="O1278" s="8" t="inlineStr">
        <is>
          <t>STANDARD</t>
        </is>
      </c>
      <c r="P1278" s="8" t="inlineStr">
        <is>
          <t>31/08/2026 02:59</t>
        </is>
      </c>
    </row>
    <row r="1279">
      <c r="A1279" s="7" t="inlineStr">
        <is>
          <t>WHAP 8x8</t>
        </is>
      </c>
      <c r="B1279" s="7" t="inlineStr">
        <is>
          <t>WHAP-1275</t>
        </is>
      </c>
      <c r="C1279" s="7" t="inlineStr">
        <is>
          <t>OBS-1275</t>
        </is>
      </c>
      <c r="D1279" s="7" t="inlineStr">
        <is>
          <t>caméra arrière — arrière</t>
        </is>
      </c>
      <c r="E1279" s="7" t="inlineStr">
        <is>
          <t>Observation</t>
        </is>
      </c>
      <c r="F1279" s="7" t="inlineStr">
        <is>
          <t>Observation</t>
        </is>
      </c>
      <c r="G1279" s="7" t="inlineStr">
        <is>
          <t>EQUIPEMENT_VEHICULE</t>
        </is>
      </c>
      <c r="H1279" s="7" t="n">
        <v>1</v>
      </c>
      <c r="I1279" s="7">
        <f>H1279*$D$3</f>
        <v/>
      </c>
      <c r="J1279" s="7" t="inlineStr">
        <is>
          <t>unité</t>
        </is>
      </c>
      <c r="K1279" s="7" t="n">
        <v>0</v>
      </c>
      <c r="L1279" s="7">
        <f>K1279-I1279</f>
        <v/>
      </c>
      <c r="M1279" s="7">
        <f>IF(K1279&lt;I1279,"✕ INSUFFISANT",IF(K1279&lt;I1279*1.2,"⚠ STOCK FAIBLE","✓ COUVERT"))</f>
        <v/>
      </c>
      <c r="N1279" s="7" t="inlineStr">
        <is>
          <t>DEL</t>
        </is>
      </c>
      <c r="O1279" s="7" t="inlineStr">
        <is>
          <t>STANDARD</t>
        </is>
      </c>
      <c r="P1279" s="7" t="inlineStr">
        <is>
          <t>31/08/2026 02:59</t>
        </is>
      </c>
    </row>
    <row r="1280">
      <c r="A1280" s="8" t="inlineStr">
        <is>
          <t>WHAP 8x8</t>
        </is>
      </c>
      <c r="B1280" s="8" t="inlineStr">
        <is>
          <t>WHAP-1276</t>
        </is>
      </c>
      <c r="C1280" s="8" t="inlineStr">
        <is>
          <t>OBS-1276</t>
        </is>
      </c>
      <c r="D1280" s="8" t="inlineStr">
        <is>
          <t>caméra latérale — arrière</t>
        </is>
      </c>
      <c r="E1280" s="8" t="inlineStr">
        <is>
          <t>Observation</t>
        </is>
      </c>
      <c r="F1280" s="8" t="inlineStr">
        <is>
          <t>Observation</t>
        </is>
      </c>
      <c r="G1280" s="8" t="inlineStr">
        <is>
          <t>EQUIPEMENT_VEHICULE</t>
        </is>
      </c>
      <c r="H1280" s="8" t="n">
        <v>1</v>
      </c>
      <c r="I1280" s="8">
        <f>H1280*$D$3</f>
        <v/>
      </c>
      <c r="J1280" s="8" t="inlineStr">
        <is>
          <t>unité</t>
        </is>
      </c>
      <c r="K1280" s="8" t="n">
        <v>0</v>
      </c>
      <c r="L1280" s="8">
        <f>K1280-I1280</f>
        <v/>
      </c>
      <c r="M1280" s="8">
        <f>IF(K1280&lt;I1280,"✕ INSUFFISANT",IF(K1280&lt;I1280*1.2,"⚠ STOCK FAIBLE","✓ COUVERT"))</f>
        <v/>
      </c>
      <c r="N1280" s="8" t="inlineStr">
        <is>
          <t>VAL</t>
        </is>
      </c>
      <c r="O1280" s="8" t="inlineStr">
        <is>
          <t>STANDARD</t>
        </is>
      </c>
      <c r="P1280" s="8" t="inlineStr">
        <is>
          <t>31/08/2026 02:59</t>
        </is>
      </c>
    </row>
    <row r="1281">
      <c r="A1281" s="7" t="inlineStr">
        <is>
          <t>WHAP 8x8</t>
        </is>
      </c>
      <c r="B1281" s="7" t="inlineStr">
        <is>
          <t>WHAP-1277</t>
        </is>
      </c>
      <c r="C1281" s="7" t="inlineStr">
        <is>
          <t>OBS-1277</t>
        </is>
      </c>
      <c r="D1281" s="7" t="inlineStr">
        <is>
          <t>caméra thermique — arrière</t>
        </is>
      </c>
      <c r="E1281" s="7" t="inlineStr">
        <is>
          <t>Observation</t>
        </is>
      </c>
      <c r="F1281" s="7" t="inlineStr">
        <is>
          <t>Observation</t>
        </is>
      </c>
      <c r="G1281" s="7" t="inlineStr">
        <is>
          <t>EQUIPEMENT_VEHICULE</t>
        </is>
      </c>
      <c r="H1281" s="7" t="n">
        <v>1</v>
      </c>
      <c r="I1281" s="7">
        <f>H1281*$D$3</f>
        <v/>
      </c>
      <c r="J1281" s="7" t="inlineStr">
        <is>
          <t>unité</t>
        </is>
      </c>
      <c r="K1281" s="7" t="n">
        <v>0</v>
      </c>
      <c r="L1281" s="7">
        <f>K1281-I1281</f>
        <v/>
      </c>
      <c r="M1281" s="7">
        <f>IF(K1281&lt;I1281,"✕ INSUFFISANT",IF(K1281&lt;I1281*1.2,"⚠ STOCK FAIBLE","✓ COUVERT"))</f>
        <v/>
      </c>
      <c r="N1281" s="7" t="inlineStr">
        <is>
          <t>SUM</t>
        </is>
      </c>
      <c r="O1281" s="7" t="inlineStr">
        <is>
          <t>STANDARD</t>
        </is>
      </c>
      <c r="P1281" s="7" t="inlineStr">
        <is>
          <t>31/08/2026 02:59</t>
        </is>
      </c>
    </row>
    <row r="1282">
      <c r="A1282" s="8" t="inlineStr">
        <is>
          <t>WHAP 8x8</t>
        </is>
      </c>
      <c r="B1282" s="8" t="inlineStr">
        <is>
          <t>WHAP-1278</t>
        </is>
      </c>
      <c r="C1282" s="8" t="inlineStr">
        <is>
          <t>OBS-1278</t>
        </is>
      </c>
      <c r="D1282" s="8" t="inlineStr">
        <is>
          <t>module infrarouge — arrière</t>
        </is>
      </c>
      <c r="E1282" s="8" t="inlineStr">
        <is>
          <t>Observation</t>
        </is>
      </c>
      <c r="F1282" s="8" t="inlineStr">
        <is>
          <t>Observation</t>
        </is>
      </c>
      <c r="G1282" s="8" t="inlineStr">
        <is>
          <t>EQUIPEMENT_VEHICULE</t>
        </is>
      </c>
      <c r="H1282" s="8" t="n">
        <v>1</v>
      </c>
      <c r="I1282" s="8">
        <f>H1282*$D$3</f>
        <v/>
      </c>
      <c r="J1282" s="8" t="inlineStr">
        <is>
          <t>unité</t>
        </is>
      </c>
      <c r="K1282" s="8" t="n">
        <v>0</v>
      </c>
      <c r="L1282" s="8">
        <f>K1282-I1282</f>
        <v/>
      </c>
      <c r="M1282" s="8">
        <f>IF(K1282&lt;I1282,"✕ INSUFFISANT",IF(K1282&lt;I1282*1.2,"⚠ STOCK FAIBLE","✓ COUVERT"))</f>
        <v/>
      </c>
      <c r="N1282" s="8" t="inlineStr">
        <is>
          <t>YZK</t>
        </is>
      </c>
      <c r="O1282" s="8" t="inlineStr">
        <is>
          <t>STANDARD</t>
        </is>
      </c>
      <c r="P1282" s="8" t="inlineStr">
        <is>
          <t>31/08/2026 02:59</t>
        </is>
      </c>
    </row>
    <row r="1283">
      <c r="A1283" s="7" t="inlineStr">
        <is>
          <t>WHAP 8x8</t>
        </is>
      </c>
      <c r="B1283" s="7" t="inlineStr">
        <is>
          <t>WHAP-1279</t>
        </is>
      </c>
      <c r="C1283" s="7" t="inlineStr">
        <is>
          <t>OBS-1279</t>
        </is>
      </c>
      <c r="D1283" s="7" t="inlineStr">
        <is>
          <t>écran caméra — arrière</t>
        </is>
      </c>
      <c r="E1283" s="7" t="inlineStr">
        <is>
          <t>Observation</t>
        </is>
      </c>
      <c r="F1283" s="7" t="inlineStr">
        <is>
          <t>Observation</t>
        </is>
      </c>
      <c r="G1283" s="7" t="inlineStr">
        <is>
          <t>EQUIPEMENT_VEHICULE</t>
        </is>
      </c>
      <c r="H1283" s="7" t="n">
        <v>1</v>
      </c>
      <c r="I1283" s="7">
        <f>H1283*$D$3</f>
        <v/>
      </c>
      <c r="J1283" s="7" t="inlineStr">
        <is>
          <t>unité</t>
        </is>
      </c>
      <c r="K1283" s="7" t="n">
        <v>0</v>
      </c>
      <c r="L1283" s="7">
        <f>K1283-I1283</f>
        <v/>
      </c>
      <c r="M1283" s="7">
        <f>IF(K1283&lt;I1283,"✕ INSUFFISANT",IF(K1283&lt;I1283*1.2,"⚠ STOCK FAIBLE","✓ COUVERT"))</f>
        <v/>
      </c>
      <c r="N1283" s="7" t="inlineStr">
        <is>
          <t>SKF</t>
        </is>
      </c>
      <c r="O1283" s="7" t="inlineStr">
        <is>
          <t>STANDARD</t>
        </is>
      </c>
      <c r="P1283" s="7" t="inlineStr">
        <is>
          <t>31/08/2026 02:59</t>
        </is>
      </c>
    </row>
    <row r="1284">
      <c r="A1284" s="8" t="inlineStr">
        <is>
          <t>WHAP 8x8</t>
        </is>
      </c>
      <c r="B1284" s="8" t="inlineStr">
        <is>
          <t>WHAP-1280</t>
        </is>
      </c>
      <c r="C1284" s="8" t="inlineStr">
        <is>
          <t>OBS-1280</t>
        </is>
      </c>
      <c r="D1284" s="8" t="inlineStr">
        <is>
          <t>unité de traitement vidéo — arrière</t>
        </is>
      </c>
      <c r="E1284" s="8" t="inlineStr">
        <is>
          <t>Observation</t>
        </is>
      </c>
      <c r="F1284" s="8" t="inlineStr">
        <is>
          <t>Observation</t>
        </is>
      </c>
      <c r="G1284" s="8" t="inlineStr">
        <is>
          <t>EQUIPEMENT_VEHICULE</t>
        </is>
      </c>
      <c r="H1284" s="8" t="n">
        <v>1</v>
      </c>
      <c r="I1284" s="8">
        <f>H1284*$D$3</f>
        <v/>
      </c>
      <c r="J1284" s="8" t="inlineStr">
        <is>
          <t>unité</t>
        </is>
      </c>
      <c r="K1284" s="8" t="n">
        <v>0</v>
      </c>
      <c r="L1284" s="8">
        <f>K1284-I1284</f>
        <v/>
      </c>
      <c r="M1284" s="8">
        <f>IF(K1284&lt;I1284,"✕ INSUFFISANT",IF(K1284&lt;I1284*1.2,"⚠ STOCK FAIBLE","✓ COUVERT"))</f>
        <v/>
      </c>
      <c r="N1284" s="8" t="inlineStr">
        <is>
          <t>SKF</t>
        </is>
      </c>
      <c r="O1284" s="8" t="inlineStr">
        <is>
          <t>STANDARD</t>
        </is>
      </c>
      <c r="P1284" s="8" t="inlineStr">
        <is>
          <t>31/08/2026 02:59</t>
        </is>
      </c>
    </row>
    <row r="1285">
      <c r="A1285" s="7" t="inlineStr">
        <is>
          <t>WHAP 8x8</t>
        </is>
      </c>
      <c r="B1285" s="7" t="inlineStr">
        <is>
          <t>WHAP-1281</t>
        </is>
      </c>
      <c r="C1285" s="7" t="inlineStr">
        <is>
          <t>OBS-1281</t>
        </is>
      </c>
      <c r="D1285" s="7" t="inlineStr">
        <is>
          <t>câble vidéo — arrière</t>
        </is>
      </c>
      <c r="E1285" s="7" t="inlineStr">
        <is>
          <t>Observation</t>
        </is>
      </c>
      <c r="F1285" s="7" t="inlineStr">
        <is>
          <t>Observation</t>
        </is>
      </c>
      <c r="G1285" s="7" t="inlineStr">
        <is>
          <t>EQUIPEMENT_VEHICULE</t>
        </is>
      </c>
      <c r="H1285" s="7" t="n">
        <v>1</v>
      </c>
      <c r="I1285" s="7">
        <f>H1285*$D$3</f>
        <v/>
      </c>
      <c r="J1285" s="7" t="inlineStr">
        <is>
          <t>unité</t>
        </is>
      </c>
      <c r="K1285" s="7" t="n">
        <v>0</v>
      </c>
      <c r="L1285" s="7">
        <f>K1285-I1285</f>
        <v/>
      </c>
      <c r="M1285" s="7">
        <f>IF(K1285&lt;I1285,"✕ INSUFFISANT",IF(K1285&lt;I1285*1.2,"⚠ STOCK FAIBLE","✓ COUVERT"))</f>
        <v/>
      </c>
      <c r="N1285" s="7" t="inlineStr">
        <is>
          <t>BOS</t>
        </is>
      </c>
      <c r="O1285" s="7" t="inlineStr">
        <is>
          <t>STANDARD</t>
        </is>
      </c>
      <c r="P1285" s="7" t="inlineStr">
        <is>
          <t>31/08/2026 02:59</t>
        </is>
      </c>
    </row>
    <row r="1286">
      <c r="A1286" s="8" t="inlineStr">
        <is>
          <t>WHAP 8x8</t>
        </is>
      </c>
      <c r="B1286" s="8" t="inlineStr">
        <is>
          <t>WHAP-1282</t>
        </is>
      </c>
      <c r="C1286" s="8" t="inlineStr">
        <is>
          <t>OBS-1282</t>
        </is>
      </c>
      <c r="D1286" s="8" t="inlineStr">
        <is>
          <t>connecteur vidéo — arrière</t>
        </is>
      </c>
      <c r="E1286" s="8" t="inlineStr">
        <is>
          <t>Observation</t>
        </is>
      </c>
      <c r="F1286" s="8" t="inlineStr">
        <is>
          <t>Observation</t>
        </is>
      </c>
      <c r="G1286" s="8" t="inlineStr">
        <is>
          <t>EQUIPEMENT_VEHICULE</t>
        </is>
      </c>
      <c r="H1286" s="8" t="n">
        <v>1</v>
      </c>
      <c r="I1286" s="8">
        <f>H1286*$D$3</f>
        <v/>
      </c>
      <c r="J1286" s="8" t="inlineStr">
        <is>
          <t>unité</t>
        </is>
      </c>
      <c r="K1286" s="8" t="n">
        <v>0</v>
      </c>
      <c r="L1286" s="8">
        <f>K1286-I1286</f>
        <v/>
      </c>
      <c r="M1286" s="8">
        <f>IF(K1286&lt;I1286,"✕ INSUFFISANT",IF(K1286&lt;I1286*1.2,"⚠ STOCK FAIBLE","✓ COUVERT"))</f>
        <v/>
      </c>
      <c r="N1286" s="8" t="inlineStr">
        <is>
          <t>VAL</t>
        </is>
      </c>
      <c r="O1286" s="8" t="inlineStr">
        <is>
          <t>STANDARD</t>
        </is>
      </c>
      <c r="P1286" s="8" t="inlineStr">
        <is>
          <t>31/08/2026 02:59</t>
        </is>
      </c>
    </row>
    <row r="1287">
      <c r="A1287" s="7" t="inlineStr">
        <is>
          <t>WHAP 8x8</t>
        </is>
      </c>
      <c r="B1287" s="7" t="inlineStr">
        <is>
          <t>WHAP-1283</t>
        </is>
      </c>
      <c r="C1287" s="7" t="inlineStr">
        <is>
          <t>OBS-1283</t>
        </is>
      </c>
      <c r="D1287" s="7" t="inlineStr">
        <is>
          <t>support caméra — arrière</t>
        </is>
      </c>
      <c r="E1287" s="7" t="inlineStr">
        <is>
          <t>Observation</t>
        </is>
      </c>
      <c r="F1287" s="7" t="inlineStr">
        <is>
          <t>Observation</t>
        </is>
      </c>
      <c r="G1287" s="7" t="inlineStr">
        <is>
          <t>EQUIPEMENT_VEHICULE</t>
        </is>
      </c>
      <c r="H1287" s="7" t="n">
        <v>1</v>
      </c>
      <c r="I1287" s="7">
        <f>H1287*$D$3</f>
        <v/>
      </c>
      <c r="J1287" s="7" t="inlineStr">
        <is>
          <t>unité</t>
        </is>
      </c>
      <c r="K1287" s="7" t="n">
        <v>0</v>
      </c>
      <c r="L1287" s="7">
        <f>K1287-I1287</f>
        <v/>
      </c>
      <c r="M1287" s="7">
        <f>IF(K1287&lt;I1287,"✕ INSUFFISANT",IF(K1287&lt;I1287*1.2,"⚠ STOCK FAIBLE","✓ COUVERT"))</f>
        <v/>
      </c>
      <c r="N1287" s="7" t="inlineStr">
        <is>
          <t>BOS</t>
        </is>
      </c>
      <c r="O1287" s="7" t="inlineStr">
        <is>
          <t>STANDARD</t>
        </is>
      </c>
      <c r="P1287" s="7" t="inlineStr">
        <is>
          <t>31/08/2026 02:59</t>
        </is>
      </c>
    </row>
    <row r="1288">
      <c r="A1288" s="8" t="inlineStr">
        <is>
          <t>WHAP 8x8</t>
        </is>
      </c>
      <c r="B1288" s="8" t="inlineStr">
        <is>
          <t>WHAP-1284</t>
        </is>
      </c>
      <c r="C1288" s="8" t="inlineStr">
        <is>
          <t>OBS-1284</t>
        </is>
      </c>
      <c r="D1288" s="8" t="inlineStr">
        <is>
          <t>capot caméra — arrière</t>
        </is>
      </c>
      <c r="E1288" s="8" t="inlineStr">
        <is>
          <t>Observation</t>
        </is>
      </c>
      <c r="F1288" s="8" t="inlineStr">
        <is>
          <t>Observation</t>
        </is>
      </c>
      <c r="G1288" s="8" t="inlineStr">
        <is>
          <t>EQUIPEMENT_VEHICULE</t>
        </is>
      </c>
      <c r="H1288" s="8" t="n">
        <v>1</v>
      </c>
      <c r="I1288" s="8">
        <f>H1288*$D$3</f>
        <v/>
      </c>
      <c r="J1288" s="8" t="inlineStr">
        <is>
          <t>unité</t>
        </is>
      </c>
      <c r="K1288" s="8" t="n">
        <v>0</v>
      </c>
      <c r="L1288" s="8">
        <f>K1288-I1288</f>
        <v/>
      </c>
      <c r="M1288" s="8">
        <f>IF(K1288&lt;I1288,"✕ INSUFFISANT",IF(K1288&lt;I1288*1.2,"⚠ STOCK FAIBLE","✓ COUVERT"))</f>
        <v/>
      </c>
      <c r="N1288" s="8" t="inlineStr">
        <is>
          <t>YZK</t>
        </is>
      </c>
      <c r="O1288" s="8" t="inlineStr">
        <is>
          <t>STANDARD</t>
        </is>
      </c>
      <c r="P1288" s="8" t="inlineStr">
        <is>
          <t>31/08/2026 02:59</t>
        </is>
      </c>
    </row>
    <row r="1289">
      <c r="A1289" s="7" t="inlineStr">
        <is>
          <t>WHAP 8x8</t>
        </is>
      </c>
      <c r="B1289" s="7" t="inlineStr">
        <is>
          <t>WHAP-1285</t>
        </is>
      </c>
      <c r="C1289" s="7" t="inlineStr">
        <is>
          <t>OBS-1285</t>
        </is>
      </c>
      <c r="D1289" s="7" t="inlineStr">
        <is>
          <t>essuie-optique — arrière</t>
        </is>
      </c>
      <c r="E1289" s="7" t="inlineStr">
        <is>
          <t>Observation</t>
        </is>
      </c>
      <c r="F1289" s="7" t="inlineStr">
        <is>
          <t>Observation</t>
        </is>
      </c>
      <c r="G1289" s="7" t="inlineStr">
        <is>
          <t>EQUIPEMENT_VEHICULE</t>
        </is>
      </c>
      <c r="H1289" s="7" t="n">
        <v>1</v>
      </c>
      <c r="I1289" s="7">
        <f>H1289*$D$3</f>
        <v/>
      </c>
      <c r="J1289" s="7" t="inlineStr">
        <is>
          <t>unité</t>
        </is>
      </c>
      <c r="K1289" s="7" t="n">
        <v>0</v>
      </c>
      <c r="L1289" s="7">
        <f>K1289-I1289</f>
        <v/>
      </c>
      <c r="M1289" s="7">
        <f>IF(K1289&lt;I1289,"✕ INSUFFISANT",IF(K1289&lt;I1289*1.2,"⚠ STOCK FAIBLE","✓ COUVERT"))</f>
        <v/>
      </c>
      <c r="N1289" s="7" t="inlineStr">
        <is>
          <t>BOS</t>
        </is>
      </c>
      <c r="O1289" s="7" t="inlineStr">
        <is>
          <t>STANDARD</t>
        </is>
      </c>
      <c r="P1289" s="7" t="inlineStr">
        <is>
          <t>31/08/2026 02:59</t>
        </is>
      </c>
    </row>
    <row r="1290">
      <c r="A1290" s="8" t="inlineStr">
        <is>
          <t>WHAP 8x8</t>
        </is>
      </c>
      <c r="B1290" s="8" t="inlineStr">
        <is>
          <t>WHAP-1286</t>
        </is>
      </c>
      <c r="C1290" s="8" t="inlineStr">
        <is>
          <t>OBS-1286</t>
        </is>
      </c>
      <c r="D1290" s="8" t="inlineStr">
        <is>
          <t>chauffage optique — arrière</t>
        </is>
      </c>
      <c r="E1290" s="8" t="inlineStr">
        <is>
          <t>Observation</t>
        </is>
      </c>
      <c r="F1290" s="8" t="inlineStr">
        <is>
          <t>Observation</t>
        </is>
      </c>
      <c r="G1290" s="8" t="inlineStr">
        <is>
          <t>EQUIPEMENT_VEHICULE</t>
        </is>
      </c>
      <c r="H1290" s="8" t="n">
        <v>1</v>
      </c>
      <c r="I1290" s="8">
        <f>H1290*$D$3</f>
        <v/>
      </c>
      <c r="J1290" s="8" t="inlineStr">
        <is>
          <t>unité</t>
        </is>
      </c>
      <c r="K1290" s="8" t="n">
        <v>0</v>
      </c>
      <c r="L1290" s="8">
        <f>K1290-I1290</f>
        <v/>
      </c>
      <c r="M1290" s="8">
        <f>IF(K1290&lt;I1290,"✕ INSUFFISANT",IF(K1290&lt;I1290*1.2,"⚠ STOCK FAIBLE","✓ COUVERT"))</f>
        <v/>
      </c>
      <c r="N1290" s="8" t="inlineStr">
        <is>
          <t>MAG</t>
        </is>
      </c>
      <c r="O1290" s="8" t="inlineStr">
        <is>
          <t>STANDARD</t>
        </is>
      </c>
      <c r="P1290" s="8" t="inlineStr">
        <is>
          <t>31/08/2026 02:59</t>
        </is>
      </c>
    </row>
    <row r="1291">
      <c r="A1291" s="7" t="inlineStr">
        <is>
          <t>WHAP 8x8</t>
        </is>
      </c>
      <c r="B1291" s="7" t="inlineStr">
        <is>
          <t>WHAP-1287</t>
        </is>
      </c>
      <c r="C1291" s="7" t="inlineStr">
        <is>
          <t>OBS-1287</t>
        </is>
      </c>
      <c r="D1291" s="7" t="inlineStr">
        <is>
          <t>capteur luminosité — arrière</t>
        </is>
      </c>
      <c r="E1291" s="7" t="inlineStr">
        <is>
          <t>Observation</t>
        </is>
      </c>
      <c r="F1291" s="7" t="inlineStr">
        <is>
          <t>Observation</t>
        </is>
      </c>
      <c r="G1291" s="7" t="inlineStr">
        <is>
          <t>EQUIPEMENT_VEHICULE</t>
        </is>
      </c>
      <c r="H1291" s="7" t="n">
        <v>1</v>
      </c>
      <c r="I1291" s="7">
        <f>H1291*$D$3</f>
        <v/>
      </c>
      <c r="J1291" s="7" t="inlineStr">
        <is>
          <t>unité</t>
        </is>
      </c>
      <c r="K1291" s="7" t="n">
        <v>0</v>
      </c>
      <c r="L1291" s="7">
        <f>K1291-I1291</f>
        <v/>
      </c>
      <c r="M1291" s="7">
        <f>IF(K1291&lt;I1291,"✕ INSUFFISANT",IF(K1291&lt;I1291*1.2,"⚠ STOCK FAIBLE","✓ COUVERT"))</f>
        <v/>
      </c>
      <c r="N1291" s="7" t="inlineStr">
        <is>
          <t>VAL</t>
        </is>
      </c>
      <c r="O1291" s="7" t="inlineStr">
        <is>
          <t>STANDARD</t>
        </is>
      </c>
      <c r="P1291" s="7" t="inlineStr">
        <is>
          <t>31/08/2026 02:59</t>
        </is>
      </c>
    </row>
    <row r="1292">
      <c r="A1292" s="8" t="inlineStr">
        <is>
          <t>WHAP 8x8</t>
        </is>
      </c>
      <c r="B1292" s="8" t="inlineStr">
        <is>
          <t>WHAP-1288</t>
        </is>
      </c>
      <c r="C1292" s="8" t="inlineStr">
        <is>
          <t>OBS-1288</t>
        </is>
      </c>
      <c r="D1292" s="8" t="inlineStr">
        <is>
          <t>périscope — latéral gauche</t>
        </is>
      </c>
      <c r="E1292" s="8" t="inlineStr">
        <is>
          <t>Observation</t>
        </is>
      </c>
      <c r="F1292" s="8" t="inlineStr">
        <is>
          <t>Observation</t>
        </is>
      </c>
      <c r="G1292" s="8" t="inlineStr">
        <is>
          <t>EQUIPEMENT_VEHICULE</t>
        </is>
      </c>
      <c r="H1292" s="8" t="n">
        <v>1</v>
      </c>
      <c r="I1292" s="8">
        <f>H1292*$D$3</f>
        <v/>
      </c>
      <c r="J1292" s="8" t="inlineStr">
        <is>
          <t>unité</t>
        </is>
      </c>
      <c r="K1292" s="8" t="n">
        <v>0</v>
      </c>
      <c r="L1292" s="8">
        <f>K1292-I1292</f>
        <v/>
      </c>
      <c r="M1292" s="8">
        <f>IF(K1292&lt;I1292,"✕ INSUFFISANT",IF(K1292&lt;I1292*1.2,"⚠ STOCK FAIBLE","✓ COUVERT"))</f>
        <v/>
      </c>
      <c r="N1292" s="8" t="inlineStr">
        <is>
          <t>SKF</t>
        </is>
      </c>
      <c r="O1292" s="8" t="inlineStr">
        <is>
          <t>STANDARD</t>
        </is>
      </c>
      <c r="P1292" s="8" t="inlineStr">
        <is>
          <t>31/08/2026 02:59</t>
        </is>
      </c>
    </row>
    <row r="1293">
      <c r="A1293" s="7" t="inlineStr">
        <is>
          <t>WHAP 8x8</t>
        </is>
      </c>
      <c r="B1293" s="7" t="inlineStr">
        <is>
          <t>WHAP-1289</t>
        </is>
      </c>
      <c r="C1293" s="7" t="inlineStr">
        <is>
          <t>OBS-1289</t>
        </is>
      </c>
      <c r="D1293" s="7" t="inlineStr">
        <is>
          <t>bloc optique — latéral gauche</t>
        </is>
      </c>
      <c r="E1293" s="7" t="inlineStr">
        <is>
          <t>Observation</t>
        </is>
      </c>
      <c r="F1293" s="7" t="inlineStr">
        <is>
          <t>Observation</t>
        </is>
      </c>
      <c r="G1293" s="7" t="inlineStr">
        <is>
          <t>EQUIPEMENT_VEHICULE</t>
        </is>
      </c>
      <c r="H1293" s="7" t="n">
        <v>1</v>
      </c>
      <c r="I1293" s="7">
        <f>H1293*$D$3</f>
        <v/>
      </c>
      <c r="J1293" s="7" t="inlineStr">
        <is>
          <t>unité</t>
        </is>
      </c>
      <c r="K1293" s="7" t="n">
        <v>0</v>
      </c>
      <c r="L1293" s="7">
        <f>K1293-I1293</f>
        <v/>
      </c>
      <c r="M1293" s="7">
        <f>IF(K1293&lt;I1293,"✕ INSUFFISANT",IF(K1293&lt;I1293*1.2,"⚠ STOCK FAIBLE","✓ COUVERT"))</f>
        <v/>
      </c>
      <c r="N1293" s="7" t="inlineStr">
        <is>
          <t>SKF</t>
        </is>
      </c>
      <c r="O1293" s="7" t="inlineStr">
        <is>
          <t>STANDARD</t>
        </is>
      </c>
      <c r="P1293" s="7" t="inlineStr">
        <is>
          <t>31/08/2026 02:59</t>
        </is>
      </c>
    </row>
    <row r="1294">
      <c r="A1294" s="8" t="inlineStr">
        <is>
          <t>WHAP 8x8</t>
        </is>
      </c>
      <c r="B1294" s="8" t="inlineStr">
        <is>
          <t>WHAP-1290</t>
        </is>
      </c>
      <c r="C1294" s="8" t="inlineStr">
        <is>
          <t>OBS-1290</t>
        </is>
      </c>
      <c r="D1294" s="8" t="inlineStr">
        <is>
          <t>viseur conducteur — latéral gauche</t>
        </is>
      </c>
      <c r="E1294" s="8" t="inlineStr">
        <is>
          <t>Observation</t>
        </is>
      </c>
      <c r="F1294" s="8" t="inlineStr">
        <is>
          <t>Observation</t>
        </is>
      </c>
      <c r="G1294" s="8" t="inlineStr">
        <is>
          <t>EQUIPEMENT_VEHICULE</t>
        </is>
      </c>
      <c r="H1294" s="8" t="n">
        <v>1</v>
      </c>
      <c r="I1294" s="8">
        <f>H1294*$D$3</f>
        <v/>
      </c>
      <c r="J1294" s="8" t="inlineStr">
        <is>
          <t>unité</t>
        </is>
      </c>
      <c r="K1294" s="8" t="n">
        <v>0</v>
      </c>
      <c r="L1294" s="8">
        <f>K1294-I1294</f>
        <v/>
      </c>
      <c r="M1294" s="8">
        <f>IF(K1294&lt;I1294,"✕ INSUFFISANT",IF(K1294&lt;I1294*1.2,"⚠ STOCK FAIBLE","✓ COUVERT"))</f>
        <v/>
      </c>
      <c r="N1294" s="8" t="inlineStr">
        <is>
          <t>DEL</t>
        </is>
      </c>
      <c r="O1294" s="8" t="inlineStr">
        <is>
          <t>STANDARD</t>
        </is>
      </c>
      <c r="P1294" s="8" t="inlineStr">
        <is>
          <t>31/08/2026 02:59</t>
        </is>
      </c>
    </row>
    <row r="1295">
      <c r="A1295" s="7" t="inlineStr">
        <is>
          <t>WHAP 8x8</t>
        </is>
      </c>
      <c r="B1295" s="7" t="inlineStr">
        <is>
          <t>WHAP-1291</t>
        </is>
      </c>
      <c r="C1295" s="7" t="inlineStr">
        <is>
          <t>OBS-1291</t>
        </is>
      </c>
      <c r="D1295" s="7" t="inlineStr">
        <is>
          <t>caméra avant — latéral gauche</t>
        </is>
      </c>
      <c r="E1295" s="7" t="inlineStr">
        <is>
          <t>Observation</t>
        </is>
      </c>
      <c r="F1295" s="7" t="inlineStr">
        <is>
          <t>Observation</t>
        </is>
      </c>
      <c r="G1295" s="7" t="inlineStr">
        <is>
          <t>EQUIPEMENT_VEHICULE</t>
        </is>
      </c>
      <c r="H1295" s="7" t="n">
        <v>1</v>
      </c>
      <c r="I1295" s="7">
        <f>H1295*$D$3</f>
        <v/>
      </c>
      <c r="J1295" s="7" t="inlineStr">
        <is>
          <t>unité</t>
        </is>
      </c>
      <c r="K1295" s="7" t="n">
        <v>0</v>
      </c>
      <c r="L1295" s="7">
        <f>K1295-I1295</f>
        <v/>
      </c>
      <c r="M1295" s="7">
        <f>IF(K1295&lt;I1295,"✕ INSUFFISANT",IF(K1295&lt;I1295*1.2,"⚠ STOCK FAIBLE","✓ COUVERT"))</f>
        <v/>
      </c>
      <c r="N1295" s="7" t="inlineStr">
        <is>
          <t>CTL</t>
        </is>
      </c>
      <c r="O1295" s="7" t="inlineStr">
        <is>
          <t>STANDARD</t>
        </is>
      </c>
      <c r="P1295" s="7" t="inlineStr">
        <is>
          <t>31/08/2026 02:59</t>
        </is>
      </c>
    </row>
    <row r="1296">
      <c r="A1296" s="8" t="inlineStr">
        <is>
          <t>WHAP 8x8</t>
        </is>
      </c>
      <c r="B1296" s="8" t="inlineStr">
        <is>
          <t>WHAP-1292</t>
        </is>
      </c>
      <c r="C1296" s="8" t="inlineStr">
        <is>
          <t>OBS-1292</t>
        </is>
      </c>
      <c r="D1296" s="8" t="inlineStr">
        <is>
          <t>caméra arrière — latéral gauche</t>
        </is>
      </c>
      <c r="E1296" s="8" t="inlineStr">
        <is>
          <t>Observation</t>
        </is>
      </c>
      <c r="F1296" s="8" t="inlineStr">
        <is>
          <t>Observation</t>
        </is>
      </c>
      <c r="G1296" s="8" t="inlineStr">
        <is>
          <t>EQUIPEMENT_VEHICULE</t>
        </is>
      </c>
      <c r="H1296" s="8" t="n">
        <v>1</v>
      </c>
      <c r="I1296" s="8">
        <f>H1296*$D$3</f>
        <v/>
      </c>
      <c r="J1296" s="8" t="inlineStr">
        <is>
          <t>unité</t>
        </is>
      </c>
      <c r="K1296" s="8" t="n">
        <v>0</v>
      </c>
      <c r="L1296" s="8">
        <f>K1296-I1296</f>
        <v/>
      </c>
      <c r="M1296" s="8">
        <f>IF(K1296&lt;I1296,"✕ INSUFFISANT",IF(K1296&lt;I1296*1.2,"⚠ STOCK FAIBLE","✓ COUVERT"))</f>
        <v/>
      </c>
      <c r="N1296" s="8" t="inlineStr">
        <is>
          <t>FAU</t>
        </is>
      </c>
      <c r="O1296" s="8" t="inlineStr">
        <is>
          <t>STANDARD</t>
        </is>
      </c>
      <c r="P1296" s="8" t="inlineStr">
        <is>
          <t>31/08/2026 02:59</t>
        </is>
      </c>
    </row>
    <row r="1297">
      <c r="A1297" s="7" t="inlineStr">
        <is>
          <t>WHAP 8x8</t>
        </is>
      </c>
      <c r="B1297" s="7" t="inlineStr">
        <is>
          <t>WHAP-1293</t>
        </is>
      </c>
      <c r="C1297" s="7" t="inlineStr">
        <is>
          <t>OBS-1293</t>
        </is>
      </c>
      <c r="D1297" s="7" t="inlineStr">
        <is>
          <t>caméra latérale — latéral gauche</t>
        </is>
      </c>
      <c r="E1297" s="7" t="inlineStr">
        <is>
          <t>Observation</t>
        </is>
      </c>
      <c r="F1297" s="7" t="inlineStr">
        <is>
          <t>Observation</t>
        </is>
      </c>
      <c r="G1297" s="7" t="inlineStr">
        <is>
          <t>EQUIPEMENT_VEHICULE</t>
        </is>
      </c>
      <c r="H1297" s="7" t="n">
        <v>1</v>
      </c>
      <c r="I1297" s="7">
        <f>H1297*$D$3</f>
        <v/>
      </c>
      <c r="J1297" s="7" t="inlineStr">
        <is>
          <t>unité</t>
        </is>
      </c>
      <c r="K1297" s="7" t="n">
        <v>0</v>
      </c>
      <c r="L1297" s="7">
        <f>K1297-I1297</f>
        <v/>
      </c>
      <c r="M1297" s="7">
        <f>IF(K1297&lt;I1297,"✕ INSUFFISANT",IF(K1297&lt;I1297*1.2,"⚠ STOCK FAIBLE","✓ COUVERT"))</f>
        <v/>
      </c>
      <c r="N1297" s="7" t="inlineStr">
        <is>
          <t>CTL</t>
        </is>
      </c>
      <c r="O1297" s="7" t="inlineStr">
        <is>
          <t>STANDARD</t>
        </is>
      </c>
      <c r="P1297" s="7" t="inlineStr">
        <is>
          <t>31/08/2026 02:59</t>
        </is>
      </c>
    </row>
    <row r="1298">
      <c r="A1298" s="8" t="inlineStr">
        <is>
          <t>WHAP 8x8</t>
        </is>
      </c>
      <c r="B1298" s="8" t="inlineStr">
        <is>
          <t>WHAP-1294</t>
        </is>
      </c>
      <c r="C1298" s="8" t="inlineStr">
        <is>
          <t>OBS-1294</t>
        </is>
      </c>
      <c r="D1298" s="8" t="inlineStr">
        <is>
          <t>caméra thermique — latéral gauche</t>
        </is>
      </c>
      <c r="E1298" s="8" t="inlineStr">
        <is>
          <t>Observation</t>
        </is>
      </c>
      <c r="F1298" s="8" t="inlineStr">
        <is>
          <t>Observation</t>
        </is>
      </c>
      <c r="G1298" s="8" t="inlineStr">
        <is>
          <t>EQUIPEMENT_VEHICULE</t>
        </is>
      </c>
      <c r="H1298" s="8" t="n">
        <v>1</v>
      </c>
      <c r="I1298" s="8">
        <f>H1298*$D$3</f>
        <v/>
      </c>
      <c r="J1298" s="8" t="inlineStr">
        <is>
          <t>unité</t>
        </is>
      </c>
      <c r="K1298" s="8" t="n">
        <v>0</v>
      </c>
      <c r="L1298" s="8">
        <f>K1298-I1298</f>
        <v/>
      </c>
      <c r="M1298" s="8">
        <f>IF(K1298&lt;I1298,"✕ INSUFFISANT",IF(K1298&lt;I1298*1.2,"⚠ STOCK FAIBLE","✓ COUVERT"))</f>
        <v/>
      </c>
      <c r="N1298" s="8" t="inlineStr">
        <is>
          <t>VAL</t>
        </is>
      </c>
      <c r="O1298" s="8" t="inlineStr">
        <is>
          <t>STANDARD</t>
        </is>
      </c>
      <c r="P1298" s="8" t="inlineStr">
        <is>
          <t>31/08/2026 02:59</t>
        </is>
      </c>
    </row>
    <row r="1299">
      <c r="A1299" s="7" t="inlineStr">
        <is>
          <t>WHAP 8x8</t>
        </is>
      </c>
      <c r="B1299" s="7" t="inlineStr">
        <is>
          <t>WHAP-1295</t>
        </is>
      </c>
      <c r="C1299" s="7" t="inlineStr">
        <is>
          <t>OBS-1295</t>
        </is>
      </c>
      <c r="D1299" s="7" t="inlineStr">
        <is>
          <t>module infrarouge — latéral gauche</t>
        </is>
      </c>
      <c r="E1299" s="7" t="inlineStr">
        <is>
          <t>Observation</t>
        </is>
      </c>
      <c r="F1299" s="7" t="inlineStr">
        <is>
          <t>Observation</t>
        </is>
      </c>
      <c r="G1299" s="7" t="inlineStr">
        <is>
          <t>EQUIPEMENT_VEHICULE</t>
        </is>
      </c>
      <c r="H1299" s="7" t="n">
        <v>1</v>
      </c>
      <c r="I1299" s="7">
        <f>H1299*$D$3</f>
        <v/>
      </c>
      <c r="J1299" s="7" t="inlineStr">
        <is>
          <t>unité</t>
        </is>
      </c>
      <c r="K1299" s="7" t="n">
        <v>0</v>
      </c>
      <c r="L1299" s="7">
        <f>K1299-I1299</f>
        <v/>
      </c>
      <c r="M1299" s="7">
        <f>IF(K1299&lt;I1299,"✕ INSUFFISANT",IF(K1299&lt;I1299*1.2,"⚠ STOCK FAIBLE","✓ COUVERT"))</f>
        <v/>
      </c>
      <c r="N1299" s="7" t="inlineStr">
        <is>
          <t>BOS</t>
        </is>
      </c>
      <c r="O1299" s="7" t="inlineStr">
        <is>
          <t>STANDARD</t>
        </is>
      </c>
      <c r="P1299" s="7" t="inlineStr">
        <is>
          <t>31/08/2026 02:59</t>
        </is>
      </c>
    </row>
    <row r="1300">
      <c r="A1300" s="8" t="inlineStr">
        <is>
          <t>WHAP 8x8</t>
        </is>
      </c>
      <c r="B1300" s="8" t="inlineStr">
        <is>
          <t>WHAP-1296</t>
        </is>
      </c>
      <c r="C1300" s="8" t="inlineStr">
        <is>
          <t>OBS-1296</t>
        </is>
      </c>
      <c r="D1300" s="8" t="inlineStr">
        <is>
          <t>écran caméra — latéral gauche</t>
        </is>
      </c>
      <c r="E1300" s="8" t="inlineStr">
        <is>
          <t>Observation</t>
        </is>
      </c>
      <c r="F1300" s="8" t="inlineStr">
        <is>
          <t>Observation</t>
        </is>
      </c>
      <c r="G1300" s="8" t="inlineStr">
        <is>
          <t>EQUIPEMENT_VEHICULE</t>
        </is>
      </c>
      <c r="H1300" s="8" t="n">
        <v>1</v>
      </c>
      <c r="I1300" s="8">
        <f>H1300*$D$3</f>
        <v/>
      </c>
      <c r="J1300" s="8" t="inlineStr">
        <is>
          <t>unité</t>
        </is>
      </c>
      <c r="K1300" s="8" t="n">
        <v>0</v>
      </c>
      <c r="L1300" s="8">
        <f>K1300-I1300</f>
        <v/>
      </c>
      <c r="M1300" s="8">
        <f>IF(K1300&lt;I1300,"✕ INSUFFISANT",IF(K1300&lt;I1300*1.2,"⚠ STOCK FAIBLE","✓ COUVERT"))</f>
        <v/>
      </c>
      <c r="N1300" s="8" t="inlineStr">
        <is>
          <t>CTL</t>
        </is>
      </c>
      <c r="O1300" s="8" t="inlineStr">
        <is>
          <t>STANDARD</t>
        </is>
      </c>
      <c r="P1300" s="8" t="inlineStr">
        <is>
          <t>31/08/2026 02:59</t>
        </is>
      </c>
    </row>
    <row r="1301">
      <c r="A1301" s="7" t="inlineStr">
        <is>
          <t>WHAP 8x8</t>
        </is>
      </c>
      <c r="B1301" s="7" t="inlineStr">
        <is>
          <t>WHAP-1297</t>
        </is>
      </c>
      <c r="C1301" s="7" t="inlineStr">
        <is>
          <t>OBS-1297</t>
        </is>
      </c>
      <c r="D1301" s="7" t="inlineStr">
        <is>
          <t>unité de traitement vidéo — latéral gauche</t>
        </is>
      </c>
      <c r="E1301" s="7" t="inlineStr">
        <is>
          <t>Observation</t>
        </is>
      </c>
      <c r="F1301" s="7" t="inlineStr">
        <is>
          <t>Observation</t>
        </is>
      </c>
      <c r="G1301" s="7" t="inlineStr">
        <is>
          <t>EQUIPEMENT_VEHICULE</t>
        </is>
      </c>
      <c r="H1301" s="7" t="n">
        <v>1</v>
      </c>
      <c r="I1301" s="7">
        <f>H1301*$D$3</f>
        <v/>
      </c>
      <c r="J1301" s="7" t="inlineStr">
        <is>
          <t>unité</t>
        </is>
      </c>
      <c r="K1301" s="7" t="n">
        <v>0</v>
      </c>
      <c r="L1301" s="7">
        <f>K1301-I1301</f>
        <v/>
      </c>
      <c r="M1301" s="7">
        <f>IF(K1301&lt;I1301,"✕ INSUFFISANT",IF(K1301&lt;I1301*1.2,"⚠ STOCK FAIBLE","✓ COUVERT"))</f>
        <v/>
      </c>
      <c r="N1301" s="7" t="inlineStr">
        <is>
          <t>MAG</t>
        </is>
      </c>
      <c r="O1301" s="7" t="inlineStr">
        <is>
          <t>STANDARD</t>
        </is>
      </c>
      <c r="P1301" s="7" t="inlineStr">
        <is>
          <t>31/08/2026 02:59</t>
        </is>
      </c>
    </row>
    <row r="1302">
      <c r="A1302" s="8" t="inlineStr">
        <is>
          <t>WHAP 8x8</t>
        </is>
      </c>
      <c r="B1302" s="8" t="inlineStr">
        <is>
          <t>WHAP-1298</t>
        </is>
      </c>
      <c r="C1302" s="8" t="inlineStr">
        <is>
          <t>OBS-1298</t>
        </is>
      </c>
      <c r="D1302" s="8" t="inlineStr">
        <is>
          <t>câble vidéo — latéral gauche</t>
        </is>
      </c>
      <c r="E1302" s="8" t="inlineStr">
        <is>
          <t>Observation</t>
        </is>
      </c>
      <c r="F1302" s="8" t="inlineStr">
        <is>
          <t>Observation</t>
        </is>
      </c>
      <c r="G1302" s="8" t="inlineStr">
        <is>
          <t>EQUIPEMENT_VEHICULE</t>
        </is>
      </c>
      <c r="H1302" s="8" t="n">
        <v>1</v>
      </c>
      <c r="I1302" s="8">
        <f>H1302*$D$3</f>
        <v/>
      </c>
      <c r="J1302" s="8" t="inlineStr">
        <is>
          <t>unité</t>
        </is>
      </c>
      <c r="K1302" s="8" t="n">
        <v>0</v>
      </c>
      <c r="L1302" s="8">
        <f>K1302-I1302</f>
        <v/>
      </c>
      <c r="M1302" s="8">
        <f>IF(K1302&lt;I1302,"✕ INSUFFISANT",IF(K1302&lt;I1302*1.2,"⚠ STOCK FAIBLE","✓ COUVERT"))</f>
        <v/>
      </c>
      <c r="N1302" s="8" t="inlineStr">
        <is>
          <t>BOS</t>
        </is>
      </c>
      <c r="O1302" s="8" t="inlineStr">
        <is>
          <t>STANDARD</t>
        </is>
      </c>
      <c r="P1302" s="8" t="inlineStr">
        <is>
          <t>31/08/2026 02:59</t>
        </is>
      </c>
    </row>
    <row r="1303">
      <c r="A1303" s="7" t="inlineStr">
        <is>
          <t>WHAP 8x8</t>
        </is>
      </c>
      <c r="B1303" s="7" t="inlineStr">
        <is>
          <t>WHAP-1299</t>
        </is>
      </c>
      <c r="C1303" s="7" t="inlineStr">
        <is>
          <t>OBS-1299</t>
        </is>
      </c>
      <c r="D1303" s="7" t="inlineStr">
        <is>
          <t>connecteur vidéo — latéral gauche</t>
        </is>
      </c>
      <c r="E1303" s="7" t="inlineStr">
        <is>
          <t>Observation</t>
        </is>
      </c>
      <c r="F1303" s="7" t="inlineStr">
        <is>
          <t>Observation</t>
        </is>
      </c>
      <c r="G1303" s="7" t="inlineStr">
        <is>
          <t>EQUIPEMENT_VEHICULE</t>
        </is>
      </c>
      <c r="H1303" s="7" t="n">
        <v>1</v>
      </c>
      <c r="I1303" s="7">
        <f>H1303*$D$3</f>
        <v/>
      </c>
      <c r="J1303" s="7" t="inlineStr">
        <is>
          <t>unité</t>
        </is>
      </c>
      <c r="K1303" s="7" t="n">
        <v>0</v>
      </c>
      <c r="L1303" s="7">
        <f>K1303-I1303</f>
        <v/>
      </c>
      <c r="M1303" s="7">
        <f>IF(K1303&lt;I1303,"✕ INSUFFISANT",IF(K1303&lt;I1303*1.2,"⚠ STOCK FAIBLE","✓ COUVERT"))</f>
        <v/>
      </c>
      <c r="N1303" s="7" t="inlineStr">
        <is>
          <t>YZK</t>
        </is>
      </c>
      <c r="O1303" s="7" t="inlineStr">
        <is>
          <t>STANDARD</t>
        </is>
      </c>
      <c r="P1303" s="7" t="inlineStr">
        <is>
          <t>31/08/2026 02:59</t>
        </is>
      </c>
    </row>
    <row r="1304">
      <c r="A1304" s="8" t="inlineStr">
        <is>
          <t>WHAP 8x8</t>
        </is>
      </c>
      <c r="B1304" s="8" t="inlineStr">
        <is>
          <t>WHAP-1300</t>
        </is>
      </c>
      <c r="C1304" s="8" t="inlineStr">
        <is>
          <t>OBS-1300</t>
        </is>
      </c>
      <c r="D1304" s="8" t="inlineStr">
        <is>
          <t>support caméra — latéral gauche</t>
        </is>
      </c>
      <c r="E1304" s="8" t="inlineStr">
        <is>
          <t>Observation</t>
        </is>
      </c>
      <c r="F1304" s="8" t="inlineStr">
        <is>
          <t>Observation</t>
        </is>
      </c>
      <c r="G1304" s="8" t="inlineStr">
        <is>
          <t>EQUIPEMENT_VEHICULE</t>
        </is>
      </c>
      <c r="H1304" s="8" t="n">
        <v>1</v>
      </c>
      <c r="I1304" s="8">
        <f>H1304*$D$3</f>
        <v/>
      </c>
      <c r="J1304" s="8" t="inlineStr">
        <is>
          <t>unité</t>
        </is>
      </c>
      <c r="K1304" s="8" t="n">
        <v>0</v>
      </c>
      <c r="L1304" s="8">
        <f>K1304-I1304</f>
        <v/>
      </c>
      <c r="M1304" s="8">
        <f>IF(K1304&lt;I1304,"✕ INSUFFISANT",IF(K1304&lt;I1304*1.2,"⚠ STOCK FAIBLE","✓ COUVERT"))</f>
        <v/>
      </c>
      <c r="N1304" s="8" t="inlineStr">
        <is>
          <t>BOS</t>
        </is>
      </c>
      <c r="O1304" s="8" t="inlineStr">
        <is>
          <t>STANDARD</t>
        </is>
      </c>
      <c r="P1304" s="8" t="inlineStr">
        <is>
          <t>31/08/2026 02:59</t>
        </is>
      </c>
    </row>
    <row r="1305">
      <c r="A1305" s="7" t="inlineStr">
        <is>
          <t>WHAP 8x8</t>
        </is>
      </c>
      <c r="B1305" s="7" t="inlineStr">
        <is>
          <t>WHAP-1301</t>
        </is>
      </c>
      <c r="C1305" s="7" t="inlineStr">
        <is>
          <t>OBS-1301</t>
        </is>
      </c>
      <c r="D1305" s="7" t="inlineStr">
        <is>
          <t>capot caméra — latéral gauche</t>
        </is>
      </c>
      <c r="E1305" s="7" t="inlineStr">
        <is>
          <t>Observation</t>
        </is>
      </c>
      <c r="F1305" s="7" t="inlineStr">
        <is>
          <t>Observation</t>
        </is>
      </c>
      <c r="G1305" s="7" t="inlineStr">
        <is>
          <t>EQUIPEMENT_VEHICULE</t>
        </is>
      </c>
      <c r="H1305" s="7" t="n">
        <v>1</v>
      </c>
      <c r="I1305" s="7">
        <f>H1305*$D$3</f>
        <v/>
      </c>
      <c r="J1305" s="7" t="inlineStr">
        <is>
          <t>unité</t>
        </is>
      </c>
      <c r="K1305" s="7" t="n">
        <v>0</v>
      </c>
      <c r="L1305" s="7">
        <f>K1305-I1305</f>
        <v/>
      </c>
      <c r="M1305" s="7">
        <f>IF(K1305&lt;I1305,"✕ INSUFFISANT",IF(K1305&lt;I1305*1.2,"⚠ STOCK FAIBLE","✓ COUVERT"))</f>
        <v/>
      </c>
      <c r="N1305" s="7" t="inlineStr">
        <is>
          <t>BOS</t>
        </is>
      </c>
      <c r="O1305" s="7" t="inlineStr">
        <is>
          <t>STANDARD</t>
        </is>
      </c>
      <c r="P1305" s="7" t="inlineStr">
        <is>
          <t>31/08/2026 02:59</t>
        </is>
      </c>
    </row>
    <row r="1306">
      <c r="A1306" s="8" t="inlineStr">
        <is>
          <t>WHAP 8x8</t>
        </is>
      </c>
      <c r="B1306" s="8" t="inlineStr">
        <is>
          <t>WHAP-1302</t>
        </is>
      </c>
      <c r="C1306" s="8" t="inlineStr">
        <is>
          <t>OBS-1302</t>
        </is>
      </c>
      <c r="D1306" s="8" t="inlineStr">
        <is>
          <t>essuie-optique — latéral gauche</t>
        </is>
      </c>
      <c r="E1306" s="8" t="inlineStr">
        <is>
          <t>Observation</t>
        </is>
      </c>
      <c r="F1306" s="8" t="inlineStr">
        <is>
          <t>Observation</t>
        </is>
      </c>
      <c r="G1306" s="8" t="inlineStr">
        <is>
          <t>EQUIPEMENT_VEHICULE</t>
        </is>
      </c>
      <c r="H1306" s="8" t="n">
        <v>1</v>
      </c>
      <c r="I1306" s="8">
        <f>H1306*$D$3</f>
        <v/>
      </c>
      <c r="J1306" s="8" t="inlineStr">
        <is>
          <t>unité</t>
        </is>
      </c>
      <c r="K1306" s="8" t="n">
        <v>0</v>
      </c>
      <c r="L1306" s="8">
        <f>K1306-I1306</f>
        <v/>
      </c>
      <c r="M1306" s="8">
        <f>IF(K1306&lt;I1306,"✕ INSUFFISANT",IF(K1306&lt;I1306*1.2,"⚠ STOCK FAIBLE","✓ COUVERT"))</f>
        <v/>
      </c>
      <c r="N1306" s="8" t="inlineStr">
        <is>
          <t>MAG</t>
        </is>
      </c>
      <c r="O1306" s="8" t="inlineStr">
        <is>
          <t>STANDARD</t>
        </is>
      </c>
      <c r="P1306" s="8" t="inlineStr">
        <is>
          <t>31/08/2026 02:59</t>
        </is>
      </c>
    </row>
    <row r="1307">
      <c r="A1307" s="7" t="inlineStr">
        <is>
          <t>WHAP 8x8</t>
        </is>
      </c>
      <c r="B1307" s="7" t="inlineStr">
        <is>
          <t>WHAP-1303</t>
        </is>
      </c>
      <c r="C1307" s="7" t="inlineStr">
        <is>
          <t>OBS-1303</t>
        </is>
      </c>
      <c r="D1307" s="7" t="inlineStr">
        <is>
          <t>chauffage optique — latéral gauche</t>
        </is>
      </c>
      <c r="E1307" s="7" t="inlineStr">
        <is>
          <t>Observation</t>
        </is>
      </c>
      <c r="F1307" s="7" t="inlineStr">
        <is>
          <t>Observation</t>
        </is>
      </c>
      <c r="G1307" s="7" t="inlineStr">
        <is>
          <t>EQUIPEMENT_VEHICULE</t>
        </is>
      </c>
      <c r="H1307" s="7" t="n">
        <v>1</v>
      </c>
      <c r="I1307" s="7">
        <f>H1307*$D$3</f>
        <v/>
      </c>
      <c r="J1307" s="7" t="inlineStr">
        <is>
          <t>unité</t>
        </is>
      </c>
      <c r="K1307" s="7" t="n">
        <v>0</v>
      </c>
      <c r="L1307" s="7">
        <f>K1307-I1307</f>
        <v/>
      </c>
      <c r="M1307" s="7">
        <f>IF(K1307&lt;I1307,"✕ INSUFFISANT",IF(K1307&lt;I1307*1.2,"⚠ STOCK FAIBLE","✓ COUVERT"))</f>
        <v/>
      </c>
      <c r="N1307" s="7" t="inlineStr">
        <is>
          <t>YZK</t>
        </is>
      </c>
      <c r="O1307" s="7" t="inlineStr">
        <is>
          <t>STANDARD</t>
        </is>
      </c>
      <c r="P1307" s="7" t="inlineStr">
        <is>
          <t>31/08/2026 02:59</t>
        </is>
      </c>
    </row>
    <row r="1308">
      <c r="A1308" s="8" t="inlineStr">
        <is>
          <t>WHAP 8x8</t>
        </is>
      </c>
      <c r="B1308" s="8" t="inlineStr">
        <is>
          <t>WHAP-1304</t>
        </is>
      </c>
      <c r="C1308" s="8" t="inlineStr">
        <is>
          <t>OBS-1304</t>
        </is>
      </c>
      <c r="D1308" s="8" t="inlineStr">
        <is>
          <t>capteur luminosité — latéral gauche</t>
        </is>
      </c>
      <c r="E1308" s="8" t="inlineStr">
        <is>
          <t>Observation</t>
        </is>
      </c>
      <c r="F1308" s="8" t="inlineStr">
        <is>
          <t>Observation</t>
        </is>
      </c>
      <c r="G1308" s="8" t="inlineStr">
        <is>
          <t>EQUIPEMENT_VEHICULE</t>
        </is>
      </c>
      <c r="H1308" s="8" t="n">
        <v>1</v>
      </c>
      <c r="I1308" s="8">
        <f>H1308*$D$3</f>
        <v/>
      </c>
      <c r="J1308" s="8" t="inlineStr">
        <is>
          <t>unité</t>
        </is>
      </c>
      <c r="K1308" s="8" t="n">
        <v>0</v>
      </c>
      <c r="L1308" s="8">
        <f>K1308-I1308</f>
        <v/>
      </c>
      <c r="M1308" s="8">
        <f>IF(K1308&lt;I1308,"✕ INSUFFISANT",IF(K1308&lt;I1308*1.2,"⚠ STOCK FAIBLE","✓ COUVERT"))</f>
        <v/>
      </c>
      <c r="N1308" s="8" t="inlineStr">
        <is>
          <t>DEL</t>
        </is>
      </c>
      <c r="O1308" s="8" t="inlineStr">
        <is>
          <t>STANDARD</t>
        </is>
      </c>
      <c r="P1308" s="8" t="inlineStr">
        <is>
          <t>31/08/2026 02:59</t>
        </is>
      </c>
    </row>
    <row r="1309">
      <c r="A1309" s="7" t="inlineStr">
        <is>
          <t>WHAP 8x8</t>
        </is>
      </c>
      <c r="B1309" s="7" t="inlineStr">
        <is>
          <t>WHAP-1305</t>
        </is>
      </c>
      <c r="C1309" s="7" t="inlineStr">
        <is>
          <t>OBS-1305</t>
        </is>
      </c>
      <c r="D1309" s="7" t="inlineStr">
        <is>
          <t>périscope — latéral droit</t>
        </is>
      </c>
      <c r="E1309" s="7" t="inlineStr">
        <is>
          <t>Observation</t>
        </is>
      </c>
      <c r="F1309" s="7" t="inlineStr">
        <is>
          <t>Observation</t>
        </is>
      </c>
      <c r="G1309" s="7" t="inlineStr">
        <is>
          <t>EQUIPEMENT_VEHICULE</t>
        </is>
      </c>
      <c r="H1309" s="7" t="n">
        <v>1</v>
      </c>
      <c r="I1309" s="7">
        <f>H1309*$D$3</f>
        <v/>
      </c>
      <c r="J1309" s="7" t="inlineStr">
        <is>
          <t>unité</t>
        </is>
      </c>
      <c r="K1309" s="7" t="n">
        <v>0</v>
      </c>
      <c r="L1309" s="7">
        <f>K1309-I1309</f>
        <v/>
      </c>
      <c r="M1309" s="7">
        <f>IF(K1309&lt;I1309,"✕ INSUFFISANT",IF(K1309&lt;I1309*1.2,"⚠ STOCK FAIBLE","✓ COUVERT"))</f>
        <v/>
      </c>
      <c r="N1309" s="7" t="inlineStr">
        <is>
          <t>SKF</t>
        </is>
      </c>
      <c r="O1309" s="7" t="inlineStr">
        <is>
          <t>STANDARD</t>
        </is>
      </c>
      <c r="P1309" s="7" t="inlineStr">
        <is>
          <t>31/08/2026 02:59</t>
        </is>
      </c>
    </row>
    <row r="1310">
      <c r="A1310" s="8" t="inlineStr">
        <is>
          <t>WHAP 8x8</t>
        </is>
      </c>
      <c r="B1310" s="8" t="inlineStr">
        <is>
          <t>WHAP-1306</t>
        </is>
      </c>
      <c r="C1310" s="8" t="inlineStr">
        <is>
          <t>OBS-1306</t>
        </is>
      </c>
      <c r="D1310" s="8" t="inlineStr">
        <is>
          <t>bloc optique — latéral droit</t>
        </is>
      </c>
      <c r="E1310" s="8" t="inlineStr">
        <is>
          <t>Observation</t>
        </is>
      </c>
      <c r="F1310" s="8" t="inlineStr">
        <is>
          <t>Observation</t>
        </is>
      </c>
      <c r="G1310" s="8" t="inlineStr">
        <is>
          <t>EQUIPEMENT_VEHICULE</t>
        </is>
      </c>
      <c r="H1310" s="8" t="n">
        <v>1</v>
      </c>
      <c r="I1310" s="8">
        <f>H1310*$D$3</f>
        <v/>
      </c>
      <c r="J1310" s="8" t="inlineStr">
        <is>
          <t>unité</t>
        </is>
      </c>
      <c r="K1310" s="8" t="n">
        <v>0</v>
      </c>
      <c r="L1310" s="8">
        <f>K1310-I1310</f>
        <v/>
      </c>
      <c r="M1310" s="8">
        <f>IF(K1310&lt;I1310,"✕ INSUFFISANT",IF(K1310&lt;I1310*1.2,"⚠ STOCK FAIBLE","✓ COUVERT"))</f>
        <v/>
      </c>
      <c r="N1310" s="8" t="inlineStr">
        <is>
          <t>SKF</t>
        </is>
      </c>
      <c r="O1310" s="8" t="inlineStr">
        <is>
          <t>STANDARD</t>
        </is>
      </c>
      <c r="P1310" s="8" t="inlineStr">
        <is>
          <t>31/08/2026 02:59</t>
        </is>
      </c>
    </row>
    <row r="1311">
      <c r="A1311" s="7" t="inlineStr">
        <is>
          <t>WHAP 8x8</t>
        </is>
      </c>
      <c r="B1311" s="7" t="inlineStr">
        <is>
          <t>WHAP-1307</t>
        </is>
      </c>
      <c r="C1311" s="7" t="inlineStr">
        <is>
          <t>OBS-1307</t>
        </is>
      </c>
      <c r="D1311" s="7" t="inlineStr">
        <is>
          <t>viseur conducteur — latéral droit</t>
        </is>
      </c>
      <c r="E1311" s="7" t="inlineStr">
        <is>
          <t>Observation</t>
        </is>
      </c>
      <c r="F1311" s="7" t="inlineStr">
        <is>
          <t>Observation</t>
        </is>
      </c>
      <c r="G1311" s="7" t="inlineStr">
        <is>
          <t>EQUIPEMENT_VEHICULE</t>
        </is>
      </c>
      <c r="H1311" s="7" t="n">
        <v>1</v>
      </c>
      <c r="I1311" s="7">
        <f>H1311*$D$3</f>
        <v/>
      </c>
      <c r="J1311" s="7" t="inlineStr">
        <is>
          <t>unité</t>
        </is>
      </c>
      <c r="K1311" s="7" t="n">
        <v>0</v>
      </c>
      <c r="L1311" s="7">
        <f>K1311-I1311</f>
        <v/>
      </c>
      <c r="M1311" s="7">
        <f>IF(K1311&lt;I1311,"✕ INSUFFISANT",IF(K1311&lt;I1311*1.2,"⚠ STOCK FAIBLE","✓ COUVERT"))</f>
        <v/>
      </c>
      <c r="N1311" s="7" t="inlineStr">
        <is>
          <t>SUM</t>
        </is>
      </c>
      <c r="O1311" s="7" t="inlineStr">
        <is>
          <t>STANDARD</t>
        </is>
      </c>
      <c r="P1311" s="7" t="inlineStr">
        <is>
          <t>31/08/2026 02:59</t>
        </is>
      </c>
    </row>
    <row r="1312">
      <c r="A1312" s="8" t="inlineStr">
        <is>
          <t>WHAP 8x8</t>
        </is>
      </c>
      <c r="B1312" s="8" t="inlineStr">
        <is>
          <t>WHAP-1308</t>
        </is>
      </c>
      <c r="C1312" s="8" t="inlineStr">
        <is>
          <t>OBS-1308</t>
        </is>
      </c>
      <c r="D1312" s="8" t="inlineStr">
        <is>
          <t>caméra avant — latéral droit</t>
        </is>
      </c>
      <c r="E1312" s="8" t="inlineStr">
        <is>
          <t>Observation</t>
        </is>
      </c>
      <c r="F1312" s="8" t="inlineStr">
        <is>
          <t>Observation</t>
        </is>
      </c>
      <c r="G1312" s="8" t="inlineStr">
        <is>
          <t>EQUIPEMENT_VEHICULE</t>
        </is>
      </c>
      <c r="H1312" s="8" t="n">
        <v>1</v>
      </c>
      <c r="I1312" s="8">
        <f>H1312*$D$3</f>
        <v/>
      </c>
      <c r="J1312" s="8" t="inlineStr">
        <is>
          <t>unité</t>
        </is>
      </c>
      <c r="K1312" s="8" t="n">
        <v>0</v>
      </c>
      <c r="L1312" s="8">
        <f>K1312-I1312</f>
        <v/>
      </c>
      <c r="M1312" s="8">
        <f>IF(K1312&lt;I1312,"✕ INSUFFISANT",IF(K1312&lt;I1312*1.2,"⚠ STOCK FAIBLE","✓ COUVERT"))</f>
        <v/>
      </c>
      <c r="N1312" s="8" t="inlineStr">
        <is>
          <t>HEL</t>
        </is>
      </c>
      <c r="O1312" s="8" t="inlineStr">
        <is>
          <t>STANDARD</t>
        </is>
      </c>
      <c r="P1312" s="8" t="inlineStr">
        <is>
          <t>31/08/2026 02:59</t>
        </is>
      </c>
    </row>
    <row r="1313">
      <c r="A1313" s="7" t="inlineStr">
        <is>
          <t>WHAP 8x8</t>
        </is>
      </c>
      <c r="B1313" s="7" t="inlineStr">
        <is>
          <t>WHAP-1309</t>
        </is>
      </c>
      <c r="C1313" s="7" t="inlineStr">
        <is>
          <t>OBS-1309</t>
        </is>
      </c>
      <c r="D1313" s="7" t="inlineStr">
        <is>
          <t>caméra arrière — latéral droit</t>
        </is>
      </c>
      <c r="E1313" s="7" t="inlineStr">
        <is>
          <t>Observation</t>
        </is>
      </c>
      <c r="F1313" s="7" t="inlineStr">
        <is>
          <t>Observation</t>
        </is>
      </c>
      <c r="G1313" s="7" t="inlineStr">
        <is>
          <t>EQUIPEMENT_VEHICULE</t>
        </is>
      </c>
      <c r="H1313" s="7" t="n">
        <v>1</v>
      </c>
      <c r="I1313" s="7">
        <f>H1313*$D$3</f>
        <v/>
      </c>
      <c r="J1313" s="7" t="inlineStr">
        <is>
          <t>unité</t>
        </is>
      </c>
      <c r="K1313" s="7" t="n">
        <v>0</v>
      </c>
      <c r="L1313" s="7">
        <f>K1313-I1313</f>
        <v/>
      </c>
      <c r="M1313" s="7">
        <f>IF(K1313&lt;I1313,"✕ INSUFFISANT",IF(K1313&lt;I1313*1.2,"⚠ STOCK FAIBLE","✓ COUVERT"))</f>
        <v/>
      </c>
      <c r="N1313" s="7" t="inlineStr">
        <is>
          <t>MAG</t>
        </is>
      </c>
      <c r="O1313" s="7" t="inlineStr">
        <is>
          <t>STANDARD</t>
        </is>
      </c>
      <c r="P1313" s="7" t="inlineStr">
        <is>
          <t>31/08/2026 02:59</t>
        </is>
      </c>
    </row>
    <row r="1314">
      <c r="A1314" s="8" t="inlineStr">
        <is>
          <t>WHAP 8x8</t>
        </is>
      </c>
      <c r="B1314" s="8" t="inlineStr">
        <is>
          <t>WHAP-1310</t>
        </is>
      </c>
      <c r="C1314" s="8" t="inlineStr">
        <is>
          <t>OBS-1310</t>
        </is>
      </c>
      <c r="D1314" s="8" t="inlineStr">
        <is>
          <t>caméra latérale — latéral droit</t>
        </is>
      </c>
      <c r="E1314" s="8" t="inlineStr">
        <is>
          <t>Observation</t>
        </is>
      </c>
      <c r="F1314" s="8" t="inlineStr">
        <is>
          <t>Observation</t>
        </is>
      </c>
      <c r="G1314" s="8" t="inlineStr">
        <is>
          <t>EQUIPEMENT_VEHICULE</t>
        </is>
      </c>
      <c r="H1314" s="8" t="n">
        <v>1</v>
      </c>
      <c r="I1314" s="8">
        <f>H1314*$D$3</f>
        <v/>
      </c>
      <c r="J1314" s="8" t="inlineStr">
        <is>
          <t>unité</t>
        </is>
      </c>
      <c r="K1314" s="8" t="n">
        <v>0</v>
      </c>
      <c r="L1314" s="8">
        <f>K1314-I1314</f>
        <v/>
      </c>
      <c r="M1314" s="8">
        <f>IF(K1314&lt;I1314,"✕ INSUFFISANT",IF(K1314&lt;I1314*1.2,"⚠ STOCK FAIBLE","✓ COUVERT"))</f>
        <v/>
      </c>
      <c r="N1314" s="8" t="inlineStr">
        <is>
          <t>DEL</t>
        </is>
      </c>
      <c r="O1314" s="8" t="inlineStr">
        <is>
          <t>STANDARD</t>
        </is>
      </c>
      <c r="P1314" s="8" t="inlineStr">
        <is>
          <t>31/08/2026 02:59</t>
        </is>
      </c>
    </row>
    <row r="1315">
      <c r="A1315" s="7" t="inlineStr">
        <is>
          <t>WHAP 8x8</t>
        </is>
      </c>
      <c r="B1315" s="7" t="inlineStr">
        <is>
          <t>WHAP-1311</t>
        </is>
      </c>
      <c r="C1315" s="7" t="inlineStr">
        <is>
          <t>OBS-1311</t>
        </is>
      </c>
      <c r="D1315" s="7" t="inlineStr">
        <is>
          <t>caméra thermique — latéral droit</t>
        </is>
      </c>
      <c r="E1315" s="7" t="inlineStr">
        <is>
          <t>Observation</t>
        </is>
      </c>
      <c r="F1315" s="7" t="inlineStr">
        <is>
          <t>Observation</t>
        </is>
      </c>
      <c r="G1315" s="7" t="inlineStr">
        <is>
          <t>EQUIPEMENT_VEHICULE</t>
        </is>
      </c>
      <c r="H1315" s="7" t="n">
        <v>1</v>
      </c>
      <c r="I1315" s="7">
        <f>H1315*$D$3</f>
        <v/>
      </c>
      <c r="J1315" s="7" t="inlineStr">
        <is>
          <t>unité</t>
        </is>
      </c>
      <c r="K1315" s="7" t="n">
        <v>0</v>
      </c>
      <c r="L1315" s="7">
        <f>K1315-I1315</f>
        <v/>
      </c>
      <c r="M1315" s="7">
        <f>IF(K1315&lt;I1315,"✕ INSUFFISANT",IF(K1315&lt;I1315*1.2,"⚠ STOCK FAIBLE","✓ COUVERT"))</f>
        <v/>
      </c>
      <c r="N1315" s="7" t="inlineStr">
        <is>
          <t>MAG</t>
        </is>
      </c>
      <c r="O1315" s="7" t="inlineStr">
        <is>
          <t>STANDARD</t>
        </is>
      </c>
      <c r="P1315" s="7" t="inlineStr">
        <is>
          <t>31/08/2026 02:59</t>
        </is>
      </c>
    </row>
    <row r="1316">
      <c r="A1316" s="8" t="inlineStr">
        <is>
          <t>WHAP 8x8</t>
        </is>
      </c>
      <c r="B1316" s="8" t="inlineStr">
        <is>
          <t>WHAP-1312</t>
        </is>
      </c>
      <c r="C1316" s="8" t="inlineStr">
        <is>
          <t>OBS-1312</t>
        </is>
      </c>
      <c r="D1316" s="8" t="inlineStr">
        <is>
          <t>module infrarouge — latéral droit</t>
        </is>
      </c>
      <c r="E1316" s="8" t="inlineStr">
        <is>
          <t>Observation</t>
        </is>
      </c>
      <c r="F1316" s="8" t="inlineStr">
        <is>
          <t>Observation</t>
        </is>
      </c>
      <c r="G1316" s="8" t="inlineStr">
        <is>
          <t>EQUIPEMENT_VEHICULE</t>
        </is>
      </c>
      <c r="H1316" s="8" t="n">
        <v>1</v>
      </c>
      <c r="I1316" s="8">
        <f>H1316*$D$3</f>
        <v/>
      </c>
      <c r="J1316" s="8" t="inlineStr">
        <is>
          <t>unité</t>
        </is>
      </c>
      <c r="K1316" s="8" t="n">
        <v>0</v>
      </c>
      <c r="L1316" s="8">
        <f>K1316-I1316</f>
        <v/>
      </c>
      <c r="M1316" s="8">
        <f>IF(K1316&lt;I1316,"✕ INSUFFISANT",IF(K1316&lt;I1316*1.2,"⚠ STOCK FAIBLE","✓ COUVERT"))</f>
        <v/>
      </c>
      <c r="N1316" s="8" t="inlineStr">
        <is>
          <t>HEL</t>
        </is>
      </c>
      <c r="O1316" s="8" t="inlineStr">
        <is>
          <t>STANDARD</t>
        </is>
      </c>
      <c r="P1316" s="8" t="inlineStr">
        <is>
          <t>31/08/2026 02:59</t>
        </is>
      </c>
    </row>
    <row r="1317">
      <c r="A1317" s="7" t="inlineStr">
        <is>
          <t>WHAP 8x8</t>
        </is>
      </c>
      <c r="B1317" s="7" t="inlineStr">
        <is>
          <t>WHAP-1313</t>
        </is>
      </c>
      <c r="C1317" s="7" t="inlineStr">
        <is>
          <t>OBS-1313</t>
        </is>
      </c>
      <c r="D1317" s="7" t="inlineStr">
        <is>
          <t>écran caméra — latéral droit</t>
        </is>
      </c>
      <c r="E1317" s="7" t="inlineStr">
        <is>
          <t>Observation</t>
        </is>
      </c>
      <c r="F1317" s="7" t="inlineStr">
        <is>
          <t>Observation</t>
        </is>
      </c>
      <c r="G1317" s="7" t="inlineStr">
        <is>
          <t>EQUIPEMENT_VEHICULE</t>
        </is>
      </c>
      <c r="H1317" s="7" t="n">
        <v>1</v>
      </c>
      <c r="I1317" s="7">
        <f>H1317*$D$3</f>
        <v/>
      </c>
      <c r="J1317" s="7" t="inlineStr">
        <is>
          <t>unité</t>
        </is>
      </c>
      <c r="K1317" s="7" t="n">
        <v>0</v>
      </c>
      <c r="L1317" s="7">
        <f>K1317-I1317</f>
        <v/>
      </c>
      <c r="M1317" s="7">
        <f>IF(K1317&lt;I1317,"✕ INSUFFISANT",IF(K1317&lt;I1317*1.2,"⚠ STOCK FAIBLE","✓ COUVERT"))</f>
        <v/>
      </c>
      <c r="N1317" s="7" t="inlineStr">
        <is>
          <t>CTL</t>
        </is>
      </c>
      <c r="O1317" s="7" t="inlineStr">
        <is>
          <t>STANDARD</t>
        </is>
      </c>
      <c r="P1317" s="7" t="inlineStr">
        <is>
          <t>31/08/2026 02:59</t>
        </is>
      </c>
    </row>
    <row r="1318">
      <c r="A1318" s="8" t="inlineStr">
        <is>
          <t>WHAP 8x8</t>
        </is>
      </c>
      <c r="B1318" s="8" t="inlineStr">
        <is>
          <t>WHAP-1314</t>
        </is>
      </c>
      <c r="C1318" s="8" t="inlineStr">
        <is>
          <t>OBS-1314</t>
        </is>
      </c>
      <c r="D1318" s="8" t="inlineStr">
        <is>
          <t>unité de traitement vidéo — latéral droit</t>
        </is>
      </c>
      <c r="E1318" s="8" t="inlineStr">
        <is>
          <t>Observation</t>
        </is>
      </c>
      <c r="F1318" s="8" t="inlineStr">
        <is>
          <t>Observation</t>
        </is>
      </c>
      <c r="G1318" s="8" t="inlineStr">
        <is>
          <t>EQUIPEMENT_VEHICULE</t>
        </is>
      </c>
      <c r="H1318" s="8" t="n">
        <v>1</v>
      </c>
      <c r="I1318" s="8">
        <f>H1318*$D$3</f>
        <v/>
      </c>
      <c r="J1318" s="8" t="inlineStr">
        <is>
          <t>unité</t>
        </is>
      </c>
      <c r="K1318" s="8" t="n">
        <v>0</v>
      </c>
      <c r="L1318" s="8">
        <f>K1318-I1318</f>
        <v/>
      </c>
      <c r="M1318" s="8">
        <f>IF(K1318&lt;I1318,"✕ INSUFFISANT",IF(K1318&lt;I1318*1.2,"⚠ STOCK FAIBLE","✓ COUVERT"))</f>
        <v/>
      </c>
      <c r="N1318" s="8" t="inlineStr">
        <is>
          <t>DEL</t>
        </is>
      </c>
      <c r="O1318" s="8" t="inlineStr">
        <is>
          <t>STANDARD</t>
        </is>
      </c>
      <c r="P1318" s="8" t="inlineStr">
        <is>
          <t>31/08/2026 02:59</t>
        </is>
      </c>
    </row>
    <row r="1319">
      <c r="A1319" s="7" t="inlineStr">
        <is>
          <t>WHAP 8x8</t>
        </is>
      </c>
      <c r="B1319" s="7" t="inlineStr">
        <is>
          <t>WHAP-1315</t>
        </is>
      </c>
      <c r="C1319" s="7" t="inlineStr">
        <is>
          <t>OBS-1315</t>
        </is>
      </c>
      <c r="D1319" s="7" t="inlineStr">
        <is>
          <t>câble vidéo — latéral droit</t>
        </is>
      </c>
      <c r="E1319" s="7" t="inlineStr">
        <is>
          <t>Observation</t>
        </is>
      </c>
      <c r="F1319" s="7" t="inlineStr">
        <is>
          <t>Observation</t>
        </is>
      </c>
      <c r="G1319" s="7" t="inlineStr">
        <is>
          <t>EQUIPEMENT_VEHICULE</t>
        </is>
      </c>
      <c r="H1319" s="7" t="n">
        <v>1</v>
      </c>
      <c r="I1319" s="7">
        <f>H1319*$D$3</f>
        <v/>
      </c>
      <c r="J1319" s="7" t="inlineStr">
        <is>
          <t>unité</t>
        </is>
      </c>
      <c r="K1319" s="7" t="n">
        <v>0</v>
      </c>
      <c r="L1319" s="7">
        <f>K1319-I1319</f>
        <v/>
      </c>
      <c r="M1319" s="7">
        <f>IF(K1319&lt;I1319,"✕ INSUFFISANT",IF(K1319&lt;I1319*1.2,"⚠ STOCK FAIBLE","✓ COUVERT"))</f>
        <v/>
      </c>
      <c r="N1319" s="7" t="inlineStr">
        <is>
          <t>MAG</t>
        </is>
      </c>
      <c r="O1319" s="7" t="inlineStr">
        <is>
          <t>STANDARD</t>
        </is>
      </c>
      <c r="P1319" s="7" t="inlineStr">
        <is>
          <t>31/08/2026 02:59</t>
        </is>
      </c>
    </row>
    <row r="1320">
      <c r="A1320" s="8" t="inlineStr">
        <is>
          <t>WHAP 8x8</t>
        </is>
      </c>
      <c r="B1320" s="8" t="inlineStr">
        <is>
          <t>WHAP-1316</t>
        </is>
      </c>
      <c r="C1320" s="8" t="inlineStr">
        <is>
          <t>OBS-1316</t>
        </is>
      </c>
      <c r="D1320" s="8" t="inlineStr">
        <is>
          <t>connecteur vidéo — latéral droit</t>
        </is>
      </c>
      <c r="E1320" s="8" t="inlineStr">
        <is>
          <t>Observation</t>
        </is>
      </c>
      <c r="F1320" s="8" t="inlineStr">
        <is>
          <t>Observation</t>
        </is>
      </c>
      <c r="G1320" s="8" t="inlineStr">
        <is>
          <t>EQUIPEMENT_VEHICULE</t>
        </is>
      </c>
      <c r="H1320" s="8" t="n">
        <v>1</v>
      </c>
      <c r="I1320" s="8">
        <f>H1320*$D$3</f>
        <v/>
      </c>
      <c r="J1320" s="8" t="inlineStr">
        <is>
          <t>unité</t>
        </is>
      </c>
      <c r="K1320" s="8" t="n">
        <v>0</v>
      </c>
      <c r="L1320" s="8">
        <f>K1320-I1320</f>
        <v/>
      </c>
      <c r="M1320" s="8">
        <f>IF(K1320&lt;I1320,"✕ INSUFFISANT",IF(K1320&lt;I1320*1.2,"⚠ STOCK FAIBLE","✓ COUVERT"))</f>
        <v/>
      </c>
      <c r="N1320" s="8" t="inlineStr">
        <is>
          <t>SKF</t>
        </is>
      </c>
      <c r="O1320" s="8" t="inlineStr">
        <is>
          <t>STANDARD</t>
        </is>
      </c>
      <c r="P1320" s="8" t="inlineStr">
        <is>
          <t>31/08/2026 02:59</t>
        </is>
      </c>
    </row>
    <row r="1321">
      <c r="A1321" s="7" t="inlineStr">
        <is>
          <t>WHAP 8x8</t>
        </is>
      </c>
      <c r="B1321" s="7" t="inlineStr">
        <is>
          <t>WHAP-1317</t>
        </is>
      </c>
      <c r="C1321" s="7" t="inlineStr">
        <is>
          <t>OBS-1317</t>
        </is>
      </c>
      <c r="D1321" s="7" t="inlineStr">
        <is>
          <t>support caméra — latéral droit</t>
        </is>
      </c>
      <c r="E1321" s="7" t="inlineStr">
        <is>
          <t>Observation</t>
        </is>
      </c>
      <c r="F1321" s="7" t="inlineStr">
        <is>
          <t>Observation</t>
        </is>
      </c>
      <c r="G1321" s="7" t="inlineStr">
        <is>
          <t>EQUIPEMENT_VEHICULE</t>
        </is>
      </c>
      <c r="H1321" s="7" t="n">
        <v>1</v>
      </c>
      <c r="I1321" s="7">
        <f>H1321*$D$3</f>
        <v/>
      </c>
      <c r="J1321" s="7" t="inlineStr">
        <is>
          <t>unité</t>
        </is>
      </c>
      <c r="K1321" s="7" t="n">
        <v>0</v>
      </c>
      <c r="L1321" s="7">
        <f>K1321-I1321</f>
        <v/>
      </c>
      <c r="M1321" s="7">
        <f>IF(K1321&lt;I1321,"✕ INSUFFISANT",IF(K1321&lt;I1321*1.2,"⚠ STOCK FAIBLE","✓ COUVERT"))</f>
        <v/>
      </c>
      <c r="N1321" s="7" t="inlineStr">
        <is>
          <t>SUM</t>
        </is>
      </c>
      <c r="O1321" s="7" t="inlineStr">
        <is>
          <t>STANDARD</t>
        </is>
      </c>
      <c r="P1321" s="7" t="inlineStr">
        <is>
          <t>31/08/2026 02:59</t>
        </is>
      </c>
    </row>
    <row r="1322">
      <c r="A1322" s="8" t="inlineStr">
        <is>
          <t>WHAP 8x8</t>
        </is>
      </c>
      <c r="B1322" s="8" t="inlineStr">
        <is>
          <t>WHAP-1318</t>
        </is>
      </c>
      <c r="C1322" s="8" t="inlineStr">
        <is>
          <t>OBS-1318</t>
        </is>
      </c>
      <c r="D1322" s="8" t="inlineStr">
        <is>
          <t>capot caméra — latéral droit</t>
        </is>
      </c>
      <c r="E1322" s="8" t="inlineStr">
        <is>
          <t>Observation</t>
        </is>
      </c>
      <c r="F1322" s="8" t="inlineStr">
        <is>
          <t>Observation</t>
        </is>
      </c>
      <c r="G1322" s="8" t="inlineStr">
        <is>
          <t>EQUIPEMENT_VEHICULE</t>
        </is>
      </c>
      <c r="H1322" s="8" t="n">
        <v>1</v>
      </c>
      <c r="I1322" s="8">
        <f>H1322*$D$3</f>
        <v/>
      </c>
      <c r="J1322" s="8" t="inlineStr">
        <is>
          <t>unité</t>
        </is>
      </c>
      <c r="K1322" s="8" t="n">
        <v>0</v>
      </c>
      <c r="L1322" s="8">
        <f>K1322-I1322</f>
        <v/>
      </c>
      <c r="M1322" s="8">
        <f>IF(K1322&lt;I1322,"✕ INSUFFISANT",IF(K1322&lt;I1322*1.2,"⚠ STOCK FAIBLE","✓ COUVERT"))</f>
        <v/>
      </c>
      <c r="N1322" s="8" t="inlineStr">
        <is>
          <t>SUM</t>
        </is>
      </c>
      <c r="O1322" s="8" t="inlineStr">
        <is>
          <t>STANDARD</t>
        </is>
      </c>
      <c r="P1322" s="8" t="inlineStr">
        <is>
          <t>31/08/2026 02:59</t>
        </is>
      </c>
    </row>
    <row r="1323">
      <c r="A1323" s="7" t="inlineStr">
        <is>
          <t>WHAP 8x8</t>
        </is>
      </c>
      <c r="B1323" s="7" t="inlineStr">
        <is>
          <t>WHAP-1319</t>
        </is>
      </c>
      <c r="C1323" s="7" t="inlineStr">
        <is>
          <t>OBS-1319</t>
        </is>
      </c>
      <c r="D1323" s="7" t="inlineStr">
        <is>
          <t>essuie-optique — latéral droit</t>
        </is>
      </c>
      <c r="E1323" s="7" t="inlineStr">
        <is>
          <t>Observation</t>
        </is>
      </c>
      <c r="F1323" s="7" t="inlineStr">
        <is>
          <t>Observation</t>
        </is>
      </c>
      <c r="G1323" s="7" t="inlineStr">
        <is>
          <t>EQUIPEMENT_VEHICULE</t>
        </is>
      </c>
      <c r="H1323" s="7" t="n">
        <v>1</v>
      </c>
      <c r="I1323" s="7">
        <f>H1323*$D$3</f>
        <v/>
      </c>
      <c r="J1323" s="7" t="inlineStr">
        <is>
          <t>unité</t>
        </is>
      </c>
      <c r="K1323" s="7" t="n">
        <v>0</v>
      </c>
      <c r="L1323" s="7">
        <f>K1323-I1323</f>
        <v/>
      </c>
      <c r="M1323" s="7">
        <f>IF(K1323&lt;I1323,"✕ INSUFFISANT",IF(K1323&lt;I1323*1.2,"⚠ STOCK FAIBLE","✓ COUVERT"))</f>
        <v/>
      </c>
      <c r="N1323" s="7" t="inlineStr">
        <is>
          <t>SKF</t>
        </is>
      </c>
      <c r="O1323" s="7" t="inlineStr">
        <is>
          <t>STANDARD</t>
        </is>
      </c>
      <c r="P1323" s="7" t="inlineStr">
        <is>
          <t>31/08/2026 02:59</t>
        </is>
      </c>
    </row>
    <row r="1324">
      <c r="A1324" s="8" t="inlineStr">
        <is>
          <t>WHAP 8x8</t>
        </is>
      </c>
      <c r="B1324" s="8" t="inlineStr">
        <is>
          <t>WHAP-1320</t>
        </is>
      </c>
      <c r="C1324" s="8" t="inlineStr">
        <is>
          <t>OBS-1320</t>
        </is>
      </c>
      <c r="D1324" s="8" t="inlineStr">
        <is>
          <t>chauffage optique — latéral droit</t>
        </is>
      </c>
      <c r="E1324" s="8" t="inlineStr">
        <is>
          <t>Observation</t>
        </is>
      </c>
      <c r="F1324" s="8" t="inlineStr">
        <is>
          <t>Observation</t>
        </is>
      </c>
      <c r="G1324" s="8" t="inlineStr">
        <is>
          <t>EQUIPEMENT_VEHICULE</t>
        </is>
      </c>
      <c r="H1324" s="8" t="n">
        <v>1</v>
      </c>
      <c r="I1324" s="8">
        <f>H1324*$D$3</f>
        <v/>
      </c>
      <c r="J1324" s="8" t="inlineStr">
        <is>
          <t>unité</t>
        </is>
      </c>
      <c r="K1324" s="8" t="n">
        <v>0</v>
      </c>
      <c r="L1324" s="8">
        <f>K1324-I1324</f>
        <v/>
      </c>
      <c r="M1324" s="8">
        <f>IF(K1324&lt;I1324,"✕ INSUFFISANT",IF(K1324&lt;I1324*1.2,"⚠ STOCK FAIBLE","✓ COUVERT"))</f>
        <v/>
      </c>
      <c r="N1324" s="8" t="inlineStr">
        <is>
          <t>BOS</t>
        </is>
      </c>
      <c r="O1324" s="8" t="inlineStr">
        <is>
          <t>STANDARD</t>
        </is>
      </c>
      <c r="P1324" s="8" t="inlineStr">
        <is>
          <t>31/08/2026 02:59</t>
        </is>
      </c>
    </row>
    <row r="1325">
      <c r="A1325" s="7" t="inlineStr">
        <is>
          <t>WHAP 8x8</t>
        </is>
      </c>
      <c r="B1325" s="7" t="inlineStr">
        <is>
          <t>WHAP-1321</t>
        </is>
      </c>
      <c r="C1325" s="7" t="inlineStr">
        <is>
          <t>OBS-1321</t>
        </is>
      </c>
      <c r="D1325" s="7" t="inlineStr">
        <is>
          <t>capteur luminosité — latéral droit</t>
        </is>
      </c>
      <c r="E1325" s="7" t="inlineStr">
        <is>
          <t>Observation</t>
        </is>
      </c>
      <c r="F1325" s="7" t="inlineStr">
        <is>
          <t>Observation</t>
        </is>
      </c>
      <c r="G1325" s="7" t="inlineStr">
        <is>
          <t>EQUIPEMENT_VEHICULE</t>
        </is>
      </c>
      <c r="H1325" s="7" t="n">
        <v>1</v>
      </c>
      <c r="I1325" s="7">
        <f>H1325*$D$3</f>
        <v/>
      </c>
      <c r="J1325" s="7" t="inlineStr">
        <is>
          <t>unité</t>
        </is>
      </c>
      <c r="K1325" s="7" t="n">
        <v>0</v>
      </c>
      <c r="L1325" s="7">
        <f>K1325-I1325</f>
        <v/>
      </c>
      <c r="M1325" s="7">
        <f>IF(K1325&lt;I1325,"✕ INSUFFISANT",IF(K1325&lt;I1325*1.2,"⚠ STOCK FAIBLE","✓ COUVERT"))</f>
        <v/>
      </c>
      <c r="N1325" s="7" t="inlineStr">
        <is>
          <t>BOS</t>
        </is>
      </c>
      <c r="O1325" s="7" t="inlineStr">
        <is>
          <t>STANDARD</t>
        </is>
      </c>
      <c r="P1325" s="7" t="inlineStr">
        <is>
          <t>31/08/2026 02:59</t>
        </is>
      </c>
    </row>
    <row r="1326">
      <c r="A1326" s="8" t="inlineStr">
        <is>
          <t>WHAP 8x8</t>
        </is>
      </c>
      <c r="B1326" s="8" t="inlineStr">
        <is>
          <t>WHAP-1322</t>
        </is>
      </c>
      <c r="C1326" s="8" t="inlineStr">
        <is>
          <t>ELE-1322</t>
        </is>
      </c>
      <c r="D1326" s="8" t="inlineStr">
        <is>
          <t>batterie — avant</t>
        </is>
      </c>
      <c r="E1326" s="8" t="inlineStr">
        <is>
          <t>Électricité</t>
        </is>
      </c>
      <c r="F1326" s="8" t="inlineStr">
        <is>
          <t>Électricité</t>
        </is>
      </c>
      <c r="G1326" s="8" t="inlineStr">
        <is>
          <t>PIECE_VEHICULE</t>
        </is>
      </c>
      <c r="H1326" s="8" t="n">
        <v>1</v>
      </c>
      <c r="I1326" s="8">
        <f>H1326*$D$3</f>
        <v/>
      </c>
      <c r="J1326" s="8" t="inlineStr">
        <is>
          <t>unité</t>
        </is>
      </c>
      <c r="K1326" s="8" t="n">
        <v>0</v>
      </c>
      <c r="L1326" s="8">
        <f>K1326-I1326</f>
        <v/>
      </c>
      <c r="M1326" s="8">
        <f>IF(K1326&lt;I1326,"✕ INSUFFISANT",IF(K1326&lt;I1326*1.2,"⚠ STOCK FAIBLE","✓ COUVERT"))</f>
        <v/>
      </c>
      <c r="N1326" s="8" t="inlineStr">
        <is>
          <t>BOS</t>
        </is>
      </c>
      <c r="O1326" s="8" t="inlineStr">
        <is>
          <t>IMPORTANT</t>
        </is>
      </c>
      <c r="P1326" s="8" t="inlineStr">
        <is>
          <t>31/08/2026 02:59</t>
        </is>
      </c>
    </row>
    <row r="1327">
      <c r="A1327" s="7" t="inlineStr">
        <is>
          <t>WHAP 8x8</t>
        </is>
      </c>
      <c r="B1327" s="7" t="inlineStr">
        <is>
          <t>WHAP-1323</t>
        </is>
      </c>
      <c r="C1327" s="7" t="inlineStr">
        <is>
          <t>ELE-1323</t>
        </is>
      </c>
      <c r="D1327" s="7" t="inlineStr">
        <is>
          <t>bac batterie — avant</t>
        </is>
      </c>
      <c r="E1327" s="7" t="inlineStr">
        <is>
          <t>Électricité</t>
        </is>
      </c>
      <c r="F1327" s="7" t="inlineStr">
        <is>
          <t>Électricité</t>
        </is>
      </c>
      <c r="G1327" s="7" t="inlineStr">
        <is>
          <t>PIECE_VEHICULE</t>
        </is>
      </c>
      <c r="H1327" s="7" t="n">
        <v>1</v>
      </c>
      <c r="I1327" s="7">
        <f>H1327*$D$3</f>
        <v/>
      </c>
      <c r="J1327" s="7" t="inlineStr">
        <is>
          <t>unité</t>
        </is>
      </c>
      <c r="K1327" s="7" t="n">
        <v>0</v>
      </c>
      <c r="L1327" s="7">
        <f>K1327-I1327</f>
        <v/>
      </c>
      <c r="M1327" s="7">
        <f>IF(K1327&lt;I1327,"✕ INSUFFISANT",IF(K1327&lt;I1327*1.2,"⚠ STOCK FAIBLE","✓ COUVERT"))</f>
        <v/>
      </c>
      <c r="N1327" s="7" t="inlineStr">
        <is>
          <t>BOS</t>
        </is>
      </c>
      <c r="O1327" s="7" t="inlineStr">
        <is>
          <t>IMPORTANT</t>
        </is>
      </c>
      <c r="P1327" s="7" t="inlineStr">
        <is>
          <t>31/08/2026 02:59</t>
        </is>
      </c>
    </row>
    <row r="1328">
      <c r="A1328" s="8" t="inlineStr">
        <is>
          <t>WHAP 8x8</t>
        </is>
      </c>
      <c r="B1328" s="8" t="inlineStr">
        <is>
          <t>WHAP-1324</t>
        </is>
      </c>
      <c r="C1328" s="8" t="inlineStr">
        <is>
          <t>ELE-1324</t>
        </is>
      </c>
      <c r="D1328" s="8" t="inlineStr">
        <is>
          <t>coupe-batterie — avant</t>
        </is>
      </c>
      <c r="E1328" s="8" t="inlineStr">
        <is>
          <t>Électricité</t>
        </is>
      </c>
      <c r="F1328" s="8" t="inlineStr">
        <is>
          <t>Électricité</t>
        </is>
      </c>
      <c r="G1328" s="8" t="inlineStr">
        <is>
          <t>PIECE_VEHICULE</t>
        </is>
      </c>
      <c r="H1328" s="8" t="n">
        <v>1</v>
      </c>
      <c r="I1328" s="8">
        <f>H1328*$D$3</f>
        <v/>
      </c>
      <c r="J1328" s="8" t="inlineStr">
        <is>
          <t>unité</t>
        </is>
      </c>
      <c r="K1328" s="8" t="n">
        <v>0</v>
      </c>
      <c r="L1328" s="8">
        <f>K1328-I1328</f>
        <v/>
      </c>
      <c r="M1328" s="8">
        <f>IF(K1328&lt;I1328,"✕ INSUFFISANT",IF(K1328&lt;I1328*1.2,"⚠ STOCK FAIBLE","✓ COUVERT"))</f>
        <v/>
      </c>
      <c r="N1328" s="8" t="inlineStr">
        <is>
          <t>YZK</t>
        </is>
      </c>
      <c r="O1328" s="8" t="inlineStr">
        <is>
          <t>IMPORTANT</t>
        </is>
      </c>
      <c r="P1328" s="8" t="inlineStr">
        <is>
          <t>31/08/2026 02:59</t>
        </is>
      </c>
    </row>
    <row r="1329">
      <c r="A1329" s="7" t="inlineStr">
        <is>
          <t>WHAP 8x8</t>
        </is>
      </c>
      <c r="B1329" s="7" t="inlineStr">
        <is>
          <t>WHAP-1325</t>
        </is>
      </c>
      <c r="C1329" s="7" t="inlineStr">
        <is>
          <t>ELE-1325</t>
        </is>
      </c>
      <c r="D1329" s="7" t="inlineStr">
        <is>
          <t>câble positif — avant</t>
        </is>
      </c>
      <c r="E1329" s="7" t="inlineStr">
        <is>
          <t>Électricité</t>
        </is>
      </c>
      <c r="F1329" s="7" t="inlineStr">
        <is>
          <t>Électricité</t>
        </is>
      </c>
      <c r="G1329" s="7" t="inlineStr">
        <is>
          <t>PIECE_VEHICULE</t>
        </is>
      </c>
      <c r="H1329" s="7" t="n">
        <v>1</v>
      </c>
      <c r="I1329" s="7">
        <f>H1329*$D$3</f>
        <v/>
      </c>
      <c r="J1329" s="7" t="inlineStr">
        <is>
          <t>unité</t>
        </is>
      </c>
      <c r="K1329" s="7" t="n">
        <v>0</v>
      </c>
      <c r="L1329" s="7">
        <f>K1329-I1329</f>
        <v/>
      </c>
      <c r="M1329" s="7">
        <f>IF(K1329&lt;I1329,"✕ INSUFFISANT",IF(K1329&lt;I1329*1.2,"⚠ STOCK FAIBLE","✓ COUVERT"))</f>
        <v/>
      </c>
      <c r="N1329" s="7" t="inlineStr">
        <is>
          <t>BOS</t>
        </is>
      </c>
      <c r="O1329" s="7" t="inlineStr">
        <is>
          <t>IMPORTANT</t>
        </is>
      </c>
      <c r="P1329" s="7" t="inlineStr">
        <is>
          <t>31/08/2026 02:59</t>
        </is>
      </c>
    </row>
    <row r="1330">
      <c r="A1330" s="8" t="inlineStr">
        <is>
          <t>WHAP 8x8</t>
        </is>
      </c>
      <c r="B1330" s="8" t="inlineStr">
        <is>
          <t>WHAP-1326</t>
        </is>
      </c>
      <c r="C1330" s="8" t="inlineStr">
        <is>
          <t>ELE-1326</t>
        </is>
      </c>
      <c r="D1330" s="8" t="inlineStr">
        <is>
          <t>câble négatif — avant</t>
        </is>
      </c>
      <c r="E1330" s="8" t="inlineStr">
        <is>
          <t>Électricité</t>
        </is>
      </c>
      <c r="F1330" s="8" t="inlineStr">
        <is>
          <t>Électricité</t>
        </is>
      </c>
      <c r="G1330" s="8" t="inlineStr">
        <is>
          <t>PIECE_VEHICULE</t>
        </is>
      </c>
      <c r="H1330" s="8" t="n">
        <v>1</v>
      </c>
      <c r="I1330" s="8">
        <f>H1330*$D$3</f>
        <v/>
      </c>
      <c r="J1330" s="8" t="inlineStr">
        <is>
          <t>unité</t>
        </is>
      </c>
      <c r="K1330" s="8" t="n">
        <v>0</v>
      </c>
      <c r="L1330" s="8">
        <f>K1330-I1330</f>
        <v/>
      </c>
      <c r="M1330" s="8">
        <f>IF(K1330&lt;I1330,"✕ INSUFFISANT",IF(K1330&lt;I1330*1.2,"⚠ STOCK FAIBLE","✓ COUVERT"))</f>
        <v/>
      </c>
      <c r="N1330" s="8" t="inlineStr">
        <is>
          <t>SUM</t>
        </is>
      </c>
      <c r="O1330" s="8" t="inlineStr">
        <is>
          <t>IMPORTANT</t>
        </is>
      </c>
      <c r="P1330" s="8" t="inlineStr">
        <is>
          <t>31/08/2026 02:59</t>
        </is>
      </c>
    </row>
    <row r="1331">
      <c r="A1331" s="7" t="inlineStr">
        <is>
          <t>WHAP 8x8</t>
        </is>
      </c>
      <c r="B1331" s="7" t="inlineStr">
        <is>
          <t>WHAP-1327</t>
        </is>
      </c>
      <c r="C1331" s="7" t="inlineStr">
        <is>
          <t>ELE-1327</t>
        </is>
      </c>
      <c r="D1331" s="7" t="inlineStr">
        <is>
          <t>cosse batterie — avant</t>
        </is>
      </c>
      <c r="E1331" s="7" t="inlineStr">
        <is>
          <t>Électricité</t>
        </is>
      </c>
      <c r="F1331" s="7" t="inlineStr">
        <is>
          <t>Électricité</t>
        </is>
      </c>
      <c r="G1331" s="7" t="inlineStr">
        <is>
          <t>PIECE_VEHICULE</t>
        </is>
      </c>
      <c r="H1331" s="7" t="n">
        <v>1</v>
      </c>
      <c r="I1331" s="7">
        <f>H1331*$D$3</f>
        <v/>
      </c>
      <c r="J1331" s="7" t="inlineStr">
        <is>
          <t>unité</t>
        </is>
      </c>
      <c r="K1331" s="7" t="n">
        <v>0</v>
      </c>
      <c r="L1331" s="7">
        <f>K1331-I1331</f>
        <v/>
      </c>
      <c r="M1331" s="7">
        <f>IF(K1331&lt;I1331,"✕ INSUFFISANT",IF(K1331&lt;I1331*1.2,"⚠ STOCK FAIBLE","✓ COUVERT"))</f>
        <v/>
      </c>
      <c r="N1331" s="7" t="inlineStr">
        <is>
          <t>SKF</t>
        </is>
      </c>
      <c r="O1331" s="7" t="inlineStr">
        <is>
          <t>IMPORTANT</t>
        </is>
      </c>
      <c r="P1331" s="7" t="inlineStr">
        <is>
          <t>31/08/2026 02:59</t>
        </is>
      </c>
    </row>
    <row r="1332">
      <c r="A1332" s="8" t="inlineStr">
        <is>
          <t>WHAP 8x8</t>
        </is>
      </c>
      <c r="B1332" s="8" t="inlineStr">
        <is>
          <t>WHAP-1328</t>
        </is>
      </c>
      <c r="C1332" s="8" t="inlineStr">
        <is>
          <t>ELE-1328</t>
        </is>
      </c>
      <c r="D1332" s="8" t="inlineStr">
        <is>
          <t>alternateur — avant</t>
        </is>
      </c>
      <c r="E1332" s="8" t="inlineStr">
        <is>
          <t>Électricité</t>
        </is>
      </c>
      <c r="F1332" s="8" t="inlineStr">
        <is>
          <t>Électricité</t>
        </is>
      </c>
      <c r="G1332" s="8" t="inlineStr">
        <is>
          <t>PIECE_VEHICULE</t>
        </is>
      </c>
      <c r="H1332" s="8" t="n">
        <v>1</v>
      </c>
      <c r="I1332" s="8">
        <f>H1332*$D$3</f>
        <v/>
      </c>
      <c r="J1332" s="8" t="inlineStr">
        <is>
          <t>unité</t>
        </is>
      </c>
      <c r="K1332" s="8" t="n">
        <v>0</v>
      </c>
      <c r="L1332" s="8">
        <f>K1332-I1332</f>
        <v/>
      </c>
      <c r="M1332" s="8">
        <f>IF(K1332&lt;I1332,"✕ INSUFFISANT",IF(K1332&lt;I1332*1.2,"⚠ STOCK FAIBLE","✓ COUVERT"))</f>
        <v/>
      </c>
      <c r="N1332" s="8" t="inlineStr">
        <is>
          <t>HEL</t>
        </is>
      </c>
      <c r="O1332" s="8" t="inlineStr">
        <is>
          <t>IMPORTANT</t>
        </is>
      </c>
      <c r="P1332" s="8" t="inlineStr">
        <is>
          <t>31/08/2026 02:59</t>
        </is>
      </c>
    </row>
    <row r="1333">
      <c r="A1333" s="7" t="inlineStr">
        <is>
          <t>WHAP 8x8</t>
        </is>
      </c>
      <c r="B1333" s="7" t="inlineStr">
        <is>
          <t>WHAP-1329</t>
        </is>
      </c>
      <c r="C1333" s="7" t="inlineStr">
        <is>
          <t>ELE-1329</t>
        </is>
      </c>
      <c r="D1333" s="7" t="inlineStr">
        <is>
          <t>démarreur — avant</t>
        </is>
      </c>
      <c r="E1333" s="7" t="inlineStr">
        <is>
          <t>Électricité</t>
        </is>
      </c>
      <c r="F1333" s="7" t="inlineStr">
        <is>
          <t>Électricité</t>
        </is>
      </c>
      <c r="G1333" s="7" t="inlineStr">
        <is>
          <t>PIECE_VEHICULE</t>
        </is>
      </c>
      <c r="H1333" s="7" t="n">
        <v>1</v>
      </c>
      <c r="I1333" s="7">
        <f>H1333*$D$3</f>
        <v/>
      </c>
      <c r="J1333" s="7" t="inlineStr">
        <is>
          <t>unité</t>
        </is>
      </c>
      <c r="K1333" s="7" t="n">
        <v>0</v>
      </c>
      <c r="L1333" s="7">
        <f>K1333-I1333</f>
        <v/>
      </c>
      <c r="M1333" s="7">
        <f>IF(K1333&lt;I1333,"✕ INSUFFISANT",IF(K1333&lt;I1333*1.2,"⚠ STOCK FAIBLE","✓ COUVERT"))</f>
        <v/>
      </c>
      <c r="N1333" s="7" t="inlineStr">
        <is>
          <t>MAG</t>
        </is>
      </c>
      <c r="O1333" s="7" t="inlineStr">
        <is>
          <t>IMPORTANT</t>
        </is>
      </c>
      <c r="P1333" s="7" t="inlineStr">
        <is>
          <t>31/08/2026 02:59</t>
        </is>
      </c>
    </row>
    <row r="1334">
      <c r="A1334" s="8" t="inlineStr">
        <is>
          <t>WHAP 8x8</t>
        </is>
      </c>
      <c r="B1334" s="8" t="inlineStr">
        <is>
          <t>WHAP-1330</t>
        </is>
      </c>
      <c r="C1334" s="8" t="inlineStr">
        <is>
          <t>ELE-1330</t>
        </is>
      </c>
      <c r="D1334" s="8" t="inlineStr">
        <is>
          <t>relais principal — avant</t>
        </is>
      </c>
      <c r="E1334" s="8" t="inlineStr">
        <is>
          <t>Électricité</t>
        </is>
      </c>
      <c r="F1334" s="8" t="inlineStr">
        <is>
          <t>Électricité</t>
        </is>
      </c>
      <c r="G1334" s="8" t="inlineStr">
        <is>
          <t>PIECE_VEHICULE</t>
        </is>
      </c>
      <c r="H1334" s="8" t="n">
        <v>1</v>
      </c>
      <c r="I1334" s="8">
        <f>H1334*$D$3</f>
        <v/>
      </c>
      <c r="J1334" s="8" t="inlineStr">
        <is>
          <t>unité</t>
        </is>
      </c>
      <c r="K1334" s="8" t="n">
        <v>0</v>
      </c>
      <c r="L1334" s="8">
        <f>K1334-I1334</f>
        <v/>
      </c>
      <c r="M1334" s="8">
        <f>IF(K1334&lt;I1334,"✕ INSUFFISANT",IF(K1334&lt;I1334*1.2,"⚠ STOCK FAIBLE","✓ COUVERT"))</f>
        <v/>
      </c>
      <c r="N1334" s="8" t="inlineStr">
        <is>
          <t>DEL</t>
        </is>
      </c>
      <c r="O1334" s="8" t="inlineStr">
        <is>
          <t>IMPORTANT</t>
        </is>
      </c>
      <c r="P1334" s="8" t="inlineStr">
        <is>
          <t>31/08/2026 02:59</t>
        </is>
      </c>
    </row>
    <row r="1335">
      <c r="A1335" s="7" t="inlineStr">
        <is>
          <t>WHAP 8x8</t>
        </is>
      </c>
      <c r="B1335" s="7" t="inlineStr">
        <is>
          <t>WHAP-1331</t>
        </is>
      </c>
      <c r="C1335" s="7" t="inlineStr">
        <is>
          <t>ELE-1331</t>
        </is>
      </c>
      <c r="D1335" s="7" t="inlineStr">
        <is>
          <t>boîtier fusibles — avant</t>
        </is>
      </c>
      <c r="E1335" s="7" t="inlineStr">
        <is>
          <t>Électricité</t>
        </is>
      </c>
      <c r="F1335" s="7" t="inlineStr">
        <is>
          <t>Électricité</t>
        </is>
      </c>
      <c r="G1335" s="7" t="inlineStr">
        <is>
          <t>PIECE_VEHICULE</t>
        </is>
      </c>
      <c r="H1335" s="7" t="n">
        <v>1</v>
      </c>
      <c r="I1335" s="7">
        <f>H1335*$D$3</f>
        <v/>
      </c>
      <c r="J1335" s="7" t="inlineStr">
        <is>
          <t>unité</t>
        </is>
      </c>
      <c r="K1335" s="7" t="n">
        <v>0</v>
      </c>
      <c r="L1335" s="7">
        <f>K1335-I1335</f>
        <v/>
      </c>
      <c r="M1335" s="7">
        <f>IF(K1335&lt;I1335,"✕ INSUFFISANT",IF(K1335&lt;I1335*1.2,"⚠ STOCK FAIBLE","✓ COUVERT"))</f>
        <v/>
      </c>
      <c r="N1335" s="7" t="inlineStr">
        <is>
          <t>HEL</t>
        </is>
      </c>
      <c r="O1335" s="7" t="inlineStr">
        <is>
          <t>IMPORTANT</t>
        </is>
      </c>
      <c r="P1335" s="7" t="inlineStr">
        <is>
          <t>31/08/2026 02:59</t>
        </is>
      </c>
    </row>
    <row r="1336">
      <c r="A1336" s="8" t="inlineStr">
        <is>
          <t>WHAP 8x8</t>
        </is>
      </c>
      <c r="B1336" s="8" t="inlineStr">
        <is>
          <t>WHAP-1332</t>
        </is>
      </c>
      <c r="C1336" s="8" t="inlineStr">
        <is>
          <t>ELE-1332</t>
        </is>
      </c>
      <c r="D1336" s="8" t="inlineStr">
        <is>
          <t>fusible — avant</t>
        </is>
      </c>
      <c r="E1336" s="8" t="inlineStr">
        <is>
          <t>Électricité</t>
        </is>
      </c>
      <c r="F1336" s="8" t="inlineStr">
        <is>
          <t>Électricité</t>
        </is>
      </c>
      <c r="G1336" s="8" t="inlineStr">
        <is>
          <t>PIECE_VEHICULE</t>
        </is>
      </c>
      <c r="H1336" s="8" t="n">
        <v>1</v>
      </c>
      <c r="I1336" s="8">
        <f>H1336*$D$3</f>
        <v/>
      </c>
      <c r="J1336" s="8" t="inlineStr">
        <is>
          <t>unité</t>
        </is>
      </c>
      <c r="K1336" s="8" t="n">
        <v>0</v>
      </c>
      <c r="L1336" s="8">
        <f>K1336-I1336</f>
        <v/>
      </c>
      <c r="M1336" s="8">
        <f>IF(K1336&lt;I1336,"✕ INSUFFISANT",IF(K1336&lt;I1336*1.2,"⚠ STOCK FAIBLE","✓ COUVERT"))</f>
        <v/>
      </c>
      <c r="N1336" s="8" t="inlineStr">
        <is>
          <t>SKF</t>
        </is>
      </c>
      <c r="O1336" s="8" t="inlineStr">
        <is>
          <t>IMPORTANT</t>
        </is>
      </c>
      <c r="P1336" s="8" t="inlineStr">
        <is>
          <t>31/08/2026 02:59</t>
        </is>
      </c>
    </row>
    <row r="1337">
      <c r="A1337" s="7" t="inlineStr">
        <is>
          <t>WHAP 8x8</t>
        </is>
      </c>
      <c r="B1337" s="7" t="inlineStr">
        <is>
          <t>WHAP-1333</t>
        </is>
      </c>
      <c r="C1337" s="7" t="inlineStr">
        <is>
          <t>ELE-1333</t>
        </is>
      </c>
      <c r="D1337" s="7" t="inlineStr">
        <is>
          <t>disjoncteur — avant</t>
        </is>
      </c>
      <c r="E1337" s="7" t="inlineStr">
        <is>
          <t>Électricité</t>
        </is>
      </c>
      <c r="F1337" s="7" t="inlineStr">
        <is>
          <t>Électricité</t>
        </is>
      </c>
      <c r="G1337" s="7" t="inlineStr">
        <is>
          <t>PIECE_VEHICULE</t>
        </is>
      </c>
      <c r="H1337" s="7" t="n">
        <v>1</v>
      </c>
      <c r="I1337" s="7">
        <f>H1337*$D$3</f>
        <v/>
      </c>
      <c r="J1337" s="7" t="inlineStr">
        <is>
          <t>unité</t>
        </is>
      </c>
      <c r="K1337" s="7" t="n">
        <v>0</v>
      </c>
      <c r="L1337" s="7">
        <f>K1337-I1337</f>
        <v/>
      </c>
      <c r="M1337" s="7">
        <f>IF(K1337&lt;I1337,"✕ INSUFFISANT",IF(K1337&lt;I1337*1.2,"⚠ STOCK FAIBLE","✓ COUVERT"))</f>
        <v/>
      </c>
      <c r="N1337" s="7" t="inlineStr">
        <is>
          <t>FAU</t>
        </is>
      </c>
      <c r="O1337" s="7" t="inlineStr">
        <is>
          <t>IMPORTANT</t>
        </is>
      </c>
      <c r="P1337" s="7" t="inlineStr">
        <is>
          <t>31/08/2026 02:59</t>
        </is>
      </c>
    </row>
    <row r="1338">
      <c r="A1338" s="8" t="inlineStr">
        <is>
          <t>WHAP 8x8</t>
        </is>
      </c>
      <c r="B1338" s="8" t="inlineStr">
        <is>
          <t>WHAP-1334</t>
        </is>
      </c>
      <c r="C1338" s="8" t="inlineStr">
        <is>
          <t>ELE-1334</t>
        </is>
      </c>
      <c r="D1338" s="8" t="inlineStr">
        <is>
          <t>contacteur — avant</t>
        </is>
      </c>
      <c r="E1338" s="8" t="inlineStr">
        <is>
          <t>Électricité</t>
        </is>
      </c>
      <c r="F1338" s="8" t="inlineStr">
        <is>
          <t>Électricité</t>
        </is>
      </c>
      <c r="G1338" s="8" t="inlineStr">
        <is>
          <t>PIECE_VEHICULE</t>
        </is>
      </c>
      <c r="H1338" s="8" t="n">
        <v>1</v>
      </c>
      <c r="I1338" s="8">
        <f>H1338*$D$3</f>
        <v/>
      </c>
      <c r="J1338" s="8" t="inlineStr">
        <is>
          <t>unité</t>
        </is>
      </c>
      <c r="K1338" s="8" t="n">
        <v>0</v>
      </c>
      <c r="L1338" s="8">
        <f>K1338-I1338</f>
        <v/>
      </c>
      <c r="M1338" s="8">
        <f>IF(K1338&lt;I1338,"✕ INSUFFISANT",IF(K1338&lt;I1338*1.2,"⚠ STOCK FAIBLE","✓ COUVERT"))</f>
        <v/>
      </c>
      <c r="N1338" s="8" t="inlineStr">
        <is>
          <t>SKF</t>
        </is>
      </c>
      <c r="O1338" s="8" t="inlineStr">
        <is>
          <t>IMPORTANT</t>
        </is>
      </c>
      <c r="P1338" s="8" t="inlineStr">
        <is>
          <t>31/08/2026 02:59</t>
        </is>
      </c>
    </row>
    <row r="1339">
      <c r="A1339" s="7" t="inlineStr">
        <is>
          <t>WHAP 8x8</t>
        </is>
      </c>
      <c r="B1339" s="7" t="inlineStr">
        <is>
          <t>WHAP-1335</t>
        </is>
      </c>
      <c r="C1339" s="7" t="inlineStr">
        <is>
          <t>ELE-1335</t>
        </is>
      </c>
      <c r="D1339" s="7" t="inlineStr">
        <is>
          <t>convertisseur DC-DC — avant</t>
        </is>
      </c>
      <c r="E1339" s="7" t="inlineStr">
        <is>
          <t>Électricité</t>
        </is>
      </c>
      <c r="F1339" s="7" t="inlineStr">
        <is>
          <t>Électricité</t>
        </is>
      </c>
      <c r="G1339" s="7" t="inlineStr">
        <is>
          <t>PIECE_VEHICULE</t>
        </is>
      </c>
      <c r="H1339" s="7" t="n">
        <v>1</v>
      </c>
      <c r="I1339" s="7">
        <f>H1339*$D$3</f>
        <v/>
      </c>
      <c r="J1339" s="7" t="inlineStr">
        <is>
          <t>unité</t>
        </is>
      </c>
      <c r="K1339" s="7" t="n">
        <v>0</v>
      </c>
      <c r="L1339" s="7">
        <f>K1339-I1339</f>
        <v/>
      </c>
      <c r="M1339" s="7">
        <f>IF(K1339&lt;I1339,"✕ INSUFFISANT",IF(K1339&lt;I1339*1.2,"⚠ STOCK FAIBLE","✓ COUVERT"))</f>
        <v/>
      </c>
      <c r="N1339" s="7" t="inlineStr">
        <is>
          <t>BOS</t>
        </is>
      </c>
      <c r="O1339" s="7" t="inlineStr">
        <is>
          <t>IMPORTANT</t>
        </is>
      </c>
      <c r="P1339" s="7" t="inlineStr">
        <is>
          <t>31/08/2026 02:59</t>
        </is>
      </c>
    </row>
    <row r="1340">
      <c r="A1340" s="8" t="inlineStr">
        <is>
          <t>WHAP 8x8</t>
        </is>
      </c>
      <c r="B1340" s="8" t="inlineStr">
        <is>
          <t>WHAP-1336</t>
        </is>
      </c>
      <c r="C1340" s="8" t="inlineStr">
        <is>
          <t>ELE-1336</t>
        </is>
      </c>
      <c r="D1340" s="8" t="inlineStr">
        <is>
          <t>onduleur — avant</t>
        </is>
      </c>
      <c r="E1340" s="8" t="inlineStr">
        <is>
          <t>Électricité</t>
        </is>
      </c>
      <c r="F1340" s="8" t="inlineStr">
        <is>
          <t>Électricité</t>
        </is>
      </c>
      <c r="G1340" s="8" t="inlineStr">
        <is>
          <t>PIECE_VEHICULE</t>
        </is>
      </c>
      <c r="H1340" s="8" t="n">
        <v>1</v>
      </c>
      <c r="I1340" s="8">
        <f>H1340*$D$3</f>
        <v/>
      </c>
      <c r="J1340" s="8" t="inlineStr">
        <is>
          <t>unité</t>
        </is>
      </c>
      <c r="K1340" s="8" t="n">
        <v>0</v>
      </c>
      <c r="L1340" s="8">
        <f>K1340-I1340</f>
        <v/>
      </c>
      <c r="M1340" s="8">
        <f>IF(K1340&lt;I1340,"✕ INSUFFISANT",IF(K1340&lt;I1340*1.2,"⚠ STOCK FAIBLE","✓ COUVERT"))</f>
        <v/>
      </c>
      <c r="N1340" s="8" t="inlineStr">
        <is>
          <t>SKF</t>
        </is>
      </c>
      <c r="O1340" s="8" t="inlineStr">
        <is>
          <t>IMPORTANT</t>
        </is>
      </c>
      <c r="P1340" s="8" t="inlineStr">
        <is>
          <t>31/08/2026 02:59</t>
        </is>
      </c>
    </row>
    <row r="1341">
      <c r="A1341" s="7" t="inlineStr">
        <is>
          <t>WHAP 8x8</t>
        </is>
      </c>
      <c r="B1341" s="7" t="inlineStr">
        <is>
          <t>WHAP-1337</t>
        </is>
      </c>
      <c r="C1341" s="7" t="inlineStr">
        <is>
          <t>ELE-1337</t>
        </is>
      </c>
      <c r="D1341" s="7" t="inlineStr">
        <is>
          <t>chargeur — avant</t>
        </is>
      </c>
      <c r="E1341" s="7" t="inlineStr">
        <is>
          <t>Électricité</t>
        </is>
      </c>
      <c r="F1341" s="7" t="inlineStr">
        <is>
          <t>Électricité</t>
        </is>
      </c>
      <c r="G1341" s="7" t="inlineStr">
        <is>
          <t>PIECE_VEHICULE</t>
        </is>
      </c>
      <c r="H1341" s="7" t="n">
        <v>1</v>
      </c>
      <c r="I1341" s="7">
        <f>H1341*$D$3</f>
        <v/>
      </c>
      <c r="J1341" s="7" t="inlineStr">
        <is>
          <t>unité</t>
        </is>
      </c>
      <c r="K1341" s="7" t="n">
        <v>0</v>
      </c>
      <c r="L1341" s="7">
        <f>K1341-I1341</f>
        <v/>
      </c>
      <c r="M1341" s="7">
        <f>IF(K1341&lt;I1341,"✕ INSUFFISANT",IF(K1341&lt;I1341*1.2,"⚠ STOCK FAIBLE","✓ COUVERT"))</f>
        <v/>
      </c>
      <c r="N1341" s="7" t="inlineStr">
        <is>
          <t>YZK</t>
        </is>
      </c>
      <c r="O1341" s="7" t="inlineStr">
        <is>
          <t>IMPORTANT</t>
        </is>
      </c>
      <c r="P1341" s="7" t="inlineStr">
        <is>
          <t>31/08/2026 02:59</t>
        </is>
      </c>
    </row>
    <row r="1342">
      <c r="A1342" s="8" t="inlineStr">
        <is>
          <t>WHAP 8x8</t>
        </is>
      </c>
      <c r="B1342" s="8" t="inlineStr">
        <is>
          <t>WHAP-1338</t>
        </is>
      </c>
      <c r="C1342" s="8" t="inlineStr">
        <is>
          <t>ELE-1338</t>
        </is>
      </c>
      <c r="D1342" s="8" t="inlineStr">
        <is>
          <t>barrette de masse — avant</t>
        </is>
      </c>
      <c r="E1342" s="8" t="inlineStr">
        <is>
          <t>Électricité</t>
        </is>
      </c>
      <c r="F1342" s="8" t="inlineStr">
        <is>
          <t>Électricité</t>
        </is>
      </c>
      <c r="G1342" s="8" t="inlineStr">
        <is>
          <t>PIECE_VEHICULE</t>
        </is>
      </c>
      <c r="H1342" s="8" t="n">
        <v>1</v>
      </c>
      <c r="I1342" s="8">
        <f>H1342*$D$3</f>
        <v/>
      </c>
      <c r="J1342" s="8" t="inlineStr">
        <is>
          <t>unité</t>
        </is>
      </c>
      <c r="K1342" s="8" t="n">
        <v>0</v>
      </c>
      <c r="L1342" s="8">
        <f>K1342-I1342</f>
        <v/>
      </c>
      <c r="M1342" s="8">
        <f>IF(K1342&lt;I1342,"✕ INSUFFISANT",IF(K1342&lt;I1342*1.2,"⚠ STOCK FAIBLE","✓ COUVERT"))</f>
        <v/>
      </c>
      <c r="N1342" s="8" t="inlineStr">
        <is>
          <t>SKF</t>
        </is>
      </c>
      <c r="O1342" s="8" t="inlineStr">
        <is>
          <t>IMPORTANT</t>
        </is>
      </c>
      <c r="P1342" s="8" t="inlineStr">
        <is>
          <t>31/08/2026 02:59</t>
        </is>
      </c>
    </row>
    <row r="1343">
      <c r="A1343" s="7" t="inlineStr">
        <is>
          <t>WHAP 8x8</t>
        </is>
      </c>
      <c r="B1343" s="7" t="inlineStr">
        <is>
          <t>WHAP-1339</t>
        </is>
      </c>
      <c r="C1343" s="7" t="inlineStr">
        <is>
          <t>ELE-1339</t>
        </is>
      </c>
      <c r="D1343" s="7" t="inlineStr">
        <is>
          <t>point de masse — avant</t>
        </is>
      </c>
      <c r="E1343" s="7" t="inlineStr">
        <is>
          <t>Électricité</t>
        </is>
      </c>
      <c r="F1343" s="7" t="inlineStr">
        <is>
          <t>Électricité</t>
        </is>
      </c>
      <c r="G1343" s="7" t="inlineStr">
        <is>
          <t>PIECE_VEHICULE</t>
        </is>
      </c>
      <c r="H1343" s="7" t="n">
        <v>1</v>
      </c>
      <c r="I1343" s="7">
        <f>H1343*$D$3</f>
        <v/>
      </c>
      <c r="J1343" s="7" t="inlineStr">
        <is>
          <t>unité</t>
        </is>
      </c>
      <c r="K1343" s="7" t="n">
        <v>0</v>
      </c>
      <c r="L1343" s="7">
        <f>K1343-I1343</f>
        <v/>
      </c>
      <c r="M1343" s="7">
        <f>IF(K1343&lt;I1343,"✕ INSUFFISANT",IF(K1343&lt;I1343*1.2,"⚠ STOCK FAIBLE","✓ COUVERT"))</f>
        <v/>
      </c>
      <c r="N1343" s="7" t="inlineStr">
        <is>
          <t>CTL</t>
        </is>
      </c>
      <c r="O1343" s="7" t="inlineStr">
        <is>
          <t>IMPORTANT</t>
        </is>
      </c>
      <c r="P1343" s="7" t="inlineStr">
        <is>
          <t>31/08/2026 02:59</t>
        </is>
      </c>
    </row>
    <row r="1344">
      <c r="A1344" s="8" t="inlineStr">
        <is>
          <t>WHAP 8x8</t>
        </is>
      </c>
      <c r="B1344" s="8" t="inlineStr">
        <is>
          <t>WHAP-1340</t>
        </is>
      </c>
      <c r="C1344" s="8" t="inlineStr">
        <is>
          <t>ELE-1340</t>
        </is>
      </c>
      <c r="D1344" s="8" t="inlineStr">
        <is>
          <t>faisceau moteur — avant</t>
        </is>
      </c>
      <c r="E1344" s="8" t="inlineStr">
        <is>
          <t>Électricité</t>
        </is>
      </c>
      <c r="F1344" s="8" t="inlineStr">
        <is>
          <t>Électricité</t>
        </is>
      </c>
      <c r="G1344" s="8" t="inlineStr">
        <is>
          <t>PIECE_VEHICULE</t>
        </is>
      </c>
      <c r="H1344" s="8" t="n">
        <v>1</v>
      </c>
      <c r="I1344" s="8">
        <f>H1344*$D$3</f>
        <v/>
      </c>
      <c r="J1344" s="8" t="inlineStr">
        <is>
          <t>unité</t>
        </is>
      </c>
      <c r="K1344" s="8" t="n">
        <v>0</v>
      </c>
      <c r="L1344" s="8">
        <f>K1344-I1344</f>
        <v/>
      </c>
      <c r="M1344" s="8">
        <f>IF(K1344&lt;I1344,"✕ INSUFFISANT",IF(K1344&lt;I1344*1.2,"⚠ STOCK FAIBLE","✓ COUVERT"))</f>
        <v/>
      </c>
      <c r="N1344" s="8" t="inlineStr">
        <is>
          <t>YZK</t>
        </is>
      </c>
      <c r="O1344" s="8" t="inlineStr">
        <is>
          <t>IMPORTANT</t>
        </is>
      </c>
      <c r="P1344" s="8" t="inlineStr">
        <is>
          <t>31/08/2026 02:59</t>
        </is>
      </c>
    </row>
    <row r="1345">
      <c r="A1345" s="7" t="inlineStr">
        <is>
          <t>WHAP 8x8</t>
        </is>
      </c>
      <c r="B1345" s="7" t="inlineStr">
        <is>
          <t>WHAP-1341</t>
        </is>
      </c>
      <c r="C1345" s="7" t="inlineStr">
        <is>
          <t>ELE-1341</t>
        </is>
      </c>
      <c r="D1345" s="7" t="inlineStr">
        <is>
          <t>faisceau châssis — avant</t>
        </is>
      </c>
      <c r="E1345" s="7" t="inlineStr">
        <is>
          <t>Électricité</t>
        </is>
      </c>
      <c r="F1345" s="7" t="inlineStr">
        <is>
          <t>Électricité</t>
        </is>
      </c>
      <c r="G1345" s="7" t="inlineStr">
        <is>
          <t>PIECE_VEHICULE</t>
        </is>
      </c>
      <c r="H1345" s="7" t="n">
        <v>1</v>
      </c>
      <c r="I1345" s="7">
        <f>H1345*$D$3</f>
        <v/>
      </c>
      <c r="J1345" s="7" t="inlineStr">
        <is>
          <t>unité</t>
        </is>
      </c>
      <c r="K1345" s="7" t="n">
        <v>0</v>
      </c>
      <c r="L1345" s="7">
        <f>K1345-I1345</f>
        <v/>
      </c>
      <c r="M1345" s="7">
        <f>IF(K1345&lt;I1345,"✕ INSUFFISANT",IF(K1345&lt;I1345*1.2,"⚠ STOCK FAIBLE","✓ COUVERT"))</f>
        <v/>
      </c>
      <c r="N1345" s="7" t="inlineStr">
        <is>
          <t>HEL</t>
        </is>
      </c>
      <c r="O1345" s="7" t="inlineStr">
        <is>
          <t>IMPORTANT</t>
        </is>
      </c>
      <c r="P1345" s="7" t="inlineStr">
        <is>
          <t>31/08/2026 02:59</t>
        </is>
      </c>
    </row>
    <row r="1346">
      <c r="A1346" s="8" t="inlineStr">
        <is>
          <t>WHAP 8x8</t>
        </is>
      </c>
      <c r="B1346" s="8" t="inlineStr">
        <is>
          <t>WHAP-1342</t>
        </is>
      </c>
      <c r="C1346" s="8" t="inlineStr">
        <is>
          <t>ELE-1342</t>
        </is>
      </c>
      <c r="D1346" s="8" t="inlineStr">
        <is>
          <t>faisceau habitacle — avant</t>
        </is>
      </c>
      <c r="E1346" s="8" t="inlineStr">
        <is>
          <t>Électricité</t>
        </is>
      </c>
      <c r="F1346" s="8" t="inlineStr">
        <is>
          <t>Électricité</t>
        </is>
      </c>
      <c r="G1346" s="8" t="inlineStr">
        <is>
          <t>PIECE_VEHICULE</t>
        </is>
      </c>
      <c r="H1346" s="8" t="n">
        <v>1</v>
      </c>
      <c r="I1346" s="8">
        <f>H1346*$D$3</f>
        <v/>
      </c>
      <c r="J1346" s="8" t="inlineStr">
        <is>
          <t>unité</t>
        </is>
      </c>
      <c r="K1346" s="8" t="n">
        <v>0</v>
      </c>
      <c r="L1346" s="8">
        <f>K1346-I1346</f>
        <v/>
      </c>
      <c r="M1346" s="8">
        <f>IF(K1346&lt;I1346,"✕ INSUFFISANT",IF(K1346&lt;I1346*1.2,"⚠ STOCK FAIBLE","✓ COUVERT"))</f>
        <v/>
      </c>
      <c r="N1346" s="8" t="inlineStr">
        <is>
          <t>FAU</t>
        </is>
      </c>
      <c r="O1346" s="8" t="inlineStr">
        <is>
          <t>IMPORTANT</t>
        </is>
      </c>
      <c r="P1346" s="8" t="inlineStr">
        <is>
          <t>31/08/2026 02:59</t>
        </is>
      </c>
    </row>
    <row r="1347">
      <c r="A1347" s="7" t="inlineStr">
        <is>
          <t>WHAP 8x8</t>
        </is>
      </c>
      <c r="B1347" s="7" t="inlineStr">
        <is>
          <t>WHAP-1343</t>
        </is>
      </c>
      <c r="C1347" s="7" t="inlineStr">
        <is>
          <t>ELE-1343</t>
        </is>
      </c>
      <c r="D1347" s="7" t="inlineStr">
        <is>
          <t>faisceau éclairage — avant</t>
        </is>
      </c>
      <c r="E1347" s="7" t="inlineStr">
        <is>
          <t>Électricité</t>
        </is>
      </c>
      <c r="F1347" s="7" t="inlineStr">
        <is>
          <t>Électricité</t>
        </is>
      </c>
      <c r="G1347" s="7" t="inlineStr">
        <is>
          <t>PIECE_VEHICULE</t>
        </is>
      </c>
      <c r="H1347" s="7" t="n">
        <v>1</v>
      </c>
      <c r="I1347" s="7">
        <f>H1347*$D$3</f>
        <v/>
      </c>
      <c r="J1347" s="7" t="inlineStr">
        <is>
          <t>unité</t>
        </is>
      </c>
      <c r="K1347" s="7" t="n">
        <v>0</v>
      </c>
      <c r="L1347" s="7">
        <f>K1347-I1347</f>
        <v/>
      </c>
      <c r="M1347" s="7">
        <f>IF(K1347&lt;I1347,"✕ INSUFFISANT",IF(K1347&lt;I1347*1.2,"⚠ STOCK FAIBLE","✓ COUVERT"))</f>
        <v/>
      </c>
      <c r="N1347" s="7" t="inlineStr">
        <is>
          <t>MAG</t>
        </is>
      </c>
      <c r="O1347" s="7" t="inlineStr">
        <is>
          <t>IMPORTANT</t>
        </is>
      </c>
      <c r="P1347" s="7" t="inlineStr">
        <is>
          <t>31/08/2026 02:59</t>
        </is>
      </c>
    </row>
    <row r="1348">
      <c r="A1348" s="8" t="inlineStr">
        <is>
          <t>WHAP 8x8</t>
        </is>
      </c>
      <c r="B1348" s="8" t="inlineStr">
        <is>
          <t>WHAP-1344</t>
        </is>
      </c>
      <c r="C1348" s="8" t="inlineStr">
        <is>
          <t>ELE-1344</t>
        </is>
      </c>
      <c r="D1348" s="8" t="inlineStr">
        <is>
          <t>connecteur étanche — avant</t>
        </is>
      </c>
      <c r="E1348" s="8" t="inlineStr">
        <is>
          <t>Électricité</t>
        </is>
      </c>
      <c r="F1348" s="8" t="inlineStr">
        <is>
          <t>Électricité</t>
        </is>
      </c>
      <c r="G1348" s="8" t="inlineStr">
        <is>
          <t>PIECE_VEHICULE</t>
        </is>
      </c>
      <c r="H1348" s="8" t="n">
        <v>1</v>
      </c>
      <c r="I1348" s="8">
        <f>H1348*$D$3</f>
        <v/>
      </c>
      <c r="J1348" s="8" t="inlineStr">
        <is>
          <t>unité</t>
        </is>
      </c>
      <c r="K1348" s="8" t="n">
        <v>0</v>
      </c>
      <c r="L1348" s="8">
        <f>K1348-I1348</f>
        <v/>
      </c>
      <c r="M1348" s="8">
        <f>IF(K1348&lt;I1348,"✕ INSUFFISANT",IF(K1348&lt;I1348*1.2,"⚠ STOCK FAIBLE","✓ COUVERT"))</f>
        <v/>
      </c>
      <c r="N1348" s="8" t="inlineStr">
        <is>
          <t>HEL</t>
        </is>
      </c>
      <c r="O1348" s="8" t="inlineStr">
        <is>
          <t>IMPORTANT</t>
        </is>
      </c>
      <c r="P1348" s="8" t="inlineStr">
        <is>
          <t>31/08/2026 02:59</t>
        </is>
      </c>
    </row>
    <row r="1349">
      <c r="A1349" s="7" t="inlineStr">
        <is>
          <t>WHAP 8x8</t>
        </is>
      </c>
      <c r="B1349" s="7" t="inlineStr">
        <is>
          <t>WHAP-1345</t>
        </is>
      </c>
      <c r="C1349" s="7" t="inlineStr">
        <is>
          <t>ELE-1345</t>
        </is>
      </c>
      <c r="D1349" s="7" t="inlineStr">
        <is>
          <t>borne électrique — avant</t>
        </is>
      </c>
      <c r="E1349" s="7" t="inlineStr">
        <is>
          <t>Électricité</t>
        </is>
      </c>
      <c r="F1349" s="7" t="inlineStr">
        <is>
          <t>Électricité</t>
        </is>
      </c>
      <c r="G1349" s="7" t="inlineStr">
        <is>
          <t>PIECE_VEHICULE</t>
        </is>
      </c>
      <c r="H1349" s="7" t="n">
        <v>1</v>
      </c>
      <c r="I1349" s="7">
        <f>H1349*$D$3</f>
        <v/>
      </c>
      <c r="J1349" s="7" t="inlineStr">
        <is>
          <t>unité</t>
        </is>
      </c>
      <c r="K1349" s="7" t="n">
        <v>0</v>
      </c>
      <c r="L1349" s="7">
        <f>K1349-I1349</f>
        <v/>
      </c>
      <c r="M1349" s="7">
        <f>IF(K1349&lt;I1349,"✕ INSUFFISANT",IF(K1349&lt;I1349*1.2,"⚠ STOCK FAIBLE","✓ COUVERT"))</f>
        <v/>
      </c>
      <c r="N1349" s="7" t="inlineStr">
        <is>
          <t>MAG</t>
        </is>
      </c>
      <c r="O1349" s="7" t="inlineStr">
        <is>
          <t>IMPORTANT</t>
        </is>
      </c>
      <c r="P1349" s="7" t="inlineStr">
        <is>
          <t>31/08/2026 02:59</t>
        </is>
      </c>
    </row>
    <row r="1350">
      <c r="A1350" s="8" t="inlineStr">
        <is>
          <t>WHAP 8x8</t>
        </is>
      </c>
      <c r="B1350" s="8" t="inlineStr">
        <is>
          <t>WHAP-1346</t>
        </is>
      </c>
      <c r="C1350" s="8" t="inlineStr">
        <is>
          <t>ELE-1346</t>
        </is>
      </c>
      <c r="D1350" s="8" t="inlineStr">
        <is>
          <t>gaine électrique — avant</t>
        </is>
      </c>
      <c r="E1350" s="8" t="inlineStr">
        <is>
          <t>Électricité</t>
        </is>
      </c>
      <c r="F1350" s="8" t="inlineStr">
        <is>
          <t>Électricité</t>
        </is>
      </c>
      <c r="G1350" s="8" t="inlineStr">
        <is>
          <t>PIECE_VEHICULE</t>
        </is>
      </c>
      <c r="H1350" s="8" t="n">
        <v>1</v>
      </c>
      <c r="I1350" s="8">
        <f>H1350*$D$3</f>
        <v/>
      </c>
      <c r="J1350" s="8" t="inlineStr">
        <is>
          <t>unité</t>
        </is>
      </c>
      <c r="K1350" s="8" t="n">
        <v>0</v>
      </c>
      <c r="L1350" s="8">
        <f>K1350-I1350</f>
        <v/>
      </c>
      <c r="M1350" s="8">
        <f>IF(K1350&lt;I1350,"✕ INSUFFISANT",IF(K1350&lt;I1350*1.2,"⚠ STOCK FAIBLE","✓ COUVERT"))</f>
        <v/>
      </c>
      <c r="N1350" s="8" t="inlineStr">
        <is>
          <t>CTL</t>
        </is>
      </c>
      <c r="O1350" s="8" t="inlineStr">
        <is>
          <t>IMPORTANT</t>
        </is>
      </c>
      <c r="P1350" s="8" t="inlineStr">
        <is>
          <t>31/08/2026 02:59</t>
        </is>
      </c>
    </row>
    <row r="1351">
      <c r="A1351" s="7" t="inlineStr">
        <is>
          <t>WHAP 8x8</t>
        </is>
      </c>
      <c r="B1351" s="7" t="inlineStr">
        <is>
          <t>WHAP-1347</t>
        </is>
      </c>
      <c r="C1351" s="7" t="inlineStr">
        <is>
          <t>ELE-1347</t>
        </is>
      </c>
      <c r="D1351" s="7" t="inlineStr">
        <is>
          <t>passe-fil — avant</t>
        </is>
      </c>
      <c r="E1351" s="7" t="inlineStr">
        <is>
          <t>Électricité</t>
        </is>
      </c>
      <c r="F1351" s="7" t="inlineStr">
        <is>
          <t>Électricité</t>
        </is>
      </c>
      <c r="G1351" s="7" t="inlineStr">
        <is>
          <t>PIECE_VEHICULE</t>
        </is>
      </c>
      <c r="H1351" s="7" t="n">
        <v>1</v>
      </c>
      <c r="I1351" s="7">
        <f>H1351*$D$3</f>
        <v/>
      </c>
      <c r="J1351" s="7" t="inlineStr">
        <is>
          <t>unité</t>
        </is>
      </c>
      <c r="K1351" s="7" t="n">
        <v>0</v>
      </c>
      <c r="L1351" s="7">
        <f>K1351-I1351</f>
        <v/>
      </c>
      <c r="M1351" s="7">
        <f>IF(K1351&lt;I1351,"✕ INSUFFISANT",IF(K1351&lt;I1351*1.2,"⚠ STOCK FAIBLE","✓ COUVERT"))</f>
        <v/>
      </c>
      <c r="N1351" s="7" t="inlineStr">
        <is>
          <t>HEL</t>
        </is>
      </c>
      <c r="O1351" s="7" t="inlineStr">
        <is>
          <t>IMPORTANT</t>
        </is>
      </c>
      <c r="P1351" s="7" t="inlineStr">
        <is>
          <t>31/08/2026 02:59</t>
        </is>
      </c>
    </row>
    <row r="1352">
      <c r="A1352" s="8" t="inlineStr">
        <is>
          <t>WHAP 8x8</t>
        </is>
      </c>
      <c r="B1352" s="8" t="inlineStr">
        <is>
          <t>WHAP-1348</t>
        </is>
      </c>
      <c r="C1352" s="8" t="inlineStr">
        <is>
          <t>ELE-1348</t>
        </is>
      </c>
      <c r="D1352" s="8" t="inlineStr">
        <is>
          <t>porte-fusible — avant</t>
        </is>
      </c>
      <c r="E1352" s="8" t="inlineStr">
        <is>
          <t>Électricité</t>
        </is>
      </c>
      <c r="F1352" s="8" t="inlineStr">
        <is>
          <t>Électricité</t>
        </is>
      </c>
      <c r="G1352" s="8" t="inlineStr">
        <is>
          <t>PIECE_VEHICULE</t>
        </is>
      </c>
      <c r="H1352" s="8" t="n">
        <v>1</v>
      </c>
      <c r="I1352" s="8">
        <f>H1352*$D$3</f>
        <v/>
      </c>
      <c r="J1352" s="8" t="inlineStr">
        <is>
          <t>unité</t>
        </is>
      </c>
      <c r="K1352" s="8" t="n">
        <v>0</v>
      </c>
      <c r="L1352" s="8">
        <f>K1352-I1352</f>
        <v/>
      </c>
      <c r="M1352" s="8">
        <f>IF(K1352&lt;I1352,"✕ INSUFFISANT",IF(K1352&lt;I1352*1.2,"⚠ STOCK FAIBLE","✓ COUVERT"))</f>
        <v/>
      </c>
      <c r="N1352" s="8" t="inlineStr">
        <is>
          <t>CTL</t>
        </is>
      </c>
      <c r="O1352" s="8" t="inlineStr">
        <is>
          <t>IMPORTANT</t>
        </is>
      </c>
      <c r="P1352" s="8" t="inlineStr">
        <is>
          <t>31/08/2026 02:59</t>
        </is>
      </c>
    </row>
    <row r="1353">
      <c r="A1353" s="7" t="inlineStr">
        <is>
          <t>WHAP 8x8</t>
        </is>
      </c>
      <c r="B1353" s="7" t="inlineStr">
        <is>
          <t>WHAP-1349</t>
        </is>
      </c>
      <c r="C1353" s="7" t="inlineStr">
        <is>
          <t>ELE-1349</t>
        </is>
      </c>
      <c r="D1353" s="7" t="inlineStr">
        <is>
          <t>boîtier de distribution — avant</t>
        </is>
      </c>
      <c r="E1353" s="7" t="inlineStr">
        <is>
          <t>Électricité</t>
        </is>
      </c>
      <c r="F1353" s="7" t="inlineStr">
        <is>
          <t>Électricité</t>
        </is>
      </c>
      <c r="G1353" s="7" t="inlineStr">
        <is>
          <t>PIECE_VEHICULE</t>
        </is>
      </c>
      <c r="H1353" s="7" t="n">
        <v>1</v>
      </c>
      <c r="I1353" s="7">
        <f>H1353*$D$3</f>
        <v/>
      </c>
      <c r="J1353" s="7" t="inlineStr">
        <is>
          <t>unité</t>
        </is>
      </c>
      <c r="K1353" s="7" t="n">
        <v>0</v>
      </c>
      <c r="L1353" s="7">
        <f>K1353-I1353</f>
        <v/>
      </c>
      <c r="M1353" s="7">
        <f>IF(K1353&lt;I1353,"✕ INSUFFISANT",IF(K1353&lt;I1353*1.2,"⚠ STOCK FAIBLE","✓ COUVERT"))</f>
        <v/>
      </c>
      <c r="N1353" s="7" t="inlineStr">
        <is>
          <t>MAG</t>
        </is>
      </c>
      <c r="O1353" s="7" t="inlineStr">
        <is>
          <t>IMPORTANT</t>
        </is>
      </c>
      <c r="P1353" s="7" t="inlineStr">
        <is>
          <t>31/08/2026 02:59</t>
        </is>
      </c>
    </row>
    <row r="1354">
      <c r="A1354" s="8" t="inlineStr">
        <is>
          <t>WHAP 8x8</t>
        </is>
      </c>
      <c r="B1354" s="8" t="inlineStr">
        <is>
          <t>WHAP-1350</t>
        </is>
      </c>
      <c r="C1354" s="8" t="inlineStr">
        <is>
          <t>ELE-1350</t>
        </is>
      </c>
      <c r="D1354" s="8" t="inlineStr">
        <is>
          <t>batterie — compartiment moteur</t>
        </is>
      </c>
      <c r="E1354" s="8" t="inlineStr">
        <is>
          <t>Électricité</t>
        </is>
      </c>
      <c r="F1354" s="8" t="inlineStr">
        <is>
          <t>Électricité</t>
        </is>
      </c>
      <c r="G1354" s="8" t="inlineStr">
        <is>
          <t>PIECE_VEHICULE</t>
        </is>
      </c>
      <c r="H1354" s="8" t="n">
        <v>1</v>
      </c>
      <c r="I1354" s="8">
        <f>H1354*$D$3</f>
        <v/>
      </c>
      <c r="J1354" s="8" t="inlineStr">
        <is>
          <t>unité</t>
        </is>
      </c>
      <c r="K1354" s="8" t="n">
        <v>0</v>
      </c>
      <c r="L1354" s="8">
        <f>K1354-I1354</f>
        <v/>
      </c>
      <c r="M1354" s="8">
        <f>IF(K1354&lt;I1354,"✕ INSUFFISANT",IF(K1354&lt;I1354*1.2,"⚠ STOCK FAIBLE","✓ COUVERT"))</f>
        <v/>
      </c>
      <c r="N1354" s="8" t="inlineStr">
        <is>
          <t>DEL</t>
        </is>
      </c>
      <c r="O1354" s="8" t="inlineStr">
        <is>
          <t>IMPORTANT</t>
        </is>
      </c>
      <c r="P1354" s="8" t="inlineStr">
        <is>
          <t>31/08/2026 02:59</t>
        </is>
      </c>
    </row>
    <row r="1355">
      <c r="A1355" s="7" t="inlineStr">
        <is>
          <t>WHAP 8x8</t>
        </is>
      </c>
      <c r="B1355" s="7" t="inlineStr">
        <is>
          <t>WHAP-1351</t>
        </is>
      </c>
      <c r="C1355" s="7" t="inlineStr">
        <is>
          <t>ELE-1351</t>
        </is>
      </c>
      <c r="D1355" s="7" t="inlineStr">
        <is>
          <t>bac batterie — compartiment moteur</t>
        </is>
      </c>
      <c r="E1355" s="7" t="inlineStr">
        <is>
          <t>Électricité</t>
        </is>
      </c>
      <c r="F1355" s="7" t="inlineStr">
        <is>
          <t>Électricité</t>
        </is>
      </c>
      <c r="G1355" s="7" t="inlineStr">
        <is>
          <t>PIECE_VEHICULE</t>
        </is>
      </c>
      <c r="H1355" s="7" t="n">
        <v>1</v>
      </c>
      <c r="I1355" s="7">
        <f>H1355*$D$3</f>
        <v/>
      </c>
      <c r="J1355" s="7" t="inlineStr">
        <is>
          <t>unité</t>
        </is>
      </c>
      <c r="K1355" s="7" t="n">
        <v>0</v>
      </c>
      <c r="L1355" s="7">
        <f>K1355-I1355</f>
        <v/>
      </c>
      <c r="M1355" s="7">
        <f>IF(K1355&lt;I1355,"✕ INSUFFISANT",IF(K1355&lt;I1355*1.2,"⚠ STOCK FAIBLE","✓ COUVERT"))</f>
        <v/>
      </c>
      <c r="N1355" s="7" t="inlineStr">
        <is>
          <t>BOS</t>
        </is>
      </c>
      <c r="O1355" s="7" t="inlineStr">
        <is>
          <t>IMPORTANT</t>
        </is>
      </c>
      <c r="P1355" s="7" t="inlineStr">
        <is>
          <t>31/08/2026 02:59</t>
        </is>
      </c>
    </row>
    <row r="1356">
      <c r="A1356" s="8" t="inlineStr">
        <is>
          <t>WHAP 8x8</t>
        </is>
      </c>
      <c r="B1356" s="8" t="inlineStr">
        <is>
          <t>WHAP-1352</t>
        </is>
      </c>
      <c r="C1356" s="8" t="inlineStr">
        <is>
          <t>ELE-1352</t>
        </is>
      </c>
      <c r="D1356" s="8" t="inlineStr">
        <is>
          <t>coupe-batterie — compartiment moteur</t>
        </is>
      </c>
      <c r="E1356" s="8" t="inlineStr">
        <is>
          <t>Électricité</t>
        </is>
      </c>
      <c r="F1356" s="8" t="inlineStr">
        <is>
          <t>Électricité</t>
        </is>
      </c>
      <c r="G1356" s="8" t="inlineStr">
        <is>
          <t>PIECE_VEHICULE</t>
        </is>
      </c>
      <c r="H1356" s="8" t="n">
        <v>1</v>
      </c>
      <c r="I1356" s="8">
        <f>H1356*$D$3</f>
        <v/>
      </c>
      <c r="J1356" s="8" t="inlineStr">
        <is>
          <t>unité</t>
        </is>
      </c>
      <c r="K1356" s="8" t="n">
        <v>0</v>
      </c>
      <c r="L1356" s="8">
        <f>K1356-I1356</f>
        <v/>
      </c>
      <c r="M1356" s="8">
        <f>IF(K1356&lt;I1356,"✕ INSUFFISANT",IF(K1356&lt;I1356*1.2,"⚠ STOCK FAIBLE","✓ COUVERT"))</f>
        <v/>
      </c>
      <c r="N1356" s="8" t="inlineStr">
        <is>
          <t>FAU</t>
        </is>
      </c>
      <c r="O1356" s="8" t="inlineStr">
        <is>
          <t>IMPORTANT</t>
        </is>
      </c>
      <c r="P1356" s="8" t="inlineStr">
        <is>
          <t>31/08/2026 02:59</t>
        </is>
      </c>
    </row>
    <row r="1357">
      <c r="A1357" s="7" t="inlineStr">
        <is>
          <t>WHAP 8x8</t>
        </is>
      </c>
      <c r="B1357" s="7" t="inlineStr">
        <is>
          <t>WHAP-1353</t>
        </is>
      </c>
      <c r="C1357" s="7" t="inlineStr">
        <is>
          <t>ELE-1353</t>
        </is>
      </c>
      <c r="D1357" s="7" t="inlineStr">
        <is>
          <t>câble positif — compartiment moteur</t>
        </is>
      </c>
      <c r="E1357" s="7" t="inlineStr">
        <is>
          <t>Électricité</t>
        </is>
      </c>
      <c r="F1357" s="7" t="inlineStr">
        <is>
          <t>Électricité</t>
        </is>
      </c>
      <c r="G1357" s="7" t="inlineStr">
        <is>
          <t>PIECE_VEHICULE</t>
        </is>
      </c>
      <c r="H1357" s="7" t="n">
        <v>1</v>
      </c>
      <c r="I1357" s="7">
        <f>H1357*$D$3</f>
        <v/>
      </c>
      <c r="J1357" s="7" t="inlineStr">
        <is>
          <t>unité</t>
        </is>
      </c>
      <c r="K1357" s="7" t="n">
        <v>0</v>
      </c>
      <c r="L1357" s="7">
        <f>K1357-I1357</f>
        <v/>
      </c>
      <c r="M1357" s="7">
        <f>IF(K1357&lt;I1357,"✕ INSUFFISANT",IF(K1357&lt;I1357*1.2,"⚠ STOCK FAIBLE","✓ COUVERT"))</f>
        <v/>
      </c>
      <c r="N1357" s="7" t="inlineStr">
        <is>
          <t>MAG</t>
        </is>
      </c>
      <c r="O1357" s="7" t="inlineStr">
        <is>
          <t>IMPORTANT</t>
        </is>
      </c>
      <c r="P1357" s="7" t="inlineStr">
        <is>
          <t>31/08/2026 02:59</t>
        </is>
      </c>
    </row>
    <row r="1358">
      <c r="A1358" s="8" t="inlineStr">
        <is>
          <t>WHAP 8x8</t>
        </is>
      </c>
      <c r="B1358" s="8" t="inlineStr">
        <is>
          <t>WHAP-1354</t>
        </is>
      </c>
      <c r="C1358" s="8" t="inlineStr">
        <is>
          <t>ELE-1354</t>
        </is>
      </c>
      <c r="D1358" s="8" t="inlineStr">
        <is>
          <t>câble négatif — compartiment moteur</t>
        </is>
      </c>
      <c r="E1358" s="8" t="inlineStr">
        <is>
          <t>Électricité</t>
        </is>
      </c>
      <c r="F1358" s="8" t="inlineStr">
        <is>
          <t>Électricité</t>
        </is>
      </c>
      <c r="G1358" s="8" t="inlineStr">
        <is>
          <t>PIECE_VEHICULE</t>
        </is>
      </c>
      <c r="H1358" s="8" t="n">
        <v>1</v>
      </c>
      <c r="I1358" s="8">
        <f>H1358*$D$3</f>
        <v/>
      </c>
      <c r="J1358" s="8" t="inlineStr">
        <is>
          <t>unité</t>
        </is>
      </c>
      <c r="K1358" s="8" t="n">
        <v>0</v>
      </c>
      <c r="L1358" s="8">
        <f>K1358-I1358</f>
        <v/>
      </c>
      <c r="M1358" s="8">
        <f>IF(K1358&lt;I1358,"✕ INSUFFISANT",IF(K1358&lt;I1358*1.2,"⚠ STOCK FAIBLE","✓ COUVERT"))</f>
        <v/>
      </c>
      <c r="N1358" s="8" t="inlineStr">
        <is>
          <t>MAG</t>
        </is>
      </c>
      <c r="O1358" s="8" t="inlineStr">
        <is>
          <t>IMPORTANT</t>
        </is>
      </c>
      <c r="P1358" s="8" t="inlineStr">
        <is>
          <t>31/08/2026 02:59</t>
        </is>
      </c>
    </row>
    <row r="1359">
      <c r="A1359" s="7" t="inlineStr">
        <is>
          <t>WHAP 8x8</t>
        </is>
      </c>
      <c r="B1359" s="7" t="inlineStr">
        <is>
          <t>WHAP-1355</t>
        </is>
      </c>
      <c r="C1359" s="7" t="inlineStr">
        <is>
          <t>ELE-1355</t>
        </is>
      </c>
      <c r="D1359" s="7" t="inlineStr">
        <is>
          <t>cosse batterie — compartiment moteur</t>
        </is>
      </c>
      <c r="E1359" s="7" t="inlineStr">
        <is>
          <t>Électricité</t>
        </is>
      </c>
      <c r="F1359" s="7" t="inlineStr">
        <is>
          <t>Électricité</t>
        </is>
      </c>
      <c r="G1359" s="7" t="inlineStr">
        <is>
          <t>PIECE_VEHICULE</t>
        </is>
      </c>
      <c r="H1359" s="7" t="n">
        <v>1</v>
      </c>
      <c r="I1359" s="7">
        <f>H1359*$D$3</f>
        <v/>
      </c>
      <c r="J1359" s="7" t="inlineStr">
        <is>
          <t>unité</t>
        </is>
      </c>
      <c r="K1359" s="7" t="n">
        <v>0</v>
      </c>
      <c r="L1359" s="7">
        <f>K1359-I1359</f>
        <v/>
      </c>
      <c r="M1359" s="7">
        <f>IF(K1359&lt;I1359,"✕ INSUFFISANT",IF(K1359&lt;I1359*1.2,"⚠ STOCK FAIBLE","✓ COUVERT"))</f>
        <v/>
      </c>
      <c r="N1359" s="7" t="inlineStr">
        <is>
          <t>CTL</t>
        </is>
      </c>
      <c r="O1359" s="7" t="inlineStr">
        <is>
          <t>IMPORTANT</t>
        </is>
      </c>
      <c r="P1359" s="7" t="inlineStr">
        <is>
          <t>31/08/2026 02:59</t>
        </is>
      </c>
    </row>
    <row r="1360">
      <c r="A1360" s="8" t="inlineStr">
        <is>
          <t>WHAP 8x8</t>
        </is>
      </c>
      <c r="B1360" s="8" t="inlineStr">
        <is>
          <t>WHAP-1356</t>
        </is>
      </c>
      <c r="C1360" s="8" t="inlineStr">
        <is>
          <t>ELE-1356</t>
        </is>
      </c>
      <c r="D1360" s="8" t="inlineStr">
        <is>
          <t>alternateur — compartiment moteur</t>
        </is>
      </c>
      <c r="E1360" s="8" t="inlineStr">
        <is>
          <t>Électricité</t>
        </is>
      </c>
      <c r="F1360" s="8" t="inlineStr">
        <is>
          <t>Électricité</t>
        </is>
      </c>
      <c r="G1360" s="8" t="inlineStr">
        <is>
          <t>PIECE_VEHICULE</t>
        </is>
      </c>
      <c r="H1360" s="8" t="n">
        <v>1</v>
      </c>
      <c r="I1360" s="8">
        <f>H1360*$D$3</f>
        <v/>
      </c>
      <c r="J1360" s="8" t="inlineStr">
        <is>
          <t>unité</t>
        </is>
      </c>
      <c r="K1360" s="8" t="n">
        <v>0</v>
      </c>
      <c r="L1360" s="8">
        <f>K1360-I1360</f>
        <v/>
      </c>
      <c r="M1360" s="8">
        <f>IF(K1360&lt;I1360,"✕ INSUFFISANT",IF(K1360&lt;I1360*1.2,"⚠ STOCK FAIBLE","✓ COUVERT"))</f>
        <v/>
      </c>
      <c r="N1360" s="8" t="inlineStr">
        <is>
          <t>DEL</t>
        </is>
      </c>
      <c r="O1360" s="8" t="inlineStr">
        <is>
          <t>IMPORTANT</t>
        </is>
      </c>
      <c r="P1360" s="8" t="inlineStr">
        <is>
          <t>31/08/2026 02:59</t>
        </is>
      </c>
    </row>
    <row r="1361">
      <c r="A1361" s="7" t="inlineStr">
        <is>
          <t>WHAP 8x8</t>
        </is>
      </c>
      <c r="B1361" s="7" t="inlineStr">
        <is>
          <t>WHAP-1357</t>
        </is>
      </c>
      <c r="C1361" s="7" t="inlineStr">
        <is>
          <t>ELE-1357</t>
        </is>
      </c>
      <c r="D1361" s="7" t="inlineStr">
        <is>
          <t>démarreur — compartiment moteur</t>
        </is>
      </c>
      <c r="E1361" s="7" t="inlineStr">
        <is>
          <t>Électricité</t>
        </is>
      </c>
      <c r="F1361" s="7" t="inlineStr">
        <is>
          <t>Électricité</t>
        </is>
      </c>
      <c r="G1361" s="7" t="inlineStr">
        <is>
          <t>PIECE_VEHICULE</t>
        </is>
      </c>
      <c r="H1361" s="7" t="n">
        <v>1</v>
      </c>
      <c r="I1361" s="7">
        <f>H1361*$D$3</f>
        <v/>
      </c>
      <c r="J1361" s="7" t="inlineStr">
        <is>
          <t>unité</t>
        </is>
      </c>
      <c r="K1361" s="7" t="n">
        <v>0</v>
      </c>
      <c r="L1361" s="7">
        <f>K1361-I1361</f>
        <v/>
      </c>
      <c r="M1361" s="7">
        <f>IF(K1361&lt;I1361,"✕ INSUFFISANT",IF(K1361&lt;I1361*1.2,"⚠ STOCK FAIBLE","✓ COUVERT"))</f>
        <v/>
      </c>
      <c r="N1361" s="7" t="inlineStr">
        <is>
          <t>BOS</t>
        </is>
      </c>
      <c r="O1361" s="7" t="inlineStr">
        <is>
          <t>IMPORTANT</t>
        </is>
      </c>
      <c r="P1361" s="7" t="inlineStr">
        <is>
          <t>31/08/2026 02:59</t>
        </is>
      </c>
    </row>
    <row r="1362">
      <c r="A1362" s="8" t="inlineStr">
        <is>
          <t>WHAP 8x8</t>
        </is>
      </c>
      <c r="B1362" s="8" t="inlineStr">
        <is>
          <t>WHAP-1358</t>
        </is>
      </c>
      <c r="C1362" s="8" t="inlineStr">
        <is>
          <t>ELE-1358</t>
        </is>
      </c>
      <c r="D1362" s="8" t="inlineStr">
        <is>
          <t>relais principal — compartiment moteur</t>
        </is>
      </c>
      <c r="E1362" s="8" t="inlineStr">
        <is>
          <t>Électricité</t>
        </is>
      </c>
      <c r="F1362" s="8" t="inlineStr">
        <is>
          <t>Électricité</t>
        </is>
      </c>
      <c r="G1362" s="8" t="inlineStr">
        <is>
          <t>PIECE_VEHICULE</t>
        </is>
      </c>
      <c r="H1362" s="8" t="n">
        <v>1</v>
      </c>
      <c r="I1362" s="8">
        <f>H1362*$D$3</f>
        <v/>
      </c>
      <c r="J1362" s="8" t="inlineStr">
        <is>
          <t>unité</t>
        </is>
      </c>
      <c r="K1362" s="8" t="n">
        <v>0</v>
      </c>
      <c r="L1362" s="8">
        <f>K1362-I1362</f>
        <v/>
      </c>
      <c r="M1362" s="8">
        <f>IF(K1362&lt;I1362,"✕ INSUFFISANT",IF(K1362&lt;I1362*1.2,"⚠ STOCK FAIBLE","✓ COUVERT"))</f>
        <v/>
      </c>
      <c r="N1362" s="8" t="inlineStr">
        <is>
          <t>SKF</t>
        </is>
      </c>
      <c r="O1362" s="8" t="inlineStr">
        <is>
          <t>IMPORTANT</t>
        </is>
      </c>
      <c r="P1362" s="8" t="inlineStr">
        <is>
          <t>31/08/2026 02:59</t>
        </is>
      </c>
    </row>
    <row r="1363">
      <c r="A1363" s="7" t="inlineStr">
        <is>
          <t>WHAP 8x8</t>
        </is>
      </c>
      <c r="B1363" s="7" t="inlineStr">
        <is>
          <t>WHAP-1359</t>
        </is>
      </c>
      <c r="C1363" s="7" t="inlineStr">
        <is>
          <t>ELE-1359</t>
        </is>
      </c>
      <c r="D1363" s="7" t="inlineStr">
        <is>
          <t>boîtier fusibles — compartiment moteur</t>
        </is>
      </c>
      <c r="E1363" s="7" t="inlineStr">
        <is>
          <t>Électricité</t>
        </is>
      </c>
      <c r="F1363" s="7" t="inlineStr">
        <is>
          <t>Électricité</t>
        </is>
      </c>
      <c r="G1363" s="7" t="inlineStr">
        <is>
          <t>PIECE_VEHICULE</t>
        </is>
      </c>
      <c r="H1363" s="7" t="n">
        <v>1</v>
      </c>
      <c r="I1363" s="7">
        <f>H1363*$D$3</f>
        <v/>
      </c>
      <c r="J1363" s="7" t="inlineStr">
        <is>
          <t>unité</t>
        </is>
      </c>
      <c r="K1363" s="7" t="n">
        <v>0</v>
      </c>
      <c r="L1363" s="7">
        <f>K1363-I1363</f>
        <v/>
      </c>
      <c r="M1363" s="7">
        <f>IF(K1363&lt;I1363,"✕ INSUFFISANT",IF(K1363&lt;I1363*1.2,"⚠ STOCK FAIBLE","✓ COUVERT"))</f>
        <v/>
      </c>
      <c r="N1363" s="7" t="inlineStr">
        <is>
          <t>BOS</t>
        </is>
      </c>
      <c r="O1363" s="7" t="inlineStr">
        <is>
          <t>IMPORTANT</t>
        </is>
      </c>
      <c r="P1363" s="7" t="inlineStr">
        <is>
          <t>31/08/2026 02:59</t>
        </is>
      </c>
    </row>
    <row r="1364">
      <c r="A1364" s="8" t="inlineStr">
        <is>
          <t>WHAP 8x8</t>
        </is>
      </c>
      <c r="B1364" s="8" t="inlineStr">
        <is>
          <t>WHAP-1360</t>
        </is>
      </c>
      <c r="C1364" s="8" t="inlineStr">
        <is>
          <t>ELE-1360</t>
        </is>
      </c>
      <c r="D1364" s="8" t="inlineStr">
        <is>
          <t>fusible — compartiment moteur</t>
        </is>
      </c>
      <c r="E1364" s="8" t="inlineStr">
        <is>
          <t>Électricité</t>
        </is>
      </c>
      <c r="F1364" s="8" t="inlineStr">
        <is>
          <t>Électricité</t>
        </is>
      </c>
      <c r="G1364" s="8" t="inlineStr">
        <is>
          <t>PIECE_VEHICULE</t>
        </is>
      </c>
      <c r="H1364" s="8" t="n">
        <v>1</v>
      </c>
      <c r="I1364" s="8">
        <f>H1364*$D$3</f>
        <v/>
      </c>
      <c r="J1364" s="8" t="inlineStr">
        <is>
          <t>unité</t>
        </is>
      </c>
      <c r="K1364" s="8" t="n">
        <v>0</v>
      </c>
      <c r="L1364" s="8">
        <f>K1364-I1364</f>
        <v/>
      </c>
      <c r="M1364" s="8">
        <f>IF(K1364&lt;I1364,"✕ INSUFFISANT",IF(K1364&lt;I1364*1.2,"⚠ STOCK FAIBLE","✓ COUVERT"))</f>
        <v/>
      </c>
      <c r="N1364" s="8" t="inlineStr">
        <is>
          <t>BOS</t>
        </is>
      </c>
      <c r="O1364" s="8" t="inlineStr">
        <is>
          <t>IMPORTANT</t>
        </is>
      </c>
      <c r="P1364" s="8" t="inlineStr">
        <is>
          <t>31/08/2026 02:59</t>
        </is>
      </c>
    </row>
    <row r="1365">
      <c r="A1365" s="7" t="inlineStr">
        <is>
          <t>WHAP 8x8</t>
        </is>
      </c>
      <c r="B1365" s="7" t="inlineStr">
        <is>
          <t>WHAP-1361</t>
        </is>
      </c>
      <c r="C1365" s="7" t="inlineStr">
        <is>
          <t>ELE-1361</t>
        </is>
      </c>
      <c r="D1365" s="7" t="inlineStr">
        <is>
          <t>disjoncteur — compartiment moteur</t>
        </is>
      </c>
      <c r="E1365" s="7" t="inlineStr">
        <is>
          <t>Électricité</t>
        </is>
      </c>
      <c r="F1365" s="7" t="inlineStr">
        <is>
          <t>Électricité</t>
        </is>
      </c>
      <c r="G1365" s="7" t="inlineStr">
        <is>
          <t>PIECE_VEHICULE</t>
        </is>
      </c>
      <c r="H1365" s="7" t="n">
        <v>1</v>
      </c>
      <c r="I1365" s="7">
        <f>H1365*$D$3</f>
        <v/>
      </c>
      <c r="J1365" s="7" t="inlineStr">
        <is>
          <t>unité</t>
        </is>
      </c>
      <c r="K1365" s="7" t="n">
        <v>0</v>
      </c>
      <c r="L1365" s="7">
        <f>K1365-I1365</f>
        <v/>
      </c>
      <c r="M1365" s="7">
        <f>IF(K1365&lt;I1365,"✕ INSUFFISANT",IF(K1365&lt;I1365*1.2,"⚠ STOCK FAIBLE","✓ COUVERT"))</f>
        <v/>
      </c>
      <c r="N1365" s="7" t="inlineStr">
        <is>
          <t>BOS</t>
        </is>
      </c>
      <c r="O1365" s="7" t="inlineStr">
        <is>
          <t>IMPORTANT</t>
        </is>
      </c>
      <c r="P1365" s="7" t="inlineStr">
        <is>
          <t>31/08/2026 02:59</t>
        </is>
      </c>
    </row>
    <row r="1366">
      <c r="A1366" s="8" t="inlineStr">
        <is>
          <t>WHAP 8x8</t>
        </is>
      </c>
      <c r="B1366" s="8" t="inlineStr">
        <is>
          <t>WHAP-1362</t>
        </is>
      </c>
      <c r="C1366" s="8" t="inlineStr">
        <is>
          <t>ELE-1362</t>
        </is>
      </c>
      <c r="D1366" s="8" t="inlineStr">
        <is>
          <t>contacteur — compartiment moteur</t>
        </is>
      </c>
      <c r="E1366" s="8" t="inlineStr">
        <is>
          <t>Électricité</t>
        </is>
      </c>
      <c r="F1366" s="8" t="inlineStr">
        <is>
          <t>Électricité</t>
        </is>
      </c>
      <c r="G1366" s="8" t="inlineStr">
        <is>
          <t>PIECE_VEHICULE</t>
        </is>
      </c>
      <c r="H1366" s="8" t="n">
        <v>1</v>
      </c>
      <c r="I1366" s="8">
        <f>H1366*$D$3</f>
        <v/>
      </c>
      <c r="J1366" s="8" t="inlineStr">
        <is>
          <t>unité</t>
        </is>
      </c>
      <c r="K1366" s="8" t="n">
        <v>0</v>
      </c>
      <c r="L1366" s="8">
        <f>K1366-I1366</f>
        <v/>
      </c>
      <c r="M1366" s="8">
        <f>IF(K1366&lt;I1366,"✕ INSUFFISANT",IF(K1366&lt;I1366*1.2,"⚠ STOCK FAIBLE","✓ COUVERT"))</f>
        <v/>
      </c>
      <c r="N1366" s="8" t="inlineStr">
        <is>
          <t>VAL</t>
        </is>
      </c>
      <c r="O1366" s="8" t="inlineStr">
        <is>
          <t>IMPORTANT</t>
        </is>
      </c>
      <c r="P1366" s="8" t="inlineStr">
        <is>
          <t>31/08/2026 02:59</t>
        </is>
      </c>
    </row>
    <row r="1367">
      <c r="A1367" s="7" t="inlineStr">
        <is>
          <t>WHAP 8x8</t>
        </is>
      </c>
      <c r="B1367" s="7" t="inlineStr">
        <is>
          <t>WHAP-1363</t>
        </is>
      </c>
      <c r="C1367" s="7" t="inlineStr">
        <is>
          <t>ELE-1363</t>
        </is>
      </c>
      <c r="D1367" s="7" t="inlineStr">
        <is>
          <t>convertisseur DC-DC — compartiment moteur</t>
        </is>
      </c>
      <c r="E1367" s="7" t="inlineStr">
        <is>
          <t>Électricité</t>
        </is>
      </c>
      <c r="F1367" s="7" t="inlineStr">
        <is>
          <t>Électricité</t>
        </is>
      </c>
      <c r="G1367" s="7" t="inlineStr">
        <is>
          <t>PIECE_VEHICULE</t>
        </is>
      </c>
      <c r="H1367" s="7" t="n">
        <v>1</v>
      </c>
      <c r="I1367" s="7">
        <f>H1367*$D$3</f>
        <v/>
      </c>
      <c r="J1367" s="7" t="inlineStr">
        <is>
          <t>unité</t>
        </is>
      </c>
      <c r="K1367" s="7" t="n">
        <v>0</v>
      </c>
      <c r="L1367" s="7">
        <f>K1367-I1367</f>
        <v/>
      </c>
      <c r="M1367" s="7">
        <f>IF(K1367&lt;I1367,"✕ INSUFFISANT",IF(K1367&lt;I1367*1.2,"⚠ STOCK FAIBLE","✓ COUVERT"))</f>
        <v/>
      </c>
      <c r="N1367" s="7" t="inlineStr">
        <is>
          <t>MAG</t>
        </is>
      </c>
      <c r="O1367" s="7" t="inlineStr">
        <is>
          <t>IMPORTANT</t>
        </is>
      </c>
      <c r="P1367" s="7" t="inlineStr">
        <is>
          <t>31/08/2026 02:59</t>
        </is>
      </c>
    </row>
    <row r="1368">
      <c r="A1368" s="8" t="inlineStr">
        <is>
          <t>WHAP 8x8</t>
        </is>
      </c>
      <c r="B1368" s="8" t="inlineStr">
        <is>
          <t>WHAP-1364</t>
        </is>
      </c>
      <c r="C1368" s="8" t="inlineStr">
        <is>
          <t>ELE-1364</t>
        </is>
      </c>
      <c r="D1368" s="8" t="inlineStr">
        <is>
          <t>onduleur — compartiment moteur</t>
        </is>
      </c>
      <c r="E1368" s="8" t="inlineStr">
        <is>
          <t>Électricité</t>
        </is>
      </c>
      <c r="F1368" s="8" t="inlineStr">
        <is>
          <t>Électricité</t>
        </is>
      </c>
      <c r="G1368" s="8" t="inlineStr">
        <is>
          <t>PIECE_VEHICULE</t>
        </is>
      </c>
      <c r="H1368" s="8" t="n">
        <v>1</v>
      </c>
      <c r="I1368" s="8">
        <f>H1368*$D$3</f>
        <v/>
      </c>
      <c r="J1368" s="8" t="inlineStr">
        <is>
          <t>unité</t>
        </is>
      </c>
      <c r="K1368" s="8" t="n">
        <v>0</v>
      </c>
      <c r="L1368" s="8">
        <f>K1368-I1368</f>
        <v/>
      </c>
      <c r="M1368" s="8">
        <f>IF(K1368&lt;I1368,"✕ INSUFFISANT",IF(K1368&lt;I1368*1.2,"⚠ STOCK FAIBLE","✓ COUVERT"))</f>
        <v/>
      </c>
      <c r="N1368" s="8" t="inlineStr">
        <is>
          <t>HEL</t>
        </is>
      </c>
      <c r="O1368" s="8" t="inlineStr">
        <is>
          <t>IMPORTANT</t>
        </is>
      </c>
      <c r="P1368" s="8" t="inlineStr">
        <is>
          <t>31/08/2026 02:59</t>
        </is>
      </c>
    </row>
    <row r="1369">
      <c r="A1369" s="7" t="inlineStr">
        <is>
          <t>WHAP 8x8</t>
        </is>
      </c>
      <c r="B1369" s="7" t="inlineStr">
        <is>
          <t>WHAP-1365</t>
        </is>
      </c>
      <c r="C1369" s="7" t="inlineStr">
        <is>
          <t>ELE-1365</t>
        </is>
      </c>
      <c r="D1369" s="7" t="inlineStr">
        <is>
          <t>chargeur — compartiment moteur</t>
        </is>
      </c>
      <c r="E1369" s="7" t="inlineStr">
        <is>
          <t>Électricité</t>
        </is>
      </c>
      <c r="F1369" s="7" t="inlineStr">
        <is>
          <t>Électricité</t>
        </is>
      </c>
      <c r="G1369" s="7" t="inlineStr">
        <is>
          <t>PIECE_VEHICULE</t>
        </is>
      </c>
      <c r="H1369" s="7" t="n">
        <v>1</v>
      </c>
      <c r="I1369" s="7">
        <f>H1369*$D$3</f>
        <v/>
      </c>
      <c r="J1369" s="7" t="inlineStr">
        <is>
          <t>unité</t>
        </is>
      </c>
      <c r="K1369" s="7" t="n">
        <v>0</v>
      </c>
      <c r="L1369" s="7">
        <f>K1369-I1369</f>
        <v/>
      </c>
      <c r="M1369" s="7">
        <f>IF(K1369&lt;I1369,"✕ INSUFFISANT",IF(K1369&lt;I1369*1.2,"⚠ STOCK FAIBLE","✓ COUVERT"))</f>
        <v/>
      </c>
      <c r="N1369" s="7" t="inlineStr">
        <is>
          <t>YZK</t>
        </is>
      </c>
      <c r="O1369" s="7" t="inlineStr">
        <is>
          <t>IMPORTANT</t>
        </is>
      </c>
      <c r="P1369" s="7" t="inlineStr">
        <is>
          <t>31/08/2026 02:59</t>
        </is>
      </c>
    </row>
    <row r="1370">
      <c r="A1370" s="8" t="inlineStr">
        <is>
          <t>WHAP 8x8</t>
        </is>
      </c>
      <c r="B1370" s="8" t="inlineStr">
        <is>
          <t>WHAP-1366</t>
        </is>
      </c>
      <c r="C1370" s="8" t="inlineStr">
        <is>
          <t>ELE-1366</t>
        </is>
      </c>
      <c r="D1370" s="8" t="inlineStr">
        <is>
          <t>barrette de masse — compartiment moteur</t>
        </is>
      </c>
      <c r="E1370" s="8" t="inlineStr">
        <is>
          <t>Électricité</t>
        </is>
      </c>
      <c r="F1370" s="8" t="inlineStr">
        <is>
          <t>Électricité</t>
        </is>
      </c>
      <c r="G1370" s="8" t="inlineStr">
        <is>
          <t>PIECE_VEHICULE</t>
        </is>
      </c>
      <c r="H1370" s="8" t="n">
        <v>1</v>
      </c>
      <c r="I1370" s="8">
        <f>H1370*$D$3</f>
        <v/>
      </c>
      <c r="J1370" s="8" t="inlineStr">
        <is>
          <t>unité</t>
        </is>
      </c>
      <c r="K1370" s="8" t="n">
        <v>0</v>
      </c>
      <c r="L1370" s="8">
        <f>K1370-I1370</f>
        <v/>
      </c>
      <c r="M1370" s="8">
        <f>IF(K1370&lt;I1370,"✕ INSUFFISANT",IF(K1370&lt;I1370*1.2,"⚠ STOCK FAIBLE","✓ COUVERT"))</f>
        <v/>
      </c>
      <c r="N1370" s="8" t="inlineStr">
        <is>
          <t>DEL</t>
        </is>
      </c>
      <c r="O1370" s="8" t="inlineStr">
        <is>
          <t>IMPORTANT</t>
        </is>
      </c>
      <c r="P1370" s="8" t="inlineStr">
        <is>
          <t>31/08/2026 02:59</t>
        </is>
      </c>
    </row>
    <row r="1371">
      <c r="A1371" s="7" t="inlineStr">
        <is>
          <t>WHAP 8x8</t>
        </is>
      </c>
      <c r="B1371" s="7" t="inlineStr">
        <is>
          <t>WHAP-1367</t>
        </is>
      </c>
      <c r="C1371" s="7" t="inlineStr">
        <is>
          <t>ELE-1367</t>
        </is>
      </c>
      <c r="D1371" s="7" t="inlineStr">
        <is>
          <t>point de masse — compartiment moteur</t>
        </is>
      </c>
      <c r="E1371" s="7" t="inlineStr">
        <is>
          <t>Électricité</t>
        </is>
      </c>
      <c r="F1371" s="7" t="inlineStr">
        <is>
          <t>Électricité</t>
        </is>
      </c>
      <c r="G1371" s="7" t="inlineStr">
        <is>
          <t>PIECE_VEHICULE</t>
        </is>
      </c>
      <c r="H1371" s="7" t="n">
        <v>1</v>
      </c>
      <c r="I1371" s="7">
        <f>H1371*$D$3</f>
        <v/>
      </c>
      <c r="J1371" s="7" t="inlineStr">
        <is>
          <t>unité</t>
        </is>
      </c>
      <c r="K1371" s="7" t="n">
        <v>0</v>
      </c>
      <c r="L1371" s="7">
        <f>K1371-I1371</f>
        <v/>
      </c>
      <c r="M1371" s="7">
        <f>IF(K1371&lt;I1371,"✕ INSUFFISANT",IF(K1371&lt;I1371*1.2,"⚠ STOCK FAIBLE","✓ COUVERT"))</f>
        <v/>
      </c>
      <c r="N1371" s="7" t="inlineStr">
        <is>
          <t>MAG</t>
        </is>
      </c>
      <c r="O1371" s="7" t="inlineStr">
        <is>
          <t>IMPORTANT</t>
        </is>
      </c>
      <c r="P1371" s="7" t="inlineStr">
        <is>
          <t>31/08/2026 02:59</t>
        </is>
      </c>
    </row>
    <row r="1372">
      <c r="A1372" s="8" t="inlineStr">
        <is>
          <t>WHAP 8x8</t>
        </is>
      </c>
      <c r="B1372" s="8" t="inlineStr">
        <is>
          <t>WHAP-1368</t>
        </is>
      </c>
      <c r="C1372" s="8" t="inlineStr">
        <is>
          <t>ELE-1368</t>
        </is>
      </c>
      <c r="D1372" s="8" t="inlineStr">
        <is>
          <t>faisceau moteur — compartiment moteur</t>
        </is>
      </c>
      <c r="E1372" s="8" t="inlineStr">
        <is>
          <t>Électricité</t>
        </is>
      </c>
      <c r="F1372" s="8" t="inlineStr">
        <is>
          <t>Électricité</t>
        </is>
      </c>
      <c r="G1372" s="8" t="inlineStr">
        <is>
          <t>PIECE_VEHICULE</t>
        </is>
      </c>
      <c r="H1372" s="8" t="n">
        <v>1</v>
      </c>
      <c r="I1372" s="8">
        <f>H1372*$D$3</f>
        <v/>
      </c>
      <c r="J1372" s="8" t="inlineStr">
        <is>
          <t>unité</t>
        </is>
      </c>
      <c r="K1372" s="8" t="n">
        <v>0</v>
      </c>
      <c r="L1372" s="8">
        <f>K1372-I1372</f>
        <v/>
      </c>
      <c r="M1372" s="8">
        <f>IF(K1372&lt;I1372,"✕ INSUFFISANT",IF(K1372&lt;I1372*1.2,"⚠ STOCK FAIBLE","✓ COUVERT"))</f>
        <v/>
      </c>
      <c r="N1372" s="8" t="inlineStr">
        <is>
          <t>HEL</t>
        </is>
      </c>
      <c r="O1372" s="8" t="inlineStr">
        <is>
          <t>IMPORTANT</t>
        </is>
      </c>
      <c r="P1372" s="8" t="inlineStr">
        <is>
          <t>31/08/2026 02:59</t>
        </is>
      </c>
    </row>
    <row r="1373">
      <c r="A1373" s="7" t="inlineStr">
        <is>
          <t>WHAP 8x8</t>
        </is>
      </c>
      <c r="B1373" s="7" t="inlineStr">
        <is>
          <t>WHAP-1369</t>
        </is>
      </c>
      <c r="C1373" s="7" t="inlineStr">
        <is>
          <t>ELE-1369</t>
        </is>
      </c>
      <c r="D1373" s="7" t="inlineStr">
        <is>
          <t>faisceau châssis — compartiment moteur</t>
        </is>
      </c>
      <c r="E1373" s="7" t="inlineStr">
        <is>
          <t>Électricité</t>
        </is>
      </c>
      <c r="F1373" s="7" t="inlineStr">
        <is>
          <t>Électricité</t>
        </is>
      </c>
      <c r="G1373" s="7" t="inlineStr">
        <is>
          <t>PIECE_VEHICULE</t>
        </is>
      </c>
      <c r="H1373" s="7" t="n">
        <v>1</v>
      </c>
      <c r="I1373" s="7">
        <f>H1373*$D$3</f>
        <v/>
      </c>
      <c r="J1373" s="7" t="inlineStr">
        <is>
          <t>unité</t>
        </is>
      </c>
      <c r="K1373" s="7" t="n">
        <v>0</v>
      </c>
      <c r="L1373" s="7">
        <f>K1373-I1373</f>
        <v/>
      </c>
      <c r="M1373" s="7">
        <f>IF(K1373&lt;I1373,"✕ INSUFFISANT",IF(K1373&lt;I1373*1.2,"⚠ STOCK FAIBLE","✓ COUVERT"))</f>
        <v/>
      </c>
      <c r="N1373" s="7" t="inlineStr">
        <is>
          <t>VAL</t>
        </is>
      </c>
      <c r="O1373" s="7" t="inlineStr">
        <is>
          <t>IMPORTANT</t>
        </is>
      </c>
      <c r="P1373" s="7" t="inlineStr">
        <is>
          <t>31/08/2026 02:59</t>
        </is>
      </c>
    </row>
    <row r="1374">
      <c r="A1374" s="8" t="inlineStr">
        <is>
          <t>WHAP 8x8</t>
        </is>
      </c>
      <c r="B1374" s="8" t="inlineStr">
        <is>
          <t>WHAP-1370</t>
        </is>
      </c>
      <c r="C1374" s="8" t="inlineStr">
        <is>
          <t>ELE-1370</t>
        </is>
      </c>
      <c r="D1374" s="8" t="inlineStr">
        <is>
          <t>faisceau habitacle — compartiment moteur</t>
        </is>
      </c>
      <c r="E1374" s="8" t="inlineStr">
        <is>
          <t>Électricité</t>
        </is>
      </c>
      <c r="F1374" s="8" t="inlineStr">
        <is>
          <t>Électricité</t>
        </is>
      </c>
      <c r="G1374" s="8" t="inlineStr">
        <is>
          <t>PIECE_VEHICULE</t>
        </is>
      </c>
      <c r="H1374" s="8" t="n">
        <v>1</v>
      </c>
      <c r="I1374" s="8">
        <f>H1374*$D$3</f>
        <v/>
      </c>
      <c r="J1374" s="8" t="inlineStr">
        <is>
          <t>unité</t>
        </is>
      </c>
      <c r="K1374" s="8" t="n">
        <v>0</v>
      </c>
      <c r="L1374" s="8">
        <f>K1374-I1374</f>
        <v/>
      </c>
      <c r="M1374" s="8">
        <f>IF(K1374&lt;I1374,"✕ INSUFFISANT",IF(K1374&lt;I1374*1.2,"⚠ STOCK FAIBLE","✓ COUVERT"))</f>
        <v/>
      </c>
      <c r="N1374" s="8" t="inlineStr">
        <is>
          <t>YZK</t>
        </is>
      </c>
      <c r="O1374" s="8" t="inlineStr">
        <is>
          <t>IMPORTANT</t>
        </is>
      </c>
      <c r="P1374" s="8" t="inlineStr">
        <is>
          <t>31/08/2026 02:59</t>
        </is>
      </c>
    </row>
    <row r="1375">
      <c r="A1375" s="7" t="inlineStr">
        <is>
          <t>WHAP 8x8</t>
        </is>
      </c>
      <c r="B1375" s="7" t="inlineStr">
        <is>
          <t>WHAP-1371</t>
        </is>
      </c>
      <c r="C1375" s="7" t="inlineStr">
        <is>
          <t>ELE-1371</t>
        </is>
      </c>
      <c r="D1375" s="7" t="inlineStr">
        <is>
          <t>faisceau éclairage — compartiment moteur</t>
        </is>
      </c>
      <c r="E1375" s="7" t="inlineStr">
        <is>
          <t>Électricité</t>
        </is>
      </c>
      <c r="F1375" s="7" t="inlineStr">
        <is>
          <t>Électricité</t>
        </is>
      </c>
      <c r="G1375" s="7" t="inlineStr">
        <is>
          <t>PIECE_VEHICULE</t>
        </is>
      </c>
      <c r="H1375" s="7" t="n">
        <v>1</v>
      </c>
      <c r="I1375" s="7">
        <f>H1375*$D$3</f>
        <v/>
      </c>
      <c r="J1375" s="7" t="inlineStr">
        <is>
          <t>unité</t>
        </is>
      </c>
      <c r="K1375" s="7" t="n">
        <v>0</v>
      </c>
      <c r="L1375" s="7">
        <f>K1375-I1375</f>
        <v/>
      </c>
      <c r="M1375" s="7">
        <f>IF(K1375&lt;I1375,"✕ INSUFFISANT",IF(K1375&lt;I1375*1.2,"⚠ STOCK FAIBLE","✓ COUVERT"))</f>
        <v/>
      </c>
      <c r="N1375" s="7" t="inlineStr">
        <is>
          <t>CTL</t>
        </is>
      </c>
      <c r="O1375" s="7" t="inlineStr">
        <is>
          <t>IMPORTANT</t>
        </is>
      </c>
      <c r="P1375" s="7" t="inlineStr">
        <is>
          <t>31/08/2026 02:59</t>
        </is>
      </c>
    </row>
    <row r="1376">
      <c r="A1376" s="8" t="inlineStr">
        <is>
          <t>WHAP 8x8</t>
        </is>
      </c>
      <c r="B1376" s="8" t="inlineStr">
        <is>
          <t>WHAP-1372</t>
        </is>
      </c>
      <c r="C1376" s="8" t="inlineStr">
        <is>
          <t>ELE-1372</t>
        </is>
      </c>
      <c r="D1376" s="8" t="inlineStr">
        <is>
          <t>connecteur étanche — compartiment moteur</t>
        </is>
      </c>
      <c r="E1376" s="8" t="inlineStr">
        <is>
          <t>Électricité</t>
        </is>
      </c>
      <c r="F1376" s="8" t="inlineStr">
        <is>
          <t>Électricité</t>
        </is>
      </c>
      <c r="G1376" s="8" t="inlineStr">
        <is>
          <t>PIECE_VEHICULE</t>
        </is>
      </c>
      <c r="H1376" s="8" t="n">
        <v>1</v>
      </c>
      <c r="I1376" s="8">
        <f>H1376*$D$3</f>
        <v/>
      </c>
      <c r="J1376" s="8" t="inlineStr">
        <is>
          <t>unité</t>
        </is>
      </c>
      <c r="K1376" s="8" t="n">
        <v>0</v>
      </c>
      <c r="L1376" s="8">
        <f>K1376-I1376</f>
        <v/>
      </c>
      <c r="M1376" s="8">
        <f>IF(K1376&lt;I1376,"✕ INSUFFISANT",IF(K1376&lt;I1376*1.2,"⚠ STOCK FAIBLE","✓ COUVERT"))</f>
        <v/>
      </c>
      <c r="N1376" s="8" t="inlineStr">
        <is>
          <t>SUM</t>
        </is>
      </c>
      <c r="O1376" s="8" t="inlineStr">
        <is>
          <t>IMPORTANT</t>
        </is>
      </c>
      <c r="P1376" s="8" t="inlineStr">
        <is>
          <t>31/08/2026 02:59</t>
        </is>
      </c>
    </row>
    <row r="1377">
      <c r="A1377" s="7" t="inlineStr">
        <is>
          <t>WHAP 8x8</t>
        </is>
      </c>
      <c r="B1377" s="7" t="inlineStr">
        <is>
          <t>WHAP-1373</t>
        </is>
      </c>
      <c r="C1377" s="7" t="inlineStr">
        <is>
          <t>ELE-1373</t>
        </is>
      </c>
      <c r="D1377" s="7" t="inlineStr">
        <is>
          <t>borne électrique — compartiment moteur</t>
        </is>
      </c>
      <c r="E1377" s="7" t="inlineStr">
        <is>
          <t>Électricité</t>
        </is>
      </c>
      <c r="F1377" s="7" t="inlineStr">
        <is>
          <t>Électricité</t>
        </is>
      </c>
      <c r="G1377" s="7" t="inlineStr">
        <is>
          <t>PIECE_VEHICULE</t>
        </is>
      </c>
      <c r="H1377" s="7" t="n">
        <v>1</v>
      </c>
      <c r="I1377" s="7">
        <f>H1377*$D$3</f>
        <v/>
      </c>
      <c r="J1377" s="7" t="inlineStr">
        <is>
          <t>unité</t>
        </is>
      </c>
      <c r="K1377" s="7" t="n">
        <v>0</v>
      </c>
      <c r="L1377" s="7">
        <f>K1377-I1377</f>
        <v/>
      </c>
      <c r="M1377" s="7">
        <f>IF(K1377&lt;I1377,"✕ INSUFFISANT",IF(K1377&lt;I1377*1.2,"⚠ STOCK FAIBLE","✓ COUVERT"))</f>
        <v/>
      </c>
      <c r="N1377" s="7" t="inlineStr">
        <is>
          <t>FAU</t>
        </is>
      </c>
      <c r="O1377" s="7" t="inlineStr">
        <is>
          <t>IMPORTANT</t>
        </is>
      </c>
      <c r="P1377" s="7" t="inlineStr">
        <is>
          <t>31/08/2026 02:59</t>
        </is>
      </c>
    </row>
    <row r="1378">
      <c r="A1378" s="8" t="inlineStr">
        <is>
          <t>WHAP 8x8</t>
        </is>
      </c>
      <c r="B1378" s="8" t="inlineStr">
        <is>
          <t>WHAP-1374</t>
        </is>
      </c>
      <c r="C1378" s="8" t="inlineStr">
        <is>
          <t>ELE-1374</t>
        </is>
      </c>
      <c r="D1378" s="8" t="inlineStr">
        <is>
          <t>gaine électrique — compartiment moteur</t>
        </is>
      </c>
      <c r="E1378" s="8" t="inlineStr">
        <is>
          <t>Électricité</t>
        </is>
      </c>
      <c r="F1378" s="8" t="inlineStr">
        <is>
          <t>Électricité</t>
        </is>
      </c>
      <c r="G1378" s="8" t="inlineStr">
        <is>
          <t>PIECE_VEHICULE</t>
        </is>
      </c>
      <c r="H1378" s="8" t="n">
        <v>1</v>
      </c>
      <c r="I1378" s="8">
        <f>H1378*$D$3</f>
        <v/>
      </c>
      <c r="J1378" s="8" t="inlineStr">
        <is>
          <t>unité</t>
        </is>
      </c>
      <c r="K1378" s="8" t="n">
        <v>0</v>
      </c>
      <c r="L1378" s="8">
        <f>K1378-I1378</f>
        <v/>
      </c>
      <c r="M1378" s="8">
        <f>IF(K1378&lt;I1378,"✕ INSUFFISANT",IF(K1378&lt;I1378*1.2,"⚠ STOCK FAIBLE","✓ COUVERT"))</f>
        <v/>
      </c>
      <c r="N1378" s="8" t="inlineStr">
        <is>
          <t>VAL</t>
        </is>
      </c>
      <c r="O1378" s="8" t="inlineStr">
        <is>
          <t>IMPORTANT</t>
        </is>
      </c>
      <c r="P1378" s="8" t="inlineStr">
        <is>
          <t>31/08/2026 02:59</t>
        </is>
      </c>
    </row>
    <row r="1379">
      <c r="A1379" s="7" t="inlineStr">
        <is>
          <t>WHAP 8x8</t>
        </is>
      </c>
      <c r="B1379" s="7" t="inlineStr">
        <is>
          <t>WHAP-1375</t>
        </is>
      </c>
      <c r="C1379" s="7" t="inlineStr">
        <is>
          <t>ELE-1375</t>
        </is>
      </c>
      <c r="D1379" s="7" t="inlineStr">
        <is>
          <t>passe-fil — compartiment moteur</t>
        </is>
      </c>
      <c r="E1379" s="7" t="inlineStr">
        <is>
          <t>Électricité</t>
        </is>
      </c>
      <c r="F1379" s="7" t="inlineStr">
        <is>
          <t>Électricité</t>
        </is>
      </c>
      <c r="G1379" s="7" t="inlineStr">
        <is>
          <t>PIECE_VEHICULE</t>
        </is>
      </c>
      <c r="H1379" s="7" t="n">
        <v>1</v>
      </c>
      <c r="I1379" s="7">
        <f>H1379*$D$3</f>
        <v/>
      </c>
      <c r="J1379" s="7" t="inlineStr">
        <is>
          <t>unité</t>
        </is>
      </c>
      <c r="K1379" s="7" t="n">
        <v>0</v>
      </c>
      <c r="L1379" s="7">
        <f>K1379-I1379</f>
        <v/>
      </c>
      <c r="M1379" s="7">
        <f>IF(K1379&lt;I1379,"✕ INSUFFISANT",IF(K1379&lt;I1379*1.2,"⚠ STOCK FAIBLE","✓ COUVERT"))</f>
        <v/>
      </c>
      <c r="N1379" s="7" t="inlineStr">
        <is>
          <t>VAL</t>
        </is>
      </c>
      <c r="O1379" s="7" t="inlineStr">
        <is>
          <t>IMPORTANT</t>
        </is>
      </c>
      <c r="P1379" s="7" t="inlineStr">
        <is>
          <t>31/08/2026 02:59</t>
        </is>
      </c>
    </row>
    <row r="1380">
      <c r="A1380" s="8" t="inlineStr">
        <is>
          <t>WHAP 8x8</t>
        </is>
      </c>
      <c r="B1380" s="8" t="inlineStr">
        <is>
          <t>WHAP-1376</t>
        </is>
      </c>
      <c r="C1380" s="8" t="inlineStr">
        <is>
          <t>ELE-1376</t>
        </is>
      </c>
      <c r="D1380" s="8" t="inlineStr">
        <is>
          <t>porte-fusible — compartiment moteur</t>
        </is>
      </c>
      <c r="E1380" s="8" t="inlineStr">
        <is>
          <t>Électricité</t>
        </is>
      </c>
      <c r="F1380" s="8" t="inlineStr">
        <is>
          <t>Électricité</t>
        </is>
      </c>
      <c r="G1380" s="8" t="inlineStr">
        <is>
          <t>PIECE_VEHICULE</t>
        </is>
      </c>
      <c r="H1380" s="8" t="n">
        <v>1</v>
      </c>
      <c r="I1380" s="8">
        <f>H1380*$D$3</f>
        <v/>
      </c>
      <c r="J1380" s="8" t="inlineStr">
        <is>
          <t>unité</t>
        </is>
      </c>
      <c r="K1380" s="8" t="n">
        <v>0</v>
      </c>
      <c r="L1380" s="8">
        <f>K1380-I1380</f>
        <v/>
      </c>
      <c r="M1380" s="8">
        <f>IF(K1380&lt;I1380,"✕ INSUFFISANT",IF(K1380&lt;I1380*1.2,"⚠ STOCK FAIBLE","✓ COUVERT"))</f>
        <v/>
      </c>
      <c r="N1380" s="8" t="inlineStr">
        <is>
          <t>YZK</t>
        </is>
      </c>
      <c r="O1380" s="8" t="inlineStr">
        <is>
          <t>IMPORTANT</t>
        </is>
      </c>
      <c r="P1380" s="8" t="inlineStr">
        <is>
          <t>31/08/2026 02:59</t>
        </is>
      </c>
    </row>
    <row r="1381">
      <c r="A1381" s="7" t="inlineStr">
        <is>
          <t>WHAP 8x8</t>
        </is>
      </c>
      <c r="B1381" s="7" t="inlineStr">
        <is>
          <t>WHAP-1377</t>
        </is>
      </c>
      <c r="C1381" s="7" t="inlineStr">
        <is>
          <t>ELE-1377</t>
        </is>
      </c>
      <c r="D1381" s="7" t="inlineStr">
        <is>
          <t>boîtier de distribution — compartiment moteur</t>
        </is>
      </c>
      <c r="E1381" s="7" t="inlineStr">
        <is>
          <t>Électricité</t>
        </is>
      </c>
      <c r="F1381" s="7" t="inlineStr">
        <is>
          <t>Électricité</t>
        </is>
      </c>
      <c r="G1381" s="7" t="inlineStr">
        <is>
          <t>PIECE_VEHICULE</t>
        </is>
      </c>
      <c r="H1381" s="7" t="n">
        <v>1</v>
      </c>
      <c r="I1381" s="7">
        <f>H1381*$D$3</f>
        <v/>
      </c>
      <c r="J1381" s="7" t="inlineStr">
        <is>
          <t>unité</t>
        </is>
      </c>
      <c r="K1381" s="7" t="n">
        <v>0</v>
      </c>
      <c r="L1381" s="7">
        <f>K1381-I1381</f>
        <v/>
      </c>
      <c r="M1381" s="7">
        <f>IF(K1381&lt;I1381,"✕ INSUFFISANT",IF(K1381&lt;I1381*1.2,"⚠ STOCK FAIBLE","✓ COUVERT"))</f>
        <v/>
      </c>
      <c r="N1381" s="7" t="inlineStr">
        <is>
          <t>HEL</t>
        </is>
      </c>
      <c r="O1381" s="7" t="inlineStr">
        <is>
          <t>IMPORTANT</t>
        </is>
      </c>
      <c r="P1381" s="7" t="inlineStr">
        <is>
          <t>31/08/2026 02:59</t>
        </is>
      </c>
    </row>
    <row r="1382">
      <c r="A1382" s="8" t="inlineStr">
        <is>
          <t>WHAP 8x8</t>
        </is>
      </c>
      <c r="B1382" s="8" t="inlineStr">
        <is>
          <t>WHAP-1378</t>
        </is>
      </c>
      <c r="C1382" s="8" t="inlineStr">
        <is>
          <t>ELE-1378</t>
        </is>
      </c>
      <c r="D1382" s="8" t="inlineStr">
        <is>
          <t>batterie — habitacle</t>
        </is>
      </c>
      <c r="E1382" s="8" t="inlineStr">
        <is>
          <t>Électricité</t>
        </is>
      </c>
      <c r="F1382" s="8" t="inlineStr">
        <is>
          <t>Électricité</t>
        </is>
      </c>
      <c r="G1382" s="8" t="inlineStr">
        <is>
          <t>PIECE_VEHICULE</t>
        </is>
      </c>
      <c r="H1382" s="8" t="n">
        <v>1</v>
      </c>
      <c r="I1382" s="8">
        <f>H1382*$D$3</f>
        <v/>
      </c>
      <c r="J1382" s="8" t="inlineStr">
        <is>
          <t>unité</t>
        </is>
      </c>
      <c r="K1382" s="8" t="n">
        <v>0</v>
      </c>
      <c r="L1382" s="8">
        <f>K1382-I1382</f>
        <v/>
      </c>
      <c r="M1382" s="8">
        <f>IF(K1382&lt;I1382,"✕ INSUFFISANT",IF(K1382&lt;I1382*1.2,"⚠ STOCK FAIBLE","✓ COUVERT"))</f>
        <v/>
      </c>
      <c r="N1382" s="8" t="inlineStr">
        <is>
          <t>MAG</t>
        </is>
      </c>
      <c r="O1382" s="8" t="inlineStr">
        <is>
          <t>IMPORTANT</t>
        </is>
      </c>
      <c r="P1382" s="8" t="inlineStr">
        <is>
          <t>31/08/2026 02:59</t>
        </is>
      </c>
    </row>
    <row r="1383">
      <c r="A1383" s="7" t="inlineStr">
        <is>
          <t>WHAP 8x8</t>
        </is>
      </c>
      <c r="B1383" s="7" t="inlineStr">
        <is>
          <t>WHAP-1379</t>
        </is>
      </c>
      <c r="C1383" s="7" t="inlineStr">
        <is>
          <t>ELE-1379</t>
        </is>
      </c>
      <c r="D1383" s="7" t="inlineStr">
        <is>
          <t>bac batterie — habitacle</t>
        </is>
      </c>
      <c r="E1383" s="7" t="inlineStr">
        <is>
          <t>Électricité</t>
        </is>
      </c>
      <c r="F1383" s="7" t="inlineStr">
        <is>
          <t>Électricité</t>
        </is>
      </c>
      <c r="G1383" s="7" t="inlineStr">
        <is>
          <t>PIECE_VEHICULE</t>
        </is>
      </c>
      <c r="H1383" s="7" t="n">
        <v>1</v>
      </c>
      <c r="I1383" s="7">
        <f>H1383*$D$3</f>
        <v/>
      </c>
      <c r="J1383" s="7" t="inlineStr">
        <is>
          <t>unité</t>
        </is>
      </c>
      <c r="K1383" s="7" t="n">
        <v>0</v>
      </c>
      <c r="L1383" s="7">
        <f>K1383-I1383</f>
        <v/>
      </c>
      <c r="M1383" s="7">
        <f>IF(K1383&lt;I1383,"✕ INSUFFISANT",IF(K1383&lt;I1383*1.2,"⚠ STOCK FAIBLE","✓ COUVERT"))</f>
        <v/>
      </c>
      <c r="N1383" s="7" t="inlineStr">
        <is>
          <t>FAU</t>
        </is>
      </c>
      <c r="O1383" s="7" t="inlineStr">
        <is>
          <t>IMPORTANT</t>
        </is>
      </c>
      <c r="P1383" s="7" t="inlineStr">
        <is>
          <t>31/08/2026 02:59</t>
        </is>
      </c>
    </row>
    <row r="1384">
      <c r="A1384" s="8" t="inlineStr">
        <is>
          <t>WHAP 8x8</t>
        </is>
      </c>
      <c r="B1384" s="8" t="inlineStr">
        <is>
          <t>WHAP-1380</t>
        </is>
      </c>
      <c r="C1384" s="8" t="inlineStr">
        <is>
          <t>ELE-1380</t>
        </is>
      </c>
      <c r="D1384" s="8" t="inlineStr">
        <is>
          <t>coupe-batterie — habitacle</t>
        </is>
      </c>
      <c r="E1384" s="8" t="inlineStr">
        <is>
          <t>Électricité</t>
        </is>
      </c>
      <c r="F1384" s="8" t="inlineStr">
        <is>
          <t>Électricité</t>
        </is>
      </c>
      <c r="G1384" s="8" t="inlineStr">
        <is>
          <t>PIECE_VEHICULE</t>
        </is>
      </c>
      <c r="H1384" s="8" t="n">
        <v>1</v>
      </c>
      <c r="I1384" s="8">
        <f>H1384*$D$3</f>
        <v/>
      </c>
      <c r="J1384" s="8" t="inlineStr">
        <is>
          <t>unité</t>
        </is>
      </c>
      <c r="K1384" s="8" t="n">
        <v>0</v>
      </c>
      <c r="L1384" s="8">
        <f>K1384-I1384</f>
        <v/>
      </c>
      <c r="M1384" s="8">
        <f>IF(K1384&lt;I1384,"✕ INSUFFISANT",IF(K1384&lt;I1384*1.2,"⚠ STOCK FAIBLE","✓ COUVERT"))</f>
        <v/>
      </c>
      <c r="N1384" s="8" t="inlineStr">
        <is>
          <t>FAU</t>
        </is>
      </c>
      <c r="O1384" s="8" t="inlineStr">
        <is>
          <t>IMPORTANT</t>
        </is>
      </c>
      <c r="P1384" s="8" t="inlineStr">
        <is>
          <t>31/08/2026 02:59</t>
        </is>
      </c>
    </row>
    <row r="1385">
      <c r="A1385" s="7" t="inlineStr">
        <is>
          <t>WHAP 8x8</t>
        </is>
      </c>
      <c r="B1385" s="7" t="inlineStr">
        <is>
          <t>WHAP-1381</t>
        </is>
      </c>
      <c r="C1385" s="7" t="inlineStr">
        <is>
          <t>ELE-1381</t>
        </is>
      </c>
      <c r="D1385" s="7" t="inlineStr">
        <is>
          <t>câble positif — habitacle</t>
        </is>
      </c>
      <c r="E1385" s="7" t="inlineStr">
        <is>
          <t>Électricité</t>
        </is>
      </c>
      <c r="F1385" s="7" t="inlineStr">
        <is>
          <t>Électricité</t>
        </is>
      </c>
      <c r="G1385" s="7" t="inlineStr">
        <is>
          <t>PIECE_VEHICULE</t>
        </is>
      </c>
      <c r="H1385" s="7" t="n">
        <v>1</v>
      </c>
      <c r="I1385" s="7">
        <f>H1385*$D$3</f>
        <v/>
      </c>
      <c r="J1385" s="7" t="inlineStr">
        <is>
          <t>unité</t>
        </is>
      </c>
      <c r="K1385" s="7" t="n">
        <v>0</v>
      </c>
      <c r="L1385" s="7">
        <f>K1385-I1385</f>
        <v/>
      </c>
      <c r="M1385" s="7">
        <f>IF(K1385&lt;I1385,"✕ INSUFFISANT",IF(K1385&lt;I1385*1.2,"⚠ STOCK FAIBLE","✓ COUVERT"))</f>
        <v/>
      </c>
      <c r="N1385" s="7" t="inlineStr">
        <is>
          <t>SUM</t>
        </is>
      </c>
      <c r="O1385" s="7" t="inlineStr">
        <is>
          <t>IMPORTANT</t>
        </is>
      </c>
      <c r="P1385" s="7" t="inlineStr">
        <is>
          <t>31/08/2026 02:59</t>
        </is>
      </c>
    </row>
    <row r="1386">
      <c r="A1386" s="8" t="inlineStr">
        <is>
          <t>WHAP 8x8</t>
        </is>
      </c>
      <c r="B1386" s="8" t="inlineStr">
        <is>
          <t>WHAP-1382</t>
        </is>
      </c>
      <c r="C1386" s="8" t="inlineStr">
        <is>
          <t>ELE-1382</t>
        </is>
      </c>
      <c r="D1386" s="8" t="inlineStr">
        <is>
          <t>câble négatif — habitacle</t>
        </is>
      </c>
      <c r="E1386" s="8" t="inlineStr">
        <is>
          <t>Électricité</t>
        </is>
      </c>
      <c r="F1386" s="8" t="inlineStr">
        <is>
          <t>Électricité</t>
        </is>
      </c>
      <c r="G1386" s="8" t="inlineStr">
        <is>
          <t>PIECE_VEHICULE</t>
        </is>
      </c>
      <c r="H1386" s="8" t="n">
        <v>1</v>
      </c>
      <c r="I1386" s="8">
        <f>H1386*$D$3</f>
        <v/>
      </c>
      <c r="J1386" s="8" t="inlineStr">
        <is>
          <t>unité</t>
        </is>
      </c>
      <c r="K1386" s="8" t="n">
        <v>0</v>
      </c>
      <c r="L1386" s="8">
        <f>K1386-I1386</f>
        <v/>
      </c>
      <c r="M1386" s="8">
        <f>IF(K1386&lt;I1386,"✕ INSUFFISANT",IF(K1386&lt;I1386*1.2,"⚠ STOCK FAIBLE","✓ COUVERT"))</f>
        <v/>
      </c>
      <c r="N1386" s="8" t="inlineStr">
        <is>
          <t>SUM</t>
        </is>
      </c>
      <c r="O1386" s="8" t="inlineStr">
        <is>
          <t>IMPORTANT</t>
        </is>
      </c>
      <c r="P1386" s="8" t="inlineStr">
        <is>
          <t>31/08/2026 02:59</t>
        </is>
      </c>
    </row>
    <row r="1387">
      <c r="A1387" s="7" t="inlineStr">
        <is>
          <t>WHAP 8x8</t>
        </is>
      </c>
      <c r="B1387" s="7" t="inlineStr">
        <is>
          <t>WHAP-1383</t>
        </is>
      </c>
      <c r="C1387" s="7" t="inlineStr">
        <is>
          <t>ELE-1383</t>
        </is>
      </c>
      <c r="D1387" s="7" t="inlineStr">
        <is>
          <t>cosse batterie — habitacle</t>
        </is>
      </c>
      <c r="E1387" s="7" t="inlineStr">
        <is>
          <t>Électricité</t>
        </is>
      </c>
      <c r="F1387" s="7" t="inlineStr">
        <is>
          <t>Électricité</t>
        </is>
      </c>
      <c r="G1387" s="7" t="inlineStr">
        <is>
          <t>PIECE_VEHICULE</t>
        </is>
      </c>
      <c r="H1387" s="7" t="n">
        <v>1</v>
      </c>
      <c r="I1387" s="7">
        <f>H1387*$D$3</f>
        <v/>
      </c>
      <c r="J1387" s="7" t="inlineStr">
        <is>
          <t>unité</t>
        </is>
      </c>
      <c r="K1387" s="7" t="n">
        <v>0</v>
      </c>
      <c r="L1387" s="7">
        <f>K1387-I1387</f>
        <v/>
      </c>
      <c r="M1387" s="7">
        <f>IF(K1387&lt;I1387,"✕ INSUFFISANT",IF(K1387&lt;I1387*1.2,"⚠ STOCK FAIBLE","✓ COUVERT"))</f>
        <v/>
      </c>
      <c r="N1387" s="7" t="inlineStr">
        <is>
          <t>HEL</t>
        </is>
      </c>
      <c r="O1387" s="7" t="inlineStr">
        <is>
          <t>IMPORTANT</t>
        </is>
      </c>
      <c r="P1387" s="7" t="inlineStr">
        <is>
          <t>31/08/2026 02:59</t>
        </is>
      </c>
    </row>
    <row r="1388">
      <c r="A1388" s="8" t="inlineStr">
        <is>
          <t>WHAP 8x8</t>
        </is>
      </c>
      <c r="B1388" s="8" t="inlineStr">
        <is>
          <t>WHAP-1384</t>
        </is>
      </c>
      <c r="C1388" s="8" t="inlineStr">
        <is>
          <t>ELE-1384</t>
        </is>
      </c>
      <c r="D1388" s="8" t="inlineStr">
        <is>
          <t>alternateur — habitacle</t>
        </is>
      </c>
      <c r="E1388" s="8" t="inlineStr">
        <is>
          <t>Électricité</t>
        </is>
      </c>
      <c r="F1388" s="8" t="inlineStr">
        <is>
          <t>Électricité</t>
        </is>
      </c>
      <c r="G1388" s="8" t="inlineStr">
        <is>
          <t>PIECE_VEHICULE</t>
        </is>
      </c>
      <c r="H1388" s="8" t="n">
        <v>1</v>
      </c>
      <c r="I1388" s="8">
        <f>H1388*$D$3</f>
        <v/>
      </c>
      <c r="J1388" s="8" t="inlineStr">
        <is>
          <t>unité</t>
        </is>
      </c>
      <c r="K1388" s="8" t="n">
        <v>0</v>
      </c>
      <c r="L1388" s="8">
        <f>K1388-I1388</f>
        <v/>
      </c>
      <c r="M1388" s="8">
        <f>IF(K1388&lt;I1388,"✕ INSUFFISANT",IF(K1388&lt;I1388*1.2,"⚠ STOCK FAIBLE","✓ COUVERT"))</f>
        <v/>
      </c>
      <c r="N1388" s="8" t="inlineStr">
        <is>
          <t>SKF</t>
        </is>
      </c>
      <c r="O1388" s="8" t="inlineStr">
        <is>
          <t>IMPORTANT</t>
        </is>
      </c>
      <c r="P1388" s="8" t="inlineStr">
        <is>
          <t>31/08/2026 02:59</t>
        </is>
      </c>
    </row>
    <row r="1389">
      <c r="A1389" s="7" t="inlineStr">
        <is>
          <t>WHAP 8x8</t>
        </is>
      </c>
      <c r="B1389" s="7" t="inlineStr">
        <is>
          <t>WHAP-1385</t>
        </is>
      </c>
      <c r="C1389" s="7" t="inlineStr">
        <is>
          <t>ELE-1385</t>
        </is>
      </c>
      <c r="D1389" s="7" t="inlineStr">
        <is>
          <t>démarreur — habitacle</t>
        </is>
      </c>
      <c r="E1389" s="7" t="inlineStr">
        <is>
          <t>Électricité</t>
        </is>
      </c>
      <c r="F1389" s="7" t="inlineStr">
        <is>
          <t>Électricité</t>
        </is>
      </c>
      <c r="G1389" s="7" t="inlineStr">
        <is>
          <t>PIECE_VEHICULE</t>
        </is>
      </c>
      <c r="H1389" s="7" t="n">
        <v>1</v>
      </c>
      <c r="I1389" s="7">
        <f>H1389*$D$3</f>
        <v/>
      </c>
      <c r="J1389" s="7" t="inlineStr">
        <is>
          <t>unité</t>
        </is>
      </c>
      <c r="K1389" s="7" t="n">
        <v>0</v>
      </c>
      <c r="L1389" s="7">
        <f>K1389-I1389</f>
        <v/>
      </c>
      <c r="M1389" s="7">
        <f>IF(K1389&lt;I1389,"✕ INSUFFISANT",IF(K1389&lt;I1389*1.2,"⚠ STOCK FAIBLE","✓ COUVERT"))</f>
        <v/>
      </c>
      <c r="N1389" s="7" t="inlineStr">
        <is>
          <t>SKF</t>
        </is>
      </c>
      <c r="O1389" s="7" t="inlineStr">
        <is>
          <t>IMPORTANT</t>
        </is>
      </c>
      <c r="P1389" s="7" t="inlineStr">
        <is>
          <t>31/08/2026 02:59</t>
        </is>
      </c>
    </row>
    <row r="1390">
      <c r="A1390" s="8" t="inlineStr">
        <is>
          <t>WHAP 8x8</t>
        </is>
      </c>
      <c r="B1390" s="8" t="inlineStr">
        <is>
          <t>WHAP-1386</t>
        </is>
      </c>
      <c r="C1390" s="8" t="inlineStr">
        <is>
          <t>ELE-1386</t>
        </is>
      </c>
      <c r="D1390" s="8" t="inlineStr">
        <is>
          <t>relais principal — habitacle</t>
        </is>
      </c>
      <c r="E1390" s="8" t="inlineStr">
        <is>
          <t>Électricité</t>
        </is>
      </c>
      <c r="F1390" s="8" t="inlineStr">
        <is>
          <t>Électricité</t>
        </is>
      </c>
      <c r="G1390" s="8" t="inlineStr">
        <is>
          <t>PIECE_VEHICULE</t>
        </is>
      </c>
      <c r="H1390" s="8" t="n">
        <v>1</v>
      </c>
      <c r="I1390" s="8">
        <f>H1390*$D$3</f>
        <v/>
      </c>
      <c r="J1390" s="8" t="inlineStr">
        <is>
          <t>unité</t>
        </is>
      </c>
      <c r="K1390" s="8" t="n">
        <v>0</v>
      </c>
      <c r="L1390" s="8">
        <f>K1390-I1390</f>
        <v/>
      </c>
      <c r="M1390" s="8">
        <f>IF(K1390&lt;I1390,"✕ INSUFFISANT",IF(K1390&lt;I1390*1.2,"⚠ STOCK FAIBLE","✓ COUVERT"))</f>
        <v/>
      </c>
      <c r="N1390" s="8" t="inlineStr">
        <is>
          <t>DEL</t>
        </is>
      </c>
      <c r="O1390" s="8" t="inlineStr">
        <is>
          <t>IMPORTANT</t>
        </is>
      </c>
      <c r="P1390" s="8" t="inlineStr">
        <is>
          <t>31/08/2026 02:59</t>
        </is>
      </c>
    </row>
    <row r="1391">
      <c r="A1391" s="7" t="inlineStr">
        <is>
          <t>WHAP 8x8</t>
        </is>
      </c>
      <c r="B1391" s="7" t="inlineStr">
        <is>
          <t>WHAP-1387</t>
        </is>
      </c>
      <c r="C1391" s="7" t="inlineStr">
        <is>
          <t>ELE-1387</t>
        </is>
      </c>
      <c r="D1391" s="7" t="inlineStr">
        <is>
          <t>boîtier fusibles — habitacle</t>
        </is>
      </c>
      <c r="E1391" s="7" t="inlineStr">
        <is>
          <t>Électricité</t>
        </is>
      </c>
      <c r="F1391" s="7" t="inlineStr">
        <is>
          <t>Électricité</t>
        </is>
      </c>
      <c r="G1391" s="7" t="inlineStr">
        <is>
          <t>PIECE_VEHICULE</t>
        </is>
      </c>
      <c r="H1391" s="7" t="n">
        <v>1</v>
      </c>
      <c r="I1391" s="7">
        <f>H1391*$D$3</f>
        <v/>
      </c>
      <c r="J1391" s="7" t="inlineStr">
        <is>
          <t>unité</t>
        </is>
      </c>
      <c r="K1391" s="7" t="n">
        <v>0</v>
      </c>
      <c r="L1391" s="7">
        <f>K1391-I1391</f>
        <v/>
      </c>
      <c r="M1391" s="7">
        <f>IF(K1391&lt;I1391,"✕ INSUFFISANT",IF(K1391&lt;I1391*1.2,"⚠ STOCK FAIBLE","✓ COUVERT"))</f>
        <v/>
      </c>
      <c r="N1391" s="7" t="inlineStr">
        <is>
          <t>MAG</t>
        </is>
      </c>
      <c r="O1391" s="7" t="inlineStr">
        <is>
          <t>IMPORTANT</t>
        </is>
      </c>
      <c r="P1391" s="7" t="inlineStr">
        <is>
          <t>31/08/2026 02:59</t>
        </is>
      </c>
    </row>
    <row r="1392">
      <c r="A1392" s="8" t="inlineStr">
        <is>
          <t>WHAP 8x8</t>
        </is>
      </c>
      <c r="B1392" s="8" t="inlineStr">
        <is>
          <t>WHAP-1388</t>
        </is>
      </c>
      <c r="C1392" s="8" t="inlineStr">
        <is>
          <t>ELE-1388</t>
        </is>
      </c>
      <c r="D1392" s="8" t="inlineStr">
        <is>
          <t>fusible — habitacle</t>
        </is>
      </c>
      <c r="E1392" s="8" t="inlineStr">
        <is>
          <t>Électricité</t>
        </is>
      </c>
      <c r="F1392" s="8" t="inlineStr">
        <is>
          <t>Électricité</t>
        </is>
      </c>
      <c r="G1392" s="8" t="inlineStr">
        <is>
          <t>PIECE_VEHICULE</t>
        </is>
      </c>
      <c r="H1392" s="8" t="n">
        <v>1</v>
      </c>
      <c r="I1392" s="8">
        <f>H1392*$D$3</f>
        <v/>
      </c>
      <c r="J1392" s="8" t="inlineStr">
        <is>
          <t>unité</t>
        </is>
      </c>
      <c r="K1392" s="8" t="n">
        <v>0</v>
      </c>
      <c r="L1392" s="8">
        <f>K1392-I1392</f>
        <v/>
      </c>
      <c r="M1392" s="8">
        <f>IF(K1392&lt;I1392,"✕ INSUFFISANT",IF(K1392&lt;I1392*1.2,"⚠ STOCK FAIBLE","✓ COUVERT"))</f>
        <v/>
      </c>
      <c r="N1392" s="8" t="inlineStr">
        <is>
          <t>CTL</t>
        </is>
      </c>
      <c r="O1392" s="8" t="inlineStr">
        <is>
          <t>IMPORTANT</t>
        </is>
      </c>
      <c r="P1392" s="8" t="inlineStr">
        <is>
          <t>31/08/2026 02:59</t>
        </is>
      </c>
    </row>
    <row r="1393">
      <c r="A1393" s="7" t="inlineStr">
        <is>
          <t>WHAP 8x8</t>
        </is>
      </c>
      <c r="B1393" s="7" t="inlineStr">
        <is>
          <t>WHAP-1389</t>
        </is>
      </c>
      <c r="C1393" s="7" t="inlineStr">
        <is>
          <t>ELE-1389</t>
        </is>
      </c>
      <c r="D1393" s="7" t="inlineStr">
        <is>
          <t>disjoncteur — habitacle</t>
        </is>
      </c>
      <c r="E1393" s="7" t="inlineStr">
        <is>
          <t>Électricité</t>
        </is>
      </c>
      <c r="F1393" s="7" t="inlineStr">
        <is>
          <t>Électricité</t>
        </is>
      </c>
      <c r="G1393" s="7" t="inlineStr">
        <is>
          <t>PIECE_VEHICULE</t>
        </is>
      </c>
      <c r="H1393" s="7" t="n">
        <v>1</v>
      </c>
      <c r="I1393" s="7">
        <f>H1393*$D$3</f>
        <v/>
      </c>
      <c r="J1393" s="7" t="inlineStr">
        <is>
          <t>unité</t>
        </is>
      </c>
      <c r="K1393" s="7" t="n">
        <v>0</v>
      </c>
      <c r="L1393" s="7">
        <f>K1393-I1393</f>
        <v/>
      </c>
      <c r="M1393" s="7">
        <f>IF(K1393&lt;I1393,"✕ INSUFFISANT",IF(K1393&lt;I1393*1.2,"⚠ STOCK FAIBLE","✓ COUVERT"))</f>
        <v/>
      </c>
      <c r="N1393" s="7" t="inlineStr">
        <is>
          <t>VAL</t>
        </is>
      </c>
      <c r="O1393" s="7" t="inlineStr">
        <is>
          <t>IMPORTANT</t>
        </is>
      </c>
      <c r="P1393" s="7" t="inlineStr">
        <is>
          <t>31/08/2026 02:59</t>
        </is>
      </c>
    </row>
    <row r="1394">
      <c r="A1394" s="8" t="inlineStr">
        <is>
          <t>WHAP 8x8</t>
        </is>
      </c>
      <c r="B1394" s="8" t="inlineStr">
        <is>
          <t>WHAP-1390</t>
        </is>
      </c>
      <c r="C1394" s="8" t="inlineStr">
        <is>
          <t>ELE-1390</t>
        </is>
      </c>
      <c r="D1394" s="8" t="inlineStr">
        <is>
          <t>contacteur — habitacle</t>
        </is>
      </c>
      <c r="E1394" s="8" t="inlineStr">
        <is>
          <t>Électricité</t>
        </is>
      </c>
      <c r="F1394" s="8" t="inlineStr">
        <is>
          <t>Électricité</t>
        </is>
      </c>
      <c r="G1394" s="8" t="inlineStr">
        <is>
          <t>PIECE_VEHICULE</t>
        </is>
      </c>
      <c r="H1394" s="8" t="n">
        <v>1</v>
      </c>
      <c r="I1394" s="8">
        <f>H1394*$D$3</f>
        <v/>
      </c>
      <c r="J1394" s="8" t="inlineStr">
        <is>
          <t>unité</t>
        </is>
      </c>
      <c r="K1394" s="8" t="n">
        <v>0</v>
      </c>
      <c r="L1394" s="8">
        <f>K1394-I1394</f>
        <v/>
      </c>
      <c r="M1394" s="8">
        <f>IF(K1394&lt;I1394,"✕ INSUFFISANT",IF(K1394&lt;I1394*1.2,"⚠ STOCK FAIBLE","✓ COUVERT"))</f>
        <v/>
      </c>
      <c r="N1394" s="8" t="inlineStr">
        <is>
          <t>CTL</t>
        </is>
      </c>
      <c r="O1394" s="8" t="inlineStr">
        <is>
          <t>IMPORTANT</t>
        </is>
      </c>
      <c r="P1394" s="8" t="inlineStr">
        <is>
          <t>31/08/2026 02:59</t>
        </is>
      </c>
    </row>
    <row r="1395">
      <c r="A1395" s="7" t="inlineStr">
        <is>
          <t>WHAP 8x8</t>
        </is>
      </c>
      <c r="B1395" s="7" t="inlineStr">
        <is>
          <t>WHAP-1391</t>
        </is>
      </c>
      <c r="C1395" s="7" t="inlineStr">
        <is>
          <t>ELE-1391</t>
        </is>
      </c>
      <c r="D1395" s="7" t="inlineStr">
        <is>
          <t>convertisseur DC-DC — habitacle</t>
        </is>
      </c>
      <c r="E1395" s="7" t="inlineStr">
        <is>
          <t>Électricité</t>
        </is>
      </c>
      <c r="F1395" s="7" t="inlineStr">
        <is>
          <t>Électricité</t>
        </is>
      </c>
      <c r="G1395" s="7" t="inlineStr">
        <is>
          <t>PIECE_VEHICULE</t>
        </is>
      </c>
      <c r="H1395" s="7" t="n">
        <v>1</v>
      </c>
      <c r="I1395" s="7">
        <f>H1395*$D$3</f>
        <v/>
      </c>
      <c r="J1395" s="7" t="inlineStr">
        <is>
          <t>unité</t>
        </is>
      </c>
      <c r="K1395" s="7" t="n">
        <v>0</v>
      </c>
      <c r="L1395" s="7">
        <f>K1395-I1395</f>
        <v/>
      </c>
      <c r="M1395" s="7">
        <f>IF(K1395&lt;I1395,"✕ INSUFFISANT",IF(K1395&lt;I1395*1.2,"⚠ STOCK FAIBLE","✓ COUVERT"))</f>
        <v/>
      </c>
      <c r="N1395" s="7" t="inlineStr">
        <is>
          <t>HEL</t>
        </is>
      </c>
      <c r="O1395" s="7" t="inlineStr">
        <is>
          <t>IMPORTANT</t>
        </is>
      </c>
      <c r="P1395" s="7" t="inlineStr">
        <is>
          <t>31/08/2026 02:59</t>
        </is>
      </c>
    </row>
    <row r="1396">
      <c r="A1396" s="8" t="inlineStr">
        <is>
          <t>WHAP 8x8</t>
        </is>
      </c>
      <c r="B1396" s="8" t="inlineStr">
        <is>
          <t>WHAP-1392</t>
        </is>
      </c>
      <c r="C1396" s="8" t="inlineStr">
        <is>
          <t>ELE-1392</t>
        </is>
      </c>
      <c r="D1396" s="8" t="inlineStr">
        <is>
          <t>onduleur — habitacle</t>
        </is>
      </c>
      <c r="E1396" s="8" t="inlineStr">
        <is>
          <t>Électricité</t>
        </is>
      </c>
      <c r="F1396" s="8" t="inlineStr">
        <is>
          <t>Électricité</t>
        </is>
      </c>
      <c r="G1396" s="8" t="inlineStr">
        <is>
          <t>PIECE_VEHICULE</t>
        </is>
      </c>
      <c r="H1396" s="8" t="n">
        <v>1</v>
      </c>
      <c r="I1396" s="8">
        <f>H1396*$D$3</f>
        <v/>
      </c>
      <c r="J1396" s="8" t="inlineStr">
        <is>
          <t>unité</t>
        </is>
      </c>
      <c r="K1396" s="8" t="n">
        <v>0</v>
      </c>
      <c r="L1396" s="8">
        <f>K1396-I1396</f>
        <v/>
      </c>
      <c r="M1396" s="8">
        <f>IF(K1396&lt;I1396,"✕ INSUFFISANT",IF(K1396&lt;I1396*1.2,"⚠ STOCK FAIBLE","✓ COUVERT"))</f>
        <v/>
      </c>
      <c r="N1396" s="8" t="inlineStr">
        <is>
          <t>FAU</t>
        </is>
      </c>
      <c r="O1396" s="8" t="inlineStr">
        <is>
          <t>IMPORTANT</t>
        </is>
      </c>
      <c r="P1396" s="8" t="inlineStr">
        <is>
          <t>31/08/2026 02:59</t>
        </is>
      </c>
    </row>
    <row r="1397">
      <c r="A1397" s="7" t="inlineStr">
        <is>
          <t>WHAP 8x8</t>
        </is>
      </c>
      <c r="B1397" s="7" t="inlineStr">
        <is>
          <t>WHAP-1393</t>
        </is>
      </c>
      <c r="C1397" s="7" t="inlineStr">
        <is>
          <t>ELE-1393</t>
        </is>
      </c>
      <c r="D1397" s="7" t="inlineStr">
        <is>
          <t>chargeur — habitacle</t>
        </is>
      </c>
      <c r="E1397" s="7" t="inlineStr">
        <is>
          <t>Électricité</t>
        </is>
      </c>
      <c r="F1397" s="7" t="inlineStr">
        <is>
          <t>Électricité</t>
        </is>
      </c>
      <c r="G1397" s="7" t="inlineStr">
        <is>
          <t>PIECE_VEHICULE</t>
        </is>
      </c>
      <c r="H1397" s="7" t="n">
        <v>1</v>
      </c>
      <c r="I1397" s="7">
        <f>H1397*$D$3</f>
        <v/>
      </c>
      <c r="J1397" s="7" t="inlineStr">
        <is>
          <t>unité</t>
        </is>
      </c>
      <c r="K1397" s="7" t="n">
        <v>0</v>
      </c>
      <c r="L1397" s="7">
        <f>K1397-I1397</f>
        <v/>
      </c>
      <c r="M1397" s="7">
        <f>IF(K1397&lt;I1397,"✕ INSUFFISANT",IF(K1397&lt;I1397*1.2,"⚠ STOCK FAIBLE","✓ COUVERT"))</f>
        <v/>
      </c>
      <c r="N1397" s="7" t="inlineStr">
        <is>
          <t>FAU</t>
        </is>
      </c>
      <c r="O1397" s="7" t="inlineStr">
        <is>
          <t>IMPORTANT</t>
        </is>
      </c>
      <c r="P1397" s="7" t="inlineStr">
        <is>
          <t>31/08/2026 02:59</t>
        </is>
      </c>
    </row>
    <row r="1398">
      <c r="A1398" s="8" t="inlineStr">
        <is>
          <t>WHAP 8x8</t>
        </is>
      </c>
      <c r="B1398" s="8" t="inlineStr">
        <is>
          <t>WHAP-1394</t>
        </is>
      </c>
      <c r="C1398" s="8" t="inlineStr">
        <is>
          <t>ELE-1394</t>
        </is>
      </c>
      <c r="D1398" s="8" t="inlineStr">
        <is>
          <t>barrette de masse — habitacle</t>
        </is>
      </c>
      <c r="E1398" s="8" t="inlineStr">
        <is>
          <t>Électricité</t>
        </is>
      </c>
      <c r="F1398" s="8" t="inlineStr">
        <is>
          <t>Électricité</t>
        </is>
      </c>
      <c r="G1398" s="8" t="inlineStr">
        <is>
          <t>PIECE_VEHICULE</t>
        </is>
      </c>
      <c r="H1398" s="8" t="n">
        <v>1</v>
      </c>
      <c r="I1398" s="8">
        <f>H1398*$D$3</f>
        <v/>
      </c>
      <c r="J1398" s="8" t="inlineStr">
        <is>
          <t>unité</t>
        </is>
      </c>
      <c r="K1398" s="8" t="n">
        <v>0</v>
      </c>
      <c r="L1398" s="8">
        <f>K1398-I1398</f>
        <v/>
      </c>
      <c r="M1398" s="8">
        <f>IF(K1398&lt;I1398,"✕ INSUFFISANT",IF(K1398&lt;I1398*1.2,"⚠ STOCK FAIBLE","✓ COUVERT"))</f>
        <v/>
      </c>
      <c r="N1398" s="8" t="inlineStr">
        <is>
          <t>BOS</t>
        </is>
      </c>
      <c r="O1398" s="8" t="inlineStr">
        <is>
          <t>IMPORTANT</t>
        </is>
      </c>
      <c r="P1398" s="8" t="inlineStr">
        <is>
          <t>31/08/2026 02:59</t>
        </is>
      </c>
    </row>
    <row r="1399">
      <c r="A1399" s="7" t="inlineStr">
        <is>
          <t>WHAP 8x8</t>
        </is>
      </c>
      <c r="B1399" s="7" t="inlineStr">
        <is>
          <t>WHAP-1395</t>
        </is>
      </c>
      <c r="C1399" s="7" t="inlineStr">
        <is>
          <t>ELE-1395</t>
        </is>
      </c>
      <c r="D1399" s="7" t="inlineStr">
        <is>
          <t>point de masse — habitacle</t>
        </is>
      </c>
      <c r="E1399" s="7" t="inlineStr">
        <is>
          <t>Électricité</t>
        </is>
      </c>
      <c r="F1399" s="7" t="inlineStr">
        <is>
          <t>Électricité</t>
        </is>
      </c>
      <c r="G1399" s="7" t="inlineStr">
        <is>
          <t>PIECE_VEHICULE</t>
        </is>
      </c>
      <c r="H1399" s="7" t="n">
        <v>1</v>
      </c>
      <c r="I1399" s="7">
        <f>H1399*$D$3</f>
        <v/>
      </c>
      <c r="J1399" s="7" t="inlineStr">
        <is>
          <t>unité</t>
        </is>
      </c>
      <c r="K1399" s="7" t="n">
        <v>0</v>
      </c>
      <c r="L1399" s="7">
        <f>K1399-I1399</f>
        <v/>
      </c>
      <c r="M1399" s="7">
        <f>IF(K1399&lt;I1399,"✕ INSUFFISANT",IF(K1399&lt;I1399*1.2,"⚠ STOCK FAIBLE","✓ COUVERT"))</f>
        <v/>
      </c>
      <c r="N1399" s="7" t="inlineStr">
        <is>
          <t>MAG</t>
        </is>
      </c>
      <c r="O1399" s="7" t="inlineStr">
        <is>
          <t>IMPORTANT</t>
        </is>
      </c>
      <c r="P1399" s="7" t="inlineStr">
        <is>
          <t>31/08/2026 02:59</t>
        </is>
      </c>
    </row>
    <row r="1400">
      <c r="A1400" s="8" t="inlineStr">
        <is>
          <t>WHAP 8x8</t>
        </is>
      </c>
      <c r="B1400" s="8" t="inlineStr">
        <is>
          <t>WHAP-1396</t>
        </is>
      </c>
      <c r="C1400" s="8" t="inlineStr">
        <is>
          <t>ELE-1396</t>
        </is>
      </c>
      <c r="D1400" s="8" t="inlineStr">
        <is>
          <t>faisceau moteur — habitacle</t>
        </is>
      </c>
      <c r="E1400" s="8" t="inlineStr">
        <is>
          <t>Électricité</t>
        </is>
      </c>
      <c r="F1400" s="8" t="inlineStr">
        <is>
          <t>Électricité</t>
        </is>
      </c>
      <c r="G1400" s="8" t="inlineStr">
        <is>
          <t>PIECE_VEHICULE</t>
        </is>
      </c>
      <c r="H1400" s="8" t="n">
        <v>1</v>
      </c>
      <c r="I1400" s="8">
        <f>H1400*$D$3</f>
        <v/>
      </c>
      <c r="J1400" s="8" t="inlineStr">
        <is>
          <t>unité</t>
        </is>
      </c>
      <c r="K1400" s="8" t="n">
        <v>0</v>
      </c>
      <c r="L1400" s="8">
        <f>K1400-I1400</f>
        <v/>
      </c>
      <c r="M1400" s="8">
        <f>IF(K1400&lt;I1400,"✕ INSUFFISANT",IF(K1400&lt;I1400*1.2,"⚠ STOCK FAIBLE","✓ COUVERT"))</f>
        <v/>
      </c>
      <c r="N1400" s="8" t="inlineStr">
        <is>
          <t>FAU</t>
        </is>
      </c>
      <c r="O1400" s="8" t="inlineStr">
        <is>
          <t>IMPORTANT</t>
        </is>
      </c>
      <c r="P1400" s="8" t="inlineStr">
        <is>
          <t>31/08/2026 02:59</t>
        </is>
      </c>
    </row>
    <row r="1401">
      <c r="A1401" s="7" t="inlineStr">
        <is>
          <t>WHAP 8x8</t>
        </is>
      </c>
      <c r="B1401" s="7" t="inlineStr">
        <is>
          <t>WHAP-1397</t>
        </is>
      </c>
      <c r="C1401" s="7" t="inlineStr">
        <is>
          <t>ELE-1397</t>
        </is>
      </c>
      <c r="D1401" s="7" t="inlineStr">
        <is>
          <t>faisceau châssis — habitacle</t>
        </is>
      </c>
      <c r="E1401" s="7" t="inlineStr">
        <is>
          <t>Électricité</t>
        </is>
      </c>
      <c r="F1401" s="7" t="inlineStr">
        <is>
          <t>Électricité</t>
        </is>
      </c>
      <c r="G1401" s="7" t="inlineStr">
        <is>
          <t>PIECE_VEHICULE</t>
        </is>
      </c>
      <c r="H1401" s="7" t="n">
        <v>1</v>
      </c>
      <c r="I1401" s="7">
        <f>H1401*$D$3</f>
        <v/>
      </c>
      <c r="J1401" s="7" t="inlineStr">
        <is>
          <t>unité</t>
        </is>
      </c>
      <c r="K1401" s="7" t="n">
        <v>0</v>
      </c>
      <c r="L1401" s="7">
        <f>K1401-I1401</f>
        <v/>
      </c>
      <c r="M1401" s="7">
        <f>IF(K1401&lt;I1401,"✕ INSUFFISANT",IF(K1401&lt;I1401*1.2,"⚠ STOCK FAIBLE","✓ COUVERT"))</f>
        <v/>
      </c>
      <c r="N1401" s="7" t="inlineStr">
        <is>
          <t>BOS</t>
        </is>
      </c>
      <c r="O1401" s="7" t="inlineStr">
        <is>
          <t>IMPORTANT</t>
        </is>
      </c>
      <c r="P1401" s="7" t="inlineStr">
        <is>
          <t>31/08/2026 02:59</t>
        </is>
      </c>
    </row>
    <row r="1402">
      <c r="A1402" s="8" t="inlineStr">
        <is>
          <t>WHAP 8x8</t>
        </is>
      </c>
      <c r="B1402" s="8" t="inlineStr">
        <is>
          <t>WHAP-1398</t>
        </is>
      </c>
      <c r="C1402" s="8" t="inlineStr">
        <is>
          <t>ELE-1398</t>
        </is>
      </c>
      <c r="D1402" s="8" t="inlineStr">
        <is>
          <t>faisceau habitacle — habitacle</t>
        </is>
      </c>
      <c r="E1402" s="8" t="inlineStr">
        <is>
          <t>Électricité</t>
        </is>
      </c>
      <c r="F1402" s="8" t="inlineStr">
        <is>
          <t>Électricité</t>
        </is>
      </c>
      <c r="G1402" s="8" t="inlineStr">
        <is>
          <t>PIECE_VEHICULE</t>
        </is>
      </c>
      <c r="H1402" s="8" t="n">
        <v>1</v>
      </c>
      <c r="I1402" s="8">
        <f>H1402*$D$3</f>
        <v/>
      </c>
      <c r="J1402" s="8" t="inlineStr">
        <is>
          <t>unité</t>
        </is>
      </c>
      <c r="K1402" s="8" t="n">
        <v>0</v>
      </c>
      <c r="L1402" s="8">
        <f>K1402-I1402</f>
        <v/>
      </c>
      <c r="M1402" s="8">
        <f>IF(K1402&lt;I1402,"✕ INSUFFISANT",IF(K1402&lt;I1402*1.2,"⚠ STOCK FAIBLE","✓ COUVERT"))</f>
        <v/>
      </c>
      <c r="N1402" s="8" t="inlineStr">
        <is>
          <t>MAG</t>
        </is>
      </c>
      <c r="O1402" s="8" t="inlineStr">
        <is>
          <t>IMPORTANT</t>
        </is>
      </c>
      <c r="P1402" s="8" t="inlineStr">
        <is>
          <t>31/08/2026 02:59</t>
        </is>
      </c>
    </row>
    <row r="1403">
      <c r="A1403" s="7" t="inlineStr">
        <is>
          <t>WHAP 8x8</t>
        </is>
      </c>
      <c r="B1403" s="7" t="inlineStr">
        <is>
          <t>WHAP-1399</t>
        </is>
      </c>
      <c r="C1403" s="7" t="inlineStr">
        <is>
          <t>ELE-1399</t>
        </is>
      </c>
      <c r="D1403" s="7" t="inlineStr">
        <is>
          <t>faisceau éclairage — habitacle</t>
        </is>
      </c>
      <c r="E1403" s="7" t="inlineStr">
        <is>
          <t>Électricité</t>
        </is>
      </c>
      <c r="F1403" s="7" t="inlineStr">
        <is>
          <t>Électricité</t>
        </is>
      </c>
      <c r="G1403" s="7" t="inlineStr">
        <is>
          <t>PIECE_VEHICULE</t>
        </is>
      </c>
      <c r="H1403" s="7" t="n">
        <v>1</v>
      </c>
      <c r="I1403" s="7">
        <f>H1403*$D$3</f>
        <v/>
      </c>
      <c r="J1403" s="7" t="inlineStr">
        <is>
          <t>unité</t>
        </is>
      </c>
      <c r="K1403" s="7" t="n">
        <v>0</v>
      </c>
      <c r="L1403" s="7">
        <f>K1403-I1403</f>
        <v/>
      </c>
      <c r="M1403" s="7">
        <f>IF(K1403&lt;I1403,"✕ INSUFFISANT",IF(K1403&lt;I1403*1.2,"⚠ STOCK FAIBLE","✓ COUVERT"))</f>
        <v/>
      </c>
      <c r="N1403" s="7" t="inlineStr">
        <is>
          <t>MAG</t>
        </is>
      </c>
      <c r="O1403" s="7" t="inlineStr">
        <is>
          <t>IMPORTANT</t>
        </is>
      </c>
      <c r="P1403" s="7" t="inlineStr">
        <is>
          <t>31/08/2026 02:59</t>
        </is>
      </c>
    </row>
    <row r="1404">
      <c r="A1404" s="8" t="inlineStr">
        <is>
          <t>WHAP 8x8</t>
        </is>
      </c>
      <c r="B1404" s="8" t="inlineStr">
        <is>
          <t>WHAP-1400</t>
        </is>
      </c>
      <c r="C1404" s="8" t="inlineStr">
        <is>
          <t>ELE-1400</t>
        </is>
      </c>
      <c r="D1404" s="8" t="inlineStr">
        <is>
          <t>connecteur étanche — habitacle</t>
        </is>
      </c>
      <c r="E1404" s="8" t="inlineStr">
        <is>
          <t>Électricité</t>
        </is>
      </c>
      <c r="F1404" s="8" t="inlineStr">
        <is>
          <t>Électricité</t>
        </is>
      </c>
      <c r="G1404" s="8" t="inlineStr">
        <is>
          <t>PIECE_VEHICULE</t>
        </is>
      </c>
      <c r="H1404" s="8" t="n">
        <v>1</v>
      </c>
      <c r="I1404" s="8">
        <f>H1404*$D$3</f>
        <v/>
      </c>
      <c r="J1404" s="8" t="inlineStr">
        <is>
          <t>unité</t>
        </is>
      </c>
      <c r="K1404" s="8" t="n">
        <v>0</v>
      </c>
      <c r="L1404" s="8">
        <f>K1404-I1404</f>
        <v/>
      </c>
      <c r="M1404" s="8">
        <f>IF(K1404&lt;I1404,"✕ INSUFFISANT",IF(K1404&lt;I1404*1.2,"⚠ STOCK FAIBLE","✓ COUVERT"))</f>
        <v/>
      </c>
      <c r="N1404" s="8" t="inlineStr">
        <is>
          <t>CTL</t>
        </is>
      </c>
      <c r="O1404" s="8" t="inlineStr">
        <is>
          <t>IMPORTANT</t>
        </is>
      </c>
      <c r="P1404" s="8" t="inlineStr">
        <is>
          <t>31/08/2026 02:59</t>
        </is>
      </c>
    </row>
    <row r="1405">
      <c r="A1405" s="7" t="inlineStr">
        <is>
          <t>WHAP 8x8</t>
        </is>
      </c>
      <c r="B1405" s="7" t="inlineStr">
        <is>
          <t>WHAP-1401</t>
        </is>
      </c>
      <c r="C1405" s="7" t="inlineStr">
        <is>
          <t>ELE-1401</t>
        </is>
      </c>
      <c r="D1405" s="7" t="inlineStr">
        <is>
          <t>borne électrique — habitacle</t>
        </is>
      </c>
      <c r="E1405" s="7" t="inlineStr">
        <is>
          <t>Électricité</t>
        </is>
      </c>
      <c r="F1405" s="7" t="inlineStr">
        <is>
          <t>Électricité</t>
        </is>
      </c>
      <c r="G1405" s="7" t="inlineStr">
        <is>
          <t>PIECE_VEHICULE</t>
        </is>
      </c>
      <c r="H1405" s="7" t="n">
        <v>1</v>
      </c>
      <c r="I1405" s="7">
        <f>H1405*$D$3</f>
        <v/>
      </c>
      <c r="J1405" s="7" t="inlineStr">
        <is>
          <t>unité</t>
        </is>
      </c>
      <c r="K1405" s="7" t="n">
        <v>0</v>
      </c>
      <c r="L1405" s="7">
        <f>K1405-I1405</f>
        <v/>
      </c>
      <c r="M1405" s="7">
        <f>IF(K1405&lt;I1405,"✕ INSUFFISANT",IF(K1405&lt;I1405*1.2,"⚠ STOCK FAIBLE","✓ COUVERT"))</f>
        <v/>
      </c>
      <c r="N1405" s="7" t="inlineStr">
        <is>
          <t>YZK</t>
        </is>
      </c>
      <c r="O1405" s="7" t="inlineStr">
        <is>
          <t>IMPORTANT</t>
        </is>
      </c>
      <c r="P1405" s="7" t="inlineStr">
        <is>
          <t>31/08/2026 02:59</t>
        </is>
      </c>
    </row>
    <row r="1406">
      <c r="A1406" s="8" t="inlineStr">
        <is>
          <t>WHAP 8x8</t>
        </is>
      </c>
      <c r="B1406" s="8" t="inlineStr">
        <is>
          <t>WHAP-1402</t>
        </is>
      </c>
      <c r="C1406" s="8" t="inlineStr">
        <is>
          <t>ELE-1402</t>
        </is>
      </c>
      <c r="D1406" s="8" t="inlineStr">
        <is>
          <t>gaine électrique — habitacle</t>
        </is>
      </c>
      <c r="E1406" s="8" t="inlineStr">
        <is>
          <t>Électricité</t>
        </is>
      </c>
      <c r="F1406" s="8" t="inlineStr">
        <is>
          <t>Électricité</t>
        </is>
      </c>
      <c r="G1406" s="8" t="inlineStr">
        <is>
          <t>PIECE_VEHICULE</t>
        </is>
      </c>
      <c r="H1406" s="8" t="n">
        <v>1</v>
      </c>
      <c r="I1406" s="8">
        <f>H1406*$D$3</f>
        <v/>
      </c>
      <c r="J1406" s="8" t="inlineStr">
        <is>
          <t>unité</t>
        </is>
      </c>
      <c r="K1406" s="8" t="n">
        <v>0</v>
      </c>
      <c r="L1406" s="8">
        <f>K1406-I1406</f>
        <v/>
      </c>
      <c r="M1406" s="8">
        <f>IF(K1406&lt;I1406,"✕ INSUFFISANT",IF(K1406&lt;I1406*1.2,"⚠ STOCK FAIBLE","✓ COUVERT"))</f>
        <v/>
      </c>
      <c r="N1406" s="8" t="inlineStr">
        <is>
          <t>VAL</t>
        </is>
      </c>
      <c r="O1406" s="8" t="inlineStr">
        <is>
          <t>IMPORTANT</t>
        </is>
      </c>
      <c r="P1406" s="8" t="inlineStr">
        <is>
          <t>31/08/2026 02:59</t>
        </is>
      </c>
    </row>
    <row r="1407">
      <c r="A1407" s="7" t="inlineStr">
        <is>
          <t>WHAP 8x8</t>
        </is>
      </c>
      <c r="B1407" s="7" t="inlineStr">
        <is>
          <t>WHAP-1403</t>
        </is>
      </c>
      <c r="C1407" s="7" t="inlineStr">
        <is>
          <t>ELE-1403</t>
        </is>
      </c>
      <c r="D1407" s="7" t="inlineStr">
        <is>
          <t>passe-fil — habitacle</t>
        </is>
      </c>
      <c r="E1407" s="7" t="inlineStr">
        <is>
          <t>Électricité</t>
        </is>
      </c>
      <c r="F1407" s="7" t="inlineStr">
        <is>
          <t>Électricité</t>
        </is>
      </c>
      <c r="G1407" s="7" t="inlineStr">
        <is>
          <t>PIECE_VEHICULE</t>
        </is>
      </c>
      <c r="H1407" s="7" t="n">
        <v>1</v>
      </c>
      <c r="I1407" s="7">
        <f>H1407*$D$3</f>
        <v/>
      </c>
      <c r="J1407" s="7" t="inlineStr">
        <is>
          <t>unité</t>
        </is>
      </c>
      <c r="K1407" s="7" t="n">
        <v>0</v>
      </c>
      <c r="L1407" s="7">
        <f>K1407-I1407</f>
        <v/>
      </c>
      <c r="M1407" s="7">
        <f>IF(K1407&lt;I1407,"✕ INSUFFISANT",IF(K1407&lt;I1407*1.2,"⚠ STOCK FAIBLE","✓ COUVERT"))</f>
        <v/>
      </c>
      <c r="N1407" s="7" t="inlineStr">
        <is>
          <t>DEL</t>
        </is>
      </c>
      <c r="O1407" s="7" t="inlineStr">
        <is>
          <t>IMPORTANT</t>
        </is>
      </c>
      <c r="P1407" s="7" t="inlineStr">
        <is>
          <t>31/08/2026 02:59</t>
        </is>
      </c>
    </row>
    <row r="1408">
      <c r="A1408" s="8" t="inlineStr">
        <is>
          <t>WHAP 8x8</t>
        </is>
      </c>
      <c r="B1408" s="8" t="inlineStr">
        <is>
          <t>WHAP-1404</t>
        </is>
      </c>
      <c r="C1408" s="8" t="inlineStr">
        <is>
          <t>ELE-1404</t>
        </is>
      </c>
      <c r="D1408" s="8" t="inlineStr">
        <is>
          <t>porte-fusible — habitacle</t>
        </is>
      </c>
      <c r="E1408" s="8" t="inlineStr">
        <is>
          <t>Électricité</t>
        </is>
      </c>
      <c r="F1408" s="8" t="inlineStr">
        <is>
          <t>Électricité</t>
        </is>
      </c>
      <c r="G1408" s="8" t="inlineStr">
        <is>
          <t>PIECE_VEHICULE</t>
        </is>
      </c>
      <c r="H1408" s="8" t="n">
        <v>1</v>
      </c>
      <c r="I1408" s="8">
        <f>H1408*$D$3</f>
        <v/>
      </c>
      <c r="J1408" s="8" t="inlineStr">
        <is>
          <t>unité</t>
        </is>
      </c>
      <c r="K1408" s="8" t="n">
        <v>0</v>
      </c>
      <c r="L1408" s="8">
        <f>K1408-I1408</f>
        <v/>
      </c>
      <c r="M1408" s="8">
        <f>IF(K1408&lt;I1408,"✕ INSUFFISANT",IF(K1408&lt;I1408*1.2,"⚠ STOCK FAIBLE","✓ COUVERT"))</f>
        <v/>
      </c>
      <c r="N1408" s="8" t="inlineStr">
        <is>
          <t>YZK</t>
        </is>
      </c>
      <c r="O1408" s="8" t="inlineStr">
        <is>
          <t>IMPORTANT</t>
        </is>
      </c>
      <c r="P1408" s="8" t="inlineStr">
        <is>
          <t>31/08/2026 02:59</t>
        </is>
      </c>
    </row>
    <row r="1409">
      <c r="A1409" s="7" t="inlineStr">
        <is>
          <t>WHAP 8x8</t>
        </is>
      </c>
      <c r="B1409" s="7" t="inlineStr">
        <is>
          <t>WHAP-1405</t>
        </is>
      </c>
      <c r="C1409" s="7" t="inlineStr">
        <is>
          <t>ELE-1405</t>
        </is>
      </c>
      <c r="D1409" s="7" t="inlineStr">
        <is>
          <t>boîtier de distribution — habitacle</t>
        </is>
      </c>
      <c r="E1409" s="7" t="inlineStr">
        <is>
          <t>Électricité</t>
        </is>
      </c>
      <c r="F1409" s="7" t="inlineStr">
        <is>
          <t>Électricité</t>
        </is>
      </c>
      <c r="G1409" s="7" t="inlineStr">
        <is>
          <t>PIECE_VEHICULE</t>
        </is>
      </c>
      <c r="H1409" s="7" t="n">
        <v>1</v>
      </c>
      <c r="I1409" s="7">
        <f>H1409*$D$3</f>
        <v/>
      </c>
      <c r="J1409" s="7" t="inlineStr">
        <is>
          <t>unité</t>
        </is>
      </c>
      <c r="K1409" s="7" t="n">
        <v>0</v>
      </c>
      <c r="L1409" s="7">
        <f>K1409-I1409</f>
        <v/>
      </c>
      <c r="M1409" s="7">
        <f>IF(K1409&lt;I1409,"✕ INSUFFISANT",IF(K1409&lt;I1409*1.2,"⚠ STOCK FAIBLE","✓ COUVERT"))</f>
        <v/>
      </c>
      <c r="N1409" s="7" t="inlineStr">
        <is>
          <t>YZK</t>
        </is>
      </c>
      <c r="O1409" s="7" t="inlineStr">
        <is>
          <t>IMPORTANT</t>
        </is>
      </c>
      <c r="P1409" s="7" t="inlineStr">
        <is>
          <t>31/08/2026 02:59</t>
        </is>
      </c>
    </row>
    <row r="1410">
      <c r="A1410" s="8" t="inlineStr">
        <is>
          <t>WHAP 8x8</t>
        </is>
      </c>
      <c r="B1410" s="8" t="inlineStr">
        <is>
          <t>WHAP-1406</t>
        </is>
      </c>
      <c r="C1410" s="8" t="inlineStr">
        <is>
          <t>ELE-1406</t>
        </is>
      </c>
      <c r="D1410" s="8" t="inlineStr">
        <is>
          <t>batterie — arrière</t>
        </is>
      </c>
      <c r="E1410" s="8" t="inlineStr">
        <is>
          <t>Électricité</t>
        </is>
      </c>
      <c r="F1410" s="8" t="inlineStr">
        <is>
          <t>Électricité</t>
        </is>
      </c>
      <c r="G1410" s="8" t="inlineStr">
        <is>
          <t>PIECE_VEHICULE</t>
        </is>
      </c>
      <c r="H1410" s="8" t="n">
        <v>1</v>
      </c>
      <c r="I1410" s="8">
        <f>H1410*$D$3</f>
        <v/>
      </c>
      <c r="J1410" s="8" t="inlineStr">
        <is>
          <t>unité</t>
        </is>
      </c>
      <c r="K1410" s="8" t="n">
        <v>0</v>
      </c>
      <c r="L1410" s="8">
        <f>K1410-I1410</f>
        <v/>
      </c>
      <c r="M1410" s="8">
        <f>IF(K1410&lt;I1410,"✕ INSUFFISANT",IF(K1410&lt;I1410*1.2,"⚠ STOCK FAIBLE","✓ COUVERT"))</f>
        <v/>
      </c>
      <c r="N1410" s="8" t="inlineStr">
        <is>
          <t>SKF</t>
        </is>
      </c>
      <c r="O1410" s="8" t="inlineStr">
        <is>
          <t>IMPORTANT</t>
        </is>
      </c>
      <c r="P1410" s="8" t="inlineStr">
        <is>
          <t>31/08/2026 02:59</t>
        </is>
      </c>
    </row>
    <row r="1411">
      <c r="A1411" s="7" t="inlineStr">
        <is>
          <t>WHAP 8x8</t>
        </is>
      </c>
      <c r="B1411" s="7" t="inlineStr">
        <is>
          <t>WHAP-1407</t>
        </is>
      </c>
      <c r="C1411" s="7" t="inlineStr">
        <is>
          <t>ELE-1407</t>
        </is>
      </c>
      <c r="D1411" s="7" t="inlineStr">
        <is>
          <t>bac batterie — arrière</t>
        </is>
      </c>
      <c r="E1411" s="7" t="inlineStr">
        <is>
          <t>Électricité</t>
        </is>
      </c>
      <c r="F1411" s="7" t="inlineStr">
        <is>
          <t>Électricité</t>
        </is>
      </c>
      <c r="G1411" s="7" t="inlineStr">
        <is>
          <t>PIECE_VEHICULE</t>
        </is>
      </c>
      <c r="H1411" s="7" t="n">
        <v>1</v>
      </c>
      <c r="I1411" s="7">
        <f>H1411*$D$3</f>
        <v/>
      </c>
      <c r="J1411" s="7" t="inlineStr">
        <is>
          <t>unité</t>
        </is>
      </c>
      <c r="K1411" s="7" t="n">
        <v>0</v>
      </c>
      <c r="L1411" s="7">
        <f>K1411-I1411</f>
        <v/>
      </c>
      <c r="M1411" s="7">
        <f>IF(K1411&lt;I1411,"✕ INSUFFISANT",IF(K1411&lt;I1411*1.2,"⚠ STOCK FAIBLE","✓ COUVERT"))</f>
        <v/>
      </c>
      <c r="N1411" s="7" t="inlineStr">
        <is>
          <t>YZK</t>
        </is>
      </c>
      <c r="O1411" s="7" t="inlineStr">
        <is>
          <t>IMPORTANT</t>
        </is>
      </c>
      <c r="P1411" s="7" t="inlineStr">
        <is>
          <t>31/08/2026 02:59</t>
        </is>
      </c>
    </row>
    <row r="1412">
      <c r="A1412" s="8" t="inlineStr">
        <is>
          <t>WHAP 8x8</t>
        </is>
      </c>
      <c r="B1412" s="8" t="inlineStr">
        <is>
          <t>WHAP-1408</t>
        </is>
      </c>
      <c r="C1412" s="8" t="inlineStr">
        <is>
          <t>ELE-1408</t>
        </is>
      </c>
      <c r="D1412" s="8" t="inlineStr">
        <is>
          <t>coupe-batterie — arrière</t>
        </is>
      </c>
      <c r="E1412" s="8" t="inlineStr">
        <is>
          <t>Électricité</t>
        </is>
      </c>
      <c r="F1412" s="8" t="inlineStr">
        <is>
          <t>Électricité</t>
        </is>
      </c>
      <c r="G1412" s="8" t="inlineStr">
        <is>
          <t>PIECE_VEHICULE</t>
        </is>
      </c>
      <c r="H1412" s="8" t="n">
        <v>1</v>
      </c>
      <c r="I1412" s="8">
        <f>H1412*$D$3</f>
        <v/>
      </c>
      <c r="J1412" s="8" t="inlineStr">
        <is>
          <t>unité</t>
        </is>
      </c>
      <c r="K1412" s="8" t="n">
        <v>0</v>
      </c>
      <c r="L1412" s="8">
        <f>K1412-I1412</f>
        <v/>
      </c>
      <c r="M1412" s="8">
        <f>IF(K1412&lt;I1412,"✕ INSUFFISANT",IF(K1412&lt;I1412*1.2,"⚠ STOCK FAIBLE","✓ COUVERT"))</f>
        <v/>
      </c>
      <c r="N1412" s="8" t="inlineStr">
        <is>
          <t>FAU</t>
        </is>
      </c>
      <c r="O1412" s="8" t="inlineStr">
        <is>
          <t>IMPORTANT</t>
        </is>
      </c>
      <c r="P1412" s="8" t="inlineStr">
        <is>
          <t>31/08/2026 02:59</t>
        </is>
      </c>
    </row>
    <row r="1413">
      <c r="A1413" s="7" t="inlineStr">
        <is>
          <t>WHAP 8x8</t>
        </is>
      </c>
      <c r="B1413" s="7" t="inlineStr">
        <is>
          <t>WHAP-1409</t>
        </is>
      </c>
      <c r="C1413" s="7" t="inlineStr">
        <is>
          <t>ELE-1409</t>
        </is>
      </c>
      <c r="D1413" s="7" t="inlineStr">
        <is>
          <t>câble positif — arrière</t>
        </is>
      </c>
      <c r="E1413" s="7" t="inlineStr">
        <is>
          <t>Électricité</t>
        </is>
      </c>
      <c r="F1413" s="7" t="inlineStr">
        <is>
          <t>Électricité</t>
        </is>
      </c>
      <c r="G1413" s="7" t="inlineStr">
        <is>
          <t>PIECE_VEHICULE</t>
        </is>
      </c>
      <c r="H1413" s="7" t="n">
        <v>1</v>
      </c>
      <c r="I1413" s="7">
        <f>H1413*$D$3</f>
        <v/>
      </c>
      <c r="J1413" s="7" t="inlineStr">
        <is>
          <t>unité</t>
        </is>
      </c>
      <c r="K1413" s="7" t="n">
        <v>0</v>
      </c>
      <c r="L1413" s="7">
        <f>K1413-I1413</f>
        <v/>
      </c>
      <c r="M1413" s="7">
        <f>IF(K1413&lt;I1413,"✕ INSUFFISANT",IF(K1413&lt;I1413*1.2,"⚠ STOCK FAIBLE","✓ COUVERT"))</f>
        <v/>
      </c>
      <c r="N1413" s="7" t="inlineStr">
        <is>
          <t>DEL</t>
        </is>
      </c>
      <c r="O1413" s="7" t="inlineStr">
        <is>
          <t>IMPORTANT</t>
        </is>
      </c>
      <c r="P1413" s="7" t="inlineStr">
        <is>
          <t>31/08/2026 02:59</t>
        </is>
      </c>
    </row>
    <row r="1414">
      <c r="A1414" s="8" t="inlineStr">
        <is>
          <t>WHAP 8x8</t>
        </is>
      </c>
      <c r="B1414" s="8" t="inlineStr">
        <is>
          <t>WHAP-1410</t>
        </is>
      </c>
      <c r="C1414" s="8" t="inlineStr">
        <is>
          <t>ELE-1410</t>
        </is>
      </c>
      <c r="D1414" s="8" t="inlineStr">
        <is>
          <t>câble négatif — arrière</t>
        </is>
      </c>
      <c r="E1414" s="8" t="inlineStr">
        <is>
          <t>Électricité</t>
        </is>
      </c>
      <c r="F1414" s="8" t="inlineStr">
        <is>
          <t>Électricité</t>
        </is>
      </c>
      <c r="G1414" s="8" t="inlineStr">
        <is>
          <t>PIECE_VEHICULE</t>
        </is>
      </c>
      <c r="H1414" s="8" t="n">
        <v>1</v>
      </c>
      <c r="I1414" s="8">
        <f>H1414*$D$3</f>
        <v/>
      </c>
      <c r="J1414" s="8" t="inlineStr">
        <is>
          <t>unité</t>
        </is>
      </c>
      <c r="K1414" s="8" t="n">
        <v>0</v>
      </c>
      <c r="L1414" s="8">
        <f>K1414-I1414</f>
        <v/>
      </c>
      <c r="M1414" s="8">
        <f>IF(K1414&lt;I1414,"✕ INSUFFISANT",IF(K1414&lt;I1414*1.2,"⚠ STOCK FAIBLE","✓ COUVERT"))</f>
        <v/>
      </c>
      <c r="N1414" s="8" t="inlineStr">
        <is>
          <t>SKF</t>
        </is>
      </c>
      <c r="O1414" s="8" t="inlineStr">
        <is>
          <t>IMPORTANT</t>
        </is>
      </c>
      <c r="P1414" s="8" t="inlineStr">
        <is>
          <t>31/08/2026 02:59</t>
        </is>
      </c>
    </row>
    <row r="1415">
      <c r="A1415" s="7" t="inlineStr">
        <is>
          <t>WHAP 8x8</t>
        </is>
      </c>
      <c r="B1415" s="7" t="inlineStr">
        <is>
          <t>WHAP-1411</t>
        </is>
      </c>
      <c r="C1415" s="7" t="inlineStr">
        <is>
          <t>ELE-1411</t>
        </is>
      </c>
      <c r="D1415" s="7" t="inlineStr">
        <is>
          <t>cosse batterie — arrière</t>
        </is>
      </c>
      <c r="E1415" s="7" t="inlineStr">
        <is>
          <t>Électricité</t>
        </is>
      </c>
      <c r="F1415" s="7" t="inlineStr">
        <is>
          <t>Électricité</t>
        </is>
      </c>
      <c r="G1415" s="7" t="inlineStr">
        <is>
          <t>PIECE_VEHICULE</t>
        </is>
      </c>
      <c r="H1415" s="7" t="n">
        <v>1</v>
      </c>
      <c r="I1415" s="7">
        <f>H1415*$D$3</f>
        <v/>
      </c>
      <c r="J1415" s="7" t="inlineStr">
        <is>
          <t>unité</t>
        </is>
      </c>
      <c r="K1415" s="7" t="n">
        <v>0</v>
      </c>
      <c r="L1415" s="7">
        <f>K1415-I1415</f>
        <v/>
      </c>
      <c r="M1415" s="7">
        <f>IF(K1415&lt;I1415,"✕ INSUFFISANT",IF(K1415&lt;I1415*1.2,"⚠ STOCK FAIBLE","✓ COUVERT"))</f>
        <v/>
      </c>
      <c r="N1415" s="7" t="inlineStr">
        <is>
          <t>FAU</t>
        </is>
      </c>
      <c r="O1415" s="7" t="inlineStr">
        <is>
          <t>IMPORTANT</t>
        </is>
      </c>
      <c r="P1415" s="7" t="inlineStr">
        <is>
          <t>31/08/2026 02:59</t>
        </is>
      </c>
    </row>
    <row r="1416">
      <c r="A1416" s="8" t="inlineStr">
        <is>
          <t>WHAP 8x8</t>
        </is>
      </c>
      <c r="B1416" s="8" t="inlineStr">
        <is>
          <t>WHAP-1412</t>
        </is>
      </c>
      <c r="C1416" s="8" t="inlineStr">
        <is>
          <t>ELE-1412</t>
        </is>
      </c>
      <c r="D1416" s="8" t="inlineStr">
        <is>
          <t>alternateur — arrière</t>
        </is>
      </c>
      <c r="E1416" s="8" t="inlineStr">
        <is>
          <t>Électricité</t>
        </is>
      </c>
      <c r="F1416" s="8" t="inlineStr">
        <is>
          <t>Électricité</t>
        </is>
      </c>
      <c r="G1416" s="8" t="inlineStr">
        <is>
          <t>PIECE_VEHICULE</t>
        </is>
      </c>
      <c r="H1416" s="8" t="n">
        <v>1</v>
      </c>
      <c r="I1416" s="8">
        <f>H1416*$D$3</f>
        <v/>
      </c>
      <c r="J1416" s="8" t="inlineStr">
        <is>
          <t>unité</t>
        </is>
      </c>
      <c r="K1416" s="8" t="n">
        <v>0</v>
      </c>
      <c r="L1416" s="8">
        <f>K1416-I1416</f>
        <v/>
      </c>
      <c r="M1416" s="8">
        <f>IF(K1416&lt;I1416,"✕ INSUFFISANT",IF(K1416&lt;I1416*1.2,"⚠ STOCK FAIBLE","✓ COUVERT"))</f>
        <v/>
      </c>
      <c r="N1416" s="8" t="inlineStr">
        <is>
          <t>YZK</t>
        </is>
      </c>
      <c r="O1416" s="8" t="inlineStr">
        <is>
          <t>IMPORTANT</t>
        </is>
      </c>
      <c r="P1416" s="8" t="inlineStr">
        <is>
          <t>31/08/2026 02:59</t>
        </is>
      </c>
    </row>
    <row r="1417">
      <c r="A1417" s="7" t="inlineStr">
        <is>
          <t>WHAP 8x8</t>
        </is>
      </c>
      <c r="B1417" s="7" t="inlineStr">
        <is>
          <t>WHAP-1413</t>
        </is>
      </c>
      <c r="C1417" s="7" t="inlineStr">
        <is>
          <t>ELE-1413</t>
        </is>
      </c>
      <c r="D1417" s="7" t="inlineStr">
        <is>
          <t>démarreur — arrière</t>
        </is>
      </c>
      <c r="E1417" s="7" t="inlineStr">
        <is>
          <t>Électricité</t>
        </is>
      </c>
      <c r="F1417" s="7" t="inlineStr">
        <is>
          <t>Électricité</t>
        </is>
      </c>
      <c r="G1417" s="7" t="inlineStr">
        <is>
          <t>PIECE_VEHICULE</t>
        </is>
      </c>
      <c r="H1417" s="7" t="n">
        <v>1</v>
      </c>
      <c r="I1417" s="7">
        <f>H1417*$D$3</f>
        <v/>
      </c>
      <c r="J1417" s="7" t="inlineStr">
        <is>
          <t>unité</t>
        </is>
      </c>
      <c r="K1417" s="7" t="n">
        <v>0</v>
      </c>
      <c r="L1417" s="7">
        <f>K1417-I1417</f>
        <v/>
      </c>
      <c r="M1417" s="7">
        <f>IF(K1417&lt;I1417,"✕ INSUFFISANT",IF(K1417&lt;I1417*1.2,"⚠ STOCK FAIBLE","✓ COUVERT"))</f>
        <v/>
      </c>
      <c r="N1417" s="7" t="inlineStr">
        <is>
          <t>MAG</t>
        </is>
      </c>
      <c r="O1417" s="7" t="inlineStr">
        <is>
          <t>IMPORTANT</t>
        </is>
      </c>
      <c r="P1417" s="7" t="inlineStr">
        <is>
          <t>31/08/2026 02:59</t>
        </is>
      </c>
    </row>
    <row r="1418">
      <c r="A1418" s="8" t="inlineStr">
        <is>
          <t>WHAP 8x8</t>
        </is>
      </c>
      <c r="B1418" s="8" t="inlineStr">
        <is>
          <t>WHAP-1414</t>
        </is>
      </c>
      <c r="C1418" s="8" t="inlineStr">
        <is>
          <t>ELE-1414</t>
        </is>
      </c>
      <c r="D1418" s="8" t="inlineStr">
        <is>
          <t>relais principal — arrière</t>
        </is>
      </c>
      <c r="E1418" s="8" t="inlineStr">
        <is>
          <t>Électricité</t>
        </is>
      </c>
      <c r="F1418" s="8" t="inlineStr">
        <is>
          <t>Électricité</t>
        </is>
      </c>
      <c r="G1418" s="8" t="inlineStr">
        <is>
          <t>PIECE_VEHICULE</t>
        </is>
      </c>
      <c r="H1418" s="8" t="n">
        <v>1</v>
      </c>
      <c r="I1418" s="8">
        <f>H1418*$D$3</f>
        <v/>
      </c>
      <c r="J1418" s="8" t="inlineStr">
        <is>
          <t>unité</t>
        </is>
      </c>
      <c r="K1418" s="8" t="n">
        <v>0</v>
      </c>
      <c r="L1418" s="8">
        <f>K1418-I1418</f>
        <v/>
      </c>
      <c r="M1418" s="8">
        <f>IF(K1418&lt;I1418,"✕ INSUFFISANT",IF(K1418&lt;I1418*1.2,"⚠ STOCK FAIBLE","✓ COUVERT"))</f>
        <v/>
      </c>
      <c r="N1418" s="8" t="inlineStr">
        <is>
          <t>CTL</t>
        </is>
      </c>
      <c r="O1418" s="8" t="inlineStr">
        <is>
          <t>IMPORTANT</t>
        </is>
      </c>
      <c r="P1418" s="8" t="inlineStr">
        <is>
          <t>31/08/2026 02:59</t>
        </is>
      </c>
    </row>
    <row r="1419">
      <c r="A1419" s="7" t="inlineStr">
        <is>
          <t>WHAP 8x8</t>
        </is>
      </c>
      <c r="B1419" s="7" t="inlineStr">
        <is>
          <t>WHAP-1415</t>
        </is>
      </c>
      <c r="C1419" s="7" t="inlineStr">
        <is>
          <t>ELE-1415</t>
        </is>
      </c>
      <c r="D1419" s="7" t="inlineStr">
        <is>
          <t>boîtier fusibles — arrière</t>
        </is>
      </c>
      <c r="E1419" s="7" t="inlineStr">
        <is>
          <t>Électricité</t>
        </is>
      </c>
      <c r="F1419" s="7" t="inlineStr">
        <is>
          <t>Électricité</t>
        </is>
      </c>
      <c r="G1419" s="7" t="inlineStr">
        <is>
          <t>PIECE_VEHICULE</t>
        </is>
      </c>
      <c r="H1419" s="7" t="n">
        <v>1</v>
      </c>
      <c r="I1419" s="7">
        <f>H1419*$D$3</f>
        <v/>
      </c>
      <c r="J1419" s="7" t="inlineStr">
        <is>
          <t>unité</t>
        </is>
      </c>
      <c r="K1419" s="7" t="n">
        <v>0</v>
      </c>
      <c r="L1419" s="7">
        <f>K1419-I1419</f>
        <v/>
      </c>
      <c r="M1419" s="7">
        <f>IF(K1419&lt;I1419,"✕ INSUFFISANT",IF(K1419&lt;I1419*1.2,"⚠ STOCK FAIBLE","✓ COUVERT"))</f>
        <v/>
      </c>
      <c r="N1419" s="7" t="inlineStr">
        <is>
          <t>SUM</t>
        </is>
      </c>
      <c r="O1419" s="7" t="inlineStr">
        <is>
          <t>IMPORTANT</t>
        </is>
      </c>
      <c r="P1419" s="7" t="inlineStr">
        <is>
          <t>31/08/2026 02:59</t>
        </is>
      </c>
    </row>
    <row r="1420">
      <c r="A1420" s="8" t="inlineStr">
        <is>
          <t>WHAP 8x8</t>
        </is>
      </c>
      <c r="B1420" s="8" t="inlineStr">
        <is>
          <t>WHAP-1416</t>
        </is>
      </c>
      <c r="C1420" s="8" t="inlineStr">
        <is>
          <t>ELE-1416</t>
        </is>
      </c>
      <c r="D1420" s="8" t="inlineStr">
        <is>
          <t>fusible — arrière</t>
        </is>
      </c>
      <c r="E1420" s="8" t="inlineStr">
        <is>
          <t>Électricité</t>
        </is>
      </c>
      <c r="F1420" s="8" t="inlineStr">
        <is>
          <t>Électricité</t>
        </is>
      </c>
      <c r="G1420" s="8" t="inlineStr">
        <is>
          <t>PIECE_VEHICULE</t>
        </is>
      </c>
      <c r="H1420" s="8" t="n">
        <v>1</v>
      </c>
      <c r="I1420" s="8">
        <f>H1420*$D$3</f>
        <v/>
      </c>
      <c r="J1420" s="8" t="inlineStr">
        <is>
          <t>unité</t>
        </is>
      </c>
      <c r="K1420" s="8" t="n">
        <v>0</v>
      </c>
      <c r="L1420" s="8">
        <f>K1420-I1420</f>
        <v/>
      </c>
      <c r="M1420" s="8">
        <f>IF(K1420&lt;I1420,"✕ INSUFFISANT",IF(K1420&lt;I1420*1.2,"⚠ STOCK FAIBLE","✓ COUVERT"))</f>
        <v/>
      </c>
      <c r="N1420" s="8" t="inlineStr">
        <is>
          <t>SKF</t>
        </is>
      </c>
      <c r="O1420" s="8" t="inlineStr">
        <is>
          <t>IMPORTANT</t>
        </is>
      </c>
      <c r="P1420" s="8" t="inlineStr">
        <is>
          <t>31/08/2026 02:59</t>
        </is>
      </c>
    </row>
    <row r="1421">
      <c r="A1421" s="7" t="inlineStr">
        <is>
          <t>WHAP 8x8</t>
        </is>
      </c>
      <c r="B1421" s="7" t="inlineStr">
        <is>
          <t>WHAP-1417</t>
        </is>
      </c>
      <c r="C1421" s="7" t="inlineStr">
        <is>
          <t>ELE-1417</t>
        </is>
      </c>
      <c r="D1421" s="7" t="inlineStr">
        <is>
          <t>disjoncteur — arrière</t>
        </is>
      </c>
      <c r="E1421" s="7" t="inlineStr">
        <is>
          <t>Électricité</t>
        </is>
      </c>
      <c r="F1421" s="7" t="inlineStr">
        <is>
          <t>Électricité</t>
        </is>
      </c>
      <c r="G1421" s="7" t="inlineStr">
        <is>
          <t>PIECE_VEHICULE</t>
        </is>
      </c>
      <c r="H1421" s="7" t="n">
        <v>1</v>
      </c>
      <c r="I1421" s="7">
        <f>H1421*$D$3</f>
        <v/>
      </c>
      <c r="J1421" s="7" t="inlineStr">
        <is>
          <t>unité</t>
        </is>
      </c>
      <c r="K1421" s="7" t="n">
        <v>0</v>
      </c>
      <c r="L1421" s="7">
        <f>K1421-I1421</f>
        <v/>
      </c>
      <c r="M1421" s="7">
        <f>IF(K1421&lt;I1421,"✕ INSUFFISANT",IF(K1421&lt;I1421*1.2,"⚠ STOCK FAIBLE","✓ COUVERT"))</f>
        <v/>
      </c>
      <c r="N1421" s="7" t="inlineStr">
        <is>
          <t>HEL</t>
        </is>
      </c>
      <c r="O1421" s="7" t="inlineStr">
        <is>
          <t>IMPORTANT</t>
        </is>
      </c>
      <c r="P1421" s="7" t="inlineStr">
        <is>
          <t>31/08/2026 02:59</t>
        </is>
      </c>
    </row>
    <row r="1422">
      <c r="A1422" s="8" t="inlineStr">
        <is>
          <t>WHAP 8x8</t>
        </is>
      </c>
      <c r="B1422" s="8" t="inlineStr">
        <is>
          <t>WHAP-1418</t>
        </is>
      </c>
      <c r="C1422" s="8" t="inlineStr">
        <is>
          <t>ELE-1418</t>
        </is>
      </c>
      <c r="D1422" s="8" t="inlineStr">
        <is>
          <t>contacteur — arrière</t>
        </is>
      </c>
      <c r="E1422" s="8" t="inlineStr">
        <is>
          <t>Électricité</t>
        </is>
      </c>
      <c r="F1422" s="8" t="inlineStr">
        <is>
          <t>Électricité</t>
        </is>
      </c>
      <c r="G1422" s="8" t="inlineStr">
        <is>
          <t>PIECE_VEHICULE</t>
        </is>
      </c>
      <c r="H1422" s="8" t="n">
        <v>1</v>
      </c>
      <c r="I1422" s="8">
        <f>H1422*$D$3</f>
        <v/>
      </c>
      <c r="J1422" s="8" t="inlineStr">
        <is>
          <t>unité</t>
        </is>
      </c>
      <c r="K1422" s="8" t="n">
        <v>0</v>
      </c>
      <c r="L1422" s="8">
        <f>K1422-I1422</f>
        <v/>
      </c>
      <c r="M1422" s="8">
        <f>IF(K1422&lt;I1422,"✕ INSUFFISANT",IF(K1422&lt;I1422*1.2,"⚠ STOCK FAIBLE","✓ COUVERT"))</f>
        <v/>
      </c>
      <c r="N1422" s="8" t="inlineStr">
        <is>
          <t>MAG</t>
        </is>
      </c>
      <c r="O1422" s="8" t="inlineStr">
        <is>
          <t>IMPORTANT</t>
        </is>
      </c>
      <c r="P1422" s="8" t="inlineStr">
        <is>
          <t>31/08/2026 02:59</t>
        </is>
      </c>
    </row>
    <row r="1423">
      <c r="A1423" s="7" t="inlineStr">
        <is>
          <t>WHAP 8x8</t>
        </is>
      </c>
      <c r="B1423" s="7" t="inlineStr">
        <is>
          <t>WHAP-1419</t>
        </is>
      </c>
      <c r="C1423" s="7" t="inlineStr">
        <is>
          <t>ELE-1419</t>
        </is>
      </c>
      <c r="D1423" s="7" t="inlineStr">
        <is>
          <t>convertisseur DC-DC — arrière</t>
        </is>
      </c>
      <c r="E1423" s="7" t="inlineStr">
        <is>
          <t>Électricité</t>
        </is>
      </c>
      <c r="F1423" s="7" t="inlineStr">
        <is>
          <t>Électricité</t>
        </is>
      </c>
      <c r="G1423" s="7" t="inlineStr">
        <is>
          <t>PIECE_VEHICULE</t>
        </is>
      </c>
      <c r="H1423" s="7" t="n">
        <v>1</v>
      </c>
      <c r="I1423" s="7">
        <f>H1423*$D$3</f>
        <v/>
      </c>
      <c r="J1423" s="7" t="inlineStr">
        <is>
          <t>unité</t>
        </is>
      </c>
      <c r="K1423" s="7" t="n">
        <v>0</v>
      </c>
      <c r="L1423" s="7">
        <f>K1423-I1423</f>
        <v/>
      </c>
      <c r="M1423" s="7">
        <f>IF(K1423&lt;I1423,"✕ INSUFFISANT",IF(K1423&lt;I1423*1.2,"⚠ STOCK FAIBLE","✓ COUVERT"))</f>
        <v/>
      </c>
      <c r="N1423" s="7" t="inlineStr">
        <is>
          <t>HEL</t>
        </is>
      </c>
      <c r="O1423" s="7" t="inlineStr">
        <is>
          <t>IMPORTANT</t>
        </is>
      </c>
      <c r="P1423" s="7" t="inlineStr">
        <is>
          <t>31/08/2026 02:59</t>
        </is>
      </c>
    </row>
    <row r="1424">
      <c r="A1424" s="8" t="inlineStr">
        <is>
          <t>WHAP 8x8</t>
        </is>
      </c>
      <c r="B1424" s="8" t="inlineStr">
        <is>
          <t>WHAP-1420</t>
        </is>
      </c>
      <c r="C1424" s="8" t="inlineStr">
        <is>
          <t>ELE-1420</t>
        </is>
      </c>
      <c r="D1424" s="8" t="inlineStr">
        <is>
          <t>onduleur — arrière</t>
        </is>
      </c>
      <c r="E1424" s="8" t="inlineStr">
        <is>
          <t>Électricité</t>
        </is>
      </c>
      <c r="F1424" s="8" t="inlineStr">
        <is>
          <t>Électricité</t>
        </is>
      </c>
      <c r="G1424" s="8" t="inlineStr">
        <is>
          <t>PIECE_VEHICULE</t>
        </is>
      </c>
      <c r="H1424" s="8" t="n">
        <v>1</v>
      </c>
      <c r="I1424" s="8">
        <f>H1424*$D$3</f>
        <v/>
      </c>
      <c r="J1424" s="8" t="inlineStr">
        <is>
          <t>unité</t>
        </is>
      </c>
      <c r="K1424" s="8" t="n">
        <v>0</v>
      </c>
      <c r="L1424" s="8">
        <f>K1424-I1424</f>
        <v/>
      </c>
      <c r="M1424" s="8">
        <f>IF(K1424&lt;I1424,"✕ INSUFFISANT",IF(K1424&lt;I1424*1.2,"⚠ STOCK FAIBLE","✓ COUVERT"))</f>
        <v/>
      </c>
      <c r="N1424" s="8" t="inlineStr">
        <is>
          <t>SUM</t>
        </is>
      </c>
      <c r="O1424" s="8" t="inlineStr">
        <is>
          <t>IMPORTANT</t>
        </is>
      </c>
      <c r="P1424" s="8" t="inlineStr">
        <is>
          <t>31/08/2026 02:59</t>
        </is>
      </c>
    </row>
    <row r="1425">
      <c r="A1425" s="7" t="inlineStr">
        <is>
          <t>WHAP 8x8</t>
        </is>
      </c>
      <c r="B1425" s="7" t="inlineStr">
        <is>
          <t>WHAP-1421</t>
        </is>
      </c>
      <c r="C1425" s="7" t="inlineStr">
        <is>
          <t>ELE-1421</t>
        </is>
      </c>
      <c r="D1425" s="7" t="inlineStr">
        <is>
          <t>chargeur — arrière</t>
        </is>
      </c>
      <c r="E1425" s="7" t="inlineStr">
        <is>
          <t>Électricité</t>
        </is>
      </c>
      <c r="F1425" s="7" t="inlineStr">
        <is>
          <t>Électricité</t>
        </is>
      </c>
      <c r="G1425" s="7" t="inlineStr">
        <is>
          <t>PIECE_VEHICULE</t>
        </is>
      </c>
      <c r="H1425" s="7" t="n">
        <v>1</v>
      </c>
      <c r="I1425" s="7">
        <f>H1425*$D$3</f>
        <v/>
      </c>
      <c r="J1425" s="7" t="inlineStr">
        <is>
          <t>unité</t>
        </is>
      </c>
      <c r="K1425" s="7" t="n">
        <v>0</v>
      </c>
      <c r="L1425" s="7">
        <f>K1425-I1425</f>
        <v/>
      </c>
      <c r="M1425" s="7">
        <f>IF(K1425&lt;I1425,"✕ INSUFFISANT",IF(K1425&lt;I1425*1.2,"⚠ STOCK FAIBLE","✓ COUVERT"))</f>
        <v/>
      </c>
      <c r="N1425" s="7" t="inlineStr">
        <is>
          <t>HEL</t>
        </is>
      </c>
      <c r="O1425" s="7" t="inlineStr">
        <is>
          <t>IMPORTANT</t>
        </is>
      </c>
      <c r="P1425" s="7" t="inlineStr">
        <is>
          <t>31/08/2026 02:59</t>
        </is>
      </c>
    </row>
    <row r="1426">
      <c r="A1426" s="8" t="inlineStr">
        <is>
          <t>WHAP 8x8</t>
        </is>
      </c>
      <c r="B1426" s="8" t="inlineStr">
        <is>
          <t>WHAP-1422</t>
        </is>
      </c>
      <c r="C1426" s="8" t="inlineStr">
        <is>
          <t>ELE-1422</t>
        </is>
      </c>
      <c r="D1426" s="8" t="inlineStr">
        <is>
          <t>barrette de masse — arrière</t>
        </is>
      </c>
      <c r="E1426" s="8" t="inlineStr">
        <is>
          <t>Électricité</t>
        </is>
      </c>
      <c r="F1426" s="8" t="inlineStr">
        <is>
          <t>Électricité</t>
        </is>
      </c>
      <c r="G1426" s="8" t="inlineStr">
        <is>
          <t>PIECE_VEHICULE</t>
        </is>
      </c>
      <c r="H1426" s="8" t="n">
        <v>1</v>
      </c>
      <c r="I1426" s="8">
        <f>H1426*$D$3</f>
        <v/>
      </c>
      <c r="J1426" s="8" t="inlineStr">
        <is>
          <t>unité</t>
        </is>
      </c>
      <c r="K1426" s="8" t="n">
        <v>0</v>
      </c>
      <c r="L1426" s="8">
        <f>K1426-I1426</f>
        <v/>
      </c>
      <c r="M1426" s="8">
        <f>IF(K1426&lt;I1426,"✕ INSUFFISANT",IF(K1426&lt;I1426*1.2,"⚠ STOCK FAIBLE","✓ COUVERT"))</f>
        <v/>
      </c>
      <c r="N1426" s="8" t="inlineStr">
        <is>
          <t>SKF</t>
        </is>
      </c>
      <c r="O1426" s="8" t="inlineStr">
        <is>
          <t>IMPORTANT</t>
        </is>
      </c>
      <c r="P1426" s="8" t="inlineStr">
        <is>
          <t>31/08/2026 02:59</t>
        </is>
      </c>
    </row>
    <row r="1427">
      <c r="A1427" s="7" t="inlineStr">
        <is>
          <t>WHAP 8x8</t>
        </is>
      </c>
      <c r="B1427" s="7" t="inlineStr">
        <is>
          <t>WHAP-1423</t>
        </is>
      </c>
      <c r="C1427" s="7" t="inlineStr">
        <is>
          <t>ELE-1423</t>
        </is>
      </c>
      <c r="D1427" s="7" t="inlineStr">
        <is>
          <t>point de masse — arrière</t>
        </is>
      </c>
      <c r="E1427" s="7" t="inlineStr">
        <is>
          <t>Électricité</t>
        </is>
      </c>
      <c r="F1427" s="7" t="inlineStr">
        <is>
          <t>Électricité</t>
        </is>
      </c>
      <c r="G1427" s="7" t="inlineStr">
        <is>
          <t>PIECE_VEHICULE</t>
        </is>
      </c>
      <c r="H1427" s="7" t="n">
        <v>1</v>
      </c>
      <c r="I1427" s="7">
        <f>H1427*$D$3</f>
        <v/>
      </c>
      <c r="J1427" s="7" t="inlineStr">
        <is>
          <t>unité</t>
        </is>
      </c>
      <c r="K1427" s="7" t="n">
        <v>0</v>
      </c>
      <c r="L1427" s="7">
        <f>K1427-I1427</f>
        <v/>
      </c>
      <c r="M1427" s="7">
        <f>IF(K1427&lt;I1427,"✕ INSUFFISANT",IF(K1427&lt;I1427*1.2,"⚠ STOCK FAIBLE","✓ COUVERT"))</f>
        <v/>
      </c>
      <c r="N1427" s="7" t="inlineStr">
        <is>
          <t>YZK</t>
        </is>
      </c>
      <c r="O1427" s="7" t="inlineStr">
        <is>
          <t>IMPORTANT</t>
        </is>
      </c>
      <c r="P1427" s="7" t="inlineStr">
        <is>
          <t>31/08/2026 02:59</t>
        </is>
      </c>
    </row>
    <row r="1428">
      <c r="A1428" s="8" t="inlineStr">
        <is>
          <t>WHAP 8x8</t>
        </is>
      </c>
      <c r="B1428" s="8" t="inlineStr">
        <is>
          <t>WHAP-1424</t>
        </is>
      </c>
      <c r="C1428" s="8" t="inlineStr">
        <is>
          <t>ELE-1424</t>
        </is>
      </c>
      <c r="D1428" s="8" t="inlineStr">
        <is>
          <t>faisceau moteur — arrière</t>
        </is>
      </c>
      <c r="E1428" s="8" t="inlineStr">
        <is>
          <t>Électricité</t>
        </is>
      </c>
      <c r="F1428" s="8" t="inlineStr">
        <is>
          <t>Électricité</t>
        </is>
      </c>
      <c r="G1428" s="8" t="inlineStr">
        <is>
          <t>PIECE_VEHICULE</t>
        </is>
      </c>
      <c r="H1428" s="8" t="n">
        <v>1</v>
      </c>
      <c r="I1428" s="8">
        <f>H1428*$D$3</f>
        <v/>
      </c>
      <c r="J1428" s="8" t="inlineStr">
        <is>
          <t>unité</t>
        </is>
      </c>
      <c r="K1428" s="8" t="n">
        <v>0</v>
      </c>
      <c r="L1428" s="8">
        <f>K1428-I1428</f>
        <v/>
      </c>
      <c r="M1428" s="8">
        <f>IF(K1428&lt;I1428,"✕ INSUFFISANT",IF(K1428&lt;I1428*1.2,"⚠ STOCK FAIBLE","✓ COUVERT"))</f>
        <v/>
      </c>
      <c r="N1428" s="8" t="inlineStr">
        <is>
          <t>MAG</t>
        </is>
      </c>
      <c r="O1428" s="8" t="inlineStr">
        <is>
          <t>IMPORTANT</t>
        </is>
      </c>
      <c r="P1428" s="8" t="inlineStr">
        <is>
          <t>31/08/2026 02:59</t>
        </is>
      </c>
    </row>
    <row r="1429">
      <c r="A1429" s="7" t="inlineStr">
        <is>
          <t>WHAP 8x8</t>
        </is>
      </c>
      <c r="B1429" s="7" t="inlineStr">
        <is>
          <t>WHAP-1425</t>
        </is>
      </c>
      <c r="C1429" s="7" t="inlineStr">
        <is>
          <t>ELE-1425</t>
        </is>
      </c>
      <c r="D1429" s="7" t="inlineStr">
        <is>
          <t>faisceau châssis — arrière</t>
        </is>
      </c>
      <c r="E1429" s="7" t="inlineStr">
        <is>
          <t>Électricité</t>
        </is>
      </c>
      <c r="F1429" s="7" t="inlineStr">
        <is>
          <t>Électricité</t>
        </is>
      </c>
      <c r="G1429" s="7" t="inlineStr">
        <is>
          <t>PIECE_VEHICULE</t>
        </is>
      </c>
      <c r="H1429" s="7" t="n">
        <v>1</v>
      </c>
      <c r="I1429" s="7">
        <f>H1429*$D$3</f>
        <v/>
      </c>
      <c r="J1429" s="7" t="inlineStr">
        <is>
          <t>unité</t>
        </is>
      </c>
      <c r="K1429" s="7" t="n">
        <v>0</v>
      </c>
      <c r="L1429" s="7">
        <f>K1429-I1429</f>
        <v/>
      </c>
      <c r="M1429" s="7">
        <f>IF(K1429&lt;I1429,"✕ INSUFFISANT",IF(K1429&lt;I1429*1.2,"⚠ STOCK FAIBLE","✓ COUVERT"))</f>
        <v/>
      </c>
      <c r="N1429" s="7" t="inlineStr">
        <is>
          <t>HEL</t>
        </is>
      </c>
      <c r="O1429" s="7" t="inlineStr">
        <is>
          <t>IMPORTANT</t>
        </is>
      </c>
      <c r="P1429" s="7" t="inlineStr">
        <is>
          <t>31/08/2026 02:59</t>
        </is>
      </c>
    </row>
    <row r="1430">
      <c r="A1430" s="8" t="inlineStr">
        <is>
          <t>WHAP 8x8</t>
        </is>
      </c>
      <c r="B1430" s="8" t="inlineStr">
        <is>
          <t>WHAP-1426</t>
        </is>
      </c>
      <c r="C1430" s="8" t="inlineStr">
        <is>
          <t>ELE-1426</t>
        </is>
      </c>
      <c r="D1430" s="8" t="inlineStr">
        <is>
          <t>faisceau habitacle — arrière</t>
        </is>
      </c>
      <c r="E1430" s="8" t="inlineStr">
        <is>
          <t>Électricité</t>
        </is>
      </c>
      <c r="F1430" s="8" t="inlineStr">
        <is>
          <t>Électricité</t>
        </is>
      </c>
      <c r="G1430" s="8" t="inlineStr">
        <is>
          <t>PIECE_VEHICULE</t>
        </is>
      </c>
      <c r="H1430" s="8" t="n">
        <v>1</v>
      </c>
      <c r="I1430" s="8">
        <f>H1430*$D$3</f>
        <v/>
      </c>
      <c r="J1430" s="8" t="inlineStr">
        <is>
          <t>unité</t>
        </is>
      </c>
      <c r="K1430" s="8" t="n">
        <v>0</v>
      </c>
      <c r="L1430" s="8">
        <f>K1430-I1430</f>
        <v/>
      </c>
      <c r="M1430" s="8">
        <f>IF(K1430&lt;I1430,"✕ INSUFFISANT",IF(K1430&lt;I1430*1.2,"⚠ STOCK FAIBLE","✓ COUVERT"))</f>
        <v/>
      </c>
      <c r="N1430" s="8" t="inlineStr">
        <is>
          <t>MAG</t>
        </is>
      </c>
      <c r="O1430" s="8" t="inlineStr">
        <is>
          <t>IMPORTANT</t>
        </is>
      </c>
      <c r="P1430" s="8" t="inlineStr">
        <is>
          <t>31/08/2026 02:59</t>
        </is>
      </c>
    </row>
    <row r="1431">
      <c r="A1431" s="7" t="inlineStr">
        <is>
          <t>WHAP 8x8</t>
        </is>
      </c>
      <c r="B1431" s="7" t="inlineStr">
        <is>
          <t>WHAP-1427</t>
        </is>
      </c>
      <c r="C1431" s="7" t="inlineStr">
        <is>
          <t>ELE-1427</t>
        </is>
      </c>
      <c r="D1431" s="7" t="inlineStr">
        <is>
          <t>faisceau éclairage — arrière</t>
        </is>
      </c>
      <c r="E1431" s="7" t="inlineStr">
        <is>
          <t>Électricité</t>
        </is>
      </c>
      <c r="F1431" s="7" t="inlineStr">
        <is>
          <t>Électricité</t>
        </is>
      </c>
      <c r="G1431" s="7" t="inlineStr">
        <is>
          <t>PIECE_VEHICULE</t>
        </is>
      </c>
      <c r="H1431" s="7" t="n">
        <v>1</v>
      </c>
      <c r="I1431" s="7">
        <f>H1431*$D$3</f>
        <v/>
      </c>
      <c r="J1431" s="7" t="inlineStr">
        <is>
          <t>unité</t>
        </is>
      </c>
      <c r="K1431" s="7" t="n">
        <v>0</v>
      </c>
      <c r="L1431" s="7">
        <f>K1431-I1431</f>
        <v/>
      </c>
      <c r="M1431" s="7">
        <f>IF(K1431&lt;I1431,"✕ INSUFFISANT",IF(K1431&lt;I1431*1.2,"⚠ STOCK FAIBLE","✓ COUVERT"))</f>
        <v/>
      </c>
      <c r="N1431" s="7" t="inlineStr">
        <is>
          <t>SKF</t>
        </is>
      </c>
      <c r="O1431" s="7" t="inlineStr">
        <is>
          <t>IMPORTANT</t>
        </is>
      </c>
      <c r="P1431" s="7" t="inlineStr">
        <is>
          <t>31/08/2026 02:59</t>
        </is>
      </c>
    </row>
    <row r="1432">
      <c r="A1432" s="8" t="inlineStr">
        <is>
          <t>WHAP 8x8</t>
        </is>
      </c>
      <c r="B1432" s="8" t="inlineStr">
        <is>
          <t>WHAP-1428</t>
        </is>
      </c>
      <c r="C1432" s="8" t="inlineStr">
        <is>
          <t>ELE-1428</t>
        </is>
      </c>
      <c r="D1432" s="8" t="inlineStr">
        <is>
          <t>connecteur étanche — arrière</t>
        </is>
      </c>
      <c r="E1432" s="8" t="inlineStr">
        <is>
          <t>Électricité</t>
        </is>
      </c>
      <c r="F1432" s="8" t="inlineStr">
        <is>
          <t>Électricité</t>
        </is>
      </c>
      <c r="G1432" s="8" t="inlineStr">
        <is>
          <t>PIECE_VEHICULE</t>
        </is>
      </c>
      <c r="H1432" s="8" t="n">
        <v>1</v>
      </c>
      <c r="I1432" s="8">
        <f>H1432*$D$3</f>
        <v/>
      </c>
      <c r="J1432" s="8" t="inlineStr">
        <is>
          <t>unité</t>
        </is>
      </c>
      <c r="K1432" s="8" t="n">
        <v>0</v>
      </c>
      <c r="L1432" s="8">
        <f>K1432-I1432</f>
        <v/>
      </c>
      <c r="M1432" s="8">
        <f>IF(K1432&lt;I1432,"✕ INSUFFISANT",IF(K1432&lt;I1432*1.2,"⚠ STOCK FAIBLE","✓ COUVERT"))</f>
        <v/>
      </c>
      <c r="N1432" s="8" t="inlineStr">
        <is>
          <t>FAU</t>
        </is>
      </c>
      <c r="O1432" s="8" t="inlineStr">
        <is>
          <t>IMPORTANT</t>
        </is>
      </c>
      <c r="P1432" s="8" t="inlineStr">
        <is>
          <t>31/08/2026 02:59</t>
        </is>
      </c>
    </row>
    <row r="1433">
      <c r="A1433" s="7" t="inlineStr">
        <is>
          <t>WHAP 8x8</t>
        </is>
      </c>
      <c r="B1433" s="7" t="inlineStr">
        <is>
          <t>WHAP-1429</t>
        </is>
      </c>
      <c r="C1433" s="7" t="inlineStr">
        <is>
          <t>ELE-1429</t>
        </is>
      </c>
      <c r="D1433" s="7" t="inlineStr">
        <is>
          <t>borne électrique — arrière</t>
        </is>
      </c>
      <c r="E1433" s="7" t="inlineStr">
        <is>
          <t>Électricité</t>
        </is>
      </c>
      <c r="F1433" s="7" t="inlineStr">
        <is>
          <t>Électricité</t>
        </is>
      </c>
      <c r="G1433" s="7" t="inlineStr">
        <is>
          <t>PIECE_VEHICULE</t>
        </is>
      </c>
      <c r="H1433" s="7" t="n">
        <v>1</v>
      </c>
      <c r="I1433" s="7">
        <f>H1433*$D$3</f>
        <v/>
      </c>
      <c r="J1433" s="7" t="inlineStr">
        <is>
          <t>unité</t>
        </is>
      </c>
      <c r="K1433" s="7" t="n">
        <v>0</v>
      </c>
      <c r="L1433" s="7">
        <f>K1433-I1433</f>
        <v/>
      </c>
      <c r="M1433" s="7">
        <f>IF(K1433&lt;I1433,"✕ INSUFFISANT",IF(K1433&lt;I1433*1.2,"⚠ STOCK FAIBLE","✓ COUVERT"))</f>
        <v/>
      </c>
      <c r="N1433" s="7" t="inlineStr">
        <is>
          <t>FAU</t>
        </is>
      </c>
      <c r="O1433" s="7" t="inlineStr">
        <is>
          <t>IMPORTANT</t>
        </is>
      </c>
      <c r="P1433" s="7" t="inlineStr">
        <is>
          <t>31/08/2026 02:59</t>
        </is>
      </c>
    </row>
    <row r="1434">
      <c r="A1434" s="8" t="inlineStr">
        <is>
          <t>WHAP 8x8</t>
        </is>
      </c>
      <c r="B1434" s="8" t="inlineStr">
        <is>
          <t>WHAP-1430</t>
        </is>
      </c>
      <c r="C1434" s="8" t="inlineStr">
        <is>
          <t>ELE-1430</t>
        </is>
      </c>
      <c r="D1434" s="8" t="inlineStr">
        <is>
          <t>gaine électrique — arrière</t>
        </is>
      </c>
      <c r="E1434" s="8" t="inlineStr">
        <is>
          <t>Électricité</t>
        </is>
      </c>
      <c r="F1434" s="8" t="inlineStr">
        <is>
          <t>Électricité</t>
        </is>
      </c>
      <c r="G1434" s="8" t="inlineStr">
        <is>
          <t>PIECE_VEHICULE</t>
        </is>
      </c>
      <c r="H1434" s="8" t="n">
        <v>1</v>
      </c>
      <c r="I1434" s="8">
        <f>H1434*$D$3</f>
        <v/>
      </c>
      <c r="J1434" s="8" t="inlineStr">
        <is>
          <t>unité</t>
        </is>
      </c>
      <c r="K1434" s="8" t="n">
        <v>0</v>
      </c>
      <c r="L1434" s="8">
        <f>K1434-I1434</f>
        <v/>
      </c>
      <c r="M1434" s="8">
        <f>IF(K1434&lt;I1434,"✕ INSUFFISANT",IF(K1434&lt;I1434*1.2,"⚠ STOCK FAIBLE","✓ COUVERT"))</f>
        <v/>
      </c>
      <c r="N1434" s="8" t="inlineStr">
        <is>
          <t>FAU</t>
        </is>
      </c>
      <c r="O1434" s="8" t="inlineStr">
        <is>
          <t>IMPORTANT</t>
        </is>
      </c>
      <c r="P1434" s="8" t="inlineStr">
        <is>
          <t>31/08/2026 02:59</t>
        </is>
      </c>
    </row>
    <row r="1435">
      <c r="A1435" s="7" t="inlineStr">
        <is>
          <t>WHAP 8x8</t>
        </is>
      </c>
      <c r="B1435" s="7" t="inlineStr">
        <is>
          <t>WHAP-1431</t>
        </is>
      </c>
      <c r="C1435" s="7" t="inlineStr">
        <is>
          <t>ELE-1431</t>
        </is>
      </c>
      <c r="D1435" s="7" t="inlineStr">
        <is>
          <t>passe-fil — arrière</t>
        </is>
      </c>
      <c r="E1435" s="7" t="inlineStr">
        <is>
          <t>Électricité</t>
        </is>
      </c>
      <c r="F1435" s="7" t="inlineStr">
        <is>
          <t>Électricité</t>
        </is>
      </c>
      <c r="G1435" s="7" t="inlineStr">
        <is>
          <t>PIECE_VEHICULE</t>
        </is>
      </c>
      <c r="H1435" s="7" t="n">
        <v>1</v>
      </c>
      <c r="I1435" s="7">
        <f>H1435*$D$3</f>
        <v/>
      </c>
      <c r="J1435" s="7" t="inlineStr">
        <is>
          <t>unité</t>
        </is>
      </c>
      <c r="K1435" s="7" t="n">
        <v>0</v>
      </c>
      <c r="L1435" s="7">
        <f>K1435-I1435</f>
        <v/>
      </c>
      <c r="M1435" s="7">
        <f>IF(K1435&lt;I1435,"✕ INSUFFISANT",IF(K1435&lt;I1435*1.2,"⚠ STOCK FAIBLE","✓ COUVERT"))</f>
        <v/>
      </c>
      <c r="N1435" s="7" t="inlineStr">
        <is>
          <t>SKF</t>
        </is>
      </c>
      <c r="O1435" s="7" t="inlineStr">
        <is>
          <t>IMPORTANT</t>
        </is>
      </c>
      <c r="P1435" s="7" t="inlineStr">
        <is>
          <t>31/08/2026 02:59</t>
        </is>
      </c>
    </row>
    <row r="1436">
      <c r="A1436" s="8" t="inlineStr">
        <is>
          <t>WHAP 8x8</t>
        </is>
      </c>
      <c r="B1436" s="8" t="inlineStr">
        <is>
          <t>WHAP-1432</t>
        </is>
      </c>
      <c r="C1436" s="8" t="inlineStr">
        <is>
          <t>ELE-1432</t>
        </is>
      </c>
      <c r="D1436" s="8" t="inlineStr">
        <is>
          <t>porte-fusible — arrière</t>
        </is>
      </c>
      <c r="E1436" s="8" t="inlineStr">
        <is>
          <t>Électricité</t>
        </is>
      </c>
      <c r="F1436" s="8" t="inlineStr">
        <is>
          <t>Électricité</t>
        </is>
      </c>
      <c r="G1436" s="8" t="inlineStr">
        <is>
          <t>PIECE_VEHICULE</t>
        </is>
      </c>
      <c r="H1436" s="8" t="n">
        <v>1</v>
      </c>
      <c r="I1436" s="8">
        <f>H1436*$D$3</f>
        <v/>
      </c>
      <c r="J1436" s="8" t="inlineStr">
        <is>
          <t>unité</t>
        </is>
      </c>
      <c r="K1436" s="8" t="n">
        <v>0</v>
      </c>
      <c r="L1436" s="8">
        <f>K1436-I1436</f>
        <v/>
      </c>
      <c r="M1436" s="8">
        <f>IF(K1436&lt;I1436,"✕ INSUFFISANT",IF(K1436&lt;I1436*1.2,"⚠ STOCK FAIBLE","✓ COUVERT"))</f>
        <v/>
      </c>
      <c r="N1436" s="8" t="inlineStr">
        <is>
          <t>BOS</t>
        </is>
      </c>
      <c r="O1436" s="8" t="inlineStr">
        <is>
          <t>IMPORTANT</t>
        </is>
      </c>
      <c r="P1436" s="8" t="inlineStr">
        <is>
          <t>31/08/2026 02:59</t>
        </is>
      </c>
    </row>
    <row r="1437">
      <c r="A1437" s="7" t="inlineStr">
        <is>
          <t>WHAP 8x8</t>
        </is>
      </c>
      <c r="B1437" s="7" t="inlineStr">
        <is>
          <t>WHAP-1433</t>
        </is>
      </c>
      <c r="C1437" s="7" t="inlineStr">
        <is>
          <t>ELE-1433</t>
        </is>
      </c>
      <c r="D1437" s="7" t="inlineStr">
        <is>
          <t>boîtier de distribution — arrière</t>
        </is>
      </c>
      <c r="E1437" s="7" t="inlineStr">
        <is>
          <t>Électricité</t>
        </is>
      </c>
      <c r="F1437" s="7" t="inlineStr">
        <is>
          <t>Électricité</t>
        </is>
      </c>
      <c r="G1437" s="7" t="inlineStr">
        <is>
          <t>PIECE_VEHICULE</t>
        </is>
      </c>
      <c r="H1437" s="7" t="n">
        <v>1</v>
      </c>
      <c r="I1437" s="7">
        <f>H1437*$D$3</f>
        <v/>
      </c>
      <c r="J1437" s="7" t="inlineStr">
        <is>
          <t>unité</t>
        </is>
      </c>
      <c r="K1437" s="7" t="n">
        <v>0</v>
      </c>
      <c r="L1437" s="7">
        <f>K1437-I1437</f>
        <v/>
      </c>
      <c r="M1437" s="7">
        <f>IF(K1437&lt;I1437,"✕ INSUFFISANT",IF(K1437&lt;I1437*1.2,"⚠ STOCK FAIBLE","✓ COUVERT"))</f>
        <v/>
      </c>
      <c r="N1437" s="7" t="inlineStr">
        <is>
          <t>SUM</t>
        </is>
      </c>
      <c r="O1437" s="7" t="inlineStr">
        <is>
          <t>IMPORTANT</t>
        </is>
      </c>
      <c r="P1437" s="7" t="inlineStr">
        <is>
          <t>31/08/2026 02:59</t>
        </is>
      </c>
    </row>
    <row r="1438">
      <c r="A1438" s="8" t="inlineStr">
        <is>
          <t>WHAP 8x8</t>
        </is>
      </c>
      <c r="B1438" s="8" t="inlineStr">
        <is>
          <t>WHAP-1434</t>
        </is>
      </c>
      <c r="C1438" s="8" t="inlineStr">
        <is>
          <t>ELC-1434</t>
        </is>
      </c>
      <c r="D1438" s="8" t="inlineStr">
        <is>
          <t>calculateur moteur — moteur</t>
        </is>
      </c>
      <c r="E1438" s="8" t="inlineStr">
        <is>
          <t>Électronique et capteurs</t>
        </is>
      </c>
      <c r="F1438" s="8" t="inlineStr">
        <is>
          <t>Électronique et capteurs</t>
        </is>
      </c>
      <c r="G1438" s="8" t="inlineStr">
        <is>
          <t>PIECE_VEHICULE</t>
        </is>
      </c>
      <c r="H1438" s="8" t="n">
        <v>1</v>
      </c>
      <c r="I1438" s="8">
        <f>H1438*$D$3</f>
        <v/>
      </c>
      <c r="J1438" s="8" t="inlineStr">
        <is>
          <t>unité</t>
        </is>
      </c>
      <c r="K1438" s="8" t="n">
        <v>0</v>
      </c>
      <c r="L1438" s="8">
        <f>K1438-I1438</f>
        <v/>
      </c>
      <c r="M1438" s="8">
        <f>IF(K1438&lt;I1438,"✕ INSUFFISANT",IF(K1438&lt;I1438*1.2,"⚠ STOCK FAIBLE","✓ COUVERT"))</f>
        <v/>
      </c>
      <c r="N1438" s="8" t="inlineStr">
        <is>
          <t>CTL</t>
        </is>
      </c>
      <c r="O1438" s="8" t="inlineStr">
        <is>
          <t>IMPORTANT</t>
        </is>
      </c>
      <c r="P1438" s="8" t="inlineStr">
        <is>
          <t>31/08/2026 02:59</t>
        </is>
      </c>
    </row>
    <row r="1439">
      <c r="A1439" s="7" t="inlineStr">
        <is>
          <t>WHAP 8x8</t>
        </is>
      </c>
      <c r="B1439" s="7" t="inlineStr">
        <is>
          <t>WHAP-1435</t>
        </is>
      </c>
      <c r="C1439" s="7" t="inlineStr">
        <is>
          <t>ELC-1435</t>
        </is>
      </c>
      <c r="D1439" s="7" t="inlineStr">
        <is>
          <t>calculateur transmission — moteur</t>
        </is>
      </c>
      <c r="E1439" s="7" t="inlineStr">
        <is>
          <t>Électronique et capteurs</t>
        </is>
      </c>
      <c r="F1439" s="7" t="inlineStr">
        <is>
          <t>Électronique et capteurs</t>
        </is>
      </c>
      <c r="G1439" s="7" t="inlineStr">
        <is>
          <t>PIECE_VEHICULE</t>
        </is>
      </c>
      <c r="H1439" s="7" t="n">
        <v>1</v>
      </c>
      <c r="I1439" s="7">
        <f>H1439*$D$3</f>
        <v/>
      </c>
      <c r="J1439" s="7" t="inlineStr">
        <is>
          <t>unité</t>
        </is>
      </c>
      <c r="K1439" s="7" t="n">
        <v>0</v>
      </c>
      <c r="L1439" s="7">
        <f>K1439-I1439</f>
        <v/>
      </c>
      <c r="M1439" s="7">
        <f>IF(K1439&lt;I1439,"✕ INSUFFISANT",IF(K1439&lt;I1439*1.2,"⚠ STOCK FAIBLE","✓ COUVERT"))</f>
        <v/>
      </c>
      <c r="N1439" s="7" t="inlineStr">
        <is>
          <t>VAL</t>
        </is>
      </c>
      <c r="O1439" s="7" t="inlineStr">
        <is>
          <t>IMPORTANT</t>
        </is>
      </c>
      <c r="P1439" s="7" t="inlineStr">
        <is>
          <t>31/08/2026 02:59</t>
        </is>
      </c>
    </row>
    <row r="1440">
      <c r="A1440" s="8" t="inlineStr">
        <is>
          <t>WHAP 8x8</t>
        </is>
      </c>
      <c r="B1440" s="8" t="inlineStr">
        <is>
          <t>WHAP-1436</t>
        </is>
      </c>
      <c r="C1440" s="8" t="inlineStr">
        <is>
          <t>ELC-1436</t>
        </is>
      </c>
      <c r="D1440" s="8" t="inlineStr">
        <is>
          <t>calculateur ABS — moteur</t>
        </is>
      </c>
      <c r="E1440" s="8" t="inlineStr">
        <is>
          <t>Électronique et capteurs</t>
        </is>
      </c>
      <c r="F1440" s="8" t="inlineStr">
        <is>
          <t>Électronique et capteurs</t>
        </is>
      </c>
      <c r="G1440" s="8" t="inlineStr">
        <is>
          <t>PIECE_VEHICULE</t>
        </is>
      </c>
      <c r="H1440" s="8" t="n">
        <v>1</v>
      </c>
      <c r="I1440" s="8">
        <f>H1440*$D$3</f>
        <v/>
      </c>
      <c r="J1440" s="8" t="inlineStr">
        <is>
          <t>unité</t>
        </is>
      </c>
      <c r="K1440" s="8" t="n">
        <v>0</v>
      </c>
      <c r="L1440" s="8">
        <f>K1440-I1440</f>
        <v/>
      </c>
      <c r="M1440" s="8">
        <f>IF(K1440&lt;I1440,"✕ INSUFFISANT",IF(K1440&lt;I1440*1.2,"⚠ STOCK FAIBLE","✓ COUVERT"))</f>
        <v/>
      </c>
      <c r="N1440" s="8" t="inlineStr">
        <is>
          <t>BOS</t>
        </is>
      </c>
      <c r="O1440" s="8" t="inlineStr">
        <is>
          <t>IMPORTANT</t>
        </is>
      </c>
      <c r="P1440" s="8" t="inlineStr">
        <is>
          <t>31/08/2026 02:59</t>
        </is>
      </c>
    </row>
    <row r="1441">
      <c r="A1441" s="7" t="inlineStr">
        <is>
          <t>WHAP 8x8</t>
        </is>
      </c>
      <c r="B1441" s="7" t="inlineStr">
        <is>
          <t>WHAP-1437</t>
        </is>
      </c>
      <c r="C1441" s="7" t="inlineStr">
        <is>
          <t>ELC-1437</t>
        </is>
      </c>
      <c r="D1441" s="7" t="inlineStr">
        <is>
          <t>calculateur CTIS — moteur</t>
        </is>
      </c>
      <c r="E1441" s="7" t="inlineStr">
        <is>
          <t>Électronique et capteurs</t>
        </is>
      </c>
      <c r="F1441" s="7" t="inlineStr">
        <is>
          <t>Électronique et capteurs</t>
        </is>
      </c>
      <c r="G1441" s="7" t="inlineStr">
        <is>
          <t>PIECE_VEHICULE</t>
        </is>
      </c>
      <c r="H1441" s="7" t="n">
        <v>1</v>
      </c>
      <c r="I1441" s="7">
        <f>H1441*$D$3</f>
        <v/>
      </c>
      <c r="J1441" s="7" t="inlineStr">
        <is>
          <t>unité</t>
        </is>
      </c>
      <c r="K1441" s="7" t="n">
        <v>0</v>
      </c>
      <c r="L1441" s="7">
        <f>K1441-I1441</f>
        <v/>
      </c>
      <c r="M1441" s="7">
        <f>IF(K1441&lt;I1441,"✕ INSUFFISANT",IF(K1441&lt;I1441*1.2,"⚠ STOCK FAIBLE","✓ COUVERT"))</f>
        <v/>
      </c>
      <c r="N1441" s="7" t="inlineStr">
        <is>
          <t>MAG</t>
        </is>
      </c>
      <c r="O1441" s="7" t="inlineStr">
        <is>
          <t>IMPORTANT</t>
        </is>
      </c>
      <c r="P1441" s="7" t="inlineStr">
        <is>
          <t>31/08/2026 02:59</t>
        </is>
      </c>
    </row>
    <row r="1442">
      <c r="A1442" s="8" t="inlineStr">
        <is>
          <t>WHAP 8x8</t>
        </is>
      </c>
      <c r="B1442" s="8" t="inlineStr">
        <is>
          <t>WHAP-1438</t>
        </is>
      </c>
      <c r="C1442" s="8" t="inlineStr">
        <is>
          <t>ELC-1438</t>
        </is>
      </c>
      <c r="D1442" s="8" t="inlineStr">
        <is>
          <t>unité de contrôle véhicule — moteur</t>
        </is>
      </c>
      <c r="E1442" s="8" t="inlineStr">
        <is>
          <t>Électronique et capteurs</t>
        </is>
      </c>
      <c r="F1442" s="8" t="inlineStr">
        <is>
          <t>Électronique et capteurs</t>
        </is>
      </c>
      <c r="G1442" s="8" t="inlineStr">
        <is>
          <t>PIECE_VEHICULE</t>
        </is>
      </c>
      <c r="H1442" s="8" t="n">
        <v>1</v>
      </c>
      <c r="I1442" s="8">
        <f>H1442*$D$3</f>
        <v/>
      </c>
      <c r="J1442" s="8" t="inlineStr">
        <is>
          <t>unité</t>
        </is>
      </c>
      <c r="K1442" s="8" t="n">
        <v>0</v>
      </c>
      <c r="L1442" s="8">
        <f>K1442-I1442</f>
        <v/>
      </c>
      <c r="M1442" s="8">
        <f>IF(K1442&lt;I1442,"✕ INSUFFISANT",IF(K1442&lt;I1442*1.2,"⚠ STOCK FAIBLE","✓ COUVERT"))</f>
        <v/>
      </c>
      <c r="N1442" s="8" t="inlineStr">
        <is>
          <t>HEL</t>
        </is>
      </c>
      <c r="O1442" s="8" t="inlineStr">
        <is>
          <t>IMPORTANT</t>
        </is>
      </c>
      <c r="P1442" s="8" t="inlineStr">
        <is>
          <t>31/08/2026 02:59</t>
        </is>
      </c>
    </row>
    <row r="1443">
      <c r="A1443" s="7" t="inlineStr">
        <is>
          <t>WHAP 8x8</t>
        </is>
      </c>
      <c r="B1443" s="7" t="inlineStr">
        <is>
          <t>WHAP-1439</t>
        </is>
      </c>
      <c r="C1443" s="7" t="inlineStr">
        <is>
          <t>ELC-1439</t>
        </is>
      </c>
      <c r="D1443" s="7" t="inlineStr">
        <is>
          <t>module I/O — moteur</t>
        </is>
      </c>
      <c r="E1443" s="7" t="inlineStr">
        <is>
          <t>Électronique et capteurs</t>
        </is>
      </c>
      <c r="F1443" s="7" t="inlineStr">
        <is>
          <t>Électronique et capteurs</t>
        </is>
      </c>
      <c r="G1443" s="7" t="inlineStr">
        <is>
          <t>PIECE_VEHICULE</t>
        </is>
      </c>
      <c r="H1443" s="7" t="n">
        <v>1</v>
      </c>
      <c r="I1443" s="7">
        <f>H1443*$D$3</f>
        <v/>
      </c>
      <c r="J1443" s="7" t="inlineStr">
        <is>
          <t>unité</t>
        </is>
      </c>
      <c r="K1443" s="7" t="n">
        <v>0</v>
      </c>
      <c r="L1443" s="7">
        <f>K1443-I1443</f>
        <v/>
      </c>
      <c r="M1443" s="7">
        <f>IF(K1443&lt;I1443,"✕ INSUFFISANT",IF(K1443&lt;I1443*1.2,"⚠ STOCK FAIBLE","✓ COUVERT"))</f>
        <v/>
      </c>
      <c r="N1443" s="7" t="inlineStr">
        <is>
          <t>DEL</t>
        </is>
      </c>
      <c r="O1443" s="7" t="inlineStr">
        <is>
          <t>IMPORTANT</t>
        </is>
      </c>
      <c r="P1443" s="7" t="inlineStr">
        <is>
          <t>31/08/2026 02:59</t>
        </is>
      </c>
    </row>
    <row r="1444">
      <c r="A1444" s="8" t="inlineStr">
        <is>
          <t>WHAP 8x8</t>
        </is>
      </c>
      <c r="B1444" s="8" t="inlineStr">
        <is>
          <t>WHAP-1440</t>
        </is>
      </c>
      <c r="C1444" s="8" t="inlineStr">
        <is>
          <t>ELC-1440</t>
        </is>
      </c>
      <c r="D1444" s="8" t="inlineStr">
        <is>
          <t>capteur température — moteur</t>
        </is>
      </c>
      <c r="E1444" s="8" t="inlineStr">
        <is>
          <t>Électronique et capteurs</t>
        </is>
      </c>
      <c r="F1444" s="8" t="inlineStr">
        <is>
          <t>Électronique et capteurs</t>
        </is>
      </c>
      <c r="G1444" s="8" t="inlineStr">
        <is>
          <t>PIECE_VEHICULE</t>
        </is>
      </c>
      <c r="H1444" s="8" t="n">
        <v>1</v>
      </c>
      <c r="I1444" s="8">
        <f>H1444*$D$3</f>
        <v/>
      </c>
      <c r="J1444" s="8" t="inlineStr">
        <is>
          <t>unité</t>
        </is>
      </c>
      <c r="K1444" s="8" t="n">
        <v>0</v>
      </c>
      <c r="L1444" s="8">
        <f>K1444-I1444</f>
        <v/>
      </c>
      <c r="M1444" s="8">
        <f>IF(K1444&lt;I1444,"✕ INSUFFISANT",IF(K1444&lt;I1444*1.2,"⚠ STOCK FAIBLE","✓ COUVERT"))</f>
        <v/>
      </c>
      <c r="N1444" s="8" t="inlineStr">
        <is>
          <t>MAG</t>
        </is>
      </c>
      <c r="O1444" s="8" t="inlineStr">
        <is>
          <t>IMPORTANT</t>
        </is>
      </c>
      <c r="P1444" s="8" t="inlineStr">
        <is>
          <t>31/08/2026 02:59</t>
        </is>
      </c>
    </row>
    <row r="1445">
      <c r="A1445" s="7" t="inlineStr">
        <is>
          <t>WHAP 8x8</t>
        </is>
      </c>
      <c r="B1445" s="7" t="inlineStr">
        <is>
          <t>WHAP-1441</t>
        </is>
      </c>
      <c r="C1445" s="7" t="inlineStr">
        <is>
          <t>ELC-1441</t>
        </is>
      </c>
      <c r="D1445" s="7" t="inlineStr">
        <is>
          <t>capteur pression — moteur</t>
        </is>
      </c>
      <c r="E1445" s="7" t="inlineStr">
        <is>
          <t>Électronique et capteurs</t>
        </is>
      </c>
      <c r="F1445" s="7" t="inlineStr">
        <is>
          <t>Électronique et capteurs</t>
        </is>
      </c>
      <c r="G1445" s="7" t="inlineStr">
        <is>
          <t>PIECE_VEHICULE</t>
        </is>
      </c>
      <c r="H1445" s="7" t="n">
        <v>1</v>
      </c>
      <c r="I1445" s="7">
        <f>H1445*$D$3</f>
        <v/>
      </c>
      <c r="J1445" s="7" t="inlineStr">
        <is>
          <t>unité</t>
        </is>
      </c>
      <c r="K1445" s="7" t="n">
        <v>0</v>
      </c>
      <c r="L1445" s="7">
        <f>K1445-I1445</f>
        <v/>
      </c>
      <c r="M1445" s="7">
        <f>IF(K1445&lt;I1445,"✕ INSUFFISANT",IF(K1445&lt;I1445*1.2,"⚠ STOCK FAIBLE","✓ COUVERT"))</f>
        <v/>
      </c>
      <c r="N1445" s="7" t="inlineStr">
        <is>
          <t>DEL</t>
        </is>
      </c>
      <c r="O1445" s="7" t="inlineStr">
        <is>
          <t>IMPORTANT</t>
        </is>
      </c>
      <c r="P1445" s="7" t="inlineStr">
        <is>
          <t>31/08/2026 02:59</t>
        </is>
      </c>
    </row>
    <row r="1446">
      <c r="A1446" s="8" t="inlineStr">
        <is>
          <t>WHAP 8x8</t>
        </is>
      </c>
      <c r="B1446" s="8" t="inlineStr">
        <is>
          <t>WHAP-1442</t>
        </is>
      </c>
      <c r="C1446" s="8" t="inlineStr">
        <is>
          <t>ELC-1442</t>
        </is>
      </c>
      <c r="D1446" s="8" t="inlineStr">
        <is>
          <t>capteur vitesse — moteur</t>
        </is>
      </c>
      <c r="E1446" s="8" t="inlineStr">
        <is>
          <t>Électronique et capteurs</t>
        </is>
      </c>
      <c r="F1446" s="8" t="inlineStr">
        <is>
          <t>Électronique et capteurs</t>
        </is>
      </c>
      <c r="G1446" s="8" t="inlineStr">
        <is>
          <t>PIECE_VEHICULE</t>
        </is>
      </c>
      <c r="H1446" s="8" t="n">
        <v>1</v>
      </c>
      <c r="I1446" s="8">
        <f>H1446*$D$3</f>
        <v/>
      </c>
      <c r="J1446" s="8" t="inlineStr">
        <is>
          <t>unité</t>
        </is>
      </c>
      <c r="K1446" s="8" t="n">
        <v>0</v>
      </c>
      <c r="L1446" s="8">
        <f>K1446-I1446</f>
        <v/>
      </c>
      <c r="M1446" s="8">
        <f>IF(K1446&lt;I1446,"✕ INSUFFISANT",IF(K1446&lt;I1446*1.2,"⚠ STOCK FAIBLE","✓ COUVERT"))</f>
        <v/>
      </c>
      <c r="N1446" s="8" t="inlineStr">
        <is>
          <t>BOS</t>
        </is>
      </c>
      <c r="O1446" s="8" t="inlineStr">
        <is>
          <t>IMPORTANT</t>
        </is>
      </c>
      <c r="P1446" s="8" t="inlineStr">
        <is>
          <t>31/08/2026 02:59</t>
        </is>
      </c>
    </row>
    <row r="1447">
      <c r="A1447" s="7" t="inlineStr">
        <is>
          <t>WHAP 8x8</t>
        </is>
      </c>
      <c r="B1447" s="7" t="inlineStr">
        <is>
          <t>WHAP-1443</t>
        </is>
      </c>
      <c r="C1447" s="7" t="inlineStr">
        <is>
          <t>ELC-1443</t>
        </is>
      </c>
      <c r="D1447" s="7" t="inlineStr">
        <is>
          <t>capteur position — moteur</t>
        </is>
      </c>
      <c r="E1447" s="7" t="inlineStr">
        <is>
          <t>Électronique et capteurs</t>
        </is>
      </c>
      <c r="F1447" s="7" t="inlineStr">
        <is>
          <t>Électronique et capteurs</t>
        </is>
      </c>
      <c r="G1447" s="7" t="inlineStr">
        <is>
          <t>PIECE_VEHICULE</t>
        </is>
      </c>
      <c r="H1447" s="7" t="n">
        <v>1</v>
      </c>
      <c r="I1447" s="7">
        <f>H1447*$D$3</f>
        <v/>
      </c>
      <c r="J1447" s="7" t="inlineStr">
        <is>
          <t>unité</t>
        </is>
      </c>
      <c r="K1447" s="7" t="n">
        <v>0</v>
      </c>
      <c r="L1447" s="7">
        <f>K1447-I1447</f>
        <v/>
      </c>
      <c r="M1447" s="7">
        <f>IF(K1447&lt;I1447,"✕ INSUFFISANT",IF(K1447&lt;I1447*1.2,"⚠ STOCK FAIBLE","✓ COUVERT"))</f>
        <v/>
      </c>
      <c r="N1447" s="7" t="inlineStr">
        <is>
          <t>FAU</t>
        </is>
      </c>
      <c r="O1447" s="7" t="inlineStr">
        <is>
          <t>IMPORTANT</t>
        </is>
      </c>
      <c r="P1447" s="7" t="inlineStr">
        <is>
          <t>31/08/2026 02:59</t>
        </is>
      </c>
    </row>
    <row r="1448">
      <c r="A1448" s="8" t="inlineStr">
        <is>
          <t>WHAP 8x8</t>
        </is>
      </c>
      <c r="B1448" s="8" t="inlineStr">
        <is>
          <t>WHAP-1444</t>
        </is>
      </c>
      <c r="C1448" s="8" t="inlineStr">
        <is>
          <t>ELC-1444</t>
        </is>
      </c>
      <c r="D1448" s="8" t="inlineStr">
        <is>
          <t>capteur niveau — moteur</t>
        </is>
      </c>
      <c r="E1448" s="8" t="inlineStr">
        <is>
          <t>Électronique et capteurs</t>
        </is>
      </c>
      <c r="F1448" s="8" t="inlineStr">
        <is>
          <t>Électronique et capteurs</t>
        </is>
      </c>
      <c r="G1448" s="8" t="inlineStr">
        <is>
          <t>PIECE_VEHICULE</t>
        </is>
      </c>
      <c r="H1448" s="8" t="n">
        <v>1</v>
      </c>
      <c r="I1448" s="8">
        <f>H1448*$D$3</f>
        <v/>
      </c>
      <c r="J1448" s="8" t="inlineStr">
        <is>
          <t>unité</t>
        </is>
      </c>
      <c r="K1448" s="8" t="n">
        <v>0</v>
      </c>
      <c r="L1448" s="8">
        <f>K1448-I1448</f>
        <v/>
      </c>
      <c r="M1448" s="8">
        <f>IF(K1448&lt;I1448,"✕ INSUFFISANT",IF(K1448&lt;I1448*1.2,"⚠ STOCK FAIBLE","✓ COUVERT"))</f>
        <v/>
      </c>
      <c r="N1448" s="8" t="inlineStr">
        <is>
          <t>CTL</t>
        </is>
      </c>
      <c r="O1448" s="8" t="inlineStr">
        <is>
          <t>IMPORTANT</t>
        </is>
      </c>
      <c r="P1448" s="8" t="inlineStr">
        <is>
          <t>31/08/2026 02:59</t>
        </is>
      </c>
    </row>
    <row r="1449">
      <c r="A1449" s="7" t="inlineStr">
        <is>
          <t>WHAP 8x8</t>
        </is>
      </c>
      <c r="B1449" s="7" t="inlineStr">
        <is>
          <t>WHAP-1445</t>
        </is>
      </c>
      <c r="C1449" s="7" t="inlineStr">
        <is>
          <t>ELC-1445</t>
        </is>
      </c>
      <c r="D1449" s="7" t="inlineStr">
        <is>
          <t>capteur débit — moteur</t>
        </is>
      </c>
      <c r="E1449" s="7" t="inlineStr">
        <is>
          <t>Électronique et capteurs</t>
        </is>
      </c>
      <c r="F1449" s="7" t="inlineStr">
        <is>
          <t>Électronique et capteurs</t>
        </is>
      </c>
      <c r="G1449" s="7" t="inlineStr">
        <is>
          <t>PIECE_VEHICULE</t>
        </is>
      </c>
      <c r="H1449" s="7" t="n">
        <v>1</v>
      </c>
      <c r="I1449" s="7">
        <f>H1449*$D$3</f>
        <v/>
      </c>
      <c r="J1449" s="7" t="inlineStr">
        <is>
          <t>unité</t>
        </is>
      </c>
      <c r="K1449" s="7" t="n">
        <v>0</v>
      </c>
      <c r="L1449" s="7">
        <f>K1449-I1449</f>
        <v/>
      </c>
      <c r="M1449" s="7">
        <f>IF(K1449&lt;I1449,"✕ INSUFFISANT",IF(K1449&lt;I1449*1.2,"⚠ STOCK FAIBLE","✓ COUVERT"))</f>
        <v/>
      </c>
      <c r="N1449" s="7" t="inlineStr">
        <is>
          <t>CTL</t>
        </is>
      </c>
      <c r="O1449" s="7" t="inlineStr">
        <is>
          <t>IMPORTANT</t>
        </is>
      </c>
      <c r="P1449" s="7" t="inlineStr">
        <is>
          <t>31/08/2026 02:59</t>
        </is>
      </c>
    </row>
    <row r="1450">
      <c r="A1450" s="8" t="inlineStr">
        <is>
          <t>WHAP 8x8</t>
        </is>
      </c>
      <c r="B1450" s="8" t="inlineStr">
        <is>
          <t>WHAP-1446</t>
        </is>
      </c>
      <c r="C1450" s="8" t="inlineStr">
        <is>
          <t>ELC-1446</t>
        </is>
      </c>
      <c r="D1450" s="8" t="inlineStr">
        <is>
          <t>capteur accélération — moteur</t>
        </is>
      </c>
      <c r="E1450" s="8" t="inlineStr">
        <is>
          <t>Électronique et capteurs</t>
        </is>
      </c>
      <c r="F1450" s="8" t="inlineStr">
        <is>
          <t>Électronique et capteurs</t>
        </is>
      </c>
      <c r="G1450" s="8" t="inlineStr">
        <is>
          <t>PIECE_VEHICULE</t>
        </is>
      </c>
      <c r="H1450" s="8" t="n">
        <v>1</v>
      </c>
      <c r="I1450" s="8">
        <f>H1450*$D$3</f>
        <v/>
      </c>
      <c r="J1450" s="8" t="inlineStr">
        <is>
          <t>unité</t>
        </is>
      </c>
      <c r="K1450" s="8" t="n">
        <v>0</v>
      </c>
      <c r="L1450" s="8">
        <f>K1450-I1450</f>
        <v/>
      </c>
      <c r="M1450" s="8">
        <f>IF(K1450&lt;I1450,"✕ INSUFFISANT",IF(K1450&lt;I1450*1.2,"⚠ STOCK FAIBLE","✓ COUVERT"))</f>
        <v/>
      </c>
      <c r="N1450" s="8" t="inlineStr">
        <is>
          <t>HEL</t>
        </is>
      </c>
      <c r="O1450" s="8" t="inlineStr">
        <is>
          <t>IMPORTANT</t>
        </is>
      </c>
      <c r="P1450" s="8" t="inlineStr">
        <is>
          <t>31/08/2026 02:59</t>
        </is>
      </c>
    </row>
    <row r="1451">
      <c r="A1451" s="7" t="inlineStr">
        <is>
          <t>WHAP 8x8</t>
        </is>
      </c>
      <c r="B1451" s="7" t="inlineStr">
        <is>
          <t>WHAP-1447</t>
        </is>
      </c>
      <c r="C1451" s="7" t="inlineStr">
        <is>
          <t>ELC-1447</t>
        </is>
      </c>
      <c r="D1451" s="7" t="inlineStr">
        <is>
          <t>capteur inclinaison — moteur</t>
        </is>
      </c>
      <c r="E1451" s="7" t="inlineStr">
        <is>
          <t>Électronique et capteurs</t>
        </is>
      </c>
      <c r="F1451" s="7" t="inlineStr">
        <is>
          <t>Électronique et capteurs</t>
        </is>
      </c>
      <c r="G1451" s="7" t="inlineStr">
        <is>
          <t>PIECE_VEHICULE</t>
        </is>
      </c>
      <c r="H1451" s="7" t="n">
        <v>1</v>
      </c>
      <c r="I1451" s="7">
        <f>H1451*$D$3</f>
        <v/>
      </c>
      <c r="J1451" s="7" t="inlineStr">
        <is>
          <t>unité</t>
        </is>
      </c>
      <c r="K1451" s="7" t="n">
        <v>0</v>
      </c>
      <c r="L1451" s="7">
        <f>K1451-I1451</f>
        <v/>
      </c>
      <c r="M1451" s="7">
        <f>IF(K1451&lt;I1451,"✕ INSUFFISANT",IF(K1451&lt;I1451*1.2,"⚠ STOCK FAIBLE","✓ COUVERT"))</f>
        <v/>
      </c>
      <c r="N1451" s="7" t="inlineStr">
        <is>
          <t>BOS</t>
        </is>
      </c>
      <c r="O1451" s="7" t="inlineStr">
        <is>
          <t>IMPORTANT</t>
        </is>
      </c>
      <c r="P1451" s="7" t="inlineStr">
        <is>
          <t>31/08/2026 02:59</t>
        </is>
      </c>
    </row>
    <row r="1452">
      <c r="A1452" s="8" t="inlineStr">
        <is>
          <t>WHAP 8x8</t>
        </is>
      </c>
      <c r="B1452" s="8" t="inlineStr">
        <is>
          <t>WHAP-1448</t>
        </is>
      </c>
      <c r="C1452" s="8" t="inlineStr">
        <is>
          <t>ELC-1448</t>
        </is>
      </c>
      <c r="D1452" s="8" t="inlineStr">
        <is>
          <t>capteur ouverture porte — moteur</t>
        </is>
      </c>
      <c r="E1452" s="8" t="inlineStr">
        <is>
          <t>Électronique et capteurs</t>
        </is>
      </c>
      <c r="F1452" s="8" t="inlineStr">
        <is>
          <t>Électronique et capteurs</t>
        </is>
      </c>
      <c r="G1452" s="8" t="inlineStr">
        <is>
          <t>PIECE_VEHICULE</t>
        </is>
      </c>
      <c r="H1452" s="8" t="n">
        <v>1</v>
      </c>
      <c r="I1452" s="8">
        <f>H1452*$D$3</f>
        <v/>
      </c>
      <c r="J1452" s="8" t="inlineStr">
        <is>
          <t>unité</t>
        </is>
      </c>
      <c r="K1452" s="8" t="n">
        <v>0</v>
      </c>
      <c r="L1452" s="8">
        <f>K1452-I1452</f>
        <v/>
      </c>
      <c r="M1452" s="8">
        <f>IF(K1452&lt;I1452,"✕ INSUFFISANT",IF(K1452&lt;I1452*1.2,"⚠ STOCK FAIBLE","✓ COUVERT"))</f>
        <v/>
      </c>
      <c r="N1452" s="8" t="inlineStr">
        <is>
          <t>SUM</t>
        </is>
      </c>
      <c r="O1452" s="8" t="inlineStr">
        <is>
          <t>IMPORTANT</t>
        </is>
      </c>
      <c r="P1452" s="8" t="inlineStr">
        <is>
          <t>31/08/2026 02:59</t>
        </is>
      </c>
    </row>
    <row r="1453">
      <c r="A1453" s="7" t="inlineStr">
        <is>
          <t>WHAP 8x8</t>
        </is>
      </c>
      <c r="B1453" s="7" t="inlineStr">
        <is>
          <t>WHAP-1449</t>
        </is>
      </c>
      <c r="C1453" s="7" t="inlineStr">
        <is>
          <t>ELC-1449</t>
        </is>
      </c>
      <c r="D1453" s="7" t="inlineStr">
        <is>
          <t>capteur présence — moteur</t>
        </is>
      </c>
      <c r="E1453" s="7" t="inlineStr">
        <is>
          <t>Électronique et capteurs</t>
        </is>
      </c>
      <c r="F1453" s="7" t="inlineStr">
        <is>
          <t>Électronique et capteurs</t>
        </is>
      </c>
      <c r="G1453" s="7" t="inlineStr">
        <is>
          <t>PIECE_VEHICULE</t>
        </is>
      </c>
      <c r="H1453" s="7" t="n">
        <v>1</v>
      </c>
      <c r="I1453" s="7">
        <f>H1453*$D$3</f>
        <v/>
      </c>
      <c r="J1453" s="7" t="inlineStr">
        <is>
          <t>unité</t>
        </is>
      </c>
      <c r="K1453" s="7" t="n">
        <v>0</v>
      </c>
      <c r="L1453" s="7">
        <f>K1453-I1453</f>
        <v/>
      </c>
      <c r="M1453" s="7">
        <f>IF(K1453&lt;I1453,"✕ INSUFFISANT",IF(K1453&lt;I1453*1.2,"⚠ STOCK FAIBLE","✓ COUVERT"))</f>
        <v/>
      </c>
      <c r="N1453" s="7" t="inlineStr">
        <is>
          <t>SUM</t>
        </is>
      </c>
      <c r="O1453" s="7" t="inlineStr">
        <is>
          <t>IMPORTANT</t>
        </is>
      </c>
      <c r="P1453" s="7" t="inlineStr">
        <is>
          <t>31/08/2026 02:59</t>
        </is>
      </c>
    </row>
    <row r="1454">
      <c r="A1454" s="8" t="inlineStr">
        <is>
          <t>WHAP 8x8</t>
        </is>
      </c>
      <c r="B1454" s="8" t="inlineStr">
        <is>
          <t>WHAP-1450</t>
        </is>
      </c>
      <c r="C1454" s="8" t="inlineStr">
        <is>
          <t>ELC-1450</t>
        </is>
      </c>
      <c r="D1454" s="8" t="inlineStr">
        <is>
          <t>capteur fumée — moteur</t>
        </is>
      </c>
      <c r="E1454" s="8" t="inlineStr">
        <is>
          <t>Électronique et capteurs</t>
        </is>
      </c>
      <c r="F1454" s="8" t="inlineStr">
        <is>
          <t>Électronique et capteurs</t>
        </is>
      </c>
      <c r="G1454" s="8" t="inlineStr">
        <is>
          <t>PIECE_VEHICULE</t>
        </is>
      </c>
      <c r="H1454" s="8" t="n">
        <v>1</v>
      </c>
      <c r="I1454" s="8">
        <f>H1454*$D$3</f>
        <v/>
      </c>
      <c r="J1454" s="8" t="inlineStr">
        <is>
          <t>unité</t>
        </is>
      </c>
      <c r="K1454" s="8" t="n">
        <v>0</v>
      </c>
      <c r="L1454" s="8">
        <f>K1454-I1454</f>
        <v/>
      </c>
      <c r="M1454" s="8">
        <f>IF(K1454&lt;I1454,"✕ INSUFFISANT",IF(K1454&lt;I1454*1.2,"⚠ STOCK FAIBLE","✓ COUVERT"))</f>
        <v/>
      </c>
      <c r="N1454" s="8" t="inlineStr">
        <is>
          <t>VAL</t>
        </is>
      </c>
      <c r="O1454" s="8" t="inlineStr">
        <is>
          <t>IMPORTANT</t>
        </is>
      </c>
      <c r="P1454" s="8" t="inlineStr">
        <is>
          <t>31/08/2026 02:59</t>
        </is>
      </c>
    </row>
    <row r="1455">
      <c r="A1455" s="7" t="inlineStr">
        <is>
          <t>WHAP 8x8</t>
        </is>
      </c>
      <c r="B1455" s="7" t="inlineStr">
        <is>
          <t>WHAP-1451</t>
        </is>
      </c>
      <c r="C1455" s="7" t="inlineStr">
        <is>
          <t>ELC-1451</t>
        </is>
      </c>
      <c r="D1455" s="7" t="inlineStr">
        <is>
          <t>capteur flamme — moteur</t>
        </is>
      </c>
      <c r="E1455" s="7" t="inlineStr">
        <is>
          <t>Électronique et capteurs</t>
        </is>
      </c>
      <c r="F1455" s="7" t="inlineStr">
        <is>
          <t>Électronique et capteurs</t>
        </is>
      </c>
      <c r="G1455" s="7" t="inlineStr">
        <is>
          <t>PIECE_VEHICULE</t>
        </is>
      </c>
      <c r="H1455" s="7" t="n">
        <v>1</v>
      </c>
      <c r="I1455" s="7">
        <f>H1455*$D$3</f>
        <v/>
      </c>
      <c r="J1455" s="7" t="inlineStr">
        <is>
          <t>unité</t>
        </is>
      </c>
      <c r="K1455" s="7" t="n">
        <v>0</v>
      </c>
      <c r="L1455" s="7">
        <f>K1455-I1455</f>
        <v/>
      </c>
      <c r="M1455" s="7">
        <f>IF(K1455&lt;I1455,"✕ INSUFFISANT",IF(K1455&lt;I1455*1.2,"⚠ STOCK FAIBLE","✓ COUVERT"))</f>
        <v/>
      </c>
      <c r="N1455" s="7" t="inlineStr">
        <is>
          <t>FAU</t>
        </is>
      </c>
      <c r="O1455" s="7" t="inlineStr">
        <is>
          <t>IMPORTANT</t>
        </is>
      </c>
      <c r="P1455" s="7" t="inlineStr">
        <is>
          <t>31/08/2026 02:59</t>
        </is>
      </c>
    </row>
    <row r="1456">
      <c r="A1456" s="8" t="inlineStr">
        <is>
          <t>WHAP 8x8</t>
        </is>
      </c>
      <c r="B1456" s="8" t="inlineStr">
        <is>
          <t>WHAP-1452</t>
        </is>
      </c>
      <c r="C1456" s="8" t="inlineStr">
        <is>
          <t>ELC-1452</t>
        </is>
      </c>
      <c r="D1456" s="8" t="inlineStr">
        <is>
          <t>capteur CO2 — moteur</t>
        </is>
      </c>
      <c r="E1456" s="8" t="inlineStr">
        <is>
          <t>Électronique et capteurs</t>
        </is>
      </c>
      <c r="F1456" s="8" t="inlineStr">
        <is>
          <t>Électronique et capteurs</t>
        </is>
      </c>
      <c r="G1456" s="8" t="inlineStr">
        <is>
          <t>PIECE_VEHICULE</t>
        </is>
      </c>
      <c r="H1456" s="8" t="n">
        <v>1</v>
      </c>
      <c r="I1456" s="8">
        <f>H1456*$D$3</f>
        <v/>
      </c>
      <c r="J1456" s="8" t="inlineStr">
        <is>
          <t>unité</t>
        </is>
      </c>
      <c r="K1456" s="8" t="n">
        <v>0</v>
      </c>
      <c r="L1456" s="8">
        <f>K1456-I1456</f>
        <v/>
      </c>
      <c r="M1456" s="8">
        <f>IF(K1456&lt;I1456,"✕ INSUFFISANT",IF(K1456&lt;I1456*1.2,"⚠ STOCK FAIBLE","✓ COUVERT"))</f>
        <v/>
      </c>
      <c r="N1456" s="8" t="inlineStr">
        <is>
          <t>VAL</t>
        </is>
      </c>
      <c r="O1456" s="8" t="inlineStr">
        <is>
          <t>IMPORTANT</t>
        </is>
      </c>
      <c r="P1456" s="8" t="inlineStr">
        <is>
          <t>31/08/2026 02:59</t>
        </is>
      </c>
    </row>
    <row r="1457">
      <c r="A1457" s="7" t="inlineStr">
        <is>
          <t>WHAP 8x8</t>
        </is>
      </c>
      <c r="B1457" s="7" t="inlineStr">
        <is>
          <t>WHAP-1453</t>
        </is>
      </c>
      <c r="C1457" s="7" t="inlineStr">
        <is>
          <t>ELC-1453</t>
        </is>
      </c>
      <c r="D1457" s="7" t="inlineStr">
        <is>
          <t>capteur humidité — moteur</t>
        </is>
      </c>
      <c r="E1457" s="7" t="inlineStr">
        <is>
          <t>Électronique et capteurs</t>
        </is>
      </c>
      <c r="F1457" s="7" t="inlineStr">
        <is>
          <t>Électronique et capteurs</t>
        </is>
      </c>
      <c r="G1457" s="7" t="inlineStr">
        <is>
          <t>PIECE_VEHICULE</t>
        </is>
      </c>
      <c r="H1457" s="7" t="n">
        <v>1</v>
      </c>
      <c r="I1457" s="7">
        <f>H1457*$D$3</f>
        <v/>
      </c>
      <c r="J1457" s="7" t="inlineStr">
        <is>
          <t>unité</t>
        </is>
      </c>
      <c r="K1457" s="7" t="n">
        <v>0</v>
      </c>
      <c r="L1457" s="7">
        <f>K1457-I1457</f>
        <v/>
      </c>
      <c r="M1457" s="7">
        <f>IF(K1457&lt;I1457,"✕ INSUFFISANT",IF(K1457&lt;I1457*1.2,"⚠ STOCK FAIBLE","✓ COUVERT"))</f>
        <v/>
      </c>
      <c r="N1457" s="7" t="inlineStr">
        <is>
          <t>SUM</t>
        </is>
      </c>
      <c r="O1457" s="7" t="inlineStr">
        <is>
          <t>IMPORTANT</t>
        </is>
      </c>
      <c r="P1457" s="7" t="inlineStr">
        <is>
          <t>31/08/2026 02:59</t>
        </is>
      </c>
    </row>
    <row r="1458">
      <c r="A1458" s="8" t="inlineStr">
        <is>
          <t>WHAP 8x8</t>
        </is>
      </c>
      <c r="B1458" s="8" t="inlineStr">
        <is>
          <t>WHAP-1454</t>
        </is>
      </c>
      <c r="C1458" s="8" t="inlineStr">
        <is>
          <t>ELC-1454</t>
        </is>
      </c>
      <c r="D1458" s="8" t="inlineStr">
        <is>
          <t>capteur vibration — moteur</t>
        </is>
      </c>
      <c r="E1458" s="8" t="inlineStr">
        <is>
          <t>Électronique et capteurs</t>
        </is>
      </c>
      <c r="F1458" s="8" t="inlineStr">
        <is>
          <t>Électronique et capteurs</t>
        </is>
      </c>
      <c r="G1458" s="8" t="inlineStr">
        <is>
          <t>PIECE_VEHICULE</t>
        </is>
      </c>
      <c r="H1458" s="8" t="n">
        <v>1</v>
      </c>
      <c r="I1458" s="8">
        <f>H1458*$D$3</f>
        <v/>
      </c>
      <c r="J1458" s="8" t="inlineStr">
        <is>
          <t>unité</t>
        </is>
      </c>
      <c r="K1458" s="8" t="n">
        <v>0</v>
      </c>
      <c r="L1458" s="8">
        <f>K1458-I1458</f>
        <v/>
      </c>
      <c r="M1458" s="8">
        <f>IF(K1458&lt;I1458,"✕ INSUFFISANT",IF(K1458&lt;I1458*1.2,"⚠ STOCK FAIBLE","✓ COUVERT"))</f>
        <v/>
      </c>
      <c r="N1458" s="8" t="inlineStr">
        <is>
          <t>DEL</t>
        </is>
      </c>
      <c r="O1458" s="8" t="inlineStr">
        <is>
          <t>IMPORTANT</t>
        </is>
      </c>
      <c r="P1458" s="8" t="inlineStr">
        <is>
          <t>31/08/2026 02:59</t>
        </is>
      </c>
    </row>
    <row r="1459">
      <c r="A1459" s="7" t="inlineStr">
        <is>
          <t>WHAP 8x8</t>
        </is>
      </c>
      <c r="B1459" s="7" t="inlineStr">
        <is>
          <t>WHAP-1455</t>
        </is>
      </c>
      <c r="C1459" s="7" t="inlineStr">
        <is>
          <t>ELC-1455</t>
        </is>
      </c>
      <c r="D1459" s="7" t="inlineStr">
        <is>
          <t>antenne — moteur</t>
        </is>
      </c>
      <c r="E1459" s="7" t="inlineStr">
        <is>
          <t>Électronique et capteurs</t>
        </is>
      </c>
      <c r="F1459" s="7" t="inlineStr">
        <is>
          <t>Électronique et capteurs</t>
        </is>
      </c>
      <c r="G1459" s="7" t="inlineStr">
        <is>
          <t>PIECE_VEHICULE</t>
        </is>
      </c>
      <c r="H1459" s="7" t="n">
        <v>1</v>
      </c>
      <c r="I1459" s="7">
        <f>H1459*$D$3</f>
        <v/>
      </c>
      <c r="J1459" s="7" t="inlineStr">
        <is>
          <t>unité</t>
        </is>
      </c>
      <c r="K1459" s="7" t="n">
        <v>0</v>
      </c>
      <c r="L1459" s="7">
        <f>K1459-I1459</f>
        <v/>
      </c>
      <c r="M1459" s="7">
        <f>IF(K1459&lt;I1459,"✕ INSUFFISANT",IF(K1459&lt;I1459*1.2,"⚠ STOCK FAIBLE","✓ COUVERT"))</f>
        <v/>
      </c>
      <c r="N1459" s="7" t="inlineStr">
        <is>
          <t>DEL</t>
        </is>
      </c>
      <c r="O1459" s="7" t="inlineStr">
        <is>
          <t>IMPORTANT</t>
        </is>
      </c>
      <c r="P1459" s="7" t="inlineStr">
        <is>
          <t>31/08/2026 02:59</t>
        </is>
      </c>
    </row>
    <row r="1460">
      <c r="A1460" s="8" t="inlineStr">
        <is>
          <t>WHAP 8x8</t>
        </is>
      </c>
      <c r="B1460" s="8" t="inlineStr">
        <is>
          <t>WHAP-1456</t>
        </is>
      </c>
      <c r="C1460" s="8" t="inlineStr">
        <is>
          <t>ELC-1456</t>
        </is>
      </c>
      <c r="D1460" s="8" t="inlineStr">
        <is>
          <t>module GPS — moteur</t>
        </is>
      </c>
      <c r="E1460" s="8" t="inlineStr">
        <is>
          <t>Électronique et capteurs</t>
        </is>
      </c>
      <c r="F1460" s="8" t="inlineStr">
        <is>
          <t>Électronique et capteurs</t>
        </is>
      </c>
      <c r="G1460" s="8" t="inlineStr">
        <is>
          <t>PIECE_VEHICULE</t>
        </is>
      </c>
      <c r="H1460" s="8" t="n">
        <v>1</v>
      </c>
      <c r="I1460" s="8">
        <f>H1460*$D$3</f>
        <v/>
      </c>
      <c r="J1460" s="8" t="inlineStr">
        <is>
          <t>unité</t>
        </is>
      </c>
      <c r="K1460" s="8" t="n">
        <v>0</v>
      </c>
      <c r="L1460" s="8">
        <f>K1460-I1460</f>
        <v/>
      </c>
      <c r="M1460" s="8">
        <f>IF(K1460&lt;I1460,"✕ INSUFFISANT",IF(K1460&lt;I1460*1.2,"⚠ STOCK FAIBLE","✓ COUVERT"))</f>
        <v/>
      </c>
      <c r="N1460" s="8" t="inlineStr">
        <is>
          <t>CTL</t>
        </is>
      </c>
      <c r="O1460" s="8" t="inlineStr">
        <is>
          <t>IMPORTANT</t>
        </is>
      </c>
      <c r="P1460" s="8" t="inlineStr">
        <is>
          <t>31/08/2026 02:59</t>
        </is>
      </c>
    </row>
    <row r="1461">
      <c r="A1461" s="7" t="inlineStr">
        <is>
          <t>WHAP 8x8</t>
        </is>
      </c>
      <c r="B1461" s="7" t="inlineStr">
        <is>
          <t>WHAP-1457</t>
        </is>
      </c>
      <c r="C1461" s="7" t="inlineStr">
        <is>
          <t>ELC-1457</t>
        </is>
      </c>
      <c r="D1461" s="7" t="inlineStr">
        <is>
          <t>module communication — moteur</t>
        </is>
      </c>
      <c r="E1461" s="7" t="inlineStr">
        <is>
          <t>Électronique et capteurs</t>
        </is>
      </c>
      <c r="F1461" s="7" t="inlineStr">
        <is>
          <t>Électronique et capteurs</t>
        </is>
      </c>
      <c r="G1461" s="7" t="inlineStr">
        <is>
          <t>PIECE_VEHICULE</t>
        </is>
      </c>
      <c r="H1461" s="7" t="n">
        <v>1</v>
      </c>
      <c r="I1461" s="7">
        <f>H1461*$D$3</f>
        <v/>
      </c>
      <c r="J1461" s="7" t="inlineStr">
        <is>
          <t>unité</t>
        </is>
      </c>
      <c r="K1461" s="7" t="n">
        <v>0</v>
      </c>
      <c r="L1461" s="7">
        <f>K1461-I1461</f>
        <v/>
      </c>
      <c r="M1461" s="7">
        <f>IF(K1461&lt;I1461,"✕ INSUFFISANT",IF(K1461&lt;I1461*1.2,"⚠ STOCK FAIBLE","✓ COUVERT"))</f>
        <v/>
      </c>
      <c r="N1461" s="7" t="inlineStr">
        <is>
          <t>HEL</t>
        </is>
      </c>
      <c r="O1461" s="7" t="inlineStr">
        <is>
          <t>IMPORTANT</t>
        </is>
      </c>
      <c r="P1461" s="7" t="inlineStr">
        <is>
          <t>31/08/2026 02:59</t>
        </is>
      </c>
    </row>
    <row r="1462">
      <c r="A1462" s="8" t="inlineStr">
        <is>
          <t>WHAP 8x8</t>
        </is>
      </c>
      <c r="B1462" s="8" t="inlineStr">
        <is>
          <t>WHAP-1458</t>
        </is>
      </c>
      <c r="C1462" s="8" t="inlineStr">
        <is>
          <t>ELC-1458</t>
        </is>
      </c>
      <c r="D1462" s="8" t="inlineStr">
        <is>
          <t>écran multifonction — moteur</t>
        </is>
      </c>
      <c r="E1462" s="8" t="inlineStr">
        <is>
          <t>Électronique et capteurs</t>
        </is>
      </c>
      <c r="F1462" s="8" t="inlineStr">
        <is>
          <t>Électronique et capteurs</t>
        </is>
      </c>
      <c r="G1462" s="8" t="inlineStr">
        <is>
          <t>PIECE_VEHICULE</t>
        </is>
      </c>
      <c r="H1462" s="8" t="n">
        <v>1</v>
      </c>
      <c r="I1462" s="8">
        <f>H1462*$D$3</f>
        <v/>
      </c>
      <c r="J1462" s="8" t="inlineStr">
        <is>
          <t>unité</t>
        </is>
      </c>
      <c r="K1462" s="8" t="n">
        <v>0</v>
      </c>
      <c r="L1462" s="8">
        <f>K1462-I1462</f>
        <v/>
      </c>
      <c r="M1462" s="8">
        <f>IF(K1462&lt;I1462,"✕ INSUFFISANT",IF(K1462&lt;I1462*1.2,"⚠ STOCK FAIBLE","✓ COUVERT"))</f>
        <v/>
      </c>
      <c r="N1462" s="8" t="inlineStr">
        <is>
          <t>BOS</t>
        </is>
      </c>
      <c r="O1462" s="8" t="inlineStr">
        <is>
          <t>IMPORTANT</t>
        </is>
      </c>
      <c r="P1462" s="8" t="inlineStr">
        <is>
          <t>31/08/2026 02:59</t>
        </is>
      </c>
    </row>
    <row r="1463">
      <c r="A1463" s="7" t="inlineStr">
        <is>
          <t>WHAP 8x8</t>
        </is>
      </c>
      <c r="B1463" s="7" t="inlineStr">
        <is>
          <t>WHAP-1459</t>
        </is>
      </c>
      <c r="C1463" s="7" t="inlineStr">
        <is>
          <t>ELC-1459</t>
        </is>
      </c>
      <c r="D1463" s="7" t="inlineStr">
        <is>
          <t>unité de diagnostic — moteur</t>
        </is>
      </c>
      <c r="E1463" s="7" t="inlineStr">
        <is>
          <t>Électronique et capteurs</t>
        </is>
      </c>
      <c r="F1463" s="7" t="inlineStr">
        <is>
          <t>Électronique et capteurs</t>
        </is>
      </c>
      <c r="G1463" s="7" t="inlineStr">
        <is>
          <t>PIECE_VEHICULE</t>
        </is>
      </c>
      <c r="H1463" s="7" t="n">
        <v>1</v>
      </c>
      <c r="I1463" s="7">
        <f>H1463*$D$3</f>
        <v/>
      </c>
      <c r="J1463" s="7" t="inlineStr">
        <is>
          <t>unité</t>
        </is>
      </c>
      <c r="K1463" s="7" t="n">
        <v>0</v>
      </c>
      <c r="L1463" s="7">
        <f>K1463-I1463</f>
        <v/>
      </c>
      <c r="M1463" s="7">
        <f>IF(K1463&lt;I1463,"✕ INSUFFISANT",IF(K1463&lt;I1463*1.2,"⚠ STOCK FAIBLE","✓ COUVERT"))</f>
        <v/>
      </c>
      <c r="N1463" s="7" t="inlineStr">
        <is>
          <t>SUM</t>
        </is>
      </c>
      <c r="O1463" s="7" t="inlineStr">
        <is>
          <t>IMPORTANT</t>
        </is>
      </c>
      <c r="P1463" s="7" t="inlineStr">
        <is>
          <t>31/08/2026 02:59</t>
        </is>
      </c>
    </row>
    <row r="1464">
      <c r="A1464" s="8" t="inlineStr">
        <is>
          <t>WHAP 8x8</t>
        </is>
      </c>
      <c r="B1464" s="8" t="inlineStr">
        <is>
          <t>WHAP-1460</t>
        </is>
      </c>
      <c r="C1464" s="8" t="inlineStr">
        <is>
          <t>ELC-1460</t>
        </is>
      </c>
      <c r="D1464" s="8" t="inlineStr">
        <is>
          <t>connecteur CAN — moteur</t>
        </is>
      </c>
      <c r="E1464" s="8" t="inlineStr">
        <is>
          <t>Électronique et capteurs</t>
        </is>
      </c>
      <c r="F1464" s="8" t="inlineStr">
        <is>
          <t>Électronique et capteurs</t>
        </is>
      </c>
      <c r="G1464" s="8" t="inlineStr">
        <is>
          <t>PIECE_VEHICULE</t>
        </is>
      </c>
      <c r="H1464" s="8" t="n">
        <v>1</v>
      </c>
      <c r="I1464" s="8">
        <f>H1464*$D$3</f>
        <v/>
      </c>
      <c r="J1464" s="8" t="inlineStr">
        <is>
          <t>unité</t>
        </is>
      </c>
      <c r="K1464" s="8" t="n">
        <v>0</v>
      </c>
      <c r="L1464" s="8">
        <f>K1464-I1464</f>
        <v/>
      </c>
      <c r="M1464" s="8">
        <f>IF(K1464&lt;I1464,"✕ INSUFFISANT",IF(K1464&lt;I1464*1.2,"⚠ STOCK FAIBLE","✓ COUVERT"))</f>
        <v/>
      </c>
      <c r="N1464" s="8" t="inlineStr">
        <is>
          <t>HEL</t>
        </is>
      </c>
      <c r="O1464" s="8" t="inlineStr">
        <is>
          <t>IMPORTANT</t>
        </is>
      </c>
      <c r="P1464" s="8" t="inlineStr">
        <is>
          <t>31/08/2026 02:59</t>
        </is>
      </c>
    </row>
    <row r="1465">
      <c r="A1465" s="7" t="inlineStr">
        <is>
          <t>WHAP 8x8</t>
        </is>
      </c>
      <c r="B1465" s="7" t="inlineStr">
        <is>
          <t>WHAP-1461</t>
        </is>
      </c>
      <c r="C1465" s="7" t="inlineStr">
        <is>
          <t>ELC-1461</t>
        </is>
      </c>
      <c r="D1465" s="7" t="inlineStr">
        <is>
          <t>terminaison CAN — moteur</t>
        </is>
      </c>
      <c r="E1465" s="7" t="inlineStr">
        <is>
          <t>Électronique et capteurs</t>
        </is>
      </c>
      <c r="F1465" s="7" t="inlineStr">
        <is>
          <t>Électronique et capteurs</t>
        </is>
      </c>
      <c r="G1465" s="7" t="inlineStr">
        <is>
          <t>PIECE_VEHICULE</t>
        </is>
      </c>
      <c r="H1465" s="7" t="n">
        <v>1</v>
      </c>
      <c r="I1465" s="7">
        <f>H1465*$D$3</f>
        <v/>
      </c>
      <c r="J1465" s="7" t="inlineStr">
        <is>
          <t>unité</t>
        </is>
      </c>
      <c r="K1465" s="7" t="n">
        <v>0</v>
      </c>
      <c r="L1465" s="7">
        <f>K1465-I1465</f>
        <v/>
      </c>
      <c r="M1465" s="7">
        <f>IF(K1465&lt;I1465,"✕ INSUFFISANT",IF(K1465&lt;I1465*1.2,"⚠ STOCK FAIBLE","✓ COUVERT"))</f>
        <v/>
      </c>
      <c r="N1465" s="7" t="inlineStr">
        <is>
          <t>VAL</t>
        </is>
      </c>
      <c r="O1465" s="7" t="inlineStr">
        <is>
          <t>IMPORTANT</t>
        </is>
      </c>
      <c r="P1465" s="7" t="inlineStr">
        <is>
          <t>31/08/2026 02:59</t>
        </is>
      </c>
    </row>
    <row r="1466">
      <c r="A1466" s="8" t="inlineStr">
        <is>
          <t>WHAP 8x8</t>
        </is>
      </c>
      <c r="B1466" s="8" t="inlineStr">
        <is>
          <t>WHAP-1462</t>
        </is>
      </c>
      <c r="C1466" s="8" t="inlineStr">
        <is>
          <t>ELC-1462</t>
        </is>
      </c>
      <c r="D1466" s="8" t="inlineStr">
        <is>
          <t>câble CAN — moteur</t>
        </is>
      </c>
      <c r="E1466" s="8" t="inlineStr">
        <is>
          <t>Électronique et capteurs</t>
        </is>
      </c>
      <c r="F1466" s="8" t="inlineStr">
        <is>
          <t>Électronique et capteurs</t>
        </is>
      </c>
      <c r="G1466" s="8" t="inlineStr">
        <is>
          <t>PIECE_VEHICULE</t>
        </is>
      </c>
      <c r="H1466" s="8" t="n">
        <v>1</v>
      </c>
      <c r="I1466" s="8">
        <f>H1466*$D$3</f>
        <v/>
      </c>
      <c r="J1466" s="8" t="inlineStr">
        <is>
          <t>unité</t>
        </is>
      </c>
      <c r="K1466" s="8" t="n">
        <v>0</v>
      </c>
      <c r="L1466" s="8">
        <f>K1466-I1466</f>
        <v/>
      </c>
      <c r="M1466" s="8">
        <f>IF(K1466&lt;I1466,"✕ INSUFFISANT",IF(K1466&lt;I1466*1.2,"⚠ STOCK FAIBLE","✓ COUVERT"))</f>
        <v/>
      </c>
      <c r="N1466" s="8" t="inlineStr">
        <is>
          <t>BOS</t>
        </is>
      </c>
      <c r="O1466" s="8" t="inlineStr">
        <is>
          <t>IMPORTANT</t>
        </is>
      </c>
      <c r="P1466" s="8" t="inlineStr">
        <is>
          <t>31/08/2026 02:59</t>
        </is>
      </c>
    </row>
    <row r="1467">
      <c r="A1467" s="7" t="inlineStr">
        <is>
          <t>WHAP 8x8</t>
        </is>
      </c>
      <c r="B1467" s="7" t="inlineStr">
        <is>
          <t>WHAP-1463</t>
        </is>
      </c>
      <c r="C1467" s="7" t="inlineStr">
        <is>
          <t>ELC-1463</t>
        </is>
      </c>
      <c r="D1467" s="7" t="inlineStr">
        <is>
          <t>boîtier électronique — moteur</t>
        </is>
      </c>
      <c r="E1467" s="7" t="inlineStr">
        <is>
          <t>Électronique et capteurs</t>
        </is>
      </c>
      <c r="F1467" s="7" t="inlineStr">
        <is>
          <t>Électronique et capteurs</t>
        </is>
      </c>
      <c r="G1467" s="7" t="inlineStr">
        <is>
          <t>PIECE_VEHICULE</t>
        </is>
      </c>
      <c r="H1467" s="7" t="n">
        <v>1</v>
      </c>
      <c r="I1467" s="7">
        <f>H1467*$D$3</f>
        <v/>
      </c>
      <c r="J1467" s="7" t="inlineStr">
        <is>
          <t>unité</t>
        </is>
      </c>
      <c r="K1467" s="7" t="n">
        <v>0</v>
      </c>
      <c r="L1467" s="7">
        <f>K1467-I1467</f>
        <v/>
      </c>
      <c r="M1467" s="7">
        <f>IF(K1467&lt;I1467,"✕ INSUFFISANT",IF(K1467&lt;I1467*1.2,"⚠ STOCK FAIBLE","✓ COUVERT"))</f>
        <v/>
      </c>
      <c r="N1467" s="7" t="inlineStr">
        <is>
          <t>YZK</t>
        </is>
      </c>
      <c r="O1467" s="7" t="inlineStr">
        <is>
          <t>IMPORTANT</t>
        </is>
      </c>
      <c r="P1467" s="7" t="inlineStr">
        <is>
          <t>31/08/2026 02:59</t>
        </is>
      </c>
    </row>
    <row r="1468">
      <c r="A1468" s="8" t="inlineStr">
        <is>
          <t>WHAP 8x8</t>
        </is>
      </c>
      <c r="B1468" s="8" t="inlineStr">
        <is>
          <t>WHAP-1464</t>
        </is>
      </c>
      <c r="C1468" s="8" t="inlineStr">
        <is>
          <t>ELC-1464</t>
        </is>
      </c>
      <c r="D1468" s="8" t="inlineStr">
        <is>
          <t>calculateur moteur — transmission</t>
        </is>
      </c>
      <c r="E1468" s="8" t="inlineStr">
        <is>
          <t>Électronique et capteurs</t>
        </is>
      </c>
      <c r="F1468" s="8" t="inlineStr">
        <is>
          <t>Électronique et capteurs</t>
        </is>
      </c>
      <c r="G1468" s="8" t="inlineStr">
        <is>
          <t>PIECE_VEHICULE</t>
        </is>
      </c>
      <c r="H1468" s="8" t="n">
        <v>1</v>
      </c>
      <c r="I1468" s="8">
        <f>H1468*$D$3</f>
        <v/>
      </c>
      <c r="J1468" s="8" t="inlineStr">
        <is>
          <t>unité</t>
        </is>
      </c>
      <c r="K1468" s="8" t="n">
        <v>0</v>
      </c>
      <c r="L1468" s="8">
        <f>K1468-I1468</f>
        <v/>
      </c>
      <c r="M1468" s="8">
        <f>IF(K1468&lt;I1468,"✕ INSUFFISANT",IF(K1468&lt;I1468*1.2,"⚠ STOCK FAIBLE","✓ COUVERT"))</f>
        <v/>
      </c>
      <c r="N1468" s="8" t="inlineStr">
        <is>
          <t>SUM</t>
        </is>
      </c>
      <c r="O1468" s="8" t="inlineStr">
        <is>
          <t>IMPORTANT</t>
        </is>
      </c>
      <c r="P1468" s="8" t="inlineStr">
        <is>
          <t>31/08/2026 02:59</t>
        </is>
      </c>
    </row>
    <row r="1469">
      <c r="A1469" s="7" t="inlineStr">
        <is>
          <t>WHAP 8x8</t>
        </is>
      </c>
      <c r="B1469" s="7" t="inlineStr">
        <is>
          <t>WHAP-1465</t>
        </is>
      </c>
      <c r="C1469" s="7" t="inlineStr">
        <is>
          <t>ELC-1465</t>
        </is>
      </c>
      <c r="D1469" s="7" t="inlineStr">
        <is>
          <t>calculateur transmission — transmission</t>
        </is>
      </c>
      <c r="E1469" s="7" t="inlineStr">
        <is>
          <t>Électronique et capteurs</t>
        </is>
      </c>
      <c r="F1469" s="7" t="inlineStr">
        <is>
          <t>Électronique et capteurs</t>
        </is>
      </c>
      <c r="G1469" s="7" t="inlineStr">
        <is>
          <t>PIECE_VEHICULE</t>
        </is>
      </c>
      <c r="H1469" s="7" t="n">
        <v>1</v>
      </c>
      <c r="I1469" s="7">
        <f>H1469*$D$3</f>
        <v/>
      </c>
      <c r="J1469" s="7" t="inlineStr">
        <is>
          <t>unité</t>
        </is>
      </c>
      <c r="K1469" s="7" t="n">
        <v>0</v>
      </c>
      <c r="L1469" s="7">
        <f>K1469-I1469</f>
        <v/>
      </c>
      <c r="M1469" s="7">
        <f>IF(K1469&lt;I1469,"✕ INSUFFISANT",IF(K1469&lt;I1469*1.2,"⚠ STOCK FAIBLE","✓ COUVERT"))</f>
        <v/>
      </c>
      <c r="N1469" s="7" t="inlineStr">
        <is>
          <t>MAG</t>
        </is>
      </c>
      <c r="O1469" s="7" t="inlineStr">
        <is>
          <t>IMPORTANT</t>
        </is>
      </c>
      <c r="P1469" s="7" t="inlineStr">
        <is>
          <t>31/08/2026 02:59</t>
        </is>
      </c>
    </row>
    <row r="1470">
      <c r="A1470" s="8" t="inlineStr">
        <is>
          <t>WHAP 8x8</t>
        </is>
      </c>
      <c r="B1470" s="8" t="inlineStr">
        <is>
          <t>WHAP-1466</t>
        </is>
      </c>
      <c r="C1470" s="8" t="inlineStr">
        <is>
          <t>ELC-1466</t>
        </is>
      </c>
      <c r="D1470" s="8" t="inlineStr">
        <is>
          <t>calculateur ABS — transmission</t>
        </is>
      </c>
      <c r="E1470" s="8" t="inlineStr">
        <is>
          <t>Électronique et capteurs</t>
        </is>
      </c>
      <c r="F1470" s="8" t="inlineStr">
        <is>
          <t>Électronique et capteurs</t>
        </is>
      </c>
      <c r="G1470" s="8" t="inlineStr">
        <is>
          <t>PIECE_VEHICULE</t>
        </is>
      </c>
      <c r="H1470" s="8" t="n">
        <v>1</v>
      </c>
      <c r="I1470" s="8">
        <f>H1470*$D$3</f>
        <v/>
      </c>
      <c r="J1470" s="8" t="inlineStr">
        <is>
          <t>unité</t>
        </is>
      </c>
      <c r="K1470" s="8" t="n">
        <v>0</v>
      </c>
      <c r="L1470" s="8">
        <f>K1470-I1470</f>
        <v/>
      </c>
      <c r="M1470" s="8">
        <f>IF(K1470&lt;I1470,"✕ INSUFFISANT",IF(K1470&lt;I1470*1.2,"⚠ STOCK FAIBLE","✓ COUVERT"))</f>
        <v/>
      </c>
      <c r="N1470" s="8" t="inlineStr">
        <is>
          <t>YZK</t>
        </is>
      </c>
      <c r="O1470" s="8" t="inlineStr">
        <is>
          <t>IMPORTANT</t>
        </is>
      </c>
      <c r="P1470" s="8" t="inlineStr">
        <is>
          <t>31/08/2026 02:59</t>
        </is>
      </c>
    </row>
    <row r="1471">
      <c r="A1471" s="7" t="inlineStr">
        <is>
          <t>WHAP 8x8</t>
        </is>
      </c>
      <c r="B1471" s="7" t="inlineStr">
        <is>
          <t>WHAP-1467</t>
        </is>
      </c>
      <c r="C1471" s="7" t="inlineStr">
        <is>
          <t>ELC-1467</t>
        </is>
      </c>
      <c r="D1471" s="7" t="inlineStr">
        <is>
          <t>calculateur CTIS — transmission</t>
        </is>
      </c>
      <c r="E1471" s="7" t="inlineStr">
        <is>
          <t>Électronique et capteurs</t>
        </is>
      </c>
      <c r="F1471" s="7" t="inlineStr">
        <is>
          <t>Électronique et capteurs</t>
        </is>
      </c>
      <c r="G1471" s="7" t="inlineStr">
        <is>
          <t>PIECE_VEHICULE</t>
        </is>
      </c>
      <c r="H1471" s="7" t="n">
        <v>1</v>
      </c>
      <c r="I1471" s="7">
        <f>H1471*$D$3</f>
        <v/>
      </c>
      <c r="J1471" s="7" t="inlineStr">
        <is>
          <t>unité</t>
        </is>
      </c>
      <c r="K1471" s="7" t="n">
        <v>0</v>
      </c>
      <c r="L1471" s="7">
        <f>K1471-I1471</f>
        <v/>
      </c>
      <c r="M1471" s="7">
        <f>IF(K1471&lt;I1471,"✕ INSUFFISANT",IF(K1471&lt;I1471*1.2,"⚠ STOCK FAIBLE","✓ COUVERT"))</f>
        <v/>
      </c>
      <c r="N1471" s="7" t="inlineStr">
        <is>
          <t>CTL</t>
        </is>
      </c>
      <c r="O1471" s="7" t="inlineStr">
        <is>
          <t>IMPORTANT</t>
        </is>
      </c>
      <c r="P1471" s="7" t="inlineStr">
        <is>
          <t>31/08/2026 02:59</t>
        </is>
      </c>
    </row>
    <row r="1472">
      <c r="A1472" s="8" t="inlineStr">
        <is>
          <t>WHAP 8x8</t>
        </is>
      </c>
      <c r="B1472" s="8" t="inlineStr">
        <is>
          <t>WHAP-1468</t>
        </is>
      </c>
      <c r="C1472" s="8" t="inlineStr">
        <is>
          <t>ELC-1468</t>
        </is>
      </c>
      <c r="D1472" s="8" t="inlineStr">
        <is>
          <t>unité de contrôle véhicule — transmission</t>
        </is>
      </c>
      <c r="E1472" s="8" t="inlineStr">
        <is>
          <t>Électronique et capteurs</t>
        </is>
      </c>
      <c r="F1472" s="8" t="inlineStr">
        <is>
          <t>Électronique et capteurs</t>
        </is>
      </c>
      <c r="G1472" s="8" t="inlineStr">
        <is>
          <t>PIECE_VEHICULE</t>
        </is>
      </c>
      <c r="H1472" s="8" t="n">
        <v>1</v>
      </c>
      <c r="I1472" s="8">
        <f>H1472*$D$3</f>
        <v/>
      </c>
      <c r="J1472" s="8" t="inlineStr">
        <is>
          <t>unité</t>
        </is>
      </c>
      <c r="K1472" s="8" t="n">
        <v>0</v>
      </c>
      <c r="L1472" s="8">
        <f>K1472-I1472</f>
        <v/>
      </c>
      <c r="M1472" s="8">
        <f>IF(K1472&lt;I1472,"✕ INSUFFISANT",IF(K1472&lt;I1472*1.2,"⚠ STOCK FAIBLE","✓ COUVERT"))</f>
        <v/>
      </c>
      <c r="N1472" s="8" t="inlineStr">
        <is>
          <t>MAG</t>
        </is>
      </c>
      <c r="O1472" s="8" t="inlineStr">
        <is>
          <t>IMPORTANT</t>
        </is>
      </c>
      <c r="P1472" s="8" t="inlineStr">
        <is>
          <t>31/08/2026 02:59</t>
        </is>
      </c>
    </row>
    <row r="1473">
      <c r="A1473" s="7" t="inlineStr">
        <is>
          <t>WHAP 8x8</t>
        </is>
      </c>
      <c r="B1473" s="7" t="inlineStr">
        <is>
          <t>WHAP-1469</t>
        </is>
      </c>
      <c r="C1473" s="7" t="inlineStr">
        <is>
          <t>ELC-1469</t>
        </is>
      </c>
      <c r="D1473" s="7" t="inlineStr">
        <is>
          <t>module I/O — transmission</t>
        </is>
      </c>
      <c r="E1473" s="7" t="inlineStr">
        <is>
          <t>Électronique et capteurs</t>
        </is>
      </c>
      <c r="F1473" s="7" t="inlineStr">
        <is>
          <t>Électronique et capteurs</t>
        </is>
      </c>
      <c r="G1473" s="7" t="inlineStr">
        <is>
          <t>PIECE_VEHICULE</t>
        </is>
      </c>
      <c r="H1473" s="7" t="n">
        <v>1</v>
      </c>
      <c r="I1473" s="7">
        <f>H1473*$D$3</f>
        <v/>
      </c>
      <c r="J1473" s="7" t="inlineStr">
        <is>
          <t>unité</t>
        </is>
      </c>
      <c r="K1473" s="7" t="n">
        <v>0</v>
      </c>
      <c r="L1473" s="7">
        <f>K1473-I1473</f>
        <v/>
      </c>
      <c r="M1473" s="7">
        <f>IF(K1473&lt;I1473,"✕ INSUFFISANT",IF(K1473&lt;I1473*1.2,"⚠ STOCK FAIBLE","✓ COUVERT"))</f>
        <v/>
      </c>
      <c r="N1473" s="7" t="inlineStr">
        <is>
          <t>DEL</t>
        </is>
      </c>
      <c r="O1473" s="7" t="inlineStr">
        <is>
          <t>IMPORTANT</t>
        </is>
      </c>
      <c r="P1473" s="7" t="inlineStr">
        <is>
          <t>31/08/2026 02:59</t>
        </is>
      </c>
    </row>
    <row r="1474">
      <c r="A1474" s="8" t="inlineStr">
        <is>
          <t>WHAP 8x8</t>
        </is>
      </c>
      <c r="B1474" s="8" t="inlineStr">
        <is>
          <t>WHAP-1470</t>
        </is>
      </c>
      <c r="C1474" s="8" t="inlineStr">
        <is>
          <t>ELC-1470</t>
        </is>
      </c>
      <c r="D1474" s="8" t="inlineStr">
        <is>
          <t>capteur température — transmission</t>
        </is>
      </c>
      <c r="E1474" s="8" t="inlineStr">
        <is>
          <t>Électronique et capteurs</t>
        </is>
      </c>
      <c r="F1474" s="8" t="inlineStr">
        <is>
          <t>Électronique et capteurs</t>
        </is>
      </c>
      <c r="G1474" s="8" t="inlineStr">
        <is>
          <t>PIECE_VEHICULE</t>
        </is>
      </c>
      <c r="H1474" s="8" t="n">
        <v>1</v>
      </c>
      <c r="I1474" s="8">
        <f>H1474*$D$3</f>
        <v/>
      </c>
      <c r="J1474" s="8" t="inlineStr">
        <is>
          <t>unité</t>
        </is>
      </c>
      <c r="K1474" s="8" t="n">
        <v>0</v>
      </c>
      <c r="L1474" s="8">
        <f>K1474-I1474</f>
        <v/>
      </c>
      <c r="M1474" s="8">
        <f>IF(K1474&lt;I1474,"✕ INSUFFISANT",IF(K1474&lt;I1474*1.2,"⚠ STOCK FAIBLE","✓ COUVERT"))</f>
        <v/>
      </c>
      <c r="N1474" s="8" t="inlineStr">
        <is>
          <t>DEL</t>
        </is>
      </c>
      <c r="O1474" s="8" t="inlineStr">
        <is>
          <t>IMPORTANT</t>
        </is>
      </c>
      <c r="P1474" s="8" t="inlineStr">
        <is>
          <t>31/08/2026 02:59</t>
        </is>
      </c>
    </row>
    <row r="1475">
      <c r="A1475" s="7" t="inlineStr">
        <is>
          <t>WHAP 8x8</t>
        </is>
      </c>
      <c r="B1475" s="7" t="inlineStr">
        <is>
          <t>WHAP-1471</t>
        </is>
      </c>
      <c r="C1475" s="7" t="inlineStr">
        <is>
          <t>ELC-1471</t>
        </is>
      </c>
      <c r="D1475" s="7" t="inlineStr">
        <is>
          <t>capteur pression — transmission</t>
        </is>
      </c>
      <c r="E1475" s="7" t="inlineStr">
        <is>
          <t>Électronique et capteurs</t>
        </is>
      </c>
      <c r="F1475" s="7" t="inlineStr">
        <is>
          <t>Électronique et capteurs</t>
        </is>
      </c>
      <c r="G1475" s="7" t="inlineStr">
        <is>
          <t>PIECE_VEHICULE</t>
        </is>
      </c>
      <c r="H1475" s="7" t="n">
        <v>1</v>
      </c>
      <c r="I1475" s="7">
        <f>H1475*$D$3</f>
        <v/>
      </c>
      <c r="J1475" s="7" t="inlineStr">
        <is>
          <t>unité</t>
        </is>
      </c>
      <c r="K1475" s="7" t="n">
        <v>0</v>
      </c>
      <c r="L1475" s="7">
        <f>K1475-I1475</f>
        <v/>
      </c>
      <c r="M1475" s="7">
        <f>IF(K1475&lt;I1475,"✕ INSUFFISANT",IF(K1475&lt;I1475*1.2,"⚠ STOCK FAIBLE","✓ COUVERT"))</f>
        <v/>
      </c>
      <c r="N1475" s="7" t="inlineStr">
        <is>
          <t>HEL</t>
        </is>
      </c>
      <c r="O1475" s="7" t="inlineStr">
        <is>
          <t>IMPORTANT</t>
        </is>
      </c>
      <c r="P1475" s="7" t="inlineStr">
        <is>
          <t>31/08/2026 02:59</t>
        </is>
      </c>
    </row>
    <row r="1476">
      <c r="A1476" s="8" t="inlineStr">
        <is>
          <t>WHAP 8x8</t>
        </is>
      </c>
      <c r="B1476" s="8" t="inlineStr">
        <is>
          <t>WHAP-1472</t>
        </is>
      </c>
      <c r="C1476" s="8" t="inlineStr">
        <is>
          <t>ELC-1472</t>
        </is>
      </c>
      <c r="D1476" s="8" t="inlineStr">
        <is>
          <t>capteur vitesse — transmission</t>
        </is>
      </c>
      <c r="E1476" s="8" t="inlineStr">
        <is>
          <t>Électronique et capteurs</t>
        </is>
      </c>
      <c r="F1476" s="8" t="inlineStr">
        <is>
          <t>Électronique et capteurs</t>
        </is>
      </c>
      <c r="G1476" s="8" t="inlineStr">
        <is>
          <t>PIECE_VEHICULE</t>
        </is>
      </c>
      <c r="H1476" s="8" t="n">
        <v>1</v>
      </c>
      <c r="I1476" s="8">
        <f>H1476*$D$3</f>
        <v/>
      </c>
      <c r="J1476" s="8" t="inlineStr">
        <is>
          <t>unité</t>
        </is>
      </c>
      <c r="K1476" s="8" t="n">
        <v>0</v>
      </c>
      <c r="L1476" s="8">
        <f>K1476-I1476</f>
        <v/>
      </c>
      <c r="M1476" s="8">
        <f>IF(K1476&lt;I1476,"✕ INSUFFISANT",IF(K1476&lt;I1476*1.2,"⚠ STOCK FAIBLE","✓ COUVERT"))</f>
        <v/>
      </c>
      <c r="N1476" s="8" t="inlineStr">
        <is>
          <t>VAL</t>
        </is>
      </c>
      <c r="O1476" s="8" t="inlineStr">
        <is>
          <t>IMPORTANT</t>
        </is>
      </c>
      <c r="P1476" s="8" t="inlineStr">
        <is>
          <t>31/08/2026 02:59</t>
        </is>
      </c>
    </row>
    <row r="1477">
      <c r="A1477" s="7" t="inlineStr">
        <is>
          <t>WHAP 8x8</t>
        </is>
      </c>
      <c r="B1477" s="7" t="inlineStr">
        <is>
          <t>WHAP-1473</t>
        </is>
      </c>
      <c r="C1477" s="7" t="inlineStr">
        <is>
          <t>ELC-1473</t>
        </is>
      </c>
      <c r="D1477" s="7" t="inlineStr">
        <is>
          <t>capteur position — transmission</t>
        </is>
      </c>
      <c r="E1477" s="7" t="inlineStr">
        <is>
          <t>Électronique et capteurs</t>
        </is>
      </c>
      <c r="F1477" s="7" t="inlineStr">
        <is>
          <t>Électronique et capteurs</t>
        </is>
      </c>
      <c r="G1477" s="7" t="inlineStr">
        <is>
          <t>PIECE_VEHICULE</t>
        </is>
      </c>
      <c r="H1477" s="7" t="n">
        <v>1</v>
      </c>
      <c r="I1477" s="7">
        <f>H1477*$D$3</f>
        <v/>
      </c>
      <c r="J1477" s="7" t="inlineStr">
        <is>
          <t>unité</t>
        </is>
      </c>
      <c r="K1477" s="7" t="n">
        <v>0</v>
      </c>
      <c r="L1477" s="7">
        <f>K1477-I1477</f>
        <v/>
      </c>
      <c r="M1477" s="7">
        <f>IF(K1477&lt;I1477,"✕ INSUFFISANT",IF(K1477&lt;I1477*1.2,"⚠ STOCK FAIBLE","✓ COUVERT"))</f>
        <v/>
      </c>
      <c r="N1477" s="7" t="inlineStr">
        <is>
          <t>YZK</t>
        </is>
      </c>
      <c r="O1477" s="7" t="inlineStr">
        <is>
          <t>IMPORTANT</t>
        </is>
      </c>
      <c r="P1477" s="7" t="inlineStr">
        <is>
          <t>31/08/2026 02:59</t>
        </is>
      </c>
    </row>
    <row r="1478">
      <c r="A1478" s="8" t="inlineStr">
        <is>
          <t>WHAP 8x8</t>
        </is>
      </c>
      <c r="B1478" s="8" t="inlineStr">
        <is>
          <t>WHAP-1474</t>
        </is>
      </c>
      <c r="C1478" s="8" t="inlineStr">
        <is>
          <t>ELC-1474</t>
        </is>
      </c>
      <c r="D1478" s="8" t="inlineStr">
        <is>
          <t>capteur niveau — transmission</t>
        </is>
      </c>
      <c r="E1478" s="8" t="inlineStr">
        <is>
          <t>Électronique et capteurs</t>
        </is>
      </c>
      <c r="F1478" s="8" t="inlineStr">
        <is>
          <t>Électronique et capteurs</t>
        </is>
      </c>
      <c r="G1478" s="8" t="inlineStr">
        <is>
          <t>PIECE_VEHICULE</t>
        </is>
      </c>
      <c r="H1478" s="8" t="n">
        <v>1</v>
      </c>
      <c r="I1478" s="8">
        <f>H1478*$D$3</f>
        <v/>
      </c>
      <c r="J1478" s="8" t="inlineStr">
        <is>
          <t>unité</t>
        </is>
      </c>
      <c r="K1478" s="8" t="n">
        <v>0</v>
      </c>
      <c r="L1478" s="8">
        <f>K1478-I1478</f>
        <v/>
      </c>
      <c r="M1478" s="8">
        <f>IF(K1478&lt;I1478,"✕ INSUFFISANT",IF(K1478&lt;I1478*1.2,"⚠ STOCK FAIBLE","✓ COUVERT"))</f>
        <v/>
      </c>
      <c r="N1478" s="8" t="inlineStr">
        <is>
          <t>MAG</t>
        </is>
      </c>
      <c r="O1478" s="8" t="inlineStr">
        <is>
          <t>IMPORTANT</t>
        </is>
      </c>
      <c r="P1478" s="8" t="inlineStr">
        <is>
          <t>31/08/2026 02:59</t>
        </is>
      </c>
    </row>
    <row r="1479">
      <c r="A1479" s="7" t="inlineStr">
        <is>
          <t>WHAP 8x8</t>
        </is>
      </c>
      <c r="B1479" s="7" t="inlineStr">
        <is>
          <t>WHAP-1475</t>
        </is>
      </c>
      <c r="C1479" s="7" t="inlineStr">
        <is>
          <t>ELC-1475</t>
        </is>
      </c>
      <c r="D1479" s="7" t="inlineStr">
        <is>
          <t>capteur débit — transmission</t>
        </is>
      </c>
      <c r="E1479" s="7" t="inlineStr">
        <is>
          <t>Électronique et capteurs</t>
        </is>
      </c>
      <c r="F1479" s="7" t="inlineStr">
        <is>
          <t>Électronique et capteurs</t>
        </is>
      </c>
      <c r="G1479" s="7" t="inlineStr">
        <is>
          <t>PIECE_VEHICULE</t>
        </is>
      </c>
      <c r="H1479" s="7" t="n">
        <v>1</v>
      </c>
      <c r="I1479" s="7">
        <f>H1479*$D$3</f>
        <v/>
      </c>
      <c r="J1479" s="7" t="inlineStr">
        <is>
          <t>unité</t>
        </is>
      </c>
      <c r="K1479" s="7" t="n">
        <v>0</v>
      </c>
      <c r="L1479" s="7">
        <f>K1479-I1479</f>
        <v/>
      </c>
      <c r="M1479" s="7">
        <f>IF(K1479&lt;I1479,"✕ INSUFFISANT",IF(K1479&lt;I1479*1.2,"⚠ STOCK FAIBLE","✓ COUVERT"))</f>
        <v/>
      </c>
      <c r="N1479" s="7" t="inlineStr">
        <is>
          <t>YZK</t>
        </is>
      </c>
      <c r="O1479" s="7" t="inlineStr">
        <is>
          <t>IMPORTANT</t>
        </is>
      </c>
      <c r="P1479" s="7" t="inlineStr">
        <is>
          <t>31/08/2026 02:59</t>
        </is>
      </c>
    </row>
    <row r="1480">
      <c r="A1480" s="8" t="inlineStr">
        <is>
          <t>WHAP 8x8</t>
        </is>
      </c>
      <c r="B1480" s="8" t="inlineStr">
        <is>
          <t>WHAP-1476</t>
        </is>
      </c>
      <c r="C1480" s="8" t="inlineStr">
        <is>
          <t>ELC-1476</t>
        </is>
      </c>
      <c r="D1480" s="8" t="inlineStr">
        <is>
          <t>capteur accélération — transmission</t>
        </is>
      </c>
      <c r="E1480" s="8" t="inlineStr">
        <is>
          <t>Électronique et capteurs</t>
        </is>
      </c>
      <c r="F1480" s="8" t="inlineStr">
        <is>
          <t>Électronique et capteurs</t>
        </is>
      </c>
      <c r="G1480" s="8" t="inlineStr">
        <is>
          <t>PIECE_VEHICULE</t>
        </is>
      </c>
      <c r="H1480" s="8" t="n">
        <v>1</v>
      </c>
      <c r="I1480" s="8">
        <f>H1480*$D$3</f>
        <v/>
      </c>
      <c r="J1480" s="8" t="inlineStr">
        <is>
          <t>unité</t>
        </is>
      </c>
      <c r="K1480" s="8" t="n">
        <v>0</v>
      </c>
      <c r="L1480" s="8">
        <f>K1480-I1480</f>
        <v/>
      </c>
      <c r="M1480" s="8">
        <f>IF(K1480&lt;I1480,"✕ INSUFFISANT",IF(K1480&lt;I1480*1.2,"⚠ STOCK FAIBLE","✓ COUVERT"))</f>
        <v/>
      </c>
      <c r="N1480" s="8" t="inlineStr">
        <is>
          <t>DEL</t>
        </is>
      </c>
      <c r="O1480" s="8" t="inlineStr">
        <is>
          <t>IMPORTANT</t>
        </is>
      </c>
      <c r="P1480" s="8" t="inlineStr">
        <is>
          <t>31/08/2026 02:59</t>
        </is>
      </c>
    </row>
    <row r="1481">
      <c r="A1481" s="7" t="inlineStr">
        <is>
          <t>WHAP 8x8</t>
        </is>
      </c>
      <c r="B1481" s="7" t="inlineStr">
        <is>
          <t>WHAP-1477</t>
        </is>
      </c>
      <c r="C1481" s="7" t="inlineStr">
        <is>
          <t>ELC-1477</t>
        </is>
      </c>
      <c r="D1481" s="7" t="inlineStr">
        <is>
          <t>capteur inclinaison — transmission</t>
        </is>
      </c>
      <c r="E1481" s="7" t="inlineStr">
        <is>
          <t>Électronique et capteurs</t>
        </is>
      </c>
      <c r="F1481" s="7" t="inlineStr">
        <is>
          <t>Électronique et capteurs</t>
        </is>
      </c>
      <c r="G1481" s="7" t="inlineStr">
        <is>
          <t>PIECE_VEHICULE</t>
        </is>
      </c>
      <c r="H1481" s="7" t="n">
        <v>1</v>
      </c>
      <c r="I1481" s="7">
        <f>H1481*$D$3</f>
        <v/>
      </c>
      <c r="J1481" s="7" t="inlineStr">
        <is>
          <t>unité</t>
        </is>
      </c>
      <c r="K1481" s="7" t="n">
        <v>0</v>
      </c>
      <c r="L1481" s="7">
        <f>K1481-I1481</f>
        <v/>
      </c>
      <c r="M1481" s="7">
        <f>IF(K1481&lt;I1481,"✕ INSUFFISANT",IF(K1481&lt;I1481*1.2,"⚠ STOCK FAIBLE","✓ COUVERT"))</f>
        <v/>
      </c>
      <c r="N1481" s="7" t="inlineStr">
        <is>
          <t>MAG</t>
        </is>
      </c>
      <c r="O1481" s="7" t="inlineStr">
        <is>
          <t>IMPORTANT</t>
        </is>
      </c>
      <c r="P1481" s="7" t="inlineStr">
        <is>
          <t>31/08/2026 02:59</t>
        </is>
      </c>
    </row>
    <row r="1482">
      <c r="A1482" s="8" t="inlineStr">
        <is>
          <t>WHAP 8x8</t>
        </is>
      </c>
      <c r="B1482" s="8" t="inlineStr">
        <is>
          <t>WHAP-1478</t>
        </is>
      </c>
      <c r="C1482" s="8" t="inlineStr">
        <is>
          <t>ELC-1478</t>
        </is>
      </c>
      <c r="D1482" s="8" t="inlineStr">
        <is>
          <t>capteur ouverture porte — transmission</t>
        </is>
      </c>
      <c r="E1482" s="8" t="inlineStr">
        <is>
          <t>Électronique et capteurs</t>
        </is>
      </c>
      <c r="F1482" s="8" t="inlineStr">
        <is>
          <t>Électronique et capteurs</t>
        </is>
      </c>
      <c r="G1482" s="8" t="inlineStr">
        <is>
          <t>PIECE_VEHICULE</t>
        </is>
      </c>
      <c r="H1482" s="8" t="n">
        <v>1</v>
      </c>
      <c r="I1482" s="8">
        <f>H1482*$D$3</f>
        <v/>
      </c>
      <c r="J1482" s="8" t="inlineStr">
        <is>
          <t>unité</t>
        </is>
      </c>
      <c r="K1482" s="8" t="n">
        <v>0</v>
      </c>
      <c r="L1482" s="8">
        <f>K1482-I1482</f>
        <v/>
      </c>
      <c r="M1482" s="8">
        <f>IF(K1482&lt;I1482,"✕ INSUFFISANT",IF(K1482&lt;I1482*1.2,"⚠ STOCK FAIBLE","✓ COUVERT"))</f>
        <v/>
      </c>
      <c r="N1482" s="8" t="inlineStr">
        <is>
          <t>MAG</t>
        </is>
      </c>
      <c r="O1482" s="8" t="inlineStr">
        <is>
          <t>IMPORTANT</t>
        </is>
      </c>
      <c r="P1482" s="8" t="inlineStr">
        <is>
          <t>31/08/2026 02:59</t>
        </is>
      </c>
    </row>
    <row r="1483">
      <c r="A1483" s="7" t="inlineStr">
        <is>
          <t>WHAP 8x8</t>
        </is>
      </c>
      <c r="B1483" s="7" t="inlineStr">
        <is>
          <t>WHAP-1479</t>
        </is>
      </c>
      <c r="C1483" s="7" t="inlineStr">
        <is>
          <t>ELC-1479</t>
        </is>
      </c>
      <c r="D1483" s="7" t="inlineStr">
        <is>
          <t>capteur présence — transmission</t>
        </is>
      </c>
      <c r="E1483" s="7" t="inlineStr">
        <is>
          <t>Électronique et capteurs</t>
        </is>
      </c>
      <c r="F1483" s="7" t="inlineStr">
        <is>
          <t>Électronique et capteurs</t>
        </is>
      </c>
      <c r="G1483" s="7" t="inlineStr">
        <is>
          <t>PIECE_VEHICULE</t>
        </is>
      </c>
      <c r="H1483" s="7" t="n">
        <v>1</v>
      </c>
      <c r="I1483" s="7">
        <f>H1483*$D$3</f>
        <v/>
      </c>
      <c r="J1483" s="7" t="inlineStr">
        <is>
          <t>unité</t>
        </is>
      </c>
      <c r="K1483" s="7" t="n">
        <v>0</v>
      </c>
      <c r="L1483" s="7">
        <f>K1483-I1483</f>
        <v/>
      </c>
      <c r="M1483" s="7">
        <f>IF(K1483&lt;I1483,"✕ INSUFFISANT",IF(K1483&lt;I1483*1.2,"⚠ STOCK FAIBLE","✓ COUVERT"))</f>
        <v/>
      </c>
      <c r="N1483" s="7" t="inlineStr">
        <is>
          <t>DEL</t>
        </is>
      </c>
      <c r="O1483" s="7" t="inlineStr">
        <is>
          <t>IMPORTANT</t>
        </is>
      </c>
      <c r="P1483" s="7" t="inlineStr">
        <is>
          <t>31/08/2026 02:59</t>
        </is>
      </c>
    </row>
    <row r="1484">
      <c r="A1484" s="8" t="inlineStr">
        <is>
          <t>WHAP 8x8</t>
        </is>
      </c>
      <c r="B1484" s="8" t="inlineStr">
        <is>
          <t>WHAP-1480</t>
        </is>
      </c>
      <c r="C1484" s="8" t="inlineStr">
        <is>
          <t>ELC-1480</t>
        </is>
      </c>
      <c r="D1484" s="8" t="inlineStr">
        <is>
          <t>capteur fumée — transmission</t>
        </is>
      </c>
      <c r="E1484" s="8" t="inlineStr">
        <is>
          <t>Électronique et capteurs</t>
        </is>
      </c>
      <c r="F1484" s="8" t="inlineStr">
        <is>
          <t>Électronique et capteurs</t>
        </is>
      </c>
      <c r="G1484" s="8" t="inlineStr">
        <is>
          <t>PIECE_VEHICULE</t>
        </is>
      </c>
      <c r="H1484" s="8" t="n">
        <v>1</v>
      </c>
      <c r="I1484" s="8">
        <f>H1484*$D$3</f>
        <v/>
      </c>
      <c r="J1484" s="8" t="inlineStr">
        <is>
          <t>unité</t>
        </is>
      </c>
      <c r="K1484" s="8" t="n">
        <v>0</v>
      </c>
      <c r="L1484" s="8">
        <f>K1484-I1484</f>
        <v/>
      </c>
      <c r="M1484" s="8">
        <f>IF(K1484&lt;I1484,"✕ INSUFFISANT",IF(K1484&lt;I1484*1.2,"⚠ STOCK FAIBLE","✓ COUVERT"))</f>
        <v/>
      </c>
      <c r="N1484" s="8" t="inlineStr">
        <is>
          <t>HEL</t>
        </is>
      </c>
      <c r="O1484" s="8" t="inlineStr">
        <is>
          <t>IMPORTANT</t>
        </is>
      </c>
      <c r="P1484" s="8" t="inlineStr">
        <is>
          <t>31/08/2026 02:59</t>
        </is>
      </c>
    </row>
    <row r="1485">
      <c r="A1485" s="7" t="inlineStr">
        <is>
          <t>WHAP 8x8</t>
        </is>
      </c>
      <c r="B1485" s="7" t="inlineStr">
        <is>
          <t>WHAP-1481</t>
        </is>
      </c>
      <c r="C1485" s="7" t="inlineStr">
        <is>
          <t>ELC-1481</t>
        </is>
      </c>
      <c r="D1485" s="7" t="inlineStr">
        <is>
          <t>capteur flamme — transmission</t>
        </is>
      </c>
      <c r="E1485" s="7" t="inlineStr">
        <is>
          <t>Électronique et capteurs</t>
        </is>
      </c>
      <c r="F1485" s="7" t="inlineStr">
        <is>
          <t>Électronique et capteurs</t>
        </is>
      </c>
      <c r="G1485" s="7" t="inlineStr">
        <is>
          <t>PIECE_VEHICULE</t>
        </is>
      </c>
      <c r="H1485" s="7" t="n">
        <v>1</v>
      </c>
      <c r="I1485" s="7">
        <f>H1485*$D$3</f>
        <v/>
      </c>
      <c r="J1485" s="7" t="inlineStr">
        <is>
          <t>unité</t>
        </is>
      </c>
      <c r="K1485" s="7" t="n">
        <v>0</v>
      </c>
      <c r="L1485" s="7">
        <f>K1485-I1485</f>
        <v/>
      </c>
      <c r="M1485" s="7">
        <f>IF(K1485&lt;I1485,"✕ INSUFFISANT",IF(K1485&lt;I1485*1.2,"⚠ STOCK FAIBLE","✓ COUVERT"))</f>
        <v/>
      </c>
      <c r="N1485" s="7" t="inlineStr">
        <is>
          <t>HEL</t>
        </is>
      </c>
      <c r="O1485" s="7" t="inlineStr">
        <is>
          <t>IMPORTANT</t>
        </is>
      </c>
      <c r="P1485" s="7" t="inlineStr">
        <is>
          <t>31/08/2026 02:59</t>
        </is>
      </c>
    </row>
    <row r="1486">
      <c r="A1486" s="8" t="inlineStr">
        <is>
          <t>WHAP 8x8</t>
        </is>
      </c>
      <c r="B1486" s="8" t="inlineStr">
        <is>
          <t>WHAP-1482</t>
        </is>
      </c>
      <c r="C1486" s="8" t="inlineStr">
        <is>
          <t>ELC-1482</t>
        </is>
      </c>
      <c r="D1486" s="8" t="inlineStr">
        <is>
          <t>capteur CO2 — transmission</t>
        </is>
      </c>
      <c r="E1486" s="8" t="inlineStr">
        <is>
          <t>Électronique et capteurs</t>
        </is>
      </c>
      <c r="F1486" s="8" t="inlineStr">
        <is>
          <t>Électronique et capteurs</t>
        </is>
      </c>
      <c r="G1486" s="8" t="inlineStr">
        <is>
          <t>PIECE_VEHICULE</t>
        </is>
      </c>
      <c r="H1486" s="8" t="n">
        <v>1</v>
      </c>
      <c r="I1486" s="8">
        <f>H1486*$D$3</f>
        <v/>
      </c>
      <c r="J1486" s="8" t="inlineStr">
        <is>
          <t>unité</t>
        </is>
      </c>
      <c r="K1486" s="8" t="n">
        <v>0</v>
      </c>
      <c r="L1486" s="8">
        <f>K1486-I1486</f>
        <v/>
      </c>
      <c r="M1486" s="8">
        <f>IF(K1486&lt;I1486,"✕ INSUFFISANT",IF(K1486&lt;I1486*1.2,"⚠ STOCK FAIBLE","✓ COUVERT"))</f>
        <v/>
      </c>
      <c r="N1486" s="8" t="inlineStr">
        <is>
          <t>DEL</t>
        </is>
      </c>
      <c r="O1486" s="8" t="inlineStr">
        <is>
          <t>IMPORTANT</t>
        </is>
      </c>
      <c r="P1486" s="8" t="inlineStr">
        <is>
          <t>31/08/2026 02:59</t>
        </is>
      </c>
    </row>
    <row r="1487">
      <c r="A1487" s="7" t="inlineStr">
        <is>
          <t>WHAP 8x8</t>
        </is>
      </c>
      <c r="B1487" s="7" t="inlineStr">
        <is>
          <t>WHAP-1483</t>
        </is>
      </c>
      <c r="C1487" s="7" t="inlineStr">
        <is>
          <t>ELC-1483</t>
        </is>
      </c>
      <c r="D1487" s="7" t="inlineStr">
        <is>
          <t>capteur humidité — transmission</t>
        </is>
      </c>
      <c r="E1487" s="7" t="inlineStr">
        <is>
          <t>Électronique et capteurs</t>
        </is>
      </c>
      <c r="F1487" s="7" t="inlineStr">
        <is>
          <t>Électronique et capteurs</t>
        </is>
      </c>
      <c r="G1487" s="7" t="inlineStr">
        <is>
          <t>PIECE_VEHICULE</t>
        </is>
      </c>
      <c r="H1487" s="7" t="n">
        <v>1</v>
      </c>
      <c r="I1487" s="7">
        <f>H1487*$D$3</f>
        <v/>
      </c>
      <c r="J1487" s="7" t="inlineStr">
        <is>
          <t>unité</t>
        </is>
      </c>
      <c r="K1487" s="7" t="n">
        <v>0</v>
      </c>
      <c r="L1487" s="7">
        <f>K1487-I1487</f>
        <v/>
      </c>
      <c r="M1487" s="7">
        <f>IF(K1487&lt;I1487,"✕ INSUFFISANT",IF(K1487&lt;I1487*1.2,"⚠ STOCK FAIBLE","✓ COUVERT"))</f>
        <v/>
      </c>
      <c r="N1487" s="7" t="inlineStr">
        <is>
          <t>CTL</t>
        </is>
      </c>
      <c r="O1487" s="7" t="inlineStr">
        <is>
          <t>IMPORTANT</t>
        </is>
      </c>
      <c r="P1487" s="7" t="inlineStr">
        <is>
          <t>31/08/2026 02:59</t>
        </is>
      </c>
    </row>
    <row r="1488">
      <c r="A1488" s="8" t="inlineStr">
        <is>
          <t>WHAP 8x8</t>
        </is>
      </c>
      <c r="B1488" s="8" t="inlineStr">
        <is>
          <t>WHAP-1484</t>
        </is>
      </c>
      <c r="C1488" s="8" t="inlineStr">
        <is>
          <t>ELC-1484</t>
        </is>
      </c>
      <c r="D1488" s="8" t="inlineStr">
        <is>
          <t>capteur vibration — transmission</t>
        </is>
      </c>
      <c r="E1488" s="8" t="inlineStr">
        <is>
          <t>Électronique et capteurs</t>
        </is>
      </c>
      <c r="F1488" s="8" t="inlineStr">
        <is>
          <t>Électronique et capteurs</t>
        </is>
      </c>
      <c r="G1488" s="8" t="inlineStr">
        <is>
          <t>PIECE_VEHICULE</t>
        </is>
      </c>
      <c r="H1488" s="8" t="n">
        <v>1</v>
      </c>
      <c r="I1488" s="8">
        <f>H1488*$D$3</f>
        <v/>
      </c>
      <c r="J1488" s="8" t="inlineStr">
        <is>
          <t>unité</t>
        </is>
      </c>
      <c r="K1488" s="8" t="n">
        <v>0</v>
      </c>
      <c r="L1488" s="8">
        <f>K1488-I1488</f>
        <v/>
      </c>
      <c r="M1488" s="8">
        <f>IF(K1488&lt;I1488,"✕ INSUFFISANT",IF(K1488&lt;I1488*1.2,"⚠ STOCK FAIBLE","✓ COUVERT"))</f>
        <v/>
      </c>
      <c r="N1488" s="8" t="inlineStr">
        <is>
          <t>HEL</t>
        </is>
      </c>
      <c r="O1488" s="8" t="inlineStr">
        <is>
          <t>IMPORTANT</t>
        </is>
      </c>
      <c r="P1488" s="8" t="inlineStr">
        <is>
          <t>31/08/2026 02:59</t>
        </is>
      </c>
    </row>
    <row r="1489">
      <c r="A1489" s="7" t="inlineStr">
        <is>
          <t>WHAP 8x8</t>
        </is>
      </c>
      <c r="B1489" s="7" t="inlineStr">
        <is>
          <t>WHAP-1485</t>
        </is>
      </c>
      <c r="C1489" s="7" t="inlineStr">
        <is>
          <t>ELC-1485</t>
        </is>
      </c>
      <c r="D1489" s="7" t="inlineStr">
        <is>
          <t>antenne — transmission</t>
        </is>
      </c>
      <c r="E1489" s="7" t="inlineStr">
        <is>
          <t>Électronique et capteurs</t>
        </is>
      </c>
      <c r="F1489" s="7" t="inlineStr">
        <is>
          <t>Électronique et capteurs</t>
        </is>
      </c>
      <c r="G1489" s="7" t="inlineStr">
        <is>
          <t>PIECE_VEHICULE</t>
        </is>
      </c>
      <c r="H1489" s="7" t="n">
        <v>1</v>
      </c>
      <c r="I1489" s="7">
        <f>H1489*$D$3</f>
        <v/>
      </c>
      <c r="J1489" s="7" t="inlineStr">
        <is>
          <t>unité</t>
        </is>
      </c>
      <c r="K1489" s="7" t="n">
        <v>0</v>
      </c>
      <c r="L1489" s="7">
        <f>K1489-I1489</f>
        <v/>
      </c>
      <c r="M1489" s="7">
        <f>IF(K1489&lt;I1489,"✕ INSUFFISANT",IF(K1489&lt;I1489*1.2,"⚠ STOCK FAIBLE","✓ COUVERT"))</f>
        <v/>
      </c>
      <c r="N1489" s="7" t="inlineStr">
        <is>
          <t>MAG</t>
        </is>
      </c>
      <c r="O1489" s="7" t="inlineStr">
        <is>
          <t>IMPORTANT</t>
        </is>
      </c>
      <c r="P1489" s="7" t="inlineStr">
        <is>
          <t>31/08/2026 02:59</t>
        </is>
      </c>
    </row>
    <row r="1490">
      <c r="A1490" s="8" t="inlineStr">
        <is>
          <t>WHAP 8x8</t>
        </is>
      </c>
      <c r="B1490" s="8" t="inlineStr">
        <is>
          <t>WHAP-1486</t>
        </is>
      </c>
      <c r="C1490" s="8" t="inlineStr">
        <is>
          <t>ELC-1486</t>
        </is>
      </c>
      <c r="D1490" s="8" t="inlineStr">
        <is>
          <t>module GPS — transmission</t>
        </is>
      </c>
      <c r="E1490" s="8" t="inlineStr">
        <is>
          <t>Électronique et capteurs</t>
        </is>
      </c>
      <c r="F1490" s="8" t="inlineStr">
        <is>
          <t>Électronique et capteurs</t>
        </is>
      </c>
      <c r="G1490" s="8" t="inlineStr">
        <is>
          <t>PIECE_VEHICULE</t>
        </is>
      </c>
      <c r="H1490" s="8" t="n">
        <v>1</v>
      </c>
      <c r="I1490" s="8">
        <f>H1490*$D$3</f>
        <v/>
      </c>
      <c r="J1490" s="8" t="inlineStr">
        <is>
          <t>unité</t>
        </is>
      </c>
      <c r="K1490" s="8" t="n">
        <v>0</v>
      </c>
      <c r="L1490" s="8">
        <f>K1490-I1490</f>
        <v/>
      </c>
      <c r="M1490" s="8">
        <f>IF(K1490&lt;I1490,"✕ INSUFFISANT",IF(K1490&lt;I1490*1.2,"⚠ STOCK FAIBLE","✓ COUVERT"))</f>
        <v/>
      </c>
      <c r="N1490" s="8" t="inlineStr">
        <is>
          <t>FAU</t>
        </is>
      </c>
      <c r="O1490" s="8" t="inlineStr">
        <is>
          <t>IMPORTANT</t>
        </is>
      </c>
      <c r="P1490" s="8" t="inlineStr">
        <is>
          <t>31/08/2026 02:59</t>
        </is>
      </c>
    </row>
    <row r="1491">
      <c r="A1491" s="7" t="inlineStr">
        <is>
          <t>WHAP 8x8</t>
        </is>
      </c>
      <c r="B1491" s="7" t="inlineStr">
        <is>
          <t>WHAP-1487</t>
        </is>
      </c>
      <c r="C1491" s="7" t="inlineStr">
        <is>
          <t>ELC-1487</t>
        </is>
      </c>
      <c r="D1491" s="7" t="inlineStr">
        <is>
          <t>module communication — transmission</t>
        </is>
      </c>
      <c r="E1491" s="7" t="inlineStr">
        <is>
          <t>Électronique et capteurs</t>
        </is>
      </c>
      <c r="F1491" s="7" t="inlineStr">
        <is>
          <t>Électronique et capteurs</t>
        </is>
      </c>
      <c r="G1491" s="7" t="inlineStr">
        <is>
          <t>PIECE_VEHICULE</t>
        </is>
      </c>
      <c r="H1491" s="7" t="n">
        <v>1</v>
      </c>
      <c r="I1491" s="7">
        <f>H1491*$D$3</f>
        <v/>
      </c>
      <c r="J1491" s="7" t="inlineStr">
        <is>
          <t>unité</t>
        </is>
      </c>
      <c r="K1491" s="7" t="n">
        <v>0</v>
      </c>
      <c r="L1491" s="7">
        <f>K1491-I1491</f>
        <v/>
      </c>
      <c r="M1491" s="7">
        <f>IF(K1491&lt;I1491,"✕ INSUFFISANT",IF(K1491&lt;I1491*1.2,"⚠ STOCK FAIBLE","✓ COUVERT"))</f>
        <v/>
      </c>
      <c r="N1491" s="7" t="inlineStr">
        <is>
          <t>VAL</t>
        </is>
      </c>
      <c r="O1491" s="7" t="inlineStr">
        <is>
          <t>IMPORTANT</t>
        </is>
      </c>
      <c r="P1491" s="7" t="inlineStr">
        <is>
          <t>31/08/2026 02:59</t>
        </is>
      </c>
    </row>
    <row r="1492">
      <c r="A1492" s="8" t="inlineStr">
        <is>
          <t>WHAP 8x8</t>
        </is>
      </c>
      <c r="B1492" s="8" t="inlineStr">
        <is>
          <t>WHAP-1488</t>
        </is>
      </c>
      <c r="C1492" s="8" t="inlineStr">
        <is>
          <t>ELC-1488</t>
        </is>
      </c>
      <c r="D1492" s="8" t="inlineStr">
        <is>
          <t>écran multifonction — transmission</t>
        </is>
      </c>
      <c r="E1492" s="8" t="inlineStr">
        <is>
          <t>Électronique et capteurs</t>
        </is>
      </c>
      <c r="F1492" s="8" t="inlineStr">
        <is>
          <t>Électronique et capteurs</t>
        </is>
      </c>
      <c r="G1492" s="8" t="inlineStr">
        <is>
          <t>PIECE_VEHICULE</t>
        </is>
      </c>
      <c r="H1492" s="8" t="n">
        <v>1</v>
      </c>
      <c r="I1492" s="8">
        <f>H1492*$D$3</f>
        <v/>
      </c>
      <c r="J1492" s="8" t="inlineStr">
        <is>
          <t>unité</t>
        </is>
      </c>
      <c r="K1492" s="8" t="n">
        <v>0</v>
      </c>
      <c r="L1492" s="8">
        <f>K1492-I1492</f>
        <v/>
      </c>
      <c r="M1492" s="8">
        <f>IF(K1492&lt;I1492,"✕ INSUFFISANT",IF(K1492&lt;I1492*1.2,"⚠ STOCK FAIBLE","✓ COUVERT"))</f>
        <v/>
      </c>
      <c r="N1492" s="8" t="inlineStr">
        <is>
          <t>MAG</t>
        </is>
      </c>
      <c r="O1492" s="8" t="inlineStr">
        <is>
          <t>IMPORTANT</t>
        </is>
      </c>
      <c r="P1492" s="8" t="inlineStr">
        <is>
          <t>31/08/2026 02:59</t>
        </is>
      </c>
    </row>
    <row r="1493">
      <c r="A1493" s="7" t="inlineStr">
        <is>
          <t>WHAP 8x8</t>
        </is>
      </c>
      <c r="B1493" s="7" t="inlineStr">
        <is>
          <t>WHAP-1489</t>
        </is>
      </c>
      <c r="C1493" s="7" t="inlineStr">
        <is>
          <t>ELC-1489</t>
        </is>
      </c>
      <c r="D1493" s="7" t="inlineStr">
        <is>
          <t>unité de diagnostic — transmission</t>
        </is>
      </c>
      <c r="E1493" s="7" t="inlineStr">
        <is>
          <t>Électronique et capteurs</t>
        </is>
      </c>
      <c r="F1493" s="7" t="inlineStr">
        <is>
          <t>Électronique et capteurs</t>
        </is>
      </c>
      <c r="G1493" s="7" t="inlineStr">
        <is>
          <t>PIECE_VEHICULE</t>
        </is>
      </c>
      <c r="H1493" s="7" t="n">
        <v>1</v>
      </c>
      <c r="I1493" s="7">
        <f>H1493*$D$3</f>
        <v/>
      </c>
      <c r="J1493" s="7" t="inlineStr">
        <is>
          <t>unité</t>
        </is>
      </c>
      <c r="K1493" s="7" t="n">
        <v>0</v>
      </c>
      <c r="L1493" s="7">
        <f>K1493-I1493</f>
        <v/>
      </c>
      <c r="M1493" s="7">
        <f>IF(K1493&lt;I1493,"✕ INSUFFISANT",IF(K1493&lt;I1493*1.2,"⚠ STOCK FAIBLE","✓ COUVERT"))</f>
        <v/>
      </c>
      <c r="N1493" s="7" t="inlineStr">
        <is>
          <t>SUM</t>
        </is>
      </c>
      <c r="O1493" s="7" t="inlineStr">
        <is>
          <t>IMPORTANT</t>
        </is>
      </c>
      <c r="P1493" s="7" t="inlineStr">
        <is>
          <t>31/08/2026 02:59</t>
        </is>
      </c>
    </row>
    <row r="1494">
      <c r="A1494" s="8" t="inlineStr">
        <is>
          <t>WHAP 8x8</t>
        </is>
      </c>
      <c r="B1494" s="8" t="inlineStr">
        <is>
          <t>WHAP-1490</t>
        </is>
      </c>
      <c r="C1494" s="8" t="inlineStr">
        <is>
          <t>ELC-1490</t>
        </is>
      </c>
      <c r="D1494" s="8" t="inlineStr">
        <is>
          <t>connecteur CAN — transmission</t>
        </is>
      </c>
      <c r="E1494" s="8" t="inlineStr">
        <is>
          <t>Électronique et capteurs</t>
        </is>
      </c>
      <c r="F1494" s="8" t="inlineStr">
        <is>
          <t>Électronique et capteurs</t>
        </is>
      </c>
      <c r="G1494" s="8" t="inlineStr">
        <is>
          <t>PIECE_VEHICULE</t>
        </is>
      </c>
      <c r="H1494" s="8" t="n">
        <v>1</v>
      </c>
      <c r="I1494" s="8">
        <f>H1494*$D$3</f>
        <v/>
      </c>
      <c r="J1494" s="8" t="inlineStr">
        <is>
          <t>unité</t>
        </is>
      </c>
      <c r="K1494" s="8" t="n">
        <v>0</v>
      </c>
      <c r="L1494" s="8">
        <f>K1494-I1494</f>
        <v/>
      </c>
      <c r="M1494" s="8">
        <f>IF(K1494&lt;I1494,"✕ INSUFFISANT",IF(K1494&lt;I1494*1.2,"⚠ STOCK FAIBLE","✓ COUVERT"))</f>
        <v/>
      </c>
      <c r="N1494" s="8" t="inlineStr">
        <is>
          <t>BOS</t>
        </is>
      </c>
      <c r="O1494" s="8" t="inlineStr">
        <is>
          <t>IMPORTANT</t>
        </is>
      </c>
      <c r="P1494" s="8" t="inlineStr">
        <is>
          <t>31/08/2026 02:59</t>
        </is>
      </c>
    </row>
    <row r="1495">
      <c r="A1495" s="7" t="inlineStr">
        <is>
          <t>WHAP 8x8</t>
        </is>
      </c>
      <c r="B1495" s="7" t="inlineStr">
        <is>
          <t>WHAP-1491</t>
        </is>
      </c>
      <c r="C1495" s="7" t="inlineStr">
        <is>
          <t>ELC-1491</t>
        </is>
      </c>
      <c r="D1495" s="7" t="inlineStr">
        <is>
          <t>terminaison CAN — transmission</t>
        </is>
      </c>
      <c r="E1495" s="7" t="inlineStr">
        <is>
          <t>Électronique et capteurs</t>
        </is>
      </c>
      <c r="F1495" s="7" t="inlineStr">
        <is>
          <t>Électronique et capteurs</t>
        </is>
      </c>
      <c r="G1495" s="7" t="inlineStr">
        <is>
          <t>PIECE_VEHICULE</t>
        </is>
      </c>
      <c r="H1495" s="7" t="n">
        <v>1</v>
      </c>
      <c r="I1495" s="7">
        <f>H1495*$D$3</f>
        <v/>
      </c>
      <c r="J1495" s="7" t="inlineStr">
        <is>
          <t>unité</t>
        </is>
      </c>
      <c r="K1495" s="7" t="n">
        <v>0</v>
      </c>
      <c r="L1495" s="7">
        <f>K1495-I1495</f>
        <v/>
      </c>
      <c r="M1495" s="7">
        <f>IF(K1495&lt;I1495,"✕ INSUFFISANT",IF(K1495&lt;I1495*1.2,"⚠ STOCK FAIBLE","✓ COUVERT"))</f>
        <v/>
      </c>
      <c r="N1495" s="7" t="inlineStr">
        <is>
          <t>DEL</t>
        </is>
      </c>
      <c r="O1495" s="7" t="inlineStr">
        <is>
          <t>IMPORTANT</t>
        </is>
      </c>
      <c r="P1495" s="7" t="inlineStr">
        <is>
          <t>31/08/2026 02:59</t>
        </is>
      </c>
    </row>
    <row r="1496">
      <c r="A1496" s="8" t="inlineStr">
        <is>
          <t>WHAP 8x8</t>
        </is>
      </c>
      <c r="B1496" s="8" t="inlineStr">
        <is>
          <t>WHAP-1492</t>
        </is>
      </c>
      <c r="C1496" s="8" t="inlineStr">
        <is>
          <t>ELC-1492</t>
        </is>
      </c>
      <c r="D1496" s="8" t="inlineStr">
        <is>
          <t>câble CAN — transmission</t>
        </is>
      </c>
      <c r="E1496" s="8" t="inlineStr">
        <is>
          <t>Électronique et capteurs</t>
        </is>
      </c>
      <c r="F1496" s="8" t="inlineStr">
        <is>
          <t>Électronique et capteurs</t>
        </is>
      </c>
      <c r="G1496" s="8" t="inlineStr">
        <is>
          <t>PIECE_VEHICULE</t>
        </is>
      </c>
      <c r="H1496" s="8" t="n">
        <v>1</v>
      </c>
      <c r="I1496" s="8">
        <f>H1496*$D$3</f>
        <v/>
      </c>
      <c r="J1496" s="8" t="inlineStr">
        <is>
          <t>unité</t>
        </is>
      </c>
      <c r="K1496" s="8" t="n">
        <v>0</v>
      </c>
      <c r="L1496" s="8">
        <f>K1496-I1496</f>
        <v/>
      </c>
      <c r="M1496" s="8">
        <f>IF(K1496&lt;I1496,"✕ INSUFFISANT",IF(K1496&lt;I1496*1.2,"⚠ STOCK FAIBLE","✓ COUVERT"))</f>
        <v/>
      </c>
      <c r="N1496" s="8" t="inlineStr">
        <is>
          <t>FAU</t>
        </is>
      </c>
      <c r="O1496" s="8" t="inlineStr">
        <is>
          <t>IMPORTANT</t>
        </is>
      </c>
      <c r="P1496" s="8" t="inlineStr">
        <is>
          <t>31/08/2026 02:59</t>
        </is>
      </c>
    </row>
    <row r="1497">
      <c r="A1497" s="7" t="inlineStr">
        <is>
          <t>WHAP 8x8</t>
        </is>
      </c>
      <c r="B1497" s="7" t="inlineStr">
        <is>
          <t>WHAP-1493</t>
        </is>
      </c>
      <c r="C1497" s="7" t="inlineStr">
        <is>
          <t>ELC-1493</t>
        </is>
      </c>
      <c r="D1497" s="7" t="inlineStr">
        <is>
          <t>boîtier électronique — transmission</t>
        </is>
      </c>
      <c r="E1497" s="7" t="inlineStr">
        <is>
          <t>Électronique et capteurs</t>
        </is>
      </c>
      <c r="F1497" s="7" t="inlineStr">
        <is>
          <t>Électronique et capteurs</t>
        </is>
      </c>
      <c r="G1497" s="7" t="inlineStr">
        <is>
          <t>PIECE_VEHICULE</t>
        </is>
      </c>
      <c r="H1497" s="7" t="n">
        <v>1</v>
      </c>
      <c r="I1497" s="7">
        <f>H1497*$D$3</f>
        <v/>
      </c>
      <c r="J1497" s="7" t="inlineStr">
        <is>
          <t>unité</t>
        </is>
      </c>
      <c r="K1497" s="7" t="n">
        <v>0</v>
      </c>
      <c r="L1497" s="7">
        <f>K1497-I1497</f>
        <v/>
      </c>
      <c r="M1497" s="7">
        <f>IF(K1497&lt;I1497,"✕ INSUFFISANT",IF(K1497&lt;I1497*1.2,"⚠ STOCK FAIBLE","✓ COUVERT"))</f>
        <v/>
      </c>
      <c r="N1497" s="7" t="inlineStr">
        <is>
          <t>FAU</t>
        </is>
      </c>
      <c r="O1497" s="7" t="inlineStr">
        <is>
          <t>IMPORTANT</t>
        </is>
      </c>
      <c r="P1497" s="7" t="inlineStr">
        <is>
          <t>31/08/2026 02:59</t>
        </is>
      </c>
    </row>
    <row r="1498">
      <c r="A1498" s="8" t="inlineStr">
        <is>
          <t>WHAP 8x8</t>
        </is>
      </c>
      <c r="B1498" s="8" t="inlineStr">
        <is>
          <t>WHAP-1494</t>
        </is>
      </c>
      <c r="C1498" s="8" t="inlineStr">
        <is>
          <t>ELC-1494</t>
        </is>
      </c>
      <c r="D1498" s="8" t="inlineStr">
        <is>
          <t>calculateur moteur — châssis</t>
        </is>
      </c>
      <c r="E1498" s="8" t="inlineStr">
        <is>
          <t>Électronique et capteurs</t>
        </is>
      </c>
      <c r="F1498" s="8" t="inlineStr">
        <is>
          <t>Électronique et capteurs</t>
        </is>
      </c>
      <c r="G1498" s="8" t="inlineStr">
        <is>
          <t>PIECE_VEHICULE</t>
        </is>
      </c>
      <c r="H1498" s="8" t="n">
        <v>1</v>
      </c>
      <c r="I1498" s="8">
        <f>H1498*$D$3</f>
        <v/>
      </c>
      <c r="J1498" s="8" t="inlineStr">
        <is>
          <t>unité</t>
        </is>
      </c>
      <c r="K1498" s="8" t="n">
        <v>0</v>
      </c>
      <c r="L1498" s="8">
        <f>K1498-I1498</f>
        <v/>
      </c>
      <c r="M1498" s="8">
        <f>IF(K1498&lt;I1498,"✕ INSUFFISANT",IF(K1498&lt;I1498*1.2,"⚠ STOCK FAIBLE","✓ COUVERT"))</f>
        <v/>
      </c>
      <c r="N1498" s="8" t="inlineStr">
        <is>
          <t>YZK</t>
        </is>
      </c>
      <c r="O1498" s="8" t="inlineStr">
        <is>
          <t>IMPORTANT</t>
        </is>
      </c>
      <c r="P1498" s="8" t="inlineStr">
        <is>
          <t>31/08/2026 02:59</t>
        </is>
      </c>
    </row>
    <row r="1499">
      <c r="A1499" s="7" t="inlineStr">
        <is>
          <t>WHAP 8x8</t>
        </is>
      </c>
      <c r="B1499" s="7" t="inlineStr">
        <is>
          <t>WHAP-1495</t>
        </is>
      </c>
      <c r="C1499" s="7" t="inlineStr">
        <is>
          <t>ELC-1495</t>
        </is>
      </c>
      <c r="D1499" s="7" t="inlineStr">
        <is>
          <t>calculateur transmission — châssis</t>
        </is>
      </c>
      <c r="E1499" s="7" t="inlineStr">
        <is>
          <t>Électronique et capteurs</t>
        </is>
      </c>
      <c r="F1499" s="7" t="inlineStr">
        <is>
          <t>Électronique et capteurs</t>
        </is>
      </c>
      <c r="G1499" s="7" t="inlineStr">
        <is>
          <t>PIECE_VEHICULE</t>
        </is>
      </c>
      <c r="H1499" s="7" t="n">
        <v>1</v>
      </c>
      <c r="I1499" s="7">
        <f>H1499*$D$3</f>
        <v/>
      </c>
      <c r="J1499" s="7" t="inlineStr">
        <is>
          <t>unité</t>
        </is>
      </c>
      <c r="K1499" s="7" t="n">
        <v>0</v>
      </c>
      <c r="L1499" s="7">
        <f>K1499-I1499</f>
        <v/>
      </c>
      <c r="M1499" s="7">
        <f>IF(K1499&lt;I1499,"✕ INSUFFISANT",IF(K1499&lt;I1499*1.2,"⚠ STOCK FAIBLE","✓ COUVERT"))</f>
        <v/>
      </c>
      <c r="N1499" s="7" t="inlineStr">
        <is>
          <t>FAU</t>
        </is>
      </c>
      <c r="O1499" s="7" t="inlineStr">
        <is>
          <t>IMPORTANT</t>
        </is>
      </c>
      <c r="P1499" s="7" t="inlineStr">
        <is>
          <t>31/08/2026 02:59</t>
        </is>
      </c>
    </row>
    <row r="1500">
      <c r="A1500" s="8" t="inlineStr">
        <is>
          <t>WHAP 8x8</t>
        </is>
      </c>
      <c r="B1500" s="8" t="inlineStr">
        <is>
          <t>WHAP-1496</t>
        </is>
      </c>
      <c r="C1500" s="8" t="inlineStr">
        <is>
          <t>ELC-1496</t>
        </is>
      </c>
      <c r="D1500" s="8" t="inlineStr">
        <is>
          <t>calculateur ABS — châssis</t>
        </is>
      </c>
      <c r="E1500" s="8" t="inlineStr">
        <is>
          <t>Électronique et capteurs</t>
        </is>
      </c>
      <c r="F1500" s="8" t="inlineStr">
        <is>
          <t>Électronique et capteurs</t>
        </is>
      </c>
      <c r="G1500" s="8" t="inlineStr">
        <is>
          <t>PIECE_VEHICULE</t>
        </is>
      </c>
      <c r="H1500" s="8" t="n">
        <v>1</v>
      </c>
      <c r="I1500" s="8">
        <f>H1500*$D$3</f>
        <v/>
      </c>
      <c r="J1500" s="8" t="inlineStr">
        <is>
          <t>unité</t>
        </is>
      </c>
      <c r="K1500" s="8" t="n">
        <v>0</v>
      </c>
      <c r="L1500" s="8">
        <f>K1500-I1500</f>
        <v/>
      </c>
      <c r="M1500" s="8">
        <f>IF(K1500&lt;I1500,"✕ INSUFFISANT",IF(K1500&lt;I1500*1.2,"⚠ STOCK FAIBLE","✓ COUVERT"))</f>
        <v/>
      </c>
      <c r="N1500" s="8" t="inlineStr">
        <is>
          <t>YZK</t>
        </is>
      </c>
      <c r="O1500" s="8" t="inlineStr">
        <is>
          <t>IMPORTANT</t>
        </is>
      </c>
      <c r="P1500" s="8" t="inlineStr">
        <is>
          <t>31/08/2026 02:59</t>
        </is>
      </c>
    </row>
    <row r="1501">
      <c r="A1501" s="7" t="inlineStr">
        <is>
          <t>WHAP 8x8</t>
        </is>
      </c>
      <c r="B1501" s="7" t="inlineStr">
        <is>
          <t>WHAP-1497</t>
        </is>
      </c>
      <c r="C1501" s="7" t="inlineStr">
        <is>
          <t>ELC-1497</t>
        </is>
      </c>
      <c r="D1501" s="7" t="inlineStr">
        <is>
          <t>calculateur CTIS — châssis</t>
        </is>
      </c>
      <c r="E1501" s="7" t="inlineStr">
        <is>
          <t>Électronique et capteurs</t>
        </is>
      </c>
      <c r="F1501" s="7" t="inlineStr">
        <is>
          <t>Électronique et capteurs</t>
        </is>
      </c>
      <c r="G1501" s="7" t="inlineStr">
        <is>
          <t>PIECE_VEHICULE</t>
        </is>
      </c>
      <c r="H1501" s="7" t="n">
        <v>1</v>
      </c>
      <c r="I1501" s="7">
        <f>H1501*$D$3</f>
        <v/>
      </c>
      <c r="J1501" s="7" t="inlineStr">
        <is>
          <t>unité</t>
        </is>
      </c>
      <c r="K1501" s="7" t="n">
        <v>0</v>
      </c>
      <c r="L1501" s="7">
        <f>K1501-I1501</f>
        <v/>
      </c>
      <c r="M1501" s="7">
        <f>IF(K1501&lt;I1501,"✕ INSUFFISANT",IF(K1501&lt;I1501*1.2,"⚠ STOCK FAIBLE","✓ COUVERT"))</f>
        <v/>
      </c>
      <c r="N1501" s="7" t="inlineStr">
        <is>
          <t>SKF</t>
        </is>
      </c>
      <c r="O1501" s="7" t="inlineStr">
        <is>
          <t>IMPORTANT</t>
        </is>
      </c>
      <c r="P1501" s="7" t="inlineStr">
        <is>
          <t>31/08/2026 02:59</t>
        </is>
      </c>
    </row>
    <row r="1502">
      <c r="A1502" s="8" t="inlineStr">
        <is>
          <t>WHAP 8x8</t>
        </is>
      </c>
      <c r="B1502" s="8" t="inlineStr">
        <is>
          <t>WHAP-1498</t>
        </is>
      </c>
      <c r="C1502" s="8" t="inlineStr">
        <is>
          <t>ELC-1498</t>
        </is>
      </c>
      <c r="D1502" s="8" t="inlineStr">
        <is>
          <t>unité de contrôle véhicule — châssis</t>
        </is>
      </c>
      <c r="E1502" s="8" t="inlineStr">
        <is>
          <t>Électronique et capteurs</t>
        </is>
      </c>
      <c r="F1502" s="8" t="inlineStr">
        <is>
          <t>Électronique et capteurs</t>
        </is>
      </c>
      <c r="G1502" s="8" t="inlineStr">
        <is>
          <t>PIECE_VEHICULE</t>
        </is>
      </c>
      <c r="H1502" s="8" t="n">
        <v>1</v>
      </c>
      <c r="I1502" s="8">
        <f>H1502*$D$3</f>
        <v/>
      </c>
      <c r="J1502" s="8" t="inlineStr">
        <is>
          <t>unité</t>
        </is>
      </c>
      <c r="K1502" s="8" t="n">
        <v>0</v>
      </c>
      <c r="L1502" s="8">
        <f>K1502-I1502</f>
        <v/>
      </c>
      <c r="M1502" s="8">
        <f>IF(K1502&lt;I1502,"✕ INSUFFISANT",IF(K1502&lt;I1502*1.2,"⚠ STOCK FAIBLE","✓ COUVERT"))</f>
        <v/>
      </c>
      <c r="N1502" s="8" t="inlineStr">
        <is>
          <t>VAL</t>
        </is>
      </c>
      <c r="O1502" s="8" t="inlineStr">
        <is>
          <t>IMPORTANT</t>
        </is>
      </c>
      <c r="P1502" s="8" t="inlineStr">
        <is>
          <t>31/08/2026 02:59</t>
        </is>
      </c>
    </row>
    <row r="1503">
      <c r="A1503" s="7" t="inlineStr">
        <is>
          <t>WHAP 8x8</t>
        </is>
      </c>
      <c r="B1503" s="7" t="inlineStr">
        <is>
          <t>WHAP-1499</t>
        </is>
      </c>
      <c r="C1503" s="7" t="inlineStr">
        <is>
          <t>ELC-1499</t>
        </is>
      </c>
      <c r="D1503" s="7" t="inlineStr">
        <is>
          <t>module I/O — châssis</t>
        </is>
      </c>
      <c r="E1503" s="7" t="inlineStr">
        <is>
          <t>Électronique et capteurs</t>
        </is>
      </c>
      <c r="F1503" s="7" t="inlineStr">
        <is>
          <t>Électronique et capteurs</t>
        </is>
      </c>
      <c r="G1503" s="7" t="inlineStr">
        <is>
          <t>PIECE_VEHICULE</t>
        </is>
      </c>
      <c r="H1503" s="7" t="n">
        <v>1</v>
      </c>
      <c r="I1503" s="7">
        <f>H1503*$D$3</f>
        <v/>
      </c>
      <c r="J1503" s="7" t="inlineStr">
        <is>
          <t>unité</t>
        </is>
      </c>
      <c r="K1503" s="7" t="n">
        <v>0</v>
      </c>
      <c r="L1503" s="7">
        <f>K1503-I1503</f>
        <v/>
      </c>
      <c r="M1503" s="7">
        <f>IF(K1503&lt;I1503,"✕ INSUFFISANT",IF(K1503&lt;I1503*1.2,"⚠ STOCK FAIBLE","✓ COUVERT"))</f>
        <v/>
      </c>
      <c r="N1503" s="7" t="inlineStr">
        <is>
          <t>MAG</t>
        </is>
      </c>
      <c r="O1503" s="7" t="inlineStr">
        <is>
          <t>IMPORTANT</t>
        </is>
      </c>
      <c r="P1503" s="7" t="inlineStr">
        <is>
          <t>31/08/2026 02:59</t>
        </is>
      </c>
    </row>
    <row r="1504">
      <c r="A1504" s="8" t="inlineStr">
        <is>
          <t>WHAP 8x8</t>
        </is>
      </c>
      <c r="B1504" s="8" t="inlineStr">
        <is>
          <t>WHAP-1500</t>
        </is>
      </c>
      <c r="C1504" s="8" t="inlineStr">
        <is>
          <t>ELC-1500</t>
        </is>
      </c>
      <c r="D1504" s="8" t="inlineStr">
        <is>
          <t>capteur température — châssis</t>
        </is>
      </c>
      <c r="E1504" s="8" t="inlineStr">
        <is>
          <t>Électronique et capteurs</t>
        </is>
      </c>
      <c r="F1504" s="8" t="inlineStr">
        <is>
          <t>Électronique et capteurs</t>
        </is>
      </c>
      <c r="G1504" s="8" t="inlineStr">
        <is>
          <t>PIECE_VEHICULE</t>
        </is>
      </c>
      <c r="H1504" s="8" t="n">
        <v>1</v>
      </c>
      <c r="I1504" s="8">
        <f>H1504*$D$3</f>
        <v/>
      </c>
      <c r="J1504" s="8" t="inlineStr">
        <is>
          <t>unité</t>
        </is>
      </c>
      <c r="K1504" s="8" t="n">
        <v>0</v>
      </c>
      <c r="L1504" s="8">
        <f>K1504-I1504</f>
        <v/>
      </c>
      <c r="M1504" s="8">
        <f>IF(K1504&lt;I1504,"✕ INSUFFISANT",IF(K1504&lt;I1504*1.2,"⚠ STOCK FAIBLE","✓ COUVERT"))</f>
        <v/>
      </c>
      <c r="N1504" s="8" t="inlineStr">
        <is>
          <t>DEL</t>
        </is>
      </c>
      <c r="O1504" s="8" t="inlineStr">
        <is>
          <t>IMPORTANT</t>
        </is>
      </c>
      <c r="P1504" s="8" t="inlineStr">
        <is>
          <t>31/08/2026 02:59</t>
        </is>
      </c>
    </row>
    <row r="1505">
      <c r="A1505" s="7" t="inlineStr">
        <is>
          <t>WHAP 8x8</t>
        </is>
      </c>
      <c r="B1505" s="7" t="inlineStr">
        <is>
          <t>WHAP-1501</t>
        </is>
      </c>
      <c r="C1505" s="7" t="inlineStr">
        <is>
          <t>ELC-1501</t>
        </is>
      </c>
      <c r="D1505" s="7" t="inlineStr">
        <is>
          <t>capteur pression — châssis</t>
        </is>
      </c>
      <c r="E1505" s="7" t="inlineStr">
        <is>
          <t>Électronique et capteurs</t>
        </is>
      </c>
      <c r="F1505" s="7" t="inlineStr">
        <is>
          <t>Électronique et capteurs</t>
        </is>
      </c>
      <c r="G1505" s="7" t="inlineStr">
        <is>
          <t>PIECE_VEHICULE</t>
        </is>
      </c>
      <c r="H1505" s="7" t="n">
        <v>1</v>
      </c>
      <c r="I1505" s="7">
        <f>H1505*$D$3</f>
        <v/>
      </c>
      <c r="J1505" s="7" t="inlineStr">
        <is>
          <t>unité</t>
        </is>
      </c>
      <c r="K1505" s="7" t="n">
        <v>0</v>
      </c>
      <c r="L1505" s="7">
        <f>K1505-I1505</f>
        <v/>
      </c>
      <c r="M1505" s="7">
        <f>IF(K1505&lt;I1505,"✕ INSUFFISANT",IF(K1505&lt;I1505*1.2,"⚠ STOCK FAIBLE","✓ COUVERT"))</f>
        <v/>
      </c>
      <c r="N1505" s="7" t="inlineStr">
        <is>
          <t>SUM</t>
        </is>
      </c>
      <c r="O1505" s="7" t="inlineStr">
        <is>
          <t>IMPORTANT</t>
        </is>
      </c>
      <c r="P1505" s="7" t="inlineStr">
        <is>
          <t>31/08/2026 02:59</t>
        </is>
      </c>
    </row>
    <row r="1506">
      <c r="A1506" s="8" t="inlineStr">
        <is>
          <t>WHAP 8x8</t>
        </is>
      </c>
      <c r="B1506" s="8" t="inlineStr">
        <is>
          <t>WHAP-1502</t>
        </is>
      </c>
      <c r="C1506" s="8" t="inlineStr">
        <is>
          <t>ELC-1502</t>
        </is>
      </c>
      <c r="D1506" s="8" t="inlineStr">
        <is>
          <t>capteur vitesse — châssis</t>
        </is>
      </c>
      <c r="E1506" s="8" t="inlineStr">
        <is>
          <t>Électronique et capteurs</t>
        </is>
      </c>
      <c r="F1506" s="8" t="inlineStr">
        <is>
          <t>Électronique et capteurs</t>
        </is>
      </c>
      <c r="G1506" s="8" t="inlineStr">
        <is>
          <t>PIECE_VEHICULE</t>
        </is>
      </c>
      <c r="H1506" s="8" t="n">
        <v>1</v>
      </c>
      <c r="I1506" s="8">
        <f>H1506*$D$3</f>
        <v/>
      </c>
      <c r="J1506" s="8" t="inlineStr">
        <is>
          <t>unité</t>
        </is>
      </c>
      <c r="K1506" s="8" t="n">
        <v>0</v>
      </c>
      <c r="L1506" s="8">
        <f>K1506-I1506</f>
        <v/>
      </c>
      <c r="M1506" s="8">
        <f>IF(K1506&lt;I1506,"✕ INSUFFISANT",IF(K1506&lt;I1506*1.2,"⚠ STOCK FAIBLE","✓ COUVERT"))</f>
        <v/>
      </c>
      <c r="N1506" s="8" t="inlineStr">
        <is>
          <t>SUM</t>
        </is>
      </c>
      <c r="O1506" s="8" t="inlineStr">
        <is>
          <t>IMPORTANT</t>
        </is>
      </c>
      <c r="P1506" s="8" t="inlineStr">
        <is>
          <t>31/08/2026 02:59</t>
        </is>
      </c>
    </row>
    <row r="1507">
      <c r="A1507" s="7" t="inlineStr">
        <is>
          <t>WHAP 8x8</t>
        </is>
      </c>
      <c r="B1507" s="7" t="inlineStr">
        <is>
          <t>WHAP-1503</t>
        </is>
      </c>
      <c r="C1507" s="7" t="inlineStr">
        <is>
          <t>ELC-1503</t>
        </is>
      </c>
      <c r="D1507" s="7" t="inlineStr">
        <is>
          <t>capteur position — châssis</t>
        </is>
      </c>
      <c r="E1507" s="7" t="inlineStr">
        <is>
          <t>Électronique et capteurs</t>
        </is>
      </c>
      <c r="F1507" s="7" t="inlineStr">
        <is>
          <t>Électronique et capteurs</t>
        </is>
      </c>
      <c r="G1507" s="7" t="inlineStr">
        <is>
          <t>PIECE_VEHICULE</t>
        </is>
      </c>
      <c r="H1507" s="7" t="n">
        <v>1</v>
      </c>
      <c r="I1507" s="7">
        <f>H1507*$D$3</f>
        <v/>
      </c>
      <c r="J1507" s="7" t="inlineStr">
        <is>
          <t>unité</t>
        </is>
      </c>
      <c r="K1507" s="7" t="n">
        <v>0</v>
      </c>
      <c r="L1507" s="7">
        <f>K1507-I1507</f>
        <v/>
      </c>
      <c r="M1507" s="7">
        <f>IF(K1507&lt;I1507,"✕ INSUFFISANT",IF(K1507&lt;I1507*1.2,"⚠ STOCK FAIBLE","✓ COUVERT"))</f>
        <v/>
      </c>
      <c r="N1507" s="7" t="inlineStr">
        <is>
          <t>HEL</t>
        </is>
      </c>
      <c r="O1507" s="7" t="inlineStr">
        <is>
          <t>IMPORTANT</t>
        </is>
      </c>
      <c r="P1507" s="7" t="inlineStr">
        <is>
          <t>31/08/2026 02:59</t>
        </is>
      </c>
    </row>
    <row r="1508">
      <c r="A1508" s="8" t="inlineStr">
        <is>
          <t>WHAP 8x8</t>
        </is>
      </c>
      <c r="B1508" s="8" t="inlineStr">
        <is>
          <t>WHAP-1504</t>
        </is>
      </c>
      <c r="C1508" s="8" t="inlineStr">
        <is>
          <t>ELC-1504</t>
        </is>
      </c>
      <c r="D1508" s="8" t="inlineStr">
        <is>
          <t>capteur niveau — châssis</t>
        </is>
      </c>
      <c r="E1508" s="8" t="inlineStr">
        <is>
          <t>Électronique et capteurs</t>
        </is>
      </c>
      <c r="F1508" s="8" t="inlineStr">
        <is>
          <t>Électronique et capteurs</t>
        </is>
      </c>
      <c r="G1508" s="8" t="inlineStr">
        <is>
          <t>PIECE_VEHICULE</t>
        </is>
      </c>
      <c r="H1508" s="8" t="n">
        <v>1</v>
      </c>
      <c r="I1508" s="8">
        <f>H1508*$D$3</f>
        <v/>
      </c>
      <c r="J1508" s="8" t="inlineStr">
        <is>
          <t>unité</t>
        </is>
      </c>
      <c r="K1508" s="8" t="n">
        <v>0</v>
      </c>
      <c r="L1508" s="8">
        <f>K1508-I1508</f>
        <v/>
      </c>
      <c r="M1508" s="8">
        <f>IF(K1508&lt;I1508,"✕ INSUFFISANT",IF(K1508&lt;I1508*1.2,"⚠ STOCK FAIBLE","✓ COUVERT"))</f>
        <v/>
      </c>
      <c r="N1508" s="8" t="inlineStr">
        <is>
          <t>HEL</t>
        </is>
      </c>
      <c r="O1508" s="8" t="inlineStr">
        <is>
          <t>IMPORTANT</t>
        </is>
      </c>
      <c r="P1508" s="8" t="inlineStr">
        <is>
          <t>31/08/2026 02:59</t>
        </is>
      </c>
    </row>
    <row r="1509">
      <c r="A1509" s="7" t="inlineStr">
        <is>
          <t>WHAP 8x8</t>
        </is>
      </c>
      <c r="B1509" s="7" t="inlineStr">
        <is>
          <t>WHAP-1505</t>
        </is>
      </c>
      <c r="C1509" s="7" t="inlineStr">
        <is>
          <t>ELC-1505</t>
        </is>
      </c>
      <c r="D1509" s="7" t="inlineStr">
        <is>
          <t>capteur débit — châssis</t>
        </is>
      </c>
      <c r="E1509" s="7" t="inlineStr">
        <is>
          <t>Électronique et capteurs</t>
        </is>
      </c>
      <c r="F1509" s="7" t="inlineStr">
        <is>
          <t>Électronique et capteurs</t>
        </is>
      </c>
      <c r="G1509" s="7" t="inlineStr">
        <is>
          <t>PIECE_VEHICULE</t>
        </is>
      </c>
      <c r="H1509" s="7" t="n">
        <v>1</v>
      </c>
      <c r="I1509" s="7">
        <f>H1509*$D$3</f>
        <v/>
      </c>
      <c r="J1509" s="7" t="inlineStr">
        <is>
          <t>unité</t>
        </is>
      </c>
      <c r="K1509" s="7" t="n">
        <v>0</v>
      </c>
      <c r="L1509" s="7">
        <f>K1509-I1509</f>
        <v/>
      </c>
      <c r="M1509" s="7">
        <f>IF(K1509&lt;I1509,"✕ INSUFFISANT",IF(K1509&lt;I1509*1.2,"⚠ STOCK FAIBLE","✓ COUVERT"))</f>
        <v/>
      </c>
      <c r="N1509" s="7" t="inlineStr">
        <is>
          <t>BOS</t>
        </is>
      </c>
      <c r="O1509" s="7" t="inlineStr">
        <is>
          <t>IMPORTANT</t>
        </is>
      </c>
      <c r="P1509" s="7" t="inlineStr">
        <is>
          <t>31/08/2026 02:59</t>
        </is>
      </c>
    </row>
    <row r="1510">
      <c r="A1510" s="8" t="inlineStr">
        <is>
          <t>WHAP 8x8</t>
        </is>
      </c>
      <c r="B1510" s="8" t="inlineStr">
        <is>
          <t>WHAP-1506</t>
        </is>
      </c>
      <c r="C1510" s="8" t="inlineStr">
        <is>
          <t>ELC-1506</t>
        </is>
      </c>
      <c r="D1510" s="8" t="inlineStr">
        <is>
          <t>capteur accélération — châssis</t>
        </is>
      </c>
      <c r="E1510" s="8" t="inlineStr">
        <is>
          <t>Électronique et capteurs</t>
        </is>
      </c>
      <c r="F1510" s="8" t="inlineStr">
        <is>
          <t>Électronique et capteurs</t>
        </is>
      </c>
      <c r="G1510" s="8" t="inlineStr">
        <is>
          <t>PIECE_VEHICULE</t>
        </is>
      </c>
      <c r="H1510" s="8" t="n">
        <v>1</v>
      </c>
      <c r="I1510" s="8">
        <f>H1510*$D$3</f>
        <v/>
      </c>
      <c r="J1510" s="8" t="inlineStr">
        <is>
          <t>unité</t>
        </is>
      </c>
      <c r="K1510" s="8" t="n">
        <v>0</v>
      </c>
      <c r="L1510" s="8">
        <f>K1510-I1510</f>
        <v/>
      </c>
      <c r="M1510" s="8">
        <f>IF(K1510&lt;I1510,"✕ INSUFFISANT",IF(K1510&lt;I1510*1.2,"⚠ STOCK FAIBLE","✓ COUVERT"))</f>
        <v/>
      </c>
      <c r="N1510" s="8" t="inlineStr">
        <is>
          <t>VAL</t>
        </is>
      </c>
      <c r="O1510" s="8" t="inlineStr">
        <is>
          <t>IMPORTANT</t>
        </is>
      </c>
      <c r="P1510" s="8" t="inlineStr">
        <is>
          <t>31/08/2026 02:59</t>
        </is>
      </c>
    </row>
    <row r="1511">
      <c r="A1511" s="7" t="inlineStr">
        <is>
          <t>WHAP 8x8</t>
        </is>
      </c>
      <c r="B1511" s="7" t="inlineStr">
        <is>
          <t>WHAP-1507</t>
        </is>
      </c>
      <c r="C1511" s="7" t="inlineStr">
        <is>
          <t>ELC-1507</t>
        </is>
      </c>
      <c r="D1511" s="7" t="inlineStr">
        <is>
          <t>capteur inclinaison — châssis</t>
        </is>
      </c>
      <c r="E1511" s="7" t="inlineStr">
        <is>
          <t>Électronique et capteurs</t>
        </is>
      </c>
      <c r="F1511" s="7" t="inlineStr">
        <is>
          <t>Électronique et capteurs</t>
        </is>
      </c>
      <c r="G1511" s="7" t="inlineStr">
        <is>
          <t>PIECE_VEHICULE</t>
        </is>
      </c>
      <c r="H1511" s="7" t="n">
        <v>1</v>
      </c>
      <c r="I1511" s="7">
        <f>H1511*$D$3</f>
        <v/>
      </c>
      <c r="J1511" s="7" t="inlineStr">
        <is>
          <t>unité</t>
        </is>
      </c>
      <c r="K1511" s="7" t="n">
        <v>0</v>
      </c>
      <c r="L1511" s="7">
        <f>K1511-I1511</f>
        <v/>
      </c>
      <c r="M1511" s="7">
        <f>IF(K1511&lt;I1511,"✕ INSUFFISANT",IF(K1511&lt;I1511*1.2,"⚠ STOCK FAIBLE","✓ COUVERT"))</f>
        <v/>
      </c>
      <c r="N1511" s="7" t="inlineStr">
        <is>
          <t>SKF</t>
        </is>
      </c>
      <c r="O1511" s="7" t="inlineStr">
        <is>
          <t>IMPORTANT</t>
        </is>
      </c>
      <c r="P1511" s="7" t="inlineStr">
        <is>
          <t>31/08/2026 02:59</t>
        </is>
      </c>
    </row>
    <row r="1512">
      <c r="A1512" s="8" t="inlineStr">
        <is>
          <t>WHAP 8x8</t>
        </is>
      </c>
      <c r="B1512" s="8" t="inlineStr">
        <is>
          <t>WHAP-1508</t>
        </is>
      </c>
      <c r="C1512" s="8" t="inlineStr">
        <is>
          <t>ELC-1508</t>
        </is>
      </c>
      <c r="D1512" s="8" t="inlineStr">
        <is>
          <t>capteur ouverture porte — châssis</t>
        </is>
      </c>
      <c r="E1512" s="8" t="inlineStr">
        <is>
          <t>Électronique et capteurs</t>
        </is>
      </c>
      <c r="F1512" s="8" t="inlineStr">
        <is>
          <t>Électronique et capteurs</t>
        </is>
      </c>
      <c r="G1512" s="8" t="inlineStr">
        <is>
          <t>PIECE_VEHICULE</t>
        </is>
      </c>
      <c r="H1512" s="8" t="n">
        <v>1</v>
      </c>
      <c r="I1512" s="8">
        <f>H1512*$D$3</f>
        <v/>
      </c>
      <c r="J1512" s="8" t="inlineStr">
        <is>
          <t>unité</t>
        </is>
      </c>
      <c r="K1512" s="8" t="n">
        <v>0</v>
      </c>
      <c r="L1512" s="8">
        <f>K1512-I1512</f>
        <v/>
      </c>
      <c r="M1512" s="8">
        <f>IF(K1512&lt;I1512,"✕ INSUFFISANT",IF(K1512&lt;I1512*1.2,"⚠ STOCK FAIBLE","✓ COUVERT"))</f>
        <v/>
      </c>
      <c r="N1512" s="8" t="inlineStr">
        <is>
          <t>CTL</t>
        </is>
      </c>
      <c r="O1512" s="8" t="inlineStr">
        <is>
          <t>IMPORTANT</t>
        </is>
      </c>
      <c r="P1512" s="8" t="inlineStr">
        <is>
          <t>31/08/2026 02:59</t>
        </is>
      </c>
    </row>
    <row r="1513">
      <c r="A1513" s="7" t="inlineStr">
        <is>
          <t>WHAP 8x8</t>
        </is>
      </c>
      <c r="B1513" s="7" t="inlineStr">
        <is>
          <t>WHAP-1509</t>
        </is>
      </c>
      <c r="C1513" s="7" t="inlineStr">
        <is>
          <t>ELC-1509</t>
        </is>
      </c>
      <c r="D1513" s="7" t="inlineStr">
        <is>
          <t>capteur présence — châssis</t>
        </is>
      </c>
      <c r="E1513" s="7" t="inlineStr">
        <is>
          <t>Électronique et capteurs</t>
        </is>
      </c>
      <c r="F1513" s="7" t="inlineStr">
        <is>
          <t>Électronique et capteurs</t>
        </is>
      </c>
      <c r="G1513" s="7" t="inlineStr">
        <is>
          <t>PIECE_VEHICULE</t>
        </is>
      </c>
      <c r="H1513" s="7" t="n">
        <v>1</v>
      </c>
      <c r="I1513" s="7">
        <f>H1513*$D$3</f>
        <v/>
      </c>
      <c r="J1513" s="7" t="inlineStr">
        <is>
          <t>unité</t>
        </is>
      </c>
      <c r="K1513" s="7" t="n">
        <v>0</v>
      </c>
      <c r="L1513" s="7">
        <f>K1513-I1513</f>
        <v/>
      </c>
      <c r="M1513" s="7">
        <f>IF(K1513&lt;I1513,"✕ INSUFFISANT",IF(K1513&lt;I1513*1.2,"⚠ STOCK FAIBLE","✓ COUVERT"))</f>
        <v/>
      </c>
      <c r="N1513" s="7" t="inlineStr">
        <is>
          <t>FAU</t>
        </is>
      </c>
      <c r="O1513" s="7" t="inlineStr">
        <is>
          <t>IMPORTANT</t>
        </is>
      </c>
      <c r="P1513" s="7" t="inlineStr">
        <is>
          <t>31/08/2026 02:59</t>
        </is>
      </c>
    </row>
    <row r="1514">
      <c r="A1514" s="8" t="inlineStr">
        <is>
          <t>WHAP 8x8</t>
        </is>
      </c>
      <c r="B1514" s="8" t="inlineStr">
        <is>
          <t>WHAP-1510</t>
        </is>
      </c>
      <c r="C1514" s="8" t="inlineStr">
        <is>
          <t>ELC-1510</t>
        </is>
      </c>
      <c r="D1514" s="8" t="inlineStr">
        <is>
          <t>capteur fumée — châssis</t>
        </is>
      </c>
      <c r="E1514" s="8" t="inlineStr">
        <is>
          <t>Électronique et capteurs</t>
        </is>
      </c>
      <c r="F1514" s="8" t="inlineStr">
        <is>
          <t>Électronique et capteurs</t>
        </is>
      </c>
      <c r="G1514" s="8" t="inlineStr">
        <is>
          <t>PIECE_VEHICULE</t>
        </is>
      </c>
      <c r="H1514" s="8" t="n">
        <v>1</v>
      </c>
      <c r="I1514" s="8">
        <f>H1514*$D$3</f>
        <v/>
      </c>
      <c r="J1514" s="8" t="inlineStr">
        <is>
          <t>unité</t>
        </is>
      </c>
      <c r="K1514" s="8" t="n">
        <v>0</v>
      </c>
      <c r="L1514" s="8">
        <f>K1514-I1514</f>
        <v/>
      </c>
      <c r="M1514" s="8">
        <f>IF(K1514&lt;I1514,"✕ INSUFFISANT",IF(K1514&lt;I1514*1.2,"⚠ STOCK FAIBLE","✓ COUVERT"))</f>
        <v/>
      </c>
      <c r="N1514" s="8" t="inlineStr">
        <is>
          <t>SUM</t>
        </is>
      </c>
      <c r="O1514" s="8" t="inlineStr">
        <is>
          <t>IMPORTANT</t>
        </is>
      </c>
      <c r="P1514" s="8" t="inlineStr">
        <is>
          <t>31/08/2026 02:59</t>
        </is>
      </c>
    </row>
    <row r="1515">
      <c r="A1515" s="7" t="inlineStr">
        <is>
          <t>WHAP 8x8</t>
        </is>
      </c>
      <c r="B1515" s="7" t="inlineStr">
        <is>
          <t>WHAP-1511</t>
        </is>
      </c>
      <c r="C1515" s="7" t="inlineStr">
        <is>
          <t>ELC-1511</t>
        </is>
      </c>
      <c r="D1515" s="7" t="inlineStr">
        <is>
          <t>capteur flamme — châssis</t>
        </is>
      </c>
      <c r="E1515" s="7" t="inlineStr">
        <is>
          <t>Électronique et capteurs</t>
        </is>
      </c>
      <c r="F1515" s="7" t="inlineStr">
        <is>
          <t>Électronique et capteurs</t>
        </is>
      </c>
      <c r="G1515" s="7" t="inlineStr">
        <is>
          <t>PIECE_VEHICULE</t>
        </is>
      </c>
      <c r="H1515" s="7" t="n">
        <v>1</v>
      </c>
      <c r="I1515" s="7">
        <f>H1515*$D$3</f>
        <v/>
      </c>
      <c r="J1515" s="7" t="inlineStr">
        <is>
          <t>unité</t>
        </is>
      </c>
      <c r="K1515" s="7" t="n">
        <v>0</v>
      </c>
      <c r="L1515" s="7">
        <f>K1515-I1515</f>
        <v/>
      </c>
      <c r="M1515" s="7">
        <f>IF(K1515&lt;I1515,"✕ INSUFFISANT",IF(K1515&lt;I1515*1.2,"⚠ STOCK FAIBLE","✓ COUVERT"))</f>
        <v/>
      </c>
      <c r="N1515" s="7" t="inlineStr">
        <is>
          <t>SKF</t>
        </is>
      </c>
      <c r="O1515" s="7" t="inlineStr">
        <is>
          <t>IMPORTANT</t>
        </is>
      </c>
      <c r="P1515" s="7" t="inlineStr">
        <is>
          <t>31/08/2026 02:59</t>
        </is>
      </c>
    </row>
    <row r="1516">
      <c r="A1516" s="8" t="inlineStr">
        <is>
          <t>WHAP 8x8</t>
        </is>
      </c>
      <c r="B1516" s="8" t="inlineStr">
        <is>
          <t>WHAP-1512</t>
        </is>
      </c>
      <c r="C1516" s="8" t="inlineStr">
        <is>
          <t>ELC-1512</t>
        </is>
      </c>
      <c r="D1516" s="8" t="inlineStr">
        <is>
          <t>capteur CO2 — châssis</t>
        </is>
      </c>
      <c r="E1516" s="8" t="inlineStr">
        <is>
          <t>Électronique et capteurs</t>
        </is>
      </c>
      <c r="F1516" s="8" t="inlineStr">
        <is>
          <t>Électronique et capteurs</t>
        </is>
      </c>
      <c r="G1516" s="8" t="inlineStr">
        <is>
          <t>PIECE_VEHICULE</t>
        </is>
      </c>
      <c r="H1516" s="8" t="n">
        <v>1</v>
      </c>
      <c r="I1516" s="8">
        <f>H1516*$D$3</f>
        <v/>
      </c>
      <c r="J1516" s="8" t="inlineStr">
        <is>
          <t>unité</t>
        </is>
      </c>
      <c r="K1516" s="8" t="n">
        <v>0</v>
      </c>
      <c r="L1516" s="8">
        <f>K1516-I1516</f>
        <v/>
      </c>
      <c r="M1516" s="8">
        <f>IF(K1516&lt;I1516,"✕ INSUFFISANT",IF(K1516&lt;I1516*1.2,"⚠ STOCK FAIBLE","✓ COUVERT"))</f>
        <v/>
      </c>
      <c r="N1516" s="8" t="inlineStr">
        <is>
          <t>YZK</t>
        </is>
      </c>
      <c r="O1516" s="8" t="inlineStr">
        <is>
          <t>IMPORTANT</t>
        </is>
      </c>
      <c r="P1516" s="8" t="inlineStr">
        <is>
          <t>31/08/2026 02:59</t>
        </is>
      </c>
    </row>
    <row r="1517">
      <c r="A1517" s="7" t="inlineStr">
        <is>
          <t>WHAP 8x8</t>
        </is>
      </c>
      <c r="B1517" s="7" t="inlineStr">
        <is>
          <t>WHAP-1513</t>
        </is>
      </c>
      <c r="C1517" s="7" t="inlineStr">
        <is>
          <t>ELC-1513</t>
        </is>
      </c>
      <c r="D1517" s="7" t="inlineStr">
        <is>
          <t>capteur humidité — châssis</t>
        </is>
      </c>
      <c r="E1517" s="7" t="inlineStr">
        <is>
          <t>Électronique et capteurs</t>
        </is>
      </c>
      <c r="F1517" s="7" t="inlineStr">
        <is>
          <t>Électronique et capteurs</t>
        </is>
      </c>
      <c r="G1517" s="7" t="inlineStr">
        <is>
          <t>PIECE_VEHICULE</t>
        </is>
      </c>
      <c r="H1517" s="7" t="n">
        <v>1</v>
      </c>
      <c r="I1517" s="7">
        <f>H1517*$D$3</f>
        <v/>
      </c>
      <c r="J1517" s="7" t="inlineStr">
        <is>
          <t>unité</t>
        </is>
      </c>
      <c r="K1517" s="7" t="n">
        <v>0</v>
      </c>
      <c r="L1517" s="7">
        <f>K1517-I1517</f>
        <v/>
      </c>
      <c r="M1517" s="7">
        <f>IF(K1517&lt;I1517,"✕ INSUFFISANT",IF(K1517&lt;I1517*1.2,"⚠ STOCK FAIBLE","✓ COUVERT"))</f>
        <v/>
      </c>
      <c r="N1517" s="7" t="inlineStr">
        <is>
          <t>YZK</t>
        </is>
      </c>
      <c r="O1517" s="7" t="inlineStr">
        <is>
          <t>IMPORTANT</t>
        </is>
      </c>
      <c r="P1517" s="7" t="inlineStr">
        <is>
          <t>31/08/2026 02:59</t>
        </is>
      </c>
    </row>
    <row r="1518">
      <c r="A1518" s="8" t="inlineStr">
        <is>
          <t>WHAP 8x8</t>
        </is>
      </c>
      <c r="B1518" s="8" t="inlineStr">
        <is>
          <t>WHAP-1514</t>
        </is>
      </c>
      <c r="C1518" s="8" t="inlineStr">
        <is>
          <t>ELC-1514</t>
        </is>
      </c>
      <c r="D1518" s="8" t="inlineStr">
        <is>
          <t>capteur vibration — châssis</t>
        </is>
      </c>
      <c r="E1518" s="8" t="inlineStr">
        <is>
          <t>Électronique et capteurs</t>
        </is>
      </c>
      <c r="F1518" s="8" t="inlineStr">
        <is>
          <t>Électronique et capteurs</t>
        </is>
      </c>
      <c r="G1518" s="8" t="inlineStr">
        <is>
          <t>PIECE_VEHICULE</t>
        </is>
      </c>
      <c r="H1518" s="8" t="n">
        <v>1</v>
      </c>
      <c r="I1518" s="8">
        <f>H1518*$D$3</f>
        <v/>
      </c>
      <c r="J1518" s="8" t="inlineStr">
        <is>
          <t>unité</t>
        </is>
      </c>
      <c r="K1518" s="8" t="n">
        <v>0</v>
      </c>
      <c r="L1518" s="8">
        <f>K1518-I1518</f>
        <v/>
      </c>
      <c r="M1518" s="8">
        <f>IF(K1518&lt;I1518,"✕ INSUFFISANT",IF(K1518&lt;I1518*1.2,"⚠ STOCK FAIBLE","✓ COUVERT"))</f>
        <v/>
      </c>
      <c r="N1518" s="8" t="inlineStr">
        <is>
          <t>BOS</t>
        </is>
      </c>
      <c r="O1518" s="8" t="inlineStr">
        <is>
          <t>IMPORTANT</t>
        </is>
      </c>
      <c r="P1518" s="8" t="inlineStr">
        <is>
          <t>31/08/2026 02:59</t>
        </is>
      </c>
    </row>
    <row r="1519">
      <c r="A1519" s="7" t="inlineStr">
        <is>
          <t>WHAP 8x8</t>
        </is>
      </c>
      <c r="B1519" s="7" t="inlineStr">
        <is>
          <t>WHAP-1515</t>
        </is>
      </c>
      <c r="C1519" s="7" t="inlineStr">
        <is>
          <t>ELC-1515</t>
        </is>
      </c>
      <c r="D1519" s="7" t="inlineStr">
        <is>
          <t>antenne — châssis</t>
        </is>
      </c>
      <c r="E1519" s="7" t="inlineStr">
        <is>
          <t>Électronique et capteurs</t>
        </is>
      </c>
      <c r="F1519" s="7" t="inlineStr">
        <is>
          <t>Électronique et capteurs</t>
        </is>
      </c>
      <c r="G1519" s="7" t="inlineStr">
        <is>
          <t>PIECE_VEHICULE</t>
        </is>
      </c>
      <c r="H1519" s="7" t="n">
        <v>1</v>
      </c>
      <c r="I1519" s="7">
        <f>H1519*$D$3</f>
        <v/>
      </c>
      <c r="J1519" s="7" t="inlineStr">
        <is>
          <t>unité</t>
        </is>
      </c>
      <c r="K1519" s="7" t="n">
        <v>0</v>
      </c>
      <c r="L1519" s="7">
        <f>K1519-I1519</f>
        <v/>
      </c>
      <c r="M1519" s="7">
        <f>IF(K1519&lt;I1519,"✕ INSUFFISANT",IF(K1519&lt;I1519*1.2,"⚠ STOCK FAIBLE","✓ COUVERT"))</f>
        <v/>
      </c>
      <c r="N1519" s="7" t="inlineStr">
        <is>
          <t>CTL</t>
        </is>
      </c>
      <c r="O1519" s="7" t="inlineStr">
        <is>
          <t>IMPORTANT</t>
        </is>
      </c>
      <c r="P1519" s="7" t="inlineStr">
        <is>
          <t>31/08/2026 02:59</t>
        </is>
      </c>
    </row>
    <row r="1520">
      <c r="A1520" s="8" t="inlineStr">
        <is>
          <t>WHAP 8x8</t>
        </is>
      </c>
      <c r="B1520" s="8" t="inlineStr">
        <is>
          <t>WHAP-1516</t>
        </is>
      </c>
      <c r="C1520" s="8" t="inlineStr">
        <is>
          <t>ELC-1516</t>
        </is>
      </c>
      <c r="D1520" s="8" t="inlineStr">
        <is>
          <t>module GPS — châssis</t>
        </is>
      </c>
      <c r="E1520" s="8" t="inlineStr">
        <is>
          <t>Électronique et capteurs</t>
        </is>
      </c>
      <c r="F1520" s="8" t="inlineStr">
        <is>
          <t>Électronique et capteurs</t>
        </is>
      </c>
      <c r="G1520" s="8" t="inlineStr">
        <is>
          <t>PIECE_VEHICULE</t>
        </is>
      </c>
      <c r="H1520" s="8" t="n">
        <v>1</v>
      </c>
      <c r="I1520" s="8">
        <f>H1520*$D$3</f>
        <v/>
      </c>
      <c r="J1520" s="8" t="inlineStr">
        <is>
          <t>unité</t>
        </is>
      </c>
      <c r="K1520" s="8" t="n">
        <v>0</v>
      </c>
      <c r="L1520" s="8">
        <f>K1520-I1520</f>
        <v/>
      </c>
      <c r="M1520" s="8">
        <f>IF(K1520&lt;I1520,"✕ INSUFFISANT",IF(K1520&lt;I1520*1.2,"⚠ STOCK FAIBLE","✓ COUVERT"))</f>
        <v/>
      </c>
      <c r="N1520" s="8" t="inlineStr">
        <is>
          <t>DEL</t>
        </is>
      </c>
      <c r="O1520" s="8" t="inlineStr">
        <is>
          <t>IMPORTANT</t>
        </is>
      </c>
      <c r="P1520" s="8" t="inlineStr">
        <is>
          <t>31/08/2026 02:59</t>
        </is>
      </c>
    </row>
    <row r="1521">
      <c r="A1521" s="7" t="inlineStr">
        <is>
          <t>WHAP 8x8</t>
        </is>
      </c>
      <c r="B1521" s="7" t="inlineStr">
        <is>
          <t>WHAP-1517</t>
        </is>
      </c>
      <c r="C1521" s="7" t="inlineStr">
        <is>
          <t>ELC-1517</t>
        </is>
      </c>
      <c r="D1521" s="7" t="inlineStr">
        <is>
          <t>module communication — châssis</t>
        </is>
      </c>
      <c r="E1521" s="7" t="inlineStr">
        <is>
          <t>Électronique et capteurs</t>
        </is>
      </c>
      <c r="F1521" s="7" t="inlineStr">
        <is>
          <t>Électronique et capteurs</t>
        </is>
      </c>
      <c r="G1521" s="7" t="inlineStr">
        <is>
          <t>PIECE_VEHICULE</t>
        </is>
      </c>
      <c r="H1521" s="7" t="n">
        <v>1</v>
      </c>
      <c r="I1521" s="7">
        <f>H1521*$D$3</f>
        <v/>
      </c>
      <c r="J1521" s="7" t="inlineStr">
        <is>
          <t>unité</t>
        </is>
      </c>
      <c r="K1521" s="7" t="n">
        <v>0</v>
      </c>
      <c r="L1521" s="7">
        <f>K1521-I1521</f>
        <v/>
      </c>
      <c r="M1521" s="7">
        <f>IF(K1521&lt;I1521,"✕ INSUFFISANT",IF(K1521&lt;I1521*1.2,"⚠ STOCK FAIBLE","✓ COUVERT"))</f>
        <v/>
      </c>
      <c r="N1521" s="7" t="inlineStr">
        <is>
          <t>HEL</t>
        </is>
      </c>
      <c r="O1521" s="7" t="inlineStr">
        <is>
          <t>IMPORTANT</t>
        </is>
      </c>
      <c r="P1521" s="7" t="inlineStr">
        <is>
          <t>31/08/2026 02:59</t>
        </is>
      </c>
    </row>
    <row r="1522">
      <c r="A1522" s="8" t="inlineStr">
        <is>
          <t>WHAP 8x8</t>
        </is>
      </c>
      <c r="B1522" s="8" t="inlineStr">
        <is>
          <t>WHAP-1518</t>
        </is>
      </c>
      <c r="C1522" s="8" t="inlineStr">
        <is>
          <t>ELC-1518</t>
        </is>
      </c>
      <c r="D1522" s="8" t="inlineStr">
        <is>
          <t>écran multifonction — châssis</t>
        </is>
      </c>
      <c r="E1522" s="8" t="inlineStr">
        <is>
          <t>Électronique et capteurs</t>
        </is>
      </c>
      <c r="F1522" s="8" t="inlineStr">
        <is>
          <t>Électronique et capteurs</t>
        </is>
      </c>
      <c r="G1522" s="8" t="inlineStr">
        <is>
          <t>PIECE_VEHICULE</t>
        </is>
      </c>
      <c r="H1522" s="8" t="n">
        <v>1</v>
      </c>
      <c r="I1522" s="8">
        <f>H1522*$D$3</f>
        <v/>
      </c>
      <c r="J1522" s="8" t="inlineStr">
        <is>
          <t>unité</t>
        </is>
      </c>
      <c r="K1522" s="8" t="n">
        <v>0</v>
      </c>
      <c r="L1522" s="8">
        <f>K1522-I1522</f>
        <v/>
      </c>
      <c r="M1522" s="8">
        <f>IF(K1522&lt;I1522,"✕ INSUFFISANT",IF(K1522&lt;I1522*1.2,"⚠ STOCK FAIBLE","✓ COUVERT"))</f>
        <v/>
      </c>
      <c r="N1522" s="8" t="inlineStr">
        <is>
          <t>VAL</t>
        </is>
      </c>
      <c r="O1522" s="8" t="inlineStr">
        <is>
          <t>IMPORTANT</t>
        </is>
      </c>
      <c r="P1522" s="8" t="inlineStr">
        <is>
          <t>31/08/2026 02:59</t>
        </is>
      </c>
    </row>
    <row r="1523">
      <c r="A1523" s="7" t="inlineStr">
        <is>
          <t>WHAP 8x8</t>
        </is>
      </c>
      <c r="B1523" s="7" t="inlineStr">
        <is>
          <t>WHAP-1519</t>
        </is>
      </c>
      <c r="C1523" s="7" t="inlineStr">
        <is>
          <t>ELC-1519</t>
        </is>
      </c>
      <c r="D1523" s="7" t="inlineStr">
        <is>
          <t>unité de diagnostic — châssis</t>
        </is>
      </c>
      <c r="E1523" s="7" t="inlineStr">
        <is>
          <t>Électronique et capteurs</t>
        </is>
      </c>
      <c r="F1523" s="7" t="inlineStr">
        <is>
          <t>Électronique et capteurs</t>
        </is>
      </c>
      <c r="G1523" s="7" t="inlineStr">
        <is>
          <t>PIECE_VEHICULE</t>
        </is>
      </c>
      <c r="H1523" s="7" t="n">
        <v>1</v>
      </c>
      <c r="I1523" s="7">
        <f>H1523*$D$3</f>
        <v/>
      </c>
      <c r="J1523" s="7" t="inlineStr">
        <is>
          <t>unité</t>
        </is>
      </c>
      <c r="K1523" s="7" t="n">
        <v>0</v>
      </c>
      <c r="L1523" s="7">
        <f>K1523-I1523</f>
        <v/>
      </c>
      <c r="M1523" s="7">
        <f>IF(K1523&lt;I1523,"✕ INSUFFISANT",IF(K1523&lt;I1523*1.2,"⚠ STOCK FAIBLE","✓ COUVERT"))</f>
        <v/>
      </c>
      <c r="N1523" s="7" t="inlineStr">
        <is>
          <t>SUM</t>
        </is>
      </c>
      <c r="O1523" s="7" t="inlineStr">
        <is>
          <t>IMPORTANT</t>
        </is>
      </c>
      <c r="P1523" s="7" t="inlineStr">
        <is>
          <t>31/08/2026 02:59</t>
        </is>
      </c>
    </row>
    <row r="1524">
      <c r="A1524" s="8" t="inlineStr">
        <is>
          <t>WHAP 8x8</t>
        </is>
      </c>
      <c r="B1524" s="8" t="inlineStr">
        <is>
          <t>WHAP-1520</t>
        </is>
      </c>
      <c r="C1524" s="8" t="inlineStr">
        <is>
          <t>ELC-1520</t>
        </is>
      </c>
      <c r="D1524" s="8" t="inlineStr">
        <is>
          <t>connecteur CAN — châssis</t>
        </is>
      </c>
      <c r="E1524" s="8" t="inlineStr">
        <is>
          <t>Électronique et capteurs</t>
        </is>
      </c>
      <c r="F1524" s="8" t="inlineStr">
        <is>
          <t>Électronique et capteurs</t>
        </is>
      </c>
      <c r="G1524" s="8" t="inlineStr">
        <is>
          <t>PIECE_VEHICULE</t>
        </is>
      </c>
      <c r="H1524" s="8" t="n">
        <v>1</v>
      </c>
      <c r="I1524" s="8">
        <f>H1524*$D$3</f>
        <v/>
      </c>
      <c r="J1524" s="8" t="inlineStr">
        <is>
          <t>unité</t>
        </is>
      </c>
      <c r="K1524" s="8" t="n">
        <v>0</v>
      </c>
      <c r="L1524" s="8">
        <f>K1524-I1524</f>
        <v/>
      </c>
      <c r="M1524" s="8">
        <f>IF(K1524&lt;I1524,"✕ INSUFFISANT",IF(K1524&lt;I1524*1.2,"⚠ STOCK FAIBLE","✓ COUVERT"))</f>
        <v/>
      </c>
      <c r="N1524" s="8" t="inlineStr">
        <is>
          <t>DEL</t>
        </is>
      </c>
      <c r="O1524" s="8" t="inlineStr">
        <is>
          <t>IMPORTANT</t>
        </is>
      </c>
      <c r="P1524" s="8" t="inlineStr">
        <is>
          <t>31/08/2026 02:59</t>
        </is>
      </c>
    </row>
    <row r="1525">
      <c r="A1525" s="7" t="inlineStr">
        <is>
          <t>WHAP 8x8</t>
        </is>
      </c>
      <c r="B1525" s="7" t="inlineStr">
        <is>
          <t>WHAP-1521</t>
        </is>
      </c>
      <c r="C1525" s="7" t="inlineStr">
        <is>
          <t>ELC-1521</t>
        </is>
      </c>
      <c r="D1525" s="7" t="inlineStr">
        <is>
          <t>terminaison CAN — châssis</t>
        </is>
      </c>
      <c r="E1525" s="7" t="inlineStr">
        <is>
          <t>Électronique et capteurs</t>
        </is>
      </c>
      <c r="F1525" s="7" t="inlineStr">
        <is>
          <t>Électronique et capteurs</t>
        </is>
      </c>
      <c r="G1525" s="7" t="inlineStr">
        <is>
          <t>PIECE_VEHICULE</t>
        </is>
      </c>
      <c r="H1525" s="7" t="n">
        <v>1</v>
      </c>
      <c r="I1525" s="7">
        <f>H1525*$D$3</f>
        <v/>
      </c>
      <c r="J1525" s="7" t="inlineStr">
        <is>
          <t>unité</t>
        </is>
      </c>
      <c r="K1525" s="7" t="n">
        <v>0</v>
      </c>
      <c r="L1525" s="7">
        <f>K1525-I1525</f>
        <v/>
      </c>
      <c r="M1525" s="7">
        <f>IF(K1525&lt;I1525,"✕ INSUFFISANT",IF(K1525&lt;I1525*1.2,"⚠ STOCK FAIBLE","✓ COUVERT"))</f>
        <v/>
      </c>
      <c r="N1525" s="7" t="inlineStr">
        <is>
          <t>HEL</t>
        </is>
      </c>
      <c r="O1525" s="7" t="inlineStr">
        <is>
          <t>IMPORTANT</t>
        </is>
      </c>
      <c r="P1525" s="7" t="inlineStr">
        <is>
          <t>31/08/2026 02:59</t>
        </is>
      </c>
    </row>
    <row r="1526">
      <c r="A1526" s="8" t="inlineStr">
        <is>
          <t>WHAP 8x8</t>
        </is>
      </c>
      <c r="B1526" s="8" t="inlineStr">
        <is>
          <t>WHAP-1522</t>
        </is>
      </c>
      <c r="C1526" s="8" t="inlineStr">
        <is>
          <t>ELC-1522</t>
        </is>
      </c>
      <c r="D1526" s="8" t="inlineStr">
        <is>
          <t>câble CAN — châssis</t>
        </is>
      </c>
      <c r="E1526" s="8" t="inlineStr">
        <is>
          <t>Électronique et capteurs</t>
        </is>
      </c>
      <c r="F1526" s="8" t="inlineStr">
        <is>
          <t>Électronique et capteurs</t>
        </is>
      </c>
      <c r="G1526" s="8" t="inlineStr">
        <is>
          <t>PIECE_VEHICULE</t>
        </is>
      </c>
      <c r="H1526" s="8" t="n">
        <v>1</v>
      </c>
      <c r="I1526" s="8">
        <f>H1526*$D$3</f>
        <v/>
      </c>
      <c r="J1526" s="8" t="inlineStr">
        <is>
          <t>unité</t>
        </is>
      </c>
      <c r="K1526" s="8" t="n">
        <v>0</v>
      </c>
      <c r="L1526" s="8">
        <f>K1526-I1526</f>
        <v/>
      </c>
      <c r="M1526" s="8">
        <f>IF(K1526&lt;I1526,"✕ INSUFFISANT",IF(K1526&lt;I1526*1.2,"⚠ STOCK FAIBLE","✓ COUVERT"))</f>
        <v/>
      </c>
      <c r="N1526" s="8" t="inlineStr">
        <is>
          <t>YZK</t>
        </is>
      </c>
      <c r="O1526" s="8" t="inlineStr">
        <is>
          <t>IMPORTANT</t>
        </is>
      </c>
      <c r="P1526" s="8" t="inlineStr">
        <is>
          <t>31/08/2026 02:59</t>
        </is>
      </c>
    </row>
    <row r="1527">
      <c r="A1527" s="7" t="inlineStr">
        <is>
          <t>WHAP 8x8</t>
        </is>
      </c>
      <c r="B1527" s="7" t="inlineStr">
        <is>
          <t>WHAP-1523</t>
        </is>
      </c>
      <c r="C1527" s="7" t="inlineStr">
        <is>
          <t>ELC-1523</t>
        </is>
      </c>
      <c r="D1527" s="7" t="inlineStr">
        <is>
          <t>boîtier électronique — châssis</t>
        </is>
      </c>
      <c r="E1527" s="7" t="inlineStr">
        <is>
          <t>Électronique et capteurs</t>
        </is>
      </c>
      <c r="F1527" s="7" t="inlineStr">
        <is>
          <t>Électronique et capteurs</t>
        </is>
      </c>
      <c r="G1527" s="7" t="inlineStr">
        <is>
          <t>PIECE_VEHICULE</t>
        </is>
      </c>
      <c r="H1527" s="7" t="n">
        <v>1</v>
      </c>
      <c r="I1527" s="7">
        <f>H1527*$D$3</f>
        <v/>
      </c>
      <c r="J1527" s="7" t="inlineStr">
        <is>
          <t>unité</t>
        </is>
      </c>
      <c r="K1527" s="7" t="n">
        <v>0</v>
      </c>
      <c r="L1527" s="7">
        <f>K1527-I1527</f>
        <v/>
      </c>
      <c r="M1527" s="7">
        <f>IF(K1527&lt;I1527,"✕ INSUFFISANT",IF(K1527&lt;I1527*1.2,"⚠ STOCK FAIBLE","✓ COUVERT"))</f>
        <v/>
      </c>
      <c r="N1527" s="7" t="inlineStr">
        <is>
          <t>SKF</t>
        </is>
      </c>
      <c r="O1527" s="7" t="inlineStr">
        <is>
          <t>IMPORTANT</t>
        </is>
      </c>
      <c r="P1527" s="7" t="inlineStr">
        <is>
          <t>31/08/2026 02:59</t>
        </is>
      </c>
    </row>
    <row r="1528">
      <c r="A1528" s="8" t="inlineStr">
        <is>
          <t>WHAP 8x8</t>
        </is>
      </c>
      <c r="B1528" s="8" t="inlineStr">
        <is>
          <t>WHAP-1524</t>
        </is>
      </c>
      <c r="C1528" s="8" t="inlineStr">
        <is>
          <t>ELC-1524</t>
        </is>
      </c>
      <c r="D1528" s="8" t="inlineStr">
        <is>
          <t>calculateur moteur — habitacle</t>
        </is>
      </c>
      <c r="E1528" s="8" t="inlineStr">
        <is>
          <t>Électronique et capteurs</t>
        </is>
      </c>
      <c r="F1528" s="8" t="inlineStr">
        <is>
          <t>Électronique et capteurs</t>
        </is>
      </c>
      <c r="G1528" s="8" t="inlineStr">
        <is>
          <t>PIECE_VEHICULE</t>
        </is>
      </c>
      <c r="H1528" s="8" t="n">
        <v>1</v>
      </c>
      <c r="I1528" s="8">
        <f>H1528*$D$3</f>
        <v/>
      </c>
      <c r="J1528" s="8" t="inlineStr">
        <is>
          <t>unité</t>
        </is>
      </c>
      <c r="K1528" s="8" t="n">
        <v>0</v>
      </c>
      <c r="L1528" s="8">
        <f>K1528-I1528</f>
        <v/>
      </c>
      <c r="M1528" s="8">
        <f>IF(K1528&lt;I1528,"✕ INSUFFISANT",IF(K1528&lt;I1528*1.2,"⚠ STOCK FAIBLE","✓ COUVERT"))</f>
        <v/>
      </c>
      <c r="N1528" s="8" t="inlineStr">
        <is>
          <t>BOS</t>
        </is>
      </c>
      <c r="O1528" s="8" t="inlineStr">
        <is>
          <t>IMPORTANT</t>
        </is>
      </c>
      <c r="P1528" s="8" t="inlineStr">
        <is>
          <t>31/08/2026 02:59</t>
        </is>
      </c>
    </row>
    <row r="1529">
      <c r="A1529" s="7" t="inlineStr">
        <is>
          <t>WHAP 8x8</t>
        </is>
      </c>
      <c r="B1529" s="7" t="inlineStr">
        <is>
          <t>WHAP-1525</t>
        </is>
      </c>
      <c r="C1529" s="7" t="inlineStr">
        <is>
          <t>ELC-1525</t>
        </is>
      </c>
      <c r="D1529" s="7" t="inlineStr">
        <is>
          <t>calculateur transmission — habitacle</t>
        </is>
      </c>
      <c r="E1529" s="7" t="inlineStr">
        <is>
          <t>Électronique et capteurs</t>
        </is>
      </c>
      <c r="F1529" s="7" t="inlineStr">
        <is>
          <t>Électronique et capteurs</t>
        </is>
      </c>
      <c r="G1529" s="7" t="inlineStr">
        <is>
          <t>PIECE_VEHICULE</t>
        </is>
      </c>
      <c r="H1529" s="7" t="n">
        <v>1</v>
      </c>
      <c r="I1529" s="7">
        <f>H1529*$D$3</f>
        <v/>
      </c>
      <c r="J1529" s="7" t="inlineStr">
        <is>
          <t>unité</t>
        </is>
      </c>
      <c r="K1529" s="7" t="n">
        <v>0</v>
      </c>
      <c r="L1529" s="7">
        <f>K1529-I1529</f>
        <v/>
      </c>
      <c r="M1529" s="7">
        <f>IF(K1529&lt;I1529,"✕ INSUFFISANT",IF(K1529&lt;I1529*1.2,"⚠ STOCK FAIBLE","✓ COUVERT"))</f>
        <v/>
      </c>
      <c r="N1529" s="7" t="inlineStr">
        <is>
          <t>VAL</t>
        </is>
      </c>
      <c r="O1529" s="7" t="inlineStr">
        <is>
          <t>IMPORTANT</t>
        </is>
      </c>
      <c r="P1529" s="7" t="inlineStr">
        <is>
          <t>31/08/2026 02:59</t>
        </is>
      </c>
    </row>
    <row r="1530">
      <c r="A1530" s="8" t="inlineStr">
        <is>
          <t>WHAP 8x8</t>
        </is>
      </c>
      <c r="B1530" s="8" t="inlineStr">
        <is>
          <t>WHAP-1526</t>
        </is>
      </c>
      <c r="C1530" s="8" t="inlineStr">
        <is>
          <t>ELC-1526</t>
        </is>
      </c>
      <c r="D1530" s="8" t="inlineStr">
        <is>
          <t>calculateur ABS — habitacle</t>
        </is>
      </c>
      <c r="E1530" s="8" t="inlineStr">
        <is>
          <t>Électronique et capteurs</t>
        </is>
      </c>
      <c r="F1530" s="8" t="inlineStr">
        <is>
          <t>Électronique et capteurs</t>
        </is>
      </c>
      <c r="G1530" s="8" t="inlineStr">
        <is>
          <t>PIECE_VEHICULE</t>
        </is>
      </c>
      <c r="H1530" s="8" t="n">
        <v>1</v>
      </c>
      <c r="I1530" s="8">
        <f>H1530*$D$3</f>
        <v/>
      </c>
      <c r="J1530" s="8" t="inlineStr">
        <is>
          <t>unité</t>
        </is>
      </c>
      <c r="K1530" s="8" t="n">
        <v>0</v>
      </c>
      <c r="L1530" s="8">
        <f>K1530-I1530</f>
        <v/>
      </c>
      <c r="M1530" s="8">
        <f>IF(K1530&lt;I1530,"✕ INSUFFISANT",IF(K1530&lt;I1530*1.2,"⚠ STOCK FAIBLE","✓ COUVERT"))</f>
        <v/>
      </c>
      <c r="N1530" s="8" t="inlineStr">
        <is>
          <t>VAL</t>
        </is>
      </c>
      <c r="O1530" s="8" t="inlineStr">
        <is>
          <t>IMPORTANT</t>
        </is>
      </c>
      <c r="P1530" s="8" t="inlineStr">
        <is>
          <t>31/08/2026 02:59</t>
        </is>
      </c>
    </row>
    <row r="1531">
      <c r="A1531" s="7" t="inlineStr">
        <is>
          <t>WHAP 8x8</t>
        </is>
      </c>
      <c r="B1531" s="7" t="inlineStr">
        <is>
          <t>WHAP-1527</t>
        </is>
      </c>
      <c r="C1531" s="7" t="inlineStr">
        <is>
          <t>ELC-1527</t>
        </is>
      </c>
      <c r="D1531" s="7" t="inlineStr">
        <is>
          <t>calculateur CTIS — habitacle</t>
        </is>
      </c>
      <c r="E1531" s="7" t="inlineStr">
        <is>
          <t>Électronique et capteurs</t>
        </is>
      </c>
      <c r="F1531" s="7" t="inlineStr">
        <is>
          <t>Électronique et capteurs</t>
        </is>
      </c>
      <c r="G1531" s="7" t="inlineStr">
        <is>
          <t>PIECE_VEHICULE</t>
        </is>
      </c>
      <c r="H1531" s="7" t="n">
        <v>1</v>
      </c>
      <c r="I1531" s="7">
        <f>H1531*$D$3</f>
        <v/>
      </c>
      <c r="J1531" s="7" t="inlineStr">
        <is>
          <t>unité</t>
        </is>
      </c>
      <c r="K1531" s="7" t="n">
        <v>0</v>
      </c>
      <c r="L1531" s="7">
        <f>K1531-I1531</f>
        <v/>
      </c>
      <c r="M1531" s="7">
        <f>IF(K1531&lt;I1531,"✕ INSUFFISANT",IF(K1531&lt;I1531*1.2,"⚠ STOCK FAIBLE","✓ COUVERT"))</f>
        <v/>
      </c>
      <c r="N1531" s="7" t="inlineStr">
        <is>
          <t>MAG</t>
        </is>
      </c>
      <c r="O1531" s="7" t="inlineStr">
        <is>
          <t>IMPORTANT</t>
        </is>
      </c>
      <c r="P1531" s="7" t="inlineStr">
        <is>
          <t>31/08/2026 02:59</t>
        </is>
      </c>
    </row>
    <row r="1532">
      <c r="A1532" s="8" t="inlineStr">
        <is>
          <t>WHAP 8x8</t>
        </is>
      </c>
      <c r="B1532" s="8" t="inlineStr">
        <is>
          <t>WHAP-1528</t>
        </is>
      </c>
      <c r="C1532" s="8" t="inlineStr">
        <is>
          <t>ELC-1528</t>
        </is>
      </c>
      <c r="D1532" s="8" t="inlineStr">
        <is>
          <t>unité de contrôle véhicule — habitacle</t>
        </is>
      </c>
      <c r="E1532" s="8" t="inlineStr">
        <is>
          <t>Électronique et capteurs</t>
        </is>
      </c>
      <c r="F1532" s="8" t="inlineStr">
        <is>
          <t>Électronique et capteurs</t>
        </is>
      </c>
      <c r="G1532" s="8" t="inlineStr">
        <is>
          <t>PIECE_VEHICULE</t>
        </is>
      </c>
      <c r="H1532" s="8" t="n">
        <v>1</v>
      </c>
      <c r="I1532" s="8">
        <f>H1532*$D$3</f>
        <v/>
      </c>
      <c r="J1532" s="8" t="inlineStr">
        <is>
          <t>unité</t>
        </is>
      </c>
      <c r="K1532" s="8" t="n">
        <v>0</v>
      </c>
      <c r="L1532" s="8">
        <f>K1532-I1532</f>
        <v/>
      </c>
      <c r="M1532" s="8">
        <f>IF(K1532&lt;I1532,"✕ INSUFFISANT",IF(K1532&lt;I1532*1.2,"⚠ STOCK FAIBLE","✓ COUVERT"))</f>
        <v/>
      </c>
      <c r="N1532" s="8" t="inlineStr">
        <is>
          <t>YZK</t>
        </is>
      </c>
      <c r="O1532" s="8" t="inlineStr">
        <is>
          <t>IMPORTANT</t>
        </is>
      </c>
      <c r="P1532" s="8" t="inlineStr">
        <is>
          <t>31/08/2026 02:59</t>
        </is>
      </c>
    </row>
    <row r="1533">
      <c r="A1533" s="7" t="inlineStr">
        <is>
          <t>WHAP 8x8</t>
        </is>
      </c>
      <c r="B1533" s="7" t="inlineStr">
        <is>
          <t>WHAP-1529</t>
        </is>
      </c>
      <c r="C1533" s="7" t="inlineStr">
        <is>
          <t>ELC-1529</t>
        </is>
      </c>
      <c r="D1533" s="7" t="inlineStr">
        <is>
          <t>module I/O — habitacle</t>
        </is>
      </c>
      <c r="E1533" s="7" t="inlineStr">
        <is>
          <t>Électronique et capteurs</t>
        </is>
      </c>
      <c r="F1533" s="7" t="inlineStr">
        <is>
          <t>Électronique et capteurs</t>
        </is>
      </c>
      <c r="G1533" s="7" t="inlineStr">
        <is>
          <t>PIECE_VEHICULE</t>
        </is>
      </c>
      <c r="H1533" s="7" t="n">
        <v>1</v>
      </c>
      <c r="I1533" s="7">
        <f>H1533*$D$3</f>
        <v/>
      </c>
      <c r="J1533" s="7" t="inlineStr">
        <is>
          <t>unité</t>
        </is>
      </c>
      <c r="K1533" s="7" t="n">
        <v>0</v>
      </c>
      <c r="L1533" s="7">
        <f>K1533-I1533</f>
        <v/>
      </c>
      <c r="M1533" s="7">
        <f>IF(K1533&lt;I1533,"✕ INSUFFISANT",IF(K1533&lt;I1533*1.2,"⚠ STOCK FAIBLE","✓ COUVERT"))</f>
        <v/>
      </c>
      <c r="N1533" s="7" t="inlineStr">
        <is>
          <t>YZK</t>
        </is>
      </c>
      <c r="O1533" s="7" t="inlineStr">
        <is>
          <t>IMPORTANT</t>
        </is>
      </c>
      <c r="P1533" s="7" t="inlineStr">
        <is>
          <t>31/08/2026 02:59</t>
        </is>
      </c>
    </row>
    <row r="1534">
      <c r="A1534" s="8" t="inlineStr">
        <is>
          <t>WHAP 8x8</t>
        </is>
      </c>
      <c r="B1534" s="8" t="inlineStr">
        <is>
          <t>WHAP-1530</t>
        </is>
      </c>
      <c r="C1534" s="8" t="inlineStr">
        <is>
          <t>ELC-1530</t>
        </is>
      </c>
      <c r="D1534" s="8" t="inlineStr">
        <is>
          <t>capteur température — habitacle</t>
        </is>
      </c>
      <c r="E1534" s="8" t="inlineStr">
        <is>
          <t>Électronique et capteurs</t>
        </is>
      </c>
      <c r="F1534" s="8" t="inlineStr">
        <is>
          <t>Électronique et capteurs</t>
        </is>
      </c>
      <c r="G1534" s="8" t="inlineStr">
        <is>
          <t>PIECE_VEHICULE</t>
        </is>
      </c>
      <c r="H1534" s="8" t="n">
        <v>1</v>
      </c>
      <c r="I1534" s="8">
        <f>H1534*$D$3</f>
        <v/>
      </c>
      <c r="J1534" s="8" t="inlineStr">
        <is>
          <t>unité</t>
        </is>
      </c>
      <c r="K1534" s="8" t="n">
        <v>0</v>
      </c>
      <c r="L1534" s="8">
        <f>K1534-I1534</f>
        <v/>
      </c>
      <c r="M1534" s="8">
        <f>IF(K1534&lt;I1534,"✕ INSUFFISANT",IF(K1534&lt;I1534*1.2,"⚠ STOCK FAIBLE","✓ COUVERT"))</f>
        <v/>
      </c>
      <c r="N1534" s="8" t="inlineStr">
        <is>
          <t>SUM</t>
        </is>
      </c>
      <c r="O1534" s="8" t="inlineStr">
        <is>
          <t>IMPORTANT</t>
        </is>
      </c>
      <c r="P1534" s="8" t="inlineStr">
        <is>
          <t>31/08/2026 02:59</t>
        </is>
      </c>
    </row>
    <row r="1535">
      <c r="A1535" s="7" t="inlineStr">
        <is>
          <t>WHAP 8x8</t>
        </is>
      </c>
      <c r="B1535" s="7" t="inlineStr">
        <is>
          <t>WHAP-1531</t>
        </is>
      </c>
      <c r="C1535" s="7" t="inlineStr">
        <is>
          <t>ELC-1531</t>
        </is>
      </c>
      <c r="D1535" s="7" t="inlineStr">
        <is>
          <t>capteur pression — habitacle</t>
        </is>
      </c>
      <c r="E1535" s="7" t="inlineStr">
        <is>
          <t>Électronique et capteurs</t>
        </is>
      </c>
      <c r="F1535" s="7" t="inlineStr">
        <is>
          <t>Électronique et capteurs</t>
        </is>
      </c>
      <c r="G1535" s="7" t="inlineStr">
        <is>
          <t>PIECE_VEHICULE</t>
        </is>
      </c>
      <c r="H1535" s="7" t="n">
        <v>1</v>
      </c>
      <c r="I1535" s="7">
        <f>H1535*$D$3</f>
        <v/>
      </c>
      <c r="J1535" s="7" t="inlineStr">
        <is>
          <t>unité</t>
        </is>
      </c>
      <c r="K1535" s="7" t="n">
        <v>0</v>
      </c>
      <c r="L1535" s="7">
        <f>K1535-I1535</f>
        <v/>
      </c>
      <c r="M1535" s="7">
        <f>IF(K1535&lt;I1535,"✕ INSUFFISANT",IF(K1535&lt;I1535*1.2,"⚠ STOCK FAIBLE","✓ COUVERT"))</f>
        <v/>
      </c>
      <c r="N1535" s="7" t="inlineStr">
        <is>
          <t>SUM</t>
        </is>
      </c>
      <c r="O1535" s="7" t="inlineStr">
        <is>
          <t>IMPORTANT</t>
        </is>
      </c>
      <c r="P1535" s="7" t="inlineStr">
        <is>
          <t>31/08/2026 02:59</t>
        </is>
      </c>
    </row>
    <row r="1536">
      <c r="A1536" s="8" t="inlineStr">
        <is>
          <t>WHAP 8x8</t>
        </is>
      </c>
      <c r="B1536" s="8" t="inlineStr">
        <is>
          <t>WHAP-1532</t>
        </is>
      </c>
      <c r="C1536" s="8" t="inlineStr">
        <is>
          <t>ELC-1532</t>
        </is>
      </c>
      <c r="D1536" s="8" t="inlineStr">
        <is>
          <t>capteur vitesse — habitacle</t>
        </is>
      </c>
      <c r="E1536" s="8" t="inlineStr">
        <is>
          <t>Électronique et capteurs</t>
        </is>
      </c>
      <c r="F1536" s="8" t="inlineStr">
        <is>
          <t>Électronique et capteurs</t>
        </is>
      </c>
      <c r="G1536" s="8" t="inlineStr">
        <is>
          <t>PIECE_VEHICULE</t>
        </is>
      </c>
      <c r="H1536" s="8" t="n">
        <v>1</v>
      </c>
      <c r="I1536" s="8">
        <f>H1536*$D$3</f>
        <v/>
      </c>
      <c r="J1536" s="8" t="inlineStr">
        <is>
          <t>unité</t>
        </is>
      </c>
      <c r="K1536" s="8" t="n">
        <v>0</v>
      </c>
      <c r="L1536" s="8">
        <f>K1536-I1536</f>
        <v/>
      </c>
      <c r="M1536" s="8">
        <f>IF(K1536&lt;I1536,"✕ INSUFFISANT",IF(K1536&lt;I1536*1.2,"⚠ STOCK FAIBLE","✓ COUVERT"))</f>
        <v/>
      </c>
      <c r="N1536" s="8" t="inlineStr">
        <is>
          <t>VAL</t>
        </is>
      </c>
      <c r="O1536" s="8" t="inlineStr">
        <is>
          <t>IMPORTANT</t>
        </is>
      </c>
      <c r="P1536" s="8" t="inlineStr">
        <is>
          <t>31/08/2026 02:59</t>
        </is>
      </c>
    </row>
    <row r="1537">
      <c r="A1537" s="7" t="inlineStr">
        <is>
          <t>WHAP 8x8</t>
        </is>
      </c>
      <c r="B1537" s="7" t="inlineStr">
        <is>
          <t>WHAP-1533</t>
        </is>
      </c>
      <c r="C1537" s="7" t="inlineStr">
        <is>
          <t>ELC-1533</t>
        </is>
      </c>
      <c r="D1537" s="7" t="inlineStr">
        <is>
          <t>capteur position — habitacle</t>
        </is>
      </c>
      <c r="E1537" s="7" t="inlineStr">
        <is>
          <t>Électronique et capteurs</t>
        </is>
      </c>
      <c r="F1537" s="7" t="inlineStr">
        <is>
          <t>Électronique et capteurs</t>
        </is>
      </c>
      <c r="G1537" s="7" t="inlineStr">
        <is>
          <t>PIECE_VEHICULE</t>
        </is>
      </c>
      <c r="H1537" s="7" t="n">
        <v>1</v>
      </c>
      <c r="I1537" s="7">
        <f>H1537*$D$3</f>
        <v/>
      </c>
      <c r="J1537" s="7" t="inlineStr">
        <is>
          <t>unité</t>
        </is>
      </c>
      <c r="K1537" s="7" t="n">
        <v>0</v>
      </c>
      <c r="L1537" s="7">
        <f>K1537-I1537</f>
        <v/>
      </c>
      <c r="M1537" s="7">
        <f>IF(K1537&lt;I1537,"✕ INSUFFISANT",IF(K1537&lt;I1537*1.2,"⚠ STOCK FAIBLE","✓ COUVERT"))</f>
        <v/>
      </c>
      <c r="N1537" s="7" t="inlineStr">
        <is>
          <t>MAG</t>
        </is>
      </c>
      <c r="O1537" s="7" t="inlineStr">
        <is>
          <t>IMPORTANT</t>
        </is>
      </c>
      <c r="P1537" s="7" t="inlineStr">
        <is>
          <t>31/08/2026 02:59</t>
        </is>
      </c>
    </row>
    <row r="1538">
      <c r="A1538" s="8" t="inlineStr">
        <is>
          <t>WHAP 8x8</t>
        </is>
      </c>
      <c r="B1538" s="8" t="inlineStr">
        <is>
          <t>WHAP-1534</t>
        </is>
      </c>
      <c r="C1538" s="8" t="inlineStr">
        <is>
          <t>ELC-1534</t>
        </is>
      </c>
      <c r="D1538" s="8" t="inlineStr">
        <is>
          <t>capteur niveau — habitacle</t>
        </is>
      </c>
      <c r="E1538" s="8" t="inlineStr">
        <is>
          <t>Électronique et capteurs</t>
        </is>
      </c>
      <c r="F1538" s="8" t="inlineStr">
        <is>
          <t>Électronique et capteurs</t>
        </is>
      </c>
      <c r="G1538" s="8" t="inlineStr">
        <is>
          <t>PIECE_VEHICULE</t>
        </is>
      </c>
      <c r="H1538" s="8" t="n">
        <v>1</v>
      </c>
      <c r="I1538" s="8">
        <f>H1538*$D$3</f>
        <v/>
      </c>
      <c r="J1538" s="8" t="inlineStr">
        <is>
          <t>unité</t>
        </is>
      </c>
      <c r="K1538" s="8" t="n">
        <v>0</v>
      </c>
      <c r="L1538" s="8">
        <f>K1538-I1538</f>
        <v/>
      </c>
      <c r="M1538" s="8">
        <f>IF(K1538&lt;I1538,"✕ INSUFFISANT",IF(K1538&lt;I1538*1.2,"⚠ STOCK FAIBLE","✓ COUVERT"))</f>
        <v/>
      </c>
      <c r="N1538" s="8" t="inlineStr">
        <is>
          <t>YZK</t>
        </is>
      </c>
      <c r="O1538" s="8" t="inlineStr">
        <is>
          <t>IMPORTANT</t>
        </is>
      </c>
      <c r="P1538" s="8" t="inlineStr">
        <is>
          <t>31/08/2026 02:59</t>
        </is>
      </c>
    </row>
    <row r="1539">
      <c r="A1539" s="7" t="inlineStr">
        <is>
          <t>WHAP 8x8</t>
        </is>
      </c>
      <c r="B1539" s="7" t="inlineStr">
        <is>
          <t>WHAP-1535</t>
        </is>
      </c>
      <c r="C1539" s="7" t="inlineStr">
        <is>
          <t>ELC-1535</t>
        </is>
      </c>
      <c r="D1539" s="7" t="inlineStr">
        <is>
          <t>capteur débit — habitacle</t>
        </is>
      </c>
      <c r="E1539" s="7" t="inlineStr">
        <is>
          <t>Électronique et capteurs</t>
        </is>
      </c>
      <c r="F1539" s="7" t="inlineStr">
        <is>
          <t>Électronique et capteurs</t>
        </is>
      </c>
      <c r="G1539" s="7" t="inlineStr">
        <is>
          <t>PIECE_VEHICULE</t>
        </is>
      </c>
      <c r="H1539" s="7" t="n">
        <v>1</v>
      </c>
      <c r="I1539" s="7">
        <f>H1539*$D$3</f>
        <v/>
      </c>
      <c r="J1539" s="7" t="inlineStr">
        <is>
          <t>unité</t>
        </is>
      </c>
      <c r="K1539" s="7" t="n">
        <v>0</v>
      </c>
      <c r="L1539" s="7">
        <f>K1539-I1539</f>
        <v/>
      </c>
      <c r="M1539" s="7">
        <f>IF(K1539&lt;I1539,"✕ INSUFFISANT",IF(K1539&lt;I1539*1.2,"⚠ STOCK FAIBLE","✓ COUVERT"))</f>
        <v/>
      </c>
      <c r="N1539" s="7" t="inlineStr">
        <is>
          <t>VAL</t>
        </is>
      </c>
      <c r="O1539" s="7" t="inlineStr">
        <is>
          <t>IMPORTANT</t>
        </is>
      </c>
      <c r="P1539" s="7" t="inlineStr">
        <is>
          <t>31/08/2026 02:59</t>
        </is>
      </c>
    </row>
    <row r="1540">
      <c r="A1540" s="8" t="inlineStr">
        <is>
          <t>WHAP 8x8</t>
        </is>
      </c>
      <c r="B1540" s="8" t="inlineStr">
        <is>
          <t>WHAP-1536</t>
        </is>
      </c>
      <c r="C1540" s="8" t="inlineStr">
        <is>
          <t>ELC-1536</t>
        </is>
      </c>
      <c r="D1540" s="8" t="inlineStr">
        <is>
          <t>capteur accélération — habitacle</t>
        </is>
      </c>
      <c r="E1540" s="8" t="inlineStr">
        <is>
          <t>Électronique et capteurs</t>
        </is>
      </c>
      <c r="F1540" s="8" t="inlineStr">
        <is>
          <t>Électronique et capteurs</t>
        </is>
      </c>
      <c r="G1540" s="8" t="inlineStr">
        <is>
          <t>PIECE_VEHICULE</t>
        </is>
      </c>
      <c r="H1540" s="8" t="n">
        <v>1</v>
      </c>
      <c r="I1540" s="8">
        <f>H1540*$D$3</f>
        <v/>
      </c>
      <c r="J1540" s="8" t="inlineStr">
        <is>
          <t>unité</t>
        </is>
      </c>
      <c r="K1540" s="8" t="n">
        <v>0</v>
      </c>
      <c r="L1540" s="8">
        <f>K1540-I1540</f>
        <v/>
      </c>
      <c r="M1540" s="8">
        <f>IF(K1540&lt;I1540,"✕ INSUFFISANT",IF(K1540&lt;I1540*1.2,"⚠ STOCK FAIBLE","✓ COUVERT"))</f>
        <v/>
      </c>
      <c r="N1540" s="8" t="inlineStr">
        <is>
          <t>FAU</t>
        </is>
      </c>
      <c r="O1540" s="8" t="inlineStr">
        <is>
          <t>IMPORTANT</t>
        </is>
      </c>
      <c r="P1540" s="8" t="inlineStr">
        <is>
          <t>31/08/2026 02:59</t>
        </is>
      </c>
    </row>
    <row r="1541">
      <c r="A1541" s="7" t="inlineStr">
        <is>
          <t>WHAP 8x8</t>
        </is>
      </c>
      <c r="B1541" s="7" t="inlineStr">
        <is>
          <t>WHAP-1537</t>
        </is>
      </c>
      <c r="C1541" s="7" t="inlineStr">
        <is>
          <t>ELC-1537</t>
        </is>
      </c>
      <c r="D1541" s="7" t="inlineStr">
        <is>
          <t>capteur inclinaison — habitacle</t>
        </is>
      </c>
      <c r="E1541" s="7" t="inlineStr">
        <is>
          <t>Électronique et capteurs</t>
        </is>
      </c>
      <c r="F1541" s="7" t="inlineStr">
        <is>
          <t>Électronique et capteurs</t>
        </is>
      </c>
      <c r="G1541" s="7" t="inlineStr">
        <is>
          <t>PIECE_VEHICULE</t>
        </is>
      </c>
      <c r="H1541" s="7" t="n">
        <v>1</v>
      </c>
      <c r="I1541" s="7">
        <f>H1541*$D$3</f>
        <v/>
      </c>
      <c r="J1541" s="7" t="inlineStr">
        <is>
          <t>unité</t>
        </is>
      </c>
      <c r="K1541" s="7" t="n">
        <v>0</v>
      </c>
      <c r="L1541" s="7">
        <f>K1541-I1541</f>
        <v/>
      </c>
      <c r="M1541" s="7">
        <f>IF(K1541&lt;I1541,"✕ INSUFFISANT",IF(K1541&lt;I1541*1.2,"⚠ STOCK FAIBLE","✓ COUVERT"))</f>
        <v/>
      </c>
      <c r="N1541" s="7" t="inlineStr">
        <is>
          <t>FAU</t>
        </is>
      </c>
      <c r="O1541" s="7" t="inlineStr">
        <is>
          <t>IMPORTANT</t>
        </is>
      </c>
      <c r="P1541" s="7" t="inlineStr">
        <is>
          <t>31/08/2026 02:59</t>
        </is>
      </c>
    </row>
    <row r="1542">
      <c r="A1542" s="8" t="inlineStr">
        <is>
          <t>WHAP 8x8</t>
        </is>
      </c>
      <c r="B1542" s="8" t="inlineStr">
        <is>
          <t>WHAP-1538</t>
        </is>
      </c>
      <c r="C1542" s="8" t="inlineStr">
        <is>
          <t>ELC-1538</t>
        </is>
      </c>
      <c r="D1542" s="8" t="inlineStr">
        <is>
          <t>capteur ouverture porte — habitacle</t>
        </is>
      </c>
      <c r="E1542" s="8" t="inlineStr">
        <is>
          <t>Électronique et capteurs</t>
        </is>
      </c>
      <c r="F1542" s="8" t="inlineStr">
        <is>
          <t>Électronique et capteurs</t>
        </is>
      </c>
      <c r="G1542" s="8" t="inlineStr">
        <is>
          <t>PIECE_VEHICULE</t>
        </is>
      </c>
      <c r="H1542" s="8" t="n">
        <v>1</v>
      </c>
      <c r="I1542" s="8">
        <f>H1542*$D$3</f>
        <v/>
      </c>
      <c r="J1542" s="8" t="inlineStr">
        <is>
          <t>unité</t>
        </is>
      </c>
      <c r="K1542" s="8" t="n">
        <v>0</v>
      </c>
      <c r="L1542" s="8">
        <f>K1542-I1542</f>
        <v/>
      </c>
      <c r="M1542" s="8">
        <f>IF(K1542&lt;I1542,"✕ INSUFFISANT",IF(K1542&lt;I1542*1.2,"⚠ STOCK FAIBLE","✓ COUVERT"))</f>
        <v/>
      </c>
      <c r="N1542" s="8" t="inlineStr">
        <is>
          <t>HEL</t>
        </is>
      </c>
      <c r="O1542" s="8" t="inlineStr">
        <is>
          <t>IMPORTANT</t>
        </is>
      </c>
      <c r="P1542" s="8" t="inlineStr">
        <is>
          <t>31/08/2026 02:59</t>
        </is>
      </c>
    </row>
    <row r="1543">
      <c r="A1543" s="7" t="inlineStr">
        <is>
          <t>WHAP 8x8</t>
        </is>
      </c>
      <c r="B1543" s="7" t="inlineStr">
        <is>
          <t>WHAP-1539</t>
        </is>
      </c>
      <c r="C1543" s="7" t="inlineStr">
        <is>
          <t>ELC-1539</t>
        </is>
      </c>
      <c r="D1543" s="7" t="inlineStr">
        <is>
          <t>capteur présence — habitacle</t>
        </is>
      </c>
      <c r="E1543" s="7" t="inlineStr">
        <is>
          <t>Électronique et capteurs</t>
        </is>
      </c>
      <c r="F1543" s="7" t="inlineStr">
        <is>
          <t>Électronique et capteurs</t>
        </is>
      </c>
      <c r="G1543" s="7" t="inlineStr">
        <is>
          <t>PIECE_VEHICULE</t>
        </is>
      </c>
      <c r="H1543" s="7" t="n">
        <v>1</v>
      </c>
      <c r="I1543" s="7">
        <f>H1543*$D$3</f>
        <v/>
      </c>
      <c r="J1543" s="7" t="inlineStr">
        <is>
          <t>unité</t>
        </is>
      </c>
      <c r="K1543" s="7" t="n">
        <v>0</v>
      </c>
      <c r="L1543" s="7">
        <f>K1543-I1543</f>
        <v/>
      </c>
      <c r="M1543" s="7">
        <f>IF(K1543&lt;I1543,"✕ INSUFFISANT",IF(K1543&lt;I1543*1.2,"⚠ STOCK FAIBLE","✓ COUVERT"))</f>
        <v/>
      </c>
      <c r="N1543" s="7" t="inlineStr">
        <is>
          <t>CTL</t>
        </is>
      </c>
      <c r="O1543" s="7" t="inlineStr">
        <is>
          <t>IMPORTANT</t>
        </is>
      </c>
      <c r="P1543" s="7" t="inlineStr">
        <is>
          <t>31/08/2026 02:59</t>
        </is>
      </c>
    </row>
    <row r="1544">
      <c r="A1544" s="8" t="inlineStr">
        <is>
          <t>WHAP 8x8</t>
        </is>
      </c>
      <c r="B1544" s="8" t="inlineStr">
        <is>
          <t>WHAP-1540</t>
        </is>
      </c>
      <c r="C1544" s="8" t="inlineStr">
        <is>
          <t>ELC-1540</t>
        </is>
      </c>
      <c r="D1544" s="8" t="inlineStr">
        <is>
          <t>capteur fumée — habitacle</t>
        </is>
      </c>
      <c r="E1544" s="8" t="inlineStr">
        <is>
          <t>Électronique et capteurs</t>
        </is>
      </c>
      <c r="F1544" s="8" t="inlineStr">
        <is>
          <t>Électronique et capteurs</t>
        </is>
      </c>
      <c r="G1544" s="8" t="inlineStr">
        <is>
          <t>PIECE_VEHICULE</t>
        </is>
      </c>
      <c r="H1544" s="8" t="n">
        <v>1</v>
      </c>
      <c r="I1544" s="8">
        <f>H1544*$D$3</f>
        <v/>
      </c>
      <c r="J1544" s="8" t="inlineStr">
        <is>
          <t>unité</t>
        </is>
      </c>
      <c r="K1544" s="8" t="n">
        <v>0</v>
      </c>
      <c r="L1544" s="8">
        <f>K1544-I1544</f>
        <v/>
      </c>
      <c r="M1544" s="8">
        <f>IF(K1544&lt;I1544,"✕ INSUFFISANT",IF(K1544&lt;I1544*1.2,"⚠ STOCK FAIBLE","✓ COUVERT"))</f>
        <v/>
      </c>
      <c r="N1544" s="8" t="inlineStr">
        <is>
          <t>FAU</t>
        </is>
      </c>
      <c r="O1544" s="8" t="inlineStr">
        <is>
          <t>IMPORTANT</t>
        </is>
      </c>
      <c r="P1544" s="8" t="inlineStr">
        <is>
          <t>31/08/2026 02:59</t>
        </is>
      </c>
    </row>
    <row r="1545">
      <c r="A1545" s="7" t="inlineStr">
        <is>
          <t>WHAP 8x8</t>
        </is>
      </c>
      <c r="B1545" s="7" t="inlineStr">
        <is>
          <t>WHAP-1541</t>
        </is>
      </c>
      <c r="C1545" s="7" t="inlineStr">
        <is>
          <t>ELC-1541</t>
        </is>
      </c>
      <c r="D1545" s="7" t="inlineStr">
        <is>
          <t>capteur flamme — habitacle</t>
        </is>
      </c>
      <c r="E1545" s="7" t="inlineStr">
        <is>
          <t>Électronique et capteurs</t>
        </is>
      </c>
      <c r="F1545" s="7" t="inlineStr">
        <is>
          <t>Électronique et capteurs</t>
        </is>
      </c>
      <c r="G1545" s="7" t="inlineStr">
        <is>
          <t>PIECE_VEHICULE</t>
        </is>
      </c>
      <c r="H1545" s="7" t="n">
        <v>1</v>
      </c>
      <c r="I1545" s="7">
        <f>H1545*$D$3</f>
        <v/>
      </c>
      <c r="J1545" s="7" t="inlineStr">
        <is>
          <t>unité</t>
        </is>
      </c>
      <c r="K1545" s="7" t="n">
        <v>0</v>
      </c>
      <c r="L1545" s="7">
        <f>K1545-I1545</f>
        <v/>
      </c>
      <c r="M1545" s="7">
        <f>IF(K1545&lt;I1545,"✕ INSUFFISANT",IF(K1545&lt;I1545*1.2,"⚠ STOCK FAIBLE","✓ COUVERT"))</f>
        <v/>
      </c>
      <c r="N1545" s="7" t="inlineStr">
        <is>
          <t>MAG</t>
        </is>
      </c>
      <c r="O1545" s="7" t="inlineStr">
        <is>
          <t>IMPORTANT</t>
        </is>
      </c>
      <c r="P1545" s="7" t="inlineStr">
        <is>
          <t>31/08/2026 02:59</t>
        </is>
      </c>
    </row>
    <row r="1546">
      <c r="A1546" s="8" t="inlineStr">
        <is>
          <t>WHAP 8x8</t>
        </is>
      </c>
      <c r="B1546" s="8" t="inlineStr">
        <is>
          <t>WHAP-1542</t>
        </is>
      </c>
      <c r="C1546" s="8" t="inlineStr">
        <is>
          <t>ELC-1542</t>
        </is>
      </c>
      <c r="D1546" s="8" t="inlineStr">
        <is>
          <t>capteur CO2 — habitacle</t>
        </is>
      </c>
      <c r="E1546" s="8" t="inlineStr">
        <is>
          <t>Électronique et capteurs</t>
        </is>
      </c>
      <c r="F1546" s="8" t="inlineStr">
        <is>
          <t>Électronique et capteurs</t>
        </is>
      </c>
      <c r="G1546" s="8" t="inlineStr">
        <is>
          <t>PIECE_VEHICULE</t>
        </is>
      </c>
      <c r="H1546" s="8" t="n">
        <v>1</v>
      </c>
      <c r="I1546" s="8">
        <f>H1546*$D$3</f>
        <v/>
      </c>
      <c r="J1546" s="8" t="inlineStr">
        <is>
          <t>unité</t>
        </is>
      </c>
      <c r="K1546" s="8" t="n">
        <v>0</v>
      </c>
      <c r="L1546" s="8">
        <f>K1546-I1546</f>
        <v/>
      </c>
      <c r="M1546" s="8">
        <f>IF(K1546&lt;I1546,"✕ INSUFFISANT",IF(K1546&lt;I1546*1.2,"⚠ STOCK FAIBLE","✓ COUVERT"))</f>
        <v/>
      </c>
      <c r="N1546" s="8" t="inlineStr">
        <is>
          <t>FAU</t>
        </is>
      </c>
      <c r="O1546" s="8" t="inlineStr">
        <is>
          <t>IMPORTANT</t>
        </is>
      </c>
      <c r="P1546" s="8" t="inlineStr">
        <is>
          <t>31/08/2026 02:59</t>
        </is>
      </c>
    </row>
    <row r="1547">
      <c r="A1547" s="7" t="inlineStr">
        <is>
          <t>WHAP 8x8</t>
        </is>
      </c>
      <c r="B1547" s="7" t="inlineStr">
        <is>
          <t>WHAP-1543</t>
        </is>
      </c>
      <c r="C1547" s="7" t="inlineStr">
        <is>
          <t>ELC-1543</t>
        </is>
      </c>
      <c r="D1547" s="7" t="inlineStr">
        <is>
          <t>capteur humidité — habitacle</t>
        </is>
      </c>
      <c r="E1547" s="7" t="inlineStr">
        <is>
          <t>Électronique et capteurs</t>
        </is>
      </c>
      <c r="F1547" s="7" t="inlineStr">
        <is>
          <t>Électronique et capteurs</t>
        </is>
      </c>
      <c r="G1547" s="7" t="inlineStr">
        <is>
          <t>PIECE_VEHICULE</t>
        </is>
      </c>
      <c r="H1547" s="7" t="n">
        <v>1</v>
      </c>
      <c r="I1547" s="7">
        <f>H1547*$D$3</f>
        <v/>
      </c>
      <c r="J1547" s="7" t="inlineStr">
        <is>
          <t>unité</t>
        </is>
      </c>
      <c r="K1547" s="7" t="n">
        <v>0</v>
      </c>
      <c r="L1547" s="7">
        <f>K1547-I1547</f>
        <v/>
      </c>
      <c r="M1547" s="7">
        <f>IF(K1547&lt;I1547,"✕ INSUFFISANT",IF(K1547&lt;I1547*1.2,"⚠ STOCK FAIBLE","✓ COUVERT"))</f>
        <v/>
      </c>
      <c r="N1547" s="7" t="inlineStr">
        <is>
          <t>VAL</t>
        </is>
      </c>
      <c r="O1547" s="7" t="inlineStr">
        <is>
          <t>IMPORTANT</t>
        </is>
      </c>
      <c r="P1547" s="7" t="inlineStr">
        <is>
          <t>31/08/2026 02:59</t>
        </is>
      </c>
    </row>
    <row r="1548">
      <c r="A1548" s="8" t="inlineStr">
        <is>
          <t>WHAP 8x8</t>
        </is>
      </c>
      <c r="B1548" s="8" t="inlineStr">
        <is>
          <t>WHAP-1544</t>
        </is>
      </c>
      <c r="C1548" s="8" t="inlineStr">
        <is>
          <t>ELC-1544</t>
        </is>
      </c>
      <c r="D1548" s="8" t="inlineStr">
        <is>
          <t>capteur vibration — habitacle</t>
        </is>
      </c>
      <c r="E1548" s="8" t="inlineStr">
        <is>
          <t>Électronique et capteurs</t>
        </is>
      </c>
      <c r="F1548" s="8" t="inlineStr">
        <is>
          <t>Électronique et capteurs</t>
        </is>
      </c>
      <c r="G1548" s="8" t="inlineStr">
        <is>
          <t>PIECE_VEHICULE</t>
        </is>
      </c>
      <c r="H1548" s="8" t="n">
        <v>1</v>
      </c>
      <c r="I1548" s="8">
        <f>H1548*$D$3</f>
        <v/>
      </c>
      <c r="J1548" s="8" t="inlineStr">
        <is>
          <t>unité</t>
        </is>
      </c>
      <c r="K1548" s="8" t="n">
        <v>0</v>
      </c>
      <c r="L1548" s="8">
        <f>K1548-I1548</f>
        <v/>
      </c>
      <c r="M1548" s="8">
        <f>IF(K1548&lt;I1548,"✕ INSUFFISANT",IF(K1548&lt;I1548*1.2,"⚠ STOCK FAIBLE","✓ COUVERT"))</f>
        <v/>
      </c>
      <c r="N1548" s="8" t="inlineStr">
        <is>
          <t>FAU</t>
        </is>
      </c>
      <c r="O1548" s="8" t="inlineStr">
        <is>
          <t>IMPORTANT</t>
        </is>
      </c>
      <c r="P1548" s="8" t="inlineStr">
        <is>
          <t>31/08/2026 02:59</t>
        </is>
      </c>
    </row>
    <row r="1549">
      <c r="A1549" s="7" t="inlineStr">
        <is>
          <t>WHAP 8x8</t>
        </is>
      </c>
      <c r="B1549" s="7" t="inlineStr">
        <is>
          <t>WHAP-1545</t>
        </is>
      </c>
      <c r="C1549" s="7" t="inlineStr">
        <is>
          <t>ELC-1545</t>
        </is>
      </c>
      <c r="D1549" s="7" t="inlineStr">
        <is>
          <t>antenne — habitacle</t>
        </is>
      </c>
      <c r="E1549" s="7" t="inlineStr">
        <is>
          <t>Électronique et capteurs</t>
        </is>
      </c>
      <c r="F1549" s="7" t="inlineStr">
        <is>
          <t>Électronique et capteurs</t>
        </is>
      </c>
      <c r="G1549" s="7" t="inlineStr">
        <is>
          <t>PIECE_VEHICULE</t>
        </is>
      </c>
      <c r="H1549" s="7" t="n">
        <v>1</v>
      </c>
      <c r="I1549" s="7">
        <f>H1549*$D$3</f>
        <v/>
      </c>
      <c r="J1549" s="7" t="inlineStr">
        <is>
          <t>unité</t>
        </is>
      </c>
      <c r="K1549" s="7" t="n">
        <v>0</v>
      </c>
      <c r="L1549" s="7">
        <f>K1549-I1549</f>
        <v/>
      </c>
      <c r="M1549" s="7">
        <f>IF(K1549&lt;I1549,"✕ INSUFFISANT",IF(K1549&lt;I1549*1.2,"⚠ STOCK FAIBLE","✓ COUVERT"))</f>
        <v/>
      </c>
      <c r="N1549" s="7" t="inlineStr">
        <is>
          <t>HEL</t>
        </is>
      </c>
      <c r="O1549" s="7" t="inlineStr">
        <is>
          <t>IMPORTANT</t>
        </is>
      </c>
      <c r="P1549" s="7" t="inlineStr">
        <is>
          <t>31/08/2026 02:59</t>
        </is>
      </c>
    </row>
    <row r="1550">
      <c r="A1550" s="8" t="inlineStr">
        <is>
          <t>WHAP 8x8</t>
        </is>
      </c>
      <c r="B1550" s="8" t="inlineStr">
        <is>
          <t>WHAP-1546</t>
        </is>
      </c>
      <c r="C1550" s="8" t="inlineStr">
        <is>
          <t>ELC-1546</t>
        </is>
      </c>
      <c r="D1550" s="8" t="inlineStr">
        <is>
          <t>module GPS — habitacle</t>
        </is>
      </c>
      <c r="E1550" s="8" t="inlineStr">
        <is>
          <t>Électronique et capteurs</t>
        </is>
      </c>
      <c r="F1550" s="8" t="inlineStr">
        <is>
          <t>Électronique et capteurs</t>
        </is>
      </c>
      <c r="G1550" s="8" t="inlineStr">
        <is>
          <t>PIECE_VEHICULE</t>
        </is>
      </c>
      <c r="H1550" s="8" t="n">
        <v>1</v>
      </c>
      <c r="I1550" s="8">
        <f>H1550*$D$3</f>
        <v/>
      </c>
      <c r="J1550" s="8" t="inlineStr">
        <is>
          <t>unité</t>
        </is>
      </c>
      <c r="K1550" s="8" t="n">
        <v>0</v>
      </c>
      <c r="L1550" s="8">
        <f>K1550-I1550</f>
        <v/>
      </c>
      <c r="M1550" s="8">
        <f>IF(K1550&lt;I1550,"✕ INSUFFISANT",IF(K1550&lt;I1550*1.2,"⚠ STOCK FAIBLE","✓ COUVERT"))</f>
        <v/>
      </c>
      <c r="N1550" s="8" t="inlineStr">
        <is>
          <t>CTL</t>
        </is>
      </c>
      <c r="O1550" s="8" t="inlineStr">
        <is>
          <t>IMPORTANT</t>
        </is>
      </c>
      <c r="P1550" s="8" t="inlineStr">
        <is>
          <t>31/08/2026 02:59</t>
        </is>
      </c>
    </row>
    <row r="1551">
      <c r="A1551" s="7" t="inlineStr">
        <is>
          <t>WHAP 8x8</t>
        </is>
      </c>
      <c r="B1551" s="7" t="inlineStr">
        <is>
          <t>WHAP-1547</t>
        </is>
      </c>
      <c r="C1551" s="7" t="inlineStr">
        <is>
          <t>ELC-1547</t>
        </is>
      </c>
      <c r="D1551" s="7" t="inlineStr">
        <is>
          <t>module communication — habitacle</t>
        </is>
      </c>
      <c r="E1551" s="7" t="inlineStr">
        <is>
          <t>Électronique et capteurs</t>
        </is>
      </c>
      <c r="F1551" s="7" t="inlineStr">
        <is>
          <t>Électronique et capteurs</t>
        </is>
      </c>
      <c r="G1551" s="7" t="inlineStr">
        <is>
          <t>PIECE_VEHICULE</t>
        </is>
      </c>
      <c r="H1551" s="7" t="n">
        <v>1</v>
      </c>
      <c r="I1551" s="7">
        <f>H1551*$D$3</f>
        <v/>
      </c>
      <c r="J1551" s="7" t="inlineStr">
        <is>
          <t>unité</t>
        </is>
      </c>
      <c r="K1551" s="7" t="n">
        <v>0</v>
      </c>
      <c r="L1551" s="7">
        <f>K1551-I1551</f>
        <v/>
      </c>
      <c r="M1551" s="7">
        <f>IF(K1551&lt;I1551,"✕ INSUFFISANT",IF(K1551&lt;I1551*1.2,"⚠ STOCK FAIBLE","✓ COUVERT"))</f>
        <v/>
      </c>
      <c r="N1551" s="7" t="inlineStr">
        <is>
          <t>SKF</t>
        </is>
      </c>
      <c r="O1551" s="7" t="inlineStr">
        <is>
          <t>IMPORTANT</t>
        </is>
      </c>
      <c r="P1551" s="7" t="inlineStr">
        <is>
          <t>31/08/2026 02:59</t>
        </is>
      </c>
    </row>
    <row r="1552">
      <c r="A1552" s="8" t="inlineStr">
        <is>
          <t>WHAP 8x8</t>
        </is>
      </c>
      <c r="B1552" s="8" t="inlineStr">
        <is>
          <t>WHAP-1548</t>
        </is>
      </c>
      <c r="C1552" s="8" t="inlineStr">
        <is>
          <t>ELC-1548</t>
        </is>
      </c>
      <c r="D1552" s="8" t="inlineStr">
        <is>
          <t>écran multifonction — habitacle</t>
        </is>
      </c>
      <c r="E1552" s="8" t="inlineStr">
        <is>
          <t>Électronique et capteurs</t>
        </is>
      </c>
      <c r="F1552" s="8" t="inlineStr">
        <is>
          <t>Électronique et capteurs</t>
        </is>
      </c>
      <c r="G1552" s="8" t="inlineStr">
        <is>
          <t>PIECE_VEHICULE</t>
        </is>
      </c>
      <c r="H1552" s="8" t="n">
        <v>1</v>
      </c>
      <c r="I1552" s="8">
        <f>H1552*$D$3</f>
        <v/>
      </c>
      <c r="J1552" s="8" t="inlineStr">
        <is>
          <t>unité</t>
        </is>
      </c>
      <c r="K1552" s="8" t="n">
        <v>0</v>
      </c>
      <c r="L1552" s="8">
        <f>K1552-I1552</f>
        <v/>
      </c>
      <c r="M1552" s="8">
        <f>IF(K1552&lt;I1552,"✕ INSUFFISANT",IF(K1552&lt;I1552*1.2,"⚠ STOCK FAIBLE","✓ COUVERT"))</f>
        <v/>
      </c>
      <c r="N1552" s="8" t="inlineStr">
        <is>
          <t>DEL</t>
        </is>
      </c>
      <c r="O1552" s="8" t="inlineStr">
        <is>
          <t>IMPORTANT</t>
        </is>
      </c>
      <c r="P1552" s="8" t="inlineStr">
        <is>
          <t>31/08/2026 02:59</t>
        </is>
      </c>
    </row>
    <row r="1553">
      <c r="A1553" s="7" t="inlineStr">
        <is>
          <t>WHAP 8x8</t>
        </is>
      </c>
      <c r="B1553" s="7" t="inlineStr">
        <is>
          <t>WHAP-1549</t>
        </is>
      </c>
      <c r="C1553" s="7" t="inlineStr">
        <is>
          <t>ELC-1549</t>
        </is>
      </c>
      <c r="D1553" s="7" t="inlineStr">
        <is>
          <t>unité de diagnostic — habitacle</t>
        </is>
      </c>
      <c r="E1553" s="7" t="inlineStr">
        <is>
          <t>Électronique et capteurs</t>
        </is>
      </c>
      <c r="F1553" s="7" t="inlineStr">
        <is>
          <t>Électronique et capteurs</t>
        </is>
      </c>
      <c r="G1553" s="7" t="inlineStr">
        <is>
          <t>PIECE_VEHICULE</t>
        </is>
      </c>
      <c r="H1553" s="7" t="n">
        <v>1</v>
      </c>
      <c r="I1553" s="7">
        <f>H1553*$D$3</f>
        <v/>
      </c>
      <c r="J1553" s="7" t="inlineStr">
        <is>
          <t>unité</t>
        </is>
      </c>
      <c r="K1553" s="7" t="n">
        <v>0</v>
      </c>
      <c r="L1553" s="7">
        <f>K1553-I1553</f>
        <v/>
      </c>
      <c r="M1553" s="7">
        <f>IF(K1553&lt;I1553,"✕ INSUFFISANT",IF(K1553&lt;I1553*1.2,"⚠ STOCK FAIBLE","✓ COUVERT"))</f>
        <v/>
      </c>
      <c r="N1553" s="7" t="inlineStr">
        <is>
          <t>SUM</t>
        </is>
      </c>
      <c r="O1553" s="7" t="inlineStr">
        <is>
          <t>IMPORTANT</t>
        </is>
      </c>
      <c r="P1553" s="7" t="inlineStr">
        <is>
          <t>31/08/2026 02:59</t>
        </is>
      </c>
    </row>
    <row r="1554">
      <c r="A1554" s="8" t="inlineStr">
        <is>
          <t>WHAP 8x8</t>
        </is>
      </c>
      <c r="B1554" s="8" t="inlineStr">
        <is>
          <t>WHAP-1550</t>
        </is>
      </c>
      <c r="C1554" s="8" t="inlineStr">
        <is>
          <t>ELC-1550</t>
        </is>
      </c>
      <c r="D1554" s="8" t="inlineStr">
        <is>
          <t>connecteur CAN — habitacle</t>
        </is>
      </c>
      <c r="E1554" s="8" t="inlineStr">
        <is>
          <t>Électronique et capteurs</t>
        </is>
      </c>
      <c r="F1554" s="8" t="inlineStr">
        <is>
          <t>Électronique et capteurs</t>
        </is>
      </c>
      <c r="G1554" s="8" t="inlineStr">
        <is>
          <t>PIECE_VEHICULE</t>
        </is>
      </c>
      <c r="H1554" s="8" t="n">
        <v>1</v>
      </c>
      <c r="I1554" s="8">
        <f>H1554*$D$3</f>
        <v/>
      </c>
      <c r="J1554" s="8" t="inlineStr">
        <is>
          <t>unité</t>
        </is>
      </c>
      <c r="K1554" s="8" t="n">
        <v>0</v>
      </c>
      <c r="L1554" s="8">
        <f>K1554-I1554</f>
        <v/>
      </c>
      <c r="M1554" s="8">
        <f>IF(K1554&lt;I1554,"✕ INSUFFISANT",IF(K1554&lt;I1554*1.2,"⚠ STOCK FAIBLE","✓ COUVERT"))</f>
        <v/>
      </c>
      <c r="N1554" s="8" t="inlineStr">
        <is>
          <t>MAG</t>
        </is>
      </c>
      <c r="O1554" s="8" t="inlineStr">
        <is>
          <t>IMPORTANT</t>
        </is>
      </c>
      <c r="P1554" s="8" t="inlineStr">
        <is>
          <t>31/08/2026 02:59</t>
        </is>
      </c>
    </row>
    <row r="1555">
      <c r="A1555" s="7" t="inlineStr">
        <is>
          <t>WHAP 8x8</t>
        </is>
      </c>
      <c r="B1555" s="7" t="inlineStr">
        <is>
          <t>WHAP-1551</t>
        </is>
      </c>
      <c r="C1555" s="7" t="inlineStr">
        <is>
          <t>ELC-1551</t>
        </is>
      </c>
      <c r="D1555" s="7" t="inlineStr">
        <is>
          <t>terminaison CAN — habitacle</t>
        </is>
      </c>
      <c r="E1555" s="7" t="inlineStr">
        <is>
          <t>Électronique et capteurs</t>
        </is>
      </c>
      <c r="F1555" s="7" t="inlineStr">
        <is>
          <t>Électronique et capteurs</t>
        </is>
      </c>
      <c r="G1555" s="7" t="inlineStr">
        <is>
          <t>PIECE_VEHICULE</t>
        </is>
      </c>
      <c r="H1555" s="7" t="n">
        <v>1</v>
      </c>
      <c r="I1555" s="7">
        <f>H1555*$D$3</f>
        <v/>
      </c>
      <c r="J1555" s="7" t="inlineStr">
        <is>
          <t>unité</t>
        </is>
      </c>
      <c r="K1555" s="7" t="n">
        <v>0</v>
      </c>
      <c r="L1555" s="7">
        <f>K1555-I1555</f>
        <v/>
      </c>
      <c r="M1555" s="7">
        <f>IF(K1555&lt;I1555,"✕ INSUFFISANT",IF(K1555&lt;I1555*1.2,"⚠ STOCK FAIBLE","✓ COUVERT"))</f>
        <v/>
      </c>
      <c r="N1555" s="7" t="inlineStr">
        <is>
          <t>CTL</t>
        </is>
      </c>
      <c r="O1555" s="7" t="inlineStr">
        <is>
          <t>IMPORTANT</t>
        </is>
      </c>
      <c r="P1555" s="7" t="inlineStr">
        <is>
          <t>31/08/2026 02:59</t>
        </is>
      </c>
    </row>
    <row r="1556">
      <c r="A1556" s="8" t="inlineStr">
        <is>
          <t>WHAP 8x8</t>
        </is>
      </c>
      <c r="B1556" s="8" t="inlineStr">
        <is>
          <t>WHAP-1552</t>
        </is>
      </c>
      <c r="C1556" s="8" t="inlineStr">
        <is>
          <t>ELC-1552</t>
        </is>
      </c>
      <c r="D1556" s="8" t="inlineStr">
        <is>
          <t>câble CAN — habitacle</t>
        </is>
      </c>
      <c r="E1556" s="8" t="inlineStr">
        <is>
          <t>Électronique et capteurs</t>
        </is>
      </c>
      <c r="F1556" s="8" t="inlineStr">
        <is>
          <t>Électronique et capteurs</t>
        </is>
      </c>
      <c r="G1556" s="8" t="inlineStr">
        <is>
          <t>PIECE_VEHICULE</t>
        </is>
      </c>
      <c r="H1556" s="8" t="n">
        <v>1</v>
      </c>
      <c r="I1556" s="8">
        <f>H1556*$D$3</f>
        <v/>
      </c>
      <c r="J1556" s="8" t="inlineStr">
        <is>
          <t>unité</t>
        </is>
      </c>
      <c r="K1556" s="8" t="n">
        <v>0</v>
      </c>
      <c r="L1556" s="8">
        <f>K1556-I1556</f>
        <v/>
      </c>
      <c r="M1556" s="8">
        <f>IF(K1556&lt;I1556,"✕ INSUFFISANT",IF(K1556&lt;I1556*1.2,"⚠ STOCK FAIBLE","✓ COUVERT"))</f>
        <v/>
      </c>
      <c r="N1556" s="8" t="inlineStr">
        <is>
          <t>SUM</t>
        </is>
      </c>
      <c r="O1556" s="8" t="inlineStr">
        <is>
          <t>IMPORTANT</t>
        </is>
      </c>
      <c r="P1556" s="8" t="inlineStr">
        <is>
          <t>31/08/2026 02:59</t>
        </is>
      </c>
    </row>
    <row r="1557">
      <c r="A1557" s="7" t="inlineStr">
        <is>
          <t>WHAP 8x8</t>
        </is>
      </c>
      <c r="B1557" s="7" t="inlineStr">
        <is>
          <t>WHAP-1553</t>
        </is>
      </c>
      <c r="C1557" s="7" t="inlineStr">
        <is>
          <t>ELC-1553</t>
        </is>
      </c>
      <c r="D1557" s="7" t="inlineStr">
        <is>
          <t>boîtier électronique — habitacle</t>
        </is>
      </c>
      <c r="E1557" s="7" t="inlineStr">
        <is>
          <t>Électronique et capteurs</t>
        </is>
      </c>
      <c r="F1557" s="7" t="inlineStr">
        <is>
          <t>Électronique et capteurs</t>
        </is>
      </c>
      <c r="G1557" s="7" t="inlineStr">
        <is>
          <t>PIECE_VEHICULE</t>
        </is>
      </c>
      <c r="H1557" s="7" t="n">
        <v>1</v>
      </c>
      <c r="I1557" s="7">
        <f>H1557*$D$3</f>
        <v/>
      </c>
      <c r="J1557" s="7" t="inlineStr">
        <is>
          <t>unité</t>
        </is>
      </c>
      <c r="K1557" s="7" t="n">
        <v>0</v>
      </c>
      <c r="L1557" s="7">
        <f>K1557-I1557</f>
        <v/>
      </c>
      <c r="M1557" s="7">
        <f>IF(K1557&lt;I1557,"✕ INSUFFISANT",IF(K1557&lt;I1557*1.2,"⚠ STOCK FAIBLE","✓ COUVERT"))</f>
        <v/>
      </c>
      <c r="N1557" s="7" t="inlineStr">
        <is>
          <t>FAU</t>
        </is>
      </c>
      <c r="O1557" s="7" t="inlineStr">
        <is>
          <t>IMPORTANT</t>
        </is>
      </c>
      <c r="P1557" s="7" t="inlineStr">
        <is>
          <t>31/08/2026 02:59</t>
        </is>
      </c>
    </row>
    <row r="1558">
      <c r="A1558" s="8" t="inlineStr">
        <is>
          <t>WHAP 8x8</t>
        </is>
      </c>
      <c r="B1558" s="8" t="inlineStr">
        <is>
          <t>WHAP-1554</t>
        </is>
      </c>
      <c r="C1558" s="8" t="inlineStr">
        <is>
          <t>MOT-1554</t>
        </is>
      </c>
      <c r="D1558" s="8" t="inlineStr">
        <is>
          <t>ensemble de bloc moteur</t>
        </is>
      </c>
      <c r="E1558" s="8" t="inlineStr">
        <is>
          <t>Moteur</t>
        </is>
      </c>
      <c r="F1558" s="8" t="inlineStr">
        <is>
          <t>Moteur</t>
        </is>
      </c>
      <c r="G1558" s="8" t="inlineStr">
        <is>
          <t>PIECE_VEHICULE</t>
        </is>
      </c>
      <c r="H1558" s="8" t="n">
        <v>1</v>
      </c>
      <c r="I1558" s="8">
        <f>H1558*$D$3</f>
        <v/>
      </c>
      <c r="J1558" s="8" t="inlineStr">
        <is>
          <t>unité</t>
        </is>
      </c>
      <c r="K1558" s="8" t="n">
        <v>0</v>
      </c>
      <c r="L1558" s="8">
        <f>K1558-I1558</f>
        <v/>
      </c>
      <c r="M1558" s="8">
        <f>IF(K1558&lt;I1558,"✕ INSUFFISANT",IF(K1558&lt;I1558*1.2,"⚠ STOCK FAIBLE","✓ COUVERT"))</f>
        <v/>
      </c>
      <c r="N1558" s="8" t="inlineStr">
        <is>
          <t>SKF</t>
        </is>
      </c>
      <c r="O1558" s="8" t="inlineStr">
        <is>
          <t>CRITIQUE</t>
        </is>
      </c>
      <c r="P1558" s="8" t="inlineStr">
        <is>
          <t>31/08/2026 02:59</t>
        </is>
      </c>
    </row>
    <row r="1559">
      <c r="A1559" s="7" t="inlineStr">
        <is>
          <t>WHAP 8x8</t>
        </is>
      </c>
      <c r="B1559" s="7" t="inlineStr">
        <is>
          <t>WHAP-1555</t>
        </is>
      </c>
      <c r="C1559" s="7" t="inlineStr">
        <is>
          <t>MOT-1555</t>
        </is>
      </c>
      <c r="D1559" s="7" t="inlineStr">
        <is>
          <t>kit de bloc moteur</t>
        </is>
      </c>
      <c r="E1559" s="7" t="inlineStr">
        <is>
          <t>Moteur</t>
        </is>
      </c>
      <c r="F1559" s="7" t="inlineStr">
        <is>
          <t>Moteur</t>
        </is>
      </c>
      <c r="G1559" s="7" t="inlineStr">
        <is>
          <t>PIECE_VEHICULE</t>
        </is>
      </c>
      <c r="H1559" s="7" t="n">
        <v>1</v>
      </c>
      <c r="I1559" s="7">
        <f>H1559*$D$3</f>
        <v/>
      </c>
      <c r="J1559" s="7" t="inlineStr">
        <is>
          <t>unité</t>
        </is>
      </c>
      <c r="K1559" s="7" t="n">
        <v>0</v>
      </c>
      <c r="L1559" s="7">
        <f>K1559-I1559</f>
        <v/>
      </c>
      <c r="M1559" s="7">
        <f>IF(K1559&lt;I1559,"✕ INSUFFISANT",IF(K1559&lt;I1559*1.2,"⚠ STOCK FAIBLE","✓ COUVERT"))</f>
        <v/>
      </c>
      <c r="N1559" s="7" t="inlineStr">
        <is>
          <t>SUM</t>
        </is>
      </c>
      <c r="O1559" s="7" t="inlineStr">
        <is>
          <t>CRITIQUE</t>
        </is>
      </c>
      <c r="P1559" s="7" t="inlineStr">
        <is>
          <t>31/08/2026 02:59</t>
        </is>
      </c>
    </row>
    <row r="1560">
      <c r="A1560" s="8" t="inlineStr">
        <is>
          <t>WHAP 8x8</t>
        </is>
      </c>
      <c r="B1560" s="8" t="inlineStr">
        <is>
          <t>WHAP-1556</t>
        </is>
      </c>
      <c r="C1560" s="8" t="inlineStr">
        <is>
          <t>MOT-1556</t>
        </is>
      </c>
      <c r="D1560" s="8" t="inlineStr">
        <is>
          <t>support de bloc moteur</t>
        </is>
      </c>
      <c r="E1560" s="8" t="inlineStr">
        <is>
          <t>Moteur</t>
        </is>
      </c>
      <c r="F1560" s="8" t="inlineStr">
        <is>
          <t>Moteur</t>
        </is>
      </c>
      <c r="G1560" s="8" t="inlineStr">
        <is>
          <t>PIECE_VEHICULE</t>
        </is>
      </c>
      <c r="H1560" s="8" t="n">
        <v>1</v>
      </c>
      <c r="I1560" s="8">
        <f>H1560*$D$3</f>
        <v/>
      </c>
      <c r="J1560" s="8" t="inlineStr">
        <is>
          <t>unité</t>
        </is>
      </c>
      <c r="K1560" s="8" t="n">
        <v>0</v>
      </c>
      <c r="L1560" s="8">
        <f>K1560-I1560</f>
        <v/>
      </c>
      <c r="M1560" s="8">
        <f>IF(K1560&lt;I1560,"✕ INSUFFISANT",IF(K1560&lt;I1560*1.2,"⚠ STOCK FAIBLE","✓ COUVERT"))</f>
        <v/>
      </c>
      <c r="N1560" s="8" t="inlineStr">
        <is>
          <t>SUM</t>
        </is>
      </c>
      <c r="O1560" s="8" t="inlineStr">
        <is>
          <t>CRITIQUE</t>
        </is>
      </c>
      <c r="P1560" s="8" t="inlineStr">
        <is>
          <t>31/08/2026 02:59</t>
        </is>
      </c>
    </row>
    <row r="1561">
      <c r="A1561" s="7" t="inlineStr">
        <is>
          <t>WHAP 8x8</t>
        </is>
      </c>
      <c r="B1561" s="7" t="inlineStr">
        <is>
          <t>WHAP-1557</t>
        </is>
      </c>
      <c r="C1561" s="7" t="inlineStr">
        <is>
          <t>MOT-1557</t>
        </is>
      </c>
      <c r="D1561" s="7" t="inlineStr">
        <is>
          <t>boîtier de bloc moteur</t>
        </is>
      </c>
      <c r="E1561" s="7" t="inlineStr">
        <is>
          <t>Moteur</t>
        </is>
      </c>
      <c r="F1561" s="7" t="inlineStr">
        <is>
          <t>Moteur</t>
        </is>
      </c>
      <c r="G1561" s="7" t="inlineStr">
        <is>
          <t>PIECE_VEHICULE</t>
        </is>
      </c>
      <c r="H1561" s="7" t="n">
        <v>1</v>
      </c>
      <c r="I1561" s="7">
        <f>H1561*$D$3</f>
        <v/>
      </c>
      <c r="J1561" s="7" t="inlineStr">
        <is>
          <t>unité</t>
        </is>
      </c>
      <c r="K1561" s="7" t="n">
        <v>0</v>
      </c>
      <c r="L1561" s="7">
        <f>K1561-I1561</f>
        <v/>
      </c>
      <c r="M1561" s="7">
        <f>IF(K1561&lt;I1561,"✕ INSUFFISANT",IF(K1561&lt;I1561*1.2,"⚠ STOCK FAIBLE","✓ COUVERT"))</f>
        <v/>
      </c>
      <c r="N1561" s="7" t="inlineStr">
        <is>
          <t>SUM</t>
        </is>
      </c>
      <c r="O1561" s="7" t="inlineStr">
        <is>
          <t>CRITIQUE</t>
        </is>
      </c>
      <c r="P1561" s="7" t="inlineStr">
        <is>
          <t>31/08/2026 02:59</t>
        </is>
      </c>
    </row>
    <row r="1562">
      <c r="A1562" s="8" t="inlineStr">
        <is>
          <t>WHAP 8x8</t>
        </is>
      </c>
      <c r="B1562" s="8" t="inlineStr">
        <is>
          <t>WHAP-1558</t>
        </is>
      </c>
      <c r="C1562" s="8" t="inlineStr">
        <is>
          <t>MOT-1558</t>
        </is>
      </c>
      <c r="D1562" s="8" t="inlineStr">
        <is>
          <t>module de bloc moteur</t>
        </is>
      </c>
      <c r="E1562" s="8" t="inlineStr">
        <is>
          <t>Moteur</t>
        </is>
      </c>
      <c r="F1562" s="8" t="inlineStr">
        <is>
          <t>Moteur</t>
        </is>
      </c>
      <c r="G1562" s="8" t="inlineStr">
        <is>
          <t>PIECE_VEHICULE</t>
        </is>
      </c>
      <c r="H1562" s="8" t="n">
        <v>1</v>
      </c>
      <c r="I1562" s="8">
        <f>H1562*$D$3</f>
        <v/>
      </c>
      <c r="J1562" s="8" t="inlineStr">
        <is>
          <t>unité</t>
        </is>
      </c>
      <c r="K1562" s="8" t="n">
        <v>0</v>
      </c>
      <c r="L1562" s="8">
        <f>K1562-I1562</f>
        <v/>
      </c>
      <c r="M1562" s="8">
        <f>IF(K1562&lt;I1562,"✕ INSUFFISANT",IF(K1562&lt;I1562*1.2,"⚠ STOCK FAIBLE","✓ COUVERT"))</f>
        <v/>
      </c>
      <c r="N1562" s="8" t="inlineStr">
        <is>
          <t>MAG</t>
        </is>
      </c>
      <c r="O1562" s="8" t="inlineStr">
        <is>
          <t>CRITIQUE</t>
        </is>
      </c>
      <c r="P1562" s="8" t="inlineStr">
        <is>
          <t>31/08/2026 02:59</t>
        </is>
      </c>
    </row>
    <row r="1563">
      <c r="A1563" s="7" t="inlineStr">
        <is>
          <t>WHAP 8x8</t>
        </is>
      </c>
      <c r="B1563" s="7" t="inlineStr">
        <is>
          <t>WHAP-1559</t>
        </is>
      </c>
      <c r="C1563" s="7" t="inlineStr">
        <is>
          <t>MOT-1559</t>
        </is>
      </c>
      <c r="D1563" s="7" t="inlineStr">
        <is>
          <t>câblage de bloc moteur</t>
        </is>
      </c>
      <c r="E1563" s="7" t="inlineStr">
        <is>
          <t>Moteur</t>
        </is>
      </c>
      <c r="F1563" s="7" t="inlineStr">
        <is>
          <t>Moteur</t>
        </is>
      </c>
      <c r="G1563" s="7" t="inlineStr">
        <is>
          <t>PIECE_VEHICULE</t>
        </is>
      </c>
      <c r="H1563" s="7" t="n">
        <v>1</v>
      </c>
      <c r="I1563" s="7">
        <f>H1563*$D$3</f>
        <v/>
      </c>
      <c r="J1563" s="7" t="inlineStr">
        <is>
          <t>unité</t>
        </is>
      </c>
      <c r="K1563" s="7" t="n">
        <v>0</v>
      </c>
      <c r="L1563" s="7">
        <f>K1563-I1563</f>
        <v/>
      </c>
      <c r="M1563" s="7">
        <f>IF(K1563&lt;I1563,"✕ INSUFFISANT",IF(K1563&lt;I1563*1.2,"⚠ STOCK FAIBLE","✓ COUVERT"))</f>
        <v/>
      </c>
      <c r="N1563" s="7" t="inlineStr">
        <is>
          <t>SUM</t>
        </is>
      </c>
      <c r="O1563" s="7" t="inlineStr">
        <is>
          <t>CRITIQUE</t>
        </is>
      </c>
      <c r="P1563" s="7" t="inlineStr">
        <is>
          <t>31/08/2026 02:59</t>
        </is>
      </c>
    </row>
    <row r="1564">
      <c r="A1564" s="8" t="inlineStr">
        <is>
          <t>WHAP 8x8</t>
        </is>
      </c>
      <c r="B1564" s="8" t="inlineStr">
        <is>
          <t>WHAP-1560</t>
        </is>
      </c>
      <c r="C1564" s="8" t="inlineStr">
        <is>
          <t>MOT-1560</t>
        </is>
      </c>
      <c r="D1564" s="8" t="inlineStr">
        <is>
          <t>connecteur de bloc moteur</t>
        </is>
      </c>
      <c r="E1564" s="8" t="inlineStr">
        <is>
          <t>Moteur</t>
        </is>
      </c>
      <c r="F1564" s="8" t="inlineStr">
        <is>
          <t>Moteur</t>
        </is>
      </c>
      <c r="G1564" s="8" t="inlineStr">
        <is>
          <t>PIECE_VEHICULE</t>
        </is>
      </c>
      <c r="H1564" s="8" t="n">
        <v>1</v>
      </c>
      <c r="I1564" s="8">
        <f>H1564*$D$3</f>
        <v/>
      </c>
      <c r="J1564" s="8" t="inlineStr">
        <is>
          <t>unité</t>
        </is>
      </c>
      <c r="K1564" s="8" t="n">
        <v>0</v>
      </c>
      <c r="L1564" s="8">
        <f>K1564-I1564</f>
        <v/>
      </c>
      <c r="M1564" s="8">
        <f>IF(K1564&lt;I1564,"✕ INSUFFISANT",IF(K1564&lt;I1564*1.2,"⚠ STOCK FAIBLE","✓ COUVERT"))</f>
        <v/>
      </c>
      <c r="N1564" s="8" t="inlineStr">
        <is>
          <t>BOS</t>
        </is>
      </c>
      <c r="O1564" s="8" t="inlineStr">
        <is>
          <t>CRITIQUE</t>
        </is>
      </c>
      <c r="P1564" s="8" t="inlineStr">
        <is>
          <t>31/08/2026 02:59</t>
        </is>
      </c>
    </row>
    <row r="1565">
      <c r="A1565" s="7" t="inlineStr">
        <is>
          <t>WHAP 8x8</t>
        </is>
      </c>
      <c r="B1565" s="7" t="inlineStr">
        <is>
          <t>WHAP-1561</t>
        </is>
      </c>
      <c r="C1565" s="7" t="inlineStr">
        <is>
          <t>MOT-1561</t>
        </is>
      </c>
      <c r="D1565" s="7" t="inlineStr">
        <is>
          <t>joint de bloc moteur</t>
        </is>
      </c>
      <c r="E1565" s="7" t="inlineStr">
        <is>
          <t>Moteur</t>
        </is>
      </c>
      <c r="F1565" s="7" t="inlineStr">
        <is>
          <t>Moteur</t>
        </is>
      </c>
      <c r="G1565" s="7" t="inlineStr">
        <is>
          <t>PIECE_VEHICULE</t>
        </is>
      </c>
      <c r="H1565" s="7" t="n">
        <v>1</v>
      </c>
      <c r="I1565" s="7">
        <f>H1565*$D$3</f>
        <v/>
      </c>
      <c r="J1565" s="7" t="inlineStr">
        <is>
          <t>unité</t>
        </is>
      </c>
      <c r="K1565" s="7" t="n">
        <v>0</v>
      </c>
      <c r="L1565" s="7">
        <f>K1565-I1565</f>
        <v/>
      </c>
      <c r="M1565" s="7">
        <f>IF(K1565&lt;I1565,"✕ INSUFFISANT",IF(K1565&lt;I1565*1.2,"⚠ STOCK FAIBLE","✓ COUVERT"))</f>
        <v/>
      </c>
      <c r="N1565" s="7" t="inlineStr">
        <is>
          <t>MAG</t>
        </is>
      </c>
      <c r="O1565" s="7" t="inlineStr">
        <is>
          <t>CRITIQUE</t>
        </is>
      </c>
      <c r="P1565" s="7" t="inlineStr">
        <is>
          <t>31/08/2026 02:59</t>
        </is>
      </c>
    </row>
    <row r="1566">
      <c r="A1566" s="8" t="inlineStr">
        <is>
          <t>WHAP 8x8</t>
        </is>
      </c>
      <c r="B1566" s="8" t="inlineStr">
        <is>
          <t>WHAP-1562</t>
        </is>
      </c>
      <c r="C1566" s="8" t="inlineStr">
        <is>
          <t>MOT-1562</t>
        </is>
      </c>
      <c r="D1566" s="8" t="inlineStr">
        <is>
          <t>fixation de bloc moteur</t>
        </is>
      </c>
      <c r="E1566" s="8" t="inlineStr">
        <is>
          <t>Moteur</t>
        </is>
      </c>
      <c r="F1566" s="8" t="inlineStr">
        <is>
          <t>Moteur</t>
        </is>
      </c>
      <c r="G1566" s="8" t="inlineStr">
        <is>
          <t>PIECE_VEHICULE</t>
        </is>
      </c>
      <c r="H1566" s="8" t="n">
        <v>1</v>
      </c>
      <c r="I1566" s="8">
        <f>H1566*$D$3</f>
        <v/>
      </c>
      <c r="J1566" s="8" t="inlineStr">
        <is>
          <t>unité</t>
        </is>
      </c>
      <c r="K1566" s="8" t="n">
        <v>0</v>
      </c>
      <c r="L1566" s="8">
        <f>K1566-I1566</f>
        <v/>
      </c>
      <c r="M1566" s="8">
        <f>IF(K1566&lt;I1566,"✕ INSUFFISANT",IF(K1566&lt;I1566*1.2,"⚠ STOCK FAIBLE","✓ COUVERT"))</f>
        <v/>
      </c>
      <c r="N1566" s="8" t="inlineStr">
        <is>
          <t>CTL</t>
        </is>
      </c>
      <c r="O1566" s="8" t="inlineStr">
        <is>
          <t>CRITIQUE</t>
        </is>
      </c>
      <c r="P1566" s="8" t="inlineStr">
        <is>
          <t>31/08/2026 02:59</t>
        </is>
      </c>
    </row>
    <row r="1567">
      <c r="A1567" s="7" t="inlineStr">
        <is>
          <t>WHAP 8x8</t>
        </is>
      </c>
      <c r="B1567" s="7" t="inlineStr">
        <is>
          <t>WHAP-1563</t>
        </is>
      </c>
      <c r="C1567" s="7" t="inlineStr">
        <is>
          <t>MOT-1563</t>
        </is>
      </c>
      <c r="D1567" s="7" t="inlineStr">
        <is>
          <t>protection de bloc moteur</t>
        </is>
      </c>
      <c r="E1567" s="7" t="inlineStr">
        <is>
          <t>Moteur</t>
        </is>
      </c>
      <c r="F1567" s="7" t="inlineStr">
        <is>
          <t>Moteur</t>
        </is>
      </c>
      <c r="G1567" s="7" t="inlineStr">
        <is>
          <t>PIECE_VEHICULE</t>
        </is>
      </c>
      <c r="H1567" s="7" t="n">
        <v>1</v>
      </c>
      <c r="I1567" s="7">
        <f>H1567*$D$3</f>
        <v/>
      </c>
      <c r="J1567" s="7" t="inlineStr">
        <is>
          <t>unité</t>
        </is>
      </c>
      <c r="K1567" s="7" t="n">
        <v>0</v>
      </c>
      <c r="L1567" s="7">
        <f>K1567-I1567</f>
        <v/>
      </c>
      <c r="M1567" s="7">
        <f>IF(K1567&lt;I1567,"✕ INSUFFISANT",IF(K1567&lt;I1567*1.2,"⚠ STOCK FAIBLE","✓ COUVERT"))</f>
        <v/>
      </c>
      <c r="N1567" s="7" t="inlineStr">
        <is>
          <t>HEL</t>
        </is>
      </c>
      <c r="O1567" s="7" t="inlineStr">
        <is>
          <t>CRITIQUE</t>
        </is>
      </c>
      <c r="P1567" s="7" t="inlineStr">
        <is>
          <t>31/08/2026 02:59</t>
        </is>
      </c>
    </row>
    <row r="1568">
      <c r="A1568" s="8" t="inlineStr">
        <is>
          <t>WHAP 8x8</t>
        </is>
      </c>
      <c r="B1568" s="8" t="inlineStr">
        <is>
          <t>WHAP-1564</t>
        </is>
      </c>
      <c r="C1568" s="8" t="inlineStr">
        <is>
          <t>MOT-1564</t>
        </is>
      </c>
      <c r="D1568" s="8" t="inlineStr">
        <is>
          <t>capteur de bloc moteur</t>
        </is>
      </c>
      <c r="E1568" s="8" t="inlineStr">
        <is>
          <t>Moteur</t>
        </is>
      </c>
      <c r="F1568" s="8" t="inlineStr">
        <is>
          <t>Moteur</t>
        </is>
      </c>
      <c r="G1568" s="8" t="inlineStr">
        <is>
          <t>PIECE_VEHICULE</t>
        </is>
      </c>
      <c r="H1568" s="8" t="n">
        <v>1</v>
      </c>
      <c r="I1568" s="8">
        <f>H1568*$D$3</f>
        <v/>
      </c>
      <c r="J1568" s="8" t="inlineStr">
        <is>
          <t>unité</t>
        </is>
      </c>
      <c r="K1568" s="8" t="n">
        <v>0</v>
      </c>
      <c r="L1568" s="8">
        <f>K1568-I1568</f>
        <v/>
      </c>
      <c r="M1568" s="8">
        <f>IF(K1568&lt;I1568,"✕ INSUFFISANT",IF(K1568&lt;I1568*1.2,"⚠ STOCK FAIBLE","✓ COUVERT"))</f>
        <v/>
      </c>
      <c r="N1568" s="8" t="inlineStr">
        <is>
          <t>DEL</t>
        </is>
      </c>
      <c r="O1568" s="8" t="inlineStr">
        <is>
          <t>CRITIQUE</t>
        </is>
      </c>
      <c r="P1568" s="8" t="inlineStr">
        <is>
          <t>31/08/2026 02:59</t>
        </is>
      </c>
    </row>
    <row r="1569">
      <c r="A1569" s="7" t="inlineStr">
        <is>
          <t>WHAP 8x8</t>
        </is>
      </c>
      <c r="B1569" s="7" t="inlineStr">
        <is>
          <t>WHAP-1565</t>
        </is>
      </c>
      <c r="C1569" s="7" t="inlineStr">
        <is>
          <t>MOT-1565</t>
        </is>
      </c>
      <c r="D1569" s="7" t="inlineStr">
        <is>
          <t>actionneur de bloc moteur</t>
        </is>
      </c>
      <c r="E1569" s="7" t="inlineStr">
        <is>
          <t>Moteur</t>
        </is>
      </c>
      <c r="F1569" s="7" t="inlineStr">
        <is>
          <t>Moteur</t>
        </is>
      </c>
      <c r="G1569" s="7" t="inlineStr">
        <is>
          <t>PIECE_VEHICULE</t>
        </is>
      </c>
      <c r="H1569" s="7" t="n">
        <v>1</v>
      </c>
      <c r="I1569" s="7">
        <f>H1569*$D$3</f>
        <v/>
      </c>
      <c r="J1569" s="7" t="inlineStr">
        <is>
          <t>unité</t>
        </is>
      </c>
      <c r="K1569" s="7" t="n">
        <v>0</v>
      </c>
      <c r="L1569" s="7">
        <f>K1569-I1569</f>
        <v/>
      </c>
      <c r="M1569" s="7">
        <f>IF(K1569&lt;I1569,"✕ INSUFFISANT",IF(K1569&lt;I1569*1.2,"⚠ STOCK FAIBLE","✓ COUVERT"))</f>
        <v/>
      </c>
      <c r="N1569" s="7" t="inlineStr">
        <is>
          <t>MAG</t>
        </is>
      </c>
      <c r="O1569" s="7" t="inlineStr">
        <is>
          <t>CRITIQUE</t>
        </is>
      </c>
      <c r="P1569" s="7" t="inlineStr">
        <is>
          <t>31/08/2026 02:59</t>
        </is>
      </c>
    </row>
    <row r="1570">
      <c r="A1570" s="8" t="inlineStr">
        <is>
          <t>WHAP 8x8</t>
        </is>
      </c>
      <c r="B1570" s="8" t="inlineStr">
        <is>
          <t>WHAP-1566</t>
        </is>
      </c>
      <c r="C1570" s="8" t="inlineStr">
        <is>
          <t>MOT-1566</t>
        </is>
      </c>
      <c r="D1570" s="8" t="inlineStr">
        <is>
          <t>raccord de bloc moteur</t>
        </is>
      </c>
      <c r="E1570" s="8" t="inlineStr">
        <is>
          <t>Moteur</t>
        </is>
      </c>
      <c r="F1570" s="8" t="inlineStr">
        <is>
          <t>Moteur</t>
        </is>
      </c>
      <c r="G1570" s="8" t="inlineStr">
        <is>
          <t>PIECE_VEHICULE</t>
        </is>
      </c>
      <c r="H1570" s="8" t="n">
        <v>1</v>
      </c>
      <c r="I1570" s="8">
        <f>H1570*$D$3</f>
        <v/>
      </c>
      <c r="J1570" s="8" t="inlineStr">
        <is>
          <t>unité</t>
        </is>
      </c>
      <c r="K1570" s="8" t="n">
        <v>0</v>
      </c>
      <c r="L1570" s="8">
        <f>K1570-I1570</f>
        <v/>
      </c>
      <c r="M1570" s="8">
        <f>IF(K1570&lt;I1570,"✕ INSUFFISANT",IF(K1570&lt;I1570*1.2,"⚠ STOCK FAIBLE","✓ COUVERT"))</f>
        <v/>
      </c>
      <c r="N1570" s="8" t="inlineStr">
        <is>
          <t>DEL</t>
        </is>
      </c>
      <c r="O1570" s="8" t="inlineStr">
        <is>
          <t>CRITIQUE</t>
        </is>
      </c>
      <c r="P1570" s="8" t="inlineStr">
        <is>
          <t>31/08/2026 02:59</t>
        </is>
      </c>
    </row>
    <row r="1571">
      <c r="A1571" s="7" t="inlineStr">
        <is>
          <t>WHAP 8x8</t>
        </is>
      </c>
      <c r="B1571" s="7" t="inlineStr">
        <is>
          <t>WHAP-1567</t>
        </is>
      </c>
      <c r="C1571" s="7" t="inlineStr">
        <is>
          <t>MOT-1567</t>
        </is>
      </c>
      <c r="D1571" s="7" t="inlineStr">
        <is>
          <t>plaque de bloc moteur</t>
        </is>
      </c>
      <c r="E1571" s="7" t="inlineStr">
        <is>
          <t>Moteur</t>
        </is>
      </c>
      <c r="F1571" s="7" t="inlineStr">
        <is>
          <t>Moteur</t>
        </is>
      </c>
      <c r="G1571" s="7" t="inlineStr">
        <is>
          <t>PIECE_VEHICULE</t>
        </is>
      </c>
      <c r="H1571" s="7" t="n">
        <v>1</v>
      </c>
      <c r="I1571" s="7">
        <f>H1571*$D$3</f>
        <v/>
      </c>
      <c r="J1571" s="7" t="inlineStr">
        <is>
          <t>unité</t>
        </is>
      </c>
      <c r="K1571" s="7" t="n">
        <v>0</v>
      </c>
      <c r="L1571" s="7">
        <f>K1571-I1571</f>
        <v/>
      </c>
      <c r="M1571" s="7">
        <f>IF(K1571&lt;I1571,"✕ INSUFFISANT",IF(K1571&lt;I1571*1.2,"⚠ STOCK FAIBLE","✓ COUVERT"))</f>
        <v/>
      </c>
      <c r="N1571" s="7" t="inlineStr">
        <is>
          <t>SUM</t>
        </is>
      </c>
      <c r="O1571" s="7" t="inlineStr">
        <is>
          <t>CRITIQUE</t>
        </is>
      </c>
      <c r="P1571" s="7" t="inlineStr">
        <is>
          <t>31/08/2026 02:59</t>
        </is>
      </c>
    </row>
    <row r="1572">
      <c r="A1572" s="8" t="inlineStr">
        <is>
          <t>WHAP 8x8</t>
        </is>
      </c>
      <c r="B1572" s="8" t="inlineStr">
        <is>
          <t>WHAP-1568</t>
        </is>
      </c>
      <c r="C1572" s="8" t="inlineStr">
        <is>
          <t>MOT-1568</t>
        </is>
      </c>
      <c r="D1572" s="8" t="inlineStr">
        <is>
          <t>couvercle de bloc moteur</t>
        </is>
      </c>
      <c r="E1572" s="8" t="inlineStr">
        <is>
          <t>Moteur</t>
        </is>
      </c>
      <c r="F1572" s="8" t="inlineStr">
        <is>
          <t>Moteur</t>
        </is>
      </c>
      <c r="G1572" s="8" t="inlineStr">
        <is>
          <t>PIECE_VEHICULE</t>
        </is>
      </c>
      <c r="H1572" s="8" t="n">
        <v>1</v>
      </c>
      <c r="I1572" s="8">
        <f>H1572*$D$3</f>
        <v/>
      </c>
      <c r="J1572" s="8" t="inlineStr">
        <is>
          <t>unité</t>
        </is>
      </c>
      <c r="K1572" s="8" t="n">
        <v>0</v>
      </c>
      <c r="L1572" s="8">
        <f>K1572-I1572</f>
        <v/>
      </c>
      <c r="M1572" s="8">
        <f>IF(K1572&lt;I1572,"✕ INSUFFISANT",IF(K1572&lt;I1572*1.2,"⚠ STOCK FAIBLE","✓ COUVERT"))</f>
        <v/>
      </c>
      <c r="N1572" s="8" t="inlineStr">
        <is>
          <t>BOS</t>
        </is>
      </c>
      <c r="O1572" s="8" t="inlineStr">
        <is>
          <t>CRITIQUE</t>
        </is>
      </c>
      <c r="P1572" s="8" t="inlineStr">
        <is>
          <t>31/08/2026 02:59</t>
        </is>
      </c>
    </row>
    <row r="1573">
      <c r="A1573" s="7" t="inlineStr">
        <is>
          <t>WHAP 8x8</t>
        </is>
      </c>
      <c r="B1573" s="7" t="inlineStr">
        <is>
          <t>WHAP-1569</t>
        </is>
      </c>
      <c r="C1573" s="7" t="inlineStr">
        <is>
          <t>MOT-1569</t>
        </is>
      </c>
      <c r="D1573" s="7" t="inlineStr">
        <is>
          <t>bague de bloc moteur</t>
        </is>
      </c>
      <c r="E1573" s="7" t="inlineStr">
        <is>
          <t>Moteur</t>
        </is>
      </c>
      <c r="F1573" s="7" t="inlineStr">
        <is>
          <t>Moteur</t>
        </is>
      </c>
      <c r="G1573" s="7" t="inlineStr">
        <is>
          <t>PIECE_VEHICULE</t>
        </is>
      </c>
      <c r="H1573" s="7" t="n">
        <v>1</v>
      </c>
      <c r="I1573" s="7">
        <f>H1573*$D$3</f>
        <v/>
      </c>
      <c r="J1573" s="7" t="inlineStr">
        <is>
          <t>unité</t>
        </is>
      </c>
      <c r="K1573" s="7" t="n">
        <v>0</v>
      </c>
      <c r="L1573" s="7">
        <f>K1573-I1573</f>
        <v/>
      </c>
      <c r="M1573" s="7">
        <f>IF(K1573&lt;I1573,"✕ INSUFFISANT",IF(K1573&lt;I1573*1.2,"⚠ STOCK FAIBLE","✓ COUVERT"))</f>
        <v/>
      </c>
      <c r="N1573" s="7" t="inlineStr">
        <is>
          <t>MAG</t>
        </is>
      </c>
      <c r="O1573" s="7" t="inlineStr">
        <is>
          <t>CRITIQUE</t>
        </is>
      </c>
      <c r="P1573" s="7" t="inlineStr">
        <is>
          <t>31/08/2026 02:59</t>
        </is>
      </c>
    </row>
    <row r="1574">
      <c r="A1574" s="8" t="inlineStr">
        <is>
          <t>WHAP 8x8</t>
        </is>
      </c>
      <c r="B1574" s="8" t="inlineStr">
        <is>
          <t>WHAP-1570</t>
        </is>
      </c>
      <c r="C1574" s="8" t="inlineStr">
        <is>
          <t>MOT-1570</t>
        </is>
      </c>
      <c r="D1574" s="8" t="inlineStr">
        <is>
          <t>entretoise de bloc moteur</t>
        </is>
      </c>
      <c r="E1574" s="8" t="inlineStr">
        <is>
          <t>Moteur</t>
        </is>
      </c>
      <c r="F1574" s="8" t="inlineStr">
        <is>
          <t>Moteur</t>
        </is>
      </c>
      <c r="G1574" s="8" t="inlineStr">
        <is>
          <t>PIECE_VEHICULE</t>
        </is>
      </c>
      <c r="H1574" s="8" t="n">
        <v>1</v>
      </c>
      <c r="I1574" s="8">
        <f>H1574*$D$3</f>
        <v/>
      </c>
      <c r="J1574" s="8" t="inlineStr">
        <is>
          <t>unité</t>
        </is>
      </c>
      <c r="K1574" s="8" t="n">
        <v>0</v>
      </c>
      <c r="L1574" s="8">
        <f>K1574-I1574</f>
        <v/>
      </c>
      <c r="M1574" s="8">
        <f>IF(K1574&lt;I1574,"✕ INSUFFISANT",IF(K1574&lt;I1574*1.2,"⚠ STOCK FAIBLE","✓ COUVERT"))</f>
        <v/>
      </c>
      <c r="N1574" s="8" t="inlineStr">
        <is>
          <t>SKF</t>
        </is>
      </c>
      <c r="O1574" s="8" t="inlineStr">
        <is>
          <t>CRITIQUE</t>
        </is>
      </c>
      <c r="P1574" s="8" t="inlineStr">
        <is>
          <t>31/08/2026 02:59</t>
        </is>
      </c>
    </row>
    <row r="1575">
      <c r="A1575" s="7" t="inlineStr">
        <is>
          <t>WHAP 8x8</t>
        </is>
      </c>
      <c r="B1575" s="7" t="inlineStr">
        <is>
          <t>WHAP-1571</t>
        </is>
      </c>
      <c r="C1575" s="7" t="inlineStr">
        <is>
          <t>MOT-1571</t>
        </is>
      </c>
      <c r="D1575" s="7" t="inlineStr">
        <is>
          <t>axe de bloc moteur</t>
        </is>
      </c>
      <c r="E1575" s="7" t="inlineStr">
        <is>
          <t>Moteur</t>
        </is>
      </c>
      <c r="F1575" s="7" t="inlineStr">
        <is>
          <t>Moteur</t>
        </is>
      </c>
      <c r="G1575" s="7" t="inlineStr">
        <is>
          <t>PIECE_VEHICULE</t>
        </is>
      </c>
      <c r="H1575" s="7" t="n">
        <v>1</v>
      </c>
      <c r="I1575" s="7">
        <f>H1575*$D$3</f>
        <v/>
      </c>
      <c r="J1575" s="7" t="inlineStr">
        <is>
          <t>unité</t>
        </is>
      </c>
      <c r="K1575" s="7" t="n">
        <v>0</v>
      </c>
      <c r="L1575" s="7">
        <f>K1575-I1575</f>
        <v/>
      </c>
      <c r="M1575" s="7">
        <f>IF(K1575&lt;I1575,"✕ INSUFFISANT",IF(K1575&lt;I1575*1.2,"⚠ STOCK FAIBLE","✓ COUVERT"))</f>
        <v/>
      </c>
      <c r="N1575" s="7" t="inlineStr">
        <is>
          <t>CTL</t>
        </is>
      </c>
      <c r="O1575" s="7" t="inlineStr">
        <is>
          <t>CRITIQUE</t>
        </is>
      </c>
      <c r="P1575" s="7" t="inlineStr">
        <is>
          <t>31/08/2026 02:59</t>
        </is>
      </c>
    </row>
    <row r="1576">
      <c r="A1576" s="8" t="inlineStr">
        <is>
          <t>WHAP 8x8</t>
        </is>
      </c>
      <c r="B1576" s="8" t="inlineStr">
        <is>
          <t>WHAP-1572</t>
        </is>
      </c>
      <c r="C1576" s="8" t="inlineStr">
        <is>
          <t>MOT-1572</t>
        </is>
      </c>
      <c r="D1576" s="8" t="inlineStr">
        <is>
          <t>poulie de bloc moteur</t>
        </is>
      </c>
      <c r="E1576" s="8" t="inlineStr">
        <is>
          <t>Moteur</t>
        </is>
      </c>
      <c r="F1576" s="8" t="inlineStr">
        <is>
          <t>Moteur</t>
        </is>
      </c>
      <c r="G1576" s="8" t="inlineStr">
        <is>
          <t>PIECE_VEHICULE</t>
        </is>
      </c>
      <c r="H1576" s="8" t="n">
        <v>1</v>
      </c>
      <c r="I1576" s="8">
        <f>H1576*$D$3</f>
        <v/>
      </c>
      <c r="J1576" s="8" t="inlineStr">
        <is>
          <t>unité</t>
        </is>
      </c>
      <c r="K1576" s="8" t="n">
        <v>0</v>
      </c>
      <c r="L1576" s="8">
        <f>K1576-I1576</f>
        <v/>
      </c>
      <c r="M1576" s="8">
        <f>IF(K1576&lt;I1576,"✕ INSUFFISANT",IF(K1576&lt;I1576*1.2,"⚠ STOCK FAIBLE","✓ COUVERT"))</f>
        <v/>
      </c>
      <c r="N1576" s="8" t="inlineStr">
        <is>
          <t>DEL</t>
        </is>
      </c>
      <c r="O1576" s="8" t="inlineStr">
        <is>
          <t>CRITIQUE</t>
        </is>
      </c>
      <c r="P1576" s="8" t="inlineStr">
        <is>
          <t>31/08/2026 02:59</t>
        </is>
      </c>
    </row>
    <row r="1577">
      <c r="A1577" s="7" t="inlineStr">
        <is>
          <t>WHAP 8x8</t>
        </is>
      </c>
      <c r="B1577" s="7" t="inlineStr">
        <is>
          <t>WHAP-1573</t>
        </is>
      </c>
      <c r="C1577" s="7" t="inlineStr">
        <is>
          <t>MOT-1573</t>
        </is>
      </c>
      <c r="D1577" s="7" t="inlineStr">
        <is>
          <t>pignon de bloc moteur</t>
        </is>
      </c>
      <c r="E1577" s="7" t="inlineStr">
        <is>
          <t>Moteur</t>
        </is>
      </c>
      <c r="F1577" s="7" t="inlineStr">
        <is>
          <t>Moteur</t>
        </is>
      </c>
      <c r="G1577" s="7" t="inlineStr">
        <is>
          <t>PIECE_VEHICULE</t>
        </is>
      </c>
      <c r="H1577" s="7" t="n">
        <v>1</v>
      </c>
      <c r="I1577" s="7">
        <f>H1577*$D$3</f>
        <v/>
      </c>
      <c r="J1577" s="7" t="inlineStr">
        <is>
          <t>unité</t>
        </is>
      </c>
      <c r="K1577" s="7" t="n">
        <v>0</v>
      </c>
      <c r="L1577" s="7">
        <f>K1577-I1577</f>
        <v/>
      </c>
      <c r="M1577" s="7">
        <f>IF(K1577&lt;I1577,"✕ INSUFFISANT",IF(K1577&lt;I1577*1.2,"⚠ STOCK FAIBLE","✓ COUVERT"))</f>
        <v/>
      </c>
      <c r="N1577" s="7" t="inlineStr">
        <is>
          <t>FAU</t>
        </is>
      </c>
      <c r="O1577" s="7" t="inlineStr">
        <is>
          <t>CRITIQUE</t>
        </is>
      </c>
      <c r="P1577" s="7" t="inlineStr">
        <is>
          <t>31/08/2026 02:59</t>
        </is>
      </c>
    </row>
    <row r="1578">
      <c r="A1578" s="8" t="inlineStr">
        <is>
          <t>WHAP 8x8</t>
        </is>
      </c>
      <c r="B1578" s="8" t="inlineStr">
        <is>
          <t>WHAP-1574</t>
        </is>
      </c>
      <c r="C1578" s="8" t="inlineStr">
        <is>
          <t>MOT-1574</t>
        </is>
      </c>
      <c r="D1578" s="8" t="inlineStr">
        <is>
          <t>ensemble de culasse</t>
        </is>
      </c>
      <c r="E1578" s="8" t="inlineStr">
        <is>
          <t>Moteur</t>
        </is>
      </c>
      <c r="F1578" s="8" t="inlineStr">
        <is>
          <t>Moteur</t>
        </is>
      </c>
      <c r="G1578" s="8" t="inlineStr">
        <is>
          <t>PIECE_VEHICULE</t>
        </is>
      </c>
      <c r="H1578" s="8" t="n">
        <v>1</v>
      </c>
      <c r="I1578" s="8">
        <f>H1578*$D$3</f>
        <v/>
      </c>
      <c r="J1578" s="8" t="inlineStr">
        <is>
          <t>unité</t>
        </is>
      </c>
      <c r="K1578" s="8" t="n">
        <v>0</v>
      </c>
      <c r="L1578" s="8">
        <f>K1578-I1578</f>
        <v/>
      </c>
      <c r="M1578" s="8">
        <f>IF(K1578&lt;I1578,"✕ INSUFFISANT",IF(K1578&lt;I1578*1.2,"⚠ STOCK FAIBLE","✓ COUVERT"))</f>
        <v/>
      </c>
      <c r="N1578" s="8" t="inlineStr">
        <is>
          <t>DEL</t>
        </is>
      </c>
      <c r="O1578" s="8" t="inlineStr">
        <is>
          <t>CRITIQUE</t>
        </is>
      </c>
      <c r="P1578" s="8" t="inlineStr">
        <is>
          <t>31/08/2026 02:59</t>
        </is>
      </c>
    </row>
    <row r="1579">
      <c r="A1579" s="7" t="inlineStr">
        <is>
          <t>WHAP 8x8</t>
        </is>
      </c>
      <c r="B1579" s="7" t="inlineStr">
        <is>
          <t>WHAP-1575</t>
        </is>
      </c>
      <c r="C1579" s="7" t="inlineStr">
        <is>
          <t>MOT-1575</t>
        </is>
      </c>
      <c r="D1579" s="7" t="inlineStr">
        <is>
          <t>kit de culasse</t>
        </is>
      </c>
      <c r="E1579" s="7" t="inlineStr">
        <is>
          <t>Moteur</t>
        </is>
      </c>
      <c r="F1579" s="7" t="inlineStr">
        <is>
          <t>Moteur</t>
        </is>
      </c>
      <c r="G1579" s="7" t="inlineStr">
        <is>
          <t>PIECE_VEHICULE</t>
        </is>
      </c>
      <c r="H1579" s="7" t="n">
        <v>1</v>
      </c>
      <c r="I1579" s="7">
        <f>H1579*$D$3</f>
        <v/>
      </c>
      <c r="J1579" s="7" t="inlineStr">
        <is>
          <t>unité</t>
        </is>
      </c>
      <c r="K1579" s="7" t="n">
        <v>0</v>
      </c>
      <c r="L1579" s="7">
        <f>K1579-I1579</f>
        <v/>
      </c>
      <c r="M1579" s="7">
        <f>IF(K1579&lt;I1579,"✕ INSUFFISANT",IF(K1579&lt;I1579*1.2,"⚠ STOCK FAIBLE","✓ COUVERT"))</f>
        <v/>
      </c>
      <c r="N1579" s="7" t="inlineStr">
        <is>
          <t>YZK</t>
        </is>
      </c>
      <c r="O1579" s="7" t="inlineStr">
        <is>
          <t>CRITIQUE</t>
        </is>
      </c>
      <c r="P1579" s="7" t="inlineStr">
        <is>
          <t>31/08/2026 02:59</t>
        </is>
      </c>
    </row>
    <row r="1580">
      <c r="A1580" s="8" t="inlineStr">
        <is>
          <t>WHAP 8x8</t>
        </is>
      </c>
      <c r="B1580" s="8" t="inlineStr">
        <is>
          <t>WHAP-1576</t>
        </is>
      </c>
      <c r="C1580" s="8" t="inlineStr">
        <is>
          <t>MOT-1576</t>
        </is>
      </c>
      <c r="D1580" s="8" t="inlineStr">
        <is>
          <t>support de culasse</t>
        </is>
      </c>
      <c r="E1580" s="8" t="inlineStr">
        <is>
          <t>Moteur</t>
        </is>
      </c>
      <c r="F1580" s="8" t="inlineStr">
        <is>
          <t>Moteur</t>
        </is>
      </c>
      <c r="G1580" s="8" t="inlineStr">
        <is>
          <t>PIECE_VEHICULE</t>
        </is>
      </c>
      <c r="H1580" s="8" t="n">
        <v>1</v>
      </c>
      <c r="I1580" s="8">
        <f>H1580*$D$3</f>
        <v/>
      </c>
      <c r="J1580" s="8" t="inlineStr">
        <is>
          <t>unité</t>
        </is>
      </c>
      <c r="K1580" s="8" t="n">
        <v>0</v>
      </c>
      <c r="L1580" s="8">
        <f>K1580-I1580</f>
        <v/>
      </c>
      <c r="M1580" s="8">
        <f>IF(K1580&lt;I1580,"✕ INSUFFISANT",IF(K1580&lt;I1580*1.2,"⚠ STOCK FAIBLE","✓ COUVERT"))</f>
        <v/>
      </c>
      <c r="N1580" s="8" t="inlineStr">
        <is>
          <t>SKF</t>
        </is>
      </c>
      <c r="O1580" s="8" t="inlineStr">
        <is>
          <t>CRITIQUE</t>
        </is>
      </c>
      <c r="P1580" s="8" t="inlineStr">
        <is>
          <t>31/08/2026 02:59</t>
        </is>
      </c>
    </row>
    <row r="1581">
      <c r="A1581" s="7" t="inlineStr">
        <is>
          <t>WHAP 8x8</t>
        </is>
      </c>
      <c r="B1581" s="7" t="inlineStr">
        <is>
          <t>WHAP-1577</t>
        </is>
      </c>
      <c r="C1581" s="7" t="inlineStr">
        <is>
          <t>MOT-1577</t>
        </is>
      </c>
      <c r="D1581" s="7" t="inlineStr">
        <is>
          <t>boîtier de culasse</t>
        </is>
      </c>
      <c r="E1581" s="7" t="inlineStr">
        <is>
          <t>Moteur</t>
        </is>
      </c>
      <c r="F1581" s="7" t="inlineStr">
        <is>
          <t>Moteur</t>
        </is>
      </c>
      <c r="G1581" s="7" t="inlineStr">
        <is>
          <t>PIECE_VEHICULE</t>
        </is>
      </c>
      <c r="H1581" s="7" t="n">
        <v>1</v>
      </c>
      <c r="I1581" s="7">
        <f>H1581*$D$3</f>
        <v/>
      </c>
      <c r="J1581" s="7" t="inlineStr">
        <is>
          <t>unité</t>
        </is>
      </c>
      <c r="K1581" s="7" t="n">
        <v>0</v>
      </c>
      <c r="L1581" s="7">
        <f>K1581-I1581</f>
        <v/>
      </c>
      <c r="M1581" s="7">
        <f>IF(K1581&lt;I1581,"✕ INSUFFISANT",IF(K1581&lt;I1581*1.2,"⚠ STOCK FAIBLE","✓ COUVERT"))</f>
        <v/>
      </c>
      <c r="N1581" s="7" t="inlineStr">
        <is>
          <t>HEL</t>
        </is>
      </c>
      <c r="O1581" s="7" t="inlineStr">
        <is>
          <t>CRITIQUE</t>
        </is>
      </c>
      <c r="P1581" s="7" t="inlineStr">
        <is>
          <t>31/08/2026 02:59</t>
        </is>
      </c>
    </row>
    <row r="1582">
      <c r="A1582" s="8" t="inlineStr">
        <is>
          <t>WHAP 8x8</t>
        </is>
      </c>
      <c r="B1582" s="8" t="inlineStr">
        <is>
          <t>WHAP-1578</t>
        </is>
      </c>
      <c r="C1582" s="8" t="inlineStr">
        <is>
          <t>MOT-1578</t>
        </is>
      </c>
      <c r="D1582" s="8" t="inlineStr">
        <is>
          <t>module de culasse</t>
        </is>
      </c>
      <c r="E1582" s="8" t="inlineStr">
        <is>
          <t>Moteur</t>
        </is>
      </c>
      <c r="F1582" s="8" t="inlineStr">
        <is>
          <t>Moteur</t>
        </is>
      </c>
      <c r="G1582" s="8" t="inlineStr">
        <is>
          <t>PIECE_VEHICULE</t>
        </is>
      </c>
      <c r="H1582" s="8" t="n">
        <v>1</v>
      </c>
      <c r="I1582" s="8">
        <f>H1582*$D$3</f>
        <v/>
      </c>
      <c r="J1582" s="8" t="inlineStr">
        <is>
          <t>unité</t>
        </is>
      </c>
      <c r="K1582" s="8" t="n">
        <v>0</v>
      </c>
      <c r="L1582" s="8">
        <f>K1582-I1582</f>
        <v/>
      </c>
      <c r="M1582" s="8">
        <f>IF(K1582&lt;I1582,"✕ INSUFFISANT",IF(K1582&lt;I1582*1.2,"⚠ STOCK FAIBLE","✓ COUVERT"))</f>
        <v/>
      </c>
      <c r="N1582" s="8" t="inlineStr">
        <is>
          <t>VAL</t>
        </is>
      </c>
      <c r="O1582" s="8" t="inlineStr">
        <is>
          <t>CRITIQUE</t>
        </is>
      </c>
      <c r="P1582" s="8" t="inlineStr">
        <is>
          <t>31/08/2026 02:59</t>
        </is>
      </c>
    </row>
    <row r="1583">
      <c r="A1583" s="7" t="inlineStr">
        <is>
          <t>WHAP 8x8</t>
        </is>
      </c>
      <c r="B1583" s="7" t="inlineStr">
        <is>
          <t>WHAP-1579</t>
        </is>
      </c>
      <c r="C1583" s="7" t="inlineStr">
        <is>
          <t>MOT-1579</t>
        </is>
      </c>
      <c r="D1583" s="7" t="inlineStr">
        <is>
          <t>câblage de culasse</t>
        </is>
      </c>
      <c r="E1583" s="7" t="inlineStr">
        <is>
          <t>Moteur</t>
        </is>
      </c>
      <c r="F1583" s="7" t="inlineStr">
        <is>
          <t>Moteur</t>
        </is>
      </c>
      <c r="G1583" s="7" t="inlineStr">
        <is>
          <t>PIECE_VEHICULE</t>
        </is>
      </c>
      <c r="H1583" s="7" t="n">
        <v>1</v>
      </c>
      <c r="I1583" s="7">
        <f>H1583*$D$3</f>
        <v/>
      </c>
      <c r="J1583" s="7" t="inlineStr">
        <is>
          <t>unité</t>
        </is>
      </c>
      <c r="K1583" s="7" t="n">
        <v>0</v>
      </c>
      <c r="L1583" s="7">
        <f>K1583-I1583</f>
        <v/>
      </c>
      <c r="M1583" s="7">
        <f>IF(K1583&lt;I1583,"✕ INSUFFISANT",IF(K1583&lt;I1583*1.2,"⚠ STOCK FAIBLE","✓ COUVERT"))</f>
        <v/>
      </c>
      <c r="N1583" s="7" t="inlineStr">
        <is>
          <t>VAL</t>
        </is>
      </c>
      <c r="O1583" s="7" t="inlineStr">
        <is>
          <t>CRITIQUE</t>
        </is>
      </c>
      <c r="P1583" s="7" t="inlineStr">
        <is>
          <t>31/08/2026 02:59</t>
        </is>
      </c>
    </row>
    <row r="1584">
      <c r="A1584" s="8" t="inlineStr">
        <is>
          <t>WHAP 8x8</t>
        </is>
      </c>
      <c r="B1584" s="8" t="inlineStr">
        <is>
          <t>WHAP-1580</t>
        </is>
      </c>
      <c r="C1584" s="8" t="inlineStr">
        <is>
          <t>MOT-1580</t>
        </is>
      </c>
      <c r="D1584" s="8" t="inlineStr">
        <is>
          <t>connecteur de culasse</t>
        </is>
      </c>
      <c r="E1584" s="8" t="inlineStr">
        <is>
          <t>Moteur</t>
        </is>
      </c>
      <c r="F1584" s="8" t="inlineStr">
        <is>
          <t>Moteur</t>
        </is>
      </c>
      <c r="G1584" s="8" t="inlineStr">
        <is>
          <t>PIECE_VEHICULE</t>
        </is>
      </c>
      <c r="H1584" s="8" t="n">
        <v>1</v>
      </c>
      <c r="I1584" s="8">
        <f>H1584*$D$3</f>
        <v/>
      </c>
      <c r="J1584" s="8" t="inlineStr">
        <is>
          <t>unité</t>
        </is>
      </c>
      <c r="K1584" s="8" t="n">
        <v>0</v>
      </c>
      <c r="L1584" s="8">
        <f>K1584-I1584</f>
        <v/>
      </c>
      <c r="M1584" s="8">
        <f>IF(K1584&lt;I1584,"✕ INSUFFISANT",IF(K1584&lt;I1584*1.2,"⚠ STOCK FAIBLE","✓ COUVERT"))</f>
        <v/>
      </c>
      <c r="N1584" s="8" t="inlineStr">
        <is>
          <t>MAG</t>
        </is>
      </c>
      <c r="O1584" s="8" t="inlineStr">
        <is>
          <t>CRITIQUE</t>
        </is>
      </c>
      <c r="P1584" s="8" t="inlineStr">
        <is>
          <t>31/08/2026 02:59</t>
        </is>
      </c>
    </row>
    <row r="1585">
      <c r="A1585" s="7" t="inlineStr">
        <is>
          <t>WHAP 8x8</t>
        </is>
      </c>
      <c r="B1585" s="7" t="inlineStr">
        <is>
          <t>WHAP-1581</t>
        </is>
      </c>
      <c r="C1585" s="7" t="inlineStr">
        <is>
          <t>MOT-1581</t>
        </is>
      </c>
      <c r="D1585" s="7" t="inlineStr">
        <is>
          <t>fixation de culasse</t>
        </is>
      </c>
      <c r="E1585" s="7" t="inlineStr">
        <is>
          <t>Moteur</t>
        </is>
      </c>
      <c r="F1585" s="7" t="inlineStr">
        <is>
          <t>Moteur</t>
        </is>
      </c>
      <c r="G1585" s="7" t="inlineStr">
        <is>
          <t>PIECE_VEHICULE</t>
        </is>
      </c>
      <c r="H1585" s="7" t="n">
        <v>1</v>
      </c>
      <c r="I1585" s="7">
        <f>H1585*$D$3</f>
        <v/>
      </c>
      <c r="J1585" s="7" t="inlineStr">
        <is>
          <t>unité</t>
        </is>
      </c>
      <c r="K1585" s="7" t="n">
        <v>0</v>
      </c>
      <c r="L1585" s="7">
        <f>K1585-I1585</f>
        <v/>
      </c>
      <c r="M1585" s="7">
        <f>IF(K1585&lt;I1585,"✕ INSUFFISANT",IF(K1585&lt;I1585*1.2,"⚠ STOCK FAIBLE","✓ COUVERT"))</f>
        <v/>
      </c>
      <c r="N1585" s="7" t="inlineStr">
        <is>
          <t>BOS</t>
        </is>
      </c>
      <c r="O1585" s="7" t="inlineStr">
        <is>
          <t>CRITIQUE</t>
        </is>
      </c>
      <c r="P1585" s="7" t="inlineStr">
        <is>
          <t>31/08/2026 02:59</t>
        </is>
      </c>
    </row>
    <row r="1586">
      <c r="A1586" s="8" t="inlineStr">
        <is>
          <t>WHAP 8x8</t>
        </is>
      </c>
      <c r="B1586" s="8" t="inlineStr">
        <is>
          <t>WHAP-1582</t>
        </is>
      </c>
      <c r="C1586" s="8" t="inlineStr">
        <is>
          <t>MOT-1582</t>
        </is>
      </c>
      <c r="D1586" s="8" t="inlineStr">
        <is>
          <t>protection de culasse</t>
        </is>
      </c>
      <c r="E1586" s="8" t="inlineStr">
        <is>
          <t>Moteur</t>
        </is>
      </c>
      <c r="F1586" s="8" t="inlineStr">
        <is>
          <t>Moteur</t>
        </is>
      </c>
      <c r="G1586" s="8" t="inlineStr">
        <is>
          <t>PIECE_VEHICULE</t>
        </is>
      </c>
      <c r="H1586" s="8" t="n">
        <v>1</v>
      </c>
      <c r="I1586" s="8">
        <f>H1586*$D$3</f>
        <v/>
      </c>
      <c r="J1586" s="8" t="inlineStr">
        <is>
          <t>unité</t>
        </is>
      </c>
      <c r="K1586" s="8" t="n">
        <v>0</v>
      </c>
      <c r="L1586" s="8">
        <f>K1586-I1586</f>
        <v/>
      </c>
      <c r="M1586" s="8">
        <f>IF(K1586&lt;I1586,"✕ INSUFFISANT",IF(K1586&lt;I1586*1.2,"⚠ STOCK FAIBLE","✓ COUVERT"))</f>
        <v/>
      </c>
      <c r="N1586" s="8" t="inlineStr">
        <is>
          <t>SKF</t>
        </is>
      </c>
      <c r="O1586" s="8" t="inlineStr">
        <is>
          <t>CRITIQUE</t>
        </is>
      </c>
      <c r="P1586" s="8" t="inlineStr">
        <is>
          <t>31/08/2026 02:59</t>
        </is>
      </c>
    </row>
    <row r="1587">
      <c r="A1587" s="7" t="inlineStr">
        <is>
          <t>WHAP 8x8</t>
        </is>
      </c>
      <c r="B1587" s="7" t="inlineStr">
        <is>
          <t>WHAP-1583</t>
        </is>
      </c>
      <c r="C1587" s="7" t="inlineStr">
        <is>
          <t>MOT-1583</t>
        </is>
      </c>
      <c r="D1587" s="7" t="inlineStr">
        <is>
          <t>capteur de culasse</t>
        </is>
      </c>
      <c r="E1587" s="7" t="inlineStr">
        <is>
          <t>Moteur</t>
        </is>
      </c>
      <c r="F1587" s="7" t="inlineStr">
        <is>
          <t>Moteur</t>
        </is>
      </c>
      <c r="G1587" s="7" t="inlineStr">
        <is>
          <t>PIECE_VEHICULE</t>
        </is>
      </c>
      <c r="H1587" s="7" t="n">
        <v>1</v>
      </c>
      <c r="I1587" s="7">
        <f>H1587*$D$3</f>
        <v/>
      </c>
      <c r="J1587" s="7" t="inlineStr">
        <is>
          <t>unité</t>
        </is>
      </c>
      <c r="K1587" s="7" t="n">
        <v>0</v>
      </c>
      <c r="L1587" s="7">
        <f>K1587-I1587</f>
        <v/>
      </c>
      <c r="M1587" s="7">
        <f>IF(K1587&lt;I1587,"✕ INSUFFISANT",IF(K1587&lt;I1587*1.2,"⚠ STOCK FAIBLE","✓ COUVERT"))</f>
        <v/>
      </c>
      <c r="N1587" s="7" t="inlineStr">
        <is>
          <t>VAL</t>
        </is>
      </c>
      <c r="O1587" s="7" t="inlineStr">
        <is>
          <t>CRITIQUE</t>
        </is>
      </c>
      <c r="P1587" s="7" t="inlineStr">
        <is>
          <t>31/08/2026 02:59</t>
        </is>
      </c>
    </row>
    <row r="1588">
      <c r="A1588" s="8" t="inlineStr">
        <is>
          <t>WHAP 8x8</t>
        </is>
      </c>
      <c r="B1588" s="8" t="inlineStr">
        <is>
          <t>WHAP-1584</t>
        </is>
      </c>
      <c r="C1588" s="8" t="inlineStr">
        <is>
          <t>MOT-1584</t>
        </is>
      </c>
      <c r="D1588" s="8" t="inlineStr">
        <is>
          <t>actionneur de culasse</t>
        </is>
      </c>
      <c r="E1588" s="8" t="inlineStr">
        <is>
          <t>Moteur</t>
        </is>
      </c>
      <c r="F1588" s="8" t="inlineStr">
        <is>
          <t>Moteur</t>
        </is>
      </c>
      <c r="G1588" s="8" t="inlineStr">
        <is>
          <t>PIECE_VEHICULE</t>
        </is>
      </c>
      <c r="H1588" s="8" t="n">
        <v>1</v>
      </c>
      <c r="I1588" s="8">
        <f>H1588*$D$3</f>
        <v/>
      </c>
      <c r="J1588" s="8" t="inlineStr">
        <is>
          <t>unité</t>
        </is>
      </c>
      <c r="K1588" s="8" t="n">
        <v>0</v>
      </c>
      <c r="L1588" s="8">
        <f>K1588-I1588</f>
        <v/>
      </c>
      <c r="M1588" s="8">
        <f>IF(K1588&lt;I1588,"✕ INSUFFISANT",IF(K1588&lt;I1588*1.2,"⚠ STOCK FAIBLE","✓ COUVERT"))</f>
        <v/>
      </c>
      <c r="N1588" s="8" t="inlineStr">
        <is>
          <t>HEL</t>
        </is>
      </c>
      <c r="O1588" s="8" t="inlineStr">
        <is>
          <t>CRITIQUE</t>
        </is>
      </c>
      <c r="P1588" s="8" t="inlineStr">
        <is>
          <t>31/08/2026 02:59</t>
        </is>
      </c>
    </row>
    <row r="1589">
      <c r="A1589" s="7" t="inlineStr">
        <is>
          <t>WHAP 8x8</t>
        </is>
      </c>
      <c r="B1589" s="7" t="inlineStr">
        <is>
          <t>WHAP-1585</t>
        </is>
      </c>
      <c r="C1589" s="7" t="inlineStr">
        <is>
          <t>MOT-1585</t>
        </is>
      </c>
      <c r="D1589" s="7" t="inlineStr">
        <is>
          <t>raccord de culasse</t>
        </is>
      </c>
      <c r="E1589" s="7" t="inlineStr">
        <is>
          <t>Moteur</t>
        </is>
      </c>
      <c r="F1589" s="7" t="inlineStr">
        <is>
          <t>Moteur</t>
        </is>
      </c>
      <c r="G1589" s="7" t="inlineStr">
        <is>
          <t>PIECE_VEHICULE</t>
        </is>
      </c>
      <c r="H1589" s="7" t="n">
        <v>1</v>
      </c>
      <c r="I1589" s="7">
        <f>H1589*$D$3</f>
        <v/>
      </c>
      <c r="J1589" s="7" t="inlineStr">
        <is>
          <t>unité</t>
        </is>
      </c>
      <c r="K1589" s="7" t="n">
        <v>0</v>
      </c>
      <c r="L1589" s="7">
        <f>K1589-I1589</f>
        <v/>
      </c>
      <c r="M1589" s="7">
        <f>IF(K1589&lt;I1589,"✕ INSUFFISANT",IF(K1589&lt;I1589*1.2,"⚠ STOCK FAIBLE","✓ COUVERT"))</f>
        <v/>
      </c>
      <c r="N1589" s="7" t="inlineStr">
        <is>
          <t>BOS</t>
        </is>
      </c>
      <c r="O1589" s="7" t="inlineStr">
        <is>
          <t>CRITIQUE</t>
        </is>
      </c>
      <c r="P1589" s="7" t="inlineStr">
        <is>
          <t>31/08/2026 02:59</t>
        </is>
      </c>
    </row>
    <row r="1590">
      <c r="A1590" s="8" t="inlineStr">
        <is>
          <t>WHAP 8x8</t>
        </is>
      </c>
      <c r="B1590" s="8" t="inlineStr">
        <is>
          <t>WHAP-1586</t>
        </is>
      </c>
      <c r="C1590" s="8" t="inlineStr">
        <is>
          <t>MOT-1586</t>
        </is>
      </c>
      <c r="D1590" s="8" t="inlineStr">
        <is>
          <t>plaque de culasse</t>
        </is>
      </c>
      <c r="E1590" s="8" t="inlineStr">
        <is>
          <t>Moteur</t>
        </is>
      </c>
      <c r="F1590" s="8" t="inlineStr">
        <is>
          <t>Moteur</t>
        </is>
      </c>
      <c r="G1590" s="8" t="inlineStr">
        <is>
          <t>PIECE_VEHICULE</t>
        </is>
      </c>
      <c r="H1590" s="8" t="n">
        <v>1</v>
      </c>
      <c r="I1590" s="8">
        <f>H1590*$D$3</f>
        <v/>
      </c>
      <c r="J1590" s="8" t="inlineStr">
        <is>
          <t>unité</t>
        </is>
      </c>
      <c r="K1590" s="8" t="n">
        <v>0</v>
      </c>
      <c r="L1590" s="8">
        <f>K1590-I1590</f>
        <v/>
      </c>
      <c r="M1590" s="8">
        <f>IF(K1590&lt;I1590,"✕ INSUFFISANT",IF(K1590&lt;I1590*1.2,"⚠ STOCK FAIBLE","✓ COUVERT"))</f>
        <v/>
      </c>
      <c r="N1590" s="8" t="inlineStr">
        <is>
          <t>CTL</t>
        </is>
      </c>
      <c r="O1590" s="8" t="inlineStr">
        <is>
          <t>CRITIQUE</t>
        </is>
      </c>
      <c r="P1590" s="8" t="inlineStr">
        <is>
          <t>31/08/2026 02:59</t>
        </is>
      </c>
    </row>
    <row r="1591">
      <c r="A1591" s="7" t="inlineStr">
        <is>
          <t>WHAP 8x8</t>
        </is>
      </c>
      <c r="B1591" s="7" t="inlineStr">
        <is>
          <t>WHAP-1587</t>
        </is>
      </c>
      <c r="C1591" s="7" t="inlineStr">
        <is>
          <t>MOT-1587</t>
        </is>
      </c>
      <c r="D1591" s="7" t="inlineStr">
        <is>
          <t>couvercle de culasse</t>
        </is>
      </c>
      <c r="E1591" s="7" t="inlineStr">
        <is>
          <t>Moteur</t>
        </is>
      </c>
      <c r="F1591" s="7" t="inlineStr">
        <is>
          <t>Moteur</t>
        </is>
      </c>
      <c r="G1591" s="7" t="inlineStr">
        <is>
          <t>PIECE_VEHICULE</t>
        </is>
      </c>
      <c r="H1591" s="7" t="n">
        <v>1</v>
      </c>
      <c r="I1591" s="7">
        <f>H1591*$D$3</f>
        <v/>
      </c>
      <c r="J1591" s="7" t="inlineStr">
        <is>
          <t>unité</t>
        </is>
      </c>
      <c r="K1591" s="7" t="n">
        <v>0</v>
      </c>
      <c r="L1591" s="7">
        <f>K1591-I1591</f>
        <v/>
      </c>
      <c r="M1591" s="7">
        <f>IF(K1591&lt;I1591,"✕ INSUFFISANT",IF(K1591&lt;I1591*1.2,"⚠ STOCK FAIBLE","✓ COUVERT"))</f>
        <v/>
      </c>
      <c r="N1591" s="7" t="inlineStr">
        <is>
          <t>SUM</t>
        </is>
      </c>
      <c r="O1591" s="7" t="inlineStr">
        <is>
          <t>CRITIQUE</t>
        </is>
      </c>
      <c r="P1591" s="7" t="inlineStr">
        <is>
          <t>31/08/2026 02:59</t>
        </is>
      </c>
    </row>
    <row r="1592">
      <c r="A1592" s="8" t="inlineStr">
        <is>
          <t>WHAP 8x8</t>
        </is>
      </c>
      <c r="B1592" s="8" t="inlineStr">
        <is>
          <t>WHAP-1588</t>
        </is>
      </c>
      <c r="C1592" s="8" t="inlineStr">
        <is>
          <t>MOT-1588</t>
        </is>
      </c>
      <c r="D1592" s="8" t="inlineStr">
        <is>
          <t>bague de culasse</t>
        </is>
      </c>
      <c r="E1592" s="8" t="inlineStr">
        <is>
          <t>Moteur</t>
        </is>
      </c>
      <c r="F1592" s="8" t="inlineStr">
        <is>
          <t>Moteur</t>
        </is>
      </c>
      <c r="G1592" s="8" t="inlineStr">
        <is>
          <t>PIECE_VEHICULE</t>
        </is>
      </c>
      <c r="H1592" s="8" t="n">
        <v>1</v>
      </c>
      <c r="I1592" s="8">
        <f>H1592*$D$3</f>
        <v/>
      </c>
      <c r="J1592" s="8" t="inlineStr">
        <is>
          <t>unité</t>
        </is>
      </c>
      <c r="K1592" s="8" t="n">
        <v>0</v>
      </c>
      <c r="L1592" s="8">
        <f>K1592-I1592</f>
        <v/>
      </c>
      <c r="M1592" s="8">
        <f>IF(K1592&lt;I1592,"✕ INSUFFISANT",IF(K1592&lt;I1592*1.2,"⚠ STOCK FAIBLE","✓ COUVERT"))</f>
        <v/>
      </c>
      <c r="N1592" s="8" t="inlineStr">
        <is>
          <t>CTL</t>
        </is>
      </c>
      <c r="O1592" s="8" t="inlineStr">
        <is>
          <t>CRITIQUE</t>
        </is>
      </c>
      <c r="P1592" s="8" t="inlineStr">
        <is>
          <t>31/08/2026 02:59</t>
        </is>
      </c>
    </row>
    <row r="1593">
      <c r="A1593" s="7" t="inlineStr">
        <is>
          <t>WHAP 8x8</t>
        </is>
      </c>
      <c r="B1593" s="7" t="inlineStr">
        <is>
          <t>WHAP-1589</t>
        </is>
      </c>
      <c r="C1593" s="7" t="inlineStr">
        <is>
          <t>MOT-1589</t>
        </is>
      </c>
      <c r="D1593" s="7" t="inlineStr">
        <is>
          <t>entretoise de culasse</t>
        </is>
      </c>
      <c r="E1593" s="7" t="inlineStr">
        <is>
          <t>Moteur</t>
        </is>
      </c>
      <c r="F1593" s="7" t="inlineStr">
        <is>
          <t>Moteur</t>
        </is>
      </c>
      <c r="G1593" s="7" t="inlineStr">
        <is>
          <t>PIECE_VEHICULE</t>
        </is>
      </c>
      <c r="H1593" s="7" t="n">
        <v>1</v>
      </c>
      <c r="I1593" s="7">
        <f>H1593*$D$3</f>
        <v/>
      </c>
      <c r="J1593" s="7" t="inlineStr">
        <is>
          <t>unité</t>
        </is>
      </c>
      <c r="K1593" s="7" t="n">
        <v>0</v>
      </c>
      <c r="L1593" s="7">
        <f>K1593-I1593</f>
        <v/>
      </c>
      <c r="M1593" s="7">
        <f>IF(K1593&lt;I1593,"✕ INSUFFISANT",IF(K1593&lt;I1593*1.2,"⚠ STOCK FAIBLE","✓ COUVERT"))</f>
        <v/>
      </c>
      <c r="N1593" s="7" t="inlineStr">
        <is>
          <t>FAU</t>
        </is>
      </c>
      <c r="O1593" s="7" t="inlineStr">
        <is>
          <t>CRITIQUE</t>
        </is>
      </c>
      <c r="P1593" s="7" t="inlineStr">
        <is>
          <t>31/08/2026 02:59</t>
        </is>
      </c>
    </row>
    <row r="1594">
      <c r="A1594" s="8" t="inlineStr">
        <is>
          <t>WHAP 8x8</t>
        </is>
      </c>
      <c r="B1594" s="8" t="inlineStr">
        <is>
          <t>WHAP-1590</t>
        </is>
      </c>
      <c r="C1594" s="8" t="inlineStr">
        <is>
          <t>MOT-1590</t>
        </is>
      </c>
      <c r="D1594" s="8" t="inlineStr">
        <is>
          <t>axe de culasse</t>
        </is>
      </c>
      <c r="E1594" s="8" t="inlineStr">
        <is>
          <t>Moteur</t>
        </is>
      </c>
      <c r="F1594" s="8" t="inlineStr">
        <is>
          <t>Moteur</t>
        </is>
      </c>
      <c r="G1594" s="8" t="inlineStr">
        <is>
          <t>PIECE_VEHICULE</t>
        </is>
      </c>
      <c r="H1594" s="8" t="n">
        <v>1</v>
      </c>
      <c r="I1594" s="8">
        <f>H1594*$D$3</f>
        <v/>
      </c>
      <c r="J1594" s="8" t="inlineStr">
        <is>
          <t>unité</t>
        </is>
      </c>
      <c r="K1594" s="8" t="n">
        <v>0</v>
      </c>
      <c r="L1594" s="8">
        <f>K1594-I1594</f>
        <v/>
      </c>
      <c r="M1594" s="8">
        <f>IF(K1594&lt;I1594,"✕ INSUFFISANT",IF(K1594&lt;I1594*1.2,"⚠ STOCK FAIBLE","✓ COUVERT"))</f>
        <v/>
      </c>
      <c r="N1594" s="8" t="inlineStr">
        <is>
          <t>BOS</t>
        </is>
      </c>
      <c r="O1594" s="8" t="inlineStr">
        <is>
          <t>CRITIQUE</t>
        </is>
      </c>
      <c r="P1594" s="8" t="inlineStr">
        <is>
          <t>31/08/2026 02:59</t>
        </is>
      </c>
    </row>
    <row r="1595">
      <c r="A1595" s="7" t="inlineStr">
        <is>
          <t>WHAP 8x8</t>
        </is>
      </c>
      <c r="B1595" s="7" t="inlineStr">
        <is>
          <t>WHAP-1591</t>
        </is>
      </c>
      <c r="C1595" s="7" t="inlineStr">
        <is>
          <t>MOT-1591</t>
        </is>
      </c>
      <c r="D1595" s="7" t="inlineStr">
        <is>
          <t>poulie de culasse</t>
        </is>
      </c>
      <c r="E1595" s="7" t="inlineStr">
        <is>
          <t>Moteur</t>
        </is>
      </c>
      <c r="F1595" s="7" t="inlineStr">
        <is>
          <t>Moteur</t>
        </is>
      </c>
      <c r="G1595" s="7" t="inlineStr">
        <is>
          <t>PIECE_VEHICULE</t>
        </is>
      </c>
      <c r="H1595" s="7" t="n">
        <v>1</v>
      </c>
      <c r="I1595" s="7">
        <f>H1595*$D$3</f>
        <v/>
      </c>
      <c r="J1595" s="7" t="inlineStr">
        <is>
          <t>unité</t>
        </is>
      </c>
      <c r="K1595" s="7" t="n">
        <v>0</v>
      </c>
      <c r="L1595" s="7">
        <f>K1595-I1595</f>
        <v/>
      </c>
      <c r="M1595" s="7">
        <f>IF(K1595&lt;I1595,"✕ INSUFFISANT",IF(K1595&lt;I1595*1.2,"⚠ STOCK FAIBLE","✓ COUVERT"))</f>
        <v/>
      </c>
      <c r="N1595" s="7" t="inlineStr">
        <is>
          <t>DEL</t>
        </is>
      </c>
      <c r="O1595" s="7" t="inlineStr">
        <is>
          <t>CRITIQUE</t>
        </is>
      </c>
      <c r="P1595" s="7" t="inlineStr">
        <is>
          <t>31/08/2026 02:59</t>
        </is>
      </c>
    </row>
    <row r="1596">
      <c r="A1596" s="8" t="inlineStr">
        <is>
          <t>WHAP 8x8</t>
        </is>
      </c>
      <c r="B1596" s="8" t="inlineStr">
        <is>
          <t>WHAP-1592</t>
        </is>
      </c>
      <c r="C1596" s="8" t="inlineStr">
        <is>
          <t>MOT-1592</t>
        </is>
      </c>
      <c r="D1596" s="8" t="inlineStr">
        <is>
          <t>pignon de culasse</t>
        </is>
      </c>
      <c r="E1596" s="8" t="inlineStr">
        <is>
          <t>Moteur</t>
        </is>
      </c>
      <c r="F1596" s="8" t="inlineStr">
        <is>
          <t>Moteur</t>
        </is>
      </c>
      <c r="G1596" s="8" t="inlineStr">
        <is>
          <t>PIECE_VEHICULE</t>
        </is>
      </c>
      <c r="H1596" s="8" t="n">
        <v>1</v>
      </c>
      <c r="I1596" s="8">
        <f>H1596*$D$3</f>
        <v/>
      </c>
      <c r="J1596" s="8" t="inlineStr">
        <is>
          <t>unité</t>
        </is>
      </c>
      <c r="K1596" s="8" t="n">
        <v>0</v>
      </c>
      <c r="L1596" s="8">
        <f>K1596-I1596</f>
        <v/>
      </c>
      <c r="M1596" s="8">
        <f>IF(K1596&lt;I1596,"✕ INSUFFISANT",IF(K1596&lt;I1596*1.2,"⚠ STOCK FAIBLE","✓ COUVERT"))</f>
        <v/>
      </c>
      <c r="N1596" s="8" t="inlineStr">
        <is>
          <t>BOS</t>
        </is>
      </c>
      <c r="O1596" s="8" t="inlineStr">
        <is>
          <t>CRITIQUE</t>
        </is>
      </c>
      <c r="P1596" s="8" t="inlineStr">
        <is>
          <t>31/08/2026 02:59</t>
        </is>
      </c>
    </row>
    <row r="1597">
      <c r="A1597" s="7" t="inlineStr">
        <is>
          <t>WHAP 8x8</t>
        </is>
      </c>
      <c r="B1597" s="7" t="inlineStr">
        <is>
          <t>WHAP-1593</t>
        </is>
      </c>
      <c r="C1597" s="7" t="inlineStr">
        <is>
          <t>MOT-1593</t>
        </is>
      </c>
      <c r="D1597" s="7" t="inlineStr">
        <is>
          <t>ensemble de joint de culasse</t>
        </is>
      </c>
      <c r="E1597" s="7" t="inlineStr">
        <is>
          <t>Moteur</t>
        </is>
      </c>
      <c r="F1597" s="7" t="inlineStr">
        <is>
          <t>Moteur</t>
        </is>
      </c>
      <c r="G1597" s="7" t="inlineStr">
        <is>
          <t>PIECE_VEHICULE</t>
        </is>
      </c>
      <c r="H1597" s="7" t="n">
        <v>1</v>
      </c>
      <c r="I1597" s="7">
        <f>H1597*$D$3</f>
        <v/>
      </c>
      <c r="J1597" s="7" t="inlineStr">
        <is>
          <t>unité</t>
        </is>
      </c>
      <c r="K1597" s="7" t="n">
        <v>0</v>
      </c>
      <c r="L1597" s="7">
        <f>K1597-I1597</f>
        <v/>
      </c>
      <c r="M1597" s="7">
        <f>IF(K1597&lt;I1597,"✕ INSUFFISANT",IF(K1597&lt;I1597*1.2,"⚠ STOCK FAIBLE","✓ COUVERT"))</f>
        <v/>
      </c>
      <c r="N1597" s="7" t="inlineStr">
        <is>
          <t>YZK</t>
        </is>
      </c>
      <c r="O1597" s="7" t="inlineStr">
        <is>
          <t>CRITIQUE</t>
        </is>
      </c>
      <c r="P1597" s="7" t="inlineStr">
        <is>
          <t>31/08/2026 02:59</t>
        </is>
      </c>
    </row>
    <row r="1598">
      <c r="A1598" s="8" t="inlineStr">
        <is>
          <t>WHAP 8x8</t>
        </is>
      </c>
      <c r="B1598" s="8" t="inlineStr">
        <is>
          <t>WHAP-1594</t>
        </is>
      </c>
      <c r="C1598" s="8" t="inlineStr">
        <is>
          <t>MOT-1594</t>
        </is>
      </c>
      <c r="D1598" s="8" t="inlineStr">
        <is>
          <t>kit de joint de culasse</t>
        </is>
      </c>
      <c r="E1598" s="8" t="inlineStr">
        <is>
          <t>Moteur</t>
        </is>
      </c>
      <c r="F1598" s="8" t="inlineStr">
        <is>
          <t>Moteur</t>
        </is>
      </c>
      <c r="G1598" s="8" t="inlineStr">
        <is>
          <t>PIECE_VEHICULE</t>
        </is>
      </c>
      <c r="H1598" s="8" t="n">
        <v>1</v>
      </c>
      <c r="I1598" s="8">
        <f>H1598*$D$3</f>
        <v/>
      </c>
      <c r="J1598" s="8" t="inlineStr">
        <is>
          <t>unité</t>
        </is>
      </c>
      <c r="K1598" s="8" t="n">
        <v>0</v>
      </c>
      <c r="L1598" s="8">
        <f>K1598-I1598</f>
        <v/>
      </c>
      <c r="M1598" s="8">
        <f>IF(K1598&lt;I1598,"✕ INSUFFISANT",IF(K1598&lt;I1598*1.2,"⚠ STOCK FAIBLE","✓ COUVERT"))</f>
        <v/>
      </c>
      <c r="N1598" s="8" t="inlineStr">
        <is>
          <t>HEL</t>
        </is>
      </c>
      <c r="O1598" s="8" t="inlineStr">
        <is>
          <t>CRITIQUE</t>
        </is>
      </c>
      <c r="P1598" s="8" t="inlineStr">
        <is>
          <t>31/08/2026 02:59</t>
        </is>
      </c>
    </row>
    <row r="1599">
      <c r="A1599" s="7" t="inlineStr">
        <is>
          <t>WHAP 8x8</t>
        </is>
      </c>
      <c r="B1599" s="7" t="inlineStr">
        <is>
          <t>WHAP-1595</t>
        </is>
      </c>
      <c r="C1599" s="7" t="inlineStr">
        <is>
          <t>MOT-1595</t>
        </is>
      </c>
      <c r="D1599" s="7" t="inlineStr">
        <is>
          <t>support de joint de culasse</t>
        </is>
      </c>
      <c r="E1599" s="7" t="inlineStr">
        <is>
          <t>Moteur</t>
        </is>
      </c>
      <c r="F1599" s="7" t="inlineStr">
        <is>
          <t>Moteur</t>
        </is>
      </c>
      <c r="G1599" s="7" t="inlineStr">
        <is>
          <t>PIECE_VEHICULE</t>
        </is>
      </c>
      <c r="H1599" s="7" t="n">
        <v>1</v>
      </c>
      <c r="I1599" s="7">
        <f>H1599*$D$3</f>
        <v/>
      </c>
      <c r="J1599" s="7" t="inlineStr">
        <is>
          <t>unité</t>
        </is>
      </c>
      <c r="K1599" s="7" t="n">
        <v>0</v>
      </c>
      <c r="L1599" s="7">
        <f>K1599-I1599</f>
        <v/>
      </c>
      <c r="M1599" s="7">
        <f>IF(K1599&lt;I1599,"✕ INSUFFISANT",IF(K1599&lt;I1599*1.2,"⚠ STOCK FAIBLE","✓ COUVERT"))</f>
        <v/>
      </c>
      <c r="N1599" s="7" t="inlineStr">
        <is>
          <t>HEL</t>
        </is>
      </c>
      <c r="O1599" s="7" t="inlineStr">
        <is>
          <t>CRITIQUE</t>
        </is>
      </c>
      <c r="P1599" s="7" t="inlineStr">
        <is>
          <t>31/08/2026 02:59</t>
        </is>
      </c>
    </row>
    <row r="1600">
      <c r="A1600" s="8" t="inlineStr">
        <is>
          <t>WHAP 8x8</t>
        </is>
      </c>
      <c r="B1600" s="8" t="inlineStr">
        <is>
          <t>WHAP-1596</t>
        </is>
      </c>
      <c r="C1600" s="8" t="inlineStr">
        <is>
          <t>MOT-1596</t>
        </is>
      </c>
      <c r="D1600" s="8" t="inlineStr">
        <is>
          <t>boîtier de joint de culasse</t>
        </is>
      </c>
      <c r="E1600" s="8" t="inlineStr">
        <is>
          <t>Moteur</t>
        </is>
      </c>
      <c r="F1600" s="8" t="inlineStr">
        <is>
          <t>Moteur</t>
        </is>
      </c>
      <c r="G1600" s="8" t="inlineStr">
        <is>
          <t>PIECE_VEHICULE</t>
        </is>
      </c>
      <c r="H1600" s="8" t="n">
        <v>1</v>
      </c>
      <c r="I1600" s="8">
        <f>H1600*$D$3</f>
        <v/>
      </c>
      <c r="J1600" s="8" t="inlineStr">
        <is>
          <t>unité</t>
        </is>
      </c>
      <c r="K1600" s="8" t="n">
        <v>0</v>
      </c>
      <c r="L1600" s="8">
        <f>K1600-I1600</f>
        <v/>
      </c>
      <c r="M1600" s="8">
        <f>IF(K1600&lt;I1600,"✕ INSUFFISANT",IF(K1600&lt;I1600*1.2,"⚠ STOCK FAIBLE","✓ COUVERT"))</f>
        <v/>
      </c>
      <c r="N1600" s="8" t="inlineStr">
        <is>
          <t>YZK</t>
        </is>
      </c>
      <c r="O1600" s="8" t="inlineStr">
        <is>
          <t>CRITIQUE</t>
        </is>
      </c>
      <c r="P1600" s="8" t="inlineStr">
        <is>
          <t>31/08/2026 02:59</t>
        </is>
      </c>
    </row>
    <row r="1601">
      <c r="A1601" s="7" t="inlineStr">
        <is>
          <t>WHAP 8x8</t>
        </is>
      </c>
      <c r="B1601" s="7" t="inlineStr">
        <is>
          <t>WHAP-1597</t>
        </is>
      </c>
      <c r="C1601" s="7" t="inlineStr">
        <is>
          <t>MOT-1597</t>
        </is>
      </c>
      <c r="D1601" s="7" t="inlineStr">
        <is>
          <t>module de joint de culasse</t>
        </is>
      </c>
      <c r="E1601" s="7" t="inlineStr">
        <is>
          <t>Moteur</t>
        </is>
      </c>
      <c r="F1601" s="7" t="inlineStr">
        <is>
          <t>Moteur</t>
        </is>
      </c>
      <c r="G1601" s="7" t="inlineStr">
        <is>
          <t>PIECE_VEHICULE</t>
        </is>
      </c>
      <c r="H1601" s="7" t="n">
        <v>1</v>
      </c>
      <c r="I1601" s="7">
        <f>H1601*$D$3</f>
        <v/>
      </c>
      <c r="J1601" s="7" t="inlineStr">
        <is>
          <t>unité</t>
        </is>
      </c>
      <c r="K1601" s="7" t="n">
        <v>0</v>
      </c>
      <c r="L1601" s="7">
        <f>K1601-I1601</f>
        <v/>
      </c>
      <c r="M1601" s="7">
        <f>IF(K1601&lt;I1601,"✕ INSUFFISANT",IF(K1601&lt;I1601*1.2,"⚠ STOCK FAIBLE","✓ COUVERT"))</f>
        <v/>
      </c>
      <c r="N1601" s="7" t="inlineStr">
        <is>
          <t>SUM</t>
        </is>
      </c>
      <c r="O1601" s="7" t="inlineStr">
        <is>
          <t>CRITIQUE</t>
        </is>
      </c>
      <c r="P1601" s="7" t="inlineStr">
        <is>
          <t>31/08/2026 02:59</t>
        </is>
      </c>
    </row>
    <row r="1602">
      <c r="A1602" s="8" t="inlineStr">
        <is>
          <t>WHAP 8x8</t>
        </is>
      </c>
      <c r="B1602" s="8" t="inlineStr">
        <is>
          <t>WHAP-1598</t>
        </is>
      </c>
      <c r="C1602" s="8" t="inlineStr">
        <is>
          <t>MOT-1598</t>
        </is>
      </c>
      <c r="D1602" s="8" t="inlineStr">
        <is>
          <t>câblage de joint de culasse</t>
        </is>
      </c>
      <c r="E1602" s="8" t="inlineStr">
        <is>
          <t>Moteur</t>
        </is>
      </c>
      <c r="F1602" s="8" t="inlineStr">
        <is>
          <t>Moteur</t>
        </is>
      </c>
      <c r="G1602" s="8" t="inlineStr">
        <is>
          <t>PIECE_VEHICULE</t>
        </is>
      </c>
      <c r="H1602" s="8" t="n">
        <v>1</v>
      </c>
      <c r="I1602" s="8">
        <f>H1602*$D$3</f>
        <v/>
      </c>
      <c r="J1602" s="8" t="inlineStr">
        <is>
          <t>unité</t>
        </is>
      </c>
      <c r="K1602" s="8" t="n">
        <v>0</v>
      </c>
      <c r="L1602" s="8">
        <f>K1602-I1602</f>
        <v/>
      </c>
      <c r="M1602" s="8">
        <f>IF(K1602&lt;I1602,"✕ INSUFFISANT",IF(K1602&lt;I1602*1.2,"⚠ STOCK FAIBLE","✓ COUVERT"))</f>
        <v/>
      </c>
      <c r="N1602" s="8" t="inlineStr">
        <is>
          <t>SUM</t>
        </is>
      </c>
      <c r="O1602" s="8" t="inlineStr">
        <is>
          <t>CRITIQUE</t>
        </is>
      </c>
      <c r="P1602" s="8" t="inlineStr">
        <is>
          <t>31/08/2026 02:59</t>
        </is>
      </c>
    </row>
    <row r="1603">
      <c r="A1603" s="7" t="inlineStr">
        <is>
          <t>WHAP 8x8</t>
        </is>
      </c>
      <c r="B1603" s="7" t="inlineStr">
        <is>
          <t>WHAP-1599</t>
        </is>
      </c>
      <c r="C1603" s="7" t="inlineStr">
        <is>
          <t>MOT-1599</t>
        </is>
      </c>
      <c r="D1603" s="7" t="inlineStr">
        <is>
          <t>connecteur de joint de culasse</t>
        </is>
      </c>
      <c r="E1603" s="7" t="inlineStr">
        <is>
          <t>Moteur</t>
        </is>
      </c>
      <c r="F1603" s="7" t="inlineStr">
        <is>
          <t>Moteur</t>
        </is>
      </c>
      <c r="G1603" s="7" t="inlineStr">
        <is>
          <t>PIECE_VEHICULE</t>
        </is>
      </c>
      <c r="H1603" s="7" t="n">
        <v>1</v>
      </c>
      <c r="I1603" s="7">
        <f>H1603*$D$3</f>
        <v/>
      </c>
      <c r="J1603" s="7" t="inlineStr">
        <is>
          <t>unité</t>
        </is>
      </c>
      <c r="K1603" s="7" t="n">
        <v>0</v>
      </c>
      <c r="L1603" s="7">
        <f>K1603-I1603</f>
        <v/>
      </c>
      <c r="M1603" s="7">
        <f>IF(K1603&lt;I1603,"✕ INSUFFISANT",IF(K1603&lt;I1603*1.2,"⚠ STOCK FAIBLE","✓ COUVERT"))</f>
        <v/>
      </c>
      <c r="N1603" s="7" t="inlineStr">
        <is>
          <t>DEL</t>
        </is>
      </c>
      <c r="O1603" s="7" t="inlineStr">
        <is>
          <t>CRITIQUE</t>
        </is>
      </c>
      <c r="P1603" s="7" t="inlineStr">
        <is>
          <t>31/08/2026 02:59</t>
        </is>
      </c>
    </row>
    <row r="1604">
      <c r="A1604" s="8" t="inlineStr">
        <is>
          <t>WHAP 8x8</t>
        </is>
      </c>
      <c r="B1604" s="8" t="inlineStr">
        <is>
          <t>WHAP-1600</t>
        </is>
      </c>
      <c r="C1604" s="8" t="inlineStr">
        <is>
          <t>MOT-1600</t>
        </is>
      </c>
      <c r="D1604" s="8" t="inlineStr">
        <is>
          <t>joint de joint de culasse</t>
        </is>
      </c>
      <c r="E1604" s="8" t="inlineStr">
        <is>
          <t>Moteur</t>
        </is>
      </c>
      <c r="F1604" s="8" t="inlineStr">
        <is>
          <t>Moteur</t>
        </is>
      </c>
      <c r="G1604" s="8" t="inlineStr">
        <is>
          <t>PIECE_VEHICULE</t>
        </is>
      </c>
      <c r="H1604" s="8" t="n">
        <v>1</v>
      </c>
      <c r="I1604" s="8">
        <f>H1604*$D$3</f>
        <v/>
      </c>
      <c r="J1604" s="8" t="inlineStr">
        <is>
          <t>unité</t>
        </is>
      </c>
      <c r="K1604" s="8" t="n">
        <v>0</v>
      </c>
      <c r="L1604" s="8">
        <f>K1604-I1604</f>
        <v/>
      </c>
      <c r="M1604" s="8">
        <f>IF(K1604&lt;I1604,"✕ INSUFFISANT",IF(K1604&lt;I1604*1.2,"⚠ STOCK FAIBLE","✓ COUVERT"))</f>
        <v/>
      </c>
      <c r="N1604" s="8" t="inlineStr">
        <is>
          <t>MAG</t>
        </is>
      </c>
      <c r="O1604" s="8" t="inlineStr">
        <is>
          <t>CRITIQUE</t>
        </is>
      </c>
      <c r="P1604" s="8" t="inlineStr">
        <is>
          <t>31/08/2026 02:59</t>
        </is>
      </c>
    </row>
    <row r="1605">
      <c r="A1605" s="7" t="inlineStr">
        <is>
          <t>WHAP 8x8</t>
        </is>
      </c>
      <c r="B1605" s="7" t="inlineStr">
        <is>
          <t>WHAP-1601</t>
        </is>
      </c>
      <c r="C1605" s="7" t="inlineStr">
        <is>
          <t>MOT-1601</t>
        </is>
      </c>
      <c r="D1605" s="7" t="inlineStr">
        <is>
          <t>fixation de joint de culasse</t>
        </is>
      </c>
      <c r="E1605" s="7" t="inlineStr">
        <is>
          <t>Moteur</t>
        </is>
      </c>
      <c r="F1605" s="7" t="inlineStr">
        <is>
          <t>Moteur</t>
        </is>
      </c>
      <c r="G1605" s="7" t="inlineStr">
        <is>
          <t>PIECE_VEHICULE</t>
        </is>
      </c>
      <c r="H1605" s="7" t="n">
        <v>1</v>
      </c>
      <c r="I1605" s="7">
        <f>H1605*$D$3</f>
        <v/>
      </c>
      <c r="J1605" s="7" t="inlineStr">
        <is>
          <t>unité</t>
        </is>
      </c>
      <c r="K1605" s="7" t="n">
        <v>0</v>
      </c>
      <c r="L1605" s="7">
        <f>K1605-I1605</f>
        <v/>
      </c>
      <c r="M1605" s="7">
        <f>IF(K1605&lt;I1605,"✕ INSUFFISANT",IF(K1605&lt;I1605*1.2,"⚠ STOCK FAIBLE","✓ COUVERT"))</f>
        <v/>
      </c>
      <c r="N1605" s="7" t="inlineStr">
        <is>
          <t>SUM</t>
        </is>
      </c>
      <c r="O1605" s="7" t="inlineStr">
        <is>
          <t>CRITIQUE</t>
        </is>
      </c>
      <c r="P1605" s="7" t="inlineStr">
        <is>
          <t>31/08/2026 02:59</t>
        </is>
      </c>
    </row>
    <row r="1606">
      <c r="A1606" s="8" t="inlineStr">
        <is>
          <t>WHAP 8x8</t>
        </is>
      </c>
      <c r="B1606" s="8" t="inlineStr">
        <is>
          <t>WHAP-1602</t>
        </is>
      </c>
      <c r="C1606" s="8" t="inlineStr">
        <is>
          <t>MOT-1602</t>
        </is>
      </c>
      <c r="D1606" s="8" t="inlineStr">
        <is>
          <t>protection de joint de culasse</t>
        </is>
      </c>
      <c r="E1606" s="8" t="inlineStr">
        <is>
          <t>Moteur</t>
        </is>
      </c>
      <c r="F1606" s="8" t="inlineStr">
        <is>
          <t>Moteur</t>
        </is>
      </c>
      <c r="G1606" s="8" t="inlineStr">
        <is>
          <t>PIECE_VEHICULE</t>
        </is>
      </c>
      <c r="H1606" s="8" t="n">
        <v>1</v>
      </c>
      <c r="I1606" s="8">
        <f>H1606*$D$3</f>
        <v/>
      </c>
      <c r="J1606" s="8" t="inlineStr">
        <is>
          <t>unité</t>
        </is>
      </c>
      <c r="K1606" s="8" t="n">
        <v>0</v>
      </c>
      <c r="L1606" s="8">
        <f>K1606-I1606</f>
        <v/>
      </c>
      <c r="M1606" s="8">
        <f>IF(K1606&lt;I1606,"✕ INSUFFISANT",IF(K1606&lt;I1606*1.2,"⚠ STOCK FAIBLE","✓ COUVERT"))</f>
        <v/>
      </c>
      <c r="N1606" s="8" t="inlineStr">
        <is>
          <t>VAL</t>
        </is>
      </c>
      <c r="O1606" s="8" t="inlineStr">
        <is>
          <t>CRITIQUE</t>
        </is>
      </c>
      <c r="P1606" s="8" t="inlineStr">
        <is>
          <t>31/08/2026 02:59</t>
        </is>
      </c>
    </row>
    <row r="1607">
      <c r="A1607" s="7" t="inlineStr">
        <is>
          <t>WHAP 8x8</t>
        </is>
      </c>
      <c r="B1607" s="7" t="inlineStr">
        <is>
          <t>WHAP-1603</t>
        </is>
      </c>
      <c r="C1607" s="7" t="inlineStr">
        <is>
          <t>MOT-1603</t>
        </is>
      </c>
      <c r="D1607" s="7" t="inlineStr">
        <is>
          <t>capteur de joint de culasse</t>
        </is>
      </c>
      <c r="E1607" s="7" t="inlineStr">
        <is>
          <t>Moteur</t>
        </is>
      </c>
      <c r="F1607" s="7" t="inlineStr">
        <is>
          <t>Moteur</t>
        </is>
      </c>
      <c r="G1607" s="7" t="inlineStr">
        <is>
          <t>PIECE_VEHICULE</t>
        </is>
      </c>
      <c r="H1607" s="7" t="n">
        <v>1</v>
      </c>
      <c r="I1607" s="7">
        <f>H1607*$D$3</f>
        <v/>
      </c>
      <c r="J1607" s="7" t="inlineStr">
        <is>
          <t>unité</t>
        </is>
      </c>
      <c r="K1607" s="7" t="n">
        <v>0</v>
      </c>
      <c r="L1607" s="7">
        <f>K1607-I1607</f>
        <v/>
      </c>
      <c r="M1607" s="7">
        <f>IF(K1607&lt;I1607,"✕ INSUFFISANT",IF(K1607&lt;I1607*1.2,"⚠ STOCK FAIBLE","✓ COUVERT"))</f>
        <v/>
      </c>
      <c r="N1607" s="7" t="inlineStr">
        <is>
          <t>SKF</t>
        </is>
      </c>
      <c r="O1607" s="7" t="inlineStr">
        <is>
          <t>CRITIQUE</t>
        </is>
      </c>
      <c r="P1607" s="7" t="inlineStr">
        <is>
          <t>31/08/2026 02:59</t>
        </is>
      </c>
    </row>
    <row r="1608">
      <c r="A1608" s="8" t="inlineStr">
        <is>
          <t>WHAP 8x8</t>
        </is>
      </c>
      <c r="B1608" s="8" t="inlineStr">
        <is>
          <t>WHAP-1604</t>
        </is>
      </c>
      <c r="C1608" s="8" t="inlineStr">
        <is>
          <t>MOT-1604</t>
        </is>
      </c>
      <c r="D1608" s="8" t="inlineStr">
        <is>
          <t>actionneur de joint de culasse</t>
        </is>
      </c>
      <c r="E1608" s="8" t="inlineStr">
        <is>
          <t>Moteur</t>
        </is>
      </c>
      <c r="F1608" s="8" t="inlineStr">
        <is>
          <t>Moteur</t>
        </is>
      </c>
      <c r="G1608" s="8" t="inlineStr">
        <is>
          <t>PIECE_VEHICULE</t>
        </is>
      </c>
      <c r="H1608" s="8" t="n">
        <v>1</v>
      </c>
      <c r="I1608" s="8">
        <f>H1608*$D$3</f>
        <v/>
      </c>
      <c r="J1608" s="8" t="inlineStr">
        <is>
          <t>unité</t>
        </is>
      </c>
      <c r="K1608" s="8" t="n">
        <v>0</v>
      </c>
      <c r="L1608" s="8">
        <f>K1608-I1608</f>
        <v/>
      </c>
      <c r="M1608" s="8">
        <f>IF(K1608&lt;I1608,"✕ INSUFFISANT",IF(K1608&lt;I1608*1.2,"⚠ STOCK FAIBLE","✓ COUVERT"))</f>
        <v/>
      </c>
      <c r="N1608" s="8" t="inlineStr">
        <is>
          <t>YZK</t>
        </is>
      </c>
      <c r="O1608" s="8" t="inlineStr">
        <is>
          <t>CRITIQUE</t>
        </is>
      </c>
      <c r="P1608" s="8" t="inlineStr">
        <is>
          <t>31/08/2026 02:59</t>
        </is>
      </c>
    </row>
    <row r="1609">
      <c r="A1609" s="7" t="inlineStr">
        <is>
          <t>WHAP 8x8</t>
        </is>
      </c>
      <c r="B1609" s="7" t="inlineStr">
        <is>
          <t>WHAP-1605</t>
        </is>
      </c>
      <c r="C1609" s="7" t="inlineStr">
        <is>
          <t>MOT-1605</t>
        </is>
      </c>
      <c r="D1609" s="7" t="inlineStr">
        <is>
          <t>raccord de joint de culasse</t>
        </is>
      </c>
      <c r="E1609" s="7" t="inlineStr">
        <is>
          <t>Moteur</t>
        </is>
      </c>
      <c r="F1609" s="7" t="inlineStr">
        <is>
          <t>Moteur</t>
        </is>
      </c>
      <c r="G1609" s="7" t="inlineStr">
        <is>
          <t>PIECE_VEHICULE</t>
        </is>
      </c>
      <c r="H1609" s="7" t="n">
        <v>1</v>
      </c>
      <c r="I1609" s="7">
        <f>H1609*$D$3</f>
        <v/>
      </c>
      <c r="J1609" s="7" t="inlineStr">
        <is>
          <t>unité</t>
        </is>
      </c>
      <c r="K1609" s="7" t="n">
        <v>0</v>
      </c>
      <c r="L1609" s="7">
        <f>K1609-I1609</f>
        <v/>
      </c>
      <c r="M1609" s="7">
        <f>IF(K1609&lt;I1609,"✕ INSUFFISANT",IF(K1609&lt;I1609*1.2,"⚠ STOCK FAIBLE","✓ COUVERT"))</f>
        <v/>
      </c>
      <c r="N1609" s="7" t="inlineStr">
        <is>
          <t>YZK</t>
        </is>
      </c>
      <c r="O1609" s="7" t="inlineStr">
        <is>
          <t>CRITIQUE</t>
        </is>
      </c>
      <c r="P1609" s="7" t="inlineStr">
        <is>
          <t>31/08/2026 02:59</t>
        </is>
      </c>
    </row>
    <row r="1610">
      <c r="A1610" s="8" t="inlineStr">
        <is>
          <t>WHAP 8x8</t>
        </is>
      </c>
      <c r="B1610" s="8" t="inlineStr">
        <is>
          <t>WHAP-1606</t>
        </is>
      </c>
      <c r="C1610" s="8" t="inlineStr">
        <is>
          <t>MOT-1606</t>
        </is>
      </c>
      <c r="D1610" s="8" t="inlineStr">
        <is>
          <t>plaque de joint de culasse</t>
        </is>
      </c>
      <c r="E1610" s="8" t="inlineStr">
        <is>
          <t>Moteur</t>
        </is>
      </c>
      <c r="F1610" s="8" t="inlineStr">
        <is>
          <t>Moteur</t>
        </is>
      </c>
      <c r="G1610" s="8" t="inlineStr">
        <is>
          <t>PIECE_VEHICULE</t>
        </is>
      </c>
      <c r="H1610" s="8" t="n">
        <v>1</v>
      </c>
      <c r="I1610" s="8">
        <f>H1610*$D$3</f>
        <v/>
      </c>
      <c r="J1610" s="8" t="inlineStr">
        <is>
          <t>unité</t>
        </is>
      </c>
      <c r="K1610" s="8" t="n">
        <v>0</v>
      </c>
      <c r="L1610" s="8">
        <f>K1610-I1610</f>
        <v/>
      </c>
      <c r="M1610" s="8">
        <f>IF(K1610&lt;I1610,"✕ INSUFFISANT",IF(K1610&lt;I1610*1.2,"⚠ STOCK FAIBLE","✓ COUVERT"))</f>
        <v/>
      </c>
      <c r="N1610" s="8" t="inlineStr">
        <is>
          <t>CTL</t>
        </is>
      </c>
      <c r="O1610" s="8" t="inlineStr">
        <is>
          <t>CRITIQUE</t>
        </is>
      </c>
      <c r="P1610" s="8" t="inlineStr">
        <is>
          <t>31/08/2026 02:59</t>
        </is>
      </c>
    </row>
    <row r="1611">
      <c r="A1611" s="7" t="inlineStr">
        <is>
          <t>WHAP 8x8</t>
        </is>
      </c>
      <c r="B1611" s="7" t="inlineStr">
        <is>
          <t>WHAP-1607</t>
        </is>
      </c>
      <c r="C1611" s="7" t="inlineStr">
        <is>
          <t>MOT-1607</t>
        </is>
      </c>
      <c r="D1611" s="7" t="inlineStr">
        <is>
          <t>couvercle de joint de culasse</t>
        </is>
      </c>
      <c r="E1611" s="7" t="inlineStr">
        <is>
          <t>Moteur</t>
        </is>
      </c>
      <c r="F1611" s="7" t="inlineStr">
        <is>
          <t>Moteur</t>
        </is>
      </c>
      <c r="G1611" s="7" t="inlineStr">
        <is>
          <t>PIECE_VEHICULE</t>
        </is>
      </c>
      <c r="H1611" s="7" t="n">
        <v>1</v>
      </c>
      <c r="I1611" s="7">
        <f>H1611*$D$3</f>
        <v/>
      </c>
      <c r="J1611" s="7" t="inlineStr">
        <is>
          <t>unité</t>
        </is>
      </c>
      <c r="K1611" s="7" t="n">
        <v>0</v>
      </c>
      <c r="L1611" s="7">
        <f>K1611-I1611</f>
        <v/>
      </c>
      <c r="M1611" s="7">
        <f>IF(K1611&lt;I1611,"✕ INSUFFISANT",IF(K1611&lt;I1611*1.2,"⚠ STOCK FAIBLE","✓ COUVERT"))</f>
        <v/>
      </c>
      <c r="N1611" s="7" t="inlineStr">
        <is>
          <t>BOS</t>
        </is>
      </c>
      <c r="O1611" s="7" t="inlineStr">
        <is>
          <t>CRITIQUE</t>
        </is>
      </c>
      <c r="P1611" s="7" t="inlineStr">
        <is>
          <t>31/08/2026 02:59</t>
        </is>
      </c>
    </row>
    <row r="1612">
      <c r="A1612" s="8" t="inlineStr">
        <is>
          <t>WHAP 8x8</t>
        </is>
      </c>
      <c r="B1612" s="8" t="inlineStr">
        <is>
          <t>WHAP-1608</t>
        </is>
      </c>
      <c r="C1612" s="8" t="inlineStr">
        <is>
          <t>MOT-1608</t>
        </is>
      </c>
      <c r="D1612" s="8" t="inlineStr">
        <is>
          <t>bague de joint de culasse</t>
        </is>
      </c>
      <c r="E1612" s="8" t="inlineStr">
        <is>
          <t>Moteur</t>
        </is>
      </c>
      <c r="F1612" s="8" t="inlineStr">
        <is>
          <t>Moteur</t>
        </is>
      </c>
      <c r="G1612" s="8" t="inlineStr">
        <is>
          <t>PIECE_VEHICULE</t>
        </is>
      </c>
      <c r="H1612" s="8" t="n">
        <v>1</v>
      </c>
      <c r="I1612" s="8">
        <f>H1612*$D$3</f>
        <v/>
      </c>
      <c r="J1612" s="8" t="inlineStr">
        <is>
          <t>unité</t>
        </is>
      </c>
      <c r="K1612" s="8" t="n">
        <v>0</v>
      </c>
      <c r="L1612" s="8">
        <f>K1612-I1612</f>
        <v/>
      </c>
      <c r="M1612" s="8">
        <f>IF(K1612&lt;I1612,"✕ INSUFFISANT",IF(K1612&lt;I1612*1.2,"⚠ STOCK FAIBLE","✓ COUVERT"))</f>
        <v/>
      </c>
      <c r="N1612" s="8" t="inlineStr">
        <is>
          <t>YZK</t>
        </is>
      </c>
      <c r="O1612" s="8" t="inlineStr">
        <is>
          <t>CRITIQUE</t>
        </is>
      </c>
      <c r="P1612" s="8" t="inlineStr">
        <is>
          <t>31/08/2026 02:59</t>
        </is>
      </c>
    </row>
    <row r="1613">
      <c r="A1613" s="7" t="inlineStr">
        <is>
          <t>WHAP 8x8</t>
        </is>
      </c>
      <c r="B1613" s="7" t="inlineStr">
        <is>
          <t>WHAP-1609</t>
        </is>
      </c>
      <c r="C1613" s="7" t="inlineStr">
        <is>
          <t>MOT-1609</t>
        </is>
      </c>
      <c r="D1613" s="7" t="inlineStr">
        <is>
          <t>entretoise de joint de culasse</t>
        </is>
      </c>
      <c r="E1613" s="7" t="inlineStr">
        <is>
          <t>Moteur</t>
        </is>
      </c>
      <c r="F1613" s="7" t="inlineStr">
        <is>
          <t>Moteur</t>
        </is>
      </c>
      <c r="G1613" s="7" t="inlineStr">
        <is>
          <t>PIECE_VEHICULE</t>
        </is>
      </c>
      <c r="H1613" s="7" t="n">
        <v>1</v>
      </c>
      <c r="I1613" s="7">
        <f>H1613*$D$3</f>
        <v/>
      </c>
      <c r="J1613" s="7" t="inlineStr">
        <is>
          <t>unité</t>
        </is>
      </c>
      <c r="K1613" s="7" t="n">
        <v>0</v>
      </c>
      <c r="L1613" s="7">
        <f>K1613-I1613</f>
        <v/>
      </c>
      <c r="M1613" s="7">
        <f>IF(K1613&lt;I1613,"✕ INSUFFISANT",IF(K1613&lt;I1613*1.2,"⚠ STOCK FAIBLE","✓ COUVERT"))</f>
        <v/>
      </c>
      <c r="N1613" s="7" t="inlineStr">
        <is>
          <t>VAL</t>
        </is>
      </c>
      <c r="O1613" s="7" t="inlineStr">
        <is>
          <t>CRITIQUE</t>
        </is>
      </c>
      <c r="P1613" s="7" t="inlineStr">
        <is>
          <t>31/08/2026 02:59</t>
        </is>
      </c>
    </row>
    <row r="1614">
      <c r="A1614" s="8" t="inlineStr">
        <is>
          <t>WHAP 8x8</t>
        </is>
      </c>
      <c r="B1614" s="8" t="inlineStr">
        <is>
          <t>WHAP-1610</t>
        </is>
      </c>
      <c r="C1614" s="8" t="inlineStr">
        <is>
          <t>MOT-1610</t>
        </is>
      </c>
      <c r="D1614" s="8" t="inlineStr">
        <is>
          <t>axe de joint de culasse</t>
        </is>
      </c>
      <c r="E1614" s="8" t="inlineStr">
        <is>
          <t>Moteur</t>
        </is>
      </c>
      <c r="F1614" s="8" t="inlineStr">
        <is>
          <t>Moteur</t>
        </is>
      </c>
      <c r="G1614" s="8" t="inlineStr">
        <is>
          <t>PIECE_VEHICULE</t>
        </is>
      </c>
      <c r="H1614" s="8" t="n">
        <v>1</v>
      </c>
      <c r="I1614" s="8">
        <f>H1614*$D$3</f>
        <v/>
      </c>
      <c r="J1614" s="8" t="inlineStr">
        <is>
          <t>unité</t>
        </is>
      </c>
      <c r="K1614" s="8" t="n">
        <v>0</v>
      </c>
      <c r="L1614" s="8">
        <f>K1614-I1614</f>
        <v/>
      </c>
      <c r="M1614" s="8">
        <f>IF(K1614&lt;I1614,"✕ INSUFFISANT",IF(K1614&lt;I1614*1.2,"⚠ STOCK FAIBLE","✓ COUVERT"))</f>
        <v/>
      </c>
      <c r="N1614" s="8" t="inlineStr">
        <is>
          <t>FAU</t>
        </is>
      </c>
      <c r="O1614" s="8" t="inlineStr">
        <is>
          <t>CRITIQUE</t>
        </is>
      </c>
      <c r="P1614" s="8" t="inlineStr">
        <is>
          <t>31/08/2026 02:59</t>
        </is>
      </c>
    </row>
    <row r="1615">
      <c r="A1615" s="7" t="inlineStr">
        <is>
          <t>WHAP 8x8</t>
        </is>
      </c>
      <c r="B1615" s="7" t="inlineStr">
        <is>
          <t>WHAP-1611</t>
        </is>
      </c>
      <c r="C1615" s="7" t="inlineStr">
        <is>
          <t>MOT-1611</t>
        </is>
      </c>
      <c r="D1615" s="7" t="inlineStr">
        <is>
          <t>poulie de joint de culasse</t>
        </is>
      </c>
      <c r="E1615" s="7" t="inlineStr">
        <is>
          <t>Moteur</t>
        </is>
      </c>
      <c r="F1615" s="7" t="inlineStr">
        <is>
          <t>Moteur</t>
        </is>
      </c>
      <c r="G1615" s="7" t="inlineStr">
        <is>
          <t>PIECE_VEHICULE</t>
        </is>
      </c>
      <c r="H1615" s="7" t="n">
        <v>1</v>
      </c>
      <c r="I1615" s="7">
        <f>H1615*$D$3</f>
        <v/>
      </c>
      <c r="J1615" s="7" t="inlineStr">
        <is>
          <t>unité</t>
        </is>
      </c>
      <c r="K1615" s="7" t="n">
        <v>0</v>
      </c>
      <c r="L1615" s="7">
        <f>K1615-I1615</f>
        <v/>
      </c>
      <c r="M1615" s="7">
        <f>IF(K1615&lt;I1615,"✕ INSUFFISANT",IF(K1615&lt;I1615*1.2,"⚠ STOCK FAIBLE","✓ COUVERT"))</f>
        <v/>
      </c>
      <c r="N1615" s="7" t="inlineStr">
        <is>
          <t>HEL</t>
        </is>
      </c>
      <c r="O1615" s="7" t="inlineStr">
        <is>
          <t>CRITIQUE</t>
        </is>
      </c>
      <c r="P1615" s="7" t="inlineStr">
        <is>
          <t>31/08/2026 02:59</t>
        </is>
      </c>
    </row>
    <row r="1616">
      <c r="A1616" s="8" t="inlineStr">
        <is>
          <t>WHAP 8x8</t>
        </is>
      </c>
      <c r="B1616" s="8" t="inlineStr">
        <is>
          <t>WHAP-1612</t>
        </is>
      </c>
      <c r="C1616" s="8" t="inlineStr">
        <is>
          <t>MOT-1612</t>
        </is>
      </c>
      <c r="D1616" s="8" t="inlineStr">
        <is>
          <t>pignon de joint de culasse</t>
        </is>
      </c>
      <c r="E1616" s="8" t="inlineStr">
        <is>
          <t>Moteur</t>
        </is>
      </c>
      <c r="F1616" s="8" t="inlineStr">
        <is>
          <t>Moteur</t>
        </is>
      </c>
      <c r="G1616" s="8" t="inlineStr">
        <is>
          <t>PIECE_VEHICULE</t>
        </is>
      </c>
      <c r="H1616" s="8" t="n">
        <v>1</v>
      </c>
      <c r="I1616" s="8">
        <f>H1616*$D$3</f>
        <v/>
      </c>
      <c r="J1616" s="8" t="inlineStr">
        <is>
          <t>unité</t>
        </is>
      </c>
      <c r="K1616" s="8" t="n">
        <v>0</v>
      </c>
      <c r="L1616" s="8">
        <f>K1616-I1616</f>
        <v/>
      </c>
      <c r="M1616" s="8">
        <f>IF(K1616&lt;I1616,"✕ INSUFFISANT",IF(K1616&lt;I1616*1.2,"⚠ STOCK FAIBLE","✓ COUVERT"))</f>
        <v/>
      </c>
      <c r="N1616" s="8" t="inlineStr">
        <is>
          <t>SUM</t>
        </is>
      </c>
      <c r="O1616" s="8" t="inlineStr">
        <is>
          <t>CRITIQUE</t>
        </is>
      </c>
      <c r="P1616" s="8" t="inlineStr">
        <is>
          <t>31/08/2026 02:59</t>
        </is>
      </c>
    </row>
    <row r="1617">
      <c r="A1617" s="7" t="inlineStr">
        <is>
          <t>WHAP 8x8</t>
        </is>
      </c>
      <c r="B1617" s="7" t="inlineStr">
        <is>
          <t>WHAP-1613</t>
        </is>
      </c>
      <c r="C1617" s="7" t="inlineStr">
        <is>
          <t>MOT-1613</t>
        </is>
      </c>
      <c r="D1617" s="7" t="inlineStr">
        <is>
          <t>ensemble de cache-culbuteurs</t>
        </is>
      </c>
      <c r="E1617" s="7" t="inlineStr">
        <is>
          <t>Moteur</t>
        </is>
      </c>
      <c r="F1617" s="7" t="inlineStr">
        <is>
          <t>Moteur</t>
        </is>
      </c>
      <c r="G1617" s="7" t="inlineStr">
        <is>
          <t>PIECE_VEHICULE</t>
        </is>
      </c>
      <c r="H1617" s="7" t="n">
        <v>1</v>
      </c>
      <c r="I1617" s="7">
        <f>H1617*$D$3</f>
        <v/>
      </c>
      <c r="J1617" s="7" t="inlineStr">
        <is>
          <t>unité</t>
        </is>
      </c>
      <c r="K1617" s="7" t="n">
        <v>0</v>
      </c>
      <c r="L1617" s="7">
        <f>K1617-I1617</f>
        <v/>
      </c>
      <c r="M1617" s="7">
        <f>IF(K1617&lt;I1617,"✕ INSUFFISANT",IF(K1617&lt;I1617*1.2,"⚠ STOCK FAIBLE","✓ COUVERT"))</f>
        <v/>
      </c>
      <c r="N1617" s="7" t="inlineStr">
        <is>
          <t>FAU</t>
        </is>
      </c>
      <c r="O1617" s="7" t="inlineStr">
        <is>
          <t>CRITIQUE</t>
        </is>
      </c>
      <c r="P1617" s="7" t="inlineStr">
        <is>
          <t>31/08/2026 02:59</t>
        </is>
      </c>
    </row>
    <row r="1618">
      <c r="A1618" s="8" t="inlineStr">
        <is>
          <t>WHAP 8x8</t>
        </is>
      </c>
      <c r="B1618" s="8" t="inlineStr">
        <is>
          <t>WHAP-1614</t>
        </is>
      </c>
      <c r="C1618" s="8" t="inlineStr">
        <is>
          <t>MOT-1614</t>
        </is>
      </c>
      <c r="D1618" s="8" t="inlineStr">
        <is>
          <t>kit de cache-culbuteurs</t>
        </is>
      </c>
      <c r="E1618" s="8" t="inlineStr">
        <is>
          <t>Moteur</t>
        </is>
      </c>
      <c r="F1618" s="8" t="inlineStr">
        <is>
          <t>Moteur</t>
        </is>
      </c>
      <c r="G1618" s="8" t="inlineStr">
        <is>
          <t>PIECE_VEHICULE</t>
        </is>
      </c>
      <c r="H1618" s="8" t="n">
        <v>1</v>
      </c>
      <c r="I1618" s="8">
        <f>H1618*$D$3</f>
        <v/>
      </c>
      <c r="J1618" s="8" t="inlineStr">
        <is>
          <t>unité</t>
        </is>
      </c>
      <c r="K1618" s="8" t="n">
        <v>0</v>
      </c>
      <c r="L1618" s="8">
        <f>K1618-I1618</f>
        <v/>
      </c>
      <c r="M1618" s="8">
        <f>IF(K1618&lt;I1618,"✕ INSUFFISANT",IF(K1618&lt;I1618*1.2,"⚠ STOCK FAIBLE","✓ COUVERT"))</f>
        <v/>
      </c>
      <c r="N1618" s="8" t="inlineStr">
        <is>
          <t>SKF</t>
        </is>
      </c>
      <c r="O1618" s="8" t="inlineStr">
        <is>
          <t>CRITIQUE</t>
        </is>
      </c>
      <c r="P1618" s="8" t="inlineStr">
        <is>
          <t>31/08/2026 02:59</t>
        </is>
      </c>
    </row>
    <row r="1619">
      <c r="A1619" s="7" t="inlineStr">
        <is>
          <t>WHAP 8x8</t>
        </is>
      </c>
      <c r="B1619" s="7" t="inlineStr">
        <is>
          <t>WHAP-1615</t>
        </is>
      </c>
      <c r="C1619" s="7" t="inlineStr">
        <is>
          <t>MOT-1615</t>
        </is>
      </c>
      <c r="D1619" s="7" t="inlineStr">
        <is>
          <t>support de cache-culbuteurs</t>
        </is>
      </c>
      <c r="E1619" s="7" t="inlineStr">
        <is>
          <t>Moteur</t>
        </is>
      </c>
      <c r="F1619" s="7" t="inlineStr">
        <is>
          <t>Moteur</t>
        </is>
      </c>
      <c r="G1619" s="7" t="inlineStr">
        <is>
          <t>PIECE_VEHICULE</t>
        </is>
      </c>
      <c r="H1619" s="7" t="n">
        <v>1</v>
      </c>
      <c r="I1619" s="7">
        <f>H1619*$D$3</f>
        <v/>
      </c>
      <c r="J1619" s="7" t="inlineStr">
        <is>
          <t>unité</t>
        </is>
      </c>
      <c r="K1619" s="7" t="n">
        <v>0</v>
      </c>
      <c r="L1619" s="7">
        <f>K1619-I1619</f>
        <v/>
      </c>
      <c r="M1619" s="7">
        <f>IF(K1619&lt;I1619,"✕ INSUFFISANT",IF(K1619&lt;I1619*1.2,"⚠ STOCK FAIBLE","✓ COUVERT"))</f>
        <v/>
      </c>
      <c r="N1619" s="7" t="inlineStr">
        <is>
          <t>FAU</t>
        </is>
      </c>
      <c r="O1619" s="7" t="inlineStr">
        <is>
          <t>CRITIQUE</t>
        </is>
      </c>
      <c r="P1619" s="7" t="inlineStr">
        <is>
          <t>31/08/2026 02:59</t>
        </is>
      </c>
    </row>
    <row r="1620">
      <c r="A1620" s="8" t="inlineStr">
        <is>
          <t>WHAP 8x8</t>
        </is>
      </c>
      <c r="B1620" s="8" t="inlineStr">
        <is>
          <t>WHAP-1616</t>
        </is>
      </c>
      <c r="C1620" s="8" t="inlineStr">
        <is>
          <t>MOT-1616</t>
        </is>
      </c>
      <c r="D1620" s="8" t="inlineStr">
        <is>
          <t>boîtier de cache-culbuteurs</t>
        </is>
      </c>
      <c r="E1620" s="8" t="inlineStr">
        <is>
          <t>Moteur</t>
        </is>
      </c>
      <c r="F1620" s="8" t="inlineStr">
        <is>
          <t>Moteur</t>
        </is>
      </c>
      <c r="G1620" s="8" t="inlineStr">
        <is>
          <t>PIECE_VEHICULE</t>
        </is>
      </c>
      <c r="H1620" s="8" t="n">
        <v>1</v>
      </c>
      <c r="I1620" s="8">
        <f>H1620*$D$3</f>
        <v/>
      </c>
      <c r="J1620" s="8" t="inlineStr">
        <is>
          <t>unité</t>
        </is>
      </c>
      <c r="K1620" s="8" t="n">
        <v>0</v>
      </c>
      <c r="L1620" s="8">
        <f>K1620-I1620</f>
        <v/>
      </c>
      <c r="M1620" s="8">
        <f>IF(K1620&lt;I1620,"✕ INSUFFISANT",IF(K1620&lt;I1620*1.2,"⚠ STOCK FAIBLE","✓ COUVERT"))</f>
        <v/>
      </c>
      <c r="N1620" s="8" t="inlineStr">
        <is>
          <t>YZK</t>
        </is>
      </c>
      <c r="O1620" s="8" t="inlineStr">
        <is>
          <t>CRITIQUE</t>
        </is>
      </c>
      <c r="P1620" s="8" t="inlineStr">
        <is>
          <t>31/08/2026 02:59</t>
        </is>
      </c>
    </row>
    <row r="1621">
      <c r="A1621" s="7" t="inlineStr">
        <is>
          <t>WHAP 8x8</t>
        </is>
      </c>
      <c r="B1621" s="7" t="inlineStr">
        <is>
          <t>WHAP-1617</t>
        </is>
      </c>
      <c r="C1621" s="7" t="inlineStr">
        <is>
          <t>MOT-1617</t>
        </is>
      </c>
      <c r="D1621" s="7" t="inlineStr">
        <is>
          <t>module de cache-culbuteurs</t>
        </is>
      </c>
      <c r="E1621" s="7" t="inlineStr">
        <is>
          <t>Moteur</t>
        </is>
      </c>
      <c r="F1621" s="7" t="inlineStr">
        <is>
          <t>Moteur</t>
        </is>
      </c>
      <c r="G1621" s="7" t="inlineStr">
        <is>
          <t>PIECE_VEHICULE</t>
        </is>
      </c>
      <c r="H1621" s="7" t="n">
        <v>1</v>
      </c>
      <c r="I1621" s="7">
        <f>H1621*$D$3</f>
        <v/>
      </c>
      <c r="J1621" s="7" t="inlineStr">
        <is>
          <t>unité</t>
        </is>
      </c>
      <c r="K1621" s="7" t="n">
        <v>0</v>
      </c>
      <c r="L1621" s="7">
        <f>K1621-I1621</f>
        <v/>
      </c>
      <c r="M1621" s="7">
        <f>IF(K1621&lt;I1621,"✕ INSUFFISANT",IF(K1621&lt;I1621*1.2,"⚠ STOCK FAIBLE","✓ COUVERT"))</f>
        <v/>
      </c>
      <c r="N1621" s="7" t="inlineStr">
        <is>
          <t>FAU</t>
        </is>
      </c>
      <c r="O1621" s="7" t="inlineStr">
        <is>
          <t>CRITIQUE</t>
        </is>
      </c>
      <c r="P1621" s="7" t="inlineStr">
        <is>
          <t>31/08/2026 02:59</t>
        </is>
      </c>
    </row>
    <row r="1622">
      <c r="A1622" s="8" t="inlineStr">
        <is>
          <t>WHAP 8x8</t>
        </is>
      </c>
      <c r="B1622" s="8" t="inlineStr">
        <is>
          <t>WHAP-1618</t>
        </is>
      </c>
      <c r="C1622" s="8" t="inlineStr">
        <is>
          <t>MOT-1618</t>
        </is>
      </c>
      <c r="D1622" s="8" t="inlineStr">
        <is>
          <t>câblage de cache-culbuteurs</t>
        </is>
      </c>
      <c r="E1622" s="8" t="inlineStr">
        <is>
          <t>Moteur</t>
        </is>
      </c>
      <c r="F1622" s="8" t="inlineStr">
        <is>
          <t>Moteur</t>
        </is>
      </c>
      <c r="G1622" s="8" t="inlineStr">
        <is>
          <t>PIECE_VEHICULE</t>
        </is>
      </c>
      <c r="H1622" s="8" t="n">
        <v>1</v>
      </c>
      <c r="I1622" s="8">
        <f>H1622*$D$3</f>
        <v/>
      </c>
      <c r="J1622" s="8" t="inlineStr">
        <is>
          <t>unité</t>
        </is>
      </c>
      <c r="K1622" s="8" t="n">
        <v>0</v>
      </c>
      <c r="L1622" s="8">
        <f>K1622-I1622</f>
        <v/>
      </c>
      <c r="M1622" s="8">
        <f>IF(K1622&lt;I1622,"✕ INSUFFISANT",IF(K1622&lt;I1622*1.2,"⚠ STOCK FAIBLE","✓ COUVERT"))</f>
        <v/>
      </c>
      <c r="N1622" s="8" t="inlineStr">
        <is>
          <t>VAL</t>
        </is>
      </c>
      <c r="O1622" s="8" t="inlineStr">
        <is>
          <t>CRITIQUE</t>
        </is>
      </c>
      <c r="P1622" s="8" t="inlineStr">
        <is>
          <t>31/08/2026 02:59</t>
        </is>
      </c>
    </row>
    <row r="1623">
      <c r="A1623" s="7" t="inlineStr">
        <is>
          <t>WHAP 8x8</t>
        </is>
      </c>
      <c r="B1623" s="7" t="inlineStr">
        <is>
          <t>WHAP-1619</t>
        </is>
      </c>
      <c r="C1623" s="7" t="inlineStr">
        <is>
          <t>MOT-1619</t>
        </is>
      </c>
      <c r="D1623" s="7" t="inlineStr">
        <is>
          <t>connecteur de cache-culbuteurs</t>
        </is>
      </c>
      <c r="E1623" s="7" t="inlineStr">
        <is>
          <t>Moteur</t>
        </is>
      </c>
      <c r="F1623" s="7" t="inlineStr">
        <is>
          <t>Moteur</t>
        </is>
      </c>
      <c r="G1623" s="7" t="inlineStr">
        <is>
          <t>PIECE_VEHICULE</t>
        </is>
      </c>
      <c r="H1623" s="7" t="n">
        <v>1</v>
      </c>
      <c r="I1623" s="7">
        <f>H1623*$D$3</f>
        <v/>
      </c>
      <c r="J1623" s="7" t="inlineStr">
        <is>
          <t>unité</t>
        </is>
      </c>
      <c r="K1623" s="7" t="n">
        <v>0</v>
      </c>
      <c r="L1623" s="7">
        <f>K1623-I1623</f>
        <v/>
      </c>
      <c r="M1623" s="7">
        <f>IF(K1623&lt;I1623,"✕ INSUFFISANT",IF(K1623&lt;I1623*1.2,"⚠ STOCK FAIBLE","✓ COUVERT"))</f>
        <v/>
      </c>
      <c r="N1623" s="7" t="inlineStr">
        <is>
          <t>FAU</t>
        </is>
      </c>
      <c r="O1623" s="7" t="inlineStr">
        <is>
          <t>CRITIQUE</t>
        </is>
      </c>
      <c r="P1623" s="7" t="inlineStr">
        <is>
          <t>31/08/2026 02:59</t>
        </is>
      </c>
    </row>
    <row r="1624">
      <c r="A1624" s="8" t="inlineStr">
        <is>
          <t>WHAP 8x8</t>
        </is>
      </c>
      <c r="B1624" s="8" t="inlineStr">
        <is>
          <t>WHAP-1620</t>
        </is>
      </c>
      <c r="C1624" s="8" t="inlineStr">
        <is>
          <t>MOT-1620</t>
        </is>
      </c>
      <c r="D1624" s="8" t="inlineStr">
        <is>
          <t>joint de cache-culbuteurs</t>
        </is>
      </c>
      <c r="E1624" s="8" t="inlineStr">
        <is>
          <t>Moteur</t>
        </is>
      </c>
      <c r="F1624" s="8" t="inlineStr">
        <is>
          <t>Moteur</t>
        </is>
      </c>
      <c r="G1624" s="8" t="inlineStr">
        <is>
          <t>PIECE_VEHICULE</t>
        </is>
      </c>
      <c r="H1624" s="8" t="n">
        <v>1</v>
      </c>
      <c r="I1624" s="8">
        <f>H1624*$D$3</f>
        <v/>
      </c>
      <c r="J1624" s="8" t="inlineStr">
        <is>
          <t>unité</t>
        </is>
      </c>
      <c r="K1624" s="8" t="n">
        <v>0</v>
      </c>
      <c r="L1624" s="8">
        <f>K1624-I1624</f>
        <v/>
      </c>
      <c r="M1624" s="8">
        <f>IF(K1624&lt;I1624,"✕ INSUFFISANT",IF(K1624&lt;I1624*1.2,"⚠ STOCK FAIBLE","✓ COUVERT"))</f>
        <v/>
      </c>
      <c r="N1624" s="8" t="inlineStr">
        <is>
          <t>FAU</t>
        </is>
      </c>
      <c r="O1624" s="8" t="inlineStr">
        <is>
          <t>CRITIQUE</t>
        </is>
      </c>
      <c r="P1624" s="8" t="inlineStr">
        <is>
          <t>31/08/2026 02:59</t>
        </is>
      </c>
    </row>
    <row r="1625">
      <c r="A1625" s="7" t="inlineStr">
        <is>
          <t>WHAP 8x8</t>
        </is>
      </c>
      <c r="B1625" s="7" t="inlineStr">
        <is>
          <t>WHAP-1621</t>
        </is>
      </c>
      <c r="C1625" s="7" t="inlineStr">
        <is>
          <t>MOT-1621</t>
        </is>
      </c>
      <c r="D1625" s="7" t="inlineStr">
        <is>
          <t>fixation de cache-culbuteurs</t>
        </is>
      </c>
      <c r="E1625" s="7" t="inlineStr">
        <is>
          <t>Moteur</t>
        </is>
      </c>
      <c r="F1625" s="7" t="inlineStr">
        <is>
          <t>Moteur</t>
        </is>
      </c>
      <c r="G1625" s="7" t="inlineStr">
        <is>
          <t>PIECE_VEHICULE</t>
        </is>
      </c>
      <c r="H1625" s="7" t="n">
        <v>1</v>
      </c>
      <c r="I1625" s="7">
        <f>H1625*$D$3</f>
        <v/>
      </c>
      <c r="J1625" s="7" t="inlineStr">
        <is>
          <t>unité</t>
        </is>
      </c>
      <c r="K1625" s="7" t="n">
        <v>0</v>
      </c>
      <c r="L1625" s="7">
        <f>K1625-I1625</f>
        <v/>
      </c>
      <c r="M1625" s="7">
        <f>IF(K1625&lt;I1625,"✕ INSUFFISANT",IF(K1625&lt;I1625*1.2,"⚠ STOCK FAIBLE","✓ COUVERT"))</f>
        <v/>
      </c>
      <c r="N1625" s="7" t="inlineStr">
        <is>
          <t>MAG</t>
        </is>
      </c>
      <c r="O1625" s="7" t="inlineStr">
        <is>
          <t>CRITIQUE</t>
        </is>
      </c>
      <c r="P1625" s="7" t="inlineStr">
        <is>
          <t>31/08/2026 02:59</t>
        </is>
      </c>
    </row>
    <row r="1626">
      <c r="A1626" s="8" t="inlineStr">
        <is>
          <t>WHAP 8x8</t>
        </is>
      </c>
      <c r="B1626" s="8" t="inlineStr">
        <is>
          <t>WHAP-1622</t>
        </is>
      </c>
      <c r="C1626" s="8" t="inlineStr">
        <is>
          <t>MOT-1622</t>
        </is>
      </c>
      <c r="D1626" s="8" t="inlineStr">
        <is>
          <t>protection de cache-culbuteurs</t>
        </is>
      </c>
      <c r="E1626" s="8" t="inlineStr">
        <is>
          <t>Moteur</t>
        </is>
      </c>
      <c r="F1626" s="8" t="inlineStr">
        <is>
          <t>Moteur</t>
        </is>
      </c>
      <c r="G1626" s="8" t="inlineStr">
        <is>
          <t>PIECE_VEHICULE</t>
        </is>
      </c>
      <c r="H1626" s="8" t="n">
        <v>1</v>
      </c>
      <c r="I1626" s="8">
        <f>H1626*$D$3</f>
        <v/>
      </c>
      <c r="J1626" s="8" t="inlineStr">
        <is>
          <t>unité</t>
        </is>
      </c>
      <c r="K1626" s="8" t="n">
        <v>0</v>
      </c>
      <c r="L1626" s="8">
        <f>K1626-I1626</f>
        <v/>
      </c>
      <c r="M1626" s="8">
        <f>IF(K1626&lt;I1626,"✕ INSUFFISANT",IF(K1626&lt;I1626*1.2,"⚠ STOCK FAIBLE","✓ COUVERT"))</f>
        <v/>
      </c>
      <c r="N1626" s="8" t="inlineStr">
        <is>
          <t>FAU</t>
        </is>
      </c>
      <c r="O1626" s="8" t="inlineStr">
        <is>
          <t>CRITIQUE</t>
        </is>
      </c>
      <c r="P1626" s="8" t="inlineStr">
        <is>
          <t>31/08/2026 02:59</t>
        </is>
      </c>
    </row>
    <row r="1627">
      <c r="A1627" s="7" t="inlineStr">
        <is>
          <t>WHAP 8x8</t>
        </is>
      </c>
      <c r="B1627" s="7" t="inlineStr">
        <is>
          <t>WHAP-1623</t>
        </is>
      </c>
      <c r="C1627" s="7" t="inlineStr">
        <is>
          <t>MOT-1623</t>
        </is>
      </c>
      <c r="D1627" s="7" t="inlineStr">
        <is>
          <t>capteur de cache-culbuteurs</t>
        </is>
      </c>
      <c r="E1627" s="7" t="inlineStr">
        <is>
          <t>Moteur</t>
        </is>
      </c>
      <c r="F1627" s="7" t="inlineStr">
        <is>
          <t>Moteur</t>
        </is>
      </c>
      <c r="G1627" s="7" t="inlineStr">
        <is>
          <t>PIECE_VEHICULE</t>
        </is>
      </c>
      <c r="H1627" s="7" t="n">
        <v>1</v>
      </c>
      <c r="I1627" s="7">
        <f>H1627*$D$3</f>
        <v/>
      </c>
      <c r="J1627" s="7" t="inlineStr">
        <is>
          <t>unité</t>
        </is>
      </c>
      <c r="K1627" s="7" t="n">
        <v>0</v>
      </c>
      <c r="L1627" s="7">
        <f>K1627-I1627</f>
        <v/>
      </c>
      <c r="M1627" s="7">
        <f>IF(K1627&lt;I1627,"✕ INSUFFISANT",IF(K1627&lt;I1627*1.2,"⚠ STOCK FAIBLE","✓ COUVERT"))</f>
        <v/>
      </c>
      <c r="N1627" s="7" t="inlineStr">
        <is>
          <t>SUM</t>
        </is>
      </c>
      <c r="O1627" s="7" t="inlineStr">
        <is>
          <t>CRITIQUE</t>
        </is>
      </c>
      <c r="P1627" s="7" t="inlineStr">
        <is>
          <t>31/08/2026 02:59</t>
        </is>
      </c>
    </row>
    <row r="1628">
      <c r="A1628" s="8" t="inlineStr">
        <is>
          <t>WHAP 8x8</t>
        </is>
      </c>
      <c r="B1628" s="8" t="inlineStr">
        <is>
          <t>WHAP-1624</t>
        </is>
      </c>
      <c r="C1628" s="8" t="inlineStr">
        <is>
          <t>MOT-1624</t>
        </is>
      </c>
      <c r="D1628" s="8" t="inlineStr">
        <is>
          <t>actionneur de cache-culbuteurs</t>
        </is>
      </c>
      <c r="E1628" s="8" t="inlineStr">
        <is>
          <t>Moteur</t>
        </is>
      </c>
      <c r="F1628" s="8" t="inlineStr">
        <is>
          <t>Moteur</t>
        </is>
      </c>
      <c r="G1628" s="8" t="inlineStr">
        <is>
          <t>PIECE_VEHICULE</t>
        </is>
      </c>
      <c r="H1628" s="8" t="n">
        <v>1</v>
      </c>
      <c r="I1628" s="8">
        <f>H1628*$D$3</f>
        <v/>
      </c>
      <c r="J1628" s="8" t="inlineStr">
        <is>
          <t>unité</t>
        </is>
      </c>
      <c r="K1628" s="8" t="n">
        <v>0</v>
      </c>
      <c r="L1628" s="8">
        <f>K1628-I1628</f>
        <v/>
      </c>
      <c r="M1628" s="8">
        <f>IF(K1628&lt;I1628,"✕ INSUFFISANT",IF(K1628&lt;I1628*1.2,"⚠ STOCK FAIBLE","✓ COUVERT"))</f>
        <v/>
      </c>
      <c r="N1628" s="8" t="inlineStr">
        <is>
          <t>SKF</t>
        </is>
      </c>
      <c r="O1628" s="8" t="inlineStr">
        <is>
          <t>CRITIQUE</t>
        </is>
      </c>
      <c r="P1628" s="8" t="inlineStr">
        <is>
          <t>31/08/2026 02:59</t>
        </is>
      </c>
    </row>
    <row r="1629">
      <c r="A1629" s="7" t="inlineStr">
        <is>
          <t>WHAP 8x8</t>
        </is>
      </c>
      <c r="B1629" s="7" t="inlineStr">
        <is>
          <t>WHAP-1625</t>
        </is>
      </c>
      <c r="C1629" s="7" t="inlineStr">
        <is>
          <t>MOT-1625</t>
        </is>
      </c>
      <c r="D1629" s="7" t="inlineStr">
        <is>
          <t>raccord de cache-culbuteurs</t>
        </is>
      </c>
      <c r="E1629" s="7" t="inlineStr">
        <is>
          <t>Moteur</t>
        </is>
      </c>
      <c r="F1629" s="7" t="inlineStr">
        <is>
          <t>Moteur</t>
        </is>
      </c>
      <c r="G1629" s="7" t="inlineStr">
        <is>
          <t>PIECE_VEHICULE</t>
        </is>
      </c>
      <c r="H1629" s="7" t="n">
        <v>1</v>
      </c>
      <c r="I1629" s="7">
        <f>H1629*$D$3</f>
        <v/>
      </c>
      <c r="J1629" s="7" t="inlineStr">
        <is>
          <t>unité</t>
        </is>
      </c>
      <c r="K1629" s="7" t="n">
        <v>0</v>
      </c>
      <c r="L1629" s="7">
        <f>K1629-I1629</f>
        <v/>
      </c>
      <c r="M1629" s="7">
        <f>IF(K1629&lt;I1629,"✕ INSUFFISANT",IF(K1629&lt;I1629*1.2,"⚠ STOCK FAIBLE","✓ COUVERT"))</f>
        <v/>
      </c>
      <c r="N1629" s="7" t="inlineStr">
        <is>
          <t>HEL</t>
        </is>
      </c>
      <c r="O1629" s="7" t="inlineStr">
        <is>
          <t>CRITIQUE</t>
        </is>
      </c>
      <c r="P1629" s="7" t="inlineStr">
        <is>
          <t>31/08/2026 02:59</t>
        </is>
      </c>
    </row>
    <row r="1630">
      <c r="A1630" s="8" t="inlineStr">
        <is>
          <t>WHAP 8x8</t>
        </is>
      </c>
      <c r="B1630" s="8" t="inlineStr">
        <is>
          <t>WHAP-1626</t>
        </is>
      </c>
      <c r="C1630" s="8" t="inlineStr">
        <is>
          <t>MOT-1626</t>
        </is>
      </c>
      <c r="D1630" s="8" t="inlineStr">
        <is>
          <t>plaque de cache-culbuteurs</t>
        </is>
      </c>
      <c r="E1630" s="8" t="inlineStr">
        <is>
          <t>Moteur</t>
        </is>
      </c>
      <c r="F1630" s="8" t="inlineStr">
        <is>
          <t>Moteur</t>
        </is>
      </c>
      <c r="G1630" s="8" t="inlineStr">
        <is>
          <t>PIECE_VEHICULE</t>
        </is>
      </c>
      <c r="H1630" s="8" t="n">
        <v>1</v>
      </c>
      <c r="I1630" s="8">
        <f>H1630*$D$3</f>
        <v/>
      </c>
      <c r="J1630" s="8" t="inlineStr">
        <is>
          <t>unité</t>
        </is>
      </c>
      <c r="K1630" s="8" t="n">
        <v>0</v>
      </c>
      <c r="L1630" s="8">
        <f>K1630-I1630</f>
        <v/>
      </c>
      <c r="M1630" s="8">
        <f>IF(K1630&lt;I1630,"✕ INSUFFISANT",IF(K1630&lt;I1630*1.2,"⚠ STOCK FAIBLE","✓ COUVERT"))</f>
        <v/>
      </c>
      <c r="N1630" s="8" t="inlineStr">
        <is>
          <t>FAU</t>
        </is>
      </c>
      <c r="O1630" s="8" t="inlineStr">
        <is>
          <t>CRITIQUE</t>
        </is>
      </c>
      <c r="P1630" s="8" t="inlineStr">
        <is>
          <t>31/08/2026 02:59</t>
        </is>
      </c>
    </row>
    <row r="1631">
      <c r="A1631" s="7" t="inlineStr">
        <is>
          <t>WHAP 8x8</t>
        </is>
      </c>
      <c r="B1631" s="7" t="inlineStr">
        <is>
          <t>WHAP-1627</t>
        </is>
      </c>
      <c r="C1631" s="7" t="inlineStr">
        <is>
          <t>MOT-1627</t>
        </is>
      </c>
      <c r="D1631" s="7" t="inlineStr">
        <is>
          <t>couvercle de cache-culbuteurs</t>
        </is>
      </c>
      <c r="E1631" s="7" t="inlineStr">
        <is>
          <t>Moteur</t>
        </is>
      </c>
      <c r="F1631" s="7" t="inlineStr">
        <is>
          <t>Moteur</t>
        </is>
      </c>
      <c r="G1631" s="7" t="inlineStr">
        <is>
          <t>PIECE_VEHICULE</t>
        </is>
      </c>
      <c r="H1631" s="7" t="n">
        <v>1</v>
      </c>
      <c r="I1631" s="7">
        <f>H1631*$D$3</f>
        <v/>
      </c>
      <c r="J1631" s="7" t="inlineStr">
        <is>
          <t>unité</t>
        </is>
      </c>
      <c r="K1631" s="7" t="n">
        <v>0</v>
      </c>
      <c r="L1631" s="7">
        <f>K1631-I1631</f>
        <v/>
      </c>
      <c r="M1631" s="7">
        <f>IF(K1631&lt;I1631,"✕ INSUFFISANT",IF(K1631&lt;I1631*1.2,"⚠ STOCK FAIBLE","✓ COUVERT"))</f>
        <v/>
      </c>
      <c r="N1631" s="7" t="inlineStr">
        <is>
          <t>DEL</t>
        </is>
      </c>
      <c r="O1631" s="7" t="inlineStr">
        <is>
          <t>CRITIQUE</t>
        </is>
      </c>
      <c r="P1631" s="7" t="inlineStr">
        <is>
          <t>31/08/2026 02:59</t>
        </is>
      </c>
    </row>
    <row r="1632">
      <c r="A1632" s="8" t="inlineStr">
        <is>
          <t>WHAP 8x8</t>
        </is>
      </c>
      <c r="B1632" s="8" t="inlineStr">
        <is>
          <t>WHAP-1628</t>
        </is>
      </c>
      <c r="C1632" s="8" t="inlineStr">
        <is>
          <t>MOT-1628</t>
        </is>
      </c>
      <c r="D1632" s="8" t="inlineStr">
        <is>
          <t>bague de cache-culbuteurs</t>
        </is>
      </c>
      <c r="E1632" s="8" t="inlineStr">
        <is>
          <t>Moteur</t>
        </is>
      </c>
      <c r="F1632" s="8" t="inlineStr">
        <is>
          <t>Moteur</t>
        </is>
      </c>
      <c r="G1632" s="8" t="inlineStr">
        <is>
          <t>PIECE_VEHICULE</t>
        </is>
      </c>
      <c r="H1632" s="8" t="n">
        <v>1</v>
      </c>
      <c r="I1632" s="8">
        <f>H1632*$D$3</f>
        <v/>
      </c>
      <c r="J1632" s="8" t="inlineStr">
        <is>
          <t>unité</t>
        </is>
      </c>
      <c r="K1632" s="8" t="n">
        <v>0</v>
      </c>
      <c r="L1632" s="8">
        <f>K1632-I1632</f>
        <v/>
      </c>
      <c r="M1632" s="8">
        <f>IF(K1632&lt;I1632,"✕ INSUFFISANT",IF(K1632&lt;I1632*1.2,"⚠ STOCK FAIBLE","✓ COUVERT"))</f>
        <v/>
      </c>
      <c r="N1632" s="8" t="inlineStr">
        <is>
          <t>HEL</t>
        </is>
      </c>
      <c r="O1632" s="8" t="inlineStr">
        <is>
          <t>CRITIQUE</t>
        </is>
      </c>
      <c r="P1632" s="8" t="inlineStr">
        <is>
          <t>31/08/2026 02:59</t>
        </is>
      </c>
    </row>
    <row r="1633">
      <c r="A1633" s="7" t="inlineStr">
        <is>
          <t>WHAP 8x8</t>
        </is>
      </c>
      <c r="B1633" s="7" t="inlineStr">
        <is>
          <t>WHAP-1629</t>
        </is>
      </c>
      <c r="C1633" s="7" t="inlineStr">
        <is>
          <t>MOT-1629</t>
        </is>
      </c>
      <c r="D1633" s="7" t="inlineStr">
        <is>
          <t>entretoise de cache-culbuteurs</t>
        </is>
      </c>
      <c r="E1633" s="7" t="inlineStr">
        <is>
          <t>Moteur</t>
        </is>
      </c>
      <c r="F1633" s="7" t="inlineStr">
        <is>
          <t>Moteur</t>
        </is>
      </c>
      <c r="G1633" s="7" t="inlineStr">
        <is>
          <t>PIECE_VEHICULE</t>
        </is>
      </c>
      <c r="H1633" s="7" t="n">
        <v>1</v>
      </c>
      <c r="I1633" s="7">
        <f>H1633*$D$3</f>
        <v/>
      </c>
      <c r="J1633" s="7" t="inlineStr">
        <is>
          <t>unité</t>
        </is>
      </c>
      <c r="K1633" s="7" t="n">
        <v>0</v>
      </c>
      <c r="L1633" s="7">
        <f>K1633-I1633</f>
        <v/>
      </c>
      <c r="M1633" s="7">
        <f>IF(K1633&lt;I1633,"✕ INSUFFISANT",IF(K1633&lt;I1633*1.2,"⚠ STOCK FAIBLE","✓ COUVERT"))</f>
        <v/>
      </c>
      <c r="N1633" s="7" t="inlineStr">
        <is>
          <t>BOS</t>
        </is>
      </c>
      <c r="O1633" s="7" t="inlineStr">
        <is>
          <t>CRITIQUE</t>
        </is>
      </c>
      <c r="P1633" s="7" t="inlineStr">
        <is>
          <t>31/08/2026 02:59</t>
        </is>
      </c>
    </row>
    <row r="1634">
      <c r="A1634" s="8" t="inlineStr">
        <is>
          <t>WHAP 8x8</t>
        </is>
      </c>
      <c r="B1634" s="8" t="inlineStr">
        <is>
          <t>WHAP-1630</t>
        </is>
      </c>
      <c r="C1634" s="8" t="inlineStr">
        <is>
          <t>MOT-1630</t>
        </is>
      </c>
      <c r="D1634" s="8" t="inlineStr">
        <is>
          <t>axe de cache-culbuteurs</t>
        </is>
      </c>
      <c r="E1634" s="8" t="inlineStr">
        <is>
          <t>Moteur</t>
        </is>
      </c>
      <c r="F1634" s="8" t="inlineStr">
        <is>
          <t>Moteur</t>
        </is>
      </c>
      <c r="G1634" s="8" t="inlineStr">
        <is>
          <t>PIECE_VEHICULE</t>
        </is>
      </c>
      <c r="H1634" s="8" t="n">
        <v>1</v>
      </c>
      <c r="I1634" s="8">
        <f>H1634*$D$3</f>
        <v/>
      </c>
      <c r="J1634" s="8" t="inlineStr">
        <is>
          <t>unité</t>
        </is>
      </c>
      <c r="K1634" s="8" t="n">
        <v>0</v>
      </c>
      <c r="L1634" s="8">
        <f>K1634-I1634</f>
        <v/>
      </c>
      <c r="M1634" s="8">
        <f>IF(K1634&lt;I1634,"✕ INSUFFISANT",IF(K1634&lt;I1634*1.2,"⚠ STOCK FAIBLE","✓ COUVERT"))</f>
        <v/>
      </c>
      <c r="N1634" s="8" t="inlineStr">
        <is>
          <t>DEL</t>
        </is>
      </c>
      <c r="O1634" s="8" t="inlineStr">
        <is>
          <t>CRITIQUE</t>
        </is>
      </c>
      <c r="P1634" s="8" t="inlineStr">
        <is>
          <t>31/08/2026 02:59</t>
        </is>
      </c>
    </row>
    <row r="1635">
      <c r="A1635" s="7" t="inlineStr">
        <is>
          <t>WHAP 8x8</t>
        </is>
      </c>
      <c r="B1635" s="7" t="inlineStr">
        <is>
          <t>WHAP-1631</t>
        </is>
      </c>
      <c r="C1635" s="7" t="inlineStr">
        <is>
          <t>MOT-1631</t>
        </is>
      </c>
      <c r="D1635" s="7" t="inlineStr">
        <is>
          <t>poulie de cache-culbuteurs</t>
        </is>
      </c>
      <c r="E1635" s="7" t="inlineStr">
        <is>
          <t>Moteur</t>
        </is>
      </c>
      <c r="F1635" s="7" t="inlineStr">
        <is>
          <t>Moteur</t>
        </is>
      </c>
      <c r="G1635" s="7" t="inlineStr">
        <is>
          <t>PIECE_VEHICULE</t>
        </is>
      </c>
      <c r="H1635" s="7" t="n">
        <v>1</v>
      </c>
      <c r="I1635" s="7">
        <f>H1635*$D$3</f>
        <v/>
      </c>
      <c r="J1635" s="7" t="inlineStr">
        <is>
          <t>unité</t>
        </is>
      </c>
      <c r="K1635" s="7" t="n">
        <v>0</v>
      </c>
      <c r="L1635" s="7">
        <f>K1635-I1635</f>
        <v/>
      </c>
      <c r="M1635" s="7">
        <f>IF(K1635&lt;I1635,"✕ INSUFFISANT",IF(K1635&lt;I1635*1.2,"⚠ STOCK FAIBLE","✓ COUVERT"))</f>
        <v/>
      </c>
      <c r="N1635" s="7" t="inlineStr">
        <is>
          <t>CTL</t>
        </is>
      </c>
      <c r="O1635" s="7" t="inlineStr">
        <is>
          <t>CRITIQUE</t>
        </is>
      </c>
      <c r="P1635" s="7" t="inlineStr">
        <is>
          <t>31/08/2026 02:59</t>
        </is>
      </c>
    </row>
    <row r="1636">
      <c r="A1636" s="8" t="inlineStr">
        <is>
          <t>WHAP 8x8</t>
        </is>
      </c>
      <c r="B1636" s="8" t="inlineStr">
        <is>
          <t>WHAP-1632</t>
        </is>
      </c>
      <c r="C1636" s="8" t="inlineStr">
        <is>
          <t>MOT-1632</t>
        </is>
      </c>
      <c r="D1636" s="8" t="inlineStr">
        <is>
          <t>pignon de cache-culbuteurs</t>
        </is>
      </c>
      <c r="E1636" s="8" t="inlineStr">
        <is>
          <t>Moteur</t>
        </is>
      </c>
      <c r="F1636" s="8" t="inlineStr">
        <is>
          <t>Moteur</t>
        </is>
      </c>
      <c r="G1636" s="8" t="inlineStr">
        <is>
          <t>PIECE_VEHICULE</t>
        </is>
      </c>
      <c r="H1636" s="8" t="n">
        <v>1</v>
      </c>
      <c r="I1636" s="8">
        <f>H1636*$D$3</f>
        <v/>
      </c>
      <c r="J1636" s="8" t="inlineStr">
        <is>
          <t>unité</t>
        </is>
      </c>
      <c r="K1636" s="8" t="n">
        <v>0</v>
      </c>
      <c r="L1636" s="8">
        <f>K1636-I1636</f>
        <v/>
      </c>
      <c r="M1636" s="8">
        <f>IF(K1636&lt;I1636,"✕ INSUFFISANT",IF(K1636&lt;I1636*1.2,"⚠ STOCK FAIBLE","✓ COUVERT"))</f>
        <v/>
      </c>
      <c r="N1636" s="8" t="inlineStr">
        <is>
          <t>HEL</t>
        </is>
      </c>
      <c r="O1636" s="8" t="inlineStr">
        <is>
          <t>CRITIQUE</t>
        </is>
      </c>
      <c r="P1636" s="8" t="inlineStr">
        <is>
          <t>31/08/2026 02:59</t>
        </is>
      </c>
    </row>
    <row r="1637">
      <c r="A1637" s="7" t="inlineStr">
        <is>
          <t>WHAP 8x8</t>
        </is>
      </c>
      <c r="B1637" s="7" t="inlineStr">
        <is>
          <t>WHAP-1633</t>
        </is>
      </c>
      <c r="C1637" s="7" t="inlineStr">
        <is>
          <t>MOT-1633</t>
        </is>
      </c>
      <c r="D1637" s="7" t="inlineStr">
        <is>
          <t>ensemble de couvre-culasse</t>
        </is>
      </c>
      <c r="E1637" s="7" t="inlineStr">
        <is>
          <t>Moteur</t>
        </is>
      </c>
      <c r="F1637" s="7" t="inlineStr">
        <is>
          <t>Moteur</t>
        </is>
      </c>
      <c r="G1637" s="7" t="inlineStr">
        <is>
          <t>PIECE_VEHICULE</t>
        </is>
      </c>
      <c r="H1637" s="7" t="n">
        <v>1</v>
      </c>
      <c r="I1637" s="7">
        <f>H1637*$D$3</f>
        <v/>
      </c>
      <c r="J1637" s="7" t="inlineStr">
        <is>
          <t>unité</t>
        </is>
      </c>
      <c r="K1637" s="7" t="n">
        <v>0</v>
      </c>
      <c r="L1637" s="7">
        <f>K1637-I1637</f>
        <v/>
      </c>
      <c r="M1637" s="7">
        <f>IF(K1637&lt;I1637,"✕ INSUFFISANT",IF(K1637&lt;I1637*1.2,"⚠ STOCK FAIBLE","✓ COUVERT"))</f>
        <v/>
      </c>
      <c r="N1637" s="7" t="inlineStr">
        <is>
          <t>SKF</t>
        </is>
      </c>
      <c r="O1637" s="7" t="inlineStr">
        <is>
          <t>CRITIQUE</t>
        </is>
      </c>
      <c r="P1637" s="7" t="inlineStr">
        <is>
          <t>31/08/2026 02:59</t>
        </is>
      </c>
    </row>
    <row r="1638">
      <c r="A1638" s="8" t="inlineStr">
        <is>
          <t>WHAP 8x8</t>
        </is>
      </c>
      <c r="B1638" s="8" t="inlineStr">
        <is>
          <t>WHAP-1634</t>
        </is>
      </c>
      <c r="C1638" s="8" t="inlineStr">
        <is>
          <t>MOT-1634</t>
        </is>
      </c>
      <c r="D1638" s="8" t="inlineStr">
        <is>
          <t>kit de couvre-culasse</t>
        </is>
      </c>
      <c r="E1638" s="8" t="inlineStr">
        <is>
          <t>Moteur</t>
        </is>
      </c>
      <c r="F1638" s="8" t="inlineStr">
        <is>
          <t>Moteur</t>
        </is>
      </c>
      <c r="G1638" s="8" t="inlineStr">
        <is>
          <t>PIECE_VEHICULE</t>
        </is>
      </c>
      <c r="H1638" s="8" t="n">
        <v>1</v>
      </c>
      <c r="I1638" s="8">
        <f>H1638*$D$3</f>
        <v/>
      </c>
      <c r="J1638" s="8" t="inlineStr">
        <is>
          <t>unité</t>
        </is>
      </c>
      <c r="K1638" s="8" t="n">
        <v>0</v>
      </c>
      <c r="L1638" s="8">
        <f>K1638-I1638</f>
        <v/>
      </c>
      <c r="M1638" s="8">
        <f>IF(K1638&lt;I1638,"✕ INSUFFISANT",IF(K1638&lt;I1638*1.2,"⚠ STOCK FAIBLE","✓ COUVERT"))</f>
        <v/>
      </c>
      <c r="N1638" s="8" t="inlineStr">
        <is>
          <t>FAU</t>
        </is>
      </c>
      <c r="O1638" s="8" t="inlineStr">
        <is>
          <t>CRITIQUE</t>
        </is>
      </c>
      <c r="P1638" s="8" t="inlineStr">
        <is>
          <t>31/08/2026 02:59</t>
        </is>
      </c>
    </row>
    <row r="1639">
      <c r="A1639" s="7" t="inlineStr">
        <is>
          <t>WHAP 8x8</t>
        </is>
      </c>
      <c r="B1639" s="7" t="inlineStr">
        <is>
          <t>WHAP-1635</t>
        </is>
      </c>
      <c r="C1639" s="7" t="inlineStr">
        <is>
          <t>MOT-1635</t>
        </is>
      </c>
      <c r="D1639" s="7" t="inlineStr">
        <is>
          <t>support de couvre-culasse</t>
        </is>
      </c>
      <c r="E1639" s="7" t="inlineStr">
        <is>
          <t>Moteur</t>
        </is>
      </c>
      <c r="F1639" s="7" t="inlineStr">
        <is>
          <t>Moteur</t>
        </is>
      </c>
      <c r="G1639" s="7" t="inlineStr">
        <is>
          <t>PIECE_VEHICULE</t>
        </is>
      </c>
      <c r="H1639" s="7" t="n">
        <v>1</v>
      </c>
      <c r="I1639" s="7">
        <f>H1639*$D$3</f>
        <v/>
      </c>
      <c r="J1639" s="7" t="inlineStr">
        <is>
          <t>unité</t>
        </is>
      </c>
      <c r="K1639" s="7" t="n">
        <v>0</v>
      </c>
      <c r="L1639" s="7">
        <f>K1639-I1639</f>
        <v/>
      </c>
      <c r="M1639" s="7">
        <f>IF(K1639&lt;I1639,"✕ INSUFFISANT",IF(K1639&lt;I1639*1.2,"⚠ STOCK FAIBLE","✓ COUVERT"))</f>
        <v/>
      </c>
      <c r="N1639" s="7" t="inlineStr">
        <is>
          <t>SKF</t>
        </is>
      </c>
      <c r="O1639" s="7" t="inlineStr">
        <is>
          <t>CRITIQUE</t>
        </is>
      </c>
      <c r="P1639" s="7" t="inlineStr">
        <is>
          <t>31/08/2026 02:59</t>
        </is>
      </c>
    </row>
    <row r="1640">
      <c r="A1640" s="8" t="inlineStr">
        <is>
          <t>WHAP 8x8</t>
        </is>
      </c>
      <c r="B1640" s="8" t="inlineStr">
        <is>
          <t>WHAP-1636</t>
        </is>
      </c>
      <c r="C1640" s="8" t="inlineStr">
        <is>
          <t>MOT-1636</t>
        </is>
      </c>
      <c r="D1640" s="8" t="inlineStr">
        <is>
          <t>boîtier de couvre-culasse</t>
        </is>
      </c>
      <c r="E1640" s="8" t="inlineStr">
        <is>
          <t>Moteur</t>
        </is>
      </c>
      <c r="F1640" s="8" t="inlineStr">
        <is>
          <t>Moteur</t>
        </is>
      </c>
      <c r="G1640" s="8" t="inlineStr">
        <is>
          <t>PIECE_VEHICULE</t>
        </is>
      </c>
      <c r="H1640" s="8" t="n">
        <v>1</v>
      </c>
      <c r="I1640" s="8">
        <f>H1640*$D$3</f>
        <v/>
      </c>
      <c r="J1640" s="8" t="inlineStr">
        <is>
          <t>unité</t>
        </is>
      </c>
      <c r="K1640" s="8" t="n">
        <v>0</v>
      </c>
      <c r="L1640" s="8">
        <f>K1640-I1640</f>
        <v/>
      </c>
      <c r="M1640" s="8">
        <f>IF(K1640&lt;I1640,"✕ INSUFFISANT",IF(K1640&lt;I1640*1.2,"⚠ STOCK FAIBLE","✓ COUVERT"))</f>
        <v/>
      </c>
      <c r="N1640" s="8" t="inlineStr">
        <is>
          <t>BOS</t>
        </is>
      </c>
      <c r="O1640" s="8" t="inlineStr">
        <is>
          <t>CRITIQUE</t>
        </is>
      </c>
      <c r="P1640" s="8" t="inlineStr">
        <is>
          <t>31/08/2026 02:59</t>
        </is>
      </c>
    </row>
    <row r="1641">
      <c r="A1641" s="7" t="inlineStr">
        <is>
          <t>WHAP 8x8</t>
        </is>
      </c>
      <c r="B1641" s="7" t="inlineStr">
        <is>
          <t>WHAP-1637</t>
        </is>
      </c>
      <c r="C1641" s="7" t="inlineStr">
        <is>
          <t>MOT-1637</t>
        </is>
      </c>
      <c r="D1641" s="7" t="inlineStr">
        <is>
          <t>module de couvre-culasse</t>
        </is>
      </c>
      <c r="E1641" s="7" t="inlineStr">
        <is>
          <t>Moteur</t>
        </is>
      </c>
      <c r="F1641" s="7" t="inlineStr">
        <is>
          <t>Moteur</t>
        </is>
      </c>
      <c r="G1641" s="7" t="inlineStr">
        <is>
          <t>PIECE_VEHICULE</t>
        </is>
      </c>
      <c r="H1641" s="7" t="n">
        <v>1</v>
      </c>
      <c r="I1641" s="7">
        <f>H1641*$D$3</f>
        <v/>
      </c>
      <c r="J1641" s="7" t="inlineStr">
        <is>
          <t>unité</t>
        </is>
      </c>
      <c r="K1641" s="7" t="n">
        <v>0</v>
      </c>
      <c r="L1641" s="7">
        <f>K1641-I1641</f>
        <v/>
      </c>
      <c r="M1641" s="7">
        <f>IF(K1641&lt;I1641,"✕ INSUFFISANT",IF(K1641&lt;I1641*1.2,"⚠ STOCK FAIBLE","✓ COUVERT"))</f>
        <v/>
      </c>
      <c r="N1641" s="7" t="inlineStr">
        <is>
          <t>YZK</t>
        </is>
      </c>
      <c r="O1641" s="7" t="inlineStr">
        <is>
          <t>CRITIQUE</t>
        </is>
      </c>
      <c r="P1641" s="7" t="inlineStr">
        <is>
          <t>31/08/2026 02:59</t>
        </is>
      </c>
    </row>
    <row r="1642">
      <c r="A1642" s="8" t="inlineStr">
        <is>
          <t>WHAP 8x8</t>
        </is>
      </c>
      <c r="B1642" s="8" t="inlineStr">
        <is>
          <t>WHAP-1638</t>
        </is>
      </c>
      <c r="C1642" s="8" t="inlineStr">
        <is>
          <t>MOT-1638</t>
        </is>
      </c>
      <c r="D1642" s="8" t="inlineStr">
        <is>
          <t>câblage de couvre-culasse</t>
        </is>
      </c>
      <c r="E1642" s="8" t="inlineStr">
        <is>
          <t>Moteur</t>
        </is>
      </c>
      <c r="F1642" s="8" t="inlineStr">
        <is>
          <t>Moteur</t>
        </is>
      </c>
      <c r="G1642" s="8" t="inlineStr">
        <is>
          <t>PIECE_VEHICULE</t>
        </is>
      </c>
      <c r="H1642" s="8" t="n">
        <v>1</v>
      </c>
      <c r="I1642" s="8">
        <f>H1642*$D$3</f>
        <v/>
      </c>
      <c r="J1642" s="8" t="inlineStr">
        <is>
          <t>unité</t>
        </is>
      </c>
      <c r="K1642" s="8" t="n">
        <v>0</v>
      </c>
      <c r="L1642" s="8">
        <f>K1642-I1642</f>
        <v/>
      </c>
      <c r="M1642" s="8">
        <f>IF(K1642&lt;I1642,"✕ INSUFFISANT",IF(K1642&lt;I1642*1.2,"⚠ STOCK FAIBLE","✓ COUVERT"))</f>
        <v/>
      </c>
      <c r="N1642" s="8" t="inlineStr">
        <is>
          <t>SKF</t>
        </is>
      </c>
      <c r="O1642" s="8" t="inlineStr">
        <is>
          <t>CRITIQUE</t>
        </is>
      </c>
      <c r="P1642" s="8" t="inlineStr">
        <is>
          <t>31/08/2026 02:59</t>
        </is>
      </c>
    </row>
    <row r="1643">
      <c r="A1643" s="7" t="inlineStr">
        <is>
          <t>WHAP 8x8</t>
        </is>
      </c>
      <c r="B1643" s="7" t="inlineStr">
        <is>
          <t>WHAP-1639</t>
        </is>
      </c>
      <c r="C1643" s="7" t="inlineStr">
        <is>
          <t>MOT-1639</t>
        </is>
      </c>
      <c r="D1643" s="7" t="inlineStr">
        <is>
          <t>connecteur de couvre-culasse</t>
        </is>
      </c>
      <c r="E1643" s="7" t="inlineStr">
        <is>
          <t>Moteur</t>
        </is>
      </c>
      <c r="F1643" s="7" t="inlineStr">
        <is>
          <t>Moteur</t>
        </is>
      </c>
      <c r="G1643" s="7" t="inlineStr">
        <is>
          <t>PIECE_VEHICULE</t>
        </is>
      </c>
      <c r="H1643" s="7" t="n">
        <v>1</v>
      </c>
      <c r="I1643" s="7">
        <f>H1643*$D$3</f>
        <v/>
      </c>
      <c r="J1643" s="7" t="inlineStr">
        <is>
          <t>unité</t>
        </is>
      </c>
      <c r="K1643" s="7" t="n">
        <v>0</v>
      </c>
      <c r="L1643" s="7">
        <f>K1643-I1643</f>
        <v/>
      </c>
      <c r="M1643" s="7">
        <f>IF(K1643&lt;I1643,"✕ INSUFFISANT",IF(K1643&lt;I1643*1.2,"⚠ STOCK FAIBLE","✓ COUVERT"))</f>
        <v/>
      </c>
      <c r="N1643" s="7" t="inlineStr">
        <is>
          <t>FAU</t>
        </is>
      </c>
      <c r="O1643" s="7" t="inlineStr">
        <is>
          <t>CRITIQUE</t>
        </is>
      </c>
      <c r="P1643" s="7" t="inlineStr">
        <is>
          <t>31/08/2026 02:59</t>
        </is>
      </c>
    </row>
    <row r="1644">
      <c r="A1644" s="8" t="inlineStr">
        <is>
          <t>WHAP 8x8</t>
        </is>
      </c>
      <c r="B1644" s="8" t="inlineStr">
        <is>
          <t>WHAP-1640</t>
        </is>
      </c>
      <c r="C1644" s="8" t="inlineStr">
        <is>
          <t>MOT-1640</t>
        </is>
      </c>
      <c r="D1644" s="8" t="inlineStr">
        <is>
          <t>joint de couvre-culasse</t>
        </is>
      </c>
      <c r="E1644" s="8" t="inlineStr">
        <is>
          <t>Moteur</t>
        </is>
      </c>
      <c r="F1644" s="8" t="inlineStr">
        <is>
          <t>Moteur</t>
        </is>
      </c>
      <c r="G1644" s="8" t="inlineStr">
        <is>
          <t>PIECE_VEHICULE</t>
        </is>
      </c>
      <c r="H1644" s="8" t="n">
        <v>1</v>
      </c>
      <c r="I1644" s="8">
        <f>H1644*$D$3</f>
        <v/>
      </c>
      <c r="J1644" s="8" t="inlineStr">
        <is>
          <t>unité</t>
        </is>
      </c>
      <c r="K1644" s="8" t="n">
        <v>0</v>
      </c>
      <c r="L1644" s="8">
        <f>K1644-I1644</f>
        <v/>
      </c>
      <c r="M1644" s="8">
        <f>IF(K1644&lt;I1644,"✕ INSUFFISANT",IF(K1644&lt;I1644*1.2,"⚠ STOCK FAIBLE","✓ COUVERT"))</f>
        <v/>
      </c>
      <c r="N1644" s="8" t="inlineStr">
        <is>
          <t>CTL</t>
        </is>
      </c>
      <c r="O1644" s="8" t="inlineStr">
        <is>
          <t>CRITIQUE</t>
        </is>
      </c>
      <c r="P1644" s="8" t="inlineStr">
        <is>
          <t>31/08/2026 02:59</t>
        </is>
      </c>
    </row>
    <row r="1645">
      <c r="A1645" s="7" t="inlineStr">
        <is>
          <t>WHAP 8x8</t>
        </is>
      </c>
      <c r="B1645" s="7" t="inlineStr">
        <is>
          <t>WHAP-1641</t>
        </is>
      </c>
      <c r="C1645" s="7" t="inlineStr">
        <is>
          <t>MOT-1641</t>
        </is>
      </c>
      <c r="D1645" s="7" t="inlineStr">
        <is>
          <t>fixation de couvre-culasse</t>
        </is>
      </c>
      <c r="E1645" s="7" t="inlineStr">
        <is>
          <t>Moteur</t>
        </is>
      </c>
      <c r="F1645" s="7" t="inlineStr">
        <is>
          <t>Moteur</t>
        </is>
      </c>
      <c r="G1645" s="7" t="inlineStr">
        <is>
          <t>PIECE_VEHICULE</t>
        </is>
      </c>
      <c r="H1645" s="7" t="n">
        <v>1</v>
      </c>
      <c r="I1645" s="7">
        <f>H1645*$D$3</f>
        <v/>
      </c>
      <c r="J1645" s="7" t="inlineStr">
        <is>
          <t>unité</t>
        </is>
      </c>
      <c r="K1645" s="7" t="n">
        <v>0</v>
      </c>
      <c r="L1645" s="7">
        <f>K1645-I1645</f>
        <v/>
      </c>
      <c r="M1645" s="7">
        <f>IF(K1645&lt;I1645,"✕ INSUFFISANT",IF(K1645&lt;I1645*1.2,"⚠ STOCK FAIBLE","✓ COUVERT"))</f>
        <v/>
      </c>
      <c r="N1645" s="7" t="inlineStr">
        <is>
          <t>SUM</t>
        </is>
      </c>
      <c r="O1645" s="7" t="inlineStr">
        <is>
          <t>CRITIQUE</t>
        </is>
      </c>
      <c r="P1645" s="7" t="inlineStr">
        <is>
          <t>31/08/2026 02:59</t>
        </is>
      </c>
    </row>
    <row r="1646">
      <c r="A1646" s="8" t="inlineStr">
        <is>
          <t>WHAP 8x8</t>
        </is>
      </c>
      <c r="B1646" s="8" t="inlineStr">
        <is>
          <t>WHAP-1642</t>
        </is>
      </c>
      <c r="C1646" s="8" t="inlineStr">
        <is>
          <t>MOT-1642</t>
        </is>
      </c>
      <c r="D1646" s="8" t="inlineStr">
        <is>
          <t>protection de couvre-culasse</t>
        </is>
      </c>
      <c r="E1646" s="8" t="inlineStr">
        <is>
          <t>Moteur</t>
        </is>
      </c>
      <c r="F1646" s="8" t="inlineStr">
        <is>
          <t>Moteur</t>
        </is>
      </c>
      <c r="G1646" s="8" t="inlineStr">
        <is>
          <t>PIECE_VEHICULE</t>
        </is>
      </c>
      <c r="H1646" s="8" t="n">
        <v>1</v>
      </c>
      <c r="I1646" s="8">
        <f>H1646*$D$3</f>
        <v/>
      </c>
      <c r="J1646" s="8" t="inlineStr">
        <is>
          <t>unité</t>
        </is>
      </c>
      <c r="K1646" s="8" t="n">
        <v>0</v>
      </c>
      <c r="L1646" s="8">
        <f>K1646-I1646</f>
        <v/>
      </c>
      <c r="M1646" s="8">
        <f>IF(K1646&lt;I1646,"✕ INSUFFISANT",IF(K1646&lt;I1646*1.2,"⚠ STOCK FAIBLE","✓ COUVERT"))</f>
        <v/>
      </c>
      <c r="N1646" s="8" t="inlineStr">
        <is>
          <t>HEL</t>
        </is>
      </c>
      <c r="O1646" s="8" t="inlineStr">
        <is>
          <t>CRITIQUE</t>
        </is>
      </c>
      <c r="P1646" s="8" t="inlineStr">
        <is>
          <t>31/08/2026 02:59</t>
        </is>
      </c>
    </row>
    <row r="1647">
      <c r="A1647" s="7" t="inlineStr">
        <is>
          <t>WHAP 8x8</t>
        </is>
      </c>
      <c r="B1647" s="7" t="inlineStr">
        <is>
          <t>WHAP-1643</t>
        </is>
      </c>
      <c r="C1647" s="7" t="inlineStr">
        <is>
          <t>MOT-1643</t>
        </is>
      </c>
      <c r="D1647" s="7" t="inlineStr">
        <is>
          <t>capteur de couvre-culasse</t>
        </is>
      </c>
      <c r="E1647" s="7" t="inlineStr">
        <is>
          <t>Moteur</t>
        </is>
      </c>
      <c r="F1647" s="7" t="inlineStr">
        <is>
          <t>Moteur</t>
        </is>
      </c>
      <c r="G1647" s="7" t="inlineStr">
        <is>
          <t>PIECE_VEHICULE</t>
        </is>
      </c>
      <c r="H1647" s="7" t="n">
        <v>1</v>
      </c>
      <c r="I1647" s="7">
        <f>H1647*$D$3</f>
        <v/>
      </c>
      <c r="J1647" s="7" t="inlineStr">
        <is>
          <t>unité</t>
        </is>
      </c>
      <c r="K1647" s="7" t="n">
        <v>0</v>
      </c>
      <c r="L1647" s="7">
        <f>K1647-I1647</f>
        <v/>
      </c>
      <c r="M1647" s="7">
        <f>IF(K1647&lt;I1647,"✕ INSUFFISANT",IF(K1647&lt;I1647*1.2,"⚠ STOCK FAIBLE","✓ COUVERT"))</f>
        <v/>
      </c>
      <c r="N1647" s="7" t="inlineStr">
        <is>
          <t>MAG</t>
        </is>
      </c>
      <c r="O1647" s="7" t="inlineStr">
        <is>
          <t>CRITIQUE</t>
        </is>
      </c>
      <c r="P1647" s="7" t="inlineStr">
        <is>
          <t>31/08/2026 02:59</t>
        </is>
      </c>
    </row>
    <row r="1648">
      <c r="A1648" s="8" t="inlineStr">
        <is>
          <t>WHAP 8x8</t>
        </is>
      </c>
      <c r="B1648" s="8" t="inlineStr">
        <is>
          <t>WHAP-1644</t>
        </is>
      </c>
      <c r="C1648" s="8" t="inlineStr">
        <is>
          <t>MOT-1644</t>
        </is>
      </c>
      <c r="D1648" s="8" t="inlineStr">
        <is>
          <t>actionneur de couvre-culasse</t>
        </is>
      </c>
      <c r="E1648" s="8" t="inlineStr">
        <is>
          <t>Moteur</t>
        </is>
      </c>
      <c r="F1648" s="8" t="inlineStr">
        <is>
          <t>Moteur</t>
        </is>
      </c>
      <c r="G1648" s="8" t="inlineStr">
        <is>
          <t>PIECE_VEHICULE</t>
        </is>
      </c>
      <c r="H1648" s="8" t="n">
        <v>1</v>
      </c>
      <c r="I1648" s="8">
        <f>H1648*$D$3</f>
        <v/>
      </c>
      <c r="J1648" s="8" t="inlineStr">
        <is>
          <t>unité</t>
        </is>
      </c>
      <c r="K1648" s="8" t="n">
        <v>0</v>
      </c>
      <c r="L1648" s="8">
        <f>K1648-I1648</f>
        <v/>
      </c>
      <c r="M1648" s="8">
        <f>IF(K1648&lt;I1648,"✕ INSUFFISANT",IF(K1648&lt;I1648*1.2,"⚠ STOCK FAIBLE","✓ COUVERT"))</f>
        <v/>
      </c>
      <c r="N1648" s="8" t="inlineStr">
        <is>
          <t>DEL</t>
        </is>
      </c>
      <c r="O1648" s="8" t="inlineStr">
        <is>
          <t>CRITIQUE</t>
        </is>
      </c>
      <c r="P1648" s="8" t="inlineStr">
        <is>
          <t>31/08/2026 02:59</t>
        </is>
      </c>
    </row>
    <row r="1649">
      <c r="A1649" s="7" t="inlineStr">
        <is>
          <t>WHAP 8x8</t>
        </is>
      </c>
      <c r="B1649" s="7" t="inlineStr">
        <is>
          <t>WHAP-1645</t>
        </is>
      </c>
      <c r="C1649" s="7" t="inlineStr">
        <is>
          <t>MOT-1645</t>
        </is>
      </c>
      <c r="D1649" s="7" t="inlineStr">
        <is>
          <t>raccord de couvre-culasse</t>
        </is>
      </c>
      <c r="E1649" s="7" t="inlineStr">
        <is>
          <t>Moteur</t>
        </is>
      </c>
      <c r="F1649" s="7" t="inlineStr">
        <is>
          <t>Moteur</t>
        </is>
      </c>
      <c r="G1649" s="7" t="inlineStr">
        <is>
          <t>PIECE_VEHICULE</t>
        </is>
      </c>
      <c r="H1649" s="7" t="n">
        <v>1</v>
      </c>
      <c r="I1649" s="7">
        <f>H1649*$D$3</f>
        <v/>
      </c>
      <c r="J1649" s="7" t="inlineStr">
        <is>
          <t>unité</t>
        </is>
      </c>
      <c r="K1649" s="7" t="n">
        <v>0</v>
      </c>
      <c r="L1649" s="7">
        <f>K1649-I1649</f>
        <v/>
      </c>
      <c r="M1649" s="7">
        <f>IF(K1649&lt;I1649,"✕ INSUFFISANT",IF(K1649&lt;I1649*1.2,"⚠ STOCK FAIBLE","✓ COUVERT"))</f>
        <v/>
      </c>
      <c r="N1649" s="7" t="inlineStr">
        <is>
          <t>SKF</t>
        </is>
      </c>
      <c r="O1649" s="7" t="inlineStr">
        <is>
          <t>CRITIQUE</t>
        </is>
      </c>
      <c r="P1649" s="7" t="inlineStr">
        <is>
          <t>31/08/2026 02:59</t>
        </is>
      </c>
    </row>
    <row r="1650">
      <c r="A1650" s="8" t="inlineStr">
        <is>
          <t>WHAP 8x8</t>
        </is>
      </c>
      <c r="B1650" s="8" t="inlineStr">
        <is>
          <t>WHAP-1646</t>
        </is>
      </c>
      <c r="C1650" s="8" t="inlineStr">
        <is>
          <t>MOT-1646</t>
        </is>
      </c>
      <c r="D1650" s="8" t="inlineStr">
        <is>
          <t>plaque de couvre-culasse</t>
        </is>
      </c>
      <c r="E1650" s="8" t="inlineStr">
        <is>
          <t>Moteur</t>
        </is>
      </c>
      <c r="F1650" s="8" t="inlineStr">
        <is>
          <t>Moteur</t>
        </is>
      </c>
      <c r="G1650" s="8" t="inlineStr">
        <is>
          <t>PIECE_VEHICULE</t>
        </is>
      </c>
      <c r="H1650" s="8" t="n">
        <v>1</v>
      </c>
      <c r="I1650" s="8">
        <f>H1650*$D$3</f>
        <v/>
      </c>
      <c r="J1650" s="8" t="inlineStr">
        <is>
          <t>unité</t>
        </is>
      </c>
      <c r="K1650" s="8" t="n">
        <v>0</v>
      </c>
      <c r="L1650" s="8">
        <f>K1650-I1650</f>
        <v/>
      </c>
      <c r="M1650" s="8">
        <f>IF(K1650&lt;I1650,"✕ INSUFFISANT",IF(K1650&lt;I1650*1.2,"⚠ STOCK FAIBLE","✓ COUVERT"))</f>
        <v/>
      </c>
      <c r="N1650" s="8" t="inlineStr">
        <is>
          <t>SKF</t>
        </is>
      </c>
      <c r="O1650" s="8" t="inlineStr">
        <is>
          <t>CRITIQUE</t>
        </is>
      </c>
      <c r="P1650" s="8" t="inlineStr">
        <is>
          <t>31/08/2026 02:59</t>
        </is>
      </c>
    </row>
    <row r="1651">
      <c r="A1651" s="7" t="inlineStr">
        <is>
          <t>WHAP 8x8</t>
        </is>
      </c>
      <c r="B1651" s="7" t="inlineStr">
        <is>
          <t>WHAP-1647</t>
        </is>
      </c>
      <c r="C1651" s="7" t="inlineStr">
        <is>
          <t>MOT-1647</t>
        </is>
      </c>
      <c r="D1651" s="7" t="inlineStr">
        <is>
          <t>couvercle de couvre-culasse</t>
        </is>
      </c>
      <c r="E1651" s="7" t="inlineStr">
        <is>
          <t>Moteur</t>
        </is>
      </c>
      <c r="F1651" s="7" t="inlineStr">
        <is>
          <t>Moteur</t>
        </is>
      </c>
      <c r="G1651" s="7" t="inlineStr">
        <is>
          <t>PIECE_VEHICULE</t>
        </is>
      </c>
      <c r="H1651" s="7" t="n">
        <v>1</v>
      </c>
      <c r="I1651" s="7">
        <f>H1651*$D$3</f>
        <v/>
      </c>
      <c r="J1651" s="7" t="inlineStr">
        <is>
          <t>unité</t>
        </is>
      </c>
      <c r="K1651" s="7" t="n">
        <v>0</v>
      </c>
      <c r="L1651" s="7">
        <f>K1651-I1651</f>
        <v/>
      </c>
      <c r="M1651" s="7">
        <f>IF(K1651&lt;I1651,"✕ INSUFFISANT",IF(K1651&lt;I1651*1.2,"⚠ STOCK FAIBLE","✓ COUVERT"))</f>
        <v/>
      </c>
      <c r="N1651" s="7" t="inlineStr">
        <is>
          <t>DEL</t>
        </is>
      </c>
      <c r="O1651" s="7" t="inlineStr">
        <is>
          <t>CRITIQUE</t>
        </is>
      </c>
      <c r="P1651" s="7" t="inlineStr">
        <is>
          <t>31/08/2026 02:59</t>
        </is>
      </c>
    </row>
    <row r="1652">
      <c r="A1652" s="8" t="inlineStr">
        <is>
          <t>WHAP 8x8</t>
        </is>
      </c>
      <c r="B1652" s="8" t="inlineStr">
        <is>
          <t>WHAP-1648</t>
        </is>
      </c>
      <c r="C1652" s="8" t="inlineStr">
        <is>
          <t>MOT-1648</t>
        </is>
      </c>
      <c r="D1652" s="8" t="inlineStr">
        <is>
          <t>bague de couvre-culasse</t>
        </is>
      </c>
      <c r="E1652" s="8" t="inlineStr">
        <is>
          <t>Moteur</t>
        </is>
      </c>
      <c r="F1652" s="8" t="inlineStr">
        <is>
          <t>Moteur</t>
        </is>
      </c>
      <c r="G1652" s="8" t="inlineStr">
        <is>
          <t>PIECE_VEHICULE</t>
        </is>
      </c>
      <c r="H1652" s="8" t="n">
        <v>1</v>
      </c>
      <c r="I1652" s="8">
        <f>H1652*$D$3</f>
        <v/>
      </c>
      <c r="J1652" s="8" t="inlineStr">
        <is>
          <t>unité</t>
        </is>
      </c>
      <c r="K1652" s="8" t="n">
        <v>0</v>
      </c>
      <c r="L1652" s="8">
        <f>K1652-I1652</f>
        <v/>
      </c>
      <c r="M1652" s="8">
        <f>IF(K1652&lt;I1652,"✕ INSUFFISANT",IF(K1652&lt;I1652*1.2,"⚠ STOCK FAIBLE","✓ COUVERT"))</f>
        <v/>
      </c>
      <c r="N1652" s="8" t="inlineStr">
        <is>
          <t>VAL</t>
        </is>
      </c>
      <c r="O1652" s="8" t="inlineStr">
        <is>
          <t>CRITIQUE</t>
        </is>
      </c>
      <c r="P1652" s="8" t="inlineStr">
        <is>
          <t>31/08/2026 02:59</t>
        </is>
      </c>
    </row>
    <row r="1653">
      <c r="A1653" s="7" t="inlineStr">
        <is>
          <t>WHAP 8x8</t>
        </is>
      </c>
      <c r="B1653" s="7" t="inlineStr">
        <is>
          <t>WHAP-1649</t>
        </is>
      </c>
      <c r="C1653" s="7" t="inlineStr">
        <is>
          <t>MOT-1649</t>
        </is>
      </c>
      <c r="D1653" s="7" t="inlineStr">
        <is>
          <t>entretoise de couvre-culasse</t>
        </is>
      </c>
      <c r="E1653" s="7" t="inlineStr">
        <is>
          <t>Moteur</t>
        </is>
      </c>
      <c r="F1653" s="7" t="inlineStr">
        <is>
          <t>Moteur</t>
        </is>
      </c>
      <c r="G1653" s="7" t="inlineStr">
        <is>
          <t>PIECE_VEHICULE</t>
        </is>
      </c>
      <c r="H1653" s="7" t="n">
        <v>1</v>
      </c>
      <c r="I1653" s="7">
        <f>H1653*$D$3</f>
        <v/>
      </c>
      <c r="J1653" s="7" t="inlineStr">
        <is>
          <t>unité</t>
        </is>
      </c>
      <c r="K1653" s="7" t="n">
        <v>0</v>
      </c>
      <c r="L1653" s="7">
        <f>K1653-I1653</f>
        <v/>
      </c>
      <c r="M1653" s="7">
        <f>IF(K1653&lt;I1653,"✕ INSUFFISANT",IF(K1653&lt;I1653*1.2,"⚠ STOCK FAIBLE","✓ COUVERT"))</f>
        <v/>
      </c>
      <c r="N1653" s="7" t="inlineStr">
        <is>
          <t>FAU</t>
        </is>
      </c>
      <c r="O1653" s="7" t="inlineStr">
        <is>
          <t>CRITIQUE</t>
        </is>
      </c>
      <c r="P1653" s="7" t="inlineStr">
        <is>
          <t>31/08/2026 02:59</t>
        </is>
      </c>
    </row>
    <row r="1654">
      <c r="A1654" s="8" t="inlineStr">
        <is>
          <t>WHAP 8x8</t>
        </is>
      </c>
      <c r="B1654" s="8" t="inlineStr">
        <is>
          <t>WHAP-1650</t>
        </is>
      </c>
      <c r="C1654" s="8" t="inlineStr">
        <is>
          <t>MOT-1650</t>
        </is>
      </c>
      <c r="D1654" s="8" t="inlineStr">
        <is>
          <t>axe de couvre-culasse</t>
        </is>
      </c>
      <c r="E1654" s="8" t="inlineStr">
        <is>
          <t>Moteur</t>
        </is>
      </c>
      <c r="F1654" s="8" t="inlineStr">
        <is>
          <t>Moteur</t>
        </is>
      </c>
      <c r="G1654" s="8" t="inlineStr">
        <is>
          <t>PIECE_VEHICULE</t>
        </is>
      </c>
      <c r="H1654" s="8" t="n">
        <v>1</v>
      </c>
      <c r="I1654" s="8">
        <f>H1654*$D$3</f>
        <v/>
      </c>
      <c r="J1654" s="8" t="inlineStr">
        <is>
          <t>unité</t>
        </is>
      </c>
      <c r="K1654" s="8" t="n">
        <v>0</v>
      </c>
      <c r="L1654" s="8">
        <f>K1654-I1654</f>
        <v/>
      </c>
      <c r="M1654" s="8">
        <f>IF(K1654&lt;I1654,"✕ INSUFFISANT",IF(K1654&lt;I1654*1.2,"⚠ STOCK FAIBLE","✓ COUVERT"))</f>
        <v/>
      </c>
      <c r="N1654" s="8" t="inlineStr">
        <is>
          <t>SKF</t>
        </is>
      </c>
      <c r="O1654" s="8" t="inlineStr">
        <is>
          <t>CRITIQUE</t>
        </is>
      </c>
      <c r="P1654" s="8" t="inlineStr">
        <is>
          <t>31/08/2026 02:59</t>
        </is>
      </c>
    </row>
    <row r="1655">
      <c r="A1655" s="7" t="inlineStr">
        <is>
          <t>WHAP 8x8</t>
        </is>
      </c>
      <c r="B1655" s="7" t="inlineStr">
        <is>
          <t>WHAP-1651</t>
        </is>
      </c>
      <c r="C1655" s="7" t="inlineStr">
        <is>
          <t>MOT-1651</t>
        </is>
      </c>
      <c r="D1655" s="7" t="inlineStr">
        <is>
          <t>poulie de couvre-culasse</t>
        </is>
      </c>
      <c r="E1655" s="7" t="inlineStr">
        <is>
          <t>Moteur</t>
        </is>
      </c>
      <c r="F1655" s="7" t="inlineStr">
        <is>
          <t>Moteur</t>
        </is>
      </c>
      <c r="G1655" s="7" t="inlineStr">
        <is>
          <t>PIECE_VEHICULE</t>
        </is>
      </c>
      <c r="H1655" s="7" t="n">
        <v>1</v>
      </c>
      <c r="I1655" s="7">
        <f>H1655*$D$3</f>
        <v/>
      </c>
      <c r="J1655" s="7" t="inlineStr">
        <is>
          <t>unité</t>
        </is>
      </c>
      <c r="K1655" s="7" t="n">
        <v>0</v>
      </c>
      <c r="L1655" s="7">
        <f>K1655-I1655</f>
        <v/>
      </c>
      <c r="M1655" s="7">
        <f>IF(K1655&lt;I1655,"✕ INSUFFISANT",IF(K1655&lt;I1655*1.2,"⚠ STOCK FAIBLE","✓ COUVERT"))</f>
        <v/>
      </c>
      <c r="N1655" s="7" t="inlineStr">
        <is>
          <t>FAU</t>
        </is>
      </c>
      <c r="O1655" s="7" t="inlineStr">
        <is>
          <t>CRITIQUE</t>
        </is>
      </c>
      <c r="P1655" s="7" t="inlineStr">
        <is>
          <t>31/08/2026 02:59</t>
        </is>
      </c>
    </row>
    <row r="1656">
      <c r="A1656" s="8" t="inlineStr">
        <is>
          <t>WHAP 8x8</t>
        </is>
      </c>
      <c r="B1656" s="8" t="inlineStr">
        <is>
          <t>WHAP-1652</t>
        </is>
      </c>
      <c r="C1656" s="8" t="inlineStr">
        <is>
          <t>MOT-1652</t>
        </is>
      </c>
      <c r="D1656" s="8" t="inlineStr">
        <is>
          <t>pignon de couvre-culasse</t>
        </is>
      </c>
      <c r="E1656" s="8" t="inlineStr">
        <is>
          <t>Moteur</t>
        </is>
      </c>
      <c r="F1656" s="8" t="inlineStr">
        <is>
          <t>Moteur</t>
        </is>
      </c>
      <c r="G1656" s="8" t="inlineStr">
        <is>
          <t>PIECE_VEHICULE</t>
        </is>
      </c>
      <c r="H1656" s="8" t="n">
        <v>1</v>
      </c>
      <c r="I1656" s="8">
        <f>H1656*$D$3</f>
        <v/>
      </c>
      <c r="J1656" s="8" t="inlineStr">
        <is>
          <t>unité</t>
        </is>
      </c>
      <c r="K1656" s="8" t="n">
        <v>0</v>
      </c>
      <c r="L1656" s="8">
        <f>K1656-I1656</f>
        <v/>
      </c>
      <c r="M1656" s="8">
        <f>IF(K1656&lt;I1656,"✕ INSUFFISANT",IF(K1656&lt;I1656*1.2,"⚠ STOCK FAIBLE","✓ COUVERT"))</f>
        <v/>
      </c>
      <c r="N1656" s="8" t="inlineStr">
        <is>
          <t>MAG</t>
        </is>
      </c>
      <c r="O1656" s="8" t="inlineStr">
        <is>
          <t>CRITIQUE</t>
        </is>
      </c>
      <c r="P1656" s="8" t="inlineStr">
        <is>
          <t>31/08/2026 02:59</t>
        </is>
      </c>
    </row>
    <row r="1657">
      <c r="A1657" s="7" t="inlineStr">
        <is>
          <t>WHAP 8x8</t>
        </is>
      </c>
      <c r="B1657" s="7" t="inlineStr">
        <is>
          <t>WHAP-1653</t>
        </is>
      </c>
      <c r="C1657" s="7" t="inlineStr">
        <is>
          <t>MOT-1653</t>
        </is>
      </c>
      <c r="D1657" s="7" t="inlineStr">
        <is>
          <t>ensemble de carter moteur</t>
        </is>
      </c>
      <c r="E1657" s="7" t="inlineStr">
        <is>
          <t>Moteur</t>
        </is>
      </c>
      <c r="F1657" s="7" t="inlineStr">
        <is>
          <t>Moteur</t>
        </is>
      </c>
      <c r="G1657" s="7" t="inlineStr">
        <is>
          <t>PIECE_VEHICULE</t>
        </is>
      </c>
      <c r="H1657" s="7" t="n">
        <v>1</v>
      </c>
      <c r="I1657" s="7">
        <f>H1657*$D$3</f>
        <v/>
      </c>
      <c r="J1657" s="7" t="inlineStr">
        <is>
          <t>unité</t>
        </is>
      </c>
      <c r="K1657" s="7" t="n">
        <v>0</v>
      </c>
      <c r="L1657" s="7">
        <f>K1657-I1657</f>
        <v/>
      </c>
      <c r="M1657" s="7">
        <f>IF(K1657&lt;I1657,"✕ INSUFFISANT",IF(K1657&lt;I1657*1.2,"⚠ STOCK FAIBLE","✓ COUVERT"))</f>
        <v/>
      </c>
      <c r="N1657" s="7" t="inlineStr">
        <is>
          <t>CTL</t>
        </is>
      </c>
      <c r="O1657" s="7" t="inlineStr">
        <is>
          <t>CRITIQUE</t>
        </is>
      </c>
      <c r="P1657" s="7" t="inlineStr">
        <is>
          <t>31/08/2026 02:59</t>
        </is>
      </c>
    </row>
    <row r="1658">
      <c r="A1658" s="8" t="inlineStr">
        <is>
          <t>WHAP 8x8</t>
        </is>
      </c>
      <c r="B1658" s="8" t="inlineStr">
        <is>
          <t>WHAP-1654</t>
        </is>
      </c>
      <c r="C1658" s="8" t="inlineStr">
        <is>
          <t>MOT-1654</t>
        </is>
      </c>
      <c r="D1658" s="8" t="inlineStr">
        <is>
          <t>kit de carter moteur</t>
        </is>
      </c>
      <c r="E1658" s="8" t="inlineStr">
        <is>
          <t>Moteur</t>
        </is>
      </c>
      <c r="F1658" s="8" t="inlineStr">
        <is>
          <t>Moteur</t>
        </is>
      </c>
      <c r="G1658" s="8" t="inlineStr">
        <is>
          <t>PIECE_VEHICULE</t>
        </is>
      </c>
      <c r="H1658" s="8" t="n">
        <v>1</v>
      </c>
      <c r="I1658" s="8">
        <f>H1658*$D$3</f>
        <v/>
      </c>
      <c r="J1658" s="8" t="inlineStr">
        <is>
          <t>unité</t>
        </is>
      </c>
      <c r="K1658" s="8" t="n">
        <v>0</v>
      </c>
      <c r="L1658" s="8">
        <f>K1658-I1658</f>
        <v/>
      </c>
      <c r="M1658" s="8">
        <f>IF(K1658&lt;I1658,"✕ INSUFFISANT",IF(K1658&lt;I1658*1.2,"⚠ STOCK FAIBLE","✓ COUVERT"))</f>
        <v/>
      </c>
      <c r="N1658" s="8" t="inlineStr">
        <is>
          <t>SKF</t>
        </is>
      </c>
      <c r="O1658" s="8" t="inlineStr">
        <is>
          <t>CRITIQUE</t>
        </is>
      </c>
      <c r="P1658" s="8" t="inlineStr">
        <is>
          <t>31/08/2026 02:59</t>
        </is>
      </c>
    </row>
    <row r="1659">
      <c r="A1659" s="7" t="inlineStr">
        <is>
          <t>WHAP 8x8</t>
        </is>
      </c>
      <c r="B1659" s="7" t="inlineStr">
        <is>
          <t>WHAP-1655</t>
        </is>
      </c>
      <c r="C1659" s="7" t="inlineStr">
        <is>
          <t>MOT-1655</t>
        </is>
      </c>
      <c r="D1659" s="7" t="inlineStr">
        <is>
          <t>support de carter moteur</t>
        </is>
      </c>
      <c r="E1659" s="7" t="inlineStr">
        <is>
          <t>Moteur</t>
        </is>
      </c>
      <c r="F1659" s="7" t="inlineStr">
        <is>
          <t>Moteur</t>
        </is>
      </c>
      <c r="G1659" s="7" t="inlineStr">
        <is>
          <t>PIECE_VEHICULE</t>
        </is>
      </c>
      <c r="H1659" s="7" t="n">
        <v>1</v>
      </c>
      <c r="I1659" s="7">
        <f>H1659*$D$3</f>
        <v/>
      </c>
      <c r="J1659" s="7" t="inlineStr">
        <is>
          <t>unité</t>
        </is>
      </c>
      <c r="K1659" s="7" t="n">
        <v>0</v>
      </c>
      <c r="L1659" s="7">
        <f>K1659-I1659</f>
        <v/>
      </c>
      <c r="M1659" s="7">
        <f>IF(K1659&lt;I1659,"✕ INSUFFISANT",IF(K1659&lt;I1659*1.2,"⚠ STOCK FAIBLE","✓ COUVERT"))</f>
        <v/>
      </c>
      <c r="N1659" s="7" t="inlineStr">
        <is>
          <t>YZK</t>
        </is>
      </c>
      <c r="O1659" s="7" t="inlineStr">
        <is>
          <t>CRITIQUE</t>
        </is>
      </c>
      <c r="P1659" s="7" t="inlineStr">
        <is>
          <t>31/08/2026 02:59</t>
        </is>
      </c>
    </row>
    <row r="1660">
      <c r="A1660" s="8" t="inlineStr">
        <is>
          <t>WHAP 8x8</t>
        </is>
      </c>
      <c r="B1660" s="8" t="inlineStr">
        <is>
          <t>WHAP-1656</t>
        </is>
      </c>
      <c r="C1660" s="8" t="inlineStr">
        <is>
          <t>MOT-1656</t>
        </is>
      </c>
      <c r="D1660" s="8" t="inlineStr">
        <is>
          <t>boîtier de carter moteur</t>
        </is>
      </c>
      <c r="E1660" s="8" t="inlineStr">
        <is>
          <t>Moteur</t>
        </is>
      </c>
      <c r="F1660" s="8" t="inlineStr">
        <is>
          <t>Moteur</t>
        </is>
      </c>
      <c r="G1660" s="8" t="inlineStr">
        <is>
          <t>PIECE_VEHICULE</t>
        </is>
      </c>
      <c r="H1660" s="8" t="n">
        <v>1</v>
      </c>
      <c r="I1660" s="8">
        <f>H1660*$D$3</f>
        <v/>
      </c>
      <c r="J1660" s="8" t="inlineStr">
        <is>
          <t>unité</t>
        </is>
      </c>
      <c r="K1660" s="8" t="n">
        <v>0</v>
      </c>
      <c r="L1660" s="8">
        <f>K1660-I1660</f>
        <v/>
      </c>
      <c r="M1660" s="8">
        <f>IF(K1660&lt;I1660,"✕ INSUFFISANT",IF(K1660&lt;I1660*1.2,"⚠ STOCK FAIBLE","✓ COUVERT"))</f>
        <v/>
      </c>
      <c r="N1660" s="8" t="inlineStr">
        <is>
          <t>HEL</t>
        </is>
      </c>
      <c r="O1660" s="8" t="inlineStr">
        <is>
          <t>CRITIQUE</t>
        </is>
      </c>
      <c r="P1660" s="8" t="inlineStr">
        <is>
          <t>31/08/2026 02:59</t>
        </is>
      </c>
    </row>
    <row r="1661">
      <c r="A1661" s="7" t="inlineStr">
        <is>
          <t>WHAP 8x8</t>
        </is>
      </c>
      <c r="B1661" s="7" t="inlineStr">
        <is>
          <t>WHAP-1657</t>
        </is>
      </c>
      <c r="C1661" s="7" t="inlineStr">
        <is>
          <t>MOT-1657</t>
        </is>
      </c>
      <c r="D1661" s="7" t="inlineStr">
        <is>
          <t>module de carter moteur</t>
        </is>
      </c>
      <c r="E1661" s="7" t="inlineStr">
        <is>
          <t>Moteur</t>
        </is>
      </c>
      <c r="F1661" s="7" t="inlineStr">
        <is>
          <t>Moteur</t>
        </is>
      </c>
      <c r="G1661" s="7" t="inlineStr">
        <is>
          <t>PIECE_VEHICULE</t>
        </is>
      </c>
      <c r="H1661" s="7" t="n">
        <v>1</v>
      </c>
      <c r="I1661" s="7">
        <f>H1661*$D$3</f>
        <v/>
      </c>
      <c r="J1661" s="7" t="inlineStr">
        <is>
          <t>unité</t>
        </is>
      </c>
      <c r="K1661" s="7" t="n">
        <v>0</v>
      </c>
      <c r="L1661" s="7">
        <f>K1661-I1661</f>
        <v/>
      </c>
      <c r="M1661" s="7">
        <f>IF(K1661&lt;I1661,"✕ INSUFFISANT",IF(K1661&lt;I1661*1.2,"⚠ STOCK FAIBLE","✓ COUVERT"))</f>
        <v/>
      </c>
      <c r="N1661" s="7" t="inlineStr">
        <is>
          <t>SUM</t>
        </is>
      </c>
      <c r="O1661" s="7" t="inlineStr">
        <is>
          <t>CRITIQUE</t>
        </is>
      </c>
      <c r="P1661" s="7" t="inlineStr">
        <is>
          <t>31/08/2026 02:59</t>
        </is>
      </c>
    </row>
    <row r="1662">
      <c r="A1662" s="8" t="inlineStr">
        <is>
          <t>WHAP 8x8</t>
        </is>
      </c>
      <c r="B1662" s="8" t="inlineStr">
        <is>
          <t>WHAP-1658</t>
        </is>
      </c>
      <c r="C1662" s="8" t="inlineStr">
        <is>
          <t>MOT-1658</t>
        </is>
      </c>
      <c r="D1662" s="8" t="inlineStr">
        <is>
          <t>câblage de carter moteur</t>
        </is>
      </c>
      <c r="E1662" s="8" t="inlineStr">
        <is>
          <t>Moteur</t>
        </is>
      </c>
      <c r="F1662" s="8" t="inlineStr">
        <is>
          <t>Moteur</t>
        </is>
      </c>
      <c r="G1662" s="8" t="inlineStr">
        <is>
          <t>PIECE_VEHICULE</t>
        </is>
      </c>
      <c r="H1662" s="8" t="n">
        <v>1</v>
      </c>
      <c r="I1662" s="8">
        <f>H1662*$D$3</f>
        <v/>
      </c>
      <c r="J1662" s="8" t="inlineStr">
        <is>
          <t>unité</t>
        </is>
      </c>
      <c r="K1662" s="8" t="n">
        <v>0</v>
      </c>
      <c r="L1662" s="8">
        <f>K1662-I1662</f>
        <v/>
      </c>
      <c r="M1662" s="8">
        <f>IF(K1662&lt;I1662,"✕ INSUFFISANT",IF(K1662&lt;I1662*1.2,"⚠ STOCK FAIBLE","✓ COUVERT"))</f>
        <v/>
      </c>
      <c r="N1662" s="8" t="inlineStr">
        <is>
          <t>VAL</t>
        </is>
      </c>
      <c r="O1662" s="8" t="inlineStr">
        <is>
          <t>CRITIQUE</t>
        </is>
      </c>
      <c r="P1662" s="8" t="inlineStr">
        <is>
          <t>31/08/2026 02:59</t>
        </is>
      </c>
    </row>
    <row r="1663">
      <c r="A1663" s="7" t="inlineStr">
        <is>
          <t>WHAP 8x8</t>
        </is>
      </c>
      <c r="B1663" s="7" t="inlineStr">
        <is>
          <t>WHAP-1659</t>
        </is>
      </c>
      <c r="C1663" s="7" t="inlineStr">
        <is>
          <t>MOT-1659</t>
        </is>
      </c>
      <c r="D1663" s="7" t="inlineStr">
        <is>
          <t>connecteur de carter moteur</t>
        </is>
      </c>
      <c r="E1663" s="7" t="inlineStr">
        <is>
          <t>Moteur</t>
        </is>
      </c>
      <c r="F1663" s="7" t="inlineStr">
        <is>
          <t>Moteur</t>
        </is>
      </c>
      <c r="G1663" s="7" t="inlineStr">
        <is>
          <t>PIECE_VEHICULE</t>
        </is>
      </c>
      <c r="H1663" s="7" t="n">
        <v>1</v>
      </c>
      <c r="I1663" s="7">
        <f>H1663*$D$3</f>
        <v/>
      </c>
      <c r="J1663" s="7" t="inlineStr">
        <is>
          <t>unité</t>
        </is>
      </c>
      <c r="K1663" s="7" t="n">
        <v>0</v>
      </c>
      <c r="L1663" s="7">
        <f>K1663-I1663</f>
        <v/>
      </c>
      <c r="M1663" s="7">
        <f>IF(K1663&lt;I1663,"✕ INSUFFISANT",IF(K1663&lt;I1663*1.2,"⚠ STOCK FAIBLE","✓ COUVERT"))</f>
        <v/>
      </c>
      <c r="N1663" s="7" t="inlineStr">
        <is>
          <t>HEL</t>
        </is>
      </c>
      <c r="O1663" s="7" t="inlineStr">
        <is>
          <t>CRITIQUE</t>
        </is>
      </c>
      <c r="P1663" s="7" t="inlineStr">
        <is>
          <t>31/08/2026 02:59</t>
        </is>
      </c>
    </row>
    <row r="1664">
      <c r="A1664" s="8" t="inlineStr">
        <is>
          <t>WHAP 8x8</t>
        </is>
      </c>
      <c r="B1664" s="8" t="inlineStr">
        <is>
          <t>WHAP-1660</t>
        </is>
      </c>
      <c r="C1664" s="8" t="inlineStr">
        <is>
          <t>MOT-1660</t>
        </is>
      </c>
      <c r="D1664" s="8" t="inlineStr">
        <is>
          <t>joint de carter moteur</t>
        </is>
      </c>
      <c r="E1664" s="8" t="inlineStr">
        <is>
          <t>Moteur</t>
        </is>
      </c>
      <c r="F1664" s="8" t="inlineStr">
        <is>
          <t>Moteur</t>
        </is>
      </c>
      <c r="G1664" s="8" t="inlineStr">
        <is>
          <t>PIECE_VEHICULE</t>
        </is>
      </c>
      <c r="H1664" s="8" t="n">
        <v>1</v>
      </c>
      <c r="I1664" s="8">
        <f>H1664*$D$3</f>
        <v/>
      </c>
      <c r="J1664" s="8" t="inlineStr">
        <is>
          <t>unité</t>
        </is>
      </c>
      <c r="K1664" s="8" t="n">
        <v>0</v>
      </c>
      <c r="L1664" s="8">
        <f>K1664-I1664</f>
        <v/>
      </c>
      <c r="M1664" s="8">
        <f>IF(K1664&lt;I1664,"✕ INSUFFISANT",IF(K1664&lt;I1664*1.2,"⚠ STOCK FAIBLE","✓ COUVERT"))</f>
        <v/>
      </c>
      <c r="N1664" s="8" t="inlineStr">
        <is>
          <t>YZK</t>
        </is>
      </c>
      <c r="O1664" s="8" t="inlineStr">
        <is>
          <t>CRITIQUE</t>
        </is>
      </c>
      <c r="P1664" s="8" t="inlineStr">
        <is>
          <t>31/08/2026 02:59</t>
        </is>
      </c>
    </row>
    <row r="1665">
      <c r="A1665" s="7" t="inlineStr">
        <is>
          <t>WHAP 8x8</t>
        </is>
      </c>
      <c r="B1665" s="7" t="inlineStr">
        <is>
          <t>WHAP-1661</t>
        </is>
      </c>
      <c r="C1665" s="7" t="inlineStr">
        <is>
          <t>MOT-1661</t>
        </is>
      </c>
      <c r="D1665" s="7" t="inlineStr">
        <is>
          <t>fixation de carter moteur</t>
        </is>
      </c>
      <c r="E1665" s="7" t="inlineStr">
        <is>
          <t>Moteur</t>
        </is>
      </c>
      <c r="F1665" s="7" t="inlineStr">
        <is>
          <t>Moteur</t>
        </is>
      </c>
      <c r="G1665" s="7" t="inlineStr">
        <is>
          <t>PIECE_VEHICULE</t>
        </is>
      </c>
      <c r="H1665" s="7" t="n">
        <v>1</v>
      </c>
      <c r="I1665" s="7">
        <f>H1665*$D$3</f>
        <v/>
      </c>
      <c r="J1665" s="7" t="inlineStr">
        <is>
          <t>unité</t>
        </is>
      </c>
      <c r="K1665" s="7" t="n">
        <v>0</v>
      </c>
      <c r="L1665" s="7">
        <f>K1665-I1665</f>
        <v/>
      </c>
      <c r="M1665" s="7">
        <f>IF(K1665&lt;I1665,"✕ INSUFFISANT",IF(K1665&lt;I1665*1.2,"⚠ STOCK FAIBLE","✓ COUVERT"))</f>
        <v/>
      </c>
      <c r="N1665" s="7" t="inlineStr">
        <is>
          <t>DEL</t>
        </is>
      </c>
      <c r="O1665" s="7" t="inlineStr">
        <is>
          <t>CRITIQUE</t>
        </is>
      </c>
      <c r="P1665" s="7" t="inlineStr">
        <is>
          <t>31/08/2026 02:59</t>
        </is>
      </c>
    </row>
    <row r="1666">
      <c r="A1666" s="8" t="inlineStr">
        <is>
          <t>WHAP 8x8</t>
        </is>
      </c>
      <c r="B1666" s="8" t="inlineStr">
        <is>
          <t>WHAP-1662</t>
        </is>
      </c>
      <c r="C1666" s="8" t="inlineStr">
        <is>
          <t>MOT-1662</t>
        </is>
      </c>
      <c r="D1666" s="8" t="inlineStr">
        <is>
          <t>protection de carter moteur</t>
        </is>
      </c>
      <c r="E1666" s="8" t="inlineStr">
        <is>
          <t>Moteur</t>
        </is>
      </c>
      <c r="F1666" s="8" t="inlineStr">
        <is>
          <t>Moteur</t>
        </is>
      </c>
      <c r="G1666" s="8" t="inlineStr">
        <is>
          <t>PIECE_VEHICULE</t>
        </is>
      </c>
      <c r="H1666" s="8" t="n">
        <v>1</v>
      </c>
      <c r="I1666" s="8">
        <f>H1666*$D$3</f>
        <v/>
      </c>
      <c r="J1666" s="8" t="inlineStr">
        <is>
          <t>unité</t>
        </is>
      </c>
      <c r="K1666" s="8" t="n">
        <v>0</v>
      </c>
      <c r="L1666" s="8">
        <f>K1666-I1666</f>
        <v/>
      </c>
      <c r="M1666" s="8">
        <f>IF(K1666&lt;I1666,"✕ INSUFFISANT",IF(K1666&lt;I1666*1.2,"⚠ STOCK FAIBLE","✓ COUVERT"))</f>
        <v/>
      </c>
      <c r="N1666" s="8" t="inlineStr">
        <is>
          <t>BOS</t>
        </is>
      </c>
      <c r="O1666" s="8" t="inlineStr">
        <is>
          <t>CRITIQUE</t>
        </is>
      </c>
      <c r="P1666" s="8" t="inlineStr">
        <is>
          <t>31/08/2026 02:59</t>
        </is>
      </c>
    </row>
    <row r="1667">
      <c r="A1667" s="7" t="inlineStr">
        <is>
          <t>WHAP 8x8</t>
        </is>
      </c>
      <c r="B1667" s="7" t="inlineStr">
        <is>
          <t>WHAP-1663</t>
        </is>
      </c>
      <c r="C1667" s="7" t="inlineStr">
        <is>
          <t>MOT-1663</t>
        </is>
      </c>
      <c r="D1667" s="7" t="inlineStr">
        <is>
          <t>capteur de carter moteur</t>
        </is>
      </c>
      <c r="E1667" s="7" t="inlineStr">
        <is>
          <t>Moteur</t>
        </is>
      </c>
      <c r="F1667" s="7" t="inlineStr">
        <is>
          <t>Moteur</t>
        </is>
      </c>
      <c r="G1667" s="7" t="inlineStr">
        <is>
          <t>PIECE_VEHICULE</t>
        </is>
      </c>
      <c r="H1667" s="7" t="n">
        <v>1</v>
      </c>
      <c r="I1667" s="7">
        <f>H1667*$D$3</f>
        <v/>
      </c>
      <c r="J1667" s="7" t="inlineStr">
        <is>
          <t>unité</t>
        </is>
      </c>
      <c r="K1667" s="7" t="n">
        <v>0</v>
      </c>
      <c r="L1667" s="7">
        <f>K1667-I1667</f>
        <v/>
      </c>
      <c r="M1667" s="7">
        <f>IF(K1667&lt;I1667,"✕ INSUFFISANT",IF(K1667&lt;I1667*1.2,"⚠ STOCK FAIBLE","✓ COUVERT"))</f>
        <v/>
      </c>
      <c r="N1667" s="7" t="inlineStr">
        <is>
          <t>SKF</t>
        </is>
      </c>
      <c r="O1667" s="7" t="inlineStr">
        <is>
          <t>CRITIQUE</t>
        </is>
      </c>
      <c r="P1667" s="7" t="inlineStr">
        <is>
          <t>31/08/2026 02:59</t>
        </is>
      </c>
    </row>
    <row r="1668">
      <c r="A1668" s="8" t="inlineStr">
        <is>
          <t>WHAP 8x8</t>
        </is>
      </c>
      <c r="B1668" s="8" t="inlineStr">
        <is>
          <t>WHAP-1664</t>
        </is>
      </c>
      <c r="C1668" s="8" t="inlineStr">
        <is>
          <t>MOT-1664</t>
        </is>
      </c>
      <c r="D1668" s="8" t="inlineStr">
        <is>
          <t>actionneur de carter moteur</t>
        </is>
      </c>
      <c r="E1668" s="8" t="inlineStr">
        <is>
          <t>Moteur</t>
        </is>
      </c>
      <c r="F1668" s="8" t="inlineStr">
        <is>
          <t>Moteur</t>
        </is>
      </c>
      <c r="G1668" s="8" t="inlineStr">
        <is>
          <t>PIECE_VEHICULE</t>
        </is>
      </c>
      <c r="H1668" s="8" t="n">
        <v>1</v>
      </c>
      <c r="I1668" s="8">
        <f>H1668*$D$3</f>
        <v/>
      </c>
      <c r="J1668" s="8" t="inlineStr">
        <is>
          <t>unité</t>
        </is>
      </c>
      <c r="K1668" s="8" t="n">
        <v>0</v>
      </c>
      <c r="L1668" s="8">
        <f>K1668-I1668</f>
        <v/>
      </c>
      <c r="M1668" s="8">
        <f>IF(K1668&lt;I1668,"✕ INSUFFISANT",IF(K1668&lt;I1668*1.2,"⚠ STOCK FAIBLE","✓ COUVERT"))</f>
        <v/>
      </c>
      <c r="N1668" s="8" t="inlineStr">
        <is>
          <t>SUM</t>
        </is>
      </c>
      <c r="O1668" s="8" t="inlineStr">
        <is>
          <t>CRITIQUE</t>
        </is>
      </c>
      <c r="P1668" s="8" t="inlineStr">
        <is>
          <t>31/08/2026 02:59</t>
        </is>
      </c>
    </row>
    <row r="1669">
      <c r="A1669" s="7" t="inlineStr">
        <is>
          <t>WHAP 8x8</t>
        </is>
      </c>
      <c r="B1669" s="7" t="inlineStr">
        <is>
          <t>WHAP-1665</t>
        </is>
      </c>
      <c r="C1669" s="7" t="inlineStr">
        <is>
          <t>MOT-1665</t>
        </is>
      </c>
      <c r="D1669" s="7" t="inlineStr">
        <is>
          <t>raccord de carter moteur</t>
        </is>
      </c>
      <c r="E1669" s="7" t="inlineStr">
        <is>
          <t>Moteur</t>
        </is>
      </c>
      <c r="F1669" s="7" t="inlineStr">
        <is>
          <t>Moteur</t>
        </is>
      </c>
      <c r="G1669" s="7" t="inlineStr">
        <is>
          <t>PIECE_VEHICULE</t>
        </is>
      </c>
      <c r="H1669" s="7" t="n">
        <v>1</v>
      </c>
      <c r="I1669" s="7">
        <f>H1669*$D$3</f>
        <v/>
      </c>
      <c r="J1669" s="7" t="inlineStr">
        <is>
          <t>unité</t>
        </is>
      </c>
      <c r="K1669" s="7" t="n">
        <v>0</v>
      </c>
      <c r="L1669" s="7">
        <f>K1669-I1669</f>
        <v/>
      </c>
      <c r="M1669" s="7">
        <f>IF(K1669&lt;I1669,"✕ INSUFFISANT",IF(K1669&lt;I1669*1.2,"⚠ STOCK FAIBLE","✓ COUVERT"))</f>
        <v/>
      </c>
      <c r="N1669" s="7" t="inlineStr">
        <is>
          <t>CTL</t>
        </is>
      </c>
      <c r="O1669" s="7" t="inlineStr">
        <is>
          <t>CRITIQUE</t>
        </is>
      </c>
      <c r="P1669" s="7" t="inlineStr">
        <is>
          <t>31/08/2026 02:59</t>
        </is>
      </c>
    </row>
    <row r="1670">
      <c r="A1670" s="8" t="inlineStr">
        <is>
          <t>WHAP 8x8</t>
        </is>
      </c>
      <c r="B1670" s="8" t="inlineStr">
        <is>
          <t>WHAP-1666</t>
        </is>
      </c>
      <c r="C1670" s="8" t="inlineStr">
        <is>
          <t>MOT-1666</t>
        </is>
      </c>
      <c r="D1670" s="8" t="inlineStr">
        <is>
          <t>plaque de carter moteur</t>
        </is>
      </c>
      <c r="E1670" s="8" t="inlineStr">
        <is>
          <t>Moteur</t>
        </is>
      </c>
      <c r="F1670" s="8" t="inlineStr">
        <is>
          <t>Moteur</t>
        </is>
      </c>
      <c r="G1670" s="8" t="inlineStr">
        <is>
          <t>PIECE_VEHICULE</t>
        </is>
      </c>
      <c r="H1670" s="8" t="n">
        <v>1</v>
      </c>
      <c r="I1670" s="8">
        <f>H1670*$D$3</f>
        <v/>
      </c>
      <c r="J1670" s="8" t="inlineStr">
        <is>
          <t>unité</t>
        </is>
      </c>
      <c r="K1670" s="8" t="n">
        <v>0</v>
      </c>
      <c r="L1670" s="8">
        <f>K1670-I1670</f>
        <v/>
      </c>
      <c r="M1670" s="8">
        <f>IF(K1670&lt;I1670,"✕ INSUFFISANT",IF(K1670&lt;I1670*1.2,"⚠ STOCK FAIBLE","✓ COUVERT"))</f>
        <v/>
      </c>
      <c r="N1670" s="8" t="inlineStr">
        <is>
          <t>VAL</t>
        </is>
      </c>
      <c r="O1670" s="8" t="inlineStr">
        <is>
          <t>CRITIQUE</t>
        </is>
      </c>
      <c r="P1670" s="8" t="inlineStr">
        <is>
          <t>31/08/2026 02:59</t>
        </is>
      </c>
    </row>
    <row r="1671">
      <c r="A1671" s="7" t="inlineStr">
        <is>
          <t>WHAP 8x8</t>
        </is>
      </c>
      <c r="B1671" s="7" t="inlineStr">
        <is>
          <t>WHAP-1667</t>
        </is>
      </c>
      <c r="C1671" s="7" t="inlineStr">
        <is>
          <t>MOT-1667</t>
        </is>
      </c>
      <c r="D1671" s="7" t="inlineStr">
        <is>
          <t>couvercle de carter moteur</t>
        </is>
      </c>
      <c r="E1671" s="7" t="inlineStr">
        <is>
          <t>Moteur</t>
        </is>
      </c>
      <c r="F1671" s="7" t="inlineStr">
        <is>
          <t>Moteur</t>
        </is>
      </c>
      <c r="G1671" s="7" t="inlineStr">
        <is>
          <t>PIECE_VEHICULE</t>
        </is>
      </c>
      <c r="H1671" s="7" t="n">
        <v>1</v>
      </c>
      <c r="I1671" s="7">
        <f>H1671*$D$3</f>
        <v/>
      </c>
      <c r="J1671" s="7" t="inlineStr">
        <is>
          <t>unité</t>
        </is>
      </c>
      <c r="K1671" s="7" t="n">
        <v>0</v>
      </c>
      <c r="L1671" s="7">
        <f>K1671-I1671</f>
        <v/>
      </c>
      <c r="M1671" s="7">
        <f>IF(K1671&lt;I1671,"✕ INSUFFISANT",IF(K1671&lt;I1671*1.2,"⚠ STOCK FAIBLE","✓ COUVERT"))</f>
        <v/>
      </c>
      <c r="N1671" s="7" t="inlineStr">
        <is>
          <t>MAG</t>
        </is>
      </c>
      <c r="O1671" s="7" t="inlineStr">
        <is>
          <t>CRITIQUE</t>
        </is>
      </c>
      <c r="P1671" s="7" t="inlineStr">
        <is>
          <t>31/08/2026 02:59</t>
        </is>
      </c>
    </row>
    <row r="1672">
      <c r="A1672" s="8" t="inlineStr">
        <is>
          <t>WHAP 8x8</t>
        </is>
      </c>
      <c r="B1672" s="8" t="inlineStr">
        <is>
          <t>WHAP-1668</t>
        </is>
      </c>
      <c r="C1672" s="8" t="inlineStr">
        <is>
          <t>MOT-1668</t>
        </is>
      </c>
      <c r="D1672" s="8" t="inlineStr">
        <is>
          <t>bague de carter moteur</t>
        </is>
      </c>
      <c r="E1672" s="8" t="inlineStr">
        <is>
          <t>Moteur</t>
        </is>
      </c>
      <c r="F1672" s="8" t="inlineStr">
        <is>
          <t>Moteur</t>
        </is>
      </c>
      <c r="G1672" s="8" t="inlineStr">
        <is>
          <t>PIECE_VEHICULE</t>
        </is>
      </c>
      <c r="H1672" s="8" t="n">
        <v>1</v>
      </c>
      <c r="I1672" s="8">
        <f>H1672*$D$3</f>
        <v/>
      </c>
      <c r="J1672" s="8" t="inlineStr">
        <is>
          <t>unité</t>
        </is>
      </c>
      <c r="K1672" s="8" t="n">
        <v>0</v>
      </c>
      <c r="L1672" s="8">
        <f>K1672-I1672</f>
        <v/>
      </c>
      <c r="M1672" s="8">
        <f>IF(K1672&lt;I1672,"✕ INSUFFISANT",IF(K1672&lt;I1672*1.2,"⚠ STOCK FAIBLE","✓ COUVERT"))</f>
        <v/>
      </c>
      <c r="N1672" s="8" t="inlineStr">
        <is>
          <t>CTL</t>
        </is>
      </c>
      <c r="O1672" s="8" t="inlineStr">
        <is>
          <t>CRITIQUE</t>
        </is>
      </c>
      <c r="P1672" s="8" t="inlineStr">
        <is>
          <t>31/08/2026 02:59</t>
        </is>
      </c>
    </row>
    <row r="1673">
      <c r="A1673" s="7" t="inlineStr">
        <is>
          <t>WHAP 8x8</t>
        </is>
      </c>
      <c r="B1673" s="7" t="inlineStr">
        <is>
          <t>WHAP-1669</t>
        </is>
      </c>
      <c r="C1673" s="7" t="inlineStr">
        <is>
          <t>MOT-1669</t>
        </is>
      </c>
      <c r="D1673" s="7" t="inlineStr">
        <is>
          <t>entretoise de carter moteur</t>
        </is>
      </c>
      <c r="E1673" s="7" t="inlineStr">
        <is>
          <t>Moteur</t>
        </is>
      </c>
      <c r="F1673" s="7" t="inlineStr">
        <is>
          <t>Moteur</t>
        </is>
      </c>
      <c r="G1673" s="7" t="inlineStr">
        <is>
          <t>PIECE_VEHICULE</t>
        </is>
      </c>
      <c r="H1673" s="7" t="n">
        <v>1</v>
      </c>
      <c r="I1673" s="7">
        <f>H1673*$D$3</f>
        <v/>
      </c>
      <c r="J1673" s="7" t="inlineStr">
        <is>
          <t>unité</t>
        </is>
      </c>
      <c r="K1673" s="7" t="n">
        <v>0</v>
      </c>
      <c r="L1673" s="7">
        <f>K1673-I1673</f>
        <v/>
      </c>
      <c r="M1673" s="7">
        <f>IF(K1673&lt;I1673,"✕ INSUFFISANT",IF(K1673&lt;I1673*1.2,"⚠ STOCK FAIBLE","✓ COUVERT"))</f>
        <v/>
      </c>
      <c r="N1673" s="7" t="inlineStr">
        <is>
          <t>YZK</t>
        </is>
      </c>
      <c r="O1673" s="7" t="inlineStr">
        <is>
          <t>CRITIQUE</t>
        </is>
      </c>
      <c r="P1673" s="7" t="inlineStr">
        <is>
          <t>31/08/2026 02:59</t>
        </is>
      </c>
    </row>
    <row r="1674">
      <c r="A1674" s="8" t="inlineStr">
        <is>
          <t>WHAP 8x8</t>
        </is>
      </c>
      <c r="B1674" s="8" t="inlineStr">
        <is>
          <t>WHAP-1670</t>
        </is>
      </c>
      <c r="C1674" s="8" t="inlineStr">
        <is>
          <t>MOT-1670</t>
        </is>
      </c>
      <c r="D1674" s="8" t="inlineStr">
        <is>
          <t>axe de carter moteur</t>
        </is>
      </c>
      <c r="E1674" s="8" t="inlineStr">
        <is>
          <t>Moteur</t>
        </is>
      </c>
      <c r="F1674" s="8" t="inlineStr">
        <is>
          <t>Moteur</t>
        </is>
      </c>
      <c r="G1674" s="8" t="inlineStr">
        <is>
          <t>PIECE_VEHICULE</t>
        </is>
      </c>
      <c r="H1674" s="8" t="n">
        <v>1</v>
      </c>
      <c r="I1674" s="8">
        <f>H1674*$D$3</f>
        <v/>
      </c>
      <c r="J1674" s="8" t="inlineStr">
        <is>
          <t>unité</t>
        </is>
      </c>
      <c r="K1674" s="8" t="n">
        <v>0</v>
      </c>
      <c r="L1674" s="8">
        <f>K1674-I1674</f>
        <v/>
      </c>
      <c r="M1674" s="8">
        <f>IF(K1674&lt;I1674,"✕ INSUFFISANT",IF(K1674&lt;I1674*1.2,"⚠ STOCK FAIBLE","✓ COUVERT"))</f>
        <v/>
      </c>
      <c r="N1674" s="8" t="inlineStr">
        <is>
          <t>FAU</t>
        </is>
      </c>
      <c r="O1674" s="8" t="inlineStr">
        <is>
          <t>CRITIQUE</t>
        </is>
      </c>
      <c r="P1674" s="8" t="inlineStr">
        <is>
          <t>31/08/2026 02:59</t>
        </is>
      </c>
    </row>
    <row r="1675">
      <c r="A1675" s="7" t="inlineStr">
        <is>
          <t>WHAP 8x8</t>
        </is>
      </c>
      <c r="B1675" s="7" t="inlineStr">
        <is>
          <t>WHAP-1671</t>
        </is>
      </c>
      <c r="C1675" s="7" t="inlineStr">
        <is>
          <t>MOT-1671</t>
        </is>
      </c>
      <c r="D1675" s="7" t="inlineStr">
        <is>
          <t>poulie de carter moteur</t>
        </is>
      </c>
      <c r="E1675" s="7" t="inlineStr">
        <is>
          <t>Moteur</t>
        </is>
      </c>
      <c r="F1675" s="7" t="inlineStr">
        <is>
          <t>Moteur</t>
        </is>
      </c>
      <c r="G1675" s="7" t="inlineStr">
        <is>
          <t>PIECE_VEHICULE</t>
        </is>
      </c>
      <c r="H1675" s="7" t="n">
        <v>1</v>
      </c>
      <c r="I1675" s="7">
        <f>H1675*$D$3</f>
        <v/>
      </c>
      <c r="J1675" s="7" t="inlineStr">
        <is>
          <t>unité</t>
        </is>
      </c>
      <c r="K1675" s="7" t="n">
        <v>0</v>
      </c>
      <c r="L1675" s="7">
        <f>K1675-I1675</f>
        <v/>
      </c>
      <c r="M1675" s="7">
        <f>IF(K1675&lt;I1675,"✕ INSUFFISANT",IF(K1675&lt;I1675*1.2,"⚠ STOCK FAIBLE","✓ COUVERT"))</f>
        <v/>
      </c>
      <c r="N1675" s="7" t="inlineStr">
        <is>
          <t>MAG</t>
        </is>
      </c>
      <c r="O1675" s="7" t="inlineStr">
        <is>
          <t>CRITIQUE</t>
        </is>
      </c>
      <c r="P1675" s="7" t="inlineStr">
        <is>
          <t>31/08/2026 02:59</t>
        </is>
      </c>
    </row>
    <row r="1676">
      <c r="A1676" s="8" t="inlineStr">
        <is>
          <t>WHAP 8x8</t>
        </is>
      </c>
      <c r="B1676" s="8" t="inlineStr">
        <is>
          <t>WHAP-1672</t>
        </is>
      </c>
      <c r="C1676" s="8" t="inlineStr">
        <is>
          <t>MOT-1672</t>
        </is>
      </c>
      <c r="D1676" s="8" t="inlineStr">
        <is>
          <t>pignon de carter moteur</t>
        </is>
      </c>
      <c r="E1676" s="8" t="inlineStr">
        <is>
          <t>Moteur</t>
        </is>
      </c>
      <c r="F1676" s="8" t="inlineStr">
        <is>
          <t>Moteur</t>
        </is>
      </c>
      <c r="G1676" s="8" t="inlineStr">
        <is>
          <t>PIECE_VEHICULE</t>
        </is>
      </c>
      <c r="H1676" s="8" t="n">
        <v>1</v>
      </c>
      <c r="I1676" s="8">
        <f>H1676*$D$3</f>
        <v/>
      </c>
      <c r="J1676" s="8" t="inlineStr">
        <is>
          <t>unité</t>
        </is>
      </c>
      <c r="K1676" s="8" t="n">
        <v>0</v>
      </c>
      <c r="L1676" s="8">
        <f>K1676-I1676</f>
        <v/>
      </c>
      <c r="M1676" s="8">
        <f>IF(K1676&lt;I1676,"✕ INSUFFISANT",IF(K1676&lt;I1676*1.2,"⚠ STOCK FAIBLE","✓ COUVERT"))</f>
        <v/>
      </c>
      <c r="N1676" s="8" t="inlineStr">
        <is>
          <t>SKF</t>
        </is>
      </c>
      <c r="O1676" s="8" t="inlineStr">
        <is>
          <t>CRITIQUE</t>
        </is>
      </c>
      <c r="P1676" s="8" t="inlineStr">
        <is>
          <t>31/08/2026 02:59</t>
        </is>
      </c>
    </row>
    <row r="1677">
      <c r="A1677" s="7" t="inlineStr">
        <is>
          <t>WHAP 8x8</t>
        </is>
      </c>
      <c r="B1677" s="7" t="inlineStr">
        <is>
          <t>WHAP-1673</t>
        </is>
      </c>
      <c r="C1677" s="7" t="inlineStr">
        <is>
          <t>MOT-1673</t>
        </is>
      </c>
      <c r="D1677" s="7" t="inlineStr">
        <is>
          <t>ensemble de carter d'huile</t>
        </is>
      </c>
      <c r="E1677" s="7" t="inlineStr">
        <is>
          <t>Moteur</t>
        </is>
      </c>
      <c r="F1677" s="7" t="inlineStr">
        <is>
          <t>Moteur</t>
        </is>
      </c>
      <c r="G1677" s="7" t="inlineStr">
        <is>
          <t>PIECE_VEHICULE</t>
        </is>
      </c>
      <c r="H1677" s="7" t="n">
        <v>1</v>
      </c>
      <c r="I1677" s="7">
        <f>H1677*$D$3</f>
        <v/>
      </c>
      <c r="J1677" s="7" t="inlineStr">
        <is>
          <t>unité</t>
        </is>
      </c>
      <c r="K1677" s="7" t="n">
        <v>0</v>
      </c>
      <c r="L1677" s="7">
        <f>K1677-I1677</f>
        <v/>
      </c>
      <c r="M1677" s="7">
        <f>IF(K1677&lt;I1677,"✕ INSUFFISANT",IF(K1677&lt;I1677*1.2,"⚠ STOCK FAIBLE","✓ COUVERT"))</f>
        <v/>
      </c>
      <c r="N1677" s="7" t="inlineStr">
        <is>
          <t>YZK</t>
        </is>
      </c>
      <c r="O1677" s="7" t="inlineStr">
        <is>
          <t>CRITIQUE</t>
        </is>
      </c>
      <c r="P1677" s="7" t="inlineStr">
        <is>
          <t>31/08/2026 02:59</t>
        </is>
      </c>
    </row>
    <row r="1678">
      <c r="A1678" s="8" t="inlineStr">
        <is>
          <t>WHAP 8x8</t>
        </is>
      </c>
      <c r="B1678" s="8" t="inlineStr">
        <is>
          <t>WHAP-1674</t>
        </is>
      </c>
      <c r="C1678" s="8" t="inlineStr">
        <is>
          <t>MOT-1674</t>
        </is>
      </c>
      <c r="D1678" s="8" t="inlineStr">
        <is>
          <t>kit de carter d'huile</t>
        </is>
      </c>
      <c r="E1678" s="8" t="inlineStr">
        <is>
          <t>Moteur</t>
        </is>
      </c>
      <c r="F1678" s="8" t="inlineStr">
        <is>
          <t>Moteur</t>
        </is>
      </c>
      <c r="G1678" s="8" t="inlineStr">
        <is>
          <t>PIECE_VEHICULE</t>
        </is>
      </c>
      <c r="H1678" s="8" t="n">
        <v>1</v>
      </c>
      <c r="I1678" s="8">
        <f>H1678*$D$3</f>
        <v/>
      </c>
      <c r="J1678" s="8" t="inlineStr">
        <is>
          <t>unité</t>
        </is>
      </c>
      <c r="K1678" s="8" t="n">
        <v>0</v>
      </c>
      <c r="L1678" s="8">
        <f>K1678-I1678</f>
        <v/>
      </c>
      <c r="M1678" s="8">
        <f>IF(K1678&lt;I1678,"✕ INSUFFISANT",IF(K1678&lt;I1678*1.2,"⚠ STOCK FAIBLE","✓ COUVERT"))</f>
        <v/>
      </c>
      <c r="N1678" s="8" t="inlineStr">
        <is>
          <t>SUM</t>
        </is>
      </c>
      <c r="O1678" s="8" t="inlineStr">
        <is>
          <t>CRITIQUE</t>
        </is>
      </c>
      <c r="P1678" s="8" t="inlineStr">
        <is>
          <t>31/08/2026 02:59</t>
        </is>
      </c>
    </row>
    <row r="1679">
      <c r="A1679" s="7" t="inlineStr">
        <is>
          <t>WHAP 8x8</t>
        </is>
      </c>
      <c r="B1679" s="7" t="inlineStr">
        <is>
          <t>WHAP-1675</t>
        </is>
      </c>
      <c r="C1679" s="7" t="inlineStr">
        <is>
          <t>MOT-1675</t>
        </is>
      </c>
      <c r="D1679" s="7" t="inlineStr">
        <is>
          <t>support de carter d'huile</t>
        </is>
      </c>
      <c r="E1679" s="7" t="inlineStr">
        <is>
          <t>Moteur</t>
        </is>
      </c>
      <c r="F1679" s="7" t="inlineStr">
        <is>
          <t>Moteur</t>
        </is>
      </c>
      <c r="G1679" s="7" t="inlineStr">
        <is>
          <t>PIECE_VEHICULE</t>
        </is>
      </c>
      <c r="H1679" s="7" t="n">
        <v>1</v>
      </c>
      <c r="I1679" s="7">
        <f>H1679*$D$3</f>
        <v/>
      </c>
      <c r="J1679" s="7" t="inlineStr">
        <is>
          <t>unité</t>
        </is>
      </c>
      <c r="K1679" s="7" t="n">
        <v>0</v>
      </c>
      <c r="L1679" s="7">
        <f>K1679-I1679</f>
        <v/>
      </c>
      <c r="M1679" s="7">
        <f>IF(K1679&lt;I1679,"✕ INSUFFISANT",IF(K1679&lt;I1679*1.2,"⚠ STOCK FAIBLE","✓ COUVERT"))</f>
        <v/>
      </c>
      <c r="N1679" s="7" t="inlineStr">
        <is>
          <t>YZK</t>
        </is>
      </c>
      <c r="O1679" s="7" t="inlineStr">
        <is>
          <t>CRITIQUE</t>
        </is>
      </c>
      <c r="P1679" s="7" t="inlineStr">
        <is>
          <t>31/08/2026 02:59</t>
        </is>
      </c>
    </row>
    <row r="1680">
      <c r="A1680" s="8" t="inlineStr">
        <is>
          <t>WHAP 8x8</t>
        </is>
      </c>
      <c r="B1680" s="8" t="inlineStr">
        <is>
          <t>WHAP-1676</t>
        </is>
      </c>
      <c r="C1680" s="8" t="inlineStr">
        <is>
          <t>MOT-1676</t>
        </is>
      </c>
      <c r="D1680" s="8" t="inlineStr">
        <is>
          <t>boîtier de carter d'huile</t>
        </is>
      </c>
      <c r="E1680" s="8" t="inlineStr">
        <is>
          <t>Moteur</t>
        </is>
      </c>
      <c r="F1680" s="8" t="inlineStr">
        <is>
          <t>Moteur</t>
        </is>
      </c>
      <c r="G1680" s="8" t="inlineStr">
        <is>
          <t>PIECE_VEHICULE</t>
        </is>
      </c>
      <c r="H1680" s="8" t="n">
        <v>1</v>
      </c>
      <c r="I1680" s="8">
        <f>H1680*$D$3</f>
        <v/>
      </c>
      <c r="J1680" s="8" t="inlineStr">
        <is>
          <t>unité</t>
        </is>
      </c>
      <c r="K1680" s="8" t="n">
        <v>0</v>
      </c>
      <c r="L1680" s="8">
        <f>K1680-I1680</f>
        <v/>
      </c>
      <c r="M1680" s="8">
        <f>IF(K1680&lt;I1680,"✕ INSUFFISANT",IF(K1680&lt;I1680*1.2,"⚠ STOCK FAIBLE","✓ COUVERT"))</f>
        <v/>
      </c>
      <c r="N1680" s="8" t="inlineStr">
        <is>
          <t>BOS</t>
        </is>
      </c>
      <c r="O1680" s="8" t="inlineStr">
        <is>
          <t>CRITIQUE</t>
        </is>
      </c>
      <c r="P1680" s="8" t="inlineStr">
        <is>
          <t>31/08/2026 02:59</t>
        </is>
      </c>
    </row>
    <row r="1681">
      <c r="A1681" s="7" t="inlineStr">
        <is>
          <t>WHAP 8x8</t>
        </is>
      </c>
      <c r="B1681" s="7" t="inlineStr">
        <is>
          <t>WHAP-1677</t>
        </is>
      </c>
      <c r="C1681" s="7" t="inlineStr">
        <is>
          <t>MOT-1677</t>
        </is>
      </c>
      <c r="D1681" s="7" t="inlineStr">
        <is>
          <t>module de carter d'huile</t>
        </is>
      </c>
      <c r="E1681" s="7" t="inlineStr">
        <is>
          <t>Moteur</t>
        </is>
      </c>
      <c r="F1681" s="7" t="inlineStr">
        <is>
          <t>Moteur</t>
        </is>
      </c>
      <c r="G1681" s="7" t="inlineStr">
        <is>
          <t>PIECE_VEHICULE</t>
        </is>
      </c>
      <c r="H1681" s="7" t="n">
        <v>1</v>
      </c>
      <c r="I1681" s="7">
        <f>H1681*$D$3</f>
        <v/>
      </c>
      <c r="J1681" s="7" t="inlineStr">
        <is>
          <t>unité</t>
        </is>
      </c>
      <c r="K1681" s="7" t="n">
        <v>0</v>
      </c>
      <c r="L1681" s="7">
        <f>K1681-I1681</f>
        <v/>
      </c>
      <c r="M1681" s="7">
        <f>IF(K1681&lt;I1681,"✕ INSUFFISANT",IF(K1681&lt;I1681*1.2,"⚠ STOCK FAIBLE","✓ COUVERT"))</f>
        <v/>
      </c>
      <c r="N1681" s="7" t="inlineStr">
        <is>
          <t>SUM</t>
        </is>
      </c>
      <c r="O1681" s="7" t="inlineStr">
        <is>
          <t>CRITIQUE</t>
        </is>
      </c>
      <c r="P1681" s="7" t="inlineStr">
        <is>
          <t>31/08/2026 02:59</t>
        </is>
      </c>
    </row>
    <row r="1682">
      <c r="A1682" s="8" t="inlineStr">
        <is>
          <t>WHAP 8x8</t>
        </is>
      </c>
      <c r="B1682" s="8" t="inlineStr">
        <is>
          <t>WHAP-1678</t>
        </is>
      </c>
      <c r="C1682" s="8" t="inlineStr">
        <is>
          <t>MOT-1678</t>
        </is>
      </c>
      <c r="D1682" s="8" t="inlineStr">
        <is>
          <t>câblage de carter d'huile</t>
        </is>
      </c>
      <c r="E1682" s="8" t="inlineStr">
        <is>
          <t>Moteur</t>
        </is>
      </c>
      <c r="F1682" s="8" t="inlineStr">
        <is>
          <t>Moteur</t>
        </is>
      </c>
      <c r="G1682" s="8" t="inlineStr">
        <is>
          <t>PIECE_VEHICULE</t>
        </is>
      </c>
      <c r="H1682" s="8" t="n">
        <v>1</v>
      </c>
      <c r="I1682" s="8">
        <f>H1682*$D$3</f>
        <v/>
      </c>
      <c r="J1682" s="8" t="inlineStr">
        <is>
          <t>unité</t>
        </is>
      </c>
      <c r="K1682" s="8" t="n">
        <v>0</v>
      </c>
      <c r="L1682" s="8">
        <f>K1682-I1682</f>
        <v/>
      </c>
      <c r="M1682" s="8">
        <f>IF(K1682&lt;I1682,"✕ INSUFFISANT",IF(K1682&lt;I1682*1.2,"⚠ STOCK FAIBLE","✓ COUVERT"))</f>
        <v/>
      </c>
      <c r="N1682" s="8" t="inlineStr">
        <is>
          <t>YZK</t>
        </is>
      </c>
      <c r="O1682" s="8" t="inlineStr">
        <is>
          <t>CRITIQUE</t>
        </is>
      </c>
      <c r="P1682" s="8" t="inlineStr">
        <is>
          <t>31/08/2026 02:59</t>
        </is>
      </c>
    </row>
    <row r="1683">
      <c r="A1683" s="7" t="inlineStr">
        <is>
          <t>WHAP 8x8</t>
        </is>
      </c>
      <c r="B1683" s="7" t="inlineStr">
        <is>
          <t>WHAP-1679</t>
        </is>
      </c>
      <c r="C1683" s="7" t="inlineStr">
        <is>
          <t>MOT-1679</t>
        </is>
      </c>
      <c r="D1683" s="7" t="inlineStr">
        <is>
          <t>connecteur de carter d'huile</t>
        </is>
      </c>
      <c r="E1683" s="7" t="inlineStr">
        <is>
          <t>Moteur</t>
        </is>
      </c>
      <c r="F1683" s="7" t="inlineStr">
        <is>
          <t>Moteur</t>
        </is>
      </c>
      <c r="G1683" s="7" t="inlineStr">
        <is>
          <t>PIECE_VEHICULE</t>
        </is>
      </c>
      <c r="H1683" s="7" t="n">
        <v>1</v>
      </c>
      <c r="I1683" s="7">
        <f>H1683*$D$3</f>
        <v/>
      </c>
      <c r="J1683" s="7" t="inlineStr">
        <is>
          <t>unité</t>
        </is>
      </c>
      <c r="K1683" s="7" t="n">
        <v>0</v>
      </c>
      <c r="L1683" s="7">
        <f>K1683-I1683</f>
        <v/>
      </c>
      <c r="M1683" s="7">
        <f>IF(K1683&lt;I1683,"✕ INSUFFISANT",IF(K1683&lt;I1683*1.2,"⚠ STOCK FAIBLE","✓ COUVERT"))</f>
        <v/>
      </c>
      <c r="N1683" s="7" t="inlineStr">
        <is>
          <t>SUM</t>
        </is>
      </c>
      <c r="O1683" s="7" t="inlineStr">
        <is>
          <t>CRITIQUE</t>
        </is>
      </c>
      <c r="P1683" s="7" t="inlineStr">
        <is>
          <t>31/08/2026 02:59</t>
        </is>
      </c>
    </row>
    <row r="1684">
      <c r="A1684" s="8" t="inlineStr">
        <is>
          <t>WHAP 8x8</t>
        </is>
      </c>
      <c r="B1684" s="8" t="inlineStr">
        <is>
          <t>WHAP-1680</t>
        </is>
      </c>
      <c r="C1684" s="8" t="inlineStr">
        <is>
          <t>MOT-1680</t>
        </is>
      </c>
      <c r="D1684" s="8" t="inlineStr">
        <is>
          <t>joint de carter d'huile</t>
        </is>
      </c>
      <c r="E1684" s="8" t="inlineStr">
        <is>
          <t>Moteur</t>
        </is>
      </c>
      <c r="F1684" s="8" t="inlineStr">
        <is>
          <t>Moteur</t>
        </is>
      </c>
      <c r="G1684" s="8" t="inlineStr">
        <is>
          <t>PIECE_VEHICULE</t>
        </is>
      </c>
      <c r="H1684" s="8" t="n">
        <v>1</v>
      </c>
      <c r="I1684" s="8">
        <f>H1684*$D$3</f>
        <v/>
      </c>
      <c r="J1684" s="8" t="inlineStr">
        <is>
          <t>unité</t>
        </is>
      </c>
      <c r="K1684" s="8" t="n">
        <v>0</v>
      </c>
      <c r="L1684" s="8">
        <f>K1684-I1684</f>
        <v/>
      </c>
      <c r="M1684" s="8">
        <f>IF(K1684&lt;I1684,"✕ INSUFFISANT",IF(K1684&lt;I1684*1.2,"⚠ STOCK FAIBLE","✓ COUVERT"))</f>
        <v/>
      </c>
      <c r="N1684" s="8" t="inlineStr">
        <is>
          <t>HEL</t>
        </is>
      </c>
      <c r="O1684" s="8" t="inlineStr">
        <is>
          <t>CRITIQUE</t>
        </is>
      </c>
      <c r="P1684" s="8" t="inlineStr">
        <is>
          <t>31/08/2026 02:59</t>
        </is>
      </c>
    </row>
    <row r="1685">
      <c r="A1685" s="7" t="inlineStr">
        <is>
          <t>WHAP 8x8</t>
        </is>
      </c>
      <c r="B1685" s="7" t="inlineStr">
        <is>
          <t>WHAP-1681</t>
        </is>
      </c>
      <c r="C1685" s="7" t="inlineStr">
        <is>
          <t>MOT-1681</t>
        </is>
      </c>
      <c r="D1685" s="7" t="inlineStr">
        <is>
          <t>fixation de carter d'huile</t>
        </is>
      </c>
      <c r="E1685" s="7" t="inlineStr">
        <is>
          <t>Moteur</t>
        </is>
      </c>
      <c r="F1685" s="7" t="inlineStr">
        <is>
          <t>Moteur</t>
        </is>
      </c>
      <c r="G1685" s="7" t="inlineStr">
        <is>
          <t>PIECE_VEHICULE</t>
        </is>
      </c>
      <c r="H1685" s="7" t="n">
        <v>1</v>
      </c>
      <c r="I1685" s="7">
        <f>H1685*$D$3</f>
        <v/>
      </c>
      <c r="J1685" s="7" t="inlineStr">
        <is>
          <t>unité</t>
        </is>
      </c>
      <c r="K1685" s="7" t="n">
        <v>0</v>
      </c>
      <c r="L1685" s="7">
        <f>K1685-I1685</f>
        <v/>
      </c>
      <c r="M1685" s="7">
        <f>IF(K1685&lt;I1685,"✕ INSUFFISANT",IF(K1685&lt;I1685*1.2,"⚠ STOCK FAIBLE","✓ COUVERT"))</f>
        <v/>
      </c>
      <c r="N1685" s="7" t="inlineStr">
        <is>
          <t>VAL</t>
        </is>
      </c>
      <c r="O1685" s="7" t="inlineStr">
        <is>
          <t>CRITIQUE</t>
        </is>
      </c>
      <c r="P1685" s="7" t="inlineStr">
        <is>
          <t>31/08/2026 02:59</t>
        </is>
      </c>
    </row>
    <row r="1686">
      <c r="A1686" s="8" t="inlineStr">
        <is>
          <t>WHAP 8x8</t>
        </is>
      </c>
      <c r="B1686" s="8" t="inlineStr">
        <is>
          <t>WHAP-1682</t>
        </is>
      </c>
      <c r="C1686" s="8" t="inlineStr">
        <is>
          <t>MOT-1682</t>
        </is>
      </c>
      <c r="D1686" s="8" t="inlineStr">
        <is>
          <t>protection de carter d'huile</t>
        </is>
      </c>
      <c r="E1686" s="8" t="inlineStr">
        <is>
          <t>Moteur</t>
        </is>
      </c>
      <c r="F1686" s="8" t="inlineStr">
        <is>
          <t>Moteur</t>
        </is>
      </c>
      <c r="G1686" s="8" t="inlineStr">
        <is>
          <t>PIECE_VEHICULE</t>
        </is>
      </c>
      <c r="H1686" s="8" t="n">
        <v>1</v>
      </c>
      <c r="I1686" s="8">
        <f>H1686*$D$3</f>
        <v/>
      </c>
      <c r="J1686" s="8" t="inlineStr">
        <is>
          <t>unité</t>
        </is>
      </c>
      <c r="K1686" s="8" t="n">
        <v>0</v>
      </c>
      <c r="L1686" s="8">
        <f>K1686-I1686</f>
        <v/>
      </c>
      <c r="M1686" s="8">
        <f>IF(K1686&lt;I1686,"✕ INSUFFISANT",IF(K1686&lt;I1686*1.2,"⚠ STOCK FAIBLE","✓ COUVERT"))</f>
        <v/>
      </c>
      <c r="N1686" s="8" t="inlineStr">
        <is>
          <t>SKF</t>
        </is>
      </c>
      <c r="O1686" s="8" t="inlineStr">
        <is>
          <t>CRITIQUE</t>
        </is>
      </c>
      <c r="P1686" s="8" t="inlineStr">
        <is>
          <t>31/08/2026 02:59</t>
        </is>
      </c>
    </row>
    <row r="1687">
      <c r="A1687" s="7" t="inlineStr">
        <is>
          <t>WHAP 8x8</t>
        </is>
      </c>
      <c r="B1687" s="7" t="inlineStr">
        <is>
          <t>WHAP-1683</t>
        </is>
      </c>
      <c r="C1687" s="7" t="inlineStr">
        <is>
          <t>MOT-1683</t>
        </is>
      </c>
      <c r="D1687" s="7" t="inlineStr">
        <is>
          <t>capteur de carter d'huile</t>
        </is>
      </c>
      <c r="E1687" s="7" t="inlineStr">
        <is>
          <t>Moteur</t>
        </is>
      </c>
      <c r="F1687" s="7" t="inlineStr">
        <is>
          <t>Moteur</t>
        </is>
      </c>
      <c r="G1687" s="7" t="inlineStr">
        <is>
          <t>PIECE_VEHICULE</t>
        </is>
      </c>
      <c r="H1687" s="7" t="n">
        <v>1</v>
      </c>
      <c r="I1687" s="7">
        <f>H1687*$D$3</f>
        <v/>
      </c>
      <c r="J1687" s="7" t="inlineStr">
        <is>
          <t>unité</t>
        </is>
      </c>
      <c r="K1687" s="7" t="n">
        <v>0</v>
      </c>
      <c r="L1687" s="7">
        <f>K1687-I1687</f>
        <v/>
      </c>
      <c r="M1687" s="7">
        <f>IF(K1687&lt;I1687,"✕ INSUFFISANT",IF(K1687&lt;I1687*1.2,"⚠ STOCK FAIBLE","✓ COUVERT"))</f>
        <v/>
      </c>
      <c r="N1687" s="7" t="inlineStr">
        <is>
          <t>BOS</t>
        </is>
      </c>
      <c r="O1687" s="7" t="inlineStr">
        <is>
          <t>CRITIQUE</t>
        </is>
      </c>
      <c r="P1687" s="7" t="inlineStr">
        <is>
          <t>31/08/2026 02:59</t>
        </is>
      </c>
    </row>
    <row r="1688">
      <c r="A1688" s="8" t="inlineStr">
        <is>
          <t>WHAP 8x8</t>
        </is>
      </c>
      <c r="B1688" s="8" t="inlineStr">
        <is>
          <t>WHAP-1684</t>
        </is>
      </c>
      <c r="C1688" s="8" t="inlineStr">
        <is>
          <t>MOT-1684</t>
        </is>
      </c>
      <c r="D1688" s="8" t="inlineStr">
        <is>
          <t>actionneur de carter d'huile</t>
        </is>
      </c>
      <c r="E1688" s="8" t="inlineStr">
        <is>
          <t>Moteur</t>
        </is>
      </c>
      <c r="F1688" s="8" t="inlineStr">
        <is>
          <t>Moteur</t>
        </is>
      </c>
      <c r="G1688" s="8" t="inlineStr">
        <is>
          <t>PIECE_VEHICULE</t>
        </is>
      </c>
      <c r="H1688" s="8" t="n">
        <v>1</v>
      </c>
      <c r="I1688" s="8">
        <f>H1688*$D$3</f>
        <v/>
      </c>
      <c r="J1688" s="8" t="inlineStr">
        <is>
          <t>unité</t>
        </is>
      </c>
      <c r="K1688" s="8" t="n">
        <v>0</v>
      </c>
      <c r="L1688" s="8">
        <f>K1688-I1688</f>
        <v/>
      </c>
      <c r="M1688" s="8">
        <f>IF(K1688&lt;I1688,"✕ INSUFFISANT",IF(K1688&lt;I1688*1.2,"⚠ STOCK FAIBLE","✓ COUVERT"))</f>
        <v/>
      </c>
      <c r="N1688" s="8" t="inlineStr">
        <is>
          <t>VAL</t>
        </is>
      </c>
      <c r="O1688" s="8" t="inlineStr">
        <is>
          <t>CRITIQUE</t>
        </is>
      </c>
      <c r="P1688" s="8" t="inlineStr">
        <is>
          <t>31/08/2026 02:59</t>
        </is>
      </c>
    </row>
    <row r="1689">
      <c r="A1689" s="7" t="inlineStr">
        <is>
          <t>WHAP 8x8</t>
        </is>
      </c>
      <c r="B1689" s="7" t="inlineStr">
        <is>
          <t>WHAP-1685</t>
        </is>
      </c>
      <c r="C1689" s="7" t="inlineStr">
        <is>
          <t>MOT-1685</t>
        </is>
      </c>
      <c r="D1689" s="7" t="inlineStr">
        <is>
          <t>raccord de carter d'huile</t>
        </is>
      </c>
      <c r="E1689" s="7" t="inlineStr">
        <is>
          <t>Moteur</t>
        </is>
      </c>
      <c r="F1689" s="7" t="inlineStr">
        <is>
          <t>Moteur</t>
        </is>
      </c>
      <c r="G1689" s="7" t="inlineStr">
        <is>
          <t>PIECE_VEHICULE</t>
        </is>
      </c>
      <c r="H1689" s="7" t="n">
        <v>1</v>
      </c>
      <c r="I1689" s="7">
        <f>H1689*$D$3</f>
        <v/>
      </c>
      <c r="J1689" s="7" t="inlineStr">
        <is>
          <t>unité</t>
        </is>
      </c>
      <c r="K1689" s="7" t="n">
        <v>0</v>
      </c>
      <c r="L1689" s="7">
        <f>K1689-I1689</f>
        <v/>
      </c>
      <c r="M1689" s="7">
        <f>IF(K1689&lt;I1689,"✕ INSUFFISANT",IF(K1689&lt;I1689*1.2,"⚠ STOCK FAIBLE","✓ COUVERT"))</f>
        <v/>
      </c>
      <c r="N1689" s="7" t="inlineStr">
        <is>
          <t>YZK</t>
        </is>
      </c>
      <c r="O1689" s="7" t="inlineStr">
        <is>
          <t>CRITIQUE</t>
        </is>
      </c>
      <c r="P1689" s="7" t="inlineStr">
        <is>
          <t>31/08/2026 02:59</t>
        </is>
      </c>
    </row>
    <row r="1690">
      <c r="A1690" s="8" t="inlineStr">
        <is>
          <t>WHAP 8x8</t>
        </is>
      </c>
      <c r="B1690" s="8" t="inlineStr">
        <is>
          <t>WHAP-1686</t>
        </is>
      </c>
      <c r="C1690" s="8" t="inlineStr">
        <is>
          <t>MOT-1686</t>
        </is>
      </c>
      <c r="D1690" s="8" t="inlineStr">
        <is>
          <t>plaque de carter d'huile</t>
        </is>
      </c>
      <c r="E1690" s="8" t="inlineStr">
        <is>
          <t>Moteur</t>
        </is>
      </c>
      <c r="F1690" s="8" t="inlineStr">
        <is>
          <t>Moteur</t>
        </is>
      </c>
      <c r="G1690" s="8" t="inlineStr">
        <is>
          <t>PIECE_VEHICULE</t>
        </is>
      </c>
      <c r="H1690" s="8" t="n">
        <v>1</v>
      </c>
      <c r="I1690" s="8">
        <f>H1690*$D$3</f>
        <v/>
      </c>
      <c r="J1690" s="8" t="inlineStr">
        <is>
          <t>unité</t>
        </is>
      </c>
      <c r="K1690" s="8" t="n">
        <v>0</v>
      </c>
      <c r="L1690" s="8">
        <f>K1690-I1690</f>
        <v/>
      </c>
      <c r="M1690" s="8">
        <f>IF(K1690&lt;I1690,"✕ INSUFFISANT",IF(K1690&lt;I1690*1.2,"⚠ STOCK FAIBLE","✓ COUVERT"))</f>
        <v/>
      </c>
      <c r="N1690" s="8" t="inlineStr">
        <is>
          <t>VAL</t>
        </is>
      </c>
      <c r="O1690" s="8" t="inlineStr">
        <is>
          <t>CRITIQUE</t>
        </is>
      </c>
      <c r="P1690" s="8" t="inlineStr">
        <is>
          <t>31/08/2026 02:59</t>
        </is>
      </c>
    </row>
    <row r="1691">
      <c r="A1691" s="7" t="inlineStr">
        <is>
          <t>WHAP 8x8</t>
        </is>
      </c>
      <c r="B1691" s="7" t="inlineStr">
        <is>
          <t>WHAP-1687</t>
        </is>
      </c>
      <c r="C1691" s="7" t="inlineStr">
        <is>
          <t>MOT-1687</t>
        </is>
      </c>
      <c r="D1691" s="7" t="inlineStr">
        <is>
          <t>couvercle de carter d'huile</t>
        </is>
      </c>
      <c r="E1691" s="7" t="inlineStr">
        <is>
          <t>Moteur</t>
        </is>
      </c>
      <c r="F1691" s="7" t="inlineStr">
        <is>
          <t>Moteur</t>
        </is>
      </c>
      <c r="G1691" s="7" t="inlineStr">
        <is>
          <t>PIECE_VEHICULE</t>
        </is>
      </c>
      <c r="H1691" s="7" t="n">
        <v>1</v>
      </c>
      <c r="I1691" s="7">
        <f>H1691*$D$3</f>
        <v/>
      </c>
      <c r="J1691" s="7" t="inlineStr">
        <is>
          <t>unité</t>
        </is>
      </c>
      <c r="K1691" s="7" t="n">
        <v>0</v>
      </c>
      <c r="L1691" s="7">
        <f>K1691-I1691</f>
        <v/>
      </c>
      <c r="M1691" s="7">
        <f>IF(K1691&lt;I1691,"✕ INSUFFISANT",IF(K1691&lt;I1691*1.2,"⚠ STOCK FAIBLE","✓ COUVERT"))</f>
        <v/>
      </c>
      <c r="N1691" s="7" t="inlineStr">
        <is>
          <t>CTL</t>
        </is>
      </c>
      <c r="O1691" s="7" t="inlineStr">
        <is>
          <t>CRITIQUE</t>
        </is>
      </c>
      <c r="P1691" s="7" t="inlineStr">
        <is>
          <t>31/08/2026 02:59</t>
        </is>
      </c>
    </row>
    <row r="1692">
      <c r="A1692" s="8" t="inlineStr">
        <is>
          <t>WHAP 8x8</t>
        </is>
      </c>
      <c r="B1692" s="8" t="inlineStr">
        <is>
          <t>WHAP-1688</t>
        </is>
      </c>
      <c r="C1692" s="8" t="inlineStr">
        <is>
          <t>MOT-1688</t>
        </is>
      </c>
      <c r="D1692" s="8" t="inlineStr">
        <is>
          <t>bague de carter d'huile</t>
        </is>
      </c>
      <c r="E1692" s="8" t="inlineStr">
        <is>
          <t>Moteur</t>
        </is>
      </c>
      <c r="F1692" s="8" t="inlineStr">
        <is>
          <t>Moteur</t>
        </is>
      </c>
      <c r="G1692" s="8" t="inlineStr">
        <is>
          <t>PIECE_VEHICULE</t>
        </is>
      </c>
      <c r="H1692" s="8" t="n">
        <v>1</v>
      </c>
      <c r="I1692" s="8">
        <f>H1692*$D$3</f>
        <v/>
      </c>
      <c r="J1692" s="8" t="inlineStr">
        <is>
          <t>unité</t>
        </is>
      </c>
      <c r="K1692" s="8" t="n">
        <v>0</v>
      </c>
      <c r="L1692" s="8">
        <f>K1692-I1692</f>
        <v/>
      </c>
      <c r="M1692" s="8">
        <f>IF(K1692&lt;I1692,"✕ INSUFFISANT",IF(K1692&lt;I1692*1.2,"⚠ STOCK FAIBLE","✓ COUVERT"))</f>
        <v/>
      </c>
      <c r="N1692" s="8" t="inlineStr">
        <is>
          <t>BOS</t>
        </is>
      </c>
      <c r="O1692" s="8" t="inlineStr">
        <is>
          <t>CRITIQUE</t>
        </is>
      </c>
      <c r="P1692" s="8" t="inlineStr">
        <is>
          <t>31/08/2026 02:59</t>
        </is>
      </c>
    </row>
    <row r="1693">
      <c r="A1693" s="7" t="inlineStr">
        <is>
          <t>WHAP 8x8</t>
        </is>
      </c>
      <c r="B1693" s="7" t="inlineStr">
        <is>
          <t>WHAP-1689</t>
        </is>
      </c>
      <c r="C1693" s="7" t="inlineStr">
        <is>
          <t>MOT-1689</t>
        </is>
      </c>
      <c r="D1693" s="7" t="inlineStr">
        <is>
          <t>entretoise de carter d'huile</t>
        </is>
      </c>
      <c r="E1693" s="7" t="inlineStr">
        <is>
          <t>Moteur</t>
        </is>
      </c>
      <c r="F1693" s="7" t="inlineStr">
        <is>
          <t>Moteur</t>
        </is>
      </c>
      <c r="G1693" s="7" t="inlineStr">
        <is>
          <t>PIECE_VEHICULE</t>
        </is>
      </c>
      <c r="H1693" s="7" t="n">
        <v>1</v>
      </c>
      <c r="I1693" s="7">
        <f>H1693*$D$3</f>
        <v/>
      </c>
      <c r="J1693" s="7" t="inlineStr">
        <is>
          <t>unité</t>
        </is>
      </c>
      <c r="K1693" s="7" t="n">
        <v>0</v>
      </c>
      <c r="L1693" s="7">
        <f>K1693-I1693</f>
        <v/>
      </c>
      <c r="M1693" s="7">
        <f>IF(K1693&lt;I1693,"✕ INSUFFISANT",IF(K1693&lt;I1693*1.2,"⚠ STOCK FAIBLE","✓ COUVERT"))</f>
        <v/>
      </c>
      <c r="N1693" s="7" t="inlineStr">
        <is>
          <t>SKF</t>
        </is>
      </c>
      <c r="O1693" s="7" t="inlineStr">
        <is>
          <t>CRITIQUE</t>
        </is>
      </c>
      <c r="P1693" s="7" t="inlineStr">
        <is>
          <t>31/08/2026 02:59</t>
        </is>
      </c>
    </row>
    <row r="1694">
      <c r="A1694" s="8" t="inlineStr">
        <is>
          <t>WHAP 8x8</t>
        </is>
      </c>
      <c r="B1694" s="8" t="inlineStr">
        <is>
          <t>WHAP-1690</t>
        </is>
      </c>
      <c r="C1694" s="8" t="inlineStr">
        <is>
          <t>MOT-1690</t>
        </is>
      </c>
      <c r="D1694" s="8" t="inlineStr">
        <is>
          <t>axe de carter d'huile</t>
        </is>
      </c>
      <c r="E1694" s="8" t="inlineStr">
        <is>
          <t>Moteur</t>
        </is>
      </c>
      <c r="F1694" s="8" t="inlineStr">
        <is>
          <t>Moteur</t>
        </is>
      </c>
      <c r="G1694" s="8" t="inlineStr">
        <is>
          <t>PIECE_VEHICULE</t>
        </is>
      </c>
      <c r="H1694" s="8" t="n">
        <v>1</v>
      </c>
      <c r="I1694" s="8">
        <f>H1694*$D$3</f>
        <v/>
      </c>
      <c r="J1694" s="8" t="inlineStr">
        <is>
          <t>unité</t>
        </is>
      </c>
      <c r="K1694" s="8" t="n">
        <v>0</v>
      </c>
      <c r="L1694" s="8">
        <f>K1694-I1694</f>
        <v/>
      </c>
      <c r="M1694" s="8">
        <f>IF(K1694&lt;I1694,"✕ INSUFFISANT",IF(K1694&lt;I1694*1.2,"⚠ STOCK FAIBLE","✓ COUVERT"))</f>
        <v/>
      </c>
      <c r="N1694" s="8" t="inlineStr">
        <is>
          <t>DEL</t>
        </is>
      </c>
      <c r="O1694" s="8" t="inlineStr">
        <is>
          <t>CRITIQUE</t>
        </is>
      </c>
      <c r="P1694" s="8" t="inlineStr">
        <is>
          <t>31/08/2026 02:59</t>
        </is>
      </c>
    </row>
    <row r="1695">
      <c r="A1695" s="7" t="inlineStr">
        <is>
          <t>WHAP 8x8</t>
        </is>
      </c>
      <c r="B1695" s="7" t="inlineStr">
        <is>
          <t>WHAP-1691</t>
        </is>
      </c>
      <c r="C1695" s="7" t="inlineStr">
        <is>
          <t>MOT-1691</t>
        </is>
      </c>
      <c r="D1695" s="7" t="inlineStr">
        <is>
          <t>poulie de carter d'huile</t>
        </is>
      </c>
      <c r="E1695" s="7" t="inlineStr">
        <is>
          <t>Moteur</t>
        </is>
      </c>
      <c r="F1695" s="7" t="inlineStr">
        <is>
          <t>Moteur</t>
        </is>
      </c>
      <c r="G1695" s="7" t="inlineStr">
        <is>
          <t>PIECE_VEHICULE</t>
        </is>
      </c>
      <c r="H1695" s="7" t="n">
        <v>1</v>
      </c>
      <c r="I1695" s="7">
        <f>H1695*$D$3</f>
        <v/>
      </c>
      <c r="J1695" s="7" t="inlineStr">
        <is>
          <t>unité</t>
        </is>
      </c>
      <c r="K1695" s="7" t="n">
        <v>0</v>
      </c>
      <c r="L1695" s="7">
        <f>K1695-I1695</f>
        <v/>
      </c>
      <c r="M1695" s="7">
        <f>IF(K1695&lt;I1695,"✕ INSUFFISANT",IF(K1695&lt;I1695*1.2,"⚠ STOCK FAIBLE","✓ COUVERT"))</f>
        <v/>
      </c>
      <c r="N1695" s="7" t="inlineStr">
        <is>
          <t>SUM</t>
        </is>
      </c>
      <c r="O1695" s="7" t="inlineStr">
        <is>
          <t>CRITIQUE</t>
        </is>
      </c>
      <c r="P1695" s="7" t="inlineStr">
        <is>
          <t>31/08/2026 02:59</t>
        </is>
      </c>
    </row>
    <row r="1696">
      <c r="A1696" s="8" t="inlineStr">
        <is>
          <t>WHAP 8x8</t>
        </is>
      </c>
      <c r="B1696" s="8" t="inlineStr">
        <is>
          <t>WHAP-1692</t>
        </is>
      </c>
      <c r="C1696" s="8" t="inlineStr">
        <is>
          <t>MOT-1692</t>
        </is>
      </c>
      <c r="D1696" s="8" t="inlineStr">
        <is>
          <t>pignon de carter d'huile</t>
        </is>
      </c>
      <c r="E1696" s="8" t="inlineStr">
        <is>
          <t>Moteur</t>
        </is>
      </c>
      <c r="F1696" s="8" t="inlineStr">
        <is>
          <t>Moteur</t>
        </is>
      </c>
      <c r="G1696" s="8" t="inlineStr">
        <is>
          <t>PIECE_VEHICULE</t>
        </is>
      </c>
      <c r="H1696" s="8" t="n">
        <v>1</v>
      </c>
      <c r="I1696" s="8">
        <f>H1696*$D$3</f>
        <v/>
      </c>
      <c r="J1696" s="8" t="inlineStr">
        <is>
          <t>unité</t>
        </is>
      </c>
      <c r="K1696" s="8" t="n">
        <v>0</v>
      </c>
      <c r="L1696" s="8">
        <f>K1696-I1696</f>
        <v/>
      </c>
      <c r="M1696" s="8">
        <f>IF(K1696&lt;I1696,"✕ INSUFFISANT",IF(K1696&lt;I1696*1.2,"⚠ STOCK FAIBLE","✓ COUVERT"))</f>
        <v/>
      </c>
      <c r="N1696" s="8" t="inlineStr">
        <is>
          <t>BOS</t>
        </is>
      </c>
      <c r="O1696" s="8" t="inlineStr">
        <is>
          <t>CRITIQUE</t>
        </is>
      </c>
      <c r="P1696" s="8" t="inlineStr">
        <is>
          <t>31/08/2026 02:59</t>
        </is>
      </c>
    </row>
    <row r="1697">
      <c r="A1697" s="7" t="inlineStr">
        <is>
          <t>WHAP 8x8</t>
        </is>
      </c>
      <c r="B1697" s="7" t="inlineStr">
        <is>
          <t>WHAP-1693</t>
        </is>
      </c>
      <c r="C1697" s="7" t="inlineStr">
        <is>
          <t>MOT-1693</t>
        </is>
      </c>
      <c r="D1697" s="7" t="inlineStr">
        <is>
          <t>ensemble de vilebrequin</t>
        </is>
      </c>
      <c r="E1697" s="7" t="inlineStr">
        <is>
          <t>Moteur</t>
        </is>
      </c>
      <c r="F1697" s="7" t="inlineStr">
        <is>
          <t>Moteur</t>
        </is>
      </c>
      <c r="G1697" s="7" t="inlineStr">
        <is>
          <t>PIECE_VEHICULE</t>
        </is>
      </c>
      <c r="H1697" s="7" t="n">
        <v>1</v>
      </c>
      <c r="I1697" s="7">
        <f>H1697*$D$3</f>
        <v/>
      </c>
      <c r="J1697" s="7" t="inlineStr">
        <is>
          <t>unité</t>
        </is>
      </c>
      <c r="K1697" s="7" t="n">
        <v>0</v>
      </c>
      <c r="L1697" s="7">
        <f>K1697-I1697</f>
        <v/>
      </c>
      <c r="M1697" s="7">
        <f>IF(K1697&lt;I1697,"✕ INSUFFISANT",IF(K1697&lt;I1697*1.2,"⚠ STOCK FAIBLE","✓ COUVERT"))</f>
        <v/>
      </c>
      <c r="N1697" s="7" t="inlineStr">
        <is>
          <t>MAG</t>
        </is>
      </c>
      <c r="O1697" s="7" t="inlineStr">
        <is>
          <t>CRITIQUE</t>
        </is>
      </c>
      <c r="P1697" s="7" t="inlineStr">
        <is>
          <t>31/08/2026 02:59</t>
        </is>
      </c>
    </row>
    <row r="1698">
      <c r="A1698" s="8" t="inlineStr">
        <is>
          <t>WHAP 8x8</t>
        </is>
      </c>
      <c r="B1698" s="8" t="inlineStr">
        <is>
          <t>WHAP-1694</t>
        </is>
      </c>
      <c r="C1698" s="8" t="inlineStr">
        <is>
          <t>MOT-1694</t>
        </is>
      </c>
      <c r="D1698" s="8" t="inlineStr">
        <is>
          <t>kit de vilebrequin</t>
        </is>
      </c>
      <c r="E1698" s="8" t="inlineStr">
        <is>
          <t>Moteur</t>
        </is>
      </c>
      <c r="F1698" s="8" t="inlineStr">
        <is>
          <t>Moteur</t>
        </is>
      </c>
      <c r="G1698" s="8" t="inlineStr">
        <is>
          <t>PIECE_VEHICULE</t>
        </is>
      </c>
      <c r="H1698" s="8" t="n">
        <v>1</v>
      </c>
      <c r="I1698" s="8">
        <f>H1698*$D$3</f>
        <v/>
      </c>
      <c r="J1698" s="8" t="inlineStr">
        <is>
          <t>unité</t>
        </is>
      </c>
      <c r="K1698" s="8" t="n">
        <v>0</v>
      </c>
      <c r="L1698" s="8">
        <f>K1698-I1698</f>
        <v/>
      </c>
      <c r="M1698" s="8">
        <f>IF(K1698&lt;I1698,"✕ INSUFFISANT",IF(K1698&lt;I1698*1.2,"⚠ STOCK FAIBLE","✓ COUVERT"))</f>
        <v/>
      </c>
      <c r="N1698" s="8" t="inlineStr">
        <is>
          <t>VAL</t>
        </is>
      </c>
      <c r="O1698" s="8" t="inlineStr">
        <is>
          <t>CRITIQUE</t>
        </is>
      </c>
      <c r="P1698" s="8" t="inlineStr">
        <is>
          <t>31/08/2026 02:59</t>
        </is>
      </c>
    </row>
    <row r="1699">
      <c r="A1699" s="7" t="inlineStr">
        <is>
          <t>WHAP 8x8</t>
        </is>
      </c>
      <c r="B1699" s="7" t="inlineStr">
        <is>
          <t>WHAP-1695</t>
        </is>
      </c>
      <c r="C1699" s="7" t="inlineStr">
        <is>
          <t>MOT-1695</t>
        </is>
      </c>
      <c r="D1699" s="7" t="inlineStr">
        <is>
          <t>support de vilebrequin</t>
        </is>
      </c>
      <c r="E1699" s="7" t="inlineStr">
        <is>
          <t>Moteur</t>
        </is>
      </c>
      <c r="F1699" s="7" t="inlineStr">
        <is>
          <t>Moteur</t>
        </is>
      </c>
      <c r="G1699" s="7" t="inlineStr">
        <is>
          <t>PIECE_VEHICULE</t>
        </is>
      </c>
      <c r="H1699" s="7" t="n">
        <v>1</v>
      </c>
      <c r="I1699" s="7">
        <f>H1699*$D$3</f>
        <v/>
      </c>
      <c r="J1699" s="7" t="inlineStr">
        <is>
          <t>unité</t>
        </is>
      </c>
      <c r="K1699" s="7" t="n">
        <v>0</v>
      </c>
      <c r="L1699" s="7">
        <f>K1699-I1699</f>
        <v/>
      </c>
      <c r="M1699" s="7">
        <f>IF(K1699&lt;I1699,"✕ INSUFFISANT",IF(K1699&lt;I1699*1.2,"⚠ STOCK FAIBLE","✓ COUVERT"))</f>
        <v/>
      </c>
      <c r="N1699" s="7" t="inlineStr">
        <is>
          <t>SKF</t>
        </is>
      </c>
      <c r="O1699" s="7" t="inlineStr">
        <is>
          <t>CRITIQUE</t>
        </is>
      </c>
      <c r="P1699" s="7" t="inlineStr">
        <is>
          <t>31/08/2026 02:59</t>
        </is>
      </c>
    </row>
    <row r="1700">
      <c r="A1700" s="8" t="inlineStr">
        <is>
          <t>WHAP 8x8</t>
        </is>
      </c>
      <c r="B1700" s="8" t="inlineStr">
        <is>
          <t>WHAP-1696</t>
        </is>
      </c>
      <c r="C1700" s="8" t="inlineStr">
        <is>
          <t>MOT-1696</t>
        </is>
      </c>
      <c r="D1700" s="8" t="inlineStr">
        <is>
          <t>boîtier de vilebrequin</t>
        </is>
      </c>
      <c r="E1700" s="8" t="inlineStr">
        <is>
          <t>Moteur</t>
        </is>
      </c>
      <c r="F1700" s="8" t="inlineStr">
        <is>
          <t>Moteur</t>
        </is>
      </c>
      <c r="G1700" s="8" t="inlineStr">
        <is>
          <t>PIECE_VEHICULE</t>
        </is>
      </c>
      <c r="H1700" s="8" t="n">
        <v>1</v>
      </c>
      <c r="I1700" s="8">
        <f>H1700*$D$3</f>
        <v/>
      </c>
      <c r="J1700" s="8" t="inlineStr">
        <is>
          <t>unité</t>
        </is>
      </c>
      <c r="K1700" s="8" t="n">
        <v>0</v>
      </c>
      <c r="L1700" s="8">
        <f>K1700-I1700</f>
        <v/>
      </c>
      <c r="M1700" s="8">
        <f>IF(K1700&lt;I1700,"✕ INSUFFISANT",IF(K1700&lt;I1700*1.2,"⚠ STOCK FAIBLE","✓ COUVERT"))</f>
        <v/>
      </c>
      <c r="N1700" s="8" t="inlineStr">
        <is>
          <t>HEL</t>
        </is>
      </c>
      <c r="O1700" s="8" t="inlineStr">
        <is>
          <t>CRITIQUE</t>
        </is>
      </c>
      <c r="P1700" s="8" t="inlineStr">
        <is>
          <t>31/08/2026 02:59</t>
        </is>
      </c>
    </row>
    <row r="1701">
      <c r="A1701" s="7" t="inlineStr">
        <is>
          <t>WHAP 8x8</t>
        </is>
      </c>
      <c r="B1701" s="7" t="inlineStr">
        <is>
          <t>WHAP-1697</t>
        </is>
      </c>
      <c r="C1701" s="7" t="inlineStr">
        <is>
          <t>MOT-1697</t>
        </is>
      </c>
      <c r="D1701" s="7" t="inlineStr">
        <is>
          <t>module de vilebrequin</t>
        </is>
      </c>
      <c r="E1701" s="7" t="inlineStr">
        <is>
          <t>Moteur</t>
        </is>
      </c>
      <c r="F1701" s="7" t="inlineStr">
        <is>
          <t>Moteur</t>
        </is>
      </c>
      <c r="G1701" s="7" t="inlineStr">
        <is>
          <t>PIECE_VEHICULE</t>
        </is>
      </c>
      <c r="H1701" s="7" t="n">
        <v>1</v>
      </c>
      <c r="I1701" s="7">
        <f>H1701*$D$3</f>
        <v/>
      </c>
      <c r="J1701" s="7" t="inlineStr">
        <is>
          <t>unité</t>
        </is>
      </c>
      <c r="K1701" s="7" t="n">
        <v>0</v>
      </c>
      <c r="L1701" s="7">
        <f>K1701-I1701</f>
        <v/>
      </c>
      <c r="M1701" s="7">
        <f>IF(K1701&lt;I1701,"✕ INSUFFISANT",IF(K1701&lt;I1701*1.2,"⚠ STOCK FAIBLE","✓ COUVERT"))</f>
        <v/>
      </c>
      <c r="N1701" s="7" t="inlineStr">
        <is>
          <t>CTL</t>
        </is>
      </c>
      <c r="O1701" s="7" t="inlineStr">
        <is>
          <t>CRITIQUE</t>
        </is>
      </c>
      <c r="P1701" s="7" t="inlineStr">
        <is>
          <t>31/08/2026 02:59</t>
        </is>
      </c>
    </row>
    <row r="1702">
      <c r="A1702" s="8" t="inlineStr">
        <is>
          <t>WHAP 8x8</t>
        </is>
      </c>
      <c r="B1702" s="8" t="inlineStr">
        <is>
          <t>WHAP-1698</t>
        </is>
      </c>
      <c r="C1702" s="8" t="inlineStr">
        <is>
          <t>MOT-1698</t>
        </is>
      </c>
      <c r="D1702" s="8" t="inlineStr">
        <is>
          <t>câblage de vilebrequin</t>
        </is>
      </c>
      <c r="E1702" s="8" t="inlineStr">
        <is>
          <t>Moteur</t>
        </is>
      </c>
      <c r="F1702" s="8" t="inlineStr">
        <is>
          <t>Moteur</t>
        </is>
      </c>
      <c r="G1702" s="8" t="inlineStr">
        <is>
          <t>PIECE_VEHICULE</t>
        </is>
      </c>
      <c r="H1702" s="8" t="n">
        <v>1</v>
      </c>
      <c r="I1702" s="8">
        <f>H1702*$D$3</f>
        <v/>
      </c>
      <c r="J1702" s="8" t="inlineStr">
        <is>
          <t>unité</t>
        </is>
      </c>
      <c r="K1702" s="8" t="n">
        <v>0</v>
      </c>
      <c r="L1702" s="8">
        <f>K1702-I1702</f>
        <v/>
      </c>
      <c r="M1702" s="8">
        <f>IF(K1702&lt;I1702,"✕ INSUFFISANT",IF(K1702&lt;I1702*1.2,"⚠ STOCK FAIBLE","✓ COUVERT"))</f>
        <v/>
      </c>
      <c r="N1702" s="8" t="inlineStr">
        <is>
          <t>BOS</t>
        </is>
      </c>
      <c r="O1702" s="8" t="inlineStr">
        <is>
          <t>CRITIQUE</t>
        </is>
      </c>
      <c r="P1702" s="8" t="inlineStr">
        <is>
          <t>31/08/2026 02:59</t>
        </is>
      </c>
    </row>
    <row r="1703">
      <c r="A1703" s="7" t="inlineStr">
        <is>
          <t>WHAP 8x8</t>
        </is>
      </c>
      <c r="B1703" s="7" t="inlineStr">
        <is>
          <t>WHAP-1699</t>
        </is>
      </c>
      <c r="C1703" s="7" t="inlineStr">
        <is>
          <t>MOT-1699</t>
        </is>
      </c>
      <c r="D1703" s="7" t="inlineStr">
        <is>
          <t>connecteur de vilebrequin</t>
        </is>
      </c>
      <c r="E1703" s="7" t="inlineStr">
        <is>
          <t>Moteur</t>
        </is>
      </c>
      <c r="F1703" s="7" t="inlineStr">
        <is>
          <t>Moteur</t>
        </is>
      </c>
      <c r="G1703" s="7" t="inlineStr">
        <is>
          <t>PIECE_VEHICULE</t>
        </is>
      </c>
      <c r="H1703" s="7" t="n">
        <v>1</v>
      </c>
      <c r="I1703" s="7">
        <f>H1703*$D$3</f>
        <v/>
      </c>
      <c r="J1703" s="7" t="inlineStr">
        <is>
          <t>unité</t>
        </is>
      </c>
      <c r="K1703" s="7" t="n">
        <v>0</v>
      </c>
      <c r="L1703" s="7">
        <f>K1703-I1703</f>
        <v/>
      </c>
      <c r="M1703" s="7">
        <f>IF(K1703&lt;I1703,"✕ INSUFFISANT",IF(K1703&lt;I1703*1.2,"⚠ STOCK FAIBLE","✓ COUVERT"))</f>
        <v/>
      </c>
      <c r="N1703" s="7" t="inlineStr">
        <is>
          <t>CTL</t>
        </is>
      </c>
      <c r="O1703" s="7" t="inlineStr">
        <is>
          <t>CRITIQUE</t>
        </is>
      </c>
      <c r="P1703" s="7" t="inlineStr">
        <is>
          <t>31/08/2026 02:59</t>
        </is>
      </c>
    </row>
    <row r="1704">
      <c r="A1704" s="8" t="inlineStr">
        <is>
          <t>WHAP 8x8</t>
        </is>
      </c>
      <c r="B1704" s="8" t="inlineStr">
        <is>
          <t>WHAP-1700</t>
        </is>
      </c>
      <c r="C1704" s="8" t="inlineStr">
        <is>
          <t>MOT-1700</t>
        </is>
      </c>
      <c r="D1704" s="8" t="inlineStr">
        <is>
          <t>joint de vilebrequin</t>
        </is>
      </c>
      <c r="E1704" s="8" t="inlineStr">
        <is>
          <t>Moteur</t>
        </is>
      </c>
      <c r="F1704" s="8" t="inlineStr">
        <is>
          <t>Moteur</t>
        </is>
      </c>
      <c r="G1704" s="8" t="inlineStr">
        <is>
          <t>PIECE_VEHICULE</t>
        </is>
      </c>
      <c r="H1704" s="8" t="n">
        <v>1</v>
      </c>
      <c r="I1704" s="8">
        <f>H1704*$D$3</f>
        <v/>
      </c>
      <c r="J1704" s="8" t="inlineStr">
        <is>
          <t>unité</t>
        </is>
      </c>
      <c r="K1704" s="8" t="n">
        <v>0</v>
      </c>
      <c r="L1704" s="8">
        <f>K1704-I1704</f>
        <v/>
      </c>
      <c r="M1704" s="8">
        <f>IF(K1704&lt;I1704,"✕ INSUFFISANT",IF(K1704&lt;I1704*1.2,"⚠ STOCK FAIBLE","✓ COUVERT"))</f>
        <v/>
      </c>
      <c r="N1704" s="8" t="inlineStr">
        <is>
          <t>MAG</t>
        </is>
      </c>
      <c r="O1704" s="8" t="inlineStr">
        <is>
          <t>CRITIQUE</t>
        </is>
      </c>
      <c r="P1704" s="8" t="inlineStr">
        <is>
          <t>31/08/2026 02:59</t>
        </is>
      </c>
    </row>
    <row r="1705">
      <c r="A1705" s="7" t="inlineStr">
        <is>
          <t>WHAP 8x8</t>
        </is>
      </c>
      <c r="B1705" s="7" t="inlineStr">
        <is>
          <t>WHAP-1701</t>
        </is>
      </c>
      <c r="C1705" s="7" t="inlineStr">
        <is>
          <t>MOT-1701</t>
        </is>
      </c>
      <c r="D1705" s="7" t="inlineStr">
        <is>
          <t>fixation de vilebrequin</t>
        </is>
      </c>
      <c r="E1705" s="7" t="inlineStr">
        <is>
          <t>Moteur</t>
        </is>
      </c>
      <c r="F1705" s="7" t="inlineStr">
        <is>
          <t>Moteur</t>
        </is>
      </c>
      <c r="G1705" s="7" t="inlineStr">
        <is>
          <t>PIECE_VEHICULE</t>
        </is>
      </c>
      <c r="H1705" s="7" t="n">
        <v>1</v>
      </c>
      <c r="I1705" s="7">
        <f>H1705*$D$3</f>
        <v/>
      </c>
      <c r="J1705" s="7" t="inlineStr">
        <is>
          <t>unité</t>
        </is>
      </c>
      <c r="K1705" s="7" t="n">
        <v>0</v>
      </c>
      <c r="L1705" s="7">
        <f>K1705-I1705</f>
        <v/>
      </c>
      <c r="M1705" s="7">
        <f>IF(K1705&lt;I1705,"✕ INSUFFISANT",IF(K1705&lt;I1705*1.2,"⚠ STOCK FAIBLE","✓ COUVERT"))</f>
        <v/>
      </c>
      <c r="N1705" s="7" t="inlineStr">
        <is>
          <t>DEL</t>
        </is>
      </c>
      <c r="O1705" s="7" t="inlineStr">
        <is>
          <t>CRITIQUE</t>
        </is>
      </c>
      <c r="P1705" s="7" t="inlineStr">
        <is>
          <t>31/08/2026 02:59</t>
        </is>
      </c>
    </row>
    <row r="1706">
      <c r="A1706" s="8" t="inlineStr">
        <is>
          <t>WHAP 8x8</t>
        </is>
      </c>
      <c r="B1706" s="8" t="inlineStr">
        <is>
          <t>WHAP-1702</t>
        </is>
      </c>
      <c r="C1706" s="8" t="inlineStr">
        <is>
          <t>MOT-1702</t>
        </is>
      </c>
      <c r="D1706" s="8" t="inlineStr">
        <is>
          <t>protection de vilebrequin</t>
        </is>
      </c>
      <c r="E1706" s="8" t="inlineStr">
        <is>
          <t>Moteur</t>
        </is>
      </c>
      <c r="F1706" s="8" t="inlineStr">
        <is>
          <t>Moteur</t>
        </is>
      </c>
      <c r="G1706" s="8" t="inlineStr">
        <is>
          <t>PIECE_VEHICULE</t>
        </is>
      </c>
      <c r="H1706" s="8" t="n">
        <v>1</v>
      </c>
      <c r="I1706" s="8">
        <f>H1706*$D$3</f>
        <v/>
      </c>
      <c r="J1706" s="8" t="inlineStr">
        <is>
          <t>unité</t>
        </is>
      </c>
      <c r="K1706" s="8" t="n">
        <v>0</v>
      </c>
      <c r="L1706" s="8">
        <f>K1706-I1706</f>
        <v/>
      </c>
      <c r="M1706" s="8">
        <f>IF(K1706&lt;I1706,"✕ INSUFFISANT",IF(K1706&lt;I1706*1.2,"⚠ STOCK FAIBLE","✓ COUVERT"))</f>
        <v/>
      </c>
      <c r="N1706" s="8" t="inlineStr">
        <is>
          <t>FAU</t>
        </is>
      </c>
      <c r="O1706" s="8" t="inlineStr">
        <is>
          <t>CRITIQUE</t>
        </is>
      </c>
      <c r="P1706" s="8" t="inlineStr">
        <is>
          <t>31/08/2026 02:59</t>
        </is>
      </c>
    </row>
    <row r="1707">
      <c r="A1707" s="7" t="inlineStr">
        <is>
          <t>WHAP 8x8</t>
        </is>
      </c>
      <c r="B1707" s="7" t="inlineStr">
        <is>
          <t>WHAP-1703</t>
        </is>
      </c>
      <c r="C1707" s="7" t="inlineStr">
        <is>
          <t>MOT-1703</t>
        </is>
      </c>
      <c r="D1707" s="7" t="inlineStr">
        <is>
          <t>actionneur de vilebrequin</t>
        </is>
      </c>
      <c r="E1707" s="7" t="inlineStr">
        <is>
          <t>Moteur</t>
        </is>
      </c>
      <c r="F1707" s="7" t="inlineStr">
        <is>
          <t>Moteur</t>
        </is>
      </c>
      <c r="G1707" s="7" t="inlineStr">
        <is>
          <t>PIECE_VEHICULE</t>
        </is>
      </c>
      <c r="H1707" s="7" t="n">
        <v>1</v>
      </c>
      <c r="I1707" s="7">
        <f>H1707*$D$3</f>
        <v/>
      </c>
      <c r="J1707" s="7" t="inlineStr">
        <is>
          <t>unité</t>
        </is>
      </c>
      <c r="K1707" s="7" t="n">
        <v>0</v>
      </c>
      <c r="L1707" s="7">
        <f>K1707-I1707</f>
        <v/>
      </c>
      <c r="M1707" s="7">
        <f>IF(K1707&lt;I1707,"✕ INSUFFISANT",IF(K1707&lt;I1707*1.2,"⚠ STOCK FAIBLE","✓ COUVERT"))</f>
        <v/>
      </c>
      <c r="N1707" s="7" t="inlineStr">
        <is>
          <t>MAG</t>
        </is>
      </c>
      <c r="O1707" s="7" t="inlineStr">
        <is>
          <t>CRITIQUE</t>
        </is>
      </c>
      <c r="P1707" s="7" t="inlineStr">
        <is>
          <t>31/08/2026 02:59</t>
        </is>
      </c>
    </row>
    <row r="1708">
      <c r="A1708" s="8" t="inlineStr">
        <is>
          <t>WHAP 8x8</t>
        </is>
      </c>
      <c r="B1708" s="8" t="inlineStr">
        <is>
          <t>WHAP-1704</t>
        </is>
      </c>
      <c r="C1708" s="8" t="inlineStr">
        <is>
          <t>MOT-1704</t>
        </is>
      </c>
      <c r="D1708" s="8" t="inlineStr">
        <is>
          <t>raccord de vilebrequin</t>
        </is>
      </c>
      <c r="E1708" s="8" t="inlineStr">
        <is>
          <t>Moteur</t>
        </is>
      </c>
      <c r="F1708" s="8" t="inlineStr">
        <is>
          <t>Moteur</t>
        </is>
      </c>
      <c r="G1708" s="8" t="inlineStr">
        <is>
          <t>PIECE_VEHICULE</t>
        </is>
      </c>
      <c r="H1708" s="8" t="n">
        <v>1</v>
      </c>
      <c r="I1708" s="8">
        <f>H1708*$D$3</f>
        <v/>
      </c>
      <c r="J1708" s="8" t="inlineStr">
        <is>
          <t>unité</t>
        </is>
      </c>
      <c r="K1708" s="8" t="n">
        <v>0</v>
      </c>
      <c r="L1708" s="8">
        <f>K1708-I1708</f>
        <v/>
      </c>
      <c r="M1708" s="8">
        <f>IF(K1708&lt;I1708,"✕ INSUFFISANT",IF(K1708&lt;I1708*1.2,"⚠ STOCK FAIBLE","✓ COUVERT"))</f>
        <v/>
      </c>
      <c r="N1708" s="8" t="inlineStr">
        <is>
          <t>BOS</t>
        </is>
      </c>
      <c r="O1708" s="8" t="inlineStr">
        <is>
          <t>CRITIQUE</t>
        </is>
      </c>
      <c r="P1708" s="8" t="inlineStr">
        <is>
          <t>31/08/2026 02:59</t>
        </is>
      </c>
    </row>
    <row r="1709">
      <c r="A1709" s="7" t="inlineStr">
        <is>
          <t>WHAP 8x8</t>
        </is>
      </c>
      <c r="B1709" s="7" t="inlineStr">
        <is>
          <t>WHAP-1705</t>
        </is>
      </c>
      <c r="C1709" s="7" t="inlineStr">
        <is>
          <t>MOT-1705</t>
        </is>
      </c>
      <c r="D1709" s="7" t="inlineStr">
        <is>
          <t>plaque de vilebrequin</t>
        </is>
      </c>
      <c r="E1709" s="7" t="inlineStr">
        <is>
          <t>Moteur</t>
        </is>
      </c>
      <c r="F1709" s="7" t="inlineStr">
        <is>
          <t>Moteur</t>
        </is>
      </c>
      <c r="G1709" s="7" t="inlineStr">
        <is>
          <t>PIECE_VEHICULE</t>
        </is>
      </c>
      <c r="H1709" s="7" t="n">
        <v>1</v>
      </c>
      <c r="I1709" s="7">
        <f>H1709*$D$3</f>
        <v/>
      </c>
      <c r="J1709" s="7" t="inlineStr">
        <is>
          <t>unité</t>
        </is>
      </c>
      <c r="K1709" s="7" t="n">
        <v>0</v>
      </c>
      <c r="L1709" s="7">
        <f>K1709-I1709</f>
        <v/>
      </c>
      <c r="M1709" s="7">
        <f>IF(K1709&lt;I1709,"✕ INSUFFISANT",IF(K1709&lt;I1709*1.2,"⚠ STOCK FAIBLE","✓ COUVERT"))</f>
        <v/>
      </c>
      <c r="N1709" s="7" t="inlineStr">
        <is>
          <t>MAG</t>
        </is>
      </c>
      <c r="O1709" s="7" t="inlineStr">
        <is>
          <t>CRITIQUE</t>
        </is>
      </c>
      <c r="P1709" s="7" t="inlineStr">
        <is>
          <t>31/08/2026 02:59</t>
        </is>
      </c>
    </row>
    <row r="1710">
      <c r="A1710" s="8" t="inlineStr">
        <is>
          <t>WHAP 8x8</t>
        </is>
      </c>
      <c r="B1710" s="8" t="inlineStr">
        <is>
          <t>WHAP-1706</t>
        </is>
      </c>
      <c r="C1710" s="8" t="inlineStr">
        <is>
          <t>MOT-1706</t>
        </is>
      </c>
      <c r="D1710" s="8" t="inlineStr">
        <is>
          <t>couvercle de vilebrequin</t>
        </is>
      </c>
      <c r="E1710" s="8" t="inlineStr">
        <is>
          <t>Moteur</t>
        </is>
      </c>
      <c r="F1710" s="8" t="inlineStr">
        <is>
          <t>Moteur</t>
        </is>
      </c>
      <c r="G1710" s="8" t="inlineStr">
        <is>
          <t>PIECE_VEHICULE</t>
        </is>
      </c>
      <c r="H1710" s="8" t="n">
        <v>1</v>
      </c>
      <c r="I1710" s="8">
        <f>H1710*$D$3</f>
        <v/>
      </c>
      <c r="J1710" s="8" t="inlineStr">
        <is>
          <t>unité</t>
        </is>
      </c>
      <c r="K1710" s="8" t="n">
        <v>0</v>
      </c>
      <c r="L1710" s="8">
        <f>K1710-I1710</f>
        <v/>
      </c>
      <c r="M1710" s="8">
        <f>IF(K1710&lt;I1710,"✕ INSUFFISANT",IF(K1710&lt;I1710*1.2,"⚠ STOCK FAIBLE","✓ COUVERT"))</f>
        <v/>
      </c>
      <c r="N1710" s="8" t="inlineStr">
        <is>
          <t>BOS</t>
        </is>
      </c>
      <c r="O1710" s="8" t="inlineStr">
        <is>
          <t>CRITIQUE</t>
        </is>
      </c>
      <c r="P1710" s="8" t="inlineStr">
        <is>
          <t>31/08/2026 02:59</t>
        </is>
      </c>
    </row>
    <row r="1711">
      <c r="A1711" s="7" t="inlineStr">
        <is>
          <t>WHAP 8x8</t>
        </is>
      </c>
      <c r="B1711" s="7" t="inlineStr">
        <is>
          <t>WHAP-1707</t>
        </is>
      </c>
      <c r="C1711" s="7" t="inlineStr">
        <is>
          <t>MOT-1707</t>
        </is>
      </c>
      <c r="D1711" s="7" t="inlineStr">
        <is>
          <t>bague de vilebrequin</t>
        </is>
      </c>
      <c r="E1711" s="7" t="inlineStr">
        <is>
          <t>Moteur</t>
        </is>
      </c>
      <c r="F1711" s="7" t="inlineStr">
        <is>
          <t>Moteur</t>
        </is>
      </c>
      <c r="G1711" s="7" t="inlineStr">
        <is>
          <t>PIECE_VEHICULE</t>
        </is>
      </c>
      <c r="H1711" s="7" t="n">
        <v>1</v>
      </c>
      <c r="I1711" s="7">
        <f>H1711*$D$3</f>
        <v/>
      </c>
      <c r="J1711" s="7" t="inlineStr">
        <is>
          <t>unité</t>
        </is>
      </c>
      <c r="K1711" s="7" t="n">
        <v>0</v>
      </c>
      <c r="L1711" s="7">
        <f>K1711-I1711</f>
        <v/>
      </c>
      <c r="M1711" s="7">
        <f>IF(K1711&lt;I1711,"✕ INSUFFISANT",IF(K1711&lt;I1711*1.2,"⚠ STOCK FAIBLE","✓ COUVERT"))</f>
        <v/>
      </c>
      <c r="N1711" s="7" t="inlineStr">
        <is>
          <t>SUM</t>
        </is>
      </c>
      <c r="O1711" s="7" t="inlineStr">
        <is>
          <t>CRITIQUE</t>
        </is>
      </c>
      <c r="P1711" s="7" t="inlineStr">
        <is>
          <t>31/08/2026 02:59</t>
        </is>
      </c>
    </row>
    <row r="1712">
      <c r="A1712" s="8" t="inlineStr">
        <is>
          <t>WHAP 8x8</t>
        </is>
      </c>
      <c r="B1712" s="8" t="inlineStr">
        <is>
          <t>WHAP-1708</t>
        </is>
      </c>
      <c r="C1712" s="8" t="inlineStr">
        <is>
          <t>MOT-1708</t>
        </is>
      </c>
      <c r="D1712" s="8" t="inlineStr">
        <is>
          <t>entretoise de vilebrequin</t>
        </is>
      </c>
      <c r="E1712" s="8" t="inlineStr">
        <is>
          <t>Moteur</t>
        </is>
      </c>
      <c r="F1712" s="8" t="inlineStr">
        <is>
          <t>Moteur</t>
        </is>
      </c>
      <c r="G1712" s="8" t="inlineStr">
        <is>
          <t>PIECE_VEHICULE</t>
        </is>
      </c>
      <c r="H1712" s="8" t="n">
        <v>1</v>
      </c>
      <c r="I1712" s="8">
        <f>H1712*$D$3</f>
        <v/>
      </c>
      <c r="J1712" s="8" t="inlineStr">
        <is>
          <t>unité</t>
        </is>
      </c>
      <c r="K1712" s="8" t="n">
        <v>0</v>
      </c>
      <c r="L1712" s="8">
        <f>K1712-I1712</f>
        <v/>
      </c>
      <c r="M1712" s="8">
        <f>IF(K1712&lt;I1712,"✕ INSUFFISANT",IF(K1712&lt;I1712*1.2,"⚠ STOCK FAIBLE","✓ COUVERT"))</f>
        <v/>
      </c>
      <c r="N1712" s="8" t="inlineStr">
        <is>
          <t>HEL</t>
        </is>
      </c>
      <c r="O1712" s="8" t="inlineStr">
        <is>
          <t>CRITIQUE</t>
        </is>
      </c>
      <c r="P1712" s="8" t="inlineStr">
        <is>
          <t>31/08/2026 02:59</t>
        </is>
      </c>
    </row>
    <row r="1713">
      <c r="A1713" s="7" t="inlineStr">
        <is>
          <t>WHAP 8x8</t>
        </is>
      </c>
      <c r="B1713" s="7" t="inlineStr">
        <is>
          <t>WHAP-1709</t>
        </is>
      </c>
      <c r="C1713" s="7" t="inlineStr">
        <is>
          <t>MOT-1709</t>
        </is>
      </c>
      <c r="D1713" s="7" t="inlineStr">
        <is>
          <t>axe de vilebrequin</t>
        </is>
      </c>
      <c r="E1713" s="7" t="inlineStr">
        <is>
          <t>Moteur</t>
        </is>
      </c>
      <c r="F1713" s="7" t="inlineStr">
        <is>
          <t>Moteur</t>
        </is>
      </c>
      <c r="G1713" s="7" t="inlineStr">
        <is>
          <t>PIECE_VEHICULE</t>
        </is>
      </c>
      <c r="H1713" s="7" t="n">
        <v>1</v>
      </c>
      <c r="I1713" s="7">
        <f>H1713*$D$3</f>
        <v/>
      </c>
      <c r="J1713" s="7" t="inlineStr">
        <is>
          <t>unité</t>
        </is>
      </c>
      <c r="K1713" s="7" t="n">
        <v>0</v>
      </c>
      <c r="L1713" s="7">
        <f>K1713-I1713</f>
        <v/>
      </c>
      <c r="M1713" s="7">
        <f>IF(K1713&lt;I1713,"✕ INSUFFISANT",IF(K1713&lt;I1713*1.2,"⚠ STOCK FAIBLE","✓ COUVERT"))</f>
        <v/>
      </c>
      <c r="N1713" s="7" t="inlineStr">
        <is>
          <t>HEL</t>
        </is>
      </c>
      <c r="O1713" s="7" t="inlineStr">
        <is>
          <t>CRITIQUE</t>
        </is>
      </c>
      <c r="P1713" s="7" t="inlineStr">
        <is>
          <t>31/08/2026 02:59</t>
        </is>
      </c>
    </row>
    <row r="1714">
      <c r="A1714" s="8" t="inlineStr">
        <is>
          <t>WHAP 8x8</t>
        </is>
      </c>
      <c r="B1714" s="8" t="inlineStr">
        <is>
          <t>WHAP-1710</t>
        </is>
      </c>
      <c r="C1714" s="8" t="inlineStr">
        <is>
          <t>MOT-1710</t>
        </is>
      </c>
      <c r="D1714" s="8" t="inlineStr">
        <is>
          <t>poulie de vilebrequin</t>
        </is>
      </c>
      <c r="E1714" s="8" t="inlineStr">
        <is>
          <t>Moteur</t>
        </is>
      </c>
      <c r="F1714" s="8" t="inlineStr">
        <is>
          <t>Moteur</t>
        </is>
      </c>
      <c r="G1714" s="8" t="inlineStr">
        <is>
          <t>PIECE_VEHICULE</t>
        </is>
      </c>
      <c r="H1714" s="8" t="n">
        <v>1</v>
      </c>
      <c r="I1714" s="8">
        <f>H1714*$D$3</f>
        <v/>
      </c>
      <c r="J1714" s="8" t="inlineStr">
        <is>
          <t>unité</t>
        </is>
      </c>
      <c r="K1714" s="8" t="n">
        <v>0</v>
      </c>
      <c r="L1714" s="8">
        <f>K1714-I1714</f>
        <v/>
      </c>
      <c r="M1714" s="8">
        <f>IF(K1714&lt;I1714,"✕ INSUFFISANT",IF(K1714&lt;I1714*1.2,"⚠ STOCK FAIBLE","✓ COUVERT"))</f>
        <v/>
      </c>
      <c r="N1714" s="8" t="inlineStr">
        <is>
          <t>CTL</t>
        </is>
      </c>
      <c r="O1714" s="8" t="inlineStr">
        <is>
          <t>CRITIQUE</t>
        </is>
      </c>
      <c r="P1714" s="8" t="inlineStr">
        <is>
          <t>31/08/2026 02:59</t>
        </is>
      </c>
    </row>
    <row r="1715">
      <c r="A1715" s="7" t="inlineStr">
        <is>
          <t>WHAP 8x8</t>
        </is>
      </c>
      <c r="B1715" s="7" t="inlineStr">
        <is>
          <t>WHAP-1711</t>
        </is>
      </c>
      <c r="C1715" s="7" t="inlineStr">
        <is>
          <t>MOT-1711</t>
        </is>
      </c>
      <c r="D1715" s="7" t="inlineStr">
        <is>
          <t>pignon de vilebrequin</t>
        </is>
      </c>
      <c r="E1715" s="7" t="inlineStr">
        <is>
          <t>Moteur</t>
        </is>
      </c>
      <c r="F1715" s="7" t="inlineStr">
        <is>
          <t>Moteur</t>
        </is>
      </c>
      <c r="G1715" s="7" t="inlineStr">
        <is>
          <t>PIECE_VEHICULE</t>
        </is>
      </c>
      <c r="H1715" s="7" t="n">
        <v>1</v>
      </c>
      <c r="I1715" s="7">
        <f>H1715*$D$3</f>
        <v/>
      </c>
      <c r="J1715" s="7" t="inlineStr">
        <is>
          <t>unité</t>
        </is>
      </c>
      <c r="K1715" s="7" t="n">
        <v>0</v>
      </c>
      <c r="L1715" s="7">
        <f>K1715-I1715</f>
        <v/>
      </c>
      <c r="M1715" s="7">
        <f>IF(K1715&lt;I1715,"✕ INSUFFISANT",IF(K1715&lt;I1715*1.2,"⚠ STOCK FAIBLE","✓ COUVERT"))</f>
        <v/>
      </c>
      <c r="N1715" s="7" t="inlineStr">
        <is>
          <t>SKF</t>
        </is>
      </c>
      <c r="O1715" s="7" t="inlineStr">
        <is>
          <t>CRITIQUE</t>
        </is>
      </c>
      <c r="P1715" s="7" t="inlineStr">
        <is>
          <t>31/08/2026 02:59</t>
        </is>
      </c>
    </row>
    <row r="1716">
      <c r="A1716" s="8" t="inlineStr">
        <is>
          <t>WHAP 8x8</t>
        </is>
      </c>
      <c r="B1716" s="8" t="inlineStr">
        <is>
          <t>WHAP-1712</t>
        </is>
      </c>
      <c r="C1716" s="8" t="inlineStr">
        <is>
          <t>MOT-1712</t>
        </is>
      </c>
      <c r="D1716" s="8" t="inlineStr">
        <is>
          <t>ensemble de palier principal</t>
        </is>
      </c>
      <c r="E1716" s="8" t="inlineStr">
        <is>
          <t>Moteur</t>
        </is>
      </c>
      <c r="F1716" s="8" t="inlineStr">
        <is>
          <t>Moteur</t>
        </is>
      </c>
      <c r="G1716" s="8" t="inlineStr">
        <is>
          <t>PIECE_VEHICULE</t>
        </is>
      </c>
      <c r="H1716" s="8" t="n">
        <v>1</v>
      </c>
      <c r="I1716" s="8">
        <f>H1716*$D$3</f>
        <v/>
      </c>
      <c r="J1716" s="8" t="inlineStr">
        <is>
          <t>unité</t>
        </is>
      </c>
      <c r="K1716" s="8" t="n">
        <v>0</v>
      </c>
      <c r="L1716" s="8">
        <f>K1716-I1716</f>
        <v/>
      </c>
      <c r="M1716" s="8">
        <f>IF(K1716&lt;I1716,"✕ INSUFFISANT",IF(K1716&lt;I1716*1.2,"⚠ STOCK FAIBLE","✓ COUVERT"))</f>
        <v/>
      </c>
      <c r="N1716" s="8" t="inlineStr">
        <is>
          <t>BOS</t>
        </is>
      </c>
      <c r="O1716" s="8" t="inlineStr">
        <is>
          <t>CRITIQUE</t>
        </is>
      </c>
      <c r="P1716" s="8" t="inlineStr">
        <is>
          <t>31/08/2026 02:59</t>
        </is>
      </c>
    </row>
    <row r="1717">
      <c r="A1717" s="7" t="inlineStr">
        <is>
          <t>WHAP 8x8</t>
        </is>
      </c>
      <c r="B1717" s="7" t="inlineStr">
        <is>
          <t>WHAP-1713</t>
        </is>
      </c>
      <c r="C1717" s="7" t="inlineStr">
        <is>
          <t>MOT-1713</t>
        </is>
      </c>
      <c r="D1717" s="7" t="inlineStr">
        <is>
          <t>kit de palier principal</t>
        </is>
      </c>
      <c r="E1717" s="7" t="inlineStr">
        <is>
          <t>Moteur</t>
        </is>
      </c>
      <c r="F1717" s="7" t="inlineStr">
        <is>
          <t>Moteur</t>
        </is>
      </c>
      <c r="G1717" s="7" t="inlineStr">
        <is>
          <t>PIECE_VEHICULE</t>
        </is>
      </c>
      <c r="H1717" s="7" t="n">
        <v>1</v>
      </c>
      <c r="I1717" s="7">
        <f>H1717*$D$3</f>
        <v/>
      </c>
      <c r="J1717" s="7" t="inlineStr">
        <is>
          <t>unité</t>
        </is>
      </c>
      <c r="K1717" s="7" t="n">
        <v>0</v>
      </c>
      <c r="L1717" s="7">
        <f>K1717-I1717</f>
        <v/>
      </c>
      <c r="M1717" s="7">
        <f>IF(K1717&lt;I1717,"✕ INSUFFISANT",IF(K1717&lt;I1717*1.2,"⚠ STOCK FAIBLE","✓ COUVERT"))</f>
        <v/>
      </c>
      <c r="N1717" s="7" t="inlineStr">
        <is>
          <t>YZK</t>
        </is>
      </c>
      <c r="O1717" s="7" t="inlineStr">
        <is>
          <t>CRITIQUE</t>
        </is>
      </c>
      <c r="P1717" s="7" t="inlineStr">
        <is>
          <t>31/08/2026 02:59</t>
        </is>
      </c>
    </row>
    <row r="1718">
      <c r="A1718" s="8" t="inlineStr">
        <is>
          <t>WHAP 8x8</t>
        </is>
      </c>
      <c r="B1718" s="8" t="inlineStr">
        <is>
          <t>WHAP-1714</t>
        </is>
      </c>
      <c r="C1718" s="8" t="inlineStr">
        <is>
          <t>MOT-1714</t>
        </is>
      </c>
      <c r="D1718" s="8" t="inlineStr">
        <is>
          <t>support de palier principal</t>
        </is>
      </c>
      <c r="E1718" s="8" t="inlineStr">
        <is>
          <t>Moteur</t>
        </is>
      </c>
      <c r="F1718" s="8" t="inlineStr">
        <is>
          <t>Moteur</t>
        </is>
      </c>
      <c r="G1718" s="8" t="inlineStr">
        <is>
          <t>PIECE_VEHICULE</t>
        </is>
      </c>
      <c r="H1718" s="8" t="n">
        <v>1</v>
      </c>
      <c r="I1718" s="8">
        <f>H1718*$D$3</f>
        <v/>
      </c>
      <c r="J1718" s="8" t="inlineStr">
        <is>
          <t>unité</t>
        </is>
      </c>
      <c r="K1718" s="8" t="n">
        <v>0</v>
      </c>
      <c r="L1718" s="8">
        <f>K1718-I1718</f>
        <v/>
      </c>
      <c r="M1718" s="8">
        <f>IF(K1718&lt;I1718,"✕ INSUFFISANT",IF(K1718&lt;I1718*1.2,"⚠ STOCK FAIBLE","✓ COUVERT"))</f>
        <v/>
      </c>
      <c r="N1718" s="8" t="inlineStr">
        <is>
          <t>CTL</t>
        </is>
      </c>
      <c r="O1718" s="8" t="inlineStr">
        <is>
          <t>CRITIQUE</t>
        </is>
      </c>
      <c r="P1718" s="8" t="inlineStr">
        <is>
          <t>31/08/2026 02:59</t>
        </is>
      </c>
    </row>
    <row r="1719">
      <c r="A1719" s="7" t="inlineStr">
        <is>
          <t>WHAP 8x8</t>
        </is>
      </c>
      <c r="B1719" s="7" t="inlineStr">
        <is>
          <t>WHAP-1715</t>
        </is>
      </c>
      <c r="C1719" s="7" t="inlineStr">
        <is>
          <t>MOT-1715</t>
        </is>
      </c>
      <c r="D1719" s="7" t="inlineStr">
        <is>
          <t>boîtier de palier principal</t>
        </is>
      </c>
      <c r="E1719" s="7" t="inlineStr">
        <is>
          <t>Moteur</t>
        </is>
      </c>
      <c r="F1719" s="7" t="inlineStr">
        <is>
          <t>Moteur</t>
        </is>
      </c>
      <c r="G1719" s="7" t="inlineStr">
        <is>
          <t>PIECE_VEHICULE</t>
        </is>
      </c>
      <c r="H1719" s="7" t="n">
        <v>1</v>
      </c>
      <c r="I1719" s="7">
        <f>H1719*$D$3</f>
        <v/>
      </c>
      <c r="J1719" s="7" t="inlineStr">
        <is>
          <t>unité</t>
        </is>
      </c>
      <c r="K1719" s="7" t="n">
        <v>0</v>
      </c>
      <c r="L1719" s="7">
        <f>K1719-I1719</f>
        <v/>
      </c>
      <c r="M1719" s="7">
        <f>IF(K1719&lt;I1719,"✕ INSUFFISANT",IF(K1719&lt;I1719*1.2,"⚠ STOCK FAIBLE","✓ COUVERT"))</f>
        <v/>
      </c>
      <c r="N1719" s="7" t="inlineStr">
        <is>
          <t>CTL</t>
        </is>
      </c>
      <c r="O1719" s="7" t="inlineStr">
        <is>
          <t>CRITIQUE</t>
        </is>
      </c>
      <c r="P1719" s="7" t="inlineStr">
        <is>
          <t>31/08/2026 02:59</t>
        </is>
      </c>
    </row>
    <row r="1720">
      <c r="A1720" s="8" t="inlineStr">
        <is>
          <t>WHAP 8x8</t>
        </is>
      </c>
      <c r="B1720" s="8" t="inlineStr">
        <is>
          <t>WHAP-1716</t>
        </is>
      </c>
      <c r="C1720" s="8" t="inlineStr">
        <is>
          <t>MOT-1716</t>
        </is>
      </c>
      <c r="D1720" s="8" t="inlineStr">
        <is>
          <t>module de palier principal</t>
        </is>
      </c>
      <c r="E1720" s="8" t="inlineStr">
        <is>
          <t>Moteur</t>
        </is>
      </c>
      <c r="F1720" s="8" t="inlineStr">
        <is>
          <t>Moteur</t>
        </is>
      </c>
      <c r="G1720" s="8" t="inlineStr">
        <is>
          <t>PIECE_VEHICULE</t>
        </is>
      </c>
      <c r="H1720" s="8" t="n">
        <v>1</v>
      </c>
      <c r="I1720" s="8">
        <f>H1720*$D$3</f>
        <v/>
      </c>
      <c r="J1720" s="8" t="inlineStr">
        <is>
          <t>unité</t>
        </is>
      </c>
      <c r="K1720" s="8" t="n">
        <v>0</v>
      </c>
      <c r="L1720" s="8">
        <f>K1720-I1720</f>
        <v/>
      </c>
      <c r="M1720" s="8">
        <f>IF(K1720&lt;I1720,"✕ INSUFFISANT",IF(K1720&lt;I1720*1.2,"⚠ STOCK FAIBLE","✓ COUVERT"))</f>
        <v/>
      </c>
      <c r="N1720" s="8" t="inlineStr">
        <is>
          <t>SUM</t>
        </is>
      </c>
      <c r="O1720" s="8" t="inlineStr">
        <is>
          <t>CRITIQUE</t>
        </is>
      </c>
      <c r="P1720" s="8" t="inlineStr">
        <is>
          <t>31/08/2026 02:59</t>
        </is>
      </c>
    </row>
    <row r="1721">
      <c r="A1721" s="7" t="inlineStr">
        <is>
          <t>WHAP 8x8</t>
        </is>
      </c>
      <c r="B1721" s="7" t="inlineStr">
        <is>
          <t>WHAP-1717</t>
        </is>
      </c>
      <c r="C1721" s="7" t="inlineStr">
        <is>
          <t>MOT-1717</t>
        </is>
      </c>
      <c r="D1721" s="7" t="inlineStr">
        <is>
          <t>câblage de palier principal</t>
        </is>
      </c>
      <c r="E1721" s="7" t="inlineStr">
        <is>
          <t>Moteur</t>
        </is>
      </c>
      <c r="F1721" s="7" t="inlineStr">
        <is>
          <t>Moteur</t>
        </is>
      </c>
      <c r="G1721" s="7" t="inlineStr">
        <is>
          <t>PIECE_VEHICULE</t>
        </is>
      </c>
      <c r="H1721" s="7" t="n">
        <v>1</v>
      </c>
      <c r="I1721" s="7">
        <f>H1721*$D$3</f>
        <v/>
      </c>
      <c r="J1721" s="7" t="inlineStr">
        <is>
          <t>unité</t>
        </is>
      </c>
      <c r="K1721" s="7" t="n">
        <v>0</v>
      </c>
      <c r="L1721" s="7">
        <f>K1721-I1721</f>
        <v/>
      </c>
      <c r="M1721" s="7">
        <f>IF(K1721&lt;I1721,"✕ INSUFFISANT",IF(K1721&lt;I1721*1.2,"⚠ STOCK FAIBLE","✓ COUVERT"))</f>
        <v/>
      </c>
      <c r="N1721" s="7" t="inlineStr">
        <is>
          <t>YZK</t>
        </is>
      </c>
      <c r="O1721" s="7" t="inlineStr">
        <is>
          <t>CRITIQUE</t>
        </is>
      </c>
      <c r="P1721" s="7" t="inlineStr">
        <is>
          <t>31/08/2026 02:59</t>
        </is>
      </c>
    </row>
    <row r="1722">
      <c r="A1722" s="8" t="inlineStr">
        <is>
          <t>WHAP 8x8</t>
        </is>
      </c>
      <c r="B1722" s="8" t="inlineStr">
        <is>
          <t>WHAP-1718</t>
        </is>
      </c>
      <c r="C1722" s="8" t="inlineStr">
        <is>
          <t>MOT-1718</t>
        </is>
      </c>
      <c r="D1722" s="8" t="inlineStr">
        <is>
          <t>connecteur de palier principal</t>
        </is>
      </c>
      <c r="E1722" s="8" t="inlineStr">
        <is>
          <t>Moteur</t>
        </is>
      </c>
      <c r="F1722" s="8" t="inlineStr">
        <is>
          <t>Moteur</t>
        </is>
      </c>
      <c r="G1722" s="8" t="inlineStr">
        <is>
          <t>PIECE_VEHICULE</t>
        </is>
      </c>
      <c r="H1722" s="8" t="n">
        <v>1</v>
      </c>
      <c r="I1722" s="8">
        <f>H1722*$D$3</f>
        <v/>
      </c>
      <c r="J1722" s="8" t="inlineStr">
        <is>
          <t>unité</t>
        </is>
      </c>
      <c r="K1722" s="8" t="n">
        <v>0</v>
      </c>
      <c r="L1722" s="8">
        <f>K1722-I1722</f>
        <v/>
      </c>
      <c r="M1722" s="8">
        <f>IF(K1722&lt;I1722,"✕ INSUFFISANT",IF(K1722&lt;I1722*1.2,"⚠ STOCK FAIBLE","✓ COUVERT"))</f>
        <v/>
      </c>
      <c r="N1722" s="8" t="inlineStr">
        <is>
          <t>DEL</t>
        </is>
      </c>
      <c r="O1722" s="8" t="inlineStr">
        <is>
          <t>CRITIQUE</t>
        </is>
      </c>
      <c r="P1722" s="8" t="inlineStr">
        <is>
          <t>31/08/2026 02:59</t>
        </is>
      </c>
    </row>
    <row r="1723">
      <c r="A1723" s="7" t="inlineStr">
        <is>
          <t>WHAP 8x8</t>
        </is>
      </c>
      <c r="B1723" s="7" t="inlineStr">
        <is>
          <t>WHAP-1719</t>
        </is>
      </c>
      <c r="C1723" s="7" t="inlineStr">
        <is>
          <t>MOT-1719</t>
        </is>
      </c>
      <c r="D1723" s="7" t="inlineStr">
        <is>
          <t>joint de palier principal</t>
        </is>
      </c>
      <c r="E1723" s="7" t="inlineStr">
        <is>
          <t>Moteur</t>
        </is>
      </c>
      <c r="F1723" s="7" t="inlineStr">
        <is>
          <t>Moteur</t>
        </is>
      </c>
      <c r="G1723" s="7" t="inlineStr">
        <is>
          <t>PIECE_VEHICULE</t>
        </is>
      </c>
      <c r="H1723" s="7" t="n">
        <v>1</v>
      </c>
      <c r="I1723" s="7">
        <f>H1723*$D$3</f>
        <v/>
      </c>
      <c r="J1723" s="7" t="inlineStr">
        <is>
          <t>unité</t>
        </is>
      </c>
      <c r="K1723" s="7" t="n">
        <v>0</v>
      </c>
      <c r="L1723" s="7">
        <f>K1723-I1723</f>
        <v/>
      </c>
      <c r="M1723" s="7">
        <f>IF(K1723&lt;I1723,"✕ INSUFFISANT",IF(K1723&lt;I1723*1.2,"⚠ STOCK FAIBLE","✓ COUVERT"))</f>
        <v/>
      </c>
      <c r="N1723" s="7" t="inlineStr">
        <is>
          <t>DEL</t>
        </is>
      </c>
      <c r="O1723" s="7" t="inlineStr">
        <is>
          <t>CRITIQUE</t>
        </is>
      </c>
      <c r="P1723" s="7" t="inlineStr">
        <is>
          <t>31/08/2026 02:59</t>
        </is>
      </c>
    </row>
    <row r="1724">
      <c r="A1724" s="8" t="inlineStr">
        <is>
          <t>WHAP 8x8</t>
        </is>
      </c>
      <c r="B1724" s="8" t="inlineStr">
        <is>
          <t>WHAP-1720</t>
        </is>
      </c>
      <c r="C1724" s="8" t="inlineStr">
        <is>
          <t>MOT-1720</t>
        </is>
      </c>
      <c r="D1724" s="8" t="inlineStr">
        <is>
          <t>fixation de palier principal</t>
        </is>
      </c>
      <c r="E1724" s="8" t="inlineStr">
        <is>
          <t>Moteur</t>
        </is>
      </c>
      <c r="F1724" s="8" t="inlineStr">
        <is>
          <t>Moteur</t>
        </is>
      </c>
      <c r="G1724" s="8" t="inlineStr">
        <is>
          <t>PIECE_VEHICULE</t>
        </is>
      </c>
      <c r="H1724" s="8" t="n">
        <v>1</v>
      </c>
      <c r="I1724" s="8">
        <f>H1724*$D$3</f>
        <v/>
      </c>
      <c r="J1724" s="8" t="inlineStr">
        <is>
          <t>unité</t>
        </is>
      </c>
      <c r="K1724" s="8" t="n">
        <v>0</v>
      </c>
      <c r="L1724" s="8">
        <f>K1724-I1724</f>
        <v/>
      </c>
      <c r="M1724" s="8">
        <f>IF(K1724&lt;I1724,"✕ INSUFFISANT",IF(K1724&lt;I1724*1.2,"⚠ STOCK FAIBLE","✓ COUVERT"))</f>
        <v/>
      </c>
      <c r="N1724" s="8" t="inlineStr">
        <is>
          <t>YZK</t>
        </is>
      </c>
      <c r="O1724" s="8" t="inlineStr">
        <is>
          <t>CRITIQUE</t>
        </is>
      </c>
      <c r="P1724" s="8" t="inlineStr">
        <is>
          <t>31/08/2026 02:59</t>
        </is>
      </c>
    </row>
    <row r="1725">
      <c r="A1725" s="7" t="inlineStr">
        <is>
          <t>WHAP 8x8</t>
        </is>
      </c>
      <c r="B1725" s="7" t="inlineStr">
        <is>
          <t>WHAP-1721</t>
        </is>
      </c>
      <c r="C1725" s="7" t="inlineStr">
        <is>
          <t>MOT-1721</t>
        </is>
      </c>
      <c r="D1725" s="7" t="inlineStr">
        <is>
          <t>protection de palier principal</t>
        </is>
      </c>
      <c r="E1725" s="7" t="inlineStr">
        <is>
          <t>Moteur</t>
        </is>
      </c>
      <c r="F1725" s="7" t="inlineStr">
        <is>
          <t>Moteur</t>
        </is>
      </c>
      <c r="G1725" s="7" t="inlineStr">
        <is>
          <t>PIECE_VEHICULE</t>
        </is>
      </c>
      <c r="H1725" s="7" t="n">
        <v>1</v>
      </c>
      <c r="I1725" s="7">
        <f>H1725*$D$3</f>
        <v/>
      </c>
      <c r="J1725" s="7" t="inlineStr">
        <is>
          <t>unité</t>
        </is>
      </c>
      <c r="K1725" s="7" t="n">
        <v>0</v>
      </c>
      <c r="L1725" s="7">
        <f>K1725-I1725</f>
        <v/>
      </c>
      <c r="M1725" s="7">
        <f>IF(K1725&lt;I1725,"✕ INSUFFISANT",IF(K1725&lt;I1725*1.2,"⚠ STOCK FAIBLE","✓ COUVERT"))</f>
        <v/>
      </c>
      <c r="N1725" s="7" t="inlineStr">
        <is>
          <t>SKF</t>
        </is>
      </c>
      <c r="O1725" s="7" t="inlineStr">
        <is>
          <t>CRITIQUE</t>
        </is>
      </c>
      <c r="P1725" s="7" t="inlineStr">
        <is>
          <t>31/08/2026 02:59</t>
        </is>
      </c>
    </row>
    <row r="1726">
      <c r="A1726" s="8" t="inlineStr">
        <is>
          <t>WHAP 8x8</t>
        </is>
      </c>
      <c r="B1726" s="8" t="inlineStr">
        <is>
          <t>WHAP-1722</t>
        </is>
      </c>
      <c r="C1726" s="8" t="inlineStr">
        <is>
          <t>MOT-1722</t>
        </is>
      </c>
      <c r="D1726" s="8" t="inlineStr">
        <is>
          <t>capteur de palier principal</t>
        </is>
      </c>
      <c r="E1726" s="8" t="inlineStr">
        <is>
          <t>Moteur</t>
        </is>
      </c>
      <c r="F1726" s="8" t="inlineStr">
        <is>
          <t>Moteur</t>
        </is>
      </c>
      <c r="G1726" s="8" t="inlineStr">
        <is>
          <t>PIECE_VEHICULE</t>
        </is>
      </c>
      <c r="H1726" s="8" t="n">
        <v>1</v>
      </c>
      <c r="I1726" s="8">
        <f>H1726*$D$3</f>
        <v/>
      </c>
      <c r="J1726" s="8" t="inlineStr">
        <is>
          <t>unité</t>
        </is>
      </c>
      <c r="K1726" s="8" t="n">
        <v>0</v>
      </c>
      <c r="L1726" s="8">
        <f>K1726-I1726</f>
        <v/>
      </c>
      <c r="M1726" s="8">
        <f>IF(K1726&lt;I1726,"✕ INSUFFISANT",IF(K1726&lt;I1726*1.2,"⚠ STOCK FAIBLE","✓ COUVERT"))</f>
        <v/>
      </c>
      <c r="N1726" s="8" t="inlineStr">
        <is>
          <t>MAG</t>
        </is>
      </c>
      <c r="O1726" s="8" t="inlineStr">
        <is>
          <t>CRITIQUE</t>
        </is>
      </c>
      <c r="P1726" s="8" t="inlineStr">
        <is>
          <t>31/08/2026 02:59</t>
        </is>
      </c>
    </row>
    <row r="1727">
      <c r="A1727" s="7" t="inlineStr">
        <is>
          <t>WHAP 8x8</t>
        </is>
      </c>
      <c r="B1727" s="7" t="inlineStr">
        <is>
          <t>WHAP-1723</t>
        </is>
      </c>
      <c r="C1727" s="7" t="inlineStr">
        <is>
          <t>MOT-1723</t>
        </is>
      </c>
      <c r="D1727" s="7" t="inlineStr">
        <is>
          <t>actionneur de palier principal</t>
        </is>
      </c>
      <c r="E1727" s="7" t="inlineStr">
        <is>
          <t>Moteur</t>
        </is>
      </c>
      <c r="F1727" s="7" t="inlineStr">
        <is>
          <t>Moteur</t>
        </is>
      </c>
      <c r="G1727" s="7" t="inlineStr">
        <is>
          <t>PIECE_VEHICULE</t>
        </is>
      </c>
      <c r="H1727" s="7" t="n">
        <v>1</v>
      </c>
      <c r="I1727" s="7">
        <f>H1727*$D$3</f>
        <v/>
      </c>
      <c r="J1727" s="7" t="inlineStr">
        <is>
          <t>unité</t>
        </is>
      </c>
      <c r="K1727" s="7" t="n">
        <v>0</v>
      </c>
      <c r="L1727" s="7">
        <f>K1727-I1727</f>
        <v/>
      </c>
      <c r="M1727" s="7">
        <f>IF(K1727&lt;I1727,"✕ INSUFFISANT",IF(K1727&lt;I1727*1.2,"⚠ STOCK FAIBLE","✓ COUVERT"))</f>
        <v/>
      </c>
      <c r="N1727" s="7" t="inlineStr">
        <is>
          <t>HEL</t>
        </is>
      </c>
      <c r="O1727" s="7" t="inlineStr">
        <is>
          <t>CRITIQUE</t>
        </is>
      </c>
      <c r="P1727" s="7" t="inlineStr">
        <is>
          <t>31/08/2026 02:59</t>
        </is>
      </c>
    </row>
    <row r="1728">
      <c r="A1728" s="8" t="inlineStr">
        <is>
          <t>WHAP 8x8</t>
        </is>
      </c>
      <c r="B1728" s="8" t="inlineStr">
        <is>
          <t>WHAP-1724</t>
        </is>
      </c>
      <c r="C1728" s="8" t="inlineStr">
        <is>
          <t>MOT-1724</t>
        </is>
      </c>
      <c r="D1728" s="8" t="inlineStr">
        <is>
          <t>raccord de palier principal</t>
        </is>
      </c>
      <c r="E1728" s="8" t="inlineStr">
        <is>
          <t>Moteur</t>
        </is>
      </c>
      <c r="F1728" s="8" t="inlineStr">
        <is>
          <t>Moteur</t>
        </is>
      </c>
      <c r="G1728" s="8" t="inlineStr">
        <is>
          <t>PIECE_VEHICULE</t>
        </is>
      </c>
      <c r="H1728" s="8" t="n">
        <v>1</v>
      </c>
      <c r="I1728" s="8">
        <f>H1728*$D$3</f>
        <v/>
      </c>
      <c r="J1728" s="8" t="inlineStr">
        <is>
          <t>unité</t>
        </is>
      </c>
      <c r="K1728" s="8" t="n">
        <v>0</v>
      </c>
      <c r="L1728" s="8">
        <f>K1728-I1728</f>
        <v/>
      </c>
      <c r="M1728" s="8">
        <f>IF(K1728&lt;I1728,"✕ INSUFFISANT",IF(K1728&lt;I1728*1.2,"⚠ STOCK FAIBLE","✓ COUVERT"))</f>
        <v/>
      </c>
      <c r="N1728" s="8" t="inlineStr">
        <is>
          <t>FAU</t>
        </is>
      </c>
      <c r="O1728" s="8" t="inlineStr">
        <is>
          <t>CRITIQUE</t>
        </is>
      </c>
      <c r="P1728" s="8" t="inlineStr">
        <is>
          <t>31/08/2026 02:59</t>
        </is>
      </c>
    </row>
    <row r="1729">
      <c r="A1729" s="7" t="inlineStr">
        <is>
          <t>WHAP 8x8</t>
        </is>
      </c>
      <c r="B1729" s="7" t="inlineStr">
        <is>
          <t>WHAP-1725</t>
        </is>
      </c>
      <c r="C1729" s="7" t="inlineStr">
        <is>
          <t>MOT-1725</t>
        </is>
      </c>
      <c r="D1729" s="7" t="inlineStr">
        <is>
          <t>plaque de palier principal</t>
        </is>
      </c>
      <c r="E1729" s="7" t="inlineStr">
        <is>
          <t>Moteur</t>
        </is>
      </c>
      <c r="F1729" s="7" t="inlineStr">
        <is>
          <t>Moteur</t>
        </is>
      </c>
      <c r="G1729" s="7" t="inlineStr">
        <is>
          <t>PIECE_VEHICULE</t>
        </is>
      </c>
      <c r="H1729" s="7" t="n">
        <v>1</v>
      </c>
      <c r="I1729" s="7">
        <f>H1729*$D$3</f>
        <v/>
      </c>
      <c r="J1729" s="7" t="inlineStr">
        <is>
          <t>unité</t>
        </is>
      </c>
      <c r="K1729" s="7" t="n">
        <v>0</v>
      </c>
      <c r="L1729" s="7">
        <f>K1729-I1729</f>
        <v/>
      </c>
      <c r="M1729" s="7">
        <f>IF(K1729&lt;I1729,"✕ INSUFFISANT",IF(K1729&lt;I1729*1.2,"⚠ STOCK FAIBLE","✓ COUVERT"))</f>
        <v/>
      </c>
      <c r="N1729" s="7" t="inlineStr">
        <is>
          <t>YZK</t>
        </is>
      </c>
      <c r="O1729" s="7" t="inlineStr">
        <is>
          <t>CRITIQUE</t>
        </is>
      </c>
      <c r="P1729" s="7" t="inlineStr">
        <is>
          <t>31/08/2026 02:59</t>
        </is>
      </c>
    </row>
    <row r="1730">
      <c r="A1730" s="8" t="inlineStr">
        <is>
          <t>WHAP 8x8</t>
        </is>
      </c>
      <c r="B1730" s="8" t="inlineStr">
        <is>
          <t>WHAP-1726</t>
        </is>
      </c>
      <c r="C1730" s="8" t="inlineStr">
        <is>
          <t>MOT-1726</t>
        </is>
      </c>
      <c r="D1730" s="8" t="inlineStr">
        <is>
          <t>couvercle de palier principal</t>
        </is>
      </c>
      <c r="E1730" s="8" t="inlineStr">
        <is>
          <t>Moteur</t>
        </is>
      </c>
      <c r="F1730" s="8" t="inlineStr">
        <is>
          <t>Moteur</t>
        </is>
      </c>
      <c r="G1730" s="8" t="inlineStr">
        <is>
          <t>PIECE_VEHICULE</t>
        </is>
      </c>
      <c r="H1730" s="8" t="n">
        <v>1</v>
      </c>
      <c r="I1730" s="8">
        <f>H1730*$D$3</f>
        <v/>
      </c>
      <c r="J1730" s="8" t="inlineStr">
        <is>
          <t>unité</t>
        </is>
      </c>
      <c r="K1730" s="8" t="n">
        <v>0</v>
      </c>
      <c r="L1730" s="8">
        <f>K1730-I1730</f>
        <v/>
      </c>
      <c r="M1730" s="8">
        <f>IF(K1730&lt;I1730,"✕ INSUFFISANT",IF(K1730&lt;I1730*1.2,"⚠ STOCK FAIBLE","✓ COUVERT"))</f>
        <v/>
      </c>
      <c r="N1730" s="8" t="inlineStr">
        <is>
          <t>CTL</t>
        </is>
      </c>
      <c r="O1730" s="8" t="inlineStr">
        <is>
          <t>CRITIQUE</t>
        </is>
      </c>
      <c r="P1730" s="8" t="inlineStr">
        <is>
          <t>31/08/2026 02:59</t>
        </is>
      </c>
    </row>
    <row r="1731">
      <c r="A1731" s="7" t="inlineStr">
        <is>
          <t>WHAP 8x8</t>
        </is>
      </c>
      <c r="B1731" s="7" t="inlineStr">
        <is>
          <t>WHAP-1727</t>
        </is>
      </c>
      <c r="C1731" s="7" t="inlineStr">
        <is>
          <t>MOT-1727</t>
        </is>
      </c>
      <c r="D1731" s="7" t="inlineStr">
        <is>
          <t>bague de palier principal</t>
        </is>
      </c>
      <c r="E1731" s="7" t="inlineStr">
        <is>
          <t>Moteur</t>
        </is>
      </c>
      <c r="F1731" s="7" t="inlineStr">
        <is>
          <t>Moteur</t>
        </is>
      </c>
      <c r="G1731" s="7" t="inlineStr">
        <is>
          <t>PIECE_VEHICULE</t>
        </is>
      </c>
      <c r="H1731" s="7" t="n">
        <v>1</v>
      </c>
      <c r="I1731" s="7">
        <f>H1731*$D$3</f>
        <v/>
      </c>
      <c r="J1731" s="7" t="inlineStr">
        <is>
          <t>unité</t>
        </is>
      </c>
      <c r="K1731" s="7" t="n">
        <v>0</v>
      </c>
      <c r="L1731" s="7">
        <f>K1731-I1731</f>
        <v/>
      </c>
      <c r="M1731" s="7">
        <f>IF(K1731&lt;I1731,"✕ INSUFFISANT",IF(K1731&lt;I1731*1.2,"⚠ STOCK FAIBLE","✓ COUVERT"))</f>
        <v/>
      </c>
      <c r="N1731" s="7" t="inlineStr">
        <is>
          <t>YZK</t>
        </is>
      </c>
      <c r="O1731" s="7" t="inlineStr">
        <is>
          <t>CRITIQUE</t>
        </is>
      </c>
      <c r="P1731" s="7" t="inlineStr">
        <is>
          <t>31/08/2026 02:59</t>
        </is>
      </c>
    </row>
    <row r="1732">
      <c r="A1732" s="8" t="inlineStr">
        <is>
          <t>WHAP 8x8</t>
        </is>
      </c>
      <c r="B1732" s="8" t="inlineStr">
        <is>
          <t>WHAP-1728</t>
        </is>
      </c>
      <c r="C1732" s="8" t="inlineStr">
        <is>
          <t>MOT-1728</t>
        </is>
      </c>
      <c r="D1732" s="8" t="inlineStr">
        <is>
          <t>entretoise de palier principal</t>
        </is>
      </c>
      <c r="E1732" s="8" t="inlineStr">
        <is>
          <t>Moteur</t>
        </is>
      </c>
      <c r="F1732" s="8" t="inlineStr">
        <is>
          <t>Moteur</t>
        </is>
      </c>
      <c r="G1732" s="8" t="inlineStr">
        <is>
          <t>PIECE_VEHICULE</t>
        </is>
      </c>
      <c r="H1732" s="8" t="n">
        <v>1</v>
      </c>
      <c r="I1732" s="8">
        <f>H1732*$D$3</f>
        <v/>
      </c>
      <c r="J1732" s="8" t="inlineStr">
        <is>
          <t>unité</t>
        </is>
      </c>
      <c r="K1732" s="8" t="n">
        <v>0</v>
      </c>
      <c r="L1732" s="8">
        <f>K1732-I1732</f>
        <v/>
      </c>
      <c r="M1732" s="8">
        <f>IF(K1732&lt;I1732,"✕ INSUFFISANT",IF(K1732&lt;I1732*1.2,"⚠ STOCK FAIBLE","✓ COUVERT"))</f>
        <v/>
      </c>
      <c r="N1732" s="8" t="inlineStr">
        <is>
          <t>SKF</t>
        </is>
      </c>
      <c r="O1732" s="8" t="inlineStr">
        <is>
          <t>CRITIQUE</t>
        </is>
      </c>
      <c r="P1732" s="8" t="inlineStr">
        <is>
          <t>31/08/2026 02:59</t>
        </is>
      </c>
    </row>
    <row r="1733">
      <c r="A1733" s="7" t="inlineStr">
        <is>
          <t>WHAP 8x8</t>
        </is>
      </c>
      <c r="B1733" s="7" t="inlineStr">
        <is>
          <t>WHAP-1729</t>
        </is>
      </c>
      <c r="C1733" s="7" t="inlineStr">
        <is>
          <t>MOT-1729</t>
        </is>
      </c>
      <c r="D1733" s="7" t="inlineStr">
        <is>
          <t>axe de palier principal</t>
        </is>
      </c>
      <c r="E1733" s="7" t="inlineStr">
        <is>
          <t>Moteur</t>
        </is>
      </c>
      <c r="F1733" s="7" t="inlineStr">
        <is>
          <t>Moteur</t>
        </is>
      </c>
      <c r="G1733" s="7" t="inlineStr">
        <is>
          <t>PIECE_VEHICULE</t>
        </is>
      </c>
      <c r="H1733" s="7" t="n">
        <v>1</v>
      </c>
      <c r="I1733" s="7">
        <f>H1733*$D$3</f>
        <v/>
      </c>
      <c r="J1733" s="7" t="inlineStr">
        <is>
          <t>unité</t>
        </is>
      </c>
      <c r="K1733" s="7" t="n">
        <v>0</v>
      </c>
      <c r="L1733" s="7">
        <f>K1733-I1733</f>
        <v/>
      </c>
      <c r="M1733" s="7">
        <f>IF(K1733&lt;I1733,"✕ INSUFFISANT",IF(K1733&lt;I1733*1.2,"⚠ STOCK FAIBLE","✓ COUVERT"))</f>
        <v/>
      </c>
      <c r="N1733" s="7" t="inlineStr">
        <is>
          <t>BOS</t>
        </is>
      </c>
      <c r="O1733" s="7" t="inlineStr">
        <is>
          <t>CRITIQUE</t>
        </is>
      </c>
      <c r="P1733" s="7" t="inlineStr">
        <is>
          <t>31/08/2026 02:59</t>
        </is>
      </c>
    </row>
    <row r="1734">
      <c r="A1734" s="8" t="inlineStr">
        <is>
          <t>WHAP 8x8</t>
        </is>
      </c>
      <c r="B1734" s="8" t="inlineStr">
        <is>
          <t>WHAP-1730</t>
        </is>
      </c>
      <c r="C1734" s="8" t="inlineStr">
        <is>
          <t>MOT-1730</t>
        </is>
      </c>
      <c r="D1734" s="8" t="inlineStr">
        <is>
          <t>poulie de palier principal</t>
        </is>
      </c>
      <c r="E1734" s="8" t="inlineStr">
        <is>
          <t>Moteur</t>
        </is>
      </c>
      <c r="F1734" s="8" t="inlineStr">
        <is>
          <t>Moteur</t>
        </is>
      </c>
      <c r="G1734" s="8" t="inlineStr">
        <is>
          <t>PIECE_VEHICULE</t>
        </is>
      </c>
      <c r="H1734" s="8" t="n">
        <v>1</v>
      </c>
      <c r="I1734" s="8">
        <f>H1734*$D$3</f>
        <v/>
      </c>
      <c r="J1734" s="8" t="inlineStr">
        <is>
          <t>unité</t>
        </is>
      </c>
      <c r="K1734" s="8" t="n">
        <v>0</v>
      </c>
      <c r="L1734" s="8">
        <f>K1734-I1734</f>
        <v/>
      </c>
      <c r="M1734" s="8">
        <f>IF(K1734&lt;I1734,"✕ INSUFFISANT",IF(K1734&lt;I1734*1.2,"⚠ STOCK FAIBLE","✓ COUVERT"))</f>
        <v/>
      </c>
      <c r="N1734" s="8" t="inlineStr">
        <is>
          <t>VAL</t>
        </is>
      </c>
      <c r="O1734" s="8" t="inlineStr">
        <is>
          <t>CRITIQUE</t>
        </is>
      </c>
      <c r="P1734" s="8" t="inlineStr">
        <is>
          <t>31/08/2026 02:59</t>
        </is>
      </c>
    </row>
    <row r="1735">
      <c r="A1735" s="7" t="inlineStr">
        <is>
          <t>WHAP 8x8</t>
        </is>
      </c>
      <c r="B1735" s="7" t="inlineStr">
        <is>
          <t>WHAP-1731</t>
        </is>
      </c>
      <c r="C1735" s="7" t="inlineStr">
        <is>
          <t>MOT-1731</t>
        </is>
      </c>
      <c r="D1735" s="7" t="inlineStr">
        <is>
          <t>pignon de palier principal</t>
        </is>
      </c>
      <c r="E1735" s="7" t="inlineStr">
        <is>
          <t>Moteur</t>
        </is>
      </c>
      <c r="F1735" s="7" t="inlineStr">
        <is>
          <t>Moteur</t>
        </is>
      </c>
      <c r="G1735" s="7" t="inlineStr">
        <is>
          <t>PIECE_VEHICULE</t>
        </is>
      </c>
      <c r="H1735" s="7" t="n">
        <v>1</v>
      </c>
      <c r="I1735" s="7">
        <f>H1735*$D$3</f>
        <v/>
      </c>
      <c r="J1735" s="7" t="inlineStr">
        <is>
          <t>unité</t>
        </is>
      </c>
      <c r="K1735" s="7" t="n">
        <v>0</v>
      </c>
      <c r="L1735" s="7">
        <f>K1735-I1735</f>
        <v/>
      </c>
      <c r="M1735" s="7">
        <f>IF(K1735&lt;I1735,"✕ INSUFFISANT",IF(K1735&lt;I1735*1.2,"⚠ STOCK FAIBLE","✓ COUVERT"))</f>
        <v/>
      </c>
      <c r="N1735" s="7" t="inlineStr">
        <is>
          <t>VAL</t>
        </is>
      </c>
      <c r="O1735" s="7" t="inlineStr">
        <is>
          <t>CRITIQUE</t>
        </is>
      </c>
      <c r="P1735" s="7" t="inlineStr">
        <is>
          <t>31/08/2026 02:59</t>
        </is>
      </c>
    </row>
    <row r="1736">
      <c r="A1736" s="8" t="inlineStr">
        <is>
          <t>WHAP 8x8</t>
        </is>
      </c>
      <c r="B1736" s="8" t="inlineStr">
        <is>
          <t>WHAP-1732</t>
        </is>
      </c>
      <c r="C1736" s="8" t="inlineStr">
        <is>
          <t>MOT-1732</t>
        </is>
      </c>
      <c r="D1736" s="8" t="inlineStr">
        <is>
          <t>ensemble de coussinet de vilebrequin</t>
        </is>
      </c>
      <c r="E1736" s="8" t="inlineStr">
        <is>
          <t>Moteur</t>
        </is>
      </c>
      <c r="F1736" s="8" t="inlineStr">
        <is>
          <t>Moteur</t>
        </is>
      </c>
      <c r="G1736" s="8" t="inlineStr">
        <is>
          <t>PIECE_VEHICULE</t>
        </is>
      </c>
      <c r="H1736" s="8" t="n">
        <v>1</v>
      </c>
      <c r="I1736" s="8">
        <f>H1736*$D$3</f>
        <v/>
      </c>
      <c r="J1736" s="8" t="inlineStr">
        <is>
          <t>unité</t>
        </is>
      </c>
      <c r="K1736" s="8" t="n">
        <v>0</v>
      </c>
      <c r="L1736" s="8">
        <f>K1736-I1736</f>
        <v/>
      </c>
      <c r="M1736" s="8">
        <f>IF(K1736&lt;I1736,"✕ INSUFFISANT",IF(K1736&lt;I1736*1.2,"⚠ STOCK FAIBLE","✓ COUVERT"))</f>
        <v/>
      </c>
      <c r="N1736" s="8" t="inlineStr">
        <is>
          <t>MAG</t>
        </is>
      </c>
      <c r="O1736" s="8" t="inlineStr">
        <is>
          <t>CRITIQUE</t>
        </is>
      </c>
      <c r="P1736" s="8" t="inlineStr">
        <is>
          <t>31/08/2026 02:59</t>
        </is>
      </c>
    </row>
    <row r="1737">
      <c r="A1737" s="7" t="inlineStr">
        <is>
          <t>WHAP 8x8</t>
        </is>
      </c>
      <c r="B1737" s="7" t="inlineStr">
        <is>
          <t>WHAP-1733</t>
        </is>
      </c>
      <c r="C1737" s="7" t="inlineStr">
        <is>
          <t>MOT-1733</t>
        </is>
      </c>
      <c r="D1737" s="7" t="inlineStr">
        <is>
          <t>kit de coussinet de vilebrequin</t>
        </is>
      </c>
      <c r="E1737" s="7" t="inlineStr">
        <is>
          <t>Moteur</t>
        </is>
      </c>
      <c r="F1737" s="7" t="inlineStr">
        <is>
          <t>Moteur</t>
        </is>
      </c>
      <c r="G1737" s="7" t="inlineStr">
        <is>
          <t>PIECE_VEHICULE</t>
        </is>
      </c>
      <c r="H1737" s="7" t="n">
        <v>1</v>
      </c>
      <c r="I1737" s="7">
        <f>H1737*$D$3</f>
        <v/>
      </c>
      <c r="J1737" s="7" t="inlineStr">
        <is>
          <t>unité</t>
        </is>
      </c>
      <c r="K1737" s="7" t="n">
        <v>0</v>
      </c>
      <c r="L1737" s="7">
        <f>K1737-I1737</f>
        <v/>
      </c>
      <c r="M1737" s="7">
        <f>IF(K1737&lt;I1737,"✕ INSUFFISANT",IF(K1737&lt;I1737*1.2,"⚠ STOCK FAIBLE","✓ COUVERT"))</f>
        <v/>
      </c>
      <c r="N1737" s="7" t="inlineStr">
        <is>
          <t>VAL</t>
        </is>
      </c>
      <c r="O1737" s="7" t="inlineStr">
        <is>
          <t>CRITIQUE</t>
        </is>
      </c>
      <c r="P1737" s="7" t="inlineStr">
        <is>
          <t>31/08/2026 02:59</t>
        </is>
      </c>
    </row>
    <row r="1738">
      <c r="A1738" s="8" t="inlineStr">
        <is>
          <t>WHAP 8x8</t>
        </is>
      </c>
      <c r="B1738" s="8" t="inlineStr">
        <is>
          <t>WHAP-1734</t>
        </is>
      </c>
      <c r="C1738" s="8" t="inlineStr">
        <is>
          <t>MOT-1734</t>
        </is>
      </c>
      <c r="D1738" s="8" t="inlineStr">
        <is>
          <t>support de coussinet de vilebrequin</t>
        </is>
      </c>
      <c r="E1738" s="8" t="inlineStr">
        <is>
          <t>Moteur</t>
        </is>
      </c>
      <c r="F1738" s="8" t="inlineStr">
        <is>
          <t>Moteur</t>
        </is>
      </c>
      <c r="G1738" s="8" t="inlineStr">
        <is>
          <t>PIECE_VEHICULE</t>
        </is>
      </c>
      <c r="H1738" s="8" t="n">
        <v>1</v>
      </c>
      <c r="I1738" s="8">
        <f>H1738*$D$3</f>
        <v/>
      </c>
      <c r="J1738" s="8" t="inlineStr">
        <is>
          <t>unité</t>
        </is>
      </c>
      <c r="K1738" s="8" t="n">
        <v>0</v>
      </c>
      <c r="L1738" s="8">
        <f>K1738-I1738</f>
        <v/>
      </c>
      <c r="M1738" s="8">
        <f>IF(K1738&lt;I1738,"✕ INSUFFISANT",IF(K1738&lt;I1738*1.2,"⚠ STOCK FAIBLE","✓ COUVERT"))</f>
        <v/>
      </c>
      <c r="N1738" s="8" t="inlineStr">
        <is>
          <t>FAU</t>
        </is>
      </c>
      <c r="O1738" s="8" t="inlineStr">
        <is>
          <t>CRITIQUE</t>
        </is>
      </c>
      <c r="P1738" s="8" t="inlineStr">
        <is>
          <t>31/08/2026 02:59</t>
        </is>
      </c>
    </row>
    <row r="1739">
      <c r="A1739" s="7" t="inlineStr">
        <is>
          <t>WHAP 8x8</t>
        </is>
      </c>
      <c r="B1739" s="7" t="inlineStr">
        <is>
          <t>WHAP-1735</t>
        </is>
      </c>
      <c r="C1739" s="7" t="inlineStr">
        <is>
          <t>MOT-1735</t>
        </is>
      </c>
      <c r="D1739" s="7" t="inlineStr">
        <is>
          <t>boîtier de coussinet de vilebrequin</t>
        </is>
      </c>
      <c r="E1739" s="7" t="inlineStr">
        <is>
          <t>Moteur</t>
        </is>
      </c>
      <c r="F1739" s="7" t="inlineStr">
        <is>
          <t>Moteur</t>
        </is>
      </c>
      <c r="G1739" s="7" t="inlineStr">
        <is>
          <t>PIECE_VEHICULE</t>
        </is>
      </c>
      <c r="H1739" s="7" t="n">
        <v>1</v>
      </c>
      <c r="I1739" s="7">
        <f>H1739*$D$3</f>
        <v/>
      </c>
      <c r="J1739" s="7" t="inlineStr">
        <is>
          <t>unité</t>
        </is>
      </c>
      <c r="K1739" s="7" t="n">
        <v>0</v>
      </c>
      <c r="L1739" s="7">
        <f>K1739-I1739</f>
        <v/>
      </c>
      <c r="M1739" s="7">
        <f>IF(K1739&lt;I1739,"✕ INSUFFISANT",IF(K1739&lt;I1739*1.2,"⚠ STOCK FAIBLE","✓ COUVERT"))</f>
        <v/>
      </c>
      <c r="N1739" s="7" t="inlineStr">
        <is>
          <t>HEL</t>
        </is>
      </c>
      <c r="O1739" s="7" t="inlineStr">
        <is>
          <t>CRITIQUE</t>
        </is>
      </c>
      <c r="P1739" s="7" t="inlineStr">
        <is>
          <t>31/08/2026 02:59</t>
        </is>
      </c>
    </row>
    <row r="1740">
      <c r="A1740" s="8" t="inlineStr">
        <is>
          <t>WHAP 8x8</t>
        </is>
      </c>
      <c r="B1740" s="8" t="inlineStr">
        <is>
          <t>WHAP-1736</t>
        </is>
      </c>
      <c r="C1740" s="8" t="inlineStr">
        <is>
          <t>MOT-1736</t>
        </is>
      </c>
      <c r="D1740" s="8" t="inlineStr">
        <is>
          <t>module de coussinet de vilebrequin</t>
        </is>
      </c>
      <c r="E1740" s="8" t="inlineStr">
        <is>
          <t>Moteur</t>
        </is>
      </c>
      <c r="F1740" s="8" t="inlineStr">
        <is>
          <t>Moteur</t>
        </is>
      </c>
      <c r="G1740" s="8" t="inlineStr">
        <is>
          <t>PIECE_VEHICULE</t>
        </is>
      </c>
      <c r="H1740" s="8" t="n">
        <v>1</v>
      </c>
      <c r="I1740" s="8">
        <f>H1740*$D$3</f>
        <v/>
      </c>
      <c r="J1740" s="8" t="inlineStr">
        <is>
          <t>unité</t>
        </is>
      </c>
      <c r="K1740" s="8" t="n">
        <v>0</v>
      </c>
      <c r="L1740" s="8">
        <f>K1740-I1740</f>
        <v/>
      </c>
      <c r="M1740" s="8">
        <f>IF(K1740&lt;I1740,"✕ INSUFFISANT",IF(K1740&lt;I1740*1.2,"⚠ STOCK FAIBLE","✓ COUVERT"))</f>
        <v/>
      </c>
      <c r="N1740" s="8" t="inlineStr">
        <is>
          <t>SKF</t>
        </is>
      </c>
      <c r="O1740" s="8" t="inlineStr">
        <is>
          <t>CRITIQUE</t>
        </is>
      </c>
      <c r="P1740" s="8" t="inlineStr">
        <is>
          <t>31/08/2026 02:59</t>
        </is>
      </c>
    </row>
    <row r="1741">
      <c r="A1741" s="7" t="inlineStr">
        <is>
          <t>WHAP 8x8</t>
        </is>
      </c>
      <c r="B1741" s="7" t="inlineStr">
        <is>
          <t>WHAP-1737</t>
        </is>
      </c>
      <c r="C1741" s="7" t="inlineStr">
        <is>
          <t>MOT-1737</t>
        </is>
      </c>
      <c r="D1741" s="7" t="inlineStr">
        <is>
          <t>câblage de coussinet de vilebrequin</t>
        </is>
      </c>
      <c r="E1741" s="7" t="inlineStr">
        <is>
          <t>Moteur</t>
        </is>
      </c>
      <c r="F1741" s="7" t="inlineStr">
        <is>
          <t>Moteur</t>
        </is>
      </c>
      <c r="G1741" s="7" t="inlineStr">
        <is>
          <t>PIECE_VEHICULE</t>
        </is>
      </c>
      <c r="H1741" s="7" t="n">
        <v>1</v>
      </c>
      <c r="I1741" s="7">
        <f>H1741*$D$3</f>
        <v/>
      </c>
      <c r="J1741" s="7" t="inlineStr">
        <is>
          <t>unité</t>
        </is>
      </c>
      <c r="K1741" s="7" t="n">
        <v>0</v>
      </c>
      <c r="L1741" s="7">
        <f>K1741-I1741</f>
        <v/>
      </c>
      <c r="M1741" s="7">
        <f>IF(K1741&lt;I1741,"✕ INSUFFISANT",IF(K1741&lt;I1741*1.2,"⚠ STOCK FAIBLE","✓ COUVERT"))</f>
        <v/>
      </c>
      <c r="N1741" s="7" t="inlineStr">
        <is>
          <t>CTL</t>
        </is>
      </c>
      <c r="O1741" s="7" t="inlineStr">
        <is>
          <t>CRITIQUE</t>
        </is>
      </c>
      <c r="P1741" s="7" t="inlineStr">
        <is>
          <t>31/08/2026 02:59</t>
        </is>
      </c>
    </row>
    <row r="1742">
      <c r="A1742" s="8" t="inlineStr">
        <is>
          <t>WHAP 8x8</t>
        </is>
      </c>
      <c r="B1742" s="8" t="inlineStr">
        <is>
          <t>WHAP-1738</t>
        </is>
      </c>
      <c r="C1742" s="8" t="inlineStr">
        <is>
          <t>MOT-1738</t>
        </is>
      </c>
      <c r="D1742" s="8" t="inlineStr">
        <is>
          <t>connecteur de coussinet de vilebrequin</t>
        </is>
      </c>
      <c r="E1742" s="8" t="inlineStr">
        <is>
          <t>Moteur</t>
        </is>
      </c>
      <c r="F1742" s="8" t="inlineStr">
        <is>
          <t>Moteur</t>
        </is>
      </c>
      <c r="G1742" s="8" t="inlineStr">
        <is>
          <t>PIECE_VEHICULE</t>
        </is>
      </c>
      <c r="H1742" s="8" t="n">
        <v>1</v>
      </c>
      <c r="I1742" s="8">
        <f>H1742*$D$3</f>
        <v/>
      </c>
      <c r="J1742" s="8" t="inlineStr">
        <is>
          <t>unité</t>
        </is>
      </c>
      <c r="K1742" s="8" t="n">
        <v>0</v>
      </c>
      <c r="L1742" s="8">
        <f>K1742-I1742</f>
        <v/>
      </c>
      <c r="M1742" s="8">
        <f>IF(K1742&lt;I1742,"✕ INSUFFISANT",IF(K1742&lt;I1742*1.2,"⚠ STOCK FAIBLE","✓ COUVERT"))</f>
        <v/>
      </c>
      <c r="N1742" s="8" t="inlineStr">
        <is>
          <t>VAL</t>
        </is>
      </c>
      <c r="O1742" s="8" t="inlineStr">
        <is>
          <t>CRITIQUE</t>
        </is>
      </c>
      <c r="P1742" s="8" t="inlineStr">
        <is>
          <t>31/08/2026 02:59</t>
        </is>
      </c>
    </row>
    <row r="1743">
      <c r="A1743" s="7" t="inlineStr">
        <is>
          <t>WHAP 8x8</t>
        </is>
      </c>
      <c r="B1743" s="7" t="inlineStr">
        <is>
          <t>WHAP-1739</t>
        </is>
      </c>
      <c r="C1743" s="7" t="inlineStr">
        <is>
          <t>MOT-1739</t>
        </is>
      </c>
      <c r="D1743" s="7" t="inlineStr">
        <is>
          <t>joint de coussinet de vilebrequin</t>
        </is>
      </c>
      <c r="E1743" s="7" t="inlineStr">
        <is>
          <t>Moteur</t>
        </is>
      </c>
      <c r="F1743" s="7" t="inlineStr">
        <is>
          <t>Moteur</t>
        </is>
      </c>
      <c r="G1743" s="7" t="inlineStr">
        <is>
          <t>PIECE_VEHICULE</t>
        </is>
      </c>
      <c r="H1743" s="7" t="n">
        <v>1</v>
      </c>
      <c r="I1743" s="7">
        <f>H1743*$D$3</f>
        <v/>
      </c>
      <c r="J1743" s="7" t="inlineStr">
        <is>
          <t>unité</t>
        </is>
      </c>
      <c r="K1743" s="7" t="n">
        <v>0</v>
      </c>
      <c r="L1743" s="7">
        <f>K1743-I1743</f>
        <v/>
      </c>
      <c r="M1743" s="7">
        <f>IF(K1743&lt;I1743,"✕ INSUFFISANT",IF(K1743&lt;I1743*1.2,"⚠ STOCK FAIBLE","✓ COUVERT"))</f>
        <v/>
      </c>
      <c r="N1743" s="7" t="inlineStr">
        <is>
          <t>HEL</t>
        </is>
      </c>
      <c r="O1743" s="7" t="inlineStr">
        <is>
          <t>CRITIQUE</t>
        </is>
      </c>
      <c r="P1743" s="7" t="inlineStr">
        <is>
          <t>31/08/2026 02:59</t>
        </is>
      </c>
    </row>
    <row r="1744">
      <c r="A1744" s="8" t="inlineStr">
        <is>
          <t>WHAP 8x8</t>
        </is>
      </c>
      <c r="B1744" s="8" t="inlineStr">
        <is>
          <t>WHAP-1740</t>
        </is>
      </c>
      <c r="C1744" s="8" t="inlineStr">
        <is>
          <t>MOT-1740</t>
        </is>
      </c>
      <c r="D1744" s="8" t="inlineStr">
        <is>
          <t>fixation de coussinet de vilebrequin</t>
        </is>
      </c>
      <c r="E1744" s="8" t="inlineStr">
        <is>
          <t>Moteur</t>
        </is>
      </c>
      <c r="F1744" s="8" t="inlineStr">
        <is>
          <t>Moteur</t>
        </is>
      </c>
      <c r="G1744" s="8" t="inlineStr">
        <is>
          <t>PIECE_VEHICULE</t>
        </is>
      </c>
      <c r="H1744" s="8" t="n">
        <v>1</v>
      </c>
      <c r="I1744" s="8">
        <f>H1744*$D$3</f>
        <v/>
      </c>
      <c r="J1744" s="8" t="inlineStr">
        <is>
          <t>unité</t>
        </is>
      </c>
      <c r="K1744" s="8" t="n">
        <v>0</v>
      </c>
      <c r="L1744" s="8">
        <f>K1744-I1744</f>
        <v/>
      </c>
      <c r="M1744" s="8">
        <f>IF(K1744&lt;I1744,"✕ INSUFFISANT",IF(K1744&lt;I1744*1.2,"⚠ STOCK FAIBLE","✓ COUVERT"))</f>
        <v/>
      </c>
      <c r="N1744" s="8" t="inlineStr">
        <is>
          <t>SUM</t>
        </is>
      </c>
      <c r="O1744" s="8" t="inlineStr">
        <is>
          <t>CRITIQUE</t>
        </is>
      </c>
      <c r="P1744" s="8" t="inlineStr">
        <is>
          <t>31/08/2026 02:59</t>
        </is>
      </c>
    </row>
    <row r="1745">
      <c r="A1745" s="7" t="inlineStr">
        <is>
          <t>WHAP 8x8</t>
        </is>
      </c>
      <c r="B1745" s="7" t="inlineStr">
        <is>
          <t>WHAP-1741</t>
        </is>
      </c>
      <c r="C1745" s="7" t="inlineStr">
        <is>
          <t>MOT-1741</t>
        </is>
      </c>
      <c r="D1745" s="7" t="inlineStr">
        <is>
          <t>protection de coussinet de vilebrequin</t>
        </is>
      </c>
      <c r="E1745" s="7" t="inlineStr">
        <is>
          <t>Moteur</t>
        </is>
      </c>
      <c r="F1745" s="7" t="inlineStr">
        <is>
          <t>Moteur</t>
        </is>
      </c>
      <c r="G1745" s="7" t="inlineStr">
        <is>
          <t>PIECE_VEHICULE</t>
        </is>
      </c>
      <c r="H1745" s="7" t="n">
        <v>1</v>
      </c>
      <c r="I1745" s="7">
        <f>H1745*$D$3</f>
        <v/>
      </c>
      <c r="J1745" s="7" t="inlineStr">
        <is>
          <t>unité</t>
        </is>
      </c>
      <c r="K1745" s="7" t="n">
        <v>0</v>
      </c>
      <c r="L1745" s="7">
        <f>K1745-I1745</f>
        <v/>
      </c>
      <c r="M1745" s="7">
        <f>IF(K1745&lt;I1745,"✕ INSUFFISANT",IF(K1745&lt;I1745*1.2,"⚠ STOCK FAIBLE","✓ COUVERT"))</f>
        <v/>
      </c>
      <c r="N1745" s="7" t="inlineStr">
        <is>
          <t>DEL</t>
        </is>
      </c>
      <c r="O1745" s="7" t="inlineStr">
        <is>
          <t>CRITIQUE</t>
        </is>
      </c>
      <c r="P1745" s="7" t="inlineStr">
        <is>
          <t>31/08/2026 02:59</t>
        </is>
      </c>
    </row>
    <row r="1746">
      <c r="A1746" s="8" t="inlineStr">
        <is>
          <t>WHAP 8x8</t>
        </is>
      </c>
      <c r="B1746" s="8" t="inlineStr">
        <is>
          <t>WHAP-1742</t>
        </is>
      </c>
      <c r="C1746" s="8" t="inlineStr">
        <is>
          <t>MOT-1742</t>
        </is>
      </c>
      <c r="D1746" s="8" t="inlineStr">
        <is>
          <t>capteur de coussinet de vilebrequin</t>
        </is>
      </c>
      <c r="E1746" s="8" t="inlineStr">
        <is>
          <t>Moteur</t>
        </is>
      </c>
      <c r="F1746" s="8" t="inlineStr">
        <is>
          <t>Moteur</t>
        </is>
      </c>
      <c r="G1746" s="8" t="inlineStr">
        <is>
          <t>PIECE_VEHICULE</t>
        </is>
      </c>
      <c r="H1746" s="8" t="n">
        <v>1</v>
      </c>
      <c r="I1746" s="8">
        <f>H1746*$D$3</f>
        <v/>
      </c>
      <c r="J1746" s="8" t="inlineStr">
        <is>
          <t>unité</t>
        </is>
      </c>
      <c r="K1746" s="8" t="n">
        <v>0</v>
      </c>
      <c r="L1746" s="8">
        <f>K1746-I1746</f>
        <v/>
      </c>
      <c r="M1746" s="8">
        <f>IF(K1746&lt;I1746,"✕ INSUFFISANT",IF(K1746&lt;I1746*1.2,"⚠ STOCK FAIBLE","✓ COUVERT"))</f>
        <v/>
      </c>
      <c r="N1746" s="8" t="inlineStr">
        <is>
          <t>MAG</t>
        </is>
      </c>
      <c r="O1746" s="8" t="inlineStr">
        <is>
          <t>CRITIQUE</t>
        </is>
      </c>
      <c r="P1746" s="8" t="inlineStr">
        <is>
          <t>31/08/2026 02:59</t>
        </is>
      </c>
    </row>
    <row r="1747">
      <c r="A1747" s="7" t="inlineStr">
        <is>
          <t>WHAP 8x8</t>
        </is>
      </c>
      <c r="B1747" s="7" t="inlineStr">
        <is>
          <t>WHAP-1743</t>
        </is>
      </c>
      <c r="C1747" s="7" t="inlineStr">
        <is>
          <t>MOT-1743</t>
        </is>
      </c>
      <c r="D1747" s="7" t="inlineStr">
        <is>
          <t>actionneur de coussinet de vilebrequin</t>
        </is>
      </c>
      <c r="E1747" s="7" t="inlineStr">
        <is>
          <t>Moteur</t>
        </is>
      </c>
      <c r="F1747" s="7" t="inlineStr">
        <is>
          <t>Moteur</t>
        </is>
      </c>
      <c r="G1747" s="7" t="inlineStr">
        <is>
          <t>PIECE_VEHICULE</t>
        </is>
      </c>
      <c r="H1747" s="7" t="n">
        <v>1</v>
      </c>
      <c r="I1747" s="7">
        <f>H1747*$D$3</f>
        <v/>
      </c>
      <c r="J1747" s="7" t="inlineStr">
        <is>
          <t>unité</t>
        </is>
      </c>
      <c r="K1747" s="7" t="n">
        <v>0</v>
      </c>
      <c r="L1747" s="7">
        <f>K1747-I1747</f>
        <v/>
      </c>
      <c r="M1747" s="7">
        <f>IF(K1747&lt;I1747,"✕ INSUFFISANT",IF(K1747&lt;I1747*1.2,"⚠ STOCK FAIBLE","✓ COUVERT"))</f>
        <v/>
      </c>
      <c r="N1747" s="7" t="inlineStr">
        <is>
          <t>YZK</t>
        </is>
      </c>
      <c r="O1747" s="7" t="inlineStr">
        <is>
          <t>CRITIQUE</t>
        </is>
      </c>
      <c r="P1747" s="7" t="inlineStr">
        <is>
          <t>31/08/2026 02:59</t>
        </is>
      </c>
    </row>
    <row r="1748">
      <c r="A1748" s="8" t="inlineStr">
        <is>
          <t>WHAP 8x8</t>
        </is>
      </c>
      <c r="B1748" s="8" t="inlineStr">
        <is>
          <t>WHAP-1744</t>
        </is>
      </c>
      <c r="C1748" s="8" t="inlineStr">
        <is>
          <t>MOT-1744</t>
        </is>
      </c>
      <c r="D1748" s="8" t="inlineStr">
        <is>
          <t>raccord de coussinet de vilebrequin</t>
        </is>
      </c>
      <c r="E1748" s="8" t="inlineStr">
        <is>
          <t>Moteur</t>
        </is>
      </c>
      <c r="F1748" s="8" t="inlineStr">
        <is>
          <t>Moteur</t>
        </is>
      </c>
      <c r="G1748" s="8" t="inlineStr">
        <is>
          <t>PIECE_VEHICULE</t>
        </is>
      </c>
      <c r="H1748" s="8" t="n">
        <v>1</v>
      </c>
      <c r="I1748" s="8">
        <f>H1748*$D$3</f>
        <v/>
      </c>
      <c r="J1748" s="8" t="inlineStr">
        <is>
          <t>unité</t>
        </is>
      </c>
      <c r="K1748" s="8" t="n">
        <v>0</v>
      </c>
      <c r="L1748" s="8">
        <f>K1748-I1748</f>
        <v/>
      </c>
      <c r="M1748" s="8">
        <f>IF(K1748&lt;I1748,"✕ INSUFFISANT",IF(K1748&lt;I1748*1.2,"⚠ STOCK FAIBLE","✓ COUVERT"))</f>
        <v/>
      </c>
      <c r="N1748" s="8" t="inlineStr">
        <is>
          <t>SUM</t>
        </is>
      </c>
      <c r="O1748" s="8" t="inlineStr">
        <is>
          <t>CRITIQUE</t>
        </is>
      </c>
      <c r="P1748" s="8" t="inlineStr">
        <is>
          <t>31/08/2026 02:59</t>
        </is>
      </c>
    </row>
    <row r="1749">
      <c r="A1749" s="7" t="inlineStr">
        <is>
          <t>WHAP 8x8</t>
        </is>
      </c>
      <c r="B1749" s="7" t="inlineStr">
        <is>
          <t>WHAP-1745</t>
        </is>
      </c>
      <c r="C1749" s="7" t="inlineStr">
        <is>
          <t>MOT-1745</t>
        </is>
      </c>
      <c r="D1749" s="7" t="inlineStr">
        <is>
          <t>plaque de coussinet de vilebrequin</t>
        </is>
      </c>
      <c r="E1749" s="7" t="inlineStr">
        <is>
          <t>Moteur</t>
        </is>
      </c>
      <c r="F1749" s="7" t="inlineStr">
        <is>
          <t>Moteur</t>
        </is>
      </c>
      <c r="G1749" s="7" t="inlineStr">
        <is>
          <t>PIECE_VEHICULE</t>
        </is>
      </c>
      <c r="H1749" s="7" t="n">
        <v>1</v>
      </c>
      <c r="I1749" s="7">
        <f>H1749*$D$3</f>
        <v/>
      </c>
      <c r="J1749" s="7" t="inlineStr">
        <is>
          <t>unité</t>
        </is>
      </c>
      <c r="K1749" s="7" t="n">
        <v>0</v>
      </c>
      <c r="L1749" s="7">
        <f>K1749-I1749</f>
        <v/>
      </c>
      <c r="M1749" s="7">
        <f>IF(K1749&lt;I1749,"✕ INSUFFISANT",IF(K1749&lt;I1749*1.2,"⚠ STOCK FAIBLE","✓ COUVERT"))</f>
        <v/>
      </c>
      <c r="N1749" s="7" t="inlineStr">
        <is>
          <t>VAL</t>
        </is>
      </c>
      <c r="O1749" s="7" t="inlineStr">
        <is>
          <t>CRITIQUE</t>
        </is>
      </c>
      <c r="P1749" s="7" t="inlineStr">
        <is>
          <t>31/08/2026 02:59</t>
        </is>
      </c>
    </row>
    <row r="1750">
      <c r="A1750" s="8" t="inlineStr">
        <is>
          <t>WHAP 8x8</t>
        </is>
      </c>
      <c r="B1750" s="8" t="inlineStr">
        <is>
          <t>WHAP-1746</t>
        </is>
      </c>
      <c r="C1750" s="8" t="inlineStr">
        <is>
          <t>MOT-1746</t>
        </is>
      </c>
      <c r="D1750" s="8" t="inlineStr">
        <is>
          <t>couvercle de coussinet de vilebrequin</t>
        </is>
      </c>
      <c r="E1750" s="8" t="inlineStr">
        <is>
          <t>Moteur</t>
        </is>
      </c>
      <c r="F1750" s="8" t="inlineStr">
        <is>
          <t>Moteur</t>
        </is>
      </c>
      <c r="G1750" s="8" t="inlineStr">
        <is>
          <t>PIECE_VEHICULE</t>
        </is>
      </c>
      <c r="H1750" s="8" t="n">
        <v>1</v>
      </c>
      <c r="I1750" s="8">
        <f>H1750*$D$3</f>
        <v/>
      </c>
      <c r="J1750" s="8" t="inlineStr">
        <is>
          <t>unité</t>
        </is>
      </c>
      <c r="K1750" s="8" t="n">
        <v>0</v>
      </c>
      <c r="L1750" s="8">
        <f>K1750-I1750</f>
        <v/>
      </c>
      <c r="M1750" s="8">
        <f>IF(K1750&lt;I1750,"✕ INSUFFISANT",IF(K1750&lt;I1750*1.2,"⚠ STOCK FAIBLE","✓ COUVERT"))</f>
        <v/>
      </c>
      <c r="N1750" s="8" t="inlineStr">
        <is>
          <t>HEL</t>
        </is>
      </c>
      <c r="O1750" s="8" t="inlineStr">
        <is>
          <t>CRITIQUE</t>
        </is>
      </c>
      <c r="P1750" s="8" t="inlineStr">
        <is>
          <t>31/08/2026 02:59</t>
        </is>
      </c>
    </row>
    <row r="1751">
      <c r="A1751" s="7" t="inlineStr">
        <is>
          <t>WHAP 8x8</t>
        </is>
      </c>
      <c r="B1751" s="7" t="inlineStr">
        <is>
          <t>WHAP-1747</t>
        </is>
      </c>
      <c r="C1751" s="7" t="inlineStr">
        <is>
          <t>MOT-1747</t>
        </is>
      </c>
      <c r="D1751" s="7" t="inlineStr">
        <is>
          <t>bague de coussinet de vilebrequin</t>
        </is>
      </c>
      <c r="E1751" s="7" t="inlineStr">
        <is>
          <t>Moteur</t>
        </is>
      </c>
      <c r="F1751" s="7" t="inlineStr">
        <is>
          <t>Moteur</t>
        </is>
      </c>
      <c r="G1751" s="7" t="inlineStr">
        <is>
          <t>PIECE_VEHICULE</t>
        </is>
      </c>
      <c r="H1751" s="7" t="n">
        <v>1</v>
      </c>
      <c r="I1751" s="7">
        <f>H1751*$D$3</f>
        <v/>
      </c>
      <c r="J1751" s="7" t="inlineStr">
        <is>
          <t>unité</t>
        </is>
      </c>
      <c r="K1751" s="7" t="n">
        <v>0</v>
      </c>
      <c r="L1751" s="7">
        <f>K1751-I1751</f>
        <v/>
      </c>
      <c r="M1751" s="7">
        <f>IF(K1751&lt;I1751,"✕ INSUFFISANT",IF(K1751&lt;I1751*1.2,"⚠ STOCK FAIBLE","✓ COUVERT"))</f>
        <v/>
      </c>
      <c r="N1751" s="7" t="inlineStr">
        <is>
          <t>FAU</t>
        </is>
      </c>
      <c r="O1751" s="7" t="inlineStr">
        <is>
          <t>CRITIQUE</t>
        </is>
      </c>
      <c r="P1751" s="7" t="inlineStr">
        <is>
          <t>31/08/2026 02:59</t>
        </is>
      </c>
    </row>
    <row r="1752">
      <c r="A1752" s="8" t="inlineStr">
        <is>
          <t>WHAP 8x8</t>
        </is>
      </c>
      <c r="B1752" s="8" t="inlineStr">
        <is>
          <t>WHAP-1748</t>
        </is>
      </c>
      <c r="C1752" s="8" t="inlineStr">
        <is>
          <t>MOT-1748</t>
        </is>
      </c>
      <c r="D1752" s="8" t="inlineStr">
        <is>
          <t>entretoise de coussinet de vilebrequin</t>
        </is>
      </c>
      <c r="E1752" s="8" t="inlineStr">
        <is>
          <t>Moteur</t>
        </is>
      </c>
      <c r="F1752" s="8" t="inlineStr">
        <is>
          <t>Moteur</t>
        </is>
      </c>
      <c r="G1752" s="8" t="inlineStr">
        <is>
          <t>PIECE_VEHICULE</t>
        </is>
      </c>
      <c r="H1752" s="8" t="n">
        <v>1</v>
      </c>
      <c r="I1752" s="8">
        <f>H1752*$D$3</f>
        <v/>
      </c>
      <c r="J1752" s="8" t="inlineStr">
        <is>
          <t>unité</t>
        </is>
      </c>
      <c r="K1752" s="8" t="n">
        <v>0</v>
      </c>
      <c r="L1752" s="8">
        <f>K1752-I1752</f>
        <v/>
      </c>
      <c r="M1752" s="8">
        <f>IF(K1752&lt;I1752,"✕ INSUFFISANT",IF(K1752&lt;I1752*1.2,"⚠ STOCK FAIBLE","✓ COUVERT"))</f>
        <v/>
      </c>
      <c r="N1752" s="8" t="inlineStr">
        <is>
          <t>DEL</t>
        </is>
      </c>
      <c r="O1752" s="8" t="inlineStr">
        <is>
          <t>CRITIQUE</t>
        </is>
      </c>
      <c r="P1752" s="8" t="inlineStr">
        <is>
          <t>31/08/2026 02:59</t>
        </is>
      </c>
    </row>
    <row r="1753">
      <c r="A1753" s="7" t="inlineStr">
        <is>
          <t>WHAP 8x8</t>
        </is>
      </c>
      <c r="B1753" s="7" t="inlineStr">
        <is>
          <t>WHAP-1749</t>
        </is>
      </c>
      <c r="C1753" s="7" t="inlineStr">
        <is>
          <t>MOT-1749</t>
        </is>
      </c>
      <c r="D1753" s="7" t="inlineStr">
        <is>
          <t>axe de coussinet de vilebrequin</t>
        </is>
      </c>
      <c r="E1753" s="7" t="inlineStr">
        <is>
          <t>Moteur</t>
        </is>
      </c>
      <c r="F1753" s="7" t="inlineStr">
        <is>
          <t>Moteur</t>
        </is>
      </c>
      <c r="G1753" s="7" t="inlineStr">
        <is>
          <t>PIECE_VEHICULE</t>
        </is>
      </c>
      <c r="H1753" s="7" t="n">
        <v>1</v>
      </c>
      <c r="I1753" s="7">
        <f>H1753*$D$3</f>
        <v/>
      </c>
      <c r="J1753" s="7" t="inlineStr">
        <is>
          <t>unité</t>
        </is>
      </c>
      <c r="K1753" s="7" t="n">
        <v>0</v>
      </c>
      <c r="L1753" s="7">
        <f>K1753-I1753</f>
        <v/>
      </c>
      <c r="M1753" s="7">
        <f>IF(K1753&lt;I1753,"✕ INSUFFISANT",IF(K1753&lt;I1753*1.2,"⚠ STOCK FAIBLE","✓ COUVERT"))</f>
        <v/>
      </c>
      <c r="N1753" s="7" t="inlineStr">
        <is>
          <t>SUM</t>
        </is>
      </c>
      <c r="O1753" s="7" t="inlineStr">
        <is>
          <t>CRITIQUE</t>
        </is>
      </c>
      <c r="P1753" s="7" t="inlineStr">
        <is>
          <t>31/08/2026 02:59</t>
        </is>
      </c>
    </row>
    <row r="1754">
      <c r="A1754" s="8" t="inlineStr">
        <is>
          <t>WHAP 8x8</t>
        </is>
      </c>
      <c r="B1754" s="8" t="inlineStr">
        <is>
          <t>WHAP-1750</t>
        </is>
      </c>
      <c r="C1754" s="8" t="inlineStr">
        <is>
          <t>MOT-1750</t>
        </is>
      </c>
      <c r="D1754" s="8" t="inlineStr">
        <is>
          <t>poulie de coussinet de vilebrequin</t>
        </is>
      </c>
      <c r="E1754" s="8" t="inlineStr">
        <is>
          <t>Moteur</t>
        </is>
      </c>
      <c r="F1754" s="8" t="inlineStr">
        <is>
          <t>Moteur</t>
        </is>
      </c>
      <c r="G1754" s="8" t="inlineStr">
        <is>
          <t>PIECE_VEHICULE</t>
        </is>
      </c>
      <c r="H1754" s="8" t="n">
        <v>1</v>
      </c>
      <c r="I1754" s="8">
        <f>H1754*$D$3</f>
        <v/>
      </c>
      <c r="J1754" s="8" t="inlineStr">
        <is>
          <t>unité</t>
        </is>
      </c>
      <c r="K1754" s="8" t="n">
        <v>0</v>
      </c>
      <c r="L1754" s="8">
        <f>K1754-I1754</f>
        <v/>
      </c>
      <c r="M1754" s="8">
        <f>IF(K1754&lt;I1754,"✕ INSUFFISANT",IF(K1754&lt;I1754*1.2,"⚠ STOCK FAIBLE","✓ COUVERT"))</f>
        <v/>
      </c>
      <c r="N1754" s="8" t="inlineStr">
        <is>
          <t>SKF</t>
        </is>
      </c>
      <c r="O1754" s="8" t="inlineStr">
        <is>
          <t>CRITIQUE</t>
        </is>
      </c>
      <c r="P1754" s="8" t="inlineStr">
        <is>
          <t>31/08/2026 02:59</t>
        </is>
      </c>
    </row>
    <row r="1755">
      <c r="A1755" s="7" t="inlineStr">
        <is>
          <t>WHAP 8x8</t>
        </is>
      </c>
      <c r="B1755" s="7" t="inlineStr">
        <is>
          <t>WHAP-1751</t>
        </is>
      </c>
      <c r="C1755" s="7" t="inlineStr">
        <is>
          <t>MOT-1751</t>
        </is>
      </c>
      <c r="D1755" s="7" t="inlineStr">
        <is>
          <t>pignon de coussinet de vilebrequin</t>
        </is>
      </c>
      <c r="E1755" s="7" t="inlineStr">
        <is>
          <t>Moteur</t>
        </is>
      </c>
      <c r="F1755" s="7" t="inlineStr">
        <is>
          <t>Moteur</t>
        </is>
      </c>
      <c r="G1755" s="7" t="inlineStr">
        <is>
          <t>PIECE_VEHICULE</t>
        </is>
      </c>
      <c r="H1755" s="7" t="n">
        <v>1</v>
      </c>
      <c r="I1755" s="7">
        <f>H1755*$D$3</f>
        <v/>
      </c>
      <c r="J1755" s="7" t="inlineStr">
        <is>
          <t>unité</t>
        </is>
      </c>
      <c r="K1755" s="7" t="n">
        <v>0</v>
      </c>
      <c r="L1755" s="7">
        <f>K1755-I1755</f>
        <v/>
      </c>
      <c r="M1755" s="7">
        <f>IF(K1755&lt;I1755,"✕ INSUFFISANT",IF(K1755&lt;I1755*1.2,"⚠ STOCK FAIBLE","✓ COUVERT"))</f>
        <v/>
      </c>
      <c r="N1755" s="7" t="inlineStr">
        <is>
          <t>FAU</t>
        </is>
      </c>
      <c r="O1755" s="7" t="inlineStr">
        <is>
          <t>CRITIQUE</t>
        </is>
      </c>
      <c r="P1755" s="7" t="inlineStr">
        <is>
          <t>31/08/2026 02:59</t>
        </is>
      </c>
    </row>
    <row r="1756">
      <c r="A1756" s="8" t="inlineStr">
        <is>
          <t>WHAP 8x8</t>
        </is>
      </c>
      <c r="B1756" s="8" t="inlineStr">
        <is>
          <t>WHAP-1752</t>
        </is>
      </c>
      <c r="C1756" s="8" t="inlineStr">
        <is>
          <t>MOT-1752</t>
        </is>
      </c>
      <c r="D1756" s="8" t="inlineStr">
        <is>
          <t>ensemble de bielle</t>
        </is>
      </c>
      <c r="E1756" s="8" t="inlineStr">
        <is>
          <t>Moteur</t>
        </is>
      </c>
      <c r="F1756" s="8" t="inlineStr">
        <is>
          <t>Moteur</t>
        </is>
      </c>
      <c r="G1756" s="8" t="inlineStr">
        <is>
          <t>PIECE_VEHICULE</t>
        </is>
      </c>
      <c r="H1756" s="8" t="n">
        <v>1</v>
      </c>
      <c r="I1756" s="8">
        <f>H1756*$D$3</f>
        <v/>
      </c>
      <c r="J1756" s="8" t="inlineStr">
        <is>
          <t>unité</t>
        </is>
      </c>
      <c r="K1756" s="8" t="n">
        <v>0</v>
      </c>
      <c r="L1756" s="8">
        <f>K1756-I1756</f>
        <v/>
      </c>
      <c r="M1756" s="8">
        <f>IF(K1756&lt;I1756,"✕ INSUFFISANT",IF(K1756&lt;I1756*1.2,"⚠ STOCK FAIBLE","✓ COUVERT"))</f>
        <v/>
      </c>
      <c r="N1756" s="8" t="inlineStr">
        <is>
          <t>SUM</t>
        </is>
      </c>
      <c r="O1756" s="8" t="inlineStr">
        <is>
          <t>CRITIQUE</t>
        </is>
      </c>
      <c r="P1756" s="8" t="inlineStr">
        <is>
          <t>31/08/2026 02:59</t>
        </is>
      </c>
    </row>
    <row r="1757">
      <c r="A1757" s="7" t="inlineStr">
        <is>
          <t>WHAP 8x8</t>
        </is>
      </c>
      <c r="B1757" s="7" t="inlineStr">
        <is>
          <t>WHAP-1753</t>
        </is>
      </c>
      <c r="C1757" s="7" t="inlineStr">
        <is>
          <t>MOT-1753</t>
        </is>
      </c>
      <c r="D1757" s="7" t="inlineStr">
        <is>
          <t>kit de bielle</t>
        </is>
      </c>
      <c r="E1757" s="7" t="inlineStr">
        <is>
          <t>Moteur</t>
        </is>
      </c>
      <c r="F1757" s="7" t="inlineStr">
        <is>
          <t>Moteur</t>
        </is>
      </c>
      <c r="G1757" s="7" t="inlineStr">
        <is>
          <t>PIECE_VEHICULE</t>
        </is>
      </c>
      <c r="H1757" s="7" t="n">
        <v>1</v>
      </c>
      <c r="I1757" s="7">
        <f>H1757*$D$3</f>
        <v/>
      </c>
      <c r="J1757" s="7" t="inlineStr">
        <is>
          <t>unité</t>
        </is>
      </c>
      <c r="K1757" s="7" t="n">
        <v>0</v>
      </c>
      <c r="L1757" s="7">
        <f>K1757-I1757</f>
        <v/>
      </c>
      <c r="M1757" s="7">
        <f>IF(K1757&lt;I1757,"✕ INSUFFISANT",IF(K1757&lt;I1757*1.2,"⚠ STOCK FAIBLE","✓ COUVERT"))</f>
        <v/>
      </c>
      <c r="N1757" s="7" t="inlineStr">
        <is>
          <t>HEL</t>
        </is>
      </c>
      <c r="O1757" s="7" t="inlineStr">
        <is>
          <t>CRITIQUE</t>
        </is>
      </c>
      <c r="P1757" s="7" t="inlineStr">
        <is>
          <t>31/08/2026 02:59</t>
        </is>
      </c>
    </row>
    <row r="1758">
      <c r="A1758" s="8" t="inlineStr">
        <is>
          <t>WHAP 8x8</t>
        </is>
      </c>
      <c r="B1758" s="8" t="inlineStr">
        <is>
          <t>WHAP-1754</t>
        </is>
      </c>
      <c r="C1758" s="8" t="inlineStr">
        <is>
          <t>MOT-1754</t>
        </is>
      </c>
      <c r="D1758" s="8" t="inlineStr">
        <is>
          <t>support de bielle</t>
        </is>
      </c>
      <c r="E1758" s="8" t="inlineStr">
        <is>
          <t>Moteur</t>
        </is>
      </c>
      <c r="F1758" s="8" t="inlineStr">
        <is>
          <t>Moteur</t>
        </is>
      </c>
      <c r="G1758" s="8" t="inlineStr">
        <is>
          <t>PIECE_VEHICULE</t>
        </is>
      </c>
      <c r="H1758" s="8" t="n">
        <v>1</v>
      </c>
      <c r="I1758" s="8">
        <f>H1758*$D$3</f>
        <v/>
      </c>
      <c r="J1758" s="8" t="inlineStr">
        <is>
          <t>unité</t>
        </is>
      </c>
      <c r="K1758" s="8" t="n">
        <v>0</v>
      </c>
      <c r="L1758" s="8">
        <f>K1758-I1758</f>
        <v/>
      </c>
      <c r="M1758" s="8">
        <f>IF(K1758&lt;I1758,"✕ INSUFFISANT",IF(K1758&lt;I1758*1.2,"⚠ STOCK FAIBLE","✓ COUVERT"))</f>
        <v/>
      </c>
      <c r="N1758" s="8" t="inlineStr">
        <is>
          <t>DEL</t>
        </is>
      </c>
      <c r="O1758" s="8" t="inlineStr">
        <is>
          <t>CRITIQUE</t>
        </is>
      </c>
      <c r="P1758" s="8" t="inlineStr">
        <is>
          <t>31/08/2026 02:59</t>
        </is>
      </c>
    </row>
    <row r="1759">
      <c r="A1759" s="7" t="inlineStr">
        <is>
          <t>WHAP 8x8</t>
        </is>
      </c>
      <c r="B1759" s="7" t="inlineStr">
        <is>
          <t>WHAP-1755</t>
        </is>
      </c>
      <c r="C1759" s="7" t="inlineStr">
        <is>
          <t>MOT-1755</t>
        </is>
      </c>
      <c r="D1759" s="7" t="inlineStr">
        <is>
          <t>boîtier de bielle</t>
        </is>
      </c>
      <c r="E1759" s="7" t="inlineStr">
        <is>
          <t>Moteur</t>
        </is>
      </c>
      <c r="F1759" s="7" t="inlineStr">
        <is>
          <t>Moteur</t>
        </is>
      </c>
      <c r="G1759" s="7" t="inlineStr">
        <is>
          <t>PIECE_VEHICULE</t>
        </is>
      </c>
      <c r="H1759" s="7" t="n">
        <v>1</v>
      </c>
      <c r="I1759" s="7">
        <f>H1759*$D$3</f>
        <v/>
      </c>
      <c r="J1759" s="7" t="inlineStr">
        <is>
          <t>unité</t>
        </is>
      </c>
      <c r="K1759" s="7" t="n">
        <v>0</v>
      </c>
      <c r="L1759" s="7">
        <f>K1759-I1759</f>
        <v/>
      </c>
      <c r="M1759" s="7">
        <f>IF(K1759&lt;I1759,"✕ INSUFFISANT",IF(K1759&lt;I1759*1.2,"⚠ STOCK FAIBLE","✓ COUVERT"))</f>
        <v/>
      </c>
      <c r="N1759" s="7" t="inlineStr">
        <is>
          <t>DEL</t>
        </is>
      </c>
      <c r="O1759" s="7" t="inlineStr">
        <is>
          <t>CRITIQUE</t>
        </is>
      </c>
      <c r="P1759" s="7" t="inlineStr">
        <is>
          <t>31/08/2026 02:59</t>
        </is>
      </c>
    </row>
    <row r="1760">
      <c r="A1760" s="8" t="inlineStr">
        <is>
          <t>WHAP 8x8</t>
        </is>
      </c>
      <c r="B1760" s="8" t="inlineStr">
        <is>
          <t>WHAP-1756</t>
        </is>
      </c>
      <c r="C1760" s="8" t="inlineStr">
        <is>
          <t>MOT-1756</t>
        </is>
      </c>
      <c r="D1760" s="8" t="inlineStr">
        <is>
          <t>module de bielle</t>
        </is>
      </c>
      <c r="E1760" s="8" t="inlineStr">
        <is>
          <t>Moteur</t>
        </is>
      </c>
      <c r="F1760" s="8" t="inlineStr">
        <is>
          <t>Moteur</t>
        </is>
      </c>
      <c r="G1760" s="8" t="inlineStr">
        <is>
          <t>PIECE_VEHICULE</t>
        </is>
      </c>
      <c r="H1760" s="8" t="n">
        <v>1</v>
      </c>
      <c r="I1760" s="8">
        <f>H1760*$D$3</f>
        <v/>
      </c>
      <c r="J1760" s="8" t="inlineStr">
        <is>
          <t>unité</t>
        </is>
      </c>
      <c r="K1760" s="8" t="n">
        <v>0</v>
      </c>
      <c r="L1760" s="8">
        <f>K1760-I1760</f>
        <v/>
      </c>
      <c r="M1760" s="8">
        <f>IF(K1760&lt;I1760,"✕ INSUFFISANT",IF(K1760&lt;I1760*1.2,"⚠ STOCK FAIBLE","✓ COUVERT"))</f>
        <v/>
      </c>
      <c r="N1760" s="8" t="inlineStr">
        <is>
          <t>BOS</t>
        </is>
      </c>
      <c r="O1760" s="8" t="inlineStr">
        <is>
          <t>CRITIQUE</t>
        </is>
      </c>
      <c r="P1760" s="8" t="inlineStr">
        <is>
          <t>31/08/2026 02:59</t>
        </is>
      </c>
    </row>
    <row r="1761">
      <c r="A1761" s="7" t="inlineStr">
        <is>
          <t>WHAP 8x8</t>
        </is>
      </c>
      <c r="B1761" s="7" t="inlineStr">
        <is>
          <t>WHAP-1757</t>
        </is>
      </c>
      <c r="C1761" s="7" t="inlineStr">
        <is>
          <t>MOT-1757</t>
        </is>
      </c>
      <c r="D1761" s="7" t="inlineStr">
        <is>
          <t>câblage de bielle</t>
        </is>
      </c>
      <c r="E1761" s="7" t="inlineStr">
        <is>
          <t>Moteur</t>
        </is>
      </c>
      <c r="F1761" s="7" t="inlineStr">
        <is>
          <t>Moteur</t>
        </is>
      </c>
      <c r="G1761" s="7" t="inlineStr">
        <is>
          <t>PIECE_VEHICULE</t>
        </is>
      </c>
      <c r="H1761" s="7" t="n">
        <v>1</v>
      </c>
      <c r="I1761" s="7">
        <f>H1761*$D$3</f>
        <v/>
      </c>
      <c r="J1761" s="7" t="inlineStr">
        <is>
          <t>unité</t>
        </is>
      </c>
      <c r="K1761" s="7" t="n">
        <v>0</v>
      </c>
      <c r="L1761" s="7">
        <f>K1761-I1761</f>
        <v/>
      </c>
      <c r="M1761" s="7">
        <f>IF(K1761&lt;I1761,"✕ INSUFFISANT",IF(K1761&lt;I1761*1.2,"⚠ STOCK FAIBLE","✓ COUVERT"))</f>
        <v/>
      </c>
      <c r="N1761" s="7" t="inlineStr">
        <is>
          <t>BOS</t>
        </is>
      </c>
      <c r="O1761" s="7" t="inlineStr">
        <is>
          <t>CRITIQUE</t>
        </is>
      </c>
      <c r="P1761" s="7" t="inlineStr">
        <is>
          <t>31/08/2026 02:59</t>
        </is>
      </c>
    </row>
    <row r="1762">
      <c r="A1762" s="8" t="inlineStr">
        <is>
          <t>WHAP 8x8</t>
        </is>
      </c>
      <c r="B1762" s="8" t="inlineStr">
        <is>
          <t>WHAP-1758</t>
        </is>
      </c>
      <c r="C1762" s="8" t="inlineStr">
        <is>
          <t>MOT-1758</t>
        </is>
      </c>
      <c r="D1762" s="8" t="inlineStr">
        <is>
          <t>connecteur de bielle</t>
        </is>
      </c>
      <c r="E1762" s="8" t="inlineStr">
        <is>
          <t>Moteur</t>
        </is>
      </c>
      <c r="F1762" s="8" t="inlineStr">
        <is>
          <t>Moteur</t>
        </is>
      </c>
      <c r="G1762" s="8" t="inlineStr">
        <is>
          <t>PIECE_VEHICULE</t>
        </is>
      </c>
      <c r="H1762" s="8" t="n">
        <v>1</v>
      </c>
      <c r="I1762" s="8">
        <f>H1762*$D$3</f>
        <v/>
      </c>
      <c r="J1762" s="8" t="inlineStr">
        <is>
          <t>unité</t>
        </is>
      </c>
      <c r="K1762" s="8" t="n">
        <v>0</v>
      </c>
      <c r="L1762" s="8">
        <f>K1762-I1762</f>
        <v/>
      </c>
      <c r="M1762" s="8">
        <f>IF(K1762&lt;I1762,"✕ INSUFFISANT",IF(K1762&lt;I1762*1.2,"⚠ STOCK FAIBLE","✓ COUVERT"))</f>
        <v/>
      </c>
      <c r="N1762" s="8" t="inlineStr">
        <is>
          <t>VAL</t>
        </is>
      </c>
      <c r="O1762" s="8" t="inlineStr">
        <is>
          <t>CRITIQUE</t>
        </is>
      </c>
      <c r="P1762" s="8" t="inlineStr">
        <is>
          <t>31/08/2026 02:59</t>
        </is>
      </c>
    </row>
    <row r="1763">
      <c r="A1763" s="7" t="inlineStr">
        <is>
          <t>WHAP 8x8</t>
        </is>
      </c>
      <c r="B1763" s="7" t="inlineStr">
        <is>
          <t>WHAP-1759</t>
        </is>
      </c>
      <c r="C1763" s="7" t="inlineStr">
        <is>
          <t>MOT-1759</t>
        </is>
      </c>
      <c r="D1763" s="7" t="inlineStr">
        <is>
          <t>joint de bielle</t>
        </is>
      </c>
      <c r="E1763" s="7" t="inlineStr">
        <is>
          <t>Moteur</t>
        </is>
      </c>
      <c r="F1763" s="7" t="inlineStr">
        <is>
          <t>Moteur</t>
        </is>
      </c>
      <c r="G1763" s="7" t="inlineStr">
        <is>
          <t>PIECE_VEHICULE</t>
        </is>
      </c>
      <c r="H1763" s="7" t="n">
        <v>1</v>
      </c>
      <c r="I1763" s="7">
        <f>H1763*$D$3</f>
        <v/>
      </c>
      <c r="J1763" s="7" t="inlineStr">
        <is>
          <t>unité</t>
        </is>
      </c>
      <c r="K1763" s="7" t="n">
        <v>0</v>
      </c>
      <c r="L1763" s="7">
        <f>K1763-I1763</f>
        <v/>
      </c>
      <c r="M1763" s="7">
        <f>IF(K1763&lt;I1763,"✕ INSUFFISANT",IF(K1763&lt;I1763*1.2,"⚠ STOCK FAIBLE","✓ COUVERT"))</f>
        <v/>
      </c>
      <c r="N1763" s="7" t="inlineStr">
        <is>
          <t>FAU</t>
        </is>
      </c>
      <c r="O1763" s="7" t="inlineStr">
        <is>
          <t>CRITIQUE</t>
        </is>
      </c>
      <c r="P1763" s="7" t="inlineStr">
        <is>
          <t>31/08/2026 02:59</t>
        </is>
      </c>
    </row>
    <row r="1764">
      <c r="A1764" s="8" t="inlineStr">
        <is>
          <t>WHAP 8x8</t>
        </is>
      </c>
      <c r="B1764" s="8" t="inlineStr">
        <is>
          <t>WHAP-1760</t>
        </is>
      </c>
      <c r="C1764" s="8" t="inlineStr">
        <is>
          <t>MOT-1760</t>
        </is>
      </c>
      <c r="D1764" s="8" t="inlineStr">
        <is>
          <t>fixation de bielle</t>
        </is>
      </c>
      <c r="E1764" s="8" t="inlineStr">
        <is>
          <t>Moteur</t>
        </is>
      </c>
      <c r="F1764" s="8" t="inlineStr">
        <is>
          <t>Moteur</t>
        </is>
      </c>
      <c r="G1764" s="8" t="inlineStr">
        <is>
          <t>PIECE_VEHICULE</t>
        </is>
      </c>
      <c r="H1764" s="8" t="n">
        <v>1</v>
      </c>
      <c r="I1764" s="8">
        <f>H1764*$D$3</f>
        <v/>
      </c>
      <c r="J1764" s="8" t="inlineStr">
        <is>
          <t>unité</t>
        </is>
      </c>
      <c r="K1764" s="8" t="n">
        <v>0</v>
      </c>
      <c r="L1764" s="8">
        <f>K1764-I1764</f>
        <v/>
      </c>
      <c r="M1764" s="8">
        <f>IF(K1764&lt;I1764,"✕ INSUFFISANT",IF(K1764&lt;I1764*1.2,"⚠ STOCK FAIBLE","✓ COUVERT"))</f>
        <v/>
      </c>
      <c r="N1764" s="8" t="inlineStr">
        <is>
          <t>SUM</t>
        </is>
      </c>
      <c r="O1764" s="8" t="inlineStr">
        <is>
          <t>CRITIQUE</t>
        </is>
      </c>
      <c r="P1764" s="8" t="inlineStr">
        <is>
          <t>31/08/2026 02:59</t>
        </is>
      </c>
    </row>
    <row r="1765">
      <c r="A1765" s="7" t="inlineStr">
        <is>
          <t>WHAP 8x8</t>
        </is>
      </c>
      <c r="B1765" s="7" t="inlineStr">
        <is>
          <t>WHAP-1761</t>
        </is>
      </c>
      <c r="C1765" s="7" t="inlineStr">
        <is>
          <t>MOT-1761</t>
        </is>
      </c>
      <c r="D1765" s="7" t="inlineStr">
        <is>
          <t>protection de bielle</t>
        </is>
      </c>
      <c r="E1765" s="7" t="inlineStr">
        <is>
          <t>Moteur</t>
        </is>
      </c>
      <c r="F1765" s="7" t="inlineStr">
        <is>
          <t>Moteur</t>
        </is>
      </c>
      <c r="G1765" s="7" t="inlineStr">
        <is>
          <t>PIECE_VEHICULE</t>
        </is>
      </c>
      <c r="H1765" s="7" t="n">
        <v>1</v>
      </c>
      <c r="I1765" s="7">
        <f>H1765*$D$3</f>
        <v/>
      </c>
      <c r="J1765" s="7" t="inlineStr">
        <is>
          <t>unité</t>
        </is>
      </c>
      <c r="K1765" s="7" t="n">
        <v>0</v>
      </c>
      <c r="L1765" s="7">
        <f>K1765-I1765</f>
        <v/>
      </c>
      <c r="M1765" s="7">
        <f>IF(K1765&lt;I1765,"✕ INSUFFISANT",IF(K1765&lt;I1765*1.2,"⚠ STOCK FAIBLE","✓ COUVERT"))</f>
        <v/>
      </c>
      <c r="N1765" s="7" t="inlineStr">
        <is>
          <t>SKF</t>
        </is>
      </c>
      <c r="O1765" s="7" t="inlineStr">
        <is>
          <t>CRITIQUE</t>
        </is>
      </c>
      <c r="P1765" s="7" t="inlineStr">
        <is>
          <t>31/08/2026 02:59</t>
        </is>
      </c>
    </row>
    <row r="1766">
      <c r="A1766" s="8" t="inlineStr">
        <is>
          <t>WHAP 8x8</t>
        </is>
      </c>
      <c r="B1766" s="8" t="inlineStr">
        <is>
          <t>WHAP-1762</t>
        </is>
      </c>
      <c r="C1766" s="8" t="inlineStr">
        <is>
          <t>MOT-1762</t>
        </is>
      </c>
      <c r="D1766" s="8" t="inlineStr">
        <is>
          <t>capteur de bielle</t>
        </is>
      </c>
      <c r="E1766" s="8" t="inlineStr">
        <is>
          <t>Moteur</t>
        </is>
      </c>
      <c r="F1766" s="8" t="inlineStr">
        <is>
          <t>Moteur</t>
        </is>
      </c>
      <c r="G1766" s="8" t="inlineStr">
        <is>
          <t>PIECE_VEHICULE</t>
        </is>
      </c>
      <c r="H1766" s="8" t="n">
        <v>1</v>
      </c>
      <c r="I1766" s="8">
        <f>H1766*$D$3</f>
        <v/>
      </c>
      <c r="J1766" s="8" t="inlineStr">
        <is>
          <t>unité</t>
        </is>
      </c>
      <c r="K1766" s="8" t="n">
        <v>0</v>
      </c>
      <c r="L1766" s="8">
        <f>K1766-I1766</f>
        <v/>
      </c>
      <c r="M1766" s="8">
        <f>IF(K1766&lt;I1766,"✕ INSUFFISANT",IF(K1766&lt;I1766*1.2,"⚠ STOCK FAIBLE","✓ COUVERT"))</f>
        <v/>
      </c>
      <c r="N1766" s="8" t="inlineStr">
        <is>
          <t>CTL</t>
        </is>
      </c>
      <c r="O1766" s="8" t="inlineStr">
        <is>
          <t>CRITIQUE</t>
        </is>
      </c>
      <c r="P1766" s="8" t="inlineStr">
        <is>
          <t>31/08/2026 02:59</t>
        </is>
      </c>
    </row>
    <row r="1767">
      <c r="A1767" s="7" t="inlineStr">
        <is>
          <t>WHAP 8x8</t>
        </is>
      </c>
      <c r="B1767" s="7" t="inlineStr">
        <is>
          <t>WHAP-1763</t>
        </is>
      </c>
      <c r="C1767" s="7" t="inlineStr">
        <is>
          <t>MOT-1763</t>
        </is>
      </c>
      <c r="D1767" s="7" t="inlineStr">
        <is>
          <t>actionneur de bielle</t>
        </is>
      </c>
      <c r="E1767" s="7" t="inlineStr">
        <is>
          <t>Moteur</t>
        </is>
      </c>
      <c r="F1767" s="7" t="inlineStr">
        <is>
          <t>Moteur</t>
        </is>
      </c>
      <c r="G1767" s="7" t="inlineStr">
        <is>
          <t>PIECE_VEHICULE</t>
        </is>
      </c>
      <c r="H1767" s="7" t="n">
        <v>1</v>
      </c>
      <c r="I1767" s="7">
        <f>H1767*$D$3</f>
        <v/>
      </c>
      <c r="J1767" s="7" t="inlineStr">
        <is>
          <t>unité</t>
        </is>
      </c>
      <c r="K1767" s="7" t="n">
        <v>0</v>
      </c>
      <c r="L1767" s="7">
        <f>K1767-I1767</f>
        <v/>
      </c>
      <c r="M1767" s="7">
        <f>IF(K1767&lt;I1767,"✕ INSUFFISANT",IF(K1767&lt;I1767*1.2,"⚠ STOCK FAIBLE","✓ COUVERT"))</f>
        <v/>
      </c>
      <c r="N1767" s="7" t="inlineStr">
        <is>
          <t>FAU</t>
        </is>
      </c>
      <c r="O1767" s="7" t="inlineStr">
        <is>
          <t>CRITIQUE</t>
        </is>
      </c>
      <c r="P1767" s="7" t="inlineStr">
        <is>
          <t>31/08/2026 02:59</t>
        </is>
      </c>
    </row>
    <row r="1768">
      <c r="A1768" s="8" t="inlineStr">
        <is>
          <t>WHAP 8x8</t>
        </is>
      </c>
      <c r="B1768" s="8" t="inlineStr">
        <is>
          <t>WHAP-1764</t>
        </is>
      </c>
      <c r="C1768" s="8" t="inlineStr">
        <is>
          <t>MOT-1764</t>
        </is>
      </c>
      <c r="D1768" s="8" t="inlineStr">
        <is>
          <t>raccord de bielle</t>
        </is>
      </c>
      <c r="E1768" s="8" t="inlineStr">
        <is>
          <t>Moteur</t>
        </is>
      </c>
      <c r="F1768" s="8" t="inlineStr">
        <is>
          <t>Moteur</t>
        </is>
      </c>
      <c r="G1768" s="8" t="inlineStr">
        <is>
          <t>PIECE_VEHICULE</t>
        </is>
      </c>
      <c r="H1768" s="8" t="n">
        <v>1</v>
      </c>
      <c r="I1768" s="8">
        <f>H1768*$D$3</f>
        <v/>
      </c>
      <c r="J1768" s="8" t="inlineStr">
        <is>
          <t>unité</t>
        </is>
      </c>
      <c r="K1768" s="8" t="n">
        <v>0</v>
      </c>
      <c r="L1768" s="8">
        <f>K1768-I1768</f>
        <v/>
      </c>
      <c r="M1768" s="8">
        <f>IF(K1768&lt;I1768,"✕ INSUFFISANT",IF(K1768&lt;I1768*1.2,"⚠ STOCK FAIBLE","✓ COUVERT"))</f>
        <v/>
      </c>
      <c r="N1768" s="8" t="inlineStr">
        <is>
          <t>BOS</t>
        </is>
      </c>
      <c r="O1768" s="8" t="inlineStr">
        <is>
          <t>CRITIQUE</t>
        </is>
      </c>
      <c r="P1768" s="8" t="inlineStr">
        <is>
          <t>31/08/2026 02:59</t>
        </is>
      </c>
    </row>
    <row r="1769">
      <c r="A1769" s="7" t="inlineStr">
        <is>
          <t>WHAP 8x8</t>
        </is>
      </c>
      <c r="B1769" s="7" t="inlineStr">
        <is>
          <t>WHAP-1765</t>
        </is>
      </c>
      <c r="C1769" s="7" t="inlineStr">
        <is>
          <t>MOT-1765</t>
        </is>
      </c>
      <c r="D1769" s="7" t="inlineStr">
        <is>
          <t>plaque de bielle</t>
        </is>
      </c>
      <c r="E1769" s="7" t="inlineStr">
        <is>
          <t>Moteur</t>
        </is>
      </c>
      <c r="F1769" s="7" t="inlineStr">
        <is>
          <t>Moteur</t>
        </is>
      </c>
      <c r="G1769" s="7" t="inlineStr">
        <is>
          <t>PIECE_VEHICULE</t>
        </is>
      </c>
      <c r="H1769" s="7" t="n">
        <v>1</v>
      </c>
      <c r="I1769" s="7">
        <f>H1769*$D$3</f>
        <v/>
      </c>
      <c r="J1769" s="7" t="inlineStr">
        <is>
          <t>unité</t>
        </is>
      </c>
      <c r="K1769" s="7" t="n">
        <v>0</v>
      </c>
      <c r="L1769" s="7">
        <f>K1769-I1769</f>
        <v/>
      </c>
      <c r="M1769" s="7">
        <f>IF(K1769&lt;I1769,"✕ INSUFFISANT",IF(K1769&lt;I1769*1.2,"⚠ STOCK FAIBLE","✓ COUVERT"))</f>
        <v/>
      </c>
      <c r="N1769" s="7" t="inlineStr">
        <is>
          <t>DEL</t>
        </is>
      </c>
      <c r="O1769" s="7" t="inlineStr">
        <is>
          <t>CRITIQUE</t>
        </is>
      </c>
      <c r="P1769" s="7" t="inlineStr">
        <is>
          <t>31/08/2026 02:59</t>
        </is>
      </c>
    </row>
    <row r="1770">
      <c r="A1770" s="8" t="inlineStr">
        <is>
          <t>WHAP 8x8</t>
        </is>
      </c>
      <c r="B1770" s="8" t="inlineStr">
        <is>
          <t>WHAP-1766</t>
        </is>
      </c>
      <c r="C1770" s="8" t="inlineStr">
        <is>
          <t>MOT-1766</t>
        </is>
      </c>
      <c r="D1770" s="8" t="inlineStr">
        <is>
          <t>couvercle de bielle</t>
        </is>
      </c>
      <c r="E1770" s="8" t="inlineStr">
        <is>
          <t>Moteur</t>
        </is>
      </c>
      <c r="F1770" s="8" t="inlineStr">
        <is>
          <t>Moteur</t>
        </is>
      </c>
      <c r="G1770" s="8" t="inlineStr">
        <is>
          <t>PIECE_VEHICULE</t>
        </is>
      </c>
      <c r="H1770" s="8" t="n">
        <v>1</v>
      </c>
      <c r="I1770" s="8">
        <f>H1770*$D$3</f>
        <v/>
      </c>
      <c r="J1770" s="8" t="inlineStr">
        <is>
          <t>unité</t>
        </is>
      </c>
      <c r="K1770" s="8" t="n">
        <v>0</v>
      </c>
      <c r="L1770" s="8">
        <f>K1770-I1770</f>
        <v/>
      </c>
      <c r="M1770" s="8">
        <f>IF(K1770&lt;I1770,"✕ INSUFFISANT",IF(K1770&lt;I1770*1.2,"⚠ STOCK FAIBLE","✓ COUVERT"))</f>
        <v/>
      </c>
      <c r="N1770" s="8" t="inlineStr">
        <is>
          <t>YZK</t>
        </is>
      </c>
      <c r="O1770" s="8" t="inlineStr">
        <is>
          <t>CRITIQUE</t>
        </is>
      </c>
      <c r="P1770" s="8" t="inlineStr">
        <is>
          <t>31/08/2026 02:59</t>
        </is>
      </c>
    </row>
    <row r="1771">
      <c r="A1771" s="7" t="inlineStr">
        <is>
          <t>WHAP 8x8</t>
        </is>
      </c>
      <c r="B1771" s="7" t="inlineStr">
        <is>
          <t>WHAP-1767</t>
        </is>
      </c>
      <c r="C1771" s="7" t="inlineStr">
        <is>
          <t>MOT-1767</t>
        </is>
      </c>
      <c r="D1771" s="7" t="inlineStr">
        <is>
          <t>bague de bielle</t>
        </is>
      </c>
      <c r="E1771" s="7" t="inlineStr">
        <is>
          <t>Moteur</t>
        </is>
      </c>
      <c r="F1771" s="7" t="inlineStr">
        <is>
          <t>Moteur</t>
        </is>
      </c>
      <c r="G1771" s="7" t="inlineStr">
        <is>
          <t>PIECE_VEHICULE</t>
        </is>
      </c>
      <c r="H1771" s="7" t="n">
        <v>1</v>
      </c>
      <c r="I1771" s="7">
        <f>H1771*$D$3</f>
        <v/>
      </c>
      <c r="J1771" s="7" t="inlineStr">
        <is>
          <t>unité</t>
        </is>
      </c>
      <c r="K1771" s="7" t="n">
        <v>0</v>
      </c>
      <c r="L1771" s="7">
        <f>K1771-I1771</f>
        <v/>
      </c>
      <c r="M1771" s="7">
        <f>IF(K1771&lt;I1771,"✕ INSUFFISANT",IF(K1771&lt;I1771*1.2,"⚠ STOCK FAIBLE","✓ COUVERT"))</f>
        <v/>
      </c>
      <c r="N1771" s="7" t="inlineStr">
        <is>
          <t>SUM</t>
        </is>
      </c>
      <c r="O1771" s="7" t="inlineStr">
        <is>
          <t>CRITIQUE</t>
        </is>
      </c>
      <c r="P1771" s="7" t="inlineStr">
        <is>
          <t>31/08/2026 02:59</t>
        </is>
      </c>
    </row>
    <row r="1772">
      <c r="A1772" s="8" t="inlineStr">
        <is>
          <t>WHAP 8x8</t>
        </is>
      </c>
      <c r="B1772" s="8" t="inlineStr">
        <is>
          <t>WHAP-1768</t>
        </is>
      </c>
      <c r="C1772" s="8" t="inlineStr">
        <is>
          <t>MOT-1768</t>
        </is>
      </c>
      <c r="D1772" s="8" t="inlineStr">
        <is>
          <t>entretoise de bielle</t>
        </is>
      </c>
      <c r="E1772" s="8" t="inlineStr">
        <is>
          <t>Moteur</t>
        </is>
      </c>
      <c r="F1772" s="8" t="inlineStr">
        <is>
          <t>Moteur</t>
        </is>
      </c>
      <c r="G1772" s="8" t="inlineStr">
        <is>
          <t>PIECE_VEHICULE</t>
        </is>
      </c>
      <c r="H1772" s="8" t="n">
        <v>1</v>
      </c>
      <c r="I1772" s="8">
        <f>H1772*$D$3</f>
        <v/>
      </c>
      <c r="J1772" s="8" t="inlineStr">
        <is>
          <t>unité</t>
        </is>
      </c>
      <c r="K1772" s="8" t="n">
        <v>0</v>
      </c>
      <c r="L1772" s="8">
        <f>K1772-I1772</f>
        <v/>
      </c>
      <c r="M1772" s="8">
        <f>IF(K1772&lt;I1772,"✕ INSUFFISANT",IF(K1772&lt;I1772*1.2,"⚠ STOCK FAIBLE","✓ COUVERT"))</f>
        <v/>
      </c>
      <c r="N1772" s="8" t="inlineStr">
        <is>
          <t>CTL</t>
        </is>
      </c>
      <c r="O1772" s="8" t="inlineStr">
        <is>
          <t>CRITIQUE</t>
        </is>
      </c>
      <c r="P1772" s="8" t="inlineStr">
        <is>
          <t>31/08/2026 02:59</t>
        </is>
      </c>
    </row>
    <row r="1773">
      <c r="A1773" s="7" t="inlineStr">
        <is>
          <t>WHAP 8x8</t>
        </is>
      </c>
      <c r="B1773" s="7" t="inlineStr">
        <is>
          <t>WHAP-1769</t>
        </is>
      </c>
      <c r="C1773" s="7" t="inlineStr">
        <is>
          <t>MOT-1769</t>
        </is>
      </c>
      <c r="D1773" s="7" t="inlineStr">
        <is>
          <t>axe de bielle</t>
        </is>
      </c>
      <c r="E1773" s="7" t="inlineStr">
        <is>
          <t>Moteur</t>
        </is>
      </c>
      <c r="F1773" s="7" t="inlineStr">
        <is>
          <t>Moteur</t>
        </is>
      </c>
      <c r="G1773" s="7" t="inlineStr">
        <is>
          <t>PIECE_VEHICULE</t>
        </is>
      </c>
      <c r="H1773" s="7" t="n">
        <v>1</v>
      </c>
      <c r="I1773" s="7">
        <f>H1773*$D$3</f>
        <v/>
      </c>
      <c r="J1773" s="7" t="inlineStr">
        <is>
          <t>unité</t>
        </is>
      </c>
      <c r="K1773" s="7" t="n">
        <v>0</v>
      </c>
      <c r="L1773" s="7">
        <f>K1773-I1773</f>
        <v/>
      </c>
      <c r="M1773" s="7">
        <f>IF(K1773&lt;I1773,"✕ INSUFFISANT",IF(K1773&lt;I1773*1.2,"⚠ STOCK FAIBLE","✓ COUVERT"))</f>
        <v/>
      </c>
      <c r="N1773" s="7" t="inlineStr">
        <is>
          <t>HEL</t>
        </is>
      </c>
      <c r="O1773" s="7" t="inlineStr">
        <is>
          <t>CRITIQUE</t>
        </is>
      </c>
      <c r="P1773" s="7" t="inlineStr">
        <is>
          <t>31/08/2026 02:59</t>
        </is>
      </c>
    </row>
    <row r="1774">
      <c r="A1774" s="8" t="inlineStr">
        <is>
          <t>WHAP 8x8</t>
        </is>
      </c>
      <c r="B1774" s="8" t="inlineStr">
        <is>
          <t>WHAP-1770</t>
        </is>
      </c>
      <c r="C1774" s="8" t="inlineStr">
        <is>
          <t>MOT-1770</t>
        </is>
      </c>
      <c r="D1774" s="8" t="inlineStr">
        <is>
          <t>poulie de bielle</t>
        </is>
      </c>
      <c r="E1774" s="8" t="inlineStr">
        <is>
          <t>Moteur</t>
        </is>
      </c>
      <c r="F1774" s="8" t="inlineStr">
        <is>
          <t>Moteur</t>
        </is>
      </c>
      <c r="G1774" s="8" t="inlineStr">
        <is>
          <t>PIECE_VEHICULE</t>
        </is>
      </c>
      <c r="H1774" s="8" t="n">
        <v>1</v>
      </c>
      <c r="I1774" s="8">
        <f>H1774*$D$3</f>
        <v/>
      </c>
      <c r="J1774" s="8" t="inlineStr">
        <is>
          <t>unité</t>
        </is>
      </c>
      <c r="K1774" s="8" t="n">
        <v>0</v>
      </c>
      <c r="L1774" s="8">
        <f>K1774-I1774</f>
        <v/>
      </c>
      <c r="M1774" s="8">
        <f>IF(K1774&lt;I1774,"✕ INSUFFISANT",IF(K1774&lt;I1774*1.2,"⚠ STOCK FAIBLE","✓ COUVERT"))</f>
        <v/>
      </c>
      <c r="N1774" s="8" t="inlineStr">
        <is>
          <t>YZK</t>
        </is>
      </c>
      <c r="O1774" s="8" t="inlineStr">
        <is>
          <t>CRITIQUE</t>
        </is>
      </c>
      <c r="P1774" s="8" t="inlineStr">
        <is>
          <t>31/08/2026 02:59</t>
        </is>
      </c>
    </row>
    <row r="1775">
      <c r="A1775" s="7" t="inlineStr">
        <is>
          <t>WHAP 8x8</t>
        </is>
      </c>
      <c r="B1775" s="7" t="inlineStr">
        <is>
          <t>WHAP-1771</t>
        </is>
      </c>
      <c r="C1775" s="7" t="inlineStr">
        <is>
          <t>MOT-1771</t>
        </is>
      </c>
      <c r="D1775" s="7" t="inlineStr">
        <is>
          <t>pignon de bielle</t>
        </is>
      </c>
      <c r="E1775" s="7" t="inlineStr">
        <is>
          <t>Moteur</t>
        </is>
      </c>
      <c r="F1775" s="7" t="inlineStr">
        <is>
          <t>Moteur</t>
        </is>
      </c>
      <c r="G1775" s="7" t="inlineStr">
        <is>
          <t>PIECE_VEHICULE</t>
        </is>
      </c>
      <c r="H1775" s="7" t="n">
        <v>1</v>
      </c>
      <c r="I1775" s="7">
        <f>H1775*$D$3</f>
        <v/>
      </c>
      <c r="J1775" s="7" t="inlineStr">
        <is>
          <t>unité</t>
        </is>
      </c>
      <c r="K1775" s="7" t="n">
        <v>0</v>
      </c>
      <c r="L1775" s="7">
        <f>K1775-I1775</f>
        <v/>
      </c>
      <c r="M1775" s="7">
        <f>IF(K1775&lt;I1775,"✕ INSUFFISANT",IF(K1775&lt;I1775*1.2,"⚠ STOCK FAIBLE","✓ COUVERT"))</f>
        <v/>
      </c>
      <c r="N1775" s="7" t="inlineStr">
        <is>
          <t>FAU</t>
        </is>
      </c>
      <c r="O1775" s="7" t="inlineStr">
        <is>
          <t>CRITIQUE</t>
        </is>
      </c>
      <c r="P1775" s="7" t="inlineStr">
        <is>
          <t>31/08/2026 02:59</t>
        </is>
      </c>
    </row>
    <row r="1776">
      <c r="A1776" s="8" t="inlineStr">
        <is>
          <t>WHAP 8x8</t>
        </is>
      </c>
      <c r="B1776" s="8" t="inlineStr">
        <is>
          <t>WHAP-1772</t>
        </is>
      </c>
      <c r="C1776" s="8" t="inlineStr">
        <is>
          <t>MOT-1772</t>
        </is>
      </c>
      <c r="D1776" s="8" t="inlineStr">
        <is>
          <t>ensemble de coussinet de bielle</t>
        </is>
      </c>
      <c r="E1776" s="8" t="inlineStr">
        <is>
          <t>Moteur</t>
        </is>
      </c>
      <c r="F1776" s="8" t="inlineStr">
        <is>
          <t>Moteur</t>
        </is>
      </c>
      <c r="G1776" s="8" t="inlineStr">
        <is>
          <t>PIECE_VEHICULE</t>
        </is>
      </c>
      <c r="H1776" s="8" t="n">
        <v>1</v>
      </c>
      <c r="I1776" s="8">
        <f>H1776*$D$3</f>
        <v/>
      </c>
      <c r="J1776" s="8" t="inlineStr">
        <is>
          <t>unité</t>
        </is>
      </c>
      <c r="K1776" s="8" t="n">
        <v>0</v>
      </c>
      <c r="L1776" s="8">
        <f>K1776-I1776</f>
        <v/>
      </c>
      <c r="M1776" s="8">
        <f>IF(K1776&lt;I1776,"✕ INSUFFISANT",IF(K1776&lt;I1776*1.2,"⚠ STOCK FAIBLE","✓ COUVERT"))</f>
        <v/>
      </c>
      <c r="N1776" s="8" t="inlineStr">
        <is>
          <t>MAG</t>
        </is>
      </c>
      <c r="O1776" s="8" t="inlineStr">
        <is>
          <t>CRITIQUE</t>
        </is>
      </c>
      <c r="P1776" s="8" t="inlineStr">
        <is>
          <t>31/08/2026 02:59</t>
        </is>
      </c>
    </row>
    <row r="1777">
      <c r="A1777" s="7" t="inlineStr">
        <is>
          <t>WHAP 8x8</t>
        </is>
      </c>
      <c r="B1777" s="7" t="inlineStr">
        <is>
          <t>WHAP-1773</t>
        </is>
      </c>
      <c r="C1777" s="7" t="inlineStr">
        <is>
          <t>MOT-1773</t>
        </is>
      </c>
      <c r="D1777" s="7" t="inlineStr">
        <is>
          <t>kit de coussinet de bielle</t>
        </is>
      </c>
      <c r="E1777" s="7" t="inlineStr">
        <is>
          <t>Moteur</t>
        </is>
      </c>
      <c r="F1777" s="7" t="inlineStr">
        <is>
          <t>Moteur</t>
        </is>
      </c>
      <c r="G1777" s="7" t="inlineStr">
        <is>
          <t>PIECE_VEHICULE</t>
        </is>
      </c>
      <c r="H1777" s="7" t="n">
        <v>1</v>
      </c>
      <c r="I1777" s="7">
        <f>H1777*$D$3</f>
        <v/>
      </c>
      <c r="J1777" s="7" t="inlineStr">
        <is>
          <t>unité</t>
        </is>
      </c>
      <c r="K1777" s="7" t="n">
        <v>0</v>
      </c>
      <c r="L1777" s="7">
        <f>K1777-I1777</f>
        <v/>
      </c>
      <c r="M1777" s="7">
        <f>IF(K1777&lt;I1777,"✕ INSUFFISANT",IF(K1777&lt;I1777*1.2,"⚠ STOCK FAIBLE","✓ COUVERT"))</f>
        <v/>
      </c>
      <c r="N1777" s="7" t="inlineStr">
        <is>
          <t>YZK</t>
        </is>
      </c>
      <c r="O1777" s="7" t="inlineStr">
        <is>
          <t>CRITIQUE</t>
        </is>
      </c>
      <c r="P1777" s="7" t="inlineStr">
        <is>
          <t>31/08/2026 02:59</t>
        </is>
      </c>
    </row>
    <row r="1778">
      <c r="A1778" s="8" t="inlineStr">
        <is>
          <t>WHAP 8x8</t>
        </is>
      </c>
      <c r="B1778" s="8" t="inlineStr">
        <is>
          <t>WHAP-1774</t>
        </is>
      </c>
      <c r="C1778" s="8" t="inlineStr">
        <is>
          <t>MOT-1774</t>
        </is>
      </c>
      <c r="D1778" s="8" t="inlineStr">
        <is>
          <t>support de coussinet de bielle</t>
        </is>
      </c>
      <c r="E1778" s="8" t="inlineStr">
        <is>
          <t>Moteur</t>
        </is>
      </c>
      <c r="F1778" s="8" t="inlineStr">
        <is>
          <t>Moteur</t>
        </is>
      </c>
      <c r="G1778" s="8" t="inlineStr">
        <is>
          <t>PIECE_VEHICULE</t>
        </is>
      </c>
      <c r="H1778" s="8" t="n">
        <v>1</v>
      </c>
      <c r="I1778" s="8">
        <f>H1778*$D$3</f>
        <v/>
      </c>
      <c r="J1778" s="8" t="inlineStr">
        <is>
          <t>unité</t>
        </is>
      </c>
      <c r="K1778" s="8" t="n">
        <v>0</v>
      </c>
      <c r="L1778" s="8">
        <f>K1778-I1778</f>
        <v/>
      </c>
      <c r="M1778" s="8">
        <f>IF(K1778&lt;I1778,"✕ INSUFFISANT",IF(K1778&lt;I1778*1.2,"⚠ STOCK FAIBLE","✓ COUVERT"))</f>
        <v/>
      </c>
      <c r="N1778" s="8" t="inlineStr">
        <is>
          <t>SKF</t>
        </is>
      </c>
      <c r="O1778" s="8" t="inlineStr">
        <is>
          <t>CRITIQUE</t>
        </is>
      </c>
      <c r="P1778" s="8" t="inlineStr">
        <is>
          <t>31/08/2026 02:59</t>
        </is>
      </c>
    </row>
    <row r="1779">
      <c r="A1779" s="7" t="inlineStr">
        <is>
          <t>WHAP 8x8</t>
        </is>
      </c>
      <c r="B1779" s="7" t="inlineStr">
        <is>
          <t>WHAP-1775</t>
        </is>
      </c>
      <c r="C1779" s="7" t="inlineStr">
        <is>
          <t>MOT-1775</t>
        </is>
      </c>
      <c r="D1779" s="7" t="inlineStr">
        <is>
          <t>boîtier de coussinet de bielle</t>
        </is>
      </c>
      <c r="E1779" s="7" t="inlineStr">
        <is>
          <t>Moteur</t>
        </is>
      </c>
      <c r="F1779" s="7" t="inlineStr">
        <is>
          <t>Moteur</t>
        </is>
      </c>
      <c r="G1779" s="7" t="inlineStr">
        <is>
          <t>PIECE_VEHICULE</t>
        </is>
      </c>
      <c r="H1779" s="7" t="n">
        <v>1</v>
      </c>
      <c r="I1779" s="7">
        <f>H1779*$D$3</f>
        <v/>
      </c>
      <c r="J1779" s="7" t="inlineStr">
        <is>
          <t>unité</t>
        </is>
      </c>
      <c r="K1779" s="7" t="n">
        <v>0</v>
      </c>
      <c r="L1779" s="7">
        <f>K1779-I1779</f>
        <v/>
      </c>
      <c r="M1779" s="7">
        <f>IF(K1779&lt;I1779,"✕ INSUFFISANT",IF(K1779&lt;I1779*1.2,"⚠ STOCK FAIBLE","✓ COUVERT"))</f>
        <v/>
      </c>
      <c r="N1779" s="7" t="inlineStr">
        <is>
          <t>CTL</t>
        </is>
      </c>
      <c r="O1779" s="7" t="inlineStr">
        <is>
          <t>CRITIQUE</t>
        </is>
      </c>
      <c r="P1779" s="7" t="inlineStr">
        <is>
          <t>31/08/2026 02:59</t>
        </is>
      </c>
    </row>
    <row r="1780">
      <c r="A1780" s="8" t="inlineStr">
        <is>
          <t>WHAP 8x8</t>
        </is>
      </c>
      <c r="B1780" s="8" t="inlineStr">
        <is>
          <t>WHAP-1776</t>
        </is>
      </c>
      <c r="C1780" s="8" t="inlineStr">
        <is>
          <t>MOT-1776</t>
        </is>
      </c>
      <c r="D1780" s="8" t="inlineStr">
        <is>
          <t>module de coussinet de bielle</t>
        </is>
      </c>
      <c r="E1780" s="8" t="inlineStr">
        <is>
          <t>Moteur</t>
        </is>
      </c>
      <c r="F1780" s="8" t="inlineStr">
        <is>
          <t>Moteur</t>
        </is>
      </c>
      <c r="G1780" s="8" t="inlineStr">
        <is>
          <t>PIECE_VEHICULE</t>
        </is>
      </c>
      <c r="H1780" s="8" t="n">
        <v>1</v>
      </c>
      <c r="I1780" s="8">
        <f>H1780*$D$3</f>
        <v/>
      </c>
      <c r="J1780" s="8" t="inlineStr">
        <is>
          <t>unité</t>
        </is>
      </c>
      <c r="K1780" s="8" t="n">
        <v>0</v>
      </c>
      <c r="L1780" s="8">
        <f>K1780-I1780</f>
        <v/>
      </c>
      <c r="M1780" s="8">
        <f>IF(K1780&lt;I1780,"✕ INSUFFISANT",IF(K1780&lt;I1780*1.2,"⚠ STOCK FAIBLE","✓ COUVERT"))</f>
        <v/>
      </c>
      <c r="N1780" s="8" t="inlineStr">
        <is>
          <t>FAU</t>
        </is>
      </c>
      <c r="O1780" s="8" t="inlineStr">
        <is>
          <t>CRITIQUE</t>
        </is>
      </c>
      <c r="P1780" s="8" t="inlineStr">
        <is>
          <t>31/08/2026 02:59</t>
        </is>
      </c>
    </row>
    <row r="1781">
      <c r="A1781" s="7" t="inlineStr">
        <is>
          <t>WHAP 8x8</t>
        </is>
      </c>
      <c r="B1781" s="7" t="inlineStr">
        <is>
          <t>WHAP-1777</t>
        </is>
      </c>
      <c r="C1781" s="7" t="inlineStr">
        <is>
          <t>MOT-1777</t>
        </is>
      </c>
      <c r="D1781" s="7" t="inlineStr">
        <is>
          <t>câblage de coussinet de bielle</t>
        </is>
      </c>
      <c r="E1781" s="7" t="inlineStr">
        <is>
          <t>Moteur</t>
        </is>
      </c>
      <c r="F1781" s="7" t="inlineStr">
        <is>
          <t>Moteur</t>
        </is>
      </c>
      <c r="G1781" s="7" t="inlineStr">
        <is>
          <t>PIECE_VEHICULE</t>
        </is>
      </c>
      <c r="H1781" s="7" t="n">
        <v>1</v>
      </c>
      <c r="I1781" s="7">
        <f>H1781*$D$3</f>
        <v/>
      </c>
      <c r="J1781" s="7" t="inlineStr">
        <is>
          <t>unité</t>
        </is>
      </c>
      <c r="K1781" s="7" t="n">
        <v>0</v>
      </c>
      <c r="L1781" s="7">
        <f>K1781-I1781</f>
        <v/>
      </c>
      <c r="M1781" s="7">
        <f>IF(K1781&lt;I1781,"✕ INSUFFISANT",IF(K1781&lt;I1781*1.2,"⚠ STOCK FAIBLE","✓ COUVERT"))</f>
        <v/>
      </c>
      <c r="N1781" s="7" t="inlineStr">
        <is>
          <t>YZK</t>
        </is>
      </c>
      <c r="O1781" s="7" t="inlineStr">
        <is>
          <t>CRITIQUE</t>
        </is>
      </c>
      <c r="P1781" s="7" t="inlineStr">
        <is>
          <t>31/08/2026 02:59</t>
        </is>
      </c>
    </row>
    <row r="1782">
      <c r="A1782" s="8" t="inlineStr">
        <is>
          <t>WHAP 8x8</t>
        </is>
      </c>
      <c r="B1782" s="8" t="inlineStr">
        <is>
          <t>WHAP-1778</t>
        </is>
      </c>
      <c r="C1782" s="8" t="inlineStr">
        <is>
          <t>MOT-1778</t>
        </is>
      </c>
      <c r="D1782" s="8" t="inlineStr">
        <is>
          <t>connecteur de coussinet de bielle</t>
        </is>
      </c>
      <c r="E1782" s="8" t="inlineStr">
        <is>
          <t>Moteur</t>
        </is>
      </c>
      <c r="F1782" s="8" t="inlineStr">
        <is>
          <t>Moteur</t>
        </is>
      </c>
      <c r="G1782" s="8" t="inlineStr">
        <is>
          <t>PIECE_VEHICULE</t>
        </is>
      </c>
      <c r="H1782" s="8" t="n">
        <v>1</v>
      </c>
      <c r="I1782" s="8">
        <f>H1782*$D$3</f>
        <v/>
      </c>
      <c r="J1782" s="8" t="inlineStr">
        <is>
          <t>unité</t>
        </is>
      </c>
      <c r="K1782" s="8" t="n">
        <v>0</v>
      </c>
      <c r="L1782" s="8">
        <f>K1782-I1782</f>
        <v/>
      </c>
      <c r="M1782" s="8">
        <f>IF(K1782&lt;I1782,"✕ INSUFFISANT",IF(K1782&lt;I1782*1.2,"⚠ STOCK FAIBLE","✓ COUVERT"))</f>
        <v/>
      </c>
      <c r="N1782" s="8" t="inlineStr">
        <is>
          <t>MAG</t>
        </is>
      </c>
      <c r="O1782" s="8" t="inlineStr">
        <is>
          <t>CRITIQUE</t>
        </is>
      </c>
      <c r="P1782" s="8" t="inlineStr">
        <is>
          <t>31/08/2026 02:59</t>
        </is>
      </c>
    </row>
    <row r="1783">
      <c r="A1783" s="7" t="inlineStr">
        <is>
          <t>WHAP 8x8</t>
        </is>
      </c>
      <c r="B1783" s="7" t="inlineStr">
        <is>
          <t>WHAP-1779</t>
        </is>
      </c>
      <c r="C1783" s="7" t="inlineStr">
        <is>
          <t>MOT-1779</t>
        </is>
      </c>
      <c r="D1783" s="7" t="inlineStr">
        <is>
          <t>joint de coussinet de bielle</t>
        </is>
      </c>
      <c r="E1783" s="7" t="inlineStr">
        <is>
          <t>Moteur</t>
        </is>
      </c>
      <c r="F1783" s="7" t="inlineStr">
        <is>
          <t>Moteur</t>
        </is>
      </c>
      <c r="G1783" s="7" t="inlineStr">
        <is>
          <t>PIECE_VEHICULE</t>
        </is>
      </c>
      <c r="H1783" s="7" t="n">
        <v>1</v>
      </c>
      <c r="I1783" s="7">
        <f>H1783*$D$3</f>
        <v/>
      </c>
      <c r="J1783" s="7" t="inlineStr">
        <is>
          <t>unité</t>
        </is>
      </c>
      <c r="K1783" s="7" t="n">
        <v>0</v>
      </c>
      <c r="L1783" s="7">
        <f>K1783-I1783</f>
        <v/>
      </c>
      <c r="M1783" s="7">
        <f>IF(K1783&lt;I1783,"✕ INSUFFISANT",IF(K1783&lt;I1783*1.2,"⚠ STOCK FAIBLE","✓ COUVERT"))</f>
        <v/>
      </c>
      <c r="N1783" s="7" t="inlineStr">
        <is>
          <t>BOS</t>
        </is>
      </c>
      <c r="O1783" s="7" t="inlineStr">
        <is>
          <t>CRITIQUE</t>
        </is>
      </c>
      <c r="P1783" s="7" t="inlineStr">
        <is>
          <t>31/08/2026 02:59</t>
        </is>
      </c>
    </row>
    <row r="1784">
      <c r="A1784" s="8" t="inlineStr">
        <is>
          <t>WHAP 8x8</t>
        </is>
      </c>
      <c r="B1784" s="8" t="inlineStr">
        <is>
          <t>WHAP-1780</t>
        </is>
      </c>
      <c r="C1784" s="8" t="inlineStr">
        <is>
          <t>MOT-1780</t>
        </is>
      </c>
      <c r="D1784" s="8" t="inlineStr">
        <is>
          <t>fixation de coussinet de bielle</t>
        </is>
      </c>
      <c r="E1784" s="8" t="inlineStr">
        <is>
          <t>Moteur</t>
        </is>
      </c>
      <c r="F1784" s="8" t="inlineStr">
        <is>
          <t>Moteur</t>
        </is>
      </c>
      <c r="G1784" s="8" t="inlineStr">
        <is>
          <t>PIECE_VEHICULE</t>
        </is>
      </c>
      <c r="H1784" s="8" t="n">
        <v>1</v>
      </c>
      <c r="I1784" s="8">
        <f>H1784*$D$3</f>
        <v/>
      </c>
      <c r="J1784" s="8" t="inlineStr">
        <is>
          <t>unité</t>
        </is>
      </c>
      <c r="K1784" s="8" t="n">
        <v>0</v>
      </c>
      <c r="L1784" s="8">
        <f>K1784-I1784</f>
        <v/>
      </c>
      <c r="M1784" s="8">
        <f>IF(K1784&lt;I1784,"✕ INSUFFISANT",IF(K1784&lt;I1784*1.2,"⚠ STOCK FAIBLE","✓ COUVERT"))</f>
        <v/>
      </c>
      <c r="N1784" s="8" t="inlineStr">
        <is>
          <t>YZK</t>
        </is>
      </c>
      <c r="O1784" s="8" t="inlineStr">
        <is>
          <t>CRITIQUE</t>
        </is>
      </c>
      <c r="P1784" s="8" t="inlineStr">
        <is>
          <t>31/08/2026 02:59</t>
        </is>
      </c>
    </row>
    <row r="1785">
      <c r="A1785" s="7" t="inlineStr">
        <is>
          <t>WHAP 8x8</t>
        </is>
      </c>
      <c r="B1785" s="7" t="inlineStr">
        <is>
          <t>WHAP-1781</t>
        </is>
      </c>
      <c r="C1785" s="7" t="inlineStr">
        <is>
          <t>MOT-1781</t>
        </is>
      </c>
      <c r="D1785" s="7" t="inlineStr">
        <is>
          <t>protection de coussinet de bielle</t>
        </is>
      </c>
      <c r="E1785" s="7" t="inlineStr">
        <is>
          <t>Moteur</t>
        </is>
      </c>
      <c r="F1785" s="7" t="inlineStr">
        <is>
          <t>Moteur</t>
        </is>
      </c>
      <c r="G1785" s="7" t="inlineStr">
        <is>
          <t>PIECE_VEHICULE</t>
        </is>
      </c>
      <c r="H1785" s="7" t="n">
        <v>1</v>
      </c>
      <c r="I1785" s="7">
        <f>H1785*$D$3</f>
        <v/>
      </c>
      <c r="J1785" s="7" t="inlineStr">
        <is>
          <t>unité</t>
        </is>
      </c>
      <c r="K1785" s="7" t="n">
        <v>0</v>
      </c>
      <c r="L1785" s="7">
        <f>K1785-I1785</f>
        <v/>
      </c>
      <c r="M1785" s="7">
        <f>IF(K1785&lt;I1785,"✕ INSUFFISANT",IF(K1785&lt;I1785*1.2,"⚠ STOCK FAIBLE","✓ COUVERT"))</f>
        <v/>
      </c>
      <c r="N1785" s="7" t="inlineStr">
        <is>
          <t>MAG</t>
        </is>
      </c>
      <c r="O1785" s="7" t="inlineStr">
        <is>
          <t>CRITIQUE</t>
        </is>
      </c>
      <c r="P1785" s="7" t="inlineStr">
        <is>
          <t>31/08/2026 02:59</t>
        </is>
      </c>
    </row>
    <row r="1786">
      <c r="A1786" s="8" t="inlineStr">
        <is>
          <t>WHAP 8x8</t>
        </is>
      </c>
      <c r="B1786" s="8" t="inlineStr">
        <is>
          <t>WHAP-1782</t>
        </is>
      </c>
      <c r="C1786" s="8" t="inlineStr">
        <is>
          <t>MOT-1782</t>
        </is>
      </c>
      <c r="D1786" s="8" t="inlineStr">
        <is>
          <t>capteur de coussinet de bielle</t>
        </is>
      </c>
      <c r="E1786" s="8" t="inlineStr">
        <is>
          <t>Moteur</t>
        </is>
      </c>
      <c r="F1786" s="8" t="inlineStr">
        <is>
          <t>Moteur</t>
        </is>
      </c>
      <c r="G1786" s="8" t="inlineStr">
        <is>
          <t>PIECE_VEHICULE</t>
        </is>
      </c>
      <c r="H1786" s="8" t="n">
        <v>1</v>
      </c>
      <c r="I1786" s="8">
        <f>H1786*$D$3</f>
        <v/>
      </c>
      <c r="J1786" s="8" t="inlineStr">
        <is>
          <t>unité</t>
        </is>
      </c>
      <c r="K1786" s="8" t="n">
        <v>0</v>
      </c>
      <c r="L1786" s="8">
        <f>K1786-I1786</f>
        <v/>
      </c>
      <c r="M1786" s="8">
        <f>IF(K1786&lt;I1786,"✕ INSUFFISANT",IF(K1786&lt;I1786*1.2,"⚠ STOCK FAIBLE","✓ COUVERT"))</f>
        <v/>
      </c>
      <c r="N1786" s="8" t="inlineStr">
        <is>
          <t>FAU</t>
        </is>
      </c>
      <c r="O1786" s="8" t="inlineStr">
        <is>
          <t>CRITIQUE</t>
        </is>
      </c>
      <c r="P1786" s="8" t="inlineStr">
        <is>
          <t>31/08/2026 02:59</t>
        </is>
      </c>
    </row>
    <row r="1787">
      <c r="A1787" s="7" t="inlineStr">
        <is>
          <t>WHAP 8x8</t>
        </is>
      </c>
      <c r="B1787" s="7" t="inlineStr">
        <is>
          <t>WHAP-1783</t>
        </is>
      </c>
      <c r="C1787" s="7" t="inlineStr">
        <is>
          <t>MOT-1783</t>
        </is>
      </c>
      <c r="D1787" s="7" t="inlineStr">
        <is>
          <t>actionneur de coussinet de bielle</t>
        </is>
      </c>
      <c r="E1787" s="7" t="inlineStr">
        <is>
          <t>Moteur</t>
        </is>
      </c>
      <c r="F1787" s="7" t="inlineStr">
        <is>
          <t>Moteur</t>
        </is>
      </c>
      <c r="G1787" s="7" t="inlineStr">
        <is>
          <t>PIECE_VEHICULE</t>
        </is>
      </c>
      <c r="H1787" s="7" t="n">
        <v>1</v>
      </c>
      <c r="I1787" s="7">
        <f>H1787*$D$3</f>
        <v/>
      </c>
      <c r="J1787" s="7" t="inlineStr">
        <is>
          <t>unité</t>
        </is>
      </c>
      <c r="K1787" s="7" t="n">
        <v>0</v>
      </c>
      <c r="L1787" s="7">
        <f>K1787-I1787</f>
        <v/>
      </c>
      <c r="M1787" s="7">
        <f>IF(K1787&lt;I1787,"✕ INSUFFISANT",IF(K1787&lt;I1787*1.2,"⚠ STOCK FAIBLE","✓ COUVERT"))</f>
        <v/>
      </c>
      <c r="N1787" s="7" t="inlineStr">
        <is>
          <t>CTL</t>
        </is>
      </c>
      <c r="O1787" s="7" t="inlineStr">
        <is>
          <t>CRITIQUE</t>
        </is>
      </c>
      <c r="P1787" s="7" t="inlineStr">
        <is>
          <t>31/08/2026 02:59</t>
        </is>
      </c>
    </row>
    <row r="1788">
      <c r="A1788" s="8" t="inlineStr">
        <is>
          <t>WHAP 8x8</t>
        </is>
      </c>
      <c r="B1788" s="8" t="inlineStr">
        <is>
          <t>WHAP-1784</t>
        </is>
      </c>
      <c r="C1788" s="8" t="inlineStr">
        <is>
          <t>MOT-1784</t>
        </is>
      </c>
      <c r="D1788" s="8" t="inlineStr">
        <is>
          <t>raccord de coussinet de bielle</t>
        </is>
      </c>
      <c r="E1788" s="8" t="inlineStr">
        <is>
          <t>Moteur</t>
        </is>
      </c>
      <c r="F1788" s="8" t="inlineStr">
        <is>
          <t>Moteur</t>
        </is>
      </c>
      <c r="G1788" s="8" t="inlineStr">
        <is>
          <t>PIECE_VEHICULE</t>
        </is>
      </c>
      <c r="H1788" s="8" t="n">
        <v>1</v>
      </c>
      <c r="I1788" s="8">
        <f>H1788*$D$3</f>
        <v/>
      </c>
      <c r="J1788" s="8" t="inlineStr">
        <is>
          <t>unité</t>
        </is>
      </c>
      <c r="K1788" s="8" t="n">
        <v>0</v>
      </c>
      <c r="L1788" s="8">
        <f>K1788-I1788</f>
        <v/>
      </c>
      <c r="M1788" s="8">
        <f>IF(K1788&lt;I1788,"✕ INSUFFISANT",IF(K1788&lt;I1788*1.2,"⚠ STOCK FAIBLE","✓ COUVERT"))</f>
        <v/>
      </c>
      <c r="N1788" s="8" t="inlineStr">
        <is>
          <t>HEL</t>
        </is>
      </c>
      <c r="O1788" s="8" t="inlineStr">
        <is>
          <t>CRITIQUE</t>
        </is>
      </c>
      <c r="P1788" s="8" t="inlineStr">
        <is>
          <t>31/08/2026 02:59</t>
        </is>
      </c>
    </row>
    <row r="1789">
      <c r="A1789" s="7" t="inlineStr">
        <is>
          <t>WHAP 8x8</t>
        </is>
      </c>
      <c r="B1789" s="7" t="inlineStr">
        <is>
          <t>WHAP-1785</t>
        </is>
      </c>
      <c r="C1789" s="7" t="inlineStr">
        <is>
          <t>MOT-1785</t>
        </is>
      </c>
      <c r="D1789" s="7" t="inlineStr">
        <is>
          <t>plaque de coussinet de bielle</t>
        </is>
      </c>
      <c r="E1789" s="7" t="inlineStr">
        <is>
          <t>Moteur</t>
        </is>
      </c>
      <c r="F1789" s="7" t="inlineStr">
        <is>
          <t>Moteur</t>
        </is>
      </c>
      <c r="G1789" s="7" t="inlineStr">
        <is>
          <t>PIECE_VEHICULE</t>
        </is>
      </c>
      <c r="H1789" s="7" t="n">
        <v>1</v>
      </c>
      <c r="I1789" s="7">
        <f>H1789*$D$3</f>
        <v/>
      </c>
      <c r="J1789" s="7" t="inlineStr">
        <is>
          <t>unité</t>
        </is>
      </c>
      <c r="K1789" s="7" t="n">
        <v>0</v>
      </c>
      <c r="L1789" s="7">
        <f>K1789-I1789</f>
        <v/>
      </c>
      <c r="M1789" s="7">
        <f>IF(K1789&lt;I1789,"✕ INSUFFISANT",IF(K1789&lt;I1789*1.2,"⚠ STOCK FAIBLE","✓ COUVERT"))</f>
        <v/>
      </c>
      <c r="N1789" s="7" t="inlineStr">
        <is>
          <t>MAG</t>
        </is>
      </c>
      <c r="O1789" s="7" t="inlineStr">
        <is>
          <t>CRITIQUE</t>
        </is>
      </c>
      <c r="P1789" s="7" t="inlineStr">
        <is>
          <t>31/08/2026 02:59</t>
        </is>
      </c>
    </row>
    <row r="1790">
      <c r="A1790" s="8" t="inlineStr">
        <is>
          <t>WHAP 8x8</t>
        </is>
      </c>
      <c r="B1790" s="8" t="inlineStr">
        <is>
          <t>WHAP-1786</t>
        </is>
      </c>
      <c r="C1790" s="8" t="inlineStr">
        <is>
          <t>MOT-1786</t>
        </is>
      </c>
      <c r="D1790" s="8" t="inlineStr">
        <is>
          <t>couvercle de coussinet de bielle</t>
        </is>
      </c>
      <c r="E1790" s="8" t="inlineStr">
        <is>
          <t>Moteur</t>
        </is>
      </c>
      <c r="F1790" s="8" t="inlineStr">
        <is>
          <t>Moteur</t>
        </is>
      </c>
      <c r="G1790" s="8" t="inlineStr">
        <is>
          <t>PIECE_VEHICULE</t>
        </is>
      </c>
      <c r="H1790" s="8" t="n">
        <v>1</v>
      </c>
      <c r="I1790" s="8">
        <f>H1790*$D$3</f>
        <v/>
      </c>
      <c r="J1790" s="8" t="inlineStr">
        <is>
          <t>unité</t>
        </is>
      </c>
      <c r="K1790" s="8" t="n">
        <v>0</v>
      </c>
      <c r="L1790" s="8">
        <f>K1790-I1790</f>
        <v/>
      </c>
      <c r="M1790" s="8">
        <f>IF(K1790&lt;I1790,"✕ INSUFFISANT",IF(K1790&lt;I1790*1.2,"⚠ STOCK FAIBLE","✓ COUVERT"))</f>
        <v/>
      </c>
      <c r="N1790" s="8" t="inlineStr">
        <is>
          <t>YZK</t>
        </is>
      </c>
      <c r="O1790" s="8" t="inlineStr">
        <is>
          <t>CRITIQUE</t>
        </is>
      </c>
      <c r="P1790" s="8" t="inlineStr">
        <is>
          <t>31/08/2026 02:59</t>
        </is>
      </c>
    </row>
    <row r="1791">
      <c r="A1791" s="7" t="inlineStr">
        <is>
          <t>WHAP 8x8</t>
        </is>
      </c>
      <c r="B1791" s="7" t="inlineStr">
        <is>
          <t>WHAP-1787</t>
        </is>
      </c>
      <c r="C1791" s="7" t="inlineStr">
        <is>
          <t>MOT-1787</t>
        </is>
      </c>
      <c r="D1791" s="7" t="inlineStr">
        <is>
          <t>bague de coussinet de bielle</t>
        </is>
      </c>
      <c r="E1791" s="7" t="inlineStr">
        <is>
          <t>Moteur</t>
        </is>
      </c>
      <c r="F1791" s="7" t="inlineStr">
        <is>
          <t>Moteur</t>
        </is>
      </c>
      <c r="G1791" s="7" t="inlineStr">
        <is>
          <t>PIECE_VEHICULE</t>
        </is>
      </c>
      <c r="H1791" s="7" t="n">
        <v>1</v>
      </c>
      <c r="I1791" s="7">
        <f>H1791*$D$3</f>
        <v/>
      </c>
      <c r="J1791" s="7" t="inlineStr">
        <is>
          <t>unité</t>
        </is>
      </c>
      <c r="K1791" s="7" t="n">
        <v>0</v>
      </c>
      <c r="L1791" s="7">
        <f>K1791-I1791</f>
        <v/>
      </c>
      <c r="M1791" s="7">
        <f>IF(K1791&lt;I1791,"✕ INSUFFISANT",IF(K1791&lt;I1791*1.2,"⚠ STOCK FAIBLE","✓ COUVERT"))</f>
        <v/>
      </c>
      <c r="N1791" s="7" t="inlineStr">
        <is>
          <t>VAL</t>
        </is>
      </c>
      <c r="O1791" s="7" t="inlineStr">
        <is>
          <t>CRITIQUE</t>
        </is>
      </c>
      <c r="P1791" s="7" t="inlineStr">
        <is>
          <t>31/08/2026 02:59</t>
        </is>
      </c>
    </row>
    <row r="1792">
      <c r="A1792" s="8" t="inlineStr">
        <is>
          <t>WHAP 8x8</t>
        </is>
      </c>
      <c r="B1792" s="8" t="inlineStr">
        <is>
          <t>WHAP-1788</t>
        </is>
      </c>
      <c r="C1792" s="8" t="inlineStr">
        <is>
          <t>MOT-1788</t>
        </is>
      </c>
      <c r="D1792" s="8" t="inlineStr">
        <is>
          <t>entretoise de coussinet de bielle</t>
        </is>
      </c>
      <c r="E1792" s="8" t="inlineStr">
        <is>
          <t>Moteur</t>
        </is>
      </c>
      <c r="F1792" s="8" t="inlineStr">
        <is>
          <t>Moteur</t>
        </is>
      </c>
      <c r="G1792" s="8" t="inlineStr">
        <is>
          <t>PIECE_VEHICULE</t>
        </is>
      </c>
      <c r="H1792" s="8" t="n">
        <v>1</v>
      </c>
      <c r="I1792" s="8">
        <f>H1792*$D$3</f>
        <v/>
      </c>
      <c r="J1792" s="8" t="inlineStr">
        <is>
          <t>unité</t>
        </is>
      </c>
      <c r="K1792" s="8" t="n">
        <v>0</v>
      </c>
      <c r="L1792" s="8">
        <f>K1792-I1792</f>
        <v/>
      </c>
      <c r="M1792" s="8">
        <f>IF(K1792&lt;I1792,"✕ INSUFFISANT",IF(K1792&lt;I1792*1.2,"⚠ STOCK FAIBLE","✓ COUVERT"))</f>
        <v/>
      </c>
      <c r="N1792" s="8" t="inlineStr">
        <is>
          <t>VAL</t>
        </is>
      </c>
      <c r="O1792" s="8" t="inlineStr">
        <is>
          <t>CRITIQUE</t>
        </is>
      </c>
      <c r="P1792" s="8" t="inlineStr">
        <is>
          <t>31/08/2026 02:59</t>
        </is>
      </c>
    </row>
    <row r="1793">
      <c r="A1793" s="7" t="inlineStr">
        <is>
          <t>WHAP 8x8</t>
        </is>
      </c>
      <c r="B1793" s="7" t="inlineStr">
        <is>
          <t>WHAP-1789</t>
        </is>
      </c>
      <c r="C1793" s="7" t="inlineStr">
        <is>
          <t>MOT-1789</t>
        </is>
      </c>
      <c r="D1793" s="7" t="inlineStr">
        <is>
          <t>axe de coussinet de bielle</t>
        </is>
      </c>
      <c r="E1793" s="7" t="inlineStr">
        <is>
          <t>Moteur</t>
        </is>
      </c>
      <c r="F1793" s="7" t="inlineStr">
        <is>
          <t>Moteur</t>
        </is>
      </c>
      <c r="G1793" s="7" t="inlineStr">
        <is>
          <t>PIECE_VEHICULE</t>
        </is>
      </c>
      <c r="H1793" s="7" t="n">
        <v>1</v>
      </c>
      <c r="I1793" s="7">
        <f>H1793*$D$3</f>
        <v/>
      </c>
      <c r="J1793" s="7" t="inlineStr">
        <is>
          <t>unité</t>
        </is>
      </c>
      <c r="K1793" s="7" t="n">
        <v>0</v>
      </c>
      <c r="L1793" s="7">
        <f>K1793-I1793</f>
        <v/>
      </c>
      <c r="M1793" s="7">
        <f>IF(K1793&lt;I1793,"✕ INSUFFISANT",IF(K1793&lt;I1793*1.2,"⚠ STOCK FAIBLE","✓ COUVERT"))</f>
        <v/>
      </c>
      <c r="N1793" s="7" t="inlineStr">
        <is>
          <t>VAL</t>
        </is>
      </c>
      <c r="O1793" s="7" t="inlineStr">
        <is>
          <t>CRITIQUE</t>
        </is>
      </c>
      <c r="P1793" s="7" t="inlineStr">
        <is>
          <t>31/08/2026 02:59</t>
        </is>
      </c>
    </row>
    <row r="1794">
      <c r="A1794" s="8" t="inlineStr">
        <is>
          <t>WHAP 8x8</t>
        </is>
      </c>
      <c r="B1794" s="8" t="inlineStr">
        <is>
          <t>WHAP-1790</t>
        </is>
      </c>
      <c r="C1794" s="8" t="inlineStr">
        <is>
          <t>MOT-1790</t>
        </is>
      </c>
      <c r="D1794" s="8" t="inlineStr">
        <is>
          <t>poulie de coussinet de bielle</t>
        </is>
      </c>
      <c r="E1794" s="8" t="inlineStr">
        <is>
          <t>Moteur</t>
        </is>
      </c>
      <c r="F1794" s="8" t="inlineStr">
        <is>
          <t>Moteur</t>
        </is>
      </c>
      <c r="G1794" s="8" t="inlineStr">
        <is>
          <t>PIECE_VEHICULE</t>
        </is>
      </c>
      <c r="H1794" s="8" t="n">
        <v>1</v>
      </c>
      <c r="I1794" s="8">
        <f>H1794*$D$3</f>
        <v/>
      </c>
      <c r="J1794" s="8" t="inlineStr">
        <is>
          <t>unité</t>
        </is>
      </c>
      <c r="K1794" s="8" t="n">
        <v>0</v>
      </c>
      <c r="L1794" s="8">
        <f>K1794-I1794</f>
        <v/>
      </c>
      <c r="M1794" s="8">
        <f>IF(K1794&lt;I1794,"✕ INSUFFISANT",IF(K1794&lt;I1794*1.2,"⚠ STOCK FAIBLE","✓ COUVERT"))</f>
        <v/>
      </c>
      <c r="N1794" s="8" t="inlineStr">
        <is>
          <t>VAL</t>
        </is>
      </c>
      <c r="O1794" s="8" t="inlineStr">
        <is>
          <t>CRITIQUE</t>
        </is>
      </c>
      <c r="P1794" s="8" t="inlineStr">
        <is>
          <t>31/08/2026 02:59</t>
        </is>
      </c>
    </row>
    <row r="1795">
      <c r="A1795" s="7" t="inlineStr">
        <is>
          <t>WHAP 8x8</t>
        </is>
      </c>
      <c r="B1795" s="7" t="inlineStr">
        <is>
          <t>WHAP-1791</t>
        </is>
      </c>
      <c r="C1795" s="7" t="inlineStr">
        <is>
          <t>MOT-1791</t>
        </is>
      </c>
      <c r="D1795" s="7" t="inlineStr">
        <is>
          <t>pignon de coussinet de bielle</t>
        </is>
      </c>
      <c r="E1795" s="7" t="inlineStr">
        <is>
          <t>Moteur</t>
        </is>
      </c>
      <c r="F1795" s="7" t="inlineStr">
        <is>
          <t>Moteur</t>
        </is>
      </c>
      <c r="G1795" s="7" t="inlineStr">
        <is>
          <t>PIECE_VEHICULE</t>
        </is>
      </c>
      <c r="H1795" s="7" t="n">
        <v>1</v>
      </c>
      <c r="I1795" s="7">
        <f>H1795*$D$3</f>
        <v/>
      </c>
      <c r="J1795" s="7" t="inlineStr">
        <is>
          <t>unité</t>
        </is>
      </c>
      <c r="K1795" s="7" t="n">
        <v>0</v>
      </c>
      <c r="L1795" s="7">
        <f>K1795-I1795</f>
        <v/>
      </c>
      <c r="M1795" s="7">
        <f>IF(K1795&lt;I1795,"✕ INSUFFISANT",IF(K1795&lt;I1795*1.2,"⚠ STOCK FAIBLE","✓ COUVERT"))</f>
        <v/>
      </c>
      <c r="N1795" s="7" t="inlineStr">
        <is>
          <t>VAL</t>
        </is>
      </c>
      <c r="O1795" s="7" t="inlineStr">
        <is>
          <t>CRITIQUE</t>
        </is>
      </c>
      <c r="P1795" s="7" t="inlineStr">
        <is>
          <t>31/08/2026 02:59</t>
        </is>
      </c>
    </row>
    <row r="1796">
      <c r="A1796" s="8" t="inlineStr">
        <is>
          <t>WHAP 8x8</t>
        </is>
      </c>
      <c r="B1796" s="8" t="inlineStr">
        <is>
          <t>WHAP-1792</t>
        </is>
      </c>
      <c r="C1796" s="8" t="inlineStr">
        <is>
          <t>MOT-1792</t>
        </is>
      </c>
      <c r="D1796" s="8" t="inlineStr">
        <is>
          <t>ensemble de piston</t>
        </is>
      </c>
      <c r="E1796" s="8" t="inlineStr">
        <is>
          <t>Moteur</t>
        </is>
      </c>
      <c r="F1796" s="8" t="inlineStr">
        <is>
          <t>Moteur</t>
        </is>
      </c>
      <c r="G1796" s="8" t="inlineStr">
        <is>
          <t>PIECE_VEHICULE</t>
        </is>
      </c>
      <c r="H1796" s="8" t="n">
        <v>1</v>
      </c>
      <c r="I1796" s="8">
        <f>H1796*$D$3</f>
        <v/>
      </c>
      <c r="J1796" s="8" t="inlineStr">
        <is>
          <t>unité</t>
        </is>
      </c>
      <c r="K1796" s="8" t="n">
        <v>0</v>
      </c>
      <c r="L1796" s="8">
        <f>K1796-I1796</f>
        <v/>
      </c>
      <c r="M1796" s="8">
        <f>IF(K1796&lt;I1796,"✕ INSUFFISANT",IF(K1796&lt;I1796*1.2,"⚠ STOCK FAIBLE","✓ COUVERT"))</f>
        <v/>
      </c>
      <c r="N1796" s="8" t="inlineStr">
        <is>
          <t>CTL</t>
        </is>
      </c>
      <c r="O1796" s="8" t="inlineStr">
        <is>
          <t>CRITIQUE</t>
        </is>
      </c>
      <c r="P1796" s="8" t="inlineStr">
        <is>
          <t>31/08/2026 02:59</t>
        </is>
      </c>
    </row>
    <row r="1797">
      <c r="A1797" s="7" t="inlineStr">
        <is>
          <t>WHAP 8x8</t>
        </is>
      </c>
      <c r="B1797" s="7" t="inlineStr">
        <is>
          <t>WHAP-1793</t>
        </is>
      </c>
      <c r="C1797" s="7" t="inlineStr">
        <is>
          <t>MOT-1793</t>
        </is>
      </c>
      <c r="D1797" s="7" t="inlineStr">
        <is>
          <t>kit de piston</t>
        </is>
      </c>
      <c r="E1797" s="7" t="inlineStr">
        <is>
          <t>Moteur</t>
        </is>
      </c>
      <c r="F1797" s="7" t="inlineStr">
        <is>
          <t>Moteur</t>
        </is>
      </c>
      <c r="G1797" s="7" t="inlineStr">
        <is>
          <t>PIECE_VEHICULE</t>
        </is>
      </c>
      <c r="H1797" s="7" t="n">
        <v>1</v>
      </c>
      <c r="I1797" s="7">
        <f>H1797*$D$3</f>
        <v/>
      </c>
      <c r="J1797" s="7" t="inlineStr">
        <is>
          <t>unité</t>
        </is>
      </c>
      <c r="K1797" s="7" t="n">
        <v>0</v>
      </c>
      <c r="L1797" s="7">
        <f>K1797-I1797</f>
        <v/>
      </c>
      <c r="M1797" s="7">
        <f>IF(K1797&lt;I1797,"✕ INSUFFISANT",IF(K1797&lt;I1797*1.2,"⚠ STOCK FAIBLE","✓ COUVERT"))</f>
        <v/>
      </c>
      <c r="N1797" s="7" t="inlineStr">
        <is>
          <t>BOS</t>
        </is>
      </c>
      <c r="O1797" s="7" t="inlineStr">
        <is>
          <t>CRITIQUE</t>
        </is>
      </c>
      <c r="P1797" s="7" t="inlineStr">
        <is>
          <t>31/08/2026 02:59</t>
        </is>
      </c>
    </row>
    <row r="1798">
      <c r="A1798" s="8" t="inlineStr">
        <is>
          <t>WHAP 8x8</t>
        </is>
      </c>
      <c r="B1798" s="8" t="inlineStr">
        <is>
          <t>WHAP-1794</t>
        </is>
      </c>
      <c r="C1798" s="8" t="inlineStr">
        <is>
          <t>MOT-1794</t>
        </is>
      </c>
      <c r="D1798" s="8" t="inlineStr">
        <is>
          <t>support de piston</t>
        </is>
      </c>
      <c r="E1798" s="8" t="inlineStr">
        <is>
          <t>Moteur</t>
        </is>
      </c>
      <c r="F1798" s="8" t="inlineStr">
        <is>
          <t>Moteur</t>
        </is>
      </c>
      <c r="G1798" s="8" t="inlineStr">
        <is>
          <t>PIECE_VEHICULE</t>
        </is>
      </c>
      <c r="H1798" s="8" t="n">
        <v>1</v>
      </c>
      <c r="I1798" s="8">
        <f>H1798*$D$3</f>
        <v/>
      </c>
      <c r="J1798" s="8" t="inlineStr">
        <is>
          <t>unité</t>
        </is>
      </c>
      <c r="K1798" s="8" t="n">
        <v>0</v>
      </c>
      <c r="L1798" s="8">
        <f>K1798-I1798</f>
        <v/>
      </c>
      <c r="M1798" s="8">
        <f>IF(K1798&lt;I1798,"✕ INSUFFISANT",IF(K1798&lt;I1798*1.2,"⚠ STOCK FAIBLE","✓ COUVERT"))</f>
        <v/>
      </c>
      <c r="N1798" s="8" t="inlineStr">
        <is>
          <t>DEL</t>
        </is>
      </c>
      <c r="O1798" s="8" t="inlineStr">
        <is>
          <t>CRITIQUE</t>
        </is>
      </c>
      <c r="P1798" s="8" t="inlineStr">
        <is>
          <t>31/08/2026 02:59</t>
        </is>
      </c>
    </row>
    <row r="1799">
      <c r="A1799" s="7" t="inlineStr">
        <is>
          <t>WHAP 8x8</t>
        </is>
      </c>
      <c r="B1799" s="7" t="inlineStr">
        <is>
          <t>WHAP-1795</t>
        </is>
      </c>
      <c r="C1799" s="7" t="inlineStr">
        <is>
          <t>MOT-1795</t>
        </is>
      </c>
      <c r="D1799" s="7" t="inlineStr">
        <is>
          <t>boîtier de piston</t>
        </is>
      </c>
      <c r="E1799" s="7" t="inlineStr">
        <is>
          <t>Moteur</t>
        </is>
      </c>
      <c r="F1799" s="7" t="inlineStr">
        <is>
          <t>Moteur</t>
        </is>
      </c>
      <c r="G1799" s="7" t="inlineStr">
        <is>
          <t>PIECE_VEHICULE</t>
        </is>
      </c>
      <c r="H1799" s="7" t="n">
        <v>1</v>
      </c>
      <c r="I1799" s="7">
        <f>H1799*$D$3</f>
        <v/>
      </c>
      <c r="J1799" s="7" t="inlineStr">
        <is>
          <t>unité</t>
        </is>
      </c>
      <c r="K1799" s="7" t="n">
        <v>0</v>
      </c>
      <c r="L1799" s="7">
        <f>K1799-I1799</f>
        <v/>
      </c>
      <c r="M1799" s="7">
        <f>IF(K1799&lt;I1799,"✕ INSUFFISANT",IF(K1799&lt;I1799*1.2,"⚠ STOCK FAIBLE","✓ COUVERT"))</f>
        <v/>
      </c>
      <c r="N1799" s="7" t="inlineStr">
        <is>
          <t>SUM</t>
        </is>
      </c>
      <c r="O1799" s="7" t="inlineStr">
        <is>
          <t>CRITIQUE</t>
        </is>
      </c>
      <c r="P1799" s="7" t="inlineStr">
        <is>
          <t>31/08/2026 02:59</t>
        </is>
      </c>
    </row>
    <row r="1800">
      <c r="A1800" s="8" t="inlineStr">
        <is>
          <t>WHAP 8x8</t>
        </is>
      </c>
      <c r="B1800" s="8" t="inlineStr">
        <is>
          <t>WHAP-1796</t>
        </is>
      </c>
      <c r="C1800" s="8" t="inlineStr">
        <is>
          <t>MOT-1796</t>
        </is>
      </c>
      <c r="D1800" s="8" t="inlineStr">
        <is>
          <t>module de piston</t>
        </is>
      </c>
      <c r="E1800" s="8" t="inlineStr">
        <is>
          <t>Moteur</t>
        </is>
      </c>
      <c r="F1800" s="8" t="inlineStr">
        <is>
          <t>Moteur</t>
        </is>
      </c>
      <c r="G1800" s="8" t="inlineStr">
        <is>
          <t>PIECE_VEHICULE</t>
        </is>
      </c>
      <c r="H1800" s="8" t="n">
        <v>1</v>
      </c>
      <c r="I1800" s="8">
        <f>H1800*$D$3</f>
        <v/>
      </c>
      <c r="J1800" s="8" t="inlineStr">
        <is>
          <t>unité</t>
        </is>
      </c>
      <c r="K1800" s="8" t="n">
        <v>0</v>
      </c>
      <c r="L1800" s="8">
        <f>K1800-I1800</f>
        <v/>
      </c>
      <c r="M1800" s="8">
        <f>IF(K1800&lt;I1800,"✕ INSUFFISANT",IF(K1800&lt;I1800*1.2,"⚠ STOCK FAIBLE","✓ COUVERT"))</f>
        <v/>
      </c>
      <c r="N1800" s="8" t="inlineStr">
        <is>
          <t>MAG</t>
        </is>
      </c>
      <c r="O1800" s="8" t="inlineStr">
        <is>
          <t>CRITIQUE</t>
        </is>
      </c>
      <c r="P1800" s="8" t="inlineStr">
        <is>
          <t>31/08/2026 02:59</t>
        </is>
      </c>
    </row>
    <row r="1801">
      <c r="A1801" s="7" t="inlineStr">
        <is>
          <t>WHAP 8x8</t>
        </is>
      </c>
      <c r="B1801" s="7" t="inlineStr">
        <is>
          <t>WHAP-1797</t>
        </is>
      </c>
      <c r="C1801" s="7" t="inlineStr">
        <is>
          <t>MOT-1797</t>
        </is>
      </c>
      <c r="D1801" s="7" t="inlineStr">
        <is>
          <t>câblage de piston</t>
        </is>
      </c>
      <c r="E1801" s="7" t="inlineStr">
        <is>
          <t>Moteur</t>
        </is>
      </c>
      <c r="F1801" s="7" t="inlineStr">
        <is>
          <t>Moteur</t>
        </is>
      </c>
      <c r="G1801" s="7" t="inlineStr">
        <is>
          <t>PIECE_VEHICULE</t>
        </is>
      </c>
      <c r="H1801" s="7" t="n">
        <v>1</v>
      </c>
      <c r="I1801" s="7">
        <f>H1801*$D$3</f>
        <v/>
      </c>
      <c r="J1801" s="7" t="inlineStr">
        <is>
          <t>unité</t>
        </is>
      </c>
      <c r="K1801" s="7" t="n">
        <v>0</v>
      </c>
      <c r="L1801" s="7">
        <f>K1801-I1801</f>
        <v/>
      </c>
      <c r="M1801" s="7">
        <f>IF(K1801&lt;I1801,"✕ INSUFFISANT",IF(K1801&lt;I1801*1.2,"⚠ STOCK FAIBLE","✓ COUVERT"))</f>
        <v/>
      </c>
      <c r="N1801" s="7" t="inlineStr">
        <is>
          <t>DEL</t>
        </is>
      </c>
      <c r="O1801" s="7" t="inlineStr">
        <is>
          <t>CRITIQUE</t>
        </is>
      </c>
      <c r="P1801" s="7" t="inlineStr">
        <is>
          <t>31/08/2026 02:59</t>
        </is>
      </c>
    </row>
    <row r="1802">
      <c r="A1802" s="8" t="inlineStr">
        <is>
          <t>WHAP 8x8</t>
        </is>
      </c>
      <c r="B1802" s="8" t="inlineStr">
        <is>
          <t>WHAP-1798</t>
        </is>
      </c>
      <c r="C1802" s="8" t="inlineStr">
        <is>
          <t>MOT-1798</t>
        </is>
      </c>
      <c r="D1802" s="8" t="inlineStr">
        <is>
          <t>connecteur de piston</t>
        </is>
      </c>
      <c r="E1802" s="8" t="inlineStr">
        <is>
          <t>Moteur</t>
        </is>
      </c>
      <c r="F1802" s="8" t="inlineStr">
        <is>
          <t>Moteur</t>
        </is>
      </c>
      <c r="G1802" s="8" t="inlineStr">
        <is>
          <t>PIECE_VEHICULE</t>
        </is>
      </c>
      <c r="H1802" s="8" t="n">
        <v>1</v>
      </c>
      <c r="I1802" s="8">
        <f>H1802*$D$3</f>
        <v/>
      </c>
      <c r="J1802" s="8" t="inlineStr">
        <is>
          <t>unité</t>
        </is>
      </c>
      <c r="K1802" s="8" t="n">
        <v>0</v>
      </c>
      <c r="L1802" s="8">
        <f>K1802-I1802</f>
        <v/>
      </c>
      <c r="M1802" s="8">
        <f>IF(K1802&lt;I1802,"✕ INSUFFISANT",IF(K1802&lt;I1802*1.2,"⚠ STOCK FAIBLE","✓ COUVERT"))</f>
        <v/>
      </c>
      <c r="N1802" s="8" t="inlineStr">
        <is>
          <t>YZK</t>
        </is>
      </c>
      <c r="O1802" s="8" t="inlineStr">
        <is>
          <t>CRITIQUE</t>
        </is>
      </c>
      <c r="P1802" s="8" t="inlineStr">
        <is>
          <t>31/08/2026 02:59</t>
        </is>
      </c>
    </row>
    <row r="1803">
      <c r="A1803" s="7" t="inlineStr">
        <is>
          <t>WHAP 8x8</t>
        </is>
      </c>
      <c r="B1803" s="7" t="inlineStr">
        <is>
          <t>WHAP-1799</t>
        </is>
      </c>
      <c r="C1803" s="7" t="inlineStr">
        <is>
          <t>MOT-1799</t>
        </is>
      </c>
      <c r="D1803" s="7" t="inlineStr">
        <is>
          <t>joint de piston</t>
        </is>
      </c>
      <c r="E1803" s="7" t="inlineStr">
        <is>
          <t>Moteur</t>
        </is>
      </c>
      <c r="F1803" s="7" t="inlineStr">
        <is>
          <t>Moteur</t>
        </is>
      </c>
      <c r="G1803" s="7" t="inlineStr">
        <is>
          <t>PIECE_VEHICULE</t>
        </is>
      </c>
      <c r="H1803" s="7" t="n">
        <v>1</v>
      </c>
      <c r="I1803" s="7">
        <f>H1803*$D$3</f>
        <v/>
      </c>
      <c r="J1803" s="7" t="inlineStr">
        <is>
          <t>unité</t>
        </is>
      </c>
      <c r="K1803" s="7" t="n">
        <v>0</v>
      </c>
      <c r="L1803" s="7">
        <f>K1803-I1803</f>
        <v/>
      </c>
      <c r="M1803" s="7">
        <f>IF(K1803&lt;I1803,"✕ INSUFFISANT",IF(K1803&lt;I1803*1.2,"⚠ STOCK FAIBLE","✓ COUVERT"))</f>
        <v/>
      </c>
      <c r="N1803" s="7" t="inlineStr">
        <is>
          <t>VAL</t>
        </is>
      </c>
      <c r="O1803" s="7" t="inlineStr">
        <is>
          <t>CRITIQUE</t>
        </is>
      </c>
      <c r="P1803" s="7" t="inlineStr">
        <is>
          <t>31/08/2026 02:59</t>
        </is>
      </c>
    </row>
    <row r="1804">
      <c r="A1804" s="8" t="inlineStr">
        <is>
          <t>WHAP 8x8</t>
        </is>
      </c>
      <c r="B1804" s="8" t="inlineStr">
        <is>
          <t>WHAP-1800</t>
        </is>
      </c>
      <c r="C1804" s="8" t="inlineStr">
        <is>
          <t>MOT-1800</t>
        </is>
      </c>
      <c r="D1804" s="8" t="inlineStr">
        <is>
          <t>fixation de piston</t>
        </is>
      </c>
      <c r="E1804" s="8" t="inlineStr">
        <is>
          <t>Moteur</t>
        </is>
      </c>
      <c r="F1804" s="8" t="inlineStr">
        <is>
          <t>Moteur</t>
        </is>
      </c>
      <c r="G1804" s="8" t="inlineStr">
        <is>
          <t>PIECE_VEHICULE</t>
        </is>
      </c>
      <c r="H1804" s="8" t="n">
        <v>1</v>
      </c>
      <c r="I1804" s="8">
        <f>H1804*$D$3</f>
        <v/>
      </c>
      <c r="J1804" s="8" t="inlineStr">
        <is>
          <t>unité</t>
        </is>
      </c>
      <c r="K1804" s="8" t="n">
        <v>0</v>
      </c>
      <c r="L1804" s="8">
        <f>K1804-I1804</f>
        <v/>
      </c>
      <c r="M1804" s="8">
        <f>IF(K1804&lt;I1804,"✕ INSUFFISANT",IF(K1804&lt;I1804*1.2,"⚠ STOCK FAIBLE","✓ COUVERT"))</f>
        <v/>
      </c>
      <c r="N1804" s="8" t="inlineStr">
        <is>
          <t>MAG</t>
        </is>
      </c>
      <c r="O1804" s="8" t="inlineStr">
        <is>
          <t>CRITIQUE</t>
        </is>
      </c>
      <c r="P1804" s="8" t="inlineStr">
        <is>
          <t>31/08/2026 02:59</t>
        </is>
      </c>
    </row>
    <row r="1805">
      <c r="A1805" s="7" t="inlineStr">
        <is>
          <t>WHAP 8x8</t>
        </is>
      </c>
      <c r="B1805" s="7" t="inlineStr">
        <is>
          <t>WHAP-1801</t>
        </is>
      </c>
      <c r="C1805" s="7" t="inlineStr">
        <is>
          <t>MOT-1801</t>
        </is>
      </c>
      <c r="D1805" s="7" t="inlineStr">
        <is>
          <t>protection de piston</t>
        </is>
      </c>
      <c r="E1805" s="7" t="inlineStr">
        <is>
          <t>Moteur</t>
        </is>
      </c>
      <c r="F1805" s="7" t="inlineStr">
        <is>
          <t>Moteur</t>
        </is>
      </c>
      <c r="G1805" s="7" t="inlineStr">
        <is>
          <t>PIECE_VEHICULE</t>
        </is>
      </c>
      <c r="H1805" s="7" t="n">
        <v>1</v>
      </c>
      <c r="I1805" s="7">
        <f>H1805*$D$3</f>
        <v/>
      </c>
      <c r="J1805" s="7" t="inlineStr">
        <is>
          <t>unité</t>
        </is>
      </c>
      <c r="K1805" s="7" t="n">
        <v>0</v>
      </c>
      <c r="L1805" s="7">
        <f>K1805-I1805</f>
        <v/>
      </c>
      <c r="M1805" s="7">
        <f>IF(K1805&lt;I1805,"✕ INSUFFISANT",IF(K1805&lt;I1805*1.2,"⚠ STOCK FAIBLE","✓ COUVERT"))</f>
        <v/>
      </c>
      <c r="N1805" s="7" t="inlineStr">
        <is>
          <t>FAU</t>
        </is>
      </c>
      <c r="O1805" s="7" t="inlineStr">
        <is>
          <t>CRITIQUE</t>
        </is>
      </c>
      <c r="P1805" s="7" t="inlineStr">
        <is>
          <t>31/08/2026 02:59</t>
        </is>
      </c>
    </row>
    <row r="1806">
      <c r="A1806" s="8" t="inlineStr">
        <is>
          <t>WHAP 8x8</t>
        </is>
      </c>
      <c r="B1806" s="8" t="inlineStr">
        <is>
          <t>WHAP-1802</t>
        </is>
      </c>
      <c r="C1806" s="8" t="inlineStr">
        <is>
          <t>MOT-1802</t>
        </is>
      </c>
      <c r="D1806" s="8" t="inlineStr">
        <is>
          <t>capteur de piston</t>
        </is>
      </c>
      <c r="E1806" s="8" t="inlineStr">
        <is>
          <t>Moteur</t>
        </is>
      </c>
      <c r="F1806" s="8" t="inlineStr">
        <is>
          <t>Moteur</t>
        </is>
      </c>
      <c r="G1806" s="8" t="inlineStr">
        <is>
          <t>PIECE_VEHICULE</t>
        </is>
      </c>
      <c r="H1806" s="8" t="n">
        <v>1</v>
      </c>
      <c r="I1806" s="8">
        <f>H1806*$D$3</f>
        <v/>
      </c>
      <c r="J1806" s="8" t="inlineStr">
        <is>
          <t>unité</t>
        </is>
      </c>
      <c r="K1806" s="8" t="n">
        <v>0</v>
      </c>
      <c r="L1806" s="8">
        <f>K1806-I1806</f>
        <v/>
      </c>
      <c r="M1806" s="8">
        <f>IF(K1806&lt;I1806,"✕ INSUFFISANT",IF(K1806&lt;I1806*1.2,"⚠ STOCK FAIBLE","✓ COUVERT"))</f>
        <v/>
      </c>
      <c r="N1806" s="8" t="inlineStr">
        <is>
          <t>VAL</t>
        </is>
      </c>
      <c r="O1806" s="8" t="inlineStr">
        <is>
          <t>CRITIQUE</t>
        </is>
      </c>
      <c r="P1806" s="8" t="inlineStr">
        <is>
          <t>31/08/2026 02:59</t>
        </is>
      </c>
    </row>
    <row r="1807">
      <c r="A1807" s="7" t="inlineStr">
        <is>
          <t>WHAP 8x8</t>
        </is>
      </c>
      <c r="B1807" s="7" t="inlineStr">
        <is>
          <t>WHAP-1803</t>
        </is>
      </c>
      <c r="C1807" s="7" t="inlineStr">
        <is>
          <t>MOT-1803</t>
        </is>
      </c>
      <c r="D1807" s="7" t="inlineStr">
        <is>
          <t>actionneur de piston</t>
        </is>
      </c>
      <c r="E1807" s="7" t="inlineStr">
        <is>
          <t>Moteur</t>
        </is>
      </c>
      <c r="F1807" s="7" t="inlineStr">
        <is>
          <t>Moteur</t>
        </is>
      </c>
      <c r="G1807" s="7" t="inlineStr">
        <is>
          <t>PIECE_VEHICULE</t>
        </is>
      </c>
      <c r="H1807" s="7" t="n">
        <v>1</v>
      </c>
      <c r="I1807" s="7">
        <f>H1807*$D$3</f>
        <v/>
      </c>
      <c r="J1807" s="7" t="inlineStr">
        <is>
          <t>unité</t>
        </is>
      </c>
      <c r="K1807" s="7" t="n">
        <v>0</v>
      </c>
      <c r="L1807" s="7">
        <f>K1807-I1807</f>
        <v/>
      </c>
      <c r="M1807" s="7">
        <f>IF(K1807&lt;I1807,"✕ INSUFFISANT",IF(K1807&lt;I1807*1.2,"⚠ STOCK FAIBLE","✓ COUVERT"))</f>
        <v/>
      </c>
      <c r="N1807" s="7" t="inlineStr">
        <is>
          <t>SUM</t>
        </is>
      </c>
      <c r="O1807" s="7" t="inlineStr">
        <is>
          <t>CRITIQUE</t>
        </is>
      </c>
      <c r="P1807" s="7" t="inlineStr">
        <is>
          <t>31/08/2026 02:59</t>
        </is>
      </c>
    </row>
    <row r="1808">
      <c r="A1808" s="8" t="inlineStr">
        <is>
          <t>WHAP 8x8</t>
        </is>
      </c>
      <c r="B1808" s="8" t="inlineStr">
        <is>
          <t>WHAP-1804</t>
        </is>
      </c>
      <c r="C1808" s="8" t="inlineStr">
        <is>
          <t>MOT-1804</t>
        </is>
      </c>
      <c r="D1808" s="8" t="inlineStr">
        <is>
          <t>raccord de piston</t>
        </is>
      </c>
      <c r="E1808" s="8" t="inlineStr">
        <is>
          <t>Moteur</t>
        </is>
      </c>
      <c r="F1808" s="8" t="inlineStr">
        <is>
          <t>Moteur</t>
        </is>
      </c>
      <c r="G1808" s="8" t="inlineStr">
        <is>
          <t>PIECE_VEHICULE</t>
        </is>
      </c>
      <c r="H1808" s="8" t="n">
        <v>1</v>
      </c>
      <c r="I1808" s="8">
        <f>H1808*$D$3</f>
        <v/>
      </c>
      <c r="J1808" s="8" t="inlineStr">
        <is>
          <t>unité</t>
        </is>
      </c>
      <c r="K1808" s="8" t="n">
        <v>0</v>
      </c>
      <c r="L1808" s="8">
        <f>K1808-I1808</f>
        <v/>
      </c>
      <c r="M1808" s="8">
        <f>IF(K1808&lt;I1808,"✕ INSUFFISANT",IF(K1808&lt;I1808*1.2,"⚠ STOCK FAIBLE","✓ COUVERT"))</f>
        <v/>
      </c>
      <c r="N1808" s="8" t="inlineStr">
        <is>
          <t>FAU</t>
        </is>
      </c>
      <c r="O1808" s="8" t="inlineStr">
        <is>
          <t>CRITIQUE</t>
        </is>
      </c>
      <c r="P1808" s="8" t="inlineStr">
        <is>
          <t>31/08/2026 02:59</t>
        </is>
      </c>
    </row>
    <row r="1809">
      <c r="A1809" s="7" t="inlineStr">
        <is>
          <t>WHAP 8x8</t>
        </is>
      </c>
      <c r="B1809" s="7" t="inlineStr">
        <is>
          <t>WHAP-1805</t>
        </is>
      </c>
      <c r="C1809" s="7" t="inlineStr">
        <is>
          <t>MOT-1805</t>
        </is>
      </c>
      <c r="D1809" s="7" t="inlineStr">
        <is>
          <t>plaque de piston</t>
        </is>
      </c>
      <c r="E1809" s="7" t="inlineStr">
        <is>
          <t>Moteur</t>
        </is>
      </c>
      <c r="F1809" s="7" t="inlineStr">
        <is>
          <t>Moteur</t>
        </is>
      </c>
      <c r="G1809" s="7" t="inlineStr">
        <is>
          <t>PIECE_VEHICULE</t>
        </is>
      </c>
      <c r="H1809" s="7" t="n">
        <v>1</v>
      </c>
      <c r="I1809" s="7">
        <f>H1809*$D$3</f>
        <v/>
      </c>
      <c r="J1809" s="7" t="inlineStr">
        <is>
          <t>unité</t>
        </is>
      </c>
      <c r="K1809" s="7" t="n">
        <v>0</v>
      </c>
      <c r="L1809" s="7">
        <f>K1809-I1809</f>
        <v/>
      </c>
      <c r="M1809" s="7">
        <f>IF(K1809&lt;I1809,"✕ INSUFFISANT",IF(K1809&lt;I1809*1.2,"⚠ STOCK FAIBLE","✓ COUVERT"))</f>
        <v/>
      </c>
      <c r="N1809" s="7" t="inlineStr">
        <is>
          <t>BOS</t>
        </is>
      </c>
      <c r="O1809" s="7" t="inlineStr">
        <is>
          <t>CRITIQUE</t>
        </is>
      </c>
      <c r="P1809" s="7" t="inlineStr">
        <is>
          <t>31/08/2026 02:59</t>
        </is>
      </c>
    </row>
    <row r="1810">
      <c r="A1810" s="8" t="inlineStr">
        <is>
          <t>WHAP 8x8</t>
        </is>
      </c>
      <c r="B1810" s="8" t="inlineStr">
        <is>
          <t>WHAP-1806</t>
        </is>
      </c>
      <c r="C1810" s="8" t="inlineStr">
        <is>
          <t>MOT-1806</t>
        </is>
      </c>
      <c r="D1810" s="8" t="inlineStr">
        <is>
          <t>couvercle de piston</t>
        </is>
      </c>
      <c r="E1810" s="8" t="inlineStr">
        <is>
          <t>Moteur</t>
        </is>
      </c>
      <c r="F1810" s="8" t="inlineStr">
        <is>
          <t>Moteur</t>
        </is>
      </c>
      <c r="G1810" s="8" t="inlineStr">
        <is>
          <t>PIECE_VEHICULE</t>
        </is>
      </c>
      <c r="H1810" s="8" t="n">
        <v>1</v>
      </c>
      <c r="I1810" s="8">
        <f>H1810*$D$3</f>
        <v/>
      </c>
      <c r="J1810" s="8" t="inlineStr">
        <is>
          <t>unité</t>
        </is>
      </c>
      <c r="K1810" s="8" t="n">
        <v>0</v>
      </c>
      <c r="L1810" s="8">
        <f>K1810-I1810</f>
        <v/>
      </c>
      <c r="M1810" s="8">
        <f>IF(K1810&lt;I1810,"✕ INSUFFISANT",IF(K1810&lt;I1810*1.2,"⚠ STOCK FAIBLE","✓ COUVERT"))</f>
        <v/>
      </c>
      <c r="N1810" s="8" t="inlineStr">
        <is>
          <t>YZK</t>
        </is>
      </c>
      <c r="O1810" s="8" t="inlineStr">
        <is>
          <t>CRITIQUE</t>
        </is>
      </c>
      <c r="P1810" s="8" t="inlineStr">
        <is>
          <t>31/08/2026 02:59</t>
        </is>
      </c>
    </row>
    <row r="1811">
      <c r="A1811" s="7" t="inlineStr">
        <is>
          <t>WHAP 8x8</t>
        </is>
      </c>
      <c r="B1811" s="7" t="inlineStr">
        <is>
          <t>WHAP-1807</t>
        </is>
      </c>
      <c r="C1811" s="7" t="inlineStr">
        <is>
          <t>MOT-1807</t>
        </is>
      </c>
      <c r="D1811" s="7" t="inlineStr">
        <is>
          <t>bague de piston</t>
        </is>
      </c>
      <c r="E1811" s="7" t="inlineStr">
        <is>
          <t>Moteur</t>
        </is>
      </c>
      <c r="F1811" s="7" t="inlineStr">
        <is>
          <t>Moteur</t>
        </is>
      </c>
      <c r="G1811" s="7" t="inlineStr">
        <is>
          <t>PIECE_VEHICULE</t>
        </is>
      </c>
      <c r="H1811" s="7" t="n">
        <v>1</v>
      </c>
      <c r="I1811" s="7">
        <f>H1811*$D$3</f>
        <v/>
      </c>
      <c r="J1811" s="7" t="inlineStr">
        <is>
          <t>unité</t>
        </is>
      </c>
      <c r="K1811" s="7" t="n">
        <v>0</v>
      </c>
      <c r="L1811" s="7">
        <f>K1811-I1811</f>
        <v/>
      </c>
      <c r="M1811" s="7">
        <f>IF(K1811&lt;I1811,"✕ INSUFFISANT",IF(K1811&lt;I1811*1.2,"⚠ STOCK FAIBLE","✓ COUVERT"))</f>
        <v/>
      </c>
      <c r="N1811" s="7" t="inlineStr">
        <is>
          <t>VAL</t>
        </is>
      </c>
      <c r="O1811" s="7" t="inlineStr">
        <is>
          <t>CRITIQUE</t>
        </is>
      </c>
      <c r="P1811" s="7" t="inlineStr">
        <is>
          <t>31/08/2026 02:59</t>
        </is>
      </c>
    </row>
    <row r="1812">
      <c r="A1812" s="8" t="inlineStr">
        <is>
          <t>WHAP 8x8</t>
        </is>
      </c>
      <c r="B1812" s="8" t="inlineStr">
        <is>
          <t>WHAP-1808</t>
        </is>
      </c>
      <c r="C1812" s="8" t="inlineStr">
        <is>
          <t>MOT-1808</t>
        </is>
      </c>
      <c r="D1812" s="8" t="inlineStr">
        <is>
          <t>entretoise de piston</t>
        </is>
      </c>
      <c r="E1812" s="8" t="inlineStr">
        <is>
          <t>Moteur</t>
        </is>
      </c>
      <c r="F1812" s="8" t="inlineStr">
        <is>
          <t>Moteur</t>
        </is>
      </c>
      <c r="G1812" s="8" t="inlineStr">
        <is>
          <t>PIECE_VEHICULE</t>
        </is>
      </c>
      <c r="H1812" s="8" t="n">
        <v>1</v>
      </c>
      <c r="I1812" s="8">
        <f>H1812*$D$3</f>
        <v/>
      </c>
      <c r="J1812" s="8" t="inlineStr">
        <is>
          <t>unité</t>
        </is>
      </c>
      <c r="K1812" s="8" t="n">
        <v>0</v>
      </c>
      <c r="L1812" s="8">
        <f>K1812-I1812</f>
        <v/>
      </c>
      <c r="M1812" s="8">
        <f>IF(K1812&lt;I1812,"✕ INSUFFISANT",IF(K1812&lt;I1812*1.2,"⚠ STOCK FAIBLE","✓ COUVERT"))</f>
        <v/>
      </c>
      <c r="N1812" s="8" t="inlineStr">
        <is>
          <t>CTL</t>
        </is>
      </c>
      <c r="O1812" s="8" t="inlineStr">
        <is>
          <t>CRITIQUE</t>
        </is>
      </c>
      <c r="P1812" s="8" t="inlineStr">
        <is>
          <t>31/08/2026 02:59</t>
        </is>
      </c>
    </row>
    <row r="1813">
      <c r="A1813" s="7" t="inlineStr">
        <is>
          <t>WHAP 8x8</t>
        </is>
      </c>
      <c r="B1813" s="7" t="inlineStr">
        <is>
          <t>WHAP-1809</t>
        </is>
      </c>
      <c r="C1813" s="7" t="inlineStr">
        <is>
          <t>MOT-1809</t>
        </is>
      </c>
      <c r="D1813" s="7" t="inlineStr">
        <is>
          <t>poulie de piston</t>
        </is>
      </c>
      <c r="E1813" s="7" t="inlineStr">
        <is>
          <t>Moteur</t>
        </is>
      </c>
      <c r="F1813" s="7" t="inlineStr">
        <is>
          <t>Moteur</t>
        </is>
      </c>
      <c r="G1813" s="7" t="inlineStr">
        <is>
          <t>PIECE_VEHICULE</t>
        </is>
      </c>
      <c r="H1813" s="7" t="n">
        <v>1</v>
      </c>
      <c r="I1813" s="7">
        <f>H1813*$D$3</f>
        <v/>
      </c>
      <c r="J1813" s="7" t="inlineStr">
        <is>
          <t>unité</t>
        </is>
      </c>
      <c r="K1813" s="7" t="n">
        <v>0</v>
      </c>
      <c r="L1813" s="7">
        <f>K1813-I1813</f>
        <v/>
      </c>
      <c r="M1813" s="7">
        <f>IF(K1813&lt;I1813,"✕ INSUFFISANT",IF(K1813&lt;I1813*1.2,"⚠ STOCK FAIBLE","✓ COUVERT"))</f>
        <v/>
      </c>
      <c r="N1813" s="7" t="inlineStr">
        <is>
          <t>HEL</t>
        </is>
      </c>
      <c r="O1813" s="7" t="inlineStr">
        <is>
          <t>CRITIQUE</t>
        </is>
      </c>
      <c r="P1813" s="7" t="inlineStr">
        <is>
          <t>31/08/2026 02:59</t>
        </is>
      </c>
    </row>
    <row r="1814">
      <c r="A1814" s="8" t="inlineStr">
        <is>
          <t>WHAP 8x8</t>
        </is>
      </c>
      <c r="B1814" s="8" t="inlineStr">
        <is>
          <t>WHAP-1810</t>
        </is>
      </c>
      <c r="C1814" s="8" t="inlineStr">
        <is>
          <t>MOT-1810</t>
        </is>
      </c>
      <c r="D1814" s="8" t="inlineStr">
        <is>
          <t>pignon de piston</t>
        </is>
      </c>
      <c r="E1814" s="8" t="inlineStr">
        <is>
          <t>Moteur</t>
        </is>
      </c>
      <c r="F1814" s="8" t="inlineStr">
        <is>
          <t>Moteur</t>
        </is>
      </c>
      <c r="G1814" s="8" t="inlineStr">
        <is>
          <t>PIECE_VEHICULE</t>
        </is>
      </c>
      <c r="H1814" s="8" t="n">
        <v>1</v>
      </c>
      <c r="I1814" s="8">
        <f>H1814*$D$3</f>
        <v/>
      </c>
      <c r="J1814" s="8" t="inlineStr">
        <is>
          <t>unité</t>
        </is>
      </c>
      <c r="K1814" s="8" t="n">
        <v>0</v>
      </c>
      <c r="L1814" s="8">
        <f>K1814-I1814</f>
        <v/>
      </c>
      <c r="M1814" s="8">
        <f>IF(K1814&lt;I1814,"✕ INSUFFISANT",IF(K1814&lt;I1814*1.2,"⚠ STOCK FAIBLE","✓ COUVERT"))</f>
        <v/>
      </c>
      <c r="N1814" s="8" t="inlineStr">
        <is>
          <t>SKF</t>
        </is>
      </c>
      <c r="O1814" s="8" t="inlineStr">
        <is>
          <t>CRITIQUE</t>
        </is>
      </c>
      <c r="P1814" s="8" t="inlineStr">
        <is>
          <t>31/08/2026 02:59</t>
        </is>
      </c>
    </row>
    <row r="1815">
      <c r="A1815" s="7" t="inlineStr">
        <is>
          <t>WHAP 8x8</t>
        </is>
      </c>
      <c r="B1815" s="7" t="inlineStr">
        <is>
          <t>WHAP-1811</t>
        </is>
      </c>
      <c r="C1815" s="7" t="inlineStr">
        <is>
          <t>MOT-1811</t>
        </is>
      </c>
      <c r="D1815" s="7" t="inlineStr">
        <is>
          <t>ensemble de segments de piston</t>
        </is>
      </c>
      <c r="E1815" s="7" t="inlineStr">
        <is>
          <t>Moteur</t>
        </is>
      </c>
      <c r="F1815" s="7" t="inlineStr">
        <is>
          <t>Moteur</t>
        </is>
      </c>
      <c r="G1815" s="7" t="inlineStr">
        <is>
          <t>PIECE_VEHICULE</t>
        </is>
      </c>
      <c r="H1815" s="7" t="n">
        <v>1</v>
      </c>
      <c r="I1815" s="7">
        <f>H1815*$D$3</f>
        <v/>
      </c>
      <c r="J1815" s="7" t="inlineStr">
        <is>
          <t>unité</t>
        </is>
      </c>
      <c r="K1815" s="7" t="n">
        <v>0</v>
      </c>
      <c r="L1815" s="7">
        <f>K1815-I1815</f>
        <v/>
      </c>
      <c r="M1815" s="7">
        <f>IF(K1815&lt;I1815,"✕ INSUFFISANT",IF(K1815&lt;I1815*1.2,"⚠ STOCK FAIBLE","✓ COUVERT"))</f>
        <v/>
      </c>
      <c r="N1815" s="7" t="inlineStr">
        <is>
          <t>DEL</t>
        </is>
      </c>
      <c r="O1815" s="7" t="inlineStr">
        <is>
          <t>CRITIQUE</t>
        </is>
      </c>
      <c r="P1815" s="7" t="inlineStr">
        <is>
          <t>31/08/2026 02:59</t>
        </is>
      </c>
    </row>
    <row r="1816">
      <c r="A1816" s="8" t="inlineStr">
        <is>
          <t>WHAP 8x8</t>
        </is>
      </c>
      <c r="B1816" s="8" t="inlineStr">
        <is>
          <t>WHAP-1812</t>
        </is>
      </c>
      <c r="C1816" s="8" t="inlineStr">
        <is>
          <t>MOT-1812</t>
        </is>
      </c>
      <c r="D1816" s="8" t="inlineStr">
        <is>
          <t>kit de segments de piston</t>
        </is>
      </c>
      <c r="E1816" s="8" t="inlineStr">
        <is>
          <t>Moteur</t>
        </is>
      </c>
      <c r="F1816" s="8" t="inlineStr">
        <is>
          <t>Moteur</t>
        </is>
      </c>
      <c r="G1816" s="8" t="inlineStr">
        <is>
          <t>PIECE_VEHICULE</t>
        </is>
      </c>
      <c r="H1816" s="8" t="n">
        <v>1</v>
      </c>
      <c r="I1816" s="8">
        <f>H1816*$D$3</f>
        <v/>
      </c>
      <c r="J1816" s="8" t="inlineStr">
        <is>
          <t>unité</t>
        </is>
      </c>
      <c r="K1816" s="8" t="n">
        <v>0</v>
      </c>
      <c r="L1816" s="8">
        <f>K1816-I1816</f>
        <v/>
      </c>
      <c r="M1816" s="8">
        <f>IF(K1816&lt;I1816,"✕ INSUFFISANT",IF(K1816&lt;I1816*1.2,"⚠ STOCK FAIBLE","✓ COUVERT"))</f>
        <v/>
      </c>
      <c r="N1816" s="8" t="inlineStr">
        <is>
          <t>FAU</t>
        </is>
      </c>
      <c r="O1816" s="8" t="inlineStr">
        <is>
          <t>CRITIQUE</t>
        </is>
      </c>
      <c r="P1816" s="8" t="inlineStr">
        <is>
          <t>31/08/2026 02:59</t>
        </is>
      </c>
    </row>
    <row r="1817">
      <c r="A1817" s="7" t="inlineStr">
        <is>
          <t>WHAP 8x8</t>
        </is>
      </c>
      <c r="B1817" s="7" t="inlineStr">
        <is>
          <t>WHAP-1813</t>
        </is>
      </c>
      <c r="C1817" s="7" t="inlineStr">
        <is>
          <t>MOT-1813</t>
        </is>
      </c>
      <c r="D1817" s="7" t="inlineStr">
        <is>
          <t>support de segments de piston</t>
        </is>
      </c>
      <c r="E1817" s="7" t="inlineStr">
        <is>
          <t>Moteur</t>
        </is>
      </c>
      <c r="F1817" s="7" t="inlineStr">
        <is>
          <t>Moteur</t>
        </is>
      </c>
      <c r="G1817" s="7" t="inlineStr">
        <is>
          <t>PIECE_VEHICULE</t>
        </is>
      </c>
      <c r="H1817" s="7" t="n">
        <v>1</v>
      </c>
      <c r="I1817" s="7">
        <f>H1817*$D$3</f>
        <v/>
      </c>
      <c r="J1817" s="7" t="inlineStr">
        <is>
          <t>unité</t>
        </is>
      </c>
      <c r="K1817" s="7" t="n">
        <v>0</v>
      </c>
      <c r="L1817" s="7">
        <f>K1817-I1817</f>
        <v/>
      </c>
      <c r="M1817" s="7">
        <f>IF(K1817&lt;I1817,"✕ INSUFFISANT",IF(K1817&lt;I1817*1.2,"⚠ STOCK FAIBLE","✓ COUVERT"))</f>
        <v/>
      </c>
      <c r="N1817" s="7" t="inlineStr">
        <is>
          <t>VAL</t>
        </is>
      </c>
      <c r="O1817" s="7" t="inlineStr">
        <is>
          <t>CRITIQUE</t>
        </is>
      </c>
      <c r="P1817" s="7" t="inlineStr">
        <is>
          <t>31/08/2026 02:59</t>
        </is>
      </c>
    </row>
    <row r="1818">
      <c r="A1818" s="8" t="inlineStr">
        <is>
          <t>WHAP 8x8</t>
        </is>
      </c>
      <c r="B1818" s="8" t="inlineStr">
        <is>
          <t>WHAP-1814</t>
        </is>
      </c>
      <c r="C1818" s="8" t="inlineStr">
        <is>
          <t>MOT-1814</t>
        </is>
      </c>
      <c r="D1818" s="8" t="inlineStr">
        <is>
          <t>boîtier de segments de piston</t>
        </is>
      </c>
      <c r="E1818" s="8" t="inlineStr">
        <is>
          <t>Moteur</t>
        </is>
      </c>
      <c r="F1818" s="8" t="inlineStr">
        <is>
          <t>Moteur</t>
        </is>
      </c>
      <c r="G1818" s="8" t="inlineStr">
        <is>
          <t>PIECE_VEHICULE</t>
        </is>
      </c>
      <c r="H1818" s="8" t="n">
        <v>1</v>
      </c>
      <c r="I1818" s="8">
        <f>H1818*$D$3</f>
        <v/>
      </c>
      <c r="J1818" s="8" t="inlineStr">
        <is>
          <t>unité</t>
        </is>
      </c>
      <c r="K1818" s="8" t="n">
        <v>0</v>
      </c>
      <c r="L1818" s="8">
        <f>K1818-I1818</f>
        <v/>
      </c>
      <c r="M1818" s="8">
        <f>IF(K1818&lt;I1818,"✕ INSUFFISANT",IF(K1818&lt;I1818*1.2,"⚠ STOCK FAIBLE","✓ COUVERT"))</f>
        <v/>
      </c>
      <c r="N1818" s="8" t="inlineStr">
        <is>
          <t>MAG</t>
        </is>
      </c>
      <c r="O1818" s="8" t="inlineStr">
        <is>
          <t>CRITIQUE</t>
        </is>
      </c>
      <c r="P1818" s="8" t="inlineStr">
        <is>
          <t>31/08/2026 02:59</t>
        </is>
      </c>
    </row>
    <row r="1819">
      <c r="A1819" s="7" t="inlineStr">
        <is>
          <t>WHAP 8x8</t>
        </is>
      </c>
      <c r="B1819" s="7" t="inlineStr">
        <is>
          <t>WHAP-1815</t>
        </is>
      </c>
      <c r="C1819" s="7" t="inlineStr">
        <is>
          <t>MOT-1815</t>
        </is>
      </c>
      <c r="D1819" s="7" t="inlineStr">
        <is>
          <t>module de segments de piston</t>
        </is>
      </c>
      <c r="E1819" s="7" t="inlineStr">
        <is>
          <t>Moteur</t>
        </is>
      </c>
      <c r="F1819" s="7" t="inlineStr">
        <is>
          <t>Moteur</t>
        </is>
      </c>
      <c r="G1819" s="7" t="inlineStr">
        <is>
          <t>PIECE_VEHICULE</t>
        </is>
      </c>
      <c r="H1819" s="7" t="n">
        <v>1</v>
      </c>
      <c r="I1819" s="7">
        <f>H1819*$D$3</f>
        <v/>
      </c>
      <c r="J1819" s="7" t="inlineStr">
        <is>
          <t>unité</t>
        </is>
      </c>
      <c r="K1819" s="7" t="n">
        <v>0</v>
      </c>
      <c r="L1819" s="7">
        <f>K1819-I1819</f>
        <v/>
      </c>
      <c r="M1819" s="7">
        <f>IF(K1819&lt;I1819,"✕ INSUFFISANT",IF(K1819&lt;I1819*1.2,"⚠ STOCK FAIBLE","✓ COUVERT"))</f>
        <v/>
      </c>
      <c r="N1819" s="7" t="inlineStr">
        <is>
          <t>MAG</t>
        </is>
      </c>
      <c r="O1819" s="7" t="inlineStr">
        <is>
          <t>CRITIQUE</t>
        </is>
      </c>
      <c r="P1819" s="7" t="inlineStr">
        <is>
          <t>31/08/2026 02:59</t>
        </is>
      </c>
    </row>
    <row r="1820">
      <c r="A1820" s="8" t="inlineStr">
        <is>
          <t>WHAP 8x8</t>
        </is>
      </c>
      <c r="B1820" s="8" t="inlineStr">
        <is>
          <t>WHAP-1816</t>
        </is>
      </c>
      <c r="C1820" s="8" t="inlineStr">
        <is>
          <t>MOT-1816</t>
        </is>
      </c>
      <c r="D1820" s="8" t="inlineStr">
        <is>
          <t>câblage de segments de piston</t>
        </is>
      </c>
      <c r="E1820" s="8" t="inlineStr">
        <is>
          <t>Moteur</t>
        </is>
      </c>
      <c r="F1820" s="8" t="inlineStr">
        <is>
          <t>Moteur</t>
        </is>
      </c>
      <c r="G1820" s="8" t="inlineStr">
        <is>
          <t>PIECE_VEHICULE</t>
        </is>
      </c>
      <c r="H1820" s="8" t="n">
        <v>1</v>
      </c>
      <c r="I1820" s="8">
        <f>H1820*$D$3</f>
        <v/>
      </c>
      <c r="J1820" s="8" t="inlineStr">
        <is>
          <t>unité</t>
        </is>
      </c>
      <c r="K1820" s="8" t="n">
        <v>0</v>
      </c>
      <c r="L1820" s="8">
        <f>K1820-I1820</f>
        <v/>
      </c>
      <c r="M1820" s="8">
        <f>IF(K1820&lt;I1820,"✕ INSUFFISANT",IF(K1820&lt;I1820*1.2,"⚠ STOCK FAIBLE","✓ COUVERT"))</f>
        <v/>
      </c>
      <c r="N1820" s="8" t="inlineStr">
        <is>
          <t>BOS</t>
        </is>
      </c>
      <c r="O1820" s="8" t="inlineStr">
        <is>
          <t>CRITIQUE</t>
        </is>
      </c>
      <c r="P1820" s="8" t="inlineStr">
        <is>
          <t>31/08/2026 02:59</t>
        </is>
      </c>
    </row>
    <row r="1821">
      <c r="A1821" s="7" t="inlineStr">
        <is>
          <t>WHAP 8x8</t>
        </is>
      </c>
      <c r="B1821" s="7" t="inlineStr">
        <is>
          <t>WHAP-1817</t>
        </is>
      </c>
      <c r="C1821" s="7" t="inlineStr">
        <is>
          <t>MOT-1817</t>
        </is>
      </c>
      <c r="D1821" s="7" t="inlineStr">
        <is>
          <t>connecteur de segments de piston</t>
        </is>
      </c>
      <c r="E1821" s="7" t="inlineStr">
        <is>
          <t>Moteur</t>
        </is>
      </c>
      <c r="F1821" s="7" t="inlineStr">
        <is>
          <t>Moteur</t>
        </is>
      </c>
      <c r="G1821" s="7" t="inlineStr">
        <is>
          <t>PIECE_VEHICULE</t>
        </is>
      </c>
      <c r="H1821" s="7" t="n">
        <v>1</v>
      </c>
      <c r="I1821" s="7">
        <f>H1821*$D$3</f>
        <v/>
      </c>
      <c r="J1821" s="7" t="inlineStr">
        <is>
          <t>unité</t>
        </is>
      </c>
      <c r="K1821" s="7" t="n">
        <v>0</v>
      </c>
      <c r="L1821" s="7">
        <f>K1821-I1821</f>
        <v/>
      </c>
      <c r="M1821" s="7">
        <f>IF(K1821&lt;I1821,"✕ INSUFFISANT",IF(K1821&lt;I1821*1.2,"⚠ STOCK FAIBLE","✓ COUVERT"))</f>
        <v/>
      </c>
      <c r="N1821" s="7" t="inlineStr">
        <is>
          <t>MAG</t>
        </is>
      </c>
      <c r="O1821" s="7" t="inlineStr">
        <is>
          <t>CRITIQUE</t>
        </is>
      </c>
      <c r="P1821" s="7" t="inlineStr">
        <is>
          <t>31/08/2026 02:59</t>
        </is>
      </c>
    </row>
    <row r="1822">
      <c r="A1822" s="8" t="inlineStr">
        <is>
          <t>WHAP 8x8</t>
        </is>
      </c>
      <c r="B1822" s="8" t="inlineStr">
        <is>
          <t>WHAP-1818</t>
        </is>
      </c>
      <c r="C1822" s="8" t="inlineStr">
        <is>
          <t>MOT-1818</t>
        </is>
      </c>
      <c r="D1822" s="8" t="inlineStr">
        <is>
          <t>joint de segments de piston</t>
        </is>
      </c>
      <c r="E1822" s="8" t="inlineStr">
        <is>
          <t>Moteur</t>
        </is>
      </c>
      <c r="F1822" s="8" t="inlineStr">
        <is>
          <t>Moteur</t>
        </is>
      </c>
      <c r="G1822" s="8" t="inlineStr">
        <is>
          <t>PIECE_VEHICULE</t>
        </is>
      </c>
      <c r="H1822" s="8" t="n">
        <v>1</v>
      </c>
      <c r="I1822" s="8">
        <f>H1822*$D$3</f>
        <v/>
      </c>
      <c r="J1822" s="8" t="inlineStr">
        <is>
          <t>unité</t>
        </is>
      </c>
      <c r="K1822" s="8" t="n">
        <v>0</v>
      </c>
      <c r="L1822" s="8">
        <f>K1822-I1822</f>
        <v/>
      </c>
      <c r="M1822" s="8">
        <f>IF(K1822&lt;I1822,"✕ INSUFFISANT",IF(K1822&lt;I1822*1.2,"⚠ STOCK FAIBLE","✓ COUVERT"))</f>
        <v/>
      </c>
      <c r="N1822" s="8" t="inlineStr">
        <is>
          <t>YZK</t>
        </is>
      </c>
      <c r="O1822" s="8" t="inlineStr">
        <is>
          <t>CRITIQUE</t>
        </is>
      </c>
      <c r="P1822" s="8" t="inlineStr">
        <is>
          <t>31/08/2026 02:59</t>
        </is>
      </c>
    </row>
    <row r="1823">
      <c r="A1823" s="7" t="inlineStr">
        <is>
          <t>WHAP 8x8</t>
        </is>
      </c>
      <c r="B1823" s="7" t="inlineStr">
        <is>
          <t>WHAP-1819</t>
        </is>
      </c>
      <c r="C1823" s="7" t="inlineStr">
        <is>
          <t>MOT-1819</t>
        </is>
      </c>
      <c r="D1823" s="7" t="inlineStr">
        <is>
          <t>fixation de segments de piston</t>
        </is>
      </c>
      <c r="E1823" s="7" t="inlineStr">
        <is>
          <t>Moteur</t>
        </is>
      </c>
      <c r="F1823" s="7" t="inlineStr">
        <is>
          <t>Moteur</t>
        </is>
      </c>
      <c r="G1823" s="7" t="inlineStr">
        <is>
          <t>PIECE_VEHICULE</t>
        </is>
      </c>
      <c r="H1823" s="7" t="n">
        <v>1</v>
      </c>
      <c r="I1823" s="7">
        <f>H1823*$D$3</f>
        <v/>
      </c>
      <c r="J1823" s="7" t="inlineStr">
        <is>
          <t>unité</t>
        </is>
      </c>
      <c r="K1823" s="7" t="n">
        <v>0</v>
      </c>
      <c r="L1823" s="7">
        <f>K1823-I1823</f>
        <v/>
      </c>
      <c r="M1823" s="7">
        <f>IF(K1823&lt;I1823,"✕ INSUFFISANT",IF(K1823&lt;I1823*1.2,"⚠ STOCK FAIBLE","✓ COUVERT"))</f>
        <v/>
      </c>
      <c r="N1823" s="7" t="inlineStr">
        <is>
          <t>HEL</t>
        </is>
      </c>
      <c r="O1823" s="7" t="inlineStr">
        <is>
          <t>CRITIQUE</t>
        </is>
      </c>
      <c r="P1823" s="7" t="inlineStr">
        <is>
          <t>31/08/2026 02:59</t>
        </is>
      </c>
    </row>
    <row r="1824">
      <c r="A1824" s="8" t="inlineStr">
        <is>
          <t>WHAP 8x8</t>
        </is>
      </c>
      <c r="B1824" s="8" t="inlineStr">
        <is>
          <t>WHAP-1820</t>
        </is>
      </c>
      <c r="C1824" s="8" t="inlineStr">
        <is>
          <t>MOT-1820</t>
        </is>
      </c>
      <c r="D1824" s="8" t="inlineStr">
        <is>
          <t>protection de segments de piston</t>
        </is>
      </c>
      <c r="E1824" s="8" t="inlineStr">
        <is>
          <t>Moteur</t>
        </is>
      </c>
      <c r="F1824" s="8" t="inlineStr">
        <is>
          <t>Moteur</t>
        </is>
      </c>
      <c r="G1824" s="8" t="inlineStr">
        <is>
          <t>PIECE_VEHICULE</t>
        </is>
      </c>
      <c r="H1824" s="8" t="n">
        <v>1</v>
      </c>
      <c r="I1824" s="8">
        <f>H1824*$D$3</f>
        <v/>
      </c>
      <c r="J1824" s="8" t="inlineStr">
        <is>
          <t>unité</t>
        </is>
      </c>
      <c r="K1824" s="8" t="n">
        <v>0</v>
      </c>
      <c r="L1824" s="8">
        <f>K1824-I1824</f>
        <v/>
      </c>
      <c r="M1824" s="8">
        <f>IF(K1824&lt;I1824,"✕ INSUFFISANT",IF(K1824&lt;I1824*1.2,"⚠ STOCK FAIBLE","✓ COUVERT"))</f>
        <v/>
      </c>
      <c r="N1824" s="8" t="inlineStr">
        <is>
          <t>VAL</t>
        </is>
      </c>
      <c r="O1824" s="8" t="inlineStr">
        <is>
          <t>CRITIQUE</t>
        </is>
      </c>
      <c r="P1824" s="8" t="inlineStr">
        <is>
          <t>31/08/2026 02:59</t>
        </is>
      </c>
    </row>
    <row r="1825">
      <c r="A1825" s="7" t="inlineStr">
        <is>
          <t>WHAP 8x8</t>
        </is>
      </c>
      <c r="B1825" s="7" t="inlineStr">
        <is>
          <t>WHAP-1821</t>
        </is>
      </c>
      <c r="C1825" s="7" t="inlineStr">
        <is>
          <t>MOT-1821</t>
        </is>
      </c>
      <c r="D1825" s="7" t="inlineStr">
        <is>
          <t>capteur de segments de piston</t>
        </is>
      </c>
      <c r="E1825" s="7" t="inlineStr">
        <is>
          <t>Moteur</t>
        </is>
      </c>
      <c r="F1825" s="7" t="inlineStr">
        <is>
          <t>Moteur</t>
        </is>
      </c>
      <c r="G1825" s="7" t="inlineStr">
        <is>
          <t>PIECE_VEHICULE</t>
        </is>
      </c>
      <c r="H1825" s="7" t="n">
        <v>1</v>
      </c>
      <c r="I1825" s="7">
        <f>H1825*$D$3</f>
        <v/>
      </c>
      <c r="J1825" s="7" t="inlineStr">
        <is>
          <t>unité</t>
        </is>
      </c>
      <c r="K1825" s="7" t="n">
        <v>0</v>
      </c>
      <c r="L1825" s="7">
        <f>K1825-I1825</f>
        <v/>
      </c>
      <c r="M1825" s="7">
        <f>IF(K1825&lt;I1825,"✕ INSUFFISANT",IF(K1825&lt;I1825*1.2,"⚠ STOCK FAIBLE","✓ COUVERT"))</f>
        <v/>
      </c>
      <c r="N1825" s="7" t="inlineStr">
        <is>
          <t>HEL</t>
        </is>
      </c>
      <c r="O1825" s="7" t="inlineStr">
        <is>
          <t>CRITIQUE</t>
        </is>
      </c>
      <c r="P1825" s="7" t="inlineStr">
        <is>
          <t>31/08/2026 02:59</t>
        </is>
      </c>
    </row>
    <row r="1826">
      <c r="A1826" s="8" t="inlineStr">
        <is>
          <t>WHAP 8x8</t>
        </is>
      </c>
      <c r="B1826" s="8" t="inlineStr">
        <is>
          <t>WHAP-1822</t>
        </is>
      </c>
      <c r="C1826" s="8" t="inlineStr">
        <is>
          <t>MOT-1822</t>
        </is>
      </c>
      <c r="D1826" s="8" t="inlineStr">
        <is>
          <t>actionneur de segments de piston</t>
        </is>
      </c>
      <c r="E1826" s="8" t="inlineStr">
        <is>
          <t>Moteur</t>
        </is>
      </c>
      <c r="F1826" s="8" t="inlineStr">
        <is>
          <t>Moteur</t>
        </is>
      </c>
      <c r="G1826" s="8" t="inlineStr">
        <is>
          <t>PIECE_VEHICULE</t>
        </is>
      </c>
      <c r="H1826" s="8" t="n">
        <v>1</v>
      </c>
      <c r="I1826" s="8">
        <f>H1826*$D$3</f>
        <v/>
      </c>
      <c r="J1826" s="8" t="inlineStr">
        <is>
          <t>unité</t>
        </is>
      </c>
      <c r="K1826" s="8" t="n">
        <v>0</v>
      </c>
      <c r="L1826" s="8">
        <f>K1826-I1826</f>
        <v/>
      </c>
      <c r="M1826" s="8">
        <f>IF(K1826&lt;I1826,"✕ INSUFFISANT",IF(K1826&lt;I1826*1.2,"⚠ STOCK FAIBLE","✓ COUVERT"))</f>
        <v/>
      </c>
      <c r="N1826" s="8" t="inlineStr">
        <is>
          <t>DEL</t>
        </is>
      </c>
      <c r="O1826" s="8" t="inlineStr">
        <is>
          <t>CRITIQUE</t>
        </is>
      </c>
      <c r="P1826" s="8" t="inlineStr">
        <is>
          <t>31/08/2026 02:59</t>
        </is>
      </c>
    </row>
    <row r="1827">
      <c r="A1827" s="7" t="inlineStr">
        <is>
          <t>WHAP 8x8</t>
        </is>
      </c>
      <c r="B1827" s="7" t="inlineStr">
        <is>
          <t>WHAP-1823</t>
        </is>
      </c>
      <c r="C1827" s="7" t="inlineStr">
        <is>
          <t>MOT-1823</t>
        </is>
      </c>
      <c r="D1827" s="7" t="inlineStr">
        <is>
          <t>raccord de segments de piston</t>
        </is>
      </c>
      <c r="E1827" s="7" t="inlineStr">
        <is>
          <t>Moteur</t>
        </is>
      </c>
      <c r="F1827" s="7" t="inlineStr">
        <is>
          <t>Moteur</t>
        </is>
      </c>
      <c r="G1827" s="7" t="inlineStr">
        <is>
          <t>PIECE_VEHICULE</t>
        </is>
      </c>
      <c r="H1827" s="7" t="n">
        <v>1</v>
      </c>
      <c r="I1827" s="7">
        <f>H1827*$D$3</f>
        <v/>
      </c>
      <c r="J1827" s="7" t="inlineStr">
        <is>
          <t>unité</t>
        </is>
      </c>
      <c r="K1827" s="7" t="n">
        <v>0</v>
      </c>
      <c r="L1827" s="7">
        <f>K1827-I1827</f>
        <v/>
      </c>
      <c r="M1827" s="7">
        <f>IF(K1827&lt;I1827,"✕ INSUFFISANT",IF(K1827&lt;I1827*1.2,"⚠ STOCK FAIBLE","✓ COUVERT"))</f>
        <v/>
      </c>
      <c r="N1827" s="7" t="inlineStr">
        <is>
          <t>HEL</t>
        </is>
      </c>
      <c r="O1827" s="7" t="inlineStr">
        <is>
          <t>CRITIQUE</t>
        </is>
      </c>
      <c r="P1827" s="7" t="inlineStr">
        <is>
          <t>31/08/2026 02:59</t>
        </is>
      </c>
    </row>
    <row r="1828">
      <c r="A1828" s="8" t="inlineStr">
        <is>
          <t>WHAP 8x8</t>
        </is>
      </c>
      <c r="B1828" s="8" t="inlineStr">
        <is>
          <t>WHAP-1824</t>
        </is>
      </c>
      <c r="C1828" s="8" t="inlineStr">
        <is>
          <t>MOT-1824</t>
        </is>
      </c>
      <c r="D1828" s="8" t="inlineStr">
        <is>
          <t>plaque de segments de piston</t>
        </is>
      </c>
      <c r="E1828" s="8" t="inlineStr">
        <is>
          <t>Moteur</t>
        </is>
      </c>
      <c r="F1828" s="8" t="inlineStr">
        <is>
          <t>Moteur</t>
        </is>
      </c>
      <c r="G1828" s="8" t="inlineStr">
        <is>
          <t>PIECE_VEHICULE</t>
        </is>
      </c>
      <c r="H1828" s="8" t="n">
        <v>1</v>
      </c>
      <c r="I1828" s="8">
        <f>H1828*$D$3</f>
        <v/>
      </c>
      <c r="J1828" s="8" t="inlineStr">
        <is>
          <t>unité</t>
        </is>
      </c>
      <c r="K1828" s="8" t="n">
        <v>0</v>
      </c>
      <c r="L1828" s="8">
        <f>K1828-I1828</f>
        <v/>
      </c>
      <c r="M1828" s="8">
        <f>IF(K1828&lt;I1828,"✕ INSUFFISANT",IF(K1828&lt;I1828*1.2,"⚠ STOCK FAIBLE","✓ COUVERT"))</f>
        <v/>
      </c>
      <c r="N1828" s="8" t="inlineStr">
        <is>
          <t>CTL</t>
        </is>
      </c>
      <c r="O1828" s="8" t="inlineStr">
        <is>
          <t>CRITIQUE</t>
        </is>
      </c>
      <c r="P1828" s="8" t="inlineStr">
        <is>
          <t>31/08/2026 02:59</t>
        </is>
      </c>
    </row>
    <row r="1829">
      <c r="A1829" s="7" t="inlineStr">
        <is>
          <t>WHAP 8x8</t>
        </is>
      </c>
      <c r="B1829" s="7" t="inlineStr">
        <is>
          <t>WHAP-1825</t>
        </is>
      </c>
      <c r="C1829" s="7" t="inlineStr">
        <is>
          <t>MOT-1825</t>
        </is>
      </c>
      <c r="D1829" s="7" t="inlineStr">
        <is>
          <t>couvercle de segments de piston</t>
        </is>
      </c>
      <c r="E1829" s="7" t="inlineStr">
        <is>
          <t>Moteur</t>
        </is>
      </c>
      <c r="F1829" s="7" t="inlineStr">
        <is>
          <t>Moteur</t>
        </is>
      </c>
      <c r="G1829" s="7" t="inlineStr">
        <is>
          <t>PIECE_VEHICULE</t>
        </is>
      </c>
      <c r="H1829" s="7" t="n">
        <v>1</v>
      </c>
      <c r="I1829" s="7">
        <f>H1829*$D$3</f>
        <v/>
      </c>
      <c r="J1829" s="7" t="inlineStr">
        <is>
          <t>unité</t>
        </is>
      </c>
      <c r="K1829" s="7" t="n">
        <v>0</v>
      </c>
      <c r="L1829" s="7">
        <f>K1829-I1829</f>
        <v/>
      </c>
      <c r="M1829" s="7">
        <f>IF(K1829&lt;I1829,"✕ INSUFFISANT",IF(K1829&lt;I1829*1.2,"⚠ STOCK FAIBLE","✓ COUVERT"))</f>
        <v/>
      </c>
      <c r="N1829" s="7" t="inlineStr">
        <is>
          <t>FAU</t>
        </is>
      </c>
      <c r="O1829" s="7" t="inlineStr">
        <is>
          <t>CRITIQUE</t>
        </is>
      </c>
      <c r="P1829" s="7" t="inlineStr">
        <is>
          <t>31/08/2026 02:59</t>
        </is>
      </c>
    </row>
    <row r="1830">
      <c r="A1830" s="8" t="inlineStr">
        <is>
          <t>WHAP 8x8</t>
        </is>
      </c>
      <c r="B1830" s="8" t="inlineStr">
        <is>
          <t>WHAP-1826</t>
        </is>
      </c>
      <c r="C1830" s="8" t="inlineStr">
        <is>
          <t>MOT-1826</t>
        </is>
      </c>
      <c r="D1830" s="8" t="inlineStr">
        <is>
          <t>bague de segments de piston</t>
        </is>
      </c>
      <c r="E1830" s="8" t="inlineStr">
        <is>
          <t>Moteur</t>
        </is>
      </c>
      <c r="F1830" s="8" t="inlineStr">
        <is>
          <t>Moteur</t>
        </is>
      </c>
      <c r="G1830" s="8" t="inlineStr">
        <is>
          <t>PIECE_VEHICULE</t>
        </is>
      </c>
      <c r="H1830" s="8" t="n">
        <v>1</v>
      </c>
      <c r="I1830" s="8">
        <f>H1830*$D$3</f>
        <v/>
      </c>
      <c r="J1830" s="8" t="inlineStr">
        <is>
          <t>unité</t>
        </is>
      </c>
      <c r="K1830" s="8" t="n">
        <v>0</v>
      </c>
      <c r="L1830" s="8">
        <f>K1830-I1830</f>
        <v/>
      </c>
      <c r="M1830" s="8">
        <f>IF(K1830&lt;I1830,"✕ INSUFFISANT",IF(K1830&lt;I1830*1.2,"⚠ STOCK FAIBLE","✓ COUVERT"))</f>
        <v/>
      </c>
      <c r="N1830" s="8" t="inlineStr">
        <is>
          <t>MAG</t>
        </is>
      </c>
      <c r="O1830" s="8" t="inlineStr">
        <is>
          <t>CRITIQUE</t>
        </is>
      </c>
      <c r="P1830" s="8" t="inlineStr">
        <is>
          <t>31/08/2026 02:59</t>
        </is>
      </c>
    </row>
    <row r="1831">
      <c r="A1831" s="7" t="inlineStr">
        <is>
          <t>WHAP 8x8</t>
        </is>
      </c>
      <c r="B1831" s="7" t="inlineStr">
        <is>
          <t>WHAP-1827</t>
        </is>
      </c>
      <c r="C1831" s="7" t="inlineStr">
        <is>
          <t>MOT-1827</t>
        </is>
      </c>
      <c r="D1831" s="7" t="inlineStr">
        <is>
          <t>entretoise de segments de piston</t>
        </is>
      </c>
      <c r="E1831" s="7" t="inlineStr">
        <is>
          <t>Moteur</t>
        </is>
      </c>
      <c r="F1831" s="7" t="inlineStr">
        <is>
          <t>Moteur</t>
        </is>
      </c>
      <c r="G1831" s="7" t="inlineStr">
        <is>
          <t>PIECE_VEHICULE</t>
        </is>
      </c>
      <c r="H1831" s="7" t="n">
        <v>1</v>
      </c>
      <c r="I1831" s="7">
        <f>H1831*$D$3</f>
        <v/>
      </c>
      <c r="J1831" s="7" t="inlineStr">
        <is>
          <t>unité</t>
        </is>
      </c>
      <c r="K1831" s="7" t="n">
        <v>0</v>
      </c>
      <c r="L1831" s="7">
        <f>K1831-I1831</f>
        <v/>
      </c>
      <c r="M1831" s="7">
        <f>IF(K1831&lt;I1831,"✕ INSUFFISANT",IF(K1831&lt;I1831*1.2,"⚠ STOCK FAIBLE","✓ COUVERT"))</f>
        <v/>
      </c>
      <c r="N1831" s="7" t="inlineStr">
        <is>
          <t>DEL</t>
        </is>
      </c>
      <c r="O1831" s="7" t="inlineStr">
        <is>
          <t>CRITIQUE</t>
        </is>
      </c>
      <c r="P1831" s="7" t="inlineStr">
        <is>
          <t>31/08/2026 02:59</t>
        </is>
      </c>
    </row>
    <row r="1832">
      <c r="A1832" s="8" t="inlineStr">
        <is>
          <t>WHAP 8x8</t>
        </is>
      </c>
      <c r="B1832" s="8" t="inlineStr">
        <is>
          <t>WHAP-1828</t>
        </is>
      </c>
      <c r="C1832" s="8" t="inlineStr">
        <is>
          <t>MOT-1828</t>
        </is>
      </c>
      <c r="D1832" s="8" t="inlineStr">
        <is>
          <t>axe de segments de piston</t>
        </is>
      </c>
      <c r="E1832" s="8" t="inlineStr">
        <is>
          <t>Moteur</t>
        </is>
      </c>
      <c r="F1832" s="8" t="inlineStr">
        <is>
          <t>Moteur</t>
        </is>
      </c>
      <c r="G1832" s="8" t="inlineStr">
        <is>
          <t>PIECE_VEHICULE</t>
        </is>
      </c>
      <c r="H1832" s="8" t="n">
        <v>1</v>
      </c>
      <c r="I1832" s="8">
        <f>H1832*$D$3</f>
        <v/>
      </c>
      <c r="J1832" s="8" t="inlineStr">
        <is>
          <t>unité</t>
        </is>
      </c>
      <c r="K1832" s="8" t="n">
        <v>0</v>
      </c>
      <c r="L1832" s="8">
        <f>K1832-I1832</f>
        <v/>
      </c>
      <c r="M1832" s="8">
        <f>IF(K1832&lt;I1832,"✕ INSUFFISANT",IF(K1832&lt;I1832*1.2,"⚠ STOCK FAIBLE","✓ COUVERT"))</f>
        <v/>
      </c>
      <c r="N1832" s="8" t="inlineStr">
        <is>
          <t>MAG</t>
        </is>
      </c>
      <c r="O1832" s="8" t="inlineStr">
        <is>
          <t>CRITIQUE</t>
        </is>
      </c>
      <c r="P1832" s="8" t="inlineStr">
        <is>
          <t>31/08/2026 02:59</t>
        </is>
      </c>
    </row>
    <row r="1833">
      <c r="A1833" s="7" t="inlineStr">
        <is>
          <t>WHAP 8x8</t>
        </is>
      </c>
      <c r="B1833" s="7" t="inlineStr">
        <is>
          <t>WHAP-1829</t>
        </is>
      </c>
      <c r="C1833" s="7" t="inlineStr">
        <is>
          <t>MOT-1829</t>
        </is>
      </c>
      <c r="D1833" s="7" t="inlineStr">
        <is>
          <t>poulie de segments de piston</t>
        </is>
      </c>
      <c r="E1833" s="7" t="inlineStr">
        <is>
          <t>Moteur</t>
        </is>
      </c>
      <c r="F1833" s="7" t="inlineStr">
        <is>
          <t>Moteur</t>
        </is>
      </c>
      <c r="G1833" s="7" t="inlineStr">
        <is>
          <t>PIECE_VEHICULE</t>
        </is>
      </c>
      <c r="H1833" s="7" t="n">
        <v>1</v>
      </c>
      <c r="I1833" s="7">
        <f>H1833*$D$3</f>
        <v/>
      </c>
      <c r="J1833" s="7" t="inlineStr">
        <is>
          <t>unité</t>
        </is>
      </c>
      <c r="K1833" s="7" t="n">
        <v>0</v>
      </c>
      <c r="L1833" s="7">
        <f>K1833-I1833</f>
        <v/>
      </c>
      <c r="M1833" s="7">
        <f>IF(K1833&lt;I1833,"✕ INSUFFISANT",IF(K1833&lt;I1833*1.2,"⚠ STOCK FAIBLE","✓ COUVERT"))</f>
        <v/>
      </c>
      <c r="N1833" s="7" t="inlineStr">
        <is>
          <t>YZK</t>
        </is>
      </c>
      <c r="O1833" s="7" t="inlineStr">
        <is>
          <t>CRITIQUE</t>
        </is>
      </c>
      <c r="P1833" s="7" t="inlineStr">
        <is>
          <t>31/08/2026 02:59</t>
        </is>
      </c>
    </row>
    <row r="1834">
      <c r="A1834" s="8" t="inlineStr">
        <is>
          <t>WHAP 8x8</t>
        </is>
      </c>
      <c r="B1834" s="8" t="inlineStr">
        <is>
          <t>WHAP-1830</t>
        </is>
      </c>
      <c r="C1834" s="8" t="inlineStr">
        <is>
          <t>MOT-1830</t>
        </is>
      </c>
      <c r="D1834" s="8" t="inlineStr">
        <is>
          <t>pignon de segments de piston</t>
        </is>
      </c>
      <c r="E1834" s="8" t="inlineStr">
        <is>
          <t>Moteur</t>
        </is>
      </c>
      <c r="F1834" s="8" t="inlineStr">
        <is>
          <t>Moteur</t>
        </is>
      </c>
      <c r="G1834" s="8" t="inlineStr">
        <is>
          <t>PIECE_VEHICULE</t>
        </is>
      </c>
      <c r="H1834" s="8" t="n">
        <v>1</v>
      </c>
      <c r="I1834" s="8">
        <f>H1834*$D$3</f>
        <v/>
      </c>
      <c r="J1834" s="8" t="inlineStr">
        <is>
          <t>unité</t>
        </is>
      </c>
      <c r="K1834" s="8" t="n">
        <v>0</v>
      </c>
      <c r="L1834" s="8">
        <f>K1834-I1834</f>
        <v/>
      </c>
      <c r="M1834" s="8">
        <f>IF(K1834&lt;I1834,"✕ INSUFFISANT",IF(K1834&lt;I1834*1.2,"⚠ STOCK FAIBLE","✓ COUVERT"))</f>
        <v/>
      </c>
      <c r="N1834" s="8" t="inlineStr">
        <is>
          <t>CTL</t>
        </is>
      </c>
      <c r="O1834" s="8" t="inlineStr">
        <is>
          <t>CRITIQUE</t>
        </is>
      </c>
      <c r="P1834" s="8" t="inlineStr">
        <is>
          <t>31/08/2026 02:59</t>
        </is>
      </c>
    </row>
    <row r="1835">
      <c r="A1835" s="7" t="inlineStr">
        <is>
          <t>WHAP 8x8</t>
        </is>
      </c>
      <c r="B1835" s="7" t="inlineStr">
        <is>
          <t>WHAP-1831</t>
        </is>
      </c>
      <c r="C1835" s="7" t="inlineStr">
        <is>
          <t>MOT-1831</t>
        </is>
      </c>
      <c r="D1835" s="7" t="inlineStr">
        <is>
          <t>ensemble de axe de piston</t>
        </is>
      </c>
      <c r="E1835" s="7" t="inlineStr">
        <is>
          <t>Moteur</t>
        </is>
      </c>
      <c r="F1835" s="7" t="inlineStr">
        <is>
          <t>Moteur</t>
        </is>
      </c>
      <c r="G1835" s="7" t="inlineStr">
        <is>
          <t>PIECE_VEHICULE</t>
        </is>
      </c>
      <c r="H1835" s="7" t="n">
        <v>1</v>
      </c>
      <c r="I1835" s="7">
        <f>H1835*$D$3</f>
        <v/>
      </c>
      <c r="J1835" s="7" t="inlineStr">
        <is>
          <t>unité</t>
        </is>
      </c>
      <c r="K1835" s="7" t="n">
        <v>0</v>
      </c>
      <c r="L1835" s="7">
        <f>K1835-I1835</f>
        <v/>
      </c>
      <c r="M1835" s="7">
        <f>IF(K1835&lt;I1835,"✕ INSUFFISANT",IF(K1835&lt;I1835*1.2,"⚠ STOCK FAIBLE","✓ COUVERT"))</f>
        <v/>
      </c>
      <c r="N1835" s="7" t="inlineStr">
        <is>
          <t>CTL</t>
        </is>
      </c>
      <c r="O1835" s="7" t="inlineStr">
        <is>
          <t>CRITIQUE</t>
        </is>
      </c>
      <c r="P1835" s="7" t="inlineStr">
        <is>
          <t>31/08/2026 02:59</t>
        </is>
      </c>
    </row>
    <row r="1836">
      <c r="A1836" s="8" t="inlineStr">
        <is>
          <t>WHAP 8x8</t>
        </is>
      </c>
      <c r="B1836" s="8" t="inlineStr">
        <is>
          <t>WHAP-1832</t>
        </is>
      </c>
      <c r="C1836" s="8" t="inlineStr">
        <is>
          <t>MOT-1832</t>
        </is>
      </c>
      <c r="D1836" s="8" t="inlineStr">
        <is>
          <t>kit de axe de piston</t>
        </is>
      </c>
      <c r="E1836" s="8" t="inlineStr">
        <is>
          <t>Moteur</t>
        </is>
      </c>
      <c r="F1836" s="8" t="inlineStr">
        <is>
          <t>Moteur</t>
        </is>
      </c>
      <c r="G1836" s="8" t="inlineStr">
        <is>
          <t>PIECE_VEHICULE</t>
        </is>
      </c>
      <c r="H1836" s="8" t="n">
        <v>1</v>
      </c>
      <c r="I1836" s="8">
        <f>H1836*$D$3</f>
        <v/>
      </c>
      <c r="J1836" s="8" t="inlineStr">
        <is>
          <t>unité</t>
        </is>
      </c>
      <c r="K1836" s="8" t="n">
        <v>0</v>
      </c>
      <c r="L1836" s="8">
        <f>K1836-I1836</f>
        <v/>
      </c>
      <c r="M1836" s="8">
        <f>IF(K1836&lt;I1836,"✕ INSUFFISANT",IF(K1836&lt;I1836*1.2,"⚠ STOCK FAIBLE","✓ COUVERT"))</f>
        <v/>
      </c>
      <c r="N1836" s="8" t="inlineStr">
        <is>
          <t>SKF</t>
        </is>
      </c>
      <c r="O1836" s="8" t="inlineStr">
        <is>
          <t>CRITIQUE</t>
        </is>
      </c>
      <c r="P1836" s="8" t="inlineStr">
        <is>
          <t>31/08/2026 02:59</t>
        </is>
      </c>
    </row>
    <row r="1837">
      <c r="A1837" s="7" t="inlineStr">
        <is>
          <t>WHAP 8x8</t>
        </is>
      </c>
      <c r="B1837" s="7" t="inlineStr">
        <is>
          <t>WHAP-1833</t>
        </is>
      </c>
      <c r="C1837" s="7" t="inlineStr">
        <is>
          <t>MOT-1833</t>
        </is>
      </c>
      <c r="D1837" s="7" t="inlineStr">
        <is>
          <t>support de axe de piston</t>
        </is>
      </c>
      <c r="E1837" s="7" t="inlineStr">
        <is>
          <t>Moteur</t>
        </is>
      </c>
      <c r="F1837" s="7" t="inlineStr">
        <is>
          <t>Moteur</t>
        </is>
      </c>
      <c r="G1837" s="7" t="inlineStr">
        <is>
          <t>PIECE_VEHICULE</t>
        </is>
      </c>
      <c r="H1837" s="7" t="n">
        <v>1</v>
      </c>
      <c r="I1837" s="7">
        <f>H1837*$D$3</f>
        <v/>
      </c>
      <c r="J1837" s="7" t="inlineStr">
        <is>
          <t>unité</t>
        </is>
      </c>
      <c r="K1837" s="7" t="n">
        <v>0</v>
      </c>
      <c r="L1837" s="7">
        <f>K1837-I1837</f>
        <v/>
      </c>
      <c r="M1837" s="7">
        <f>IF(K1837&lt;I1837,"✕ INSUFFISANT",IF(K1837&lt;I1837*1.2,"⚠ STOCK FAIBLE","✓ COUVERT"))</f>
        <v/>
      </c>
      <c r="N1837" s="7" t="inlineStr">
        <is>
          <t>BOS</t>
        </is>
      </c>
      <c r="O1837" s="7" t="inlineStr">
        <is>
          <t>CRITIQUE</t>
        </is>
      </c>
      <c r="P1837" s="7" t="inlineStr">
        <is>
          <t>31/08/2026 02:59</t>
        </is>
      </c>
    </row>
    <row r="1838">
      <c r="A1838" s="8" t="inlineStr">
        <is>
          <t>WHAP 8x8</t>
        </is>
      </c>
      <c r="B1838" s="8" t="inlineStr">
        <is>
          <t>WHAP-1834</t>
        </is>
      </c>
      <c r="C1838" s="8" t="inlineStr">
        <is>
          <t>MOT-1834</t>
        </is>
      </c>
      <c r="D1838" s="8" t="inlineStr">
        <is>
          <t>boîtier de axe de piston</t>
        </is>
      </c>
      <c r="E1838" s="8" t="inlineStr">
        <is>
          <t>Moteur</t>
        </is>
      </c>
      <c r="F1838" s="8" t="inlineStr">
        <is>
          <t>Moteur</t>
        </is>
      </c>
      <c r="G1838" s="8" t="inlineStr">
        <is>
          <t>PIECE_VEHICULE</t>
        </is>
      </c>
      <c r="H1838" s="8" t="n">
        <v>1</v>
      </c>
      <c r="I1838" s="8">
        <f>H1838*$D$3</f>
        <v/>
      </c>
      <c r="J1838" s="8" t="inlineStr">
        <is>
          <t>unité</t>
        </is>
      </c>
      <c r="K1838" s="8" t="n">
        <v>0</v>
      </c>
      <c r="L1838" s="8">
        <f>K1838-I1838</f>
        <v/>
      </c>
      <c r="M1838" s="8">
        <f>IF(K1838&lt;I1838,"✕ INSUFFISANT",IF(K1838&lt;I1838*1.2,"⚠ STOCK FAIBLE","✓ COUVERT"))</f>
        <v/>
      </c>
      <c r="N1838" s="8" t="inlineStr">
        <is>
          <t>SKF</t>
        </is>
      </c>
      <c r="O1838" s="8" t="inlineStr">
        <is>
          <t>CRITIQUE</t>
        </is>
      </c>
      <c r="P1838" s="8" t="inlineStr">
        <is>
          <t>31/08/2026 02:59</t>
        </is>
      </c>
    </row>
    <row r="1839">
      <c r="A1839" s="7" t="inlineStr">
        <is>
          <t>WHAP 8x8</t>
        </is>
      </c>
      <c r="B1839" s="7" t="inlineStr">
        <is>
          <t>WHAP-1835</t>
        </is>
      </c>
      <c r="C1839" s="7" t="inlineStr">
        <is>
          <t>MOT-1835</t>
        </is>
      </c>
      <c r="D1839" s="7" t="inlineStr">
        <is>
          <t>module de axe de piston</t>
        </is>
      </c>
      <c r="E1839" s="7" t="inlineStr">
        <is>
          <t>Moteur</t>
        </is>
      </c>
      <c r="F1839" s="7" t="inlineStr">
        <is>
          <t>Moteur</t>
        </is>
      </c>
      <c r="G1839" s="7" t="inlineStr">
        <is>
          <t>PIECE_VEHICULE</t>
        </is>
      </c>
      <c r="H1839" s="7" t="n">
        <v>1</v>
      </c>
      <c r="I1839" s="7">
        <f>H1839*$D$3</f>
        <v/>
      </c>
      <c r="J1839" s="7" t="inlineStr">
        <is>
          <t>unité</t>
        </is>
      </c>
      <c r="K1839" s="7" t="n">
        <v>0</v>
      </c>
      <c r="L1839" s="7">
        <f>K1839-I1839</f>
        <v/>
      </c>
      <c r="M1839" s="7">
        <f>IF(K1839&lt;I1839,"✕ INSUFFISANT",IF(K1839&lt;I1839*1.2,"⚠ STOCK FAIBLE","✓ COUVERT"))</f>
        <v/>
      </c>
      <c r="N1839" s="7" t="inlineStr">
        <is>
          <t>VAL</t>
        </is>
      </c>
      <c r="O1839" s="7" t="inlineStr">
        <is>
          <t>CRITIQUE</t>
        </is>
      </c>
      <c r="P1839" s="7" t="inlineStr">
        <is>
          <t>31/08/2026 02:59</t>
        </is>
      </c>
    </row>
    <row r="1840">
      <c r="A1840" s="8" t="inlineStr">
        <is>
          <t>WHAP 8x8</t>
        </is>
      </c>
      <c r="B1840" s="8" t="inlineStr">
        <is>
          <t>WHAP-1836</t>
        </is>
      </c>
      <c r="C1840" s="8" t="inlineStr">
        <is>
          <t>MOT-1836</t>
        </is>
      </c>
      <c r="D1840" s="8" t="inlineStr">
        <is>
          <t>câblage de axe de piston</t>
        </is>
      </c>
      <c r="E1840" s="8" t="inlineStr">
        <is>
          <t>Moteur</t>
        </is>
      </c>
      <c r="F1840" s="8" t="inlineStr">
        <is>
          <t>Moteur</t>
        </is>
      </c>
      <c r="G1840" s="8" t="inlineStr">
        <is>
          <t>PIECE_VEHICULE</t>
        </is>
      </c>
      <c r="H1840" s="8" t="n">
        <v>1</v>
      </c>
      <c r="I1840" s="8">
        <f>H1840*$D$3</f>
        <v/>
      </c>
      <c r="J1840" s="8" t="inlineStr">
        <is>
          <t>unité</t>
        </is>
      </c>
      <c r="K1840" s="8" t="n">
        <v>0</v>
      </c>
      <c r="L1840" s="8">
        <f>K1840-I1840</f>
        <v/>
      </c>
      <c r="M1840" s="8">
        <f>IF(K1840&lt;I1840,"✕ INSUFFISANT",IF(K1840&lt;I1840*1.2,"⚠ STOCK FAIBLE","✓ COUVERT"))</f>
        <v/>
      </c>
      <c r="N1840" s="8" t="inlineStr">
        <is>
          <t>DEL</t>
        </is>
      </c>
      <c r="O1840" s="8" t="inlineStr">
        <is>
          <t>CRITIQUE</t>
        </is>
      </c>
      <c r="P1840" s="8" t="inlineStr">
        <is>
          <t>31/08/2026 02:59</t>
        </is>
      </c>
    </row>
    <row r="1841">
      <c r="A1841" s="7" t="inlineStr">
        <is>
          <t>WHAP 8x8</t>
        </is>
      </c>
      <c r="B1841" s="7" t="inlineStr">
        <is>
          <t>WHAP-1837</t>
        </is>
      </c>
      <c r="C1841" s="7" t="inlineStr">
        <is>
          <t>MOT-1837</t>
        </is>
      </c>
      <c r="D1841" s="7" t="inlineStr">
        <is>
          <t>connecteur de axe de piston</t>
        </is>
      </c>
      <c r="E1841" s="7" t="inlineStr">
        <is>
          <t>Moteur</t>
        </is>
      </c>
      <c r="F1841" s="7" t="inlineStr">
        <is>
          <t>Moteur</t>
        </is>
      </c>
      <c r="G1841" s="7" t="inlineStr">
        <is>
          <t>PIECE_VEHICULE</t>
        </is>
      </c>
      <c r="H1841" s="7" t="n">
        <v>1</v>
      </c>
      <c r="I1841" s="7">
        <f>H1841*$D$3</f>
        <v/>
      </c>
      <c r="J1841" s="7" t="inlineStr">
        <is>
          <t>unité</t>
        </is>
      </c>
      <c r="K1841" s="7" t="n">
        <v>0</v>
      </c>
      <c r="L1841" s="7">
        <f>K1841-I1841</f>
        <v/>
      </c>
      <c r="M1841" s="7">
        <f>IF(K1841&lt;I1841,"✕ INSUFFISANT",IF(K1841&lt;I1841*1.2,"⚠ STOCK FAIBLE","✓ COUVERT"))</f>
        <v/>
      </c>
      <c r="N1841" s="7" t="inlineStr">
        <is>
          <t>BOS</t>
        </is>
      </c>
      <c r="O1841" s="7" t="inlineStr">
        <is>
          <t>CRITIQUE</t>
        </is>
      </c>
      <c r="P1841" s="7" t="inlineStr">
        <is>
          <t>31/08/2026 02:59</t>
        </is>
      </c>
    </row>
    <row r="1842">
      <c r="A1842" s="8" t="inlineStr">
        <is>
          <t>WHAP 8x8</t>
        </is>
      </c>
      <c r="B1842" s="8" t="inlineStr">
        <is>
          <t>WHAP-1838</t>
        </is>
      </c>
      <c r="C1842" s="8" t="inlineStr">
        <is>
          <t>MOT-1838</t>
        </is>
      </c>
      <c r="D1842" s="8" t="inlineStr">
        <is>
          <t>joint de axe de piston</t>
        </is>
      </c>
      <c r="E1842" s="8" t="inlineStr">
        <is>
          <t>Moteur</t>
        </is>
      </c>
      <c r="F1842" s="8" t="inlineStr">
        <is>
          <t>Moteur</t>
        </is>
      </c>
      <c r="G1842" s="8" t="inlineStr">
        <is>
          <t>PIECE_VEHICULE</t>
        </is>
      </c>
      <c r="H1842" s="8" t="n">
        <v>1</v>
      </c>
      <c r="I1842" s="8">
        <f>H1842*$D$3</f>
        <v/>
      </c>
      <c r="J1842" s="8" t="inlineStr">
        <is>
          <t>unité</t>
        </is>
      </c>
      <c r="K1842" s="8" t="n">
        <v>0</v>
      </c>
      <c r="L1842" s="8">
        <f>K1842-I1842</f>
        <v/>
      </c>
      <c r="M1842" s="8">
        <f>IF(K1842&lt;I1842,"✕ INSUFFISANT",IF(K1842&lt;I1842*1.2,"⚠ STOCK FAIBLE","✓ COUVERT"))</f>
        <v/>
      </c>
      <c r="N1842" s="8" t="inlineStr">
        <is>
          <t>FAU</t>
        </is>
      </c>
      <c r="O1842" s="8" t="inlineStr">
        <is>
          <t>CRITIQUE</t>
        </is>
      </c>
      <c r="P1842" s="8" t="inlineStr">
        <is>
          <t>31/08/2026 02:59</t>
        </is>
      </c>
    </row>
    <row r="1843">
      <c r="A1843" s="7" t="inlineStr">
        <is>
          <t>WHAP 8x8</t>
        </is>
      </c>
      <c r="B1843" s="7" t="inlineStr">
        <is>
          <t>WHAP-1839</t>
        </is>
      </c>
      <c r="C1843" s="7" t="inlineStr">
        <is>
          <t>MOT-1839</t>
        </is>
      </c>
      <c r="D1843" s="7" t="inlineStr">
        <is>
          <t>fixation de axe de piston</t>
        </is>
      </c>
      <c r="E1843" s="7" t="inlineStr">
        <is>
          <t>Moteur</t>
        </is>
      </c>
      <c r="F1843" s="7" t="inlineStr">
        <is>
          <t>Moteur</t>
        </is>
      </c>
      <c r="G1843" s="7" t="inlineStr">
        <is>
          <t>PIECE_VEHICULE</t>
        </is>
      </c>
      <c r="H1843" s="7" t="n">
        <v>1</v>
      </c>
      <c r="I1843" s="7">
        <f>H1843*$D$3</f>
        <v/>
      </c>
      <c r="J1843" s="7" t="inlineStr">
        <is>
          <t>unité</t>
        </is>
      </c>
      <c r="K1843" s="7" t="n">
        <v>0</v>
      </c>
      <c r="L1843" s="7">
        <f>K1843-I1843</f>
        <v/>
      </c>
      <c r="M1843" s="7">
        <f>IF(K1843&lt;I1843,"✕ INSUFFISANT",IF(K1843&lt;I1843*1.2,"⚠ STOCK FAIBLE","✓ COUVERT"))</f>
        <v/>
      </c>
      <c r="N1843" s="7" t="inlineStr">
        <is>
          <t>BOS</t>
        </is>
      </c>
      <c r="O1843" s="7" t="inlineStr">
        <is>
          <t>CRITIQUE</t>
        </is>
      </c>
      <c r="P1843" s="7" t="inlineStr">
        <is>
          <t>31/08/2026 02:59</t>
        </is>
      </c>
    </row>
    <row r="1844">
      <c r="A1844" s="8" t="inlineStr">
        <is>
          <t>WHAP 8x8</t>
        </is>
      </c>
      <c r="B1844" s="8" t="inlineStr">
        <is>
          <t>WHAP-1840</t>
        </is>
      </c>
      <c r="C1844" s="8" t="inlineStr">
        <is>
          <t>MOT-1840</t>
        </is>
      </c>
      <c r="D1844" s="8" t="inlineStr">
        <is>
          <t>protection de axe de piston</t>
        </is>
      </c>
      <c r="E1844" s="8" t="inlineStr">
        <is>
          <t>Moteur</t>
        </is>
      </c>
      <c r="F1844" s="8" t="inlineStr">
        <is>
          <t>Moteur</t>
        </is>
      </c>
      <c r="G1844" s="8" t="inlineStr">
        <is>
          <t>PIECE_VEHICULE</t>
        </is>
      </c>
      <c r="H1844" s="8" t="n">
        <v>1</v>
      </c>
      <c r="I1844" s="8">
        <f>H1844*$D$3</f>
        <v/>
      </c>
      <c r="J1844" s="8" t="inlineStr">
        <is>
          <t>unité</t>
        </is>
      </c>
      <c r="K1844" s="8" t="n">
        <v>0</v>
      </c>
      <c r="L1844" s="8">
        <f>K1844-I1844</f>
        <v/>
      </c>
      <c r="M1844" s="8">
        <f>IF(K1844&lt;I1844,"✕ INSUFFISANT",IF(K1844&lt;I1844*1.2,"⚠ STOCK FAIBLE","✓ COUVERT"))</f>
        <v/>
      </c>
      <c r="N1844" s="8" t="inlineStr">
        <is>
          <t>CTL</t>
        </is>
      </c>
      <c r="O1844" s="8" t="inlineStr">
        <is>
          <t>CRITIQUE</t>
        </is>
      </c>
      <c r="P1844" s="8" t="inlineStr">
        <is>
          <t>31/08/2026 02:59</t>
        </is>
      </c>
    </row>
    <row r="1845">
      <c r="A1845" s="7" t="inlineStr">
        <is>
          <t>WHAP 8x8</t>
        </is>
      </c>
      <c r="B1845" s="7" t="inlineStr">
        <is>
          <t>WHAP-1841</t>
        </is>
      </c>
      <c r="C1845" s="7" t="inlineStr">
        <is>
          <t>MOT-1841</t>
        </is>
      </c>
      <c r="D1845" s="7" t="inlineStr">
        <is>
          <t>capteur de axe de piston</t>
        </is>
      </c>
      <c r="E1845" s="7" t="inlineStr">
        <is>
          <t>Moteur</t>
        </is>
      </c>
      <c r="F1845" s="7" t="inlineStr">
        <is>
          <t>Moteur</t>
        </is>
      </c>
      <c r="G1845" s="7" t="inlineStr">
        <is>
          <t>PIECE_VEHICULE</t>
        </is>
      </c>
      <c r="H1845" s="7" t="n">
        <v>1</v>
      </c>
      <c r="I1845" s="7">
        <f>H1845*$D$3</f>
        <v/>
      </c>
      <c r="J1845" s="7" t="inlineStr">
        <is>
          <t>unité</t>
        </is>
      </c>
      <c r="K1845" s="7" t="n">
        <v>0</v>
      </c>
      <c r="L1845" s="7">
        <f>K1845-I1845</f>
        <v/>
      </c>
      <c r="M1845" s="7">
        <f>IF(K1845&lt;I1845,"✕ INSUFFISANT",IF(K1845&lt;I1845*1.2,"⚠ STOCK FAIBLE","✓ COUVERT"))</f>
        <v/>
      </c>
      <c r="N1845" s="7" t="inlineStr">
        <is>
          <t>HEL</t>
        </is>
      </c>
      <c r="O1845" s="7" t="inlineStr">
        <is>
          <t>CRITIQUE</t>
        </is>
      </c>
      <c r="P1845" s="7" t="inlineStr">
        <is>
          <t>31/08/2026 02:59</t>
        </is>
      </c>
    </row>
    <row r="1846">
      <c r="A1846" s="8" t="inlineStr">
        <is>
          <t>WHAP 8x8</t>
        </is>
      </c>
      <c r="B1846" s="8" t="inlineStr">
        <is>
          <t>WHAP-1842</t>
        </is>
      </c>
      <c r="C1846" s="8" t="inlineStr">
        <is>
          <t>MOT-1842</t>
        </is>
      </c>
      <c r="D1846" s="8" t="inlineStr">
        <is>
          <t>actionneur de axe de piston</t>
        </is>
      </c>
      <c r="E1846" s="8" t="inlineStr">
        <is>
          <t>Moteur</t>
        </is>
      </c>
      <c r="F1846" s="8" t="inlineStr">
        <is>
          <t>Moteur</t>
        </is>
      </c>
      <c r="G1846" s="8" t="inlineStr">
        <is>
          <t>PIECE_VEHICULE</t>
        </is>
      </c>
      <c r="H1846" s="8" t="n">
        <v>1</v>
      </c>
      <c r="I1846" s="8">
        <f>H1846*$D$3</f>
        <v/>
      </c>
      <c r="J1846" s="8" t="inlineStr">
        <is>
          <t>unité</t>
        </is>
      </c>
      <c r="K1846" s="8" t="n">
        <v>0</v>
      </c>
      <c r="L1846" s="8">
        <f>K1846-I1846</f>
        <v/>
      </c>
      <c r="M1846" s="8">
        <f>IF(K1846&lt;I1846,"✕ INSUFFISANT",IF(K1846&lt;I1846*1.2,"⚠ STOCK FAIBLE","✓ COUVERT"))</f>
        <v/>
      </c>
      <c r="N1846" s="8" t="inlineStr">
        <is>
          <t>DEL</t>
        </is>
      </c>
      <c r="O1846" s="8" t="inlineStr">
        <is>
          <t>CRITIQUE</t>
        </is>
      </c>
      <c r="P1846" s="8" t="inlineStr">
        <is>
          <t>31/08/2026 02:59</t>
        </is>
      </c>
    </row>
    <row r="1847">
      <c r="A1847" s="7" t="inlineStr">
        <is>
          <t>WHAP 8x8</t>
        </is>
      </c>
      <c r="B1847" s="7" t="inlineStr">
        <is>
          <t>WHAP-1843</t>
        </is>
      </c>
      <c r="C1847" s="7" t="inlineStr">
        <is>
          <t>MOT-1843</t>
        </is>
      </c>
      <c r="D1847" s="7" t="inlineStr">
        <is>
          <t>raccord de axe de piston</t>
        </is>
      </c>
      <c r="E1847" s="7" t="inlineStr">
        <is>
          <t>Moteur</t>
        </is>
      </c>
      <c r="F1847" s="7" t="inlineStr">
        <is>
          <t>Moteur</t>
        </is>
      </c>
      <c r="G1847" s="7" t="inlineStr">
        <is>
          <t>PIECE_VEHICULE</t>
        </is>
      </c>
      <c r="H1847" s="7" t="n">
        <v>1</v>
      </c>
      <c r="I1847" s="7">
        <f>H1847*$D$3</f>
        <v/>
      </c>
      <c r="J1847" s="7" t="inlineStr">
        <is>
          <t>unité</t>
        </is>
      </c>
      <c r="K1847" s="7" t="n">
        <v>0</v>
      </c>
      <c r="L1847" s="7">
        <f>K1847-I1847</f>
        <v/>
      </c>
      <c r="M1847" s="7">
        <f>IF(K1847&lt;I1847,"✕ INSUFFISANT",IF(K1847&lt;I1847*1.2,"⚠ STOCK FAIBLE","✓ COUVERT"))</f>
        <v/>
      </c>
      <c r="N1847" s="7" t="inlineStr">
        <is>
          <t>HEL</t>
        </is>
      </c>
      <c r="O1847" s="7" t="inlineStr">
        <is>
          <t>CRITIQUE</t>
        </is>
      </c>
      <c r="P1847" s="7" t="inlineStr">
        <is>
          <t>31/08/2026 02:59</t>
        </is>
      </c>
    </row>
    <row r="1848">
      <c r="A1848" s="8" t="inlineStr">
        <is>
          <t>WHAP 8x8</t>
        </is>
      </c>
      <c r="B1848" s="8" t="inlineStr">
        <is>
          <t>WHAP-1844</t>
        </is>
      </c>
      <c r="C1848" s="8" t="inlineStr">
        <is>
          <t>MOT-1844</t>
        </is>
      </c>
      <c r="D1848" s="8" t="inlineStr">
        <is>
          <t>plaque de axe de piston</t>
        </is>
      </c>
      <c r="E1848" s="8" t="inlineStr">
        <is>
          <t>Moteur</t>
        </is>
      </c>
      <c r="F1848" s="8" t="inlineStr">
        <is>
          <t>Moteur</t>
        </is>
      </c>
      <c r="G1848" s="8" t="inlineStr">
        <is>
          <t>PIECE_VEHICULE</t>
        </is>
      </c>
      <c r="H1848" s="8" t="n">
        <v>1</v>
      </c>
      <c r="I1848" s="8">
        <f>H1848*$D$3</f>
        <v/>
      </c>
      <c r="J1848" s="8" t="inlineStr">
        <is>
          <t>unité</t>
        </is>
      </c>
      <c r="K1848" s="8" t="n">
        <v>0</v>
      </c>
      <c r="L1848" s="8">
        <f>K1848-I1848</f>
        <v/>
      </c>
      <c r="M1848" s="8">
        <f>IF(K1848&lt;I1848,"✕ INSUFFISANT",IF(K1848&lt;I1848*1.2,"⚠ STOCK FAIBLE","✓ COUVERT"))</f>
        <v/>
      </c>
      <c r="N1848" s="8" t="inlineStr">
        <is>
          <t>MAG</t>
        </is>
      </c>
      <c r="O1848" s="8" t="inlineStr">
        <is>
          <t>CRITIQUE</t>
        </is>
      </c>
      <c r="P1848" s="8" t="inlineStr">
        <is>
          <t>31/08/2026 02:59</t>
        </is>
      </c>
    </row>
    <row r="1849">
      <c r="A1849" s="7" t="inlineStr">
        <is>
          <t>WHAP 8x8</t>
        </is>
      </c>
      <c r="B1849" s="7" t="inlineStr">
        <is>
          <t>WHAP-1845</t>
        </is>
      </c>
      <c r="C1849" s="7" t="inlineStr">
        <is>
          <t>MOT-1845</t>
        </is>
      </c>
      <c r="D1849" s="7" t="inlineStr">
        <is>
          <t>couvercle de axe de piston</t>
        </is>
      </c>
      <c r="E1849" s="7" t="inlineStr">
        <is>
          <t>Moteur</t>
        </is>
      </c>
      <c r="F1849" s="7" t="inlineStr">
        <is>
          <t>Moteur</t>
        </is>
      </c>
      <c r="G1849" s="7" t="inlineStr">
        <is>
          <t>PIECE_VEHICULE</t>
        </is>
      </c>
      <c r="H1849" s="7" t="n">
        <v>1</v>
      </c>
      <c r="I1849" s="7">
        <f>H1849*$D$3</f>
        <v/>
      </c>
      <c r="J1849" s="7" t="inlineStr">
        <is>
          <t>unité</t>
        </is>
      </c>
      <c r="K1849" s="7" t="n">
        <v>0</v>
      </c>
      <c r="L1849" s="7">
        <f>K1849-I1849</f>
        <v/>
      </c>
      <c r="M1849" s="7">
        <f>IF(K1849&lt;I1849,"✕ INSUFFISANT",IF(K1849&lt;I1849*1.2,"⚠ STOCK FAIBLE","✓ COUVERT"))</f>
        <v/>
      </c>
      <c r="N1849" s="7" t="inlineStr">
        <is>
          <t>BOS</t>
        </is>
      </c>
      <c r="O1849" s="7" t="inlineStr">
        <is>
          <t>CRITIQUE</t>
        </is>
      </c>
      <c r="P1849" s="7" t="inlineStr">
        <is>
          <t>31/08/2026 02:59</t>
        </is>
      </c>
    </row>
    <row r="1850">
      <c r="A1850" s="8" t="inlineStr">
        <is>
          <t>WHAP 8x8</t>
        </is>
      </c>
      <c r="B1850" s="8" t="inlineStr">
        <is>
          <t>WHAP-1846</t>
        </is>
      </c>
      <c r="C1850" s="8" t="inlineStr">
        <is>
          <t>MOT-1846</t>
        </is>
      </c>
      <c r="D1850" s="8" t="inlineStr">
        <is>
          <t>bague de axe de piston</t>
        </is>
      </c>
      <c r="E1850" s="8" t="inlineStr">
        <is>
          <t>Moteur</t>
        </is>
      </c>
      <c r="F1850" s="8" t="inlineStr">
        <is>
          <t>Moteur</t>
        </is>
      </c>
      <c r="G1850" s="8" t="inlineStr">
        <is>
          <t>PIECE_VEHICULE</t>
        </is>
      </c>
      <c r="H1850" s="8" t="n">
        <v>1</v>
      </c>
      <c r="I1850" s="8">
        <f>H1850*$D$3</f>
        <v/>
      </c>
      <c r="J1850" s="8" t="inlineStr">
        <is>
          <t>unité</t>
        </is>
      </c>
      <c r="K1850" s="8" t="n">
        <v>0</v>
      </c>
      <c r="L1850" s="8">
        <f>K1850-I1850</f>
        <v/>
      </c>
      <c r="M1850" s="8">
        <f>IF(K1850&lt;I1850,"✕ INSUFFISANT",IF(K1850&lt;I1850*1.2,"⚠ STOCK FAIBLE","✓ COUVERT"))</f>
        <v/>
      </c>
      <c r="N1850" s="8" t="inlineStr">
        <is>
          <t>HEL</t>
        </is>
      </c>
      <c r="O1850" s="8" t="inlineStr">
        <is>
          <t>CRITIQUE</t>
        </is>
      </c>
      <c r="P1850" s="8" t="inlineStr">
        <is>
          <t>31/08/2026 02:59</t>
        </is>
      </c>
    </row>
    <row r="1851">
      <c r="A1851" s="7" t="inlineStr">
        <is>
          <t>WHAP 8x8</t>
        </is>
      </c>
      <c r="B1851" s="7" t="inlineStr">
        <is>
          <t>WHAP-1847</t>
        </is>
      </c>
      <c r="C1851" s="7" t="inlineStr">
        <is>
          <t>MOT-1847</t>
        </is>
      </c>
      <c r="D1851" s="7" t="inlineStr">
        <is>
          <t>entretoise de axe de piston</t>
        </is>
      </c>
      <c r="E1851" s="7" t="inlineStr">
        <is>
          <t>Moteur</t>
        </is>
      </c>
      <c r="F1851" s="7" t="inlineStr">
        <is>
          <t>Moteur</t>
        </is>
      </c>
      <c r="G1851" s="7" t="inlineStr">
        <is>
          <t>PIECE_VEHICULE</t>
        </is>
      </c>
      <c r="H1851" s="7" t="n">
        <v>1</v>
      </c>
      <c r="I1851" s="7">
        <f>H1851*$D$3</f>
        <v/>
      </c>
      <c r="J1851" s="7" t="inlineStr">
        <is>
          <t>unité</t>
        </is>
      </c>
      <c r="K1851" s="7" t="n">
        <v>0</v>
      </c>
      <c r="L1851" s="7">
        <f>K1851-I1851</f>
        <v/>
      </c>
      <c r="M1851" s="7">
        <f>IF(K1851&lt;I1851,"✕ INSUFFISANT",IF(K1851&lt;I1851*1.2,"⚠ STOCK FAIBLE","✓ COUVERT"))</f>
        <v/>
      </c>
      <c r="N1851" s="7" t="inlineStr">
        <is>
          <t>CTL</t>
        </is>
      </c>
      <c r="O1851" s="7" t="inlineStr">
        <is>
          <t>CRITIQUE</t>
        </is>
      </c>
      <c r="P1851" s="7" t="inlineStr">
        <is>
          <t>31/08/2026 02:59</t>
        </is>
      </c>
    </row>
    <row r="1852">
      <c r="A1852" s="8" t="inlineStr">
        <is>
          <t>WHAP 8x8</t>
        </is>
      </c>
      <c r="B1852" s="8" t="inlineStr">
        <is>
          <t>WHAP-1848</t>
        </is>
      </c>
      <c r="C1852" s="8" t="inlineStr">
        <is>
          <t>MOT-1848</t>
        </is>
      </c>
      <c r="D1852" s="8" t="inlineStr">
        <is>
          <t>axe de axe de piston</t>
        </is>
      </c>
      <c r="E1852" s="8" t="inlineStr">
        <is>
          <t>Moteur</t>
        </is>
      </c>
      <c r="F1852" s="8" t="inlineStr">
        <is>
          <t>Moteur</t>
        </is>
      </c>
      <c r="G1852" s="8" t="inlineStr">
        <is>
          <t>PIECE_VEHICULE</t>
        </is>
      </c>
      <c r="H1852" s="8" t="n">
        <v>1</v>
      </c>
      <c r="I1852" s="8">
        <f>H1852*$D$3</f>
        <v/>
      </c>
      <c r="J1852" s="8" t="inlineStr">
        <is>
          <t>unité</t>
        </is>
      </c>
      <c r="K1852" s="8" t="n">
        <v>0</v>
      </c>
      <c r="L1852" s="8">
        <f>K1852-I1852</f>
        <v/>
      </c>
      <c r="M1852" s="8">
        <f>IF(K1852&lt;I1852,"✕ INSUFFISANT",IF(K1852&lt;I1852*1.2,"⚠ STOCK FAIBLE","✓ COUVERT"))</f>
        <v/>
      </c>
      <c r="N1852" s="8" t="inlineStr">
        <is>
          <t>VAL</t>
        </is>
      </c>
      <c r="O1852" s="8" t="inlineStr">
        <is>
          <t>CRITIQUE</t>
        </is>
      </c>
      <c r="P1852" s="8" t="inlineStr">
        <is>
          <t>31/08/2026 02:59</t>
        </is>
      </c>
    </row>
    <row r="1853">
      <c r="A1853" s="7" t="inlineStr">
        <is>
          <t>WHAP 8x8</t>
        </is>
      </c>
      <c r="B1853" s="7" t="inlineStr">
        <is>
          <t>WHAP-1849</t>
        </is>
      </c>
      <c r="C1853" s="7" t="inlineStr">
        <is>
          <t>MOT-1849</t>
        </is>
      </c>
      <c r="D1853" s="7" t="inlineStr">
        <is>
          <t>poulie de axe de piston</t>
        </is>
      </c>
      <c r="E1853" s="7" t="inlineStr">
        <is>
          <t>Moteur</t>
        </is>
      </c>
      <c r="F1853" s="7" t="inlineStr">
        <is>
          <t>Moteur</t>
        </is>
      </c>
      <c r="G1853" s="7" t="inlineStr">
        <is>
          <t>PIECE_VEHICULE</t>
        </is>
      </c>
      <c r="H1853" s="7" t="n">
        <v>1</v>
      </c>
      <c r="I1853" s="7">
        <f>H1853*$D$3</f>
        <v/>
      </c>
      <c r="J1853" s="7" t="inlineStr">
        <is>
          <t>unité</t>
        </is>
      </c>
      <c r="K1853" s="7" t="n">
        <v>0</v>
      </c>
      <c r="L1853" s="7">
        <f>K1853-I1853</f>
        <v/>
      </c>
      <c r="M1853" s="7">
        <f>IF(K1853&lt;I1853,"✕ INSUFFISANT",IF(K1853&lt;I1853*1.2,"⚠ STOCK FAIBLE","✓ COUVERT"))</f>
        <v/>
      </c>
      <c r="N1853" s="7" t="inlineStr">
        <is>
          <t>YZK</t>
        </is>
      </c>
      <c r="O1853" s="7" t="inlineStr">
        <is>
          <t>CRITIQUE</t>
        </is>
      </c>
      <c r="P1853" s="7" t="inlineStr">
        <is>
          <t>31/08/2026 02:59</t>
        </is>
      </c>
    </row>
    <row r="1854">
      <c r="A1854" s="8" t="inlineStr">
        <is>
          <t>WHAP 8x8</t>
        </is>
      </c>
      <c r="B1854" s="8" t="inlineStr">
        <is>
          <t>WHAP-1850</t>
        </is>
      </c>
      <c r="C1854" s="8" t="inlineStr">
        <is>
          <t>MOT-1850</t>
        </is>
      </c>
      <c r="D1854" s="8" t="inlineStr">
        <is>
          <t>pignon de axe de piston</t>
        </is>
      </c>
      <c r="E1854" s="8" t="inlineStr">
        <is>
          <t>Moteur</t>
        </is>
      </c>
      <c r="F1854" s="8" t="inlineStr">
        <is>
          <t>Moteur</t>
        </is>
      </c>
      <c r="G1854" s="8" t="inlineStr">
        <is>
          <t>PIECE_VEHICULE</t>
        </is>
      </c>
      <c r="H1854" s="8" t="n">
        <v>1</v>
      </c>
      <c r="I1854" s="8">
        <f>H1854*$D$3</f>
        <v/>
      </c>
      <c r="J1854" s="8" t="inlineStr">
        <is>
          <t>unité</t>
        </is>
      </c>
      <c r="K1854" s="8" t="n">
        <v>0</v>
      </c>
      <c r="L1854" s="8">
        <f>K1854-I1854</f>
        <v/>
      </c>
      <c r="M1854" s="8">
        <f>IF(K1854&lt;I1854,"✕ INSUFFISANT",IF(K1854&lt;I1854*1.2,"⚠ STOCK FAIBLE","✓ COUVERT"))</f>
        <v/>
      </c>
      <c r="N1854" s="8" t="inlineStr">
        <is>
          <t>HEL</t>
        </is>
      </c>
      <c r="O1854" s="8" t="inlineStr">
        <is>
          <t>CRITIQUE</t>
        </is>
      </c>
      <c r="P1854" s="8" t="inlineStr">
        <is>
          <t>31/08/2026 02:59</t>
        </is>
      </c>
    </row>
    <row r="1855">
      <c r="A1855" s="7" t="inlineStr">
        <is>
          <t>WHAP 8x8</t>
        </is>
      </c>
      <c r="B1855" s="7" t="inlineStr">
        <is>
          <t>WHAP-1851</t>
        </is>
      </c>
      <c r="C1855" s="7" t="inlineStr">
        <is>
          <t>MOT-1851</t>
        </is>
      </c>
      <c r="D1855" s="7" t="inlineStr">
        <is>
          <t>ensemble de chemise de cylindre</t>
        </is>
      </c>
      <c r="E1855" s="7" t="inlineStr">
        <is>
          <t>Moteur</t>
        </is>
      </c>
      <c r="F1855" s="7" t="inlineStr">
        <is>
          <t>Moteur</t>
        </is>
      </c>
      <c r="G1855" s="7" t="inlineStr">
        <is>
          <t>PIECE_VEHICULE</t>
        </is>
      </c>
      <c r="H1855" s="7" t="n">
        <v>1</v>
      </c>
      <c r="I1855" s="7">
        <f>H1855*$D$3</f>
        <v/>
      </c>
      <c r="J1855" s="7" t="inlineStr">
        <is>
          <t>unité</t>
        </is>
      </c>
      <c r="K1855" s="7" t="n">
        <v>0</v>
      </c>
      <c r="L1855" s="7">
        <f>K1855-I1855</f>
        <v/>
      </c>
      <c r="M1855" s="7">
        <f>IF(K1855&lt;I1855,"✕ INSUFFISANT",IF(K1855&lt;I1855*1.2,"⚠ STOCK FAIBLE","✓ COUVERT"))</f>
        <v/>
      </c>
      <c r="N1855" s="7" t="inlineStr">
        <is>
          <t>HEL</t>
        </is>
      </c>
      <c r="O1855" s="7" t="inlineStr">
        <is>
          <t>CRITIQUE</t>
        </is>
      </c>
      <c r="P1855" s="7" t="inlineStr">
        <is>
          <t>31/08/2026 02:59</t>
        </is>
      </c>
    </row>
    <row r="1856">
      <c r="A1856" s="8" t="inlineStr">
        <is>
          <t>WHAP 8x8</t>
        </is>
      </c>
      <c r="B1856" s="8" t="inlineStr">
        <is>
          <t>WHAP-1852</t>
        </is>
      </c>
      <c r="C1856" s="8" t="inlineStr">
        <is>
          <t>MOT-1852</t>
        </is>
      </c>
      <c r="D1856" s="8" t="inlineStr">
        <is>
          <t>kit de chemise de cylindre</t>
        </is>
      </c>
      <c r="E1856" s="8" t="inlineStr">
        <is>
          <t>Moteur</t>
        </is>
      </c>
      <c r="F1856" s="8" t="inlineStr">
        <is>
          <t>Moteur</t>
        </is>
      </c>
      <c r="G1856" s="8" t="inlineStr">
        <is>
          <t>PIECE_VEHICULE</t>
        </is>
      </c>
      <c r="H1856" s="8" t="n">
        <v>1</v>
      </c>
      <c r="I1856" s="8">
        <f>H1856*$D$3</f>
        <v/>
      </c>
      <c r="J1856" s="8" t="inlineStr">
        <is>
          <t>unité</t>
        </is>
      </c>
      <c r="K1856" s="8" t="n">
        <v>0</v>
      </c>
      <c r="L1856" s="8">
        <f>K1856-I1856</f>
        <v/>
      </c>
      <c r="M1856" s="8">
        <f>IF(K1856&lt;I1856,"✕ INSUFFISANT",IF(K1856&lt;I1856*1.2,"⚠ STOCK FAIBLE","✓ COUVERT"))</f>
        <v/>
      </c>
      <c r="N1856" s="8" t="inlineStr">
        <is>
          <t>CTL</t>
        </is>
      </c>
      <c r="O1856" s="8" t="inlineStr">
        <is>
          <t>CRITIQUE</t>
        </is>
      </c>
      <c r="P1856" s="8" t="inlineStr">
        <is>
          <t>31/08/2026 02:59</t>
        </is>
      </c>
    </row>
    <row r="1857">
      <c r="A1857" s="7" t="inlineStr">
        <is>
          <t>WHAP 8x8</t>
        </is>
      </c>
      <c r="B1857" s="7" t="inlineStr">
        <is>
          <t>WHAP-1853</t>
        </is>
      </c>
      <c r="C1857" s="7" t="inlineStr">
        <is>
          <t>MOT-1853</t>
        </is>
      </c>
      <c r="D1857" s="7" t="inlineStr">
        <is>
          <t>support de chemise de cylindre</t>
        </is>
      </c>
      <c r="E1857" s="7" t="inlineStr">
        <is>
          <t>Moteur</t>
        </is>
      </c>
      <c r="F1857" s="7" t="inlineStr">
        <is>
          <t>Moteur</t>
        </is>
      </c>
      <c r="G1857" s="7" t="inlineStr">
        <is>
          <t>PIECE_VEHICULE</t>
        </is>
      </c>
      <c r="H1857" s="7" t="n">
        <v>1</v>
      </c>
      <c r="I1857" s="7">
        <f>H1857*$D$3</f>
        <v/>
      </c>
      <c r="J1857" s="7" t="inlineStr">
        <is>
          <t>unité</t>
        </is>
      </c>
      <c r="K1857" s="7" t="n">
        <v>0</v>
      </c>
      <c r="L1857" s="7">
        <f>K1857-I1857</f>
        <v/>
      </c>
      <c r="M1857" s="7">
        <f>IF(K1857&lt;I1857,"✕ INSUFFISANT",IF(K1857&lt;I1857*1.2,"⚠ STOCK FAIBLE","✓ COUVERT"))</f>
        <v/>
      </c>
      <c r="N1857" s="7" t="inlineStr">
        <is>
          <t>MAG</t>
        </is>
      </c>
      <c r="O1857" s="7" t="inlineStr">
        <is>
          <t>CRITIQUE</t>
        </is>
      </c>
      <c r="P1857" s="7" t="inlineStr">
        <is>
          <t>31/08/2026 02:59</t>
        </is>
      </c>
    </row>
    <row r="1858">
      <c r="A1858" s="8" t="inlineStr">
        <is>
          <t>WHAP 8x8</t>
        </is>
      </c>
      <c r="B1858" s="8" t="inlineStr">
        <is>
          <t>WHAP-1854</t>
        </is>
      </c>
      <c r="C1858" s="8" t="inlineStr">
        <is>
          <t>MOT-1854</t>
        </is>
      </c>
      <c r="D1858" s="8" t="inlineStr">
        <is>
          <t>boîtier de chemise de cylindre</t>
        </is>
      </c>
      <c r="E1858" s="8" t="inlineStr">
        <is>
          <t>Moteur</t>
        </is>
      </c>
      <c r="F1858" s="8" t="inlineStr">
        <is>
          <t>Moteur</t>
        </is>
      </c>
      <c r="G1858" s="8" t="inlineStr">
        <is>
          <t>PIECE_VEHICULE</t>
        </is>
      </c>
      <c r="H1858" s="8" t="n">
        <v>1</v>
      </c>
      <c r="I1858" s="8">
        <f>H1858*$D$3</f>
        <v/>
      </c>
      <c r="J1858" s="8" t="inlineStr">
        <is>
          <t>unité</t>
        </is>
      </c>
      <c r="K1858" s="8" t="n">
        <v>0</v>
      </c>
      <c r="L1858" s="8">
        <f>K1858-I1858</f>
        <v/>
      </c>
      <c r="M1858" s="8">
        <f>IF(K1858&lt;I1858,"✕ INSUFFISANT",IF(K1858&lt;I1858*1.2,"⚠ STOCK FAIBLE","✓ COUVERT"))</f>
        <v/>
      </c>
      <c r="N1858" s="8" t="inlineStr">
        <is>
          <t>CTL</t>
        </is>
      </c>
      <c r="O1858" s="8" t="inlineStr">
        <is>
          <t>CRITIQUE</t>
        </is>
      </c>
      <c r="P1858" s="8" t="inlineStr">
        <is>
          <t>31/08/2026 02:59</t>
        </is>
      </c>
    </row>
    <row r="1859">
      <c r="A1859" s="7" t="inlineStr">
        <is>
          <t>WHAP 8x8</t>
        </is>
      </c>
      <c r="B1859" s="7" t="inlineStr">
        <is>
          <t>WHAP-1855</t>
        </is>
      </c>
      <c r="C1859" s="7" t="inlineStr">
        <is>
          <t>MOT-1855</t>
        </is>
      </c>
      <c r="D1859" s="7" t="inlineStr">
        <is>
          <t>module de chemise de cylindre</t>
        </is>
      </c>
      <c r="E1859" s="7" t="inlineStr">
        <is>
          <t>Moteur</t>
        </is>
      </c>
      <c r="F1859" s="7" t="inlineStr">
        <is>
          <t>Moteur</t>
        </is>
      </c>
      <c r="G1859" s="7" t="inlineStr">
        <is>
          <t>PIECE_VEHICULE</t>
        </is>
      </c>
      <c r="H1859" s="7" t="n">
        <v>1</v>
      </c>
      <c r="I1859" s="7">
        <f>H1859*$D$3</f>
        <v/>
      </c>
      <c r="J1859" s="7" t="inlineStr">
        <is>
          <t>unité</t>
        </is>
      </c>
      <c r="K1859" s="7" t="n">
        <v>0</v>
      </c>
      <c r="L1859" s="7">
        <f>K1859-I1859</f>
        <v/>
      </c>
      <c r="M1859" s="7">
        <f>IF(K1859&lt;I1859,"✕ INSUFFISANT",IF(K1859&lt;I1859*1.2,"⚠ STOCK FAIBLE","✓ COUVERT"))</f>
        <v/>
      </c>
      <c r="N1859" s="7" t="inlineStr">
        <is>
          <t>YZK</t>
        </is>
      </c>
      <c r="O1859" s="7" t="inlineStr">
        <is>
          <t>CRITIQUE</t>
        </is>
      </c>
      <c r="P1859" s="7" t="inlineStr">
        <is>
          <t>31/08/2026 02:59</t>
        </is>
      </c>
    </row>
    <row r="1860">
      <c r="A1860" s="8" t="inlineStr">
        <is>
          <t>WHAP 8x8</t>
        </is>
      </c>
      <c r="B1860" s="8" t="inlineStr">
        <is>
          <t>WHAP-1856</t>
        </is>
      </c>
      <c r="C1860" s="8" t="inlineStr">
        <is>
          <t>MOT-1856</t>
        </is>
      </c>
      <c r="D1860" s="8" t="inlineStr">
        <is>
          <t>câblage de chemise de cylindre</t>
        </is>
      </c>
      <c r="E1860" s="8" t="inlineStr">
        <is>
          <t>Moteur</t>
        </is>
      </c>
      <c r="F1860" s="8" t="inlineStr">
        <is>
          <t>Moteur</t>
        </is>
      </c>
      <c r="G1860" s="8" t="inlineStr">
        <is>
          <t>PIECE_VEHICULE</t>
        </is>
      </c>
      <c r="H1860" s="8" t="n">
        <v>1</v>
      </c>
      <c r="I1860" s="8">
        <f>H1860*$D$3</f>
        <v/>
      </c>
      <c r="J1860" s="8" t="inlineStr">
        <is>
          <t>unité</t>
        </is>
      </c>
      <c r="K1860" s="8" t="n">
        <v>0</v>
      </c>
      <c r="L1860" s="8">
        <f>K1860-I1860</f>
        <v/>
      </c>
      <c r="M1860" s="8">
        <f>IF(K1860&lt;I1860,"✕ INSUFFISANT",IF(K1860&lt;I1860*1.2,"⚠ STOCK FAIBLE","✓ COUVERT"))</f>
        <v/>
      </c>
      <c r="N1860" s="8" t="inlineStr">
        <is>
          <t>CTL</t>
        </is>
      </c>
      <c r="O1860" s="8" t="inlineStr">
        <is>
          <t>CRITIQUE</t>
        </is>
      </c>
      <c r="P1860" s="8" t="inlineStr">
        <is>
          <t>31/08/2026 02:59</t>
        </is>
      </c>
    </row>
    <row r="1861">
      <c r="A1861" s="7" t="inlineStr">
        <is>
          <t>WHAP 8x8</t>
        </is>
      </c>
      <c r="B1861" s="7" t="inlineStr">
        <is>
          <t>WHAP-1857</t>
        </is>
      </c>
      <c r="C1861" s="7" t="inlineStr">
        <is>
          <t>MOT-1857</t>
        </is>
      </c>
      <c r="D1861" s="7" t="inlineStr">
        <is>
          <t>connecteur de chemise de cylindre</t>
        </is>
      </c>
      <c r="E1861" s="7" t="inlineStr">
        <is>
          <t>Moteur</t>
        </is>
      </c>
      <c r="F1861" s="7" t="inlineStr">
        <is>
          <t>Moteur</t>
        </is>
      </c>
      <c r="G1861" s="7" t="inlineStr">
        <is>
          <t>PIECE_VEHICULE</t>
        </is>
      </c>
      <c r="H1861" s="7" t="n">
        <v>1</v>
      </c>
      <c r="I1861" s="7">
        <f>H1861*$D$3</f>
        <v/>
      </c>
      <c r="J1861" s="7" t="inlineStr">
        <is>
          <t>unité</t>
        </is>
      </c>
      <c r="K1861" s="7" t="n">
        <v>0</v>
      </c>
      <c r="L1861" s="7">
        <f>K1861-I1861</f>
        <v/>
      </c>
      <c r="M1861" s="7">
        <f>IF(K1861&lt;I1861,"✕ INSUFFISANT",IF(K1861&lt;I1861*1.2,"⚠ STOCK FAIBLE","✓ COUVERT"))</f>
        <v/>
      </c>
      <c r="N1861" s="7" t="inlineStr">
        <is>
          <t>BOS</t>
        </is>
      </c>
      <c r="O1861" s="7" t="inlineStr">
        <is>
          <t>CRITIQUE</t>
        </is>
      </c>
      <c r="P1861" s="7" t="inlineStr">
        <is>
          <t>31/08/2026 02:59</t>
        </is>
      </c>
    </row>
    <row r="1862">
      <c r="A1862" s="8" t="inlineStr">
        <is>
          <t>WHAP 8x8</t>
        </is>
      </c>
      <c r="B1862" s="8" t="inlineStr">
        <is>
          <t>WHAP-1858</t>
        </is>
      </c>
      <c r="C1862" s="8" t="inlineStr">
        <is>
          <t>MOT-1858</t>
        </is>
      </c>
      <c r="D1862" s="8" t="inlineStr">
        <is>
          <t>joint de chemise de cylindre</t>
        </is>
      </c>
      <c r="E1862" s="8" t="inlineStr">
        <is>
          <t>Moteur</t>
        </is>
      </c>
      <c r="F1862" s="8" t="inlineStr">
        <is>
          <t>Moteur</t>
        </is>
      </c>
      <c r="G1862" s="8" t="inlineStr">
        <is>
          <t>PIECE_VEHICULE</t>
        </is>
      </c>
      <c r="H1862" s="8" t="n">
        <v>1</v>
      </c>
      <c r="I1862" s="8">
        <f>H1862*$D$3</f>
        <v/>
      </c>
      <c r="J1862" s="8" t="inlineStr">
        <is>
          <t>unité</t>
        </is>
      </c>
      <c r="K1862" s="8" t="n">
        <v>0</v>
      </c>
      <c r="L1862" s="8">
        <f>K1862-I1862</f>
        <v/>
      </c>
      <c r="M1862" s="8">
        <f>IF(K1862&lt;I1862,"✕ INSUFFISANT",IF(K1862&lt;I1862*1.2,"⚠ STOCK FAIBLE","✓ COUVERT"))</f>
        <v/>
      </c>
      <c r="N1862" s="8" t="inlineStr">
        <is>
          <t>FAU</t>
        </is>
      </c>
      <c r="O1862" s="8" t="inlineStr">
        <is>
          <t>CRITIQUE</t>
        </is>
      </c>
      <c r="P1862" s="8" t="inlineStr">
        <is>
          <t>31/08/2026 02:59</t>
        </is>
      </c>
    </row>
    <row r="1863">
      <c r="A1863" s="7" t="inlineStr">
        <is>
          <t>WHAP 8x8</t>
        </is>
      </c>
      <c r="B1863" s="7" t="inlineStr">
        <is>
          <t>WHAP-1859</t>
        </is>
      </c>
      <c r="C1863" s="7" t="inlineStr">
        <is>
          <t>MOT-1859</t>
        </is>
      </c>
      <c r="D1863" s="7" t="inlineStr">
        <is>
          <t>fixation de chemise de cylindre</t>
        </is>
      </c>
      <c r="E1863" s="7" t="inlineStr">
        <is>
          <t>Moteur</t>
        </is>
      </c>
      <c r="F1863" s="7" t="inlineStr">
        <is>
          <t>Moteur</t>
        </is>
      </c>
      <c r="G1863" s="7" t="inlineStr">
        <is>
          <t>PIECE_VEHICULE</t>
        </is>
      </c>
      <c r="H1863" s="7" t="n">
        <v>1</v>
      </c>
      <c r="I1863" s="7">
        <f>H1863*$D$3</f>
        <v/>
      </c>
      <c r="J1863" s="7" t="inlineStr">
        <is>
          <t>unité</t>
        </is>
      </c>
      <c r="K1863" s="7" t="n">
        <v>0</v>
      </c>
      <c r="L1863" s="7">
        <f>K1863-I1863</f>
        <v/>
      </c>
      <c r="M1863" s="7">
        <f>IF(K1863&lt;I1863,"✕ INSUFFISANT",IF(K1863&lt;I1863*1.2,"⚠ STOCK FAIBLE","✓ COUVERT"))</f>
        <v/>
      </c>
      <c r="N1863" s="7" t="inlineStr">
        <is>
          <t>CTL</t>
        </is>
      </c>
      <c r="O1863" s="7" t="inlineStr">
        <is>
          <t>CRITIQUE</t>
        </is>
      </c>
      <c r="P1863" s="7" t="inlineStr">
        <is>
          <t>31/08/2026 02:59</t>
        </is>
      </c>
    </row>
    <row r="1864">
      <c r="A1864" s="8" t="inlineStr">
        <is>
          <t>WHAP 8x8</t>
        </is>
      </c>
      <c r="B1864" s="8" t="inlineStr">
        <is>
          <t>WHAP-1860</t>
        </is>
      </c>
      <c r="C1864" s="8" t="inlineStr">
        <is>
          <t>MOT-1860</t>
        </is>
      </c>
      <c r="D1864" s="8" t="inlineStr">
        <is>
          <t>protection de chemise de cylindre</t>
        </is>
      </c>
      <c r="E1864" s="8" t="inlineStr">
        <is>
          <t>Moteur</t>
        </is>
      </c>
      <c r="F1864" s="8" t="inlineStr">
        <is>
          <t>Moteur</t>
        </is>
      </c>
      <c r="G1864" s="8" t="inlineStr">
        <is>
          <t>PIECE_VEHICULE</t>
        </is>
      </c>
      <c r="H1864" s="8" t="n">
        <v>1</v>
      </c>
      <c r="I1864" s="8">
        <f>H1864*$D$3</f>
        <v/>
      </c>
      <c r="J1864" s="8" t="inlineStr">
        <is>
          <t>unité</t>
        </is>
      </c>
      <c r="K1864" s="8" t="n">
        <v>0</v>
      </c>
      <c r="L1864" s="8">
        <f>K1864-I1864</f>
        <v/>
      </c>
      <c r="M1864" s="8">
        <f>IF(K1864&lt;I1864,"✕ INSUFFISANT",IF(K1864&lt;I1864*1.2,"⚠ STOCK FAIBLE","✓ COUVERT"))</f>
        <v/>
      </c>
      <c r="N1864" s="8" t="inlineStr">
        <is>
          <t>HEL</t>
        </is>
      </c>
      <c r="O1864" s="8" t="inlineStr">
        <is>
          <t>CRITIQUE</t>
        </is>
      </c>
      <c r="P1864" s="8" t="inlineStr">
        <is>
          <t>31/08/2026 02:59</t>
        </is>
      </c>
    </row>
    <row r="1865">
      <c r="A1865" s="7" t="inlineStr">
        <is>
          <t>WHAP 8x8</t>
        </is>
      </c>
      <c r="B1865" s="7" t="inlineStr">
        <is>
          <t>WHAP-1861</t>
        </is>
      </c>
      <c r="C1865" s="7" t="inlineStr">
        <is>
          <t>MOT-1861</t>
        </is>
      </c>
      <c r="D1865" s="7" t="inlineStr">
        <is>
          <t>capteur de chemise de cylindre</t>
        </is>
      </c>
      <c r="E1865" s="7" t="inlineStr">
        <is>
          <t>Moteur</t>
        </is>
      </c>
      <c r="F1865" s="7" t="inlineStr">
        <is>
          <t>Moteur</t>
        </is>
      </c>
      <c r="G1865" s="7" t="inlineStr">
        <is>
          <t>PIECE_VEHICULE</t>
        </is>
      </c>
      <c r="H1865" s="7" t="n">
        <v>1</v>
      </c>
      <c r="I1865" s="7">
        <f>H1865*$D$3</f>
        <v/>
      </c>
      <c r="J1865" s="7" t="inlineStr">
        <is>
          <t>unité</t>
        </is>
      </c>
      <c r="K1865" s="7" t="n">
        <v>0</v>
      </c>
      <c r="L1865" s="7">
        <f>K1865-I1865</f>
        <v/>
      </c>
      <c r="M1865" s="7">
        <f>IF(K1865&lt;I1865,"✕ INSUFFISANT",IF(K1865&lt;I1865*1.2,"⚠ STOCK FAIBLE","✓ COUVERT"))</f>
        <v/>
      </c>
      <c r="N1865" s="7" t="inlineStr">
        <is>
          <t>VAL</t>
        </is>
      </c>
      <c r="O1865" s="7" t="inlineStr">
        <is>
          <t>CRITIQUE</t>
        </is>
      </c>
      <c r="P1865" s="7" t="inlineStr">
        <is>
          <t>31/08/2026 02:59</t>
        </is>
      </c>
    </row>
    <row r="1866">
      <c r="A1866" s="8" t="inlineStr">
        <is>
          <t>WHAP 8x8</t>
        </is>
      </c>
      <c r="B1866" s="8" t="inlineStr">
        <is>
          <t>WHAP-1862</t>
        </is>
      </c>
      <c r="C1866" s="8" t="inlineStr">
        <is>
          <t>MOT-1862</t>
        </is>
      </c>
      <c r="D1866" s="8" t="inlineStr">
        <is>
          <t>actionneur de chemise de cylindre</t>
        </is>
      </c>
      <c r="E1866" s="8" t="inlineStr">
        <is>
          <t>Moteur</t>
        </is>
      </c>
      <c r="F1866" s="8" t="inlineStr">
        <is>
          <t>Moteur</t>
        </is>
      </c>
      <c r="G1866" s="8" t="inlineStr">
        <is>
          <t>PIECE_VEHICULE</t>
        </is>
      </c>
      <c r="H1866" s="8" t="n">
        <v>1</v>
      </c>
      <c r="I1866" s="8">
        <f>H1866*$D$3</f>
        <v/>
      </c>
      <c r="J1866" s="8" t="inlineStr">
        <is>
          <t>unité</t>
        </is>
      </c>
      <c r="K1866" s="8" t="n">
        <v>0</v>
      </c>
      <c r="L1866" s="8">
        <f>K1866-I1866</f>
        <v/>
      </c>
      <c r="M1866" s="8">
        <f>IF(K1866&lt;I1866,"✕ INSUFFISANT",IF(K1866&lt;I1866*1.2,"⚠ STOCK FAIBLE","✓ COUVERT"))</f>
        <v/>
      </c>
      <c r="N1866" s="8" t="inlineStr">
        <is>
          <t>FAU</t>
        </is>
      </c>
      <c r="O1866" s="8" t="inlineStr">
        <is>
          <t>CRITIQUE</t>
        </is>
      </c>
      <c r="P1866" s="8" t="inlineStr">
        <is>
          <t>31/08/2026 02:59</t>
        </is>
      </c>
    </row>
    <row r="1867">
      <c r="A1867" s="7" t="inlineStr">
        <is>
          <t>WHAP 8x8</t>
        </is>
      </c>
      <c r="B1867" s="7" t="inlineStr">
        <is>
          <t>WHAP-1863</t>
        </is>
      </c>
      <c r="C1867" s="7" t="inlineStr">
        <is>
          <t>MOT-1863</t>
        </is>
      </c>
      <c r="D1867" s="7" t="inlineStr">
        <is>
          <t>raccord de chemise de cylindre</t>
        </is>
      </c>
      <c r="E1867" s="7" t="inlineStr">
        <is>
          <t>Moteur</t>
        </is>
      </c>
      <c r="F1867" s="7" t="inlineStr">
        <is>
          <t>Moteur</t>
        </is>
      </c>
      <c r="G1867" s="7" t="inlineStr">
        <is>
          <t>PIECE_VEHICULE</t>
        </is>
      </c>
      <c r="H1867" s="7" t="n">
        <v>1</v>
      </c>
      <c r="I1867" s="7">
        <f>H1867*$D$3</f>
        <v/>
      </c>
      <c r="J1867" s="7" t="inlineStr">
        <is>
          <t>unité</t>
        </is>
      </c>
      <c r="K1867" s="7" t="n">
        <v>0</v>
      </c>
      <c r="L1867" s="7">
        <f>K1867-I1867</f>
        <v/>
      </c>
      <c r="M1867" s="7">
        <f>IF(K1867&lt;I1867,"✕ INSUFFISANT",IF(K1867&lt;I1867*1.2,"⚠ STOCK FAIBLE","✓ COUVERT"))</f>
        <v/>
      </c>
      <c r="N1867" s="7" t="inlineStr">
        <is>
          <t>SKF</t>
        </is>
      </c>
      <c r="O1867" s="7" t="inlineStr">
        <is>
          <t>CRITIQUE</t>
        </is>
      </c>
      <c r="P1867" s="7" t="inlineStr">
        <is>
          <t>31/08/2026 02:59</t>
        </is>
      </c>
    </row>
    <row r="1868">
      <c r="A1868" s="8" t="inlineStr">
        <is>
          <t>WHAP 8x8</t>
        </is>
      </c>
      <c r="B1868" s="8" t="inlineStr">
        <is>
          <t>WHAP-1864</t>
        </is>
      </c>
      <c r="C1868" s="8" t="inlineStr">
        <is>
          <t>MOT-1864</t>
        </is>
      </c>
      <c r="D1868" s="8" t="inlineStr">
        <is>
          <t>plaque de chemise de cylindre</t>
        </is>
      </c>
      <c r="E1868" s="8" t="inlineStr">
        <is>
          <t>Moteur</t>
        </is>
      </c>
      <c r="F1868" s="8" t="inlineStr">
        <is>
          <t>Moteur</t>
        </is>
      </c>
      <c r="G1868" s="8" t="inlineStr">
        <is>
          <t>PIECE_VEHICULE</t>
        </is>
      </c>
      <c r="H1868" s="8" t="n">
        <v>1</v>
      </c>
      <c r="I1868" s="8">
        <f>H1868*$D$3</f>
        <v/>
      </c>
      <c r="J1868" s="8" t="inlineStr">
        <is>
          <t>unité</t>
        </is>
      </c>
      <c r="K1868" s="8" t="n">
        <v>0</v>
      </c>
      <c r="L1868" s="8">
        <f>K1868-I1868</f>
        <v/>
      </c>
      <c r="M1868" s="8">
        <f>IF(K1868&lt;I1868,"✕ INSUFFISANT",IF(K1868&lt;I1868*1.2,"⚠ STOCK FAIBLE","✓ COUVERT"))</f>
        <v/>
      </c>
      <c r="N1868" s="8" t="inlineStr">
        <is>
          <t>SUM</t>
        </is>
      </c>
      <c r="O1868" s="8" t="inlineStr">
        <is>
          <t>CRITIQUE</t>
        </is>
      </c>
      <c r="P1868" s="8" t="inlineStr">
        <is>
          <t>31/08/2026 02:59</t>
        </is>
      </c>
    </row>
    <row r="1869">
      <c r="A1869" s="7" t="inlineStr">
        <is>
          <t>WHAP 8x8</t>
        </is>
      </c>
      <c r="B1869" s="7" t="inlineStr">
        <is>
          <t>WHAP-1865</t>
        </is>
      </c>
      <c r="C1869" s="7" t="inlineStr">
        <is>
          <t>MOT-1865</t>
        </is>
      </c>
      <c r="D1869" s="7" t="inlineStr">
        <is>
          <t>couvercle de chemise de cylindre</t>
        </is>
      </c>
      <c r="E1869" s="7" t="inlineStr">
        <is>
          <t>Moteur</t>
        </is>
      </c>
      <c r="F1869" s="7" t="inlineStr">
        <is>
          <t>Moteur</t>
        </is>
      </c>
      <c r="G1869" s="7" t="inlineStr">
        <is>
          <t>PIECE_VEHICULE</t>
        </is>
      </c>
      <c r="H1869" s="7" t="n">
        <v>1</v>
      </c>
      <c r="I1869" s="7">
        <f>H1869*$D$3</f>
        <v/>
      </c>
      <c r="J1869" s="7" t="inlineStr">
        <is>
          <t>unité</t>
        </is>
      </c>
      <c r="K1869" s="7" t="n">
        <v>0</v>
      </c>
      <c r="L1869" s="7">
        <f>K1869-I1869</f>
        <v/>
      </c>
      <c r="M1869" s="7">
        <f>IF(K1869&lt;I1869,"✕ INSUFFISANT",IF(K1869&lt;I1869*1.2,"⚠ STOCK FAIBLE","✓ COUVERT"))</f>
        <v/>
      </c>
      <c r="N1869" s="7" t="inlineStr">
        <is>
          <t>FAU</t>
        </is>
      </c>
      <c r="O1869" s="7" t="inlineStr">
        <is>
          <t>CRITIQUE</t>
        </is>
      </c>
      <c r="P1869" s="7" t="inlineStr">
        <is>
          <t>31/08/2026 02:59</t>
        </is>
      </c>
    </row>
    <row r="1870">
      <c r="A1870" s="8" t="inlineStr">
        <is>
          <t>WHAP 8x8</t>
        </is>
      </c>
      <c r="B1870" s="8" t="inlineStr">
        <is>
          <t>WHAP-1866</t>
        </is>
      </c>
      <c r="C1870" s="8" t="inlineStr">
        <is>
          <t>MOT-1866</t>
        </is>
      </c>
      <c r="D1870" s="8" t="inlineStr">
        <is>
          <t>bague de chemise de cylindre</t>
        </is>
      </c>
      <c r="E1870" s="8" t="inlineStr">
        <is>
          <t>Moteur</t>
        </is>
      </c>
      <c r="F1870" s="8" t="inlineStr">
        <is>
          <t>Moteur</t>
        </is>
      </c>
      <c r="G1870" s="8" t="inlineStr">
        <is>
          <t>PIECE_VEHICULE</t>
        </is>
      </c>
      <c r="H1870" s="8" t="n">
        <v>1</v>
      </c>
      <c r="I1870" s="8">
        <f>H1870*$D$3</f>
        <v/>
      </c>
      <c r="J1870" s="8" t="inlineStr">
        <is>
          <t>unité</t>
        </is>
      </c>
      <c r="K1870" s="8" t="n">
        <v>0</v>
      </c>
      <c r="L1870" s="8">
        <f>K1870-I1870</f>
        <v/>
      </c>
      <c r="M1870" s="8">
        <f>IF(K1870&lt;I1870,"✕ INSUFFISANT",IF(K1870&lt;I1870*1.2,"⚠ STOCK FAIBLE","✓ COUVERT"))</f>
        <v/>
      </c>
      <c r="N1870" s="8" t="inlineStr">
        <is>
          <t>MAG</t>
        </is>
      </c>
      <c r="O1870" s="8" t="inlineStr">
        <is>
          <t>CRITIQUE</t>
        </is>
      </c>
      <c r="P1870" s="8" t="inlineStr">
        <is>
          <t>31/08/2026 02:59</t>
        </is>
      </c>
    </row>
    <row r="1871">
      <c r="A1871" s="7" t="inlineStr">
        <is>
          <t>WHAP 8x8</t>
        </is>
      </c>
      <c r="B1871" s="7" t="inlineStr">
        <is>
          <t>WHAP-1867</t>
        </is>
      </c>
      <c r="C1871" s="7" t="inlineStr">
        <is>
          <t>MOT-1867</t>
        </is>
      </c>
      <c r="D1871" s="7" t="inlineStr">
        <is>
          <t>entretoise de chemise de cylindre</t>
        </is>
      </c>
      <c r="E1871" s="7" t="inlineStr">
        <is>
          <t>Moteur</t>
        </is>
      </c>
      <c r="F1871" s="7" t="inlineStr">
        <is>
          <t>Moteur</t>
        </is>
      </c>
      <c r="G1871" s="7" t="inlineStr">
        <is>
          <t>PIECE_VEHICULE</t>
        </is>
      </c>
      <c r="H1871" s="7" t="n">
        <v>1</v>
      </c>
      <c r="I1871" s="7">
        <f>H1871*$D$3</f>
        <v/>
      </c>
      <c r="J1871" s="7" t="inlineStr">
        <is>
          <t>unité</t>
        </is>
      </c>
      <c r="K1871" s="7" t="n">
        <v>0</v>
      </c>
      <c r="L1871" s="7">
        <f>K1871-I1871</f>
        <v/>
      </c>
      <c r="M1871" s="7">
        <f>IF(K1871&lt;I1871,"✕ INSUFFISANT",IF(K1871&lt;I1871*1.2,"⚠ STOCK FAIBLE","✓ COUVERT"))</f>
        <v/>
      </c>
      <c r="N1871" s="7" t="inlineStr">
        <is>
          <t>FAU</t>
        </is>
      </c>
      <c r="O1871" s="7" t="inlineStr">
        <is>
          <t>CRITIQUE</t>
        </is>
      </c>
      <c r="P1871" s="7" t="inlineStr">
        <is>
          <t>31/08/2026 02:59</t>
        </is>
      </c>
    </row>
    <row r="1872">
      <c r="A1872" s="8" t="inlineStr">
        <is>
          <t>WHAP 8x8</t>
        </is>
      </c>
      <c r="B1872" s="8" t="inlineStr">
        <is>
          <t>WHAP-1868</t>
        </is>
      </c>
      <c r="C1872" s="8" t="inlineStr">
        <is>
          <t>MOT-1868</t>
        </is>
      </c>
      <c r="D1872" s="8" t="inlineStr">
        <is>
          <t>axe de chemise de cylindre</t>
        </is>
      </c>
      <c r="E1872" s="8" t="inlineStr">
        <is>
          <t>Moteur</t>
        </is>
      </c>
      <c r="F1872" s="8" t="inlineStr">
        <is>
          <t>Moteur</t>
        </is>
      </c>
      <c r="G1872" s="8" t="inlineStr">
        <is>
          <t>PIECE_VEHICULE</t>
        </is>
      </c>
      <c r="H1872" s="8" t="n">
        <v>1</v>
      </c>
      <c r="I1872" s="8">
        <f>H1872*$D$3</f>
        <v/>
      </c>
      <c r="J1872" s="8" t="inlineStr">
        <is>
          <t>unité</t>
        </is>
      </c>
      <c r="K1872" s="8" t="n">
        <v>0</v>
      </c>
      <c r="L1872" s="8">
        <f>K1872-I1872</f>
        <v/>
      </c>
      <c r="M1872" s="8">
        <f>IF(K1872&lt;I1872,"✕ INSUFFISANT",IF(K1872&lt;I1872*1.2,"⚠ STOCK FAIBLE","✓ COUVERT"))</f>
        <v/>
      </c>
      <c r="N1872" s="8" t="inlineStr">
        <is>
          <t>YZK</t>
        </is>
      </c>
      <c r="O1872" s="8" t="inlineStr">
        <is>
          <t>CRITIQUE</t>
        </is>
      </c>
      <c r="P1872" s="8" t="inlineStr">
        <is>
          <t>31/08/2026 02:59</t>
        </is>
      </c>
    </row>
    <row r="1873">
      <c r="A1873" s="7" t="inlineStr">
        <is>
          <t>WHAP 8x8</t>
        </is>
      </c>
      <c r="B1873" s="7" t="inlineStr">
        <is>
          <t>WHAP-1869</t>
        </is>
      </c>
      <c r="C1873" s="7" t="inlineStr">
        <is>
          <t>MOT-1869</t>
        </is>
      </c>
      <c r="D1873" s="7" t="inlineStr">
        <is>
          <t>poulie de chemise de cylindre</t>
        </is>
      </c>
      <c r="E1873" s="7" t="inlineStr">
        <is>
          <t>Moteur</t>
        </is>
      </c>
      <c r="F1873" s="7" t="inlineStr">
        <is>
          <t>Moteur</t>
        </is>
      </c>
      <c r="G1873" s="7" t="inlineStr">
        <is>
          <t>PIECE_VEHICULE</t>
        </is>
      </c>
      <c r="H1873" s="7" t="n">
        <v>1</v>
      </c>
      <c r="I1873" s="7">
        <f>H1873*$D$3</f>
        <v/>
      </c>
      <c r="J1873" s="7" t="inlineStr">
        <is>
          <t>unité</t>
        </is>
      </c>
      <c r="K1873" s="7" t="n">
        <v>0</v>
      </c>
      <c r="L1873" s="7">
        <f>K1873-I1873</f>
        <v/>
      </c>
      <c r="M1873" s="7">
        <f>IF(K1873&lt;I1873,"✕ INSUFFISANT",IF(K1873&lt;I1873*1.2,"⚠ STOCK FAIBLE","✓ COUVERT"))</f>
        <v/>
      </c>
      <c r="N1873" s="7" t="inlineStr">
        <is>
          <t>MAG</t>
        </is>
      </c>
      <c r="O1873" s="7" t="inlineStr">
        <is>
          <t>CRITIQUE</t>
        </is>
      </c>
      <c r="P1873" s="7" t="inlineStr">
        <is>
          <t>31/08/2026 02:59</t>
        </is>
      </c>
    </row>
    <row r="1874">
      <c r="A1874" s="8" t="inlineStr">
        <is>
          <t>WHAP 8x8</t>
        </is>
      </c>
      <c r="B1874" s="8" t="inlineStr">
        <is>
          <t>WHAP-1870</t>
        </is>
      </c>
      <c r="C1874" s="8" t="inlineStr">
        <is>
          <t>MOT-1870</t>
        </is>
      </c>
      <c r="D1874" s="8" t="inlineStr">
        <is>
          <t>pignon de chemise de cylindre</t>
        </is>
      </c>
      <c r="E1874" s="8" t="inlineStr">
        <is>
          <t>Moteur</t>
        </is>
      </c>
      <c r="F1874" s="8" t="inlineStr">
        <is>
          <t>Moteur</t>
        </is>
      </c>
      <c r="G1874" s="8" t="inlineStr">
        <is>
          <t>PIECE_VEHICULE</t>
        </is>
      </c>
      <c r="H1874" s="8" t="n">
        <v>1</v>
      </c>
      <c r="I1874" s="8">
        <f>H1874*$D$3</f>
        <v/>
      </c>
      <c r="J1874" s="8" t="inlineStr">
        <is>
          <t>unité</t>
        </is>
      </c>
      <c r="K1874" s="8" t="n">
        <v>0</v>
      </c>
      <c r="L1874" s="8">
        <f>K1874-I1874</f>
        <v/>
      </c>
      <c r="M1874" s="8">
        <f>IF(K1874&lt;I1874,"✕ INSUFFISANT",IF(K1874&lt;I1874*1.2,"⚠ STOCK FAIBLE","✓ COUVERT"))</f>
        <v/>
      </c>
      <c r="N1874" s="8" t="inlineStr">
        <is>
          <t>VAL</t>
        </is>
      </c>
      <c r="O1874" s="8" t="inlineStr">
        <is>
          <t>CRITIQUE</t>
        </is>
      </c>
      <c r="P1874" s="8" t="inlineStr">
        <is>
          <t>31/08/2026 02:59</t>
        </is>
      </c>
    </row>
    <row r="1875">
      <c r="A1875" s="7" t="inlineStr">
        <is>
          <t>WHAP 8x8</t>
        </is>
      </c>
      <c r="B1875" s="7" t="inlineStr">
        <is>
          <t>WHAP-1871</t>
        </is>
      </c>
      <c r="C1875" s="7" t="inlineStr">
        <is>
          <t>MOT-1871</t>
        </is>
      </c>
      <c r="D1875" s="7" t="inlineStr">
        <is>
          <t>ensemble de arbre à cames</t>
        </is>
      </c>
      <c r="E1875" s="7" t="inlineStr">
        <is>
          <t>Moteur</t>
        </is>
      </c>
      <c r="F1875" s="7" t="inlineStr">
        <is>
          <t>Moteur</t>
        </is>
      </c>
      <c r="G1875" s="7" t="inlineStr">
        <is>
          <t>PIECE_VEHICULE</t>
        </is>
      </c>
      <c r="H1875" s="7" t="n">
        <v>1</v>
      </c>
      <c r="I1875" s="7">
        <f>H1875*$D$3</f>
        <v/>
      </c>
      <c r="J1875" s="7" t="inlineStr">
        <is>
          <t>unité</t>
        </is>
      </c>
      <c r="K1875" s="7" t="n">
        <v>0</v>
      </c>
      <c r="L1875" s="7">
        <f>K1875-I1875</f>
        <v/>
      </c>
      <c r="M1875" s="7">
        <f>IF(K1875&lt;I1875,"✕ INSUFFISANT",IF(K1875&lt;I1875*1.2,"⚠ STOCK FAIBLE","✓ COUVERT"))</f>
        <v/>
      </c>
      <c r="N1875" s="7" t="inlineStr">
        <is>
          <t>CTL</t>
        </is>
      </c>
      <c r="O1875" s="7" t="inlineStr">
        <is>
          <t>CRITIQUE</t>
        </is>
      </c>
      <c r="P1875" s="7" t="inlineStr">
        <is>
          <t>31/08/2026 02:59</t>
        </is>
      </c>
    </row>
    <row r="1876">
      <c r="A1876" s="8" t="inlineStr">
        <is>
          <t>WHAP 8x8</t>
        </is>
      </c>
      <c r="B1876" s="8" t="inlineStr">
        <is>
          <t>WHAP-1872</t>
        </is>
      </c>
      <c r="C1876" s="8" t="inlineStr">
        <is>
          <t>MOT-1872</t>
        </is>
      </c>
      <c r="D1876" s="8" t="inlineStr">
        <is>
          <t>kit de arbre à cames</t>
        </is>
      </c>
      <c r="E1876" s="8" t="inlineStr">
        <is>
          <t>Moteur</t>
        </is>
      </c>
      <c r="F1876" s="8" t="inlineStr">
        <is>
          <t>Moteur</t>
        </is>
      </c>
      <c r="G1876" s="8" t="inlineStr">
        <is>
          <t>PIECE_VEHICULE</t>
        </is>
      </c>
      <c r="H1876" s="8" t="n">
        <v>1</v>
      </c>
      <c r="I1876" s="8">
        <f>H1876*$D$3</f>
        <v/>
      </c>
      <c r="J1876" s="8" t="inlineStr">
        <is>
          <t>unité</t>
        </is>
      </c>
      <c r="K1876" s="8" t="n">
        <v>0</v>
      </c>
      <c r="L1876" s="8">
        <f>K1876-I1876</f>
        <v/>
      </c>
      <c r="M1876" s="8">
        <f>IF(K1876&lt;I1876,"✕ INSUFFISANT",IF(K1876&lt;I1876*1.2,"⚠ STOCK FAIBLE","✓ COUVERT"))</f>
        <v/>
      </c>
      <c r="N1876" s="8" t="inlineStr">
        <is>
          <t>FAU</t>
        </is>
      </c>
      <c r="O1876" s="8" t="inlineStr">
        <is>
          <t>CRITIQUE</t>
        </is>
      </c>
      <c r="P1876" s="8" t="inlineStr">
        <is>
          <t>31/08/2026 02:59</t>
        </is>
      </c>
    </row>
    <row r="1877">
      <c r="A1877" s="7" t="inlineStr">
        <is>
          <t>WHAP 8x8</t>
        </is>
      </c>
      <c r="B1877" s="7" t="inlineStr">
        <is>
          <t>WHAP-1873</t>
        </is>
      </c>
      <c r="C1877" s="7" t="inlineStr">
        <is>
          <t>MOT-1873</t>
        </is>
      </c>
      <c r="D1877" s="7" t="inlineStr">
        <is>
          <t>support de arbre à cames</t>
        </is>
      </c>
      <c r="E1877" s="7" t="inlineStr">
        <is>
          <t>Moteur</t>
        </is>
      </c>
      <c r="F1877" s="7" t="inlineStr">
        <is>
          <t>Moteur</t>
        </is>
      </c>
      <c r="G1877" s="7" t="inlineStr">
        <is>
          <t>PIECE_VEHICULE</t>
        </is>
      </c>
      <c r="H1877" s="7" t="n">
        <v>1</v>
      </c>
      <c r="I1877" s="7">
        <f>H1877*$D$3</f>
        <v/>
      </c>
      <c r="J1877" s="7" t="inlineStr">
        <is>
          <t>unité</t>
        </is>
      </c>
      <c r="K1877" s="7" t="n">
        <v>0</v>
      </c>
      <c r="L1877" s="7">
        <f>K1877-I1877</f>
        <v/>
      </c>
      <c r="M1877" s="7">
        <f>IF(K1877&lt;I1877,"✕ INSUFFISANT",IF(K1877&lt;I1877*1.2,"⚠ STOCK FAIBLE","✓ COUVERT"))</f>
        <v/>
      </c>
      <c r="N1877" s="7" t="inlineStr">
        <is>
          <t>DEL</t>
        </is>
      </c>
      <c r="O1877" s="7" t="inlineStr">
        <is>
          <t>CRITIQUE</t>
        </is>
      </c>
      <c r="P1877" s="7" t="inlineStr">
        <is>
          <t>31/08/2026 02:59</t>
        </is>
      </c>
    </row>
    <row r="1878">
      <c r="A1878" s="8" t="inlineStr">
        <is>
          <t>WHAP 8x8</t>
        </is>
      </c>
      <c r="B1878" s="8" t="inlineStr">
        <is>
          <t>WHAP-1874</t>
        </is>
      </c>
      <c r="C1878" s="8" t="inlineStr">
        <is>
          <t>MOT-1874</t>
        </is>
      </c>
      <c r="D1878" s="8" t="inlineStr">
        <is>
          <t>boîtier de arbre à cames</t>
        </is>
      </c>
      <c r="E1878" s="8" t="inlineStr">
        <is>
          <t>Moteur</t>
        </is>
      </c>
      <c r="F1878" s="8" t="inlineStr">
        <is>
          <t>Moteur</t>
        </is>
      </c>
      <c r="G1878" s="8" t="inlineStr">
        <is>
          <t>PIECE_VEHICULE</t>
        </is>
      </c>
      <c r="H1878" s="8" t="n">
        <v>1</v>
      </c>
      <c r="I1878" s="8">
        <f>H1878*$D$3</f>
        <v/>
      </c>
      <c r="J1878" s="8" t="inlineStr">
        <is>
          <t>unité</t>
        </is>
      </c>
      <c r="K1878" s="8" t="n">
        <v>0</v>
      </c>
      <c r="L1878" s="8">
        <f>K1878-I1878</f>
        <v/>
      </c>
      <c r="M1878" s="8">
        <f>IF(K1878&lt;I1878,"✕ INSUFFISANT",IF(K1878&lt;I1878*1.2,"⚠ STOCK FAIBLE","✓ COUVERT"))</f>
        <v/>
      </c>
      <c r="N1878" s="8" t="inlineStr">
        <is>
          <t>SUM</t>
        </is>
      </c>
      <c r="O1878" s="8" t="inlineStr">
        <is>
          <t>CRITIQUE</t>
        </is>
      </c>
      <c r="P1878" s="8" t="inlineStr">
        <is>
          <t>31/08/2026 02:59</t>
        </is>
      </c>
    </row>
    <row r="1879">
      <c r="A1879" s="7" t="inlineStr">
        <is>
          <t>WHAP 8x8</t>
        </is>
      </c>
      <c r="B1879" s="7" t="inlineStr">
        <is>
          <t>WHAP-1875</t>
        </is>
      </c>
      <c r="C1879" s="7" t="inlineStr">
        <is>
          <t>MOT-1875</t>
        </is>
      </c>
      <c r="D1879" s="7" t="inlineStr">
        <is>
          <t>module de arbre à cames</t>
        </is>
      </c>
      <c r="E1879" s="7" t="inlineStr">
        <is>
          <t>Moteur</t>
        </is>
      </c>
      <c r="F1879" s="7" t="inlineStr">
        <is>
          <t>Moteur</t>
        </is>
      </c>
      <c r="G1879" s="7" t="inlineStr">
        <is>
          <t>PIECE_VEHICULE</t>
        </is>
      </c>
      <c r="H1879" s="7" t="n">
        <v>1</v>
      </c>
      <c r="I1879" s="7">
        <f>H1879*$D$3</f>
        <v/>
      </c>
      <c r="J1879" s="7" t="inlineStr">
        <is>
          <t>unité</t>
        </is>
      </c>
      <c r="K1879" s="7" t="n">
        <v>0</v>
      </c>
      <c r="L1879" s="7">
        <f>K1879-I1879</f>
        <v/>
      </c>
      <c r="M1879" s="7">
        <f>IF(K1879&lt;I1879,"✕ INSUFFISANT",IF(K1879&lt;I1879*1.2,"⚠ STOCK FAIBLE","✓ COUVERT"))</f>
        <v/>
      </c>
      <c r="N1879" s="7" t="inlineStr">
        <is>
          <t>DEL</t>
        </is>
      </c>
      <c r="O1879" s="7" t="inlineStr">
        <is>
          <t>CRITIQUE</t>
        </is>
      </c>
      <c r="P1879" s="7" t="inlineStr">
        <is>
          <t>31/08/2026 02:59</t>
        </is>
      </c>
    </row>
    <row r="1880">
      <c r="A1880" s="8" t="inlineStr">
        <is>
          <t>WHAP 8x8</t>
        </is>
      </c>
      <c r="B1880" s="8" t="inlineStr">
        <is>
          <t>WHAP-1876</t>
        </is>
      </c>
      <c r="C1880" s="8" t="inlineStr">
        <is>
          <t>MOT-1876</t>
        </is>
      </c>
      <c r="D1880" s="8" t="inlineStr">
        <is>
          <t>câblage de arbre à cames</t>
        </is>
      </c>
      <c r="E1880" s="8" t="inlineStr">
        <is>
          <t>Moteur</t>
        </is>
      </c>
      <c r="F1880" s="8" t="inlineStr">
        <is>
          <t>Moteur</t>
        </is>
      </c>
      <c r="G1880" s="8" t="inlineStr">
        <is>
          <t>PIECE_VEHICULE</t>
        </is>
      </c>
      <c r="H1880" s="8" t="n">
        <v>1</v>
      </c>
      <c r="I1880" s="8">
        <f>H1880*$D$3</f>
        <v/>
      </c>
      <c r="J1880" s="8" t="inlineStr">
        <is>
          <t>unité</t>
        </is>
      </c>
      <c r="K1880" s="8" t="n">
        <v>0</v>
      </c>
      <c r="L1880" s="8">
        <f>K1880-I1880</f>
        <v/>
      </c>
      <c r="M1880" s="8">
        <f>IF(K1880&lt;I1880,"✕ INSUFFISANT",IF(K1880&lt;I1880*1.2,"⚠ STOCK FAIBLE","✓ COUVERT"))</f>
        <v/>
      </c>
      <c r="N1880" s="8" t="inlineStr">
        <is>
          <t>SKF</t>
        </is>
      </c>
      <c r="O1880" s="8" t="inlineStr">
        <is>
          <t>CRITIQUE</t>
        </is>
      </c>
      <c r="P1880" s="8" t="inlineStr">
        <is>
          <t>31/08/2026 02:59</t>
        </is>
      </c>
    </row>
    <row r="1881">
      <c r="A1881" s="7" t="inlineStr">
        <is>
          <t>WHAP 8x8</t>
        </is>
      </c>
      <c r="B1881" s="7" t="inlineStr">
        <is>
          <t>WHAP-1877</t>
        </is>
      </c>
      <c r="C1881" s="7" t="inlineStr">
        <is>
          <t>MOT-1877</t>
        </is>
      </c>
      <c r="D1881" s="7" t="inlineStr">
        <is>
          <t>connecteur de arbre à cames</t>
        </is>
      </c>
      <c r="E1881" s="7" t="inlineStr">
        <is>
          <t>Moteur</t>
        </is>
      </c>
      <c r="F1881" s="7" t="inlineStr">
        <is>
          <t>Moteur</t>
        </is>
      </c>
      <c r="G1881" s="7" t="inlineStr">
        <is>
          <t>PIECE_VEHICULE</t>
        </is>
      </c>
      <c r="H1881" s="7" t="n">
        <v>1</v>
      </c>
      <c r="I1881" s="7">
        <f>H1881*$D$3</f>
        <v/>
      </c>
      <c r="J1881" s="7" t="inlineStr">
        <is>
          <t>unité</t>
        </is>
      </c>
      <c r="K1881" s="7" t="n">
        <v>0</v>
      </c>
      <c r="L1881" s="7">
        <f>K1881-I1881</f>
        <v/>
      </c>
      <c r="M1881" s="7">
        <f>IF(K1881&lt;I1881,"✕ INSUFFISANT",IF(K1881&lt;I1881*1.2,"⚠ STOCK FAIBLE","✓ COUVERT"))</f>
        <v/>
      </c>
      <c r="N1881" s="7" t="inlineStr">
        <is>
          <t>SUM</t>
        </is>
      </c>
      <c r="O1881" s="7" t="inlineStr">
        <is>
          <t>CRITIQUE</t>
        </is>
      </c>
      <c r="P1881" s="7" t="inlineStr">
        <is>
          <t>31/08/2026 02:59</t>
        </is>
      </c>
    </row>
    <row r="1882">
      <c r="A1882" s="8" t="inlineStr">
        <is>
          <t>WHAP 8x8</t>
        </is>
      </c>
      <c r="B1882" s="8" t="inlineStr">
        <is>
          <t>WHAP-1878</t>
        </is>
      </c>
      <c r="C1882" s="8" t="inlineStr">
        <is>
          <t>MOT-1878</t>
        </is>
      </c>
      <c r="D1882" s="8" t="inlineStr">
        <is>
          <t>joint de arbre à cames</t>
        </is>
      </c>
      <c r="E1882" s="8" t="inlineStr">
        <is>
          <t>Moteur</t>
        </is>
      </c>
      <c r="F1882" s="8" t="inlineStr">
        <is>
          <t>Moteur</t>
        </is>
      </c>
      <c r="G1882" s="8" t="inlineStr">
        <is>
          <t>PIECE_VEHICULE</t>
        </is>
      </c>
      <c r="H1882" s="8" t="n">
        <v>1</v>
      </c>
      <c r="I1882" s="8">
        <f>H1882*$D$3</f>
        <v/>
      </c>
      <c r="J1882" s="8" t="inlineStr">
        <is>
          <t>unité</t>
        </is>
      </c>
      <c r="K1882" s="8" t="n">
        <v>0</v>
      </c>
      <c r="L1882" s="8">
        <f>K1882-I1882</f>
        <v/>
      </c>
      <c r="M1882" s="8">
        <f>IF(K1882&lt;I1882,"✕ INSUFFISANT",IF(K1882&lt;I1882*1.2,"⚠ STOCK FAIBLE","✓ COUVERT"))</f>
        <v/>
      </c>
      <c r="N1882" s="8" t="inlineStr">
        <is>
          <t>SKF</t>
        </is>
      </c>
      <c r="O1882" s="8" t="inlineStr">
        <is>
          <t>CRITIQUE</t>
        </is>
      </c>
      <c r="P1882" s="8" t="inlineStr">
        <is>
          <t>31/08/2026 02:59</t>
        </is>
      </c>
    </row>
    <row r="1883">
      <c r="A1883" s="7" t="inlineStr">
        <is>
          <t>WHAP 8x8</t>
        </is>
      </c>
      <c r="B1883" s="7" t="inlineStr">
        <is>
          <t>WHAP-1879</t>
        </is>
      </c>
      <c r="C1883" s="7" t="inlineStr">
        <is>
          <t>MOT-1879</t>
        </is>
      </c>
      <c r="D1883" s="7" t="inlineStr">
        <is>
          <t>fixation de arbre à cames</t>
        </is>
      </c>
      <c r="E1883" s="7" t="inlineStr">
        <is>
          <t>Moteur</t>
        </is>
      </c>
      <c r="F1883" s="7" t="inlineStr">
        <is>
          <t>Moteur</t>
        </is>
      </c>
      <c r="G1883" s="7" t="inlineStr">
        <is>
          <t>PIECE_VEHICULE</t>
        </is>
      </c>
      <c r="H1883" s="7" t="n">
        <v>1</v>
      </c>
      <c r="I1883" s="7">
        <f>H1883*$D$3</f>
        <v/>
      </c>
      <c r="J1883" s="7" t="inlineStr">
        <is>
          <t>unité</t>
        </is>
      </c>
      <c r="K1883" s="7" t="n">
        <v>0</v>
      </c>
      <c r="L1883" s="7">
        <f>K1883-I1883</f>
        <v/>
      </c>
      <c r="M1883" s="7">
        <f>IF(K1883&lt;I1883,"✕ INSUFFISANT",IF(K1883&lt;I1883*1.2,"⚠ STOCK FAIBLE","✓ COUVERT"))</f>
        <v/>
      </c>
      <c r="N1883" s="7" t="inlineStr">
        <is>
          <t>SUM</t>
        </is>
      </c>
      <c r="O1883" s="7" t="inlineStr">
        <is>
          <t>CRITIQUE</t>
        </is>
      </c>
      <c r="P1883" s="7" t="inlineStr">
        <is>
          <t>31/08/2026 02:59</t>
        </is>
      </c>
    </row>
    <row r="1884">
      <c r="A1884" s="8" t="inlineStr">
        <is>
          <t>WHAP 8x8</t>
        </is>
      </c>
      <c r="B1884" s="8" t="inlineStr">
        <is>
          <t>WHAP-1880</t>
        </is>
      </c>
      <c r="C1884" s="8" t="inlineStr">
        <is>
          <t>MOT-1880</t>
        </is>
      </c>
      <c r="D1884" s="8" t="inlineStr">
        <is>
          <t>protection de arbre à cames</t>
        </is>
      </c>
      <c r="E1884" s="8" t="inlineStr">
        <is>
          <t>Moteur</t>
        </is>
      </c>
      <c r="F1884" s="8" t="inlineStr">
        <is>
          <t>Moteur</t>
        </is>
      </c>
      <c r="G1884" s="8" t="inlineStr">
        <is>
          <t>PIECE_VEHICULE</t>
        </is>
      </c>
      <c r="H1884" s="8" t="n">
        <v>1</v>
      </c>
      <c r="I1884" s="8">
        <f>H1884*$D$3</f>
        <v/>
      </c>
      <c r="J1884" s="8" t="inlineStr">
        <is>
          <t>unité</t>
        </is>
      </c>
      <c r="K1884" s="8" t="n">
        <v>0</v>
      </c>
      <c r="L1884" s="8">
        <f>K1884-I1884</f>
        <v/>
      </c>
      <c r="M1884" s="8">
        <f>IF(K1884&lt;I1884,"✕ INSUFFISANT",IF(K1884&lt;I1884*1.2,"⚠ STOCK FAIBLE","✓ COUVERT"))</f>
        <v/>
      </c>
      <c r="N1884" s="8" t="inlineStr">
        <is>
          <t>SUM</t>
        </is>
      </c>
      <c r="O1884" s="8" t="inlineStr">
        <is>
          <t>CRITIQUE</t>
        </is>
      </c>
      <c r="P1884" s="8" t="inlineStr">
        <is>
          <t>31/08/2026 02:59</t>
        </is>
      </c>
    </row>
    <row r="1885">
      <c r="A1885" s="7" t="inlineStr">
        <is>
          <t>WHAP 8x8</t>
        </is>
      </c>
      <c r="B1885" s="7" t="inlineStr">
        <is>
          <t>WHAP-1881</t>
        </is>
      </c>
      <c r="C1885" s="7" t="inlineStr">
        <is>
          <t>MOT-1881</t>
        </is>
      </c>
      <c r="D1885" s="7" t="inlineStr">
        <is>
          <t>capteur de arbre à cames</t>
        </is>
      </c>
      <c r="E1885" s="7" t="inlineStr">
        <is>
          <t>Moteur</t>
        </is>
      </c>
      <c r="F1885" s="7" t="inlineStr">
        <is>
          <t>Moteur</t>
        </is>
      </c>
      <c r="G1885" s="7" t="inlineStr">
        <is>
          <t>PIECE_VEHICULE</t>
        </is>
      </c>
      <c r="H1885" s="7" t="n">
        <v>1</v>
      </c>
      <c r="I1885" s="7">
        <f>H1885*$D$3</f>
        <v/>
      </c>
      <c r="J1885" s="7" t="inlineStr">
        <is>
          <t>unité</t>
        </is>
      </c>
      <c r="K1885" s="7" t="n">
        <v>0</v>
      </c>
      <c r="L1885" s="7">
        <f>K1885-I1885</f>
        <v/>
      </c>
      <c r="M1885" s="7">
        <f>IF(K1885&lt;I1885,"✕ INSUFFISANT",IF(K1885&lt;I1885*1.2,"⚠ STOCK FAIBLE","✓ COUVERT"))</f>
        <v/>
      </c>
      <c r="N1885" s="7" t="inlineStr">
        <is>
          <t>DEL</t>
        </is>
      </c>
      <c r="O1885" s="7" t="inlineStr">
        <is>
          <t>CRITIQUE</t>
        </is>
      </c>
      <c r="P1885" s="7" t="inlineStr">
        <is>
          <t>31/08/2026 02:59</t>
        </is>
      </c>
    </row>
    <row r="1886">
      <c r="A1886" s="8" t="inlineStr">
        <is>
          <t>WHAP 8x8</t>
        </is>
      </c>
      <c r="B1886" s="8" t="inlineStr">
        <is>
          <t>WHAP-1882</t>
        </is>
      </c>
      <c r="C1886" s="8" t="inlineStr">
        <is>
          <t>MOT-1882</t>
        </is>
      </c>
      <c r="D1886" s="8" t="inlineStr">
        <is>
          <t>actionneur de arbre à cames</t>
        </is>
      </c>
      <c r="E1886" s="8" t="inlineStr">
        <is>
          <t>Moteur</t>
        </is>
      </c>
      <c r="F1886" s="8" t="inlineStr">
        <is>
          <t>Moteur</t>
        </is>
      </c>
      <c r="G1886" s="8" t="inlineStr">
        <is>
          <t>PIECE_VEHICULE</t>
        </is>
      </c>
      <c r="H1886" s="8" t="n">
        <v>1</v>
      </c>
      <c r="I1886" s="8">
        <f>H1886*$D$3</f>
        <v/>
      </c>
      <c r="J1886" s="8" t="inlineStr">
        <is>
          <t>unité</t>
        </is>
      </c>
      <c r="K1886" s="8" t="n">
        <v>0</v>
      </c>
      <c r="L1886" s="8">
        <f>K1886-I1886</f>
        <v/>
      </c>
      <c r="M1886" s="8">
        <f>IF(K1886&lt;I1886,"✕ INSUFFISANT",IF(K1886&lt;I1886*1.2,"⚠ STOCK FAIBLE","✓ COUVERT"))</f>
        <v/>
      </c>
      <c r="N1886" s="8" t="inlineStr">
        <is>
          <t>DEL</t>
        </is>
      </c>
      <c r="O1886" s="8" t="inlineStr">
        <is>
          <t>CRITIQUE</t>
        </is>
      </c>
      <c r="P1886" s="8" t="inlineStr">
        <is>
          <t>31/08/2026 02:59</t>
        </is>
      </c>
    </row>
    <row r="1887">
      <c r="A1887" s="7" t="inlineStr">
        <is>
          <t>WHAP 8x8</t>
        </is>
      </c>
      <c r="B1887" s="7" t="inlineStr">
        <is>
          <t>WHAP-1883</t>
        </is>
      </c>
      <c r="C1887" s="7" t="inlineStr">
        <is>
          <t>MOT-1883</t>
        </is>
      </c>
      <c r="D1887" s="7" t="inlineStr">
        <is>
          <t>raccord de arbre à cames</t>
        </is>
      </c>
      <c r="E1887" s="7" t="inlineStr">
        <is>
          <t>Moteur</t>
        </is>
      </c>
      <c r="F1887" s="7" t="inlineStr">
        <is>
          <t>Moteur</t>
        </is>
      </c>
      <c r="G1887" s="7" t="inlineStr">
        <is>
          <t>PIECE_VEHICULE</t>
        </is>
      </c>
      <c r="H1887" s="7" t="n">
        <v>1</v>
      </c>
      <c r="I1887" s="7">
        <f>H1887*$D$3</f>
        <v/>
      </c>
      <c r="J1887" s="7" t="inlineStr">
        <is>
          <t>unité</t>
        </is>
      </c>
      <c r="K1887" s="7" t="n">
        <v>0</v>
      </c>
      <c r="L1887" s="7">
        <f>K1887-I1887</f>
        <v/>
      </c>
      <c r="M1887" s="7">
        <f>IF(K1887&lt;I1887,"✕ INSUFFISANT",IF(K1887&lt;I1887*1.2,"⚠ STOCK FAIBLE","✓ COUVERT"))</f>
        <v/>
      </c>
      <c r="N1887" s="7" t="inlineStr">
        <is>
          <t>SUM</t>
        </is>
      </c>
      <c r="O1887" s="7" t="inlineStr">
        <is>
          <t>CRITIQUE</t>
        </is>
      </c>
      <c r="P1887" s="7" t="inlineStr">
        <is>
          <t>31/08/2026 02:59</t>
        </is>
      </c>
    </row>
    <row r="1888">
      <c r="A1888" s="8" t="inlineStr">
        <is>
          <t>WHAP 8x8</t>
        </is>
      </c>
      <c r="B1888" s="8" t="inlineStr">
        <is>
          <t>WHAP-1884</t>
        </is>
      </c>
      <c r="C1888" s="8" t="inlineStr">
        <is>
          <t>MOT-1884</t>
        </is>
      </c>
      <c r="D1888" s="8" t="inlineStr">
        <is>
          <t>plaque de arbre à cames</t>
        </is>
      </c>
      <c r="E1888" s="8" t="inlineStr">
        <is>
          <t>Moteur</t>
        </is>
      </c>
      <c r="F1888" s="8" t="inlineStr">
        <is>
          <t>Moteur</t>
        </is>
      </c>
      <c r="G1888" s="8" t="inlineStr">
        <is>
          <t>PIECE_VEHICULE</t>
        </is>
      </c>
      <c r="H1888" s="8" t="n">
        <v>1</v>
      </c>
      <c r="I1888" s="8">
        <f>H1888*$D$3</f>
        <v/>
      </c>
      <c r="J1888" s="8" t="inlineStr">
        <is>
          <t>unité</t>
        </is>
      </c>
      <c r="K1888" s="8" t="n">
        <v>0</v>
      </c>
      <c r="L1888" s="8">
        <f>K1888-I1888</f>
        <v/>
      </c>
      <c r="M1888" s="8">
        <f>IF(K1888&lt;I1888,"✕ INSUFFISANT",IF(K1888&lt;I1888*1.2,"⚠ STOCK FAIBLE","✓ COUVERT"))</f>
        <v/>
      </c>
      <c r="N1888" s="8" t="inlineStr">
        <is>
          <t>FAU</t>
        </is>
      </c>
      <c r="O1888" s="8" t="inlineStr">
        <is>
          <t>CRITIQUE</t>
        </is>
      </c>
      <c r="P1888" s="8" t="inlineStr">
        <is>
          <t>31/08/2026 02:59</t>
        </is>
      </c>
    </row>
    <row r="1889">
      <c r="A1889" s="7" t="inlineStr">
        <is>
          <t>WHAP 8x8</t>
        </is>
      </c>
      <c r="B1889" s="7" t="inlineStr">
        <is>
          <t>WHAP-1885</t>
        </is>
      </c>
      <c r="C1889" s="7" t="inlineStr">
        <is>
          <t>MOT-1885</t>
        </is>
      </c>
      <c r="D1889" s="7" t="inlineStr">
        <is>
          <t>couvercle de arbre à cames</t>
        </is>
      </c>
      <c r="E1889" s="7" t="inlineStr">
        <is>
          <t>Moteur</t>
        </is>
      </c>
      <c r="F1889" s="7" t="inlineStr">
        <is>
          <t>Moteur</t>
        </is>
      </c>
      <c r="G1889" s="7" t="inlineStr">
        <is>
          <t>PIECE_VEHICULE</t>
        </is>
      </c>
      <c r="H1889" s="7" t="n">
        <v>1</v>
      </c>
      <c r="I1889" s="7">
        <f>H1889*$D$3</f>
        <v/>
      </c>
      <c r="J1889" s="7" t="inlineStr">
        <is>
          <t>unité</t>
        </is>
      </c>
      <c r="K1889" s="7" t="n">
        <v>0</v>
      </c>
      <c r="L1889" s="7">
        <f>K1889-I1889</f>
        <v/>
      </c>
      <c r="M1889" s="7">
        <f>IF(K1889&lt;I1889,"✕ INSUFFISANT",IF(K1889&lt;I1889*1.2,"⚠ STOCK FAIBLE","✓ COUVERT"))</f>
        <v/>
      </c>
      <c r="N1889" s="7" t="inlineStr">
        <is>
          <t>BOS</t>
        </is>
      </c>
      <c r="O1889" s="7" t="inlineStr">
        <is>
          <t>CRITIQUE</t>
        </is>
      </c>
      <c r="P1889" s="7" t="inlineStr">
        <is>
          <t>31/08/2026 02:59</t>
        </is>
      </c>
    </row>
    <row r="1890">
      <c r="A1890" s="8" t="inlineStr">
        <is>
          <t>WHAP 8x8</t>
        </is>
      </c>
      <c r="B1890" s="8" t="inlineStr">
        <is>
          <t>WHAP-1886</t>
        </is>
      </c>
      <c r="C1890" s="8" t="inlineStr">
        <is>
          <t>MOT-1886</t>
        </is>
      </c>
      <c r="D1890" s="8" t="inlineStr">
        <is>
          <t>bague de arbre à cames</t>
        </is>
      </c>
      <c r="E1890" s="8" t="inlineStr">
        <is>
          <t>Moteur</t>
        </is>
      </c>
      <c r="F1890" s="8" t="inlineStr">
        <is>
          <t>Moteur</t>
        </is>
      </c>
      <c r="G1890" s="8" t="inlineStr">
        <is>
          <t>PIECE_VEHICULE</t>
        </is>
      </c>
      <c r="H1890" s="8" t="n">
        <v>1</v>
      </c>
      <c r="I1890" s="8">
        <f>H1890*$D$3</f>
        <v/>
      </c>
      <c r="J1890" s="8" t="inlineStr">
        <is>
          <t>unité</t>
        </is>
      </c>
      <c r="K1890" s="8" t="n">
        <v>0</v>
      </c>
      <c r="L1890" s="8">
        <f>K1890-I1890</f>
        <v/>
      </c>
      <c r="M1890" s="8">
        <f>IF(K1890&lt;I1890,"✕ INSUFFISANT",IF(K1890&lt;I1890*1.2,"⚠ STOCK FAIBLE","✓ COUVERT"))</f>
        <v/>
      </c>
      <c r="N1890" s="8" t="inlineStr">
        <is>
          <t>FAU</t>
        </is>
      </c>
      <c r="O1890" s="8" t="inlineStr">
        <is>
          <t>CRITIQUE</t>
        </is>
      </c>
      <c r="P1890" s="8" t="inlineStr">
        <is>
          <t>31/08/2026 02:59</t>
        </is>
      </c>
    </row>
    <row r="1891">
      <c r="A1891" s="7" t="inlineStr">
        <is>
          <t>WHAP 8x8</t>
        </is>
      </c>
      <c r="B1891" s="7" t="inlineStr">
        <is>
          <t>WHAP-1887</t>
        </is>
      </c>
      <c r="C1891" s="7" t="inlineStr">
        <is>
          <t>MOT-1887</t>
        </is>
      </c>
      <c r="D1891" s="7" t="inlineStr">
        <is>
          <t>entretoise de arbre à cames</t>
        </is>
      </c>
      <c r="E1891" s="7" t="inlineStr">
        <is>
          <t>Moteur</t>
        </is>
      </c>
      <c r="F1891" s="7" t="inlineStr">
        <is>
          <t>Moteur</t>
        </is>
      </c>
      <c r="G1891" s="7" t="inlineStr">
        <is>
          <t>PIECE_VEHICULE</t>
        </is>
      </c>
      <c r="H1891" s="7" t="n">
        <v>1</v>
      </c>
      <c r="I1891" s="7">
        <f>H1891*$D$3</f>
        <v/>
      </c>
      <c r="J1891" s="7" t="inlineStr">
        <is>
          <t>unité</t>
        </is>
      </c>
      <c r="K1891" s="7" t="n">
        <v>0</v>
      </c>
      <c r="L1891" s="7">
        <f>K1891-I1891</f>
        <v/>
      </c>
      <c r="M1891" s="7">
        <f>IF(K1891&lt;I1891,"✕ INSUFFISANT",IF(K1891&lt;I1891*1.2,"⚠ STOCK FAIBLE","✓ COUVERT"))</f>
        <v/>
      </c>
      <c r="N1891" s="7" t="inlineStr">
        <is>
          <t>DEL</t>
        </is>
      </c>
      <c r="O1891" s="7" t="inlineStr">
        <is>
          <t>CRITIQUE</t>
        </is>
      </c>
      <c r="P1891" s="7" t="inlineStr">
        <is>
          <t>31/08/2026 02:59</t>
        </is>
      </c>
    </row>
    <row r="1892">
      <c r="A1892" s="8" t="inlineStr">
        <is>
          <t>WHAP 8x8</t>
        </is>
      </c>
      <c r="B1892" s="8" t="inlineStr">
        <is>
          <t>WHAP-1888</t>
        </is>
      </c>
      <c r="C1892" s="8" t="inlineStr">
        <is>
          <t>MOT-1888</t>
        </is>
      </c>
      <c r="D1892" s="8" t="inlineStr">
        <is>
          <t>axe de arbre à cames</t>
        </is>
      </c>
      <c r="E1892" s="8" t="inlineStr">
        <is>
          <t>Moteur</t>
        </is>
      </c>
      <c r="F1892" s="8" t="inlineStr">
        <is>
          <t>Moteur</t>
        </is>
      </c>
      <c r="G1892" s="8" t="inlineStr">
        <is>
          <t>PIECE_VEHICULE</t>
        </is>
      </c>
      <c r="H1892" s="8" t="n">
        <v>1</v>
      </c>
      <c r="I1892" s="8">
        <f>H1892*$D$3</f>
        <v/>
      </c>
      <c r="J1892" s="8" t="inlineStr">
        <is>
          <t>unité</t>
        </is>
      </c>
      <c r="K1892" s="8" t="n">
        <v>0</v>
      </c>
      <c r="L1892" s="8">
        <f>K1892-I1892</f>
        <v/>
      </c>
      <c r="M1892" s="8">
        <f>IF(K1892&lt;I1892,"✕ INSUFFISANT",IF(K1892&lt;I1892*1.2,"⚠ STOCK FAIBLE","✓ COUVERT"))</f>
        <v/>
      </c>
      <c r="N1892" s="8" t="inlineStr">
        <is>
          <t>SUM</t>
        </is>
      </c>
      <c r="O1892" s="8" t="inlineStr">
        <is>
          <t>CRITIQUE</t>
        </is>
      </c>
      <c r="P1892" s="8" t="inlineStr">
        <is>
          <t>31/08/2026 02:59</t>
        </is>
      </c>
    </row>
    <row r="1893">
      <c r="A1893" s="7" t="inlineStr">
        <is>
          <t>WHAP 8x8</t>
        </is>
      </c>
      <c r="B1893" s="7" t="inlineStr">
        <is>
          <t>WHAP-1889</t>
        </is>
      </c>
      <c r="C1893" s="7" t="inlineStr">
        <is>
          <t>MOT-1889</t>
        </is>
      </c>
      <c r="D1893" s="7" t="inlineStr">
        <is>
          <t>poulie de arbre à cames</t>
        </is>
      </c>
      <c r="E1893" s="7" t="inlineStr">
        <is>
          <t>Moteur</t>
        </is>
      </c>
      <c r="F1893" s="7" t="inlineStr">
        <is>
          <t>Moteur</t>
        </is>
      </c>
      <c r="G1893" s="7" t="inlineStr">
        <is>
          <t>PIECE_VEHICULE</t>
        </is>
      </c>
      <c r="H1893" s="7" t="n">
        <v>1</v>
      </c>
      <c r="I1893" s="7">
        <f>H1893*$D$3</f>
        <v/>
      </c>
      <c r="J1893" s="7" t="inlineStr">
        <is>
          <t>unité</t>
        </is>
      </c>
      <c r="K1893" s="7" t="n">
        <v>0</v>
      </c>
      <c r="L1893" s="7">
        <f>K1893-I1893</f>
        <v/>
      </c>
      <c r="M1893" s="7">
        <f>IF(K1893&lt;I1893,"✕ INSUFFISANT",IF(K1893&lt;I1893*1.2,"⚠ STOCK FAIBLE","✓ COUVERT"))</f>
        <v/>
      </c>
      <c r="N1893" s="7" t="inlineStr">
        <is>
          <t>DEL</t>
        </is>
      </c>
      <c r="O1893" s="7" t="inlineStr">
        <is>
          <t>CRITIQUE</t>
        </is>
      </c>
      <c r="P1893" s="7" t="inlineStr">
        <is>
          <t>31/08/2026 02:59</t>
        </is>
      </c>
    </row>
    <row r="1894">
      <c r="A1894" s="8" t="inlineStr">
        <is>
          <t>WHAP 8x8</t>
        </is>
      </c>
      <c r="B1894" s="8" t="inlineStr">
        <is>
          <t>WHAP-1890</t>
        </is>
      </c>
      <c r="C1894" s="8" t="inlineStr">
        <is>
          <t>MOT-1890</t>
        </is>
      </c>
      <c r="D1894" s="8" t="inlineStr">
        <is>
          <t>pignon de arbre à cames</t>
        </is>
      </c>
      <c r="E1894" s="8" t="inlineStr">
        <is>
          <t>Moteur</t>
        </is>
      </c>
      <c r="F1894" s="8" t="inlineStr">
        <is>
          <t>Moteur</t>
        </is>
      </c>
      <c r="G1894" s="8" t="inlineStr">
        <is>
          <t>PIECE_VEHICULE</t>
        </is>
      </c>
      <c r="H1894" s="8" t="n">
        <v>1</v>
      </c>
      <c r="I1894" s="8">
        <f>H1894*$D$3</f>
        <v/>
      </c>
      <c r="J1894" s="8" t="inlineStr">
        <is>
          <t>unité</t>
        </is>
      </c>
      <c r="K1894" s="8" t="n">
        <v>0</v>
      </c>
      <c r="L1894" s="8">
        <f>K1894-I1894</f>
        <v/>
      </c>
      <c r="M1894" s="8">
        <f>IF(K1894&lt;I1894,"✕ INSUFFISANT",IF(K1894&lt;I1894*1.2,"⚠ STOCK FAIBLE","✓ COUVERT"))</f>
        <v/>
      </c>
      <c r="N1894" s="8" t="inlineStr">
        <is>
          <t>SUM</t>
        </is>
      </c>
      <c r="O1894" s="8" t="inlineStr">
        <is>
          <t>CRITIQUE</t>
        </is>
      </c>
      <c r="P1894" s="8" t="inlineStr">
        <is>
          <t>31/08/2026 02:59</t>
        </is>
      </c>
    </row>
    <row r="1895">
      <c r="A1895" s="7" t="inlineStr">
        <is>
          <t>WHAP 8x8</t>
        </is>
      </c>
      <c r="B1895" s="7" t="inlineStr">
        <is>
          <t>WHAP-1891</t>
        </is>
      </c>
      <c r="C1895" s="7" t="inlineStr">
        <is>
          <t>MOT-1891</t>
        </is>
      </c>
      <c r="D1895" s="7" t="inlineStr">
        <is>
          <t>ensemble de poussoir hydraulique</t>
        </is>
      </c>
      <c r="E1895" s="7" t="inlineStr">
        <is>
          <t>Moteur</t>
        </is>
      </c>
      <c r="F1895" s="7" t="inlineStr">
        <is>
          <t>Moteur</t>
        </is>
      </c>
      <c r="G1895" s="7" t="inlineStr">
        <is>
          <t>PIECE_VEHICULE</t>
        </is>
      </c>
      <c r="H1895" s="7" t="n">
        <v>1</v>
      </c>
      <c r="I1895" s="7">
        <f>H1895*$D$3</f>
        <v/>
      </c>
      <c r="J1895" s="7" t="inlineStr">
        <is>
          <t>unité</t>
        </is>
      </c>
      <c r="K1895" s="7" t="n">
        <v>0</v>
      </c>
      <c r="L1895" s="7">
        <f>K1895-I1895</f>
        <v/>
      </c>
      <c r="M1895" s="7">
        <f>IF(K1895&lt;I1895,"✕ INSUFFISANT",IF(K1895&lt;I1895*1.2,"⚠ STOCK FAIBLE","✓ COUVERT"))</f>
        <v/>
      </c>
      <c r="N1895" s="7" t="inlineStr">
        <is>
          <t>CTL</t>
        </is>
      </c>
      <c r="O1895" s="7" t="inlineStr">
        <is>
          <t>CRITIQUE</t>
        </is>
      </c>
      <c r="P1895" s="7" t="inlineStr">
        <is>
          <t>31/08/2026 02:59</t>
        </is>
      </c>
    </row>
    <row r="1896">
      <c r="A1896" s="8" t="inlineStr">
        <is>
          <t>WHAP 8x8</t>
        </is>
      </c>
      <c r="B1896" s="8" t="inlineStr">
        <is>
          <t>WHAP-1892</t>
        </is>
      </c>
      <c r="C1896" s="8" t="inlineStr">
        <is>
          <t>MOT-1892</t>
        </is>
      </c>
      <c r="D1896" s="8" t="inlineStr">
        <is>
          <t>kit de poussoir hydraulique</t>
        </is>
      </c>
      <c r="E1896" s="8" t="inlineStr">
        <is>
          <t>Moteur</t>
        </is>
      </c>
      <c r="F1896" s="8" t="inlineStr">
        <is>
          <t>Moteur</t>
        </is>
      </c>
      <c r="G1896" s="8" t="inlineStr">
        <is>
          <t>PIECE_VEHICULE</t>
        </is>
      </c>
      <c r="H1896" s="8" t="n">
        <v>1</v>
      </c>
      <c r="I1896" s="8">
        <f>H1896*$D$3</f>
        <v/>
      </c>
      <c r="J1896" s="8" t="inlineStr">
        <is>
          <t>unité</t>
        </is>
      </c>
      <c r="K1896" s="8" t="n">
        <v>0</v>
      </c>
      <c r="L1896" s="8">
        <f>K1896-I1896</f>
        <v/>
      </c>
      <c r="M1896" s="8">
        <f>IF(K1896&lt;I1896,"✕ INSUFFISANT",IF(K1896&lt;I1896*1.2,"⚠ STOCK FAIBLE","✓ COUVERT"))</f>
        <v/>
      </c>
      <c r="N1896" s="8" t="inlineStr">
        <is>
          <t>BOS</t>
        </is>
      </c>
      <c r="O1896" s="8" t="inlineStr">
        <is>
          <t>CRITIQUE</t>
        </is>
      </c>
      <c r="P1896" s="8" t="inlineStr">
        <is>
          <t>31/08/2026 02:59</t>
        </is>
      </c>
    </row>
    <row r="1897">
      <c r="A1897" s="7" t="inlineStr">
        <is>
          <t>WHAP 8x8</t>
        </is>
      </c>
      <c r="B1897" s="7" t="inlineStr">
        <is>
          <t>WHAP-1893</t>
        </is>
      </c>
      <c r="C1897" s="7" t="inlineStr">
        <is>
          <t>MOT-1893</t>
        </is>
      </c>
      <c r="D1897" s="7" t="inlineStr">
        <is>
          <t>support de poussoir hydraulique</t>
        </is>
      </c>
      <c r="E1897" s="7" t="inlineStr">
        <is>
          <t>Moteur</t>
        </is>
      </c>
      <c r="F1897" s="7" t="inlineStr">
        <is>
          <t>Moteur</t>
        </is>
      </c>
      <c r="G1897" s="7" t="inlineStr">
        <is>
          <t>PIECE_VEHICULE</t>
        </is>
      </c>
      <c r="H1897" s="7" t="n">
        <v>1</v>
      </c>
      <c r="I1897" s="7">
        <f>H1897*$D$3</f>
        <v/>
      </c>
      <c r="J1897" s="7" t="inlineStr">
        <is>
          <t>unité</t>
        </is>
      </c>
      <c r="K1897" s="7" t="n">
        <v>0</v>
      </c>
      <c r="L1897" s="7">
        <f>K1897-I1897</f>
        <v/>
      </c>
      <c r="M1897" s="7">
        <f>IF(K1897&lt;I1897,"✕ INSUFFISANT",IF(K1897&lt;I1897*1.2,"⚠ STOCK FAIBLE","✓ COUVERT"))</f>
        <v/>
      </c>
      <c r="N1897" s="7" t="inlineStr">
        <is>
          <t>HEL</t>
        </is>
      </c>
      <c r="O1897" s="7" t="inlineStr">
        <is>
          <t>CRITIQUE</t>
        </is>
      </c>
      <c r="P1897" s="7" t="inlineStr">
        <is>
          <t>31/08/2026 02:59</t>
        </is>
      </c>
    </row>
    <row r="1898">
      <c r="A1898" s="8" t="inlineStr">
        <is>
          <t>WHAP 8x8</t>
        </is>
      </c>
      <c r="B1898" s="8" t="inlineStr">
        <is>
          <t>WHAP-1894</t>
        </is>
      </c>
      <c r="C1898" s="8" t="inlineStr">
        <is>
          <t>MOT-1894</t>
        </is>
      </c>
      <c r="D1898" s="8" t="inlineStr">
        <is>
          <t>boîtier de poussoir hydraulique</t>
        </is>
      </c>
      <c r="E1898" s="8" t="inlineStr">
        <is>
          <t>Moteur</t>
        </is>
      </c>
      <c r="F1898" s="8" t="inlineStr">
        <is>
          <t>Moteur</t>
        </is>
      </c>
      <c r="G1898" s="8" t="inlineStr">
        <is>
          <t>PIECE_VEHICULE</t>
        </is>
      </c>
      <c r="H1898" s="8" t="n">
        <v>1</v>
      </c>
      <c r="I1898" s="8">
        <f>H1898*$D$3</f>
        <v/>
      </c>
      <c r="J1898" s="8" t="inlineStr">
        <is>
          <t>unité</t>
        </is>
      </c>
      <c r="K1898" s="8" t="n">
        <v>0</v>
      </c>
      <c r="L1898" s="8">
        <f>K1898-I1898</f>
        <v/>
      </c>
      <c r="M1898" s="8">
        <f>IF(K1898&lt;I1898,"✕ INSUFFISANT",IF(K1898&lt;I1898*1.2,"⚠ STOCK FAIBLE","✓ COUVERT"))</f>
        <v/>
      </c>
      <c r="N1898" s="8" t="inlineStr">
        <is>
          <t>HEL</t>
        </is>
      </c>
      <c r="O1898" s="8" t="inlineStr">
        <is>
          <t>CRITIQUE</t>
        </is>
      </c>
      <c r="P1898" s="8" t="inlineStr">
        <is>
          <t>31/08/2026 02:59</t>
        </is>
      </c>
    </row>
    <row r="1899">
      <c r="A1899" s="7" t="inlineStr">
        <is>
          <t>WHAP 8x8</t>
        </is>
      </c>
      <c r="B1899" s="7" t="inlineStr">
        <is>
          <t>WHAP-1895</t>
        </is>
      </c>
      <c r="C1899" s="7" t="inlineStr">
        <is>
          <t>MOT-1895</t>
        </is>
      </c>
      <c r="D1899" s="7" t="inlineStr">
        <is>
          <t>module de poussoir hydraulique</t>
        </is>
      </c>
      <c r="E1899" s="7" t="inlineStr">
        <is>
          <t>Moteur</t>
        </is>
      </c>
      <c r="F1899" s="7" t="inlineStr">
        <is>
          <t>Moteur</t>
        </is>
      </c>
      <c r="G1899" s="7" t="inlineStr">
        <is>
          <t>PIECE_VEHICULE</t>
        </is>
      </c>
      <c r="H1899" s="7" t="n">
        <v>1</v>
      </c>
      <c r="I1899" s="7">
        <f>H1899*$D$3</f>
        <v/>
      </c>
      <c r="J1899" s="7" t="inlineStr">
        <is>
          <t>unité</t>
        </is>
      </c>
      <c r="K1899" s="7" t="n">
        <v>0</v>
      </c>
      <c r="L1899" s="7">
        <f>K1899-I1899</f>
        <v/>
      </c>
      <c r="M1899" s="7">
        <f>IF(K1899&lt;I1899,"✕ INSUFFISANT",IF(K1899&lt;I1899*1.2,"⚠ STOCK FAIBLE","✓ COUVERT"))</f>
        <v/>
      </c>
      <c r="N1899" s="7" t="inlineStr">
        <is>
          <t>CTL</t>
        </is>
      </c>
      <c r="O1899" s="7" t="inlineStr">
        <is>
          <t>CRITIQUE</t>
        </is>
      </c>
      <c r="P1899" s="7" t="inlineStr">
        <is>
          <t>31/08/2026 02:59</t>
        </is>
      </c>
    </row>
    <row r="1900">
      <c r="A1900" s="8" t="inlineStr">
        <is>
          <t>WHAP 8x8</t>
        </is>
      </c>
      <c r="B1900" s="8" t="inlineStr">
        <is>
          <t>WHAP-1896</t>
        </is>
      </c>
      <c r="C1900" s="8" t="inlineStr">
        <is>
          <t>MOT-1896</t>
        </is>
      </c>
      <c r="D1900" s="8" t="inlineStr">
        <is>
          <t>câblage de poussoir hydraulique</t>
        </is>
      </c>
      <c r="E1900" s="8" t="inlineStr">
        <is>
          <t>Moteur</t>
        </is>
      </c>
      <c r="F1900" s="8" t="inlineStr">
        <is>
          <t>Moteur</t>
        </is>
      </c>
      <c r="G1900" s="8" t="inlineStr">
        <is>
          <t>PIECE_VEHICULE</t>
        </is>
      </c>
      <c r="H1900" s="8" t="n">
        <v>1</v>
      </c>
      <c r="I1900" s="8">
        <f>H1900*$D$3</f>
        <v/>
      </c>
      <c r="J1900" s="8" t="inlineStr">
        <is>
          <t>unité</t>
        </is>
      </c>
      <c r="K1900" s="8" t="n">
        <v>0</v>
      </c>
      <c r="L1900" s="8">
        <f>K1900-I1900</f>
        <v/>
      </c>
      <c r="M1900" s="8">
        <f>IF(K1900&lt;I1900,"✕ INSUFFISANT",IF(K1900&lt;I1900*1.2,"⚠ STOCK FAIBLE","✓ COUVERT"))</f>
        <v/>
      </c>
      <c r="N1900" s="8" t="inlineStr">
        <is>
          <t>SKF</t>
        </is>
      </c>
      <c r="O1900" s="8" t="inlineStr">
        <is>
          <t>CRITIQUE</t>
        </is>
      </c>
      <c r="P1900" s="8" t="inlineStr">
        <is>
          <t>31/08/2026 02:59</t>
        </is>
      </c>
    </row>
    <row r="1901">
      <c r="A1901" s="7" t="inlineStr">
        <is>
          <t>WHAP 8x8</t>
        </is>
      </c>
      <c r="B1901" s="7" t="inlineStr">
        <is>
          <t>WHAP-1897</t>
        </is>
      </c>
      <c r="C1901" s="7" t="inlineStr">
        <is>
          <t>MOT-1897</t>
        </is>
      </c>
      <c r="D1901" s="7" t="inlineStr">
        <is>
          <t>connecteur de poussoir hydraulique</t>
        </is>
      </c>
      <c r="E1901" s="7" t="inlineStr">
        <is>
          <t>Moteur</t>
        </is>
      </c>
      <c r="F1901" s="7" t="inlineStr">
        <is>
          <t>Moteur</t>
        </is>
      </c>
      <c r="G1901" s="7" t="inlineStr">
        <is>
          <t>PIECE_VEHICULE</t>
        </is>
      </c>
      <c r="H1901" s="7" t="n">
        <v>1</v>
      </c>
      <c r="I1901" s="7">
        <f>H1901*$D$3</f>
        <v/>
      </c>
      <c r="J1901" s="7" t="inlineStr">
        <is>
          <t>unité</t>
        </is>
      </c>
      <c r="K1901" s="7" t="n">
        <v>0</v>
      </c>
      <c r="L1901" s="7">
        <f>K1901-I1901</f>
        <v/>
      </c>
      <c r="M1901" s="7">
        <f>IF(K1901&lt;I1901,"✕ INSUFFISANT",IF(K1901&lt;I1901*1.2,"⚠ STOCK FAIBLE","✓ COUVERT"))</f>
        <v/>
      </c>
      <c r="N1901" s="7" t="inlineStr">
        <is>
          <t>VAL</t>
        </is>
      </c>
      <c r="O1901" s="7" t="inlineStr">
        <is>
          <t>CRITIQUE</t>
        </is>
      </c>
      <c r="P1901" s="7" t="inlineStr">
        <is>
          <t>31/08/2026 02:59</t>
        </is>
      </c>
    </row>
    <row r="1902">
      <c r="A1902" s="8" t="inlineStr">
        <is>
          <t>WHAP 8x8</t>
        </is>
      </c>
      <c r="B1902" s="8" t="inlineStr">
        <is>
          <t>WHAP-1898</t>
        </is>
      </c>
      <c r="C1902" s="8" t="inlineStr">
        <is>
          <t>MOT-1898</t>
        </is>
      </c>
      <c r="D1902" s="8" t="inlineStr">
        <is>
          <t>joint de poussoir hydraulique</t>
        </is>
      </c>
      <c r="E1902" s="8" t="inlineStr">
        <is>
          <t>Moteur</t>
        </is>
      </c>
      <c r="F1902" s="8" t="inlineStr">
        <is>
          <t>Moteur</t>
        </is>
      </c>
      <c r="G1902" s="8" t="inlineStr">
        <is>
          <t>PIECE_VEHICULE</t>
        </is>
      </c>
      <c r="H1902" s="8" t="n">
        <v>1</v>
      </c>
      <c r="I1902" s="8">
        <f>H1902*$D$3</f>
        <v/>
      </c>
      <c r="J1902" s="8" t="inlineStr">
        <is>
          <t>unité</t>
        </is>
      </c>
      <c r="K1902" s="8" t="n">
        <v>0</v>
      </c>
      <c r="L1902" s="8">
        <f>K1902-I1902</f>
        <v/>
      </c>
      <c r="M1902" s="8">
        <f>IF(K1902&lt;I1902,"✕ INSUFFISANT",IF(K1902&lt;I1902*1.2,"⚠ STOCK FAIBLE","✓ COUVERT"))</f>
        <v/>
      </c>
      <c r="N1902" s="8" t="inlineStr">
        <is>
          <t>DEL</t>
        </is>
      </c>
      <c r="O1902" s="8" t="inlineStr">
        <is>
          <t>CRITIQUE</t>
        </is>
      </c>
      <c r="P1902" s="8" t="inlineStr">
        <is>
          <t>31/08/2026 02:59</t>
        </is>
      </c>
    </row>
    <row r="1903">
      <c r="A1903" s="7" t="inlineStr">
        <is>
          <t>WHAP 8x8</t>
        </is>
      </c>
      <c r="B1903" s="7" t="inlineStr">
        <is>
          <t>WHAP-1899</t>
        </is>
      </c>
      <c r="C1903" s="7" t="inlineStr">
        <is>
          <t>MOT-1899</t>
        </is>
      </c>
      <c r="D1903" s="7" t="inlineStr">
        <is>
          <t>fixation de poussoir hydraulique</t>
        </is>
      </c>
      <c r="E1903" s="7" t="inlineStr">
        <is>
          <t>Moteur</t>
        </is>
      </c>
      <c r="F1903" s="7" t="inlineStr">
        <is>
          <t>Moteur</t>
        </is>
      </c>
      <c r="G1903" s="7" t="inlineStr">
        <is>
          <t>PIECE_VEHICULE</t>
        </is>
      </c>
      <c r="H1903" s="7" t="n">
        <v>1</v>
      </c>
      <c r="I1903" s="7">
        <f>H1903*$D$3</f>
        <v/>
      </c>
      <c r="J1903" s="7" t="inlineStr">
        <is>
          <t>unité</t>
        </is>
      </c>
      <c r="K1903" s="7" t="n">
        <v>0</v>
      </c>
      <c r="L1903" s="7">
        <f>K1903-I1903</f>
        <v/>
      </c>
      <c r="M1903" s="7">
        <f>IF(K1903&lt;I1903,"✕ INSUFFISANT",IF(K1903&lt;I1903*1.2,"⚠ STOCK FAIBLE","✓ COUVERT"))</f>
        <v/>
      </c>
      <c r="N1903" s="7" t="inlineStr">
        <is>
          <t>FAU</t>
        </is>
      </c>
      <c r="O1903" s="7" t="inlineStr">
        <is>
          <t>CRITIQUE</t>
        </is>
      </c>
      <c r="P1903" s="7" t="inlineStr">
        <is>
          <t>31/08/2026 02:59</t>
        </is>
      </c>
    </row>
    <row r="1904">
      <c r="A1904" s="8" t="inlineStr">
        <is>
          <t>WHAP 8x8</t>
        </is>
      </c>
      <c r="B1904" s="8" t="inlineStr">
        <is>
          <t>WHAP-1900</t>
        </is>
      </c>
      <c r="C1904" s="8" t="inlineStr">
        <is>
          <t>MOT-1900</t>
        </is>
      </c>
      <c r="D1904" s="8" t="inlineStr">
        <is>
          <t>protection de poussoir hydraulique</t>
        </is>
      </c>
      <c r="E1904" s="8" t="inlineStr">
        <is>
          <t>Moteur</t>
        </is>
      </c>
      <c r="F1904" s="8" t="inlineStr">
        <is>
          <t>Moteur</t>
        </is>
      </c>
      <c r="G1904" s="8" t="inlineStr">
        <is>
          <t>PIECE_VEHICULE</t>
        </is>
      </c>
      <c r="H1904" s="8" t="n">
        <v>1</v>
      </c>
      <c r="I1904" s="8">
        <f>H1904*$D$3</f>
        <v/>
      </c>
      <c r="J1904" s="8" t="inlineStr">
        <is>
          <t>unité</t>
        </is>
      </c>
      <c r="K1904" s="8" t="n">
        <v>0</v>
      </c>
      <c r="L1904" s="8">
        <f>K1904-I1904</f>
        <v/>
      </c>
      <c r="M1904" s="8">
        <f>IF(K1904&lt;I1904,"✕ INSUFFISANT",IF(K1904&lt;I1904*1.2,"⚠ STOCK FAIBLE","✓ COUVERT"))</f>
        <v/>
      </c>
      <c r="N1904" s="8" t="inlineStr">
        <is>
          <t>VAL</t>
        </is>
      </c>
      <c r="O1904" s="8" t="inlineStr">
        <is>
          <t>CRITIQUE</t>
        </is>
      </c>
      <c r="P1904" s="8" t="inlineStr">
        <is>
          <t>31/08/2026 02:59</t>
        </is>
      </c>
    </row>
    <row r="1905">
      <c r="A1905" s="7" t="inlineStr">
        <is>
          <t>WHAP 8x8</t>
        </is>
      </c>
      <c r="B1905" s="7" t="inlineStr">
        <is>
          <t>WHAP-1901</t>
        </is>
      </c>
      <c r="C1905" s="7" t="inlineStr">
        <is>
          <t>MOT-1901</t>
        </is>
      </c>
      <c r="D1905" s="7" t="inlineStr">
        <is>
          <t>capteur de poussoir hydraulique</t>
        </is>
      </c>
      <c r="E1905" s="7" t="inlineStr">
        <is>
          <t>Moteur</t>
        </is>
      </c>
      <c r="F1905" s="7" t="inlineStr">
        <is>
          <t>Moteur</t>
        </is>
      </c>
      <c r="G1905" s="7" t="inlineStr">
        <is>
          <t>PIECE_VEHICULE</t>
        </is>
      </c>
      <c r="H1905" s="7" t="n">
        <v>1</v>
      </c>
      <c r="I1905" s="7">
        <f>H1905*$D$3</f>
        <v/>
      </c>
      <c r="J1905" s="7" t="inlineStr">
        <is>
          <t>unité</t>
        </is>
      </c>
      <c r="K1905" s="7" t="n">
        <v>0</v>
      </c>
      <c r="L1905" s="7">
        <f>K1905-I1905</f>
        <v/>
      </c>
      <c r="M1905" s="7">
        <f>IF(K1905&lt;I1905,"✕ INSUFFISANT",IF(K1905&lt;I1905*1.2,"⚠ STOCK FAIBLE","✓ COUVERT"))</f>
        <v/>
      </c>
      <c r="N1905" s="7" t="inlineStr">
        <is>
          <t>VAL</t>
        </is>
      </c>
      <c r="O1905" s="7" t="inlineStr">
        <is>
          <t>CRITIQUE</t>
        </is>
      </c>
      <c r="P1905" s="7" t="inlineStr">
        <is>
          <t>31/08/2026 02:59</t>
        </is>
      </c>
    </row>
    <row r="1906">
      <c r="A1906" s="8" t="inlineStr">
        <is>
          <t>WHAP 8x8</t>
        </is>
      </c>
      <c r="B1906" s="8" t="inlineStr">
        <is>
          <t>WHAP-1902</t>
        </is>
      </c>
      <c r="C1906" s="8" t="inlineStr">
        <is>
          <t>MOT-1902</t>
        </is>
      </c>
      <c r="D1906" s="8" t="inlineStr">
        <is>
          <t>actionneur de poussoir hydraulique</t>
        </is>
      </c>
      <c r="E1906" s="8" t="inlineStr">
        <is>
          <t>Moteur</t>
        </is>
      </c>
      <c r="F1906" s="8" t="inlineStr">
        <is>
          <t>Moteur</t>
        </is>
      </c>
      <c r="G1906" s="8" t="inlineStr">
        <is>
          <t>PIECE_VEHICULE</t>
        </is>
      </c>
      <c r="H1906" s="8" t="n">
        <v>1</v>
      </c>
      <c r="I1906" s="8">
        <f>H1906*$D$3</f>
        <v/>
      </c>
      <c r="J1906" s="8" t="inlineStr">
        <is>
          <t>unité</t>
        </is>
      </c>
      <c r="K1906" s="8" t="n">
        <v>0</v>
      </c>
      <c r="L1906" s="8">
        <f>K1906-I1906</f>
        <v/>
      </c>
      <c r="M1906" s="8">
        <f>IF(K1906&lt;I1906,"✕ INSUFFISANT",IF(K1906&lt;I1906*1.2,"⚠ STOCK FAIBLE","✓ COUVERT"))</f>
        <v/>
      </c>
      <c r="N1906" s="8" t="inlineStr">
        <is>
          <t>SUM</t>
        </is>
      </c>
      <c r="O1906" s="8" t="inlineStr">
        <is>
          <t>CRITIQUE</t>
        </is>
      </c>
      <c r="P1906" s="8" t="inlineStr">
        <is>
          <t>31/08/2026 02:59</t>
        </is>
      </c>
    </row>
    <row r="1907">
      <c r="A1907" s="7" t="inlineStr">
        <is>
          <t>WHAP 8x8</t>
        </is>
      </c>
      <c r="B1907" s="7" t="inlineStr">
        <is>
          <t>WHAP-1903</t>
        </is>
      </c>
      <c r="C1907" s="7" t="inlineStr">
        <is>
          <t>MOT-1903</t>
        </is>
      </c>
      <c r="D1907" s="7" t="inlineStr">
        <is>
          <t>raccord de poussoir hydraulique</t>
        </is>
      </c>
      <c r="E1907" s="7" t="inlineStr">
        <is>
          <t>Moteur</t>
        </is>
      </c>
      <c r="F1907" s="7" t="inlineStr">
        <is>
          <t>Moteur</t>
        </is>
      </c>
      <c r="G1907" s="7" t="inlineStr">
        <is>
          <t>PIECE_VEHICULE</t>
        </is>
      </c>
      <c r="H1907" s="7" t="n">
        <v>1</v>
      </c>
      <c r="I1907" s="7">
        <f>H1907*$D$3</f>
        <v/>
      </c>
      <c r="J1907" s="7" t="inlineStr">
        <is>
          <t>unité</t>
        </is>
      </c>
      <c r="K1907" s="7" t="n">
        <v>0</v>
      </c>
      <c r="L1907" s="7">
        <f>K1907-I1907</f>
        <v/>
      </c>
      <c r="M1907" s="7">
        <f>IF(K1907&lt;I1907,"✕ INSUFFISANT",IF(K1907&lt;I1907*1.2,"⚠ STOCK FAIBLE","✓ COUVERT"))</f>
        <v/>
      </c>
      <c r="N1907" s="7" t="inlineStr">
        <is>
          <t>VAL</t>
        </is>
      </c>
      <c r="O1907" s="7" t="inlineStr">
        <is>
          <t>CRITIQUE</t>
        </is>
      </c>
      <c r="P1907" s="7" t="inlineStr">
        <is>
          <t>31/08/2026 02:59</t>
        </is>
      </c>
    </row>
    <row r="1908">
      <c r="A1908" s="8" t="inlineStr">
        <is>
          <t>WHAP 8x8</t>
        </is>
      </c>
      <c r="B1908" s="8" t="inlineStr">
        <is>
          <t>WHAP-1904</t>
        </is>
      </c>
      <c r="C1908" s="8" t="inlineStr">
        <is>
          <t>MOT-1904</t>
        </is>
      </c>
      <c r="D1908" s="8" t="inlineStr">
        <is>
          <t>plaque de poussoir hydraulique</t>
        </is>
      </c>
      <c r="E1908" s="8" t="inlineStr">
        <is>
          <t>Moteur</t>
        </is>
      </c>
      <c r="F1908" s="8" t="inlineStr">
        <is>
          <t>Moteur</t>
        </is>
      </c>
      <c r="G1908" s="8" t="inlineStr">
        <is>
          <t>PIECE_VEHICULE</t>
        </is>
      </c>
      <c r="H1908" s="8" t="n">
        <v>1</v>
      </c>
      <c r="I1908" s="8">
        <f>H1908*$D$3</f>
        <v/>
      </c>
      <c r="J1908" s="8" t="inlineStr">
        <is>
          <t>unité</t>
        </is>
      </c>
      <c r="K1908" s="8" t="n">
        <v>0</v>
      </c>
      <c r="L1908" s="8">
        <f>K1908-I1908</f>
        <v/>
      </c>
      <c r="M1908" s="8">
        <f>IF(K1908&lt;I1908,"✕ INSUFFISANT",IF(K1908&lt;I1908*1.2,"⚠ STOCK FAIBLE","✓ COUVERT"))</f>
        <v/>
      </c>
      <c r="N1908" s="8" t="inlineStr">
        <is>
          <t>VAL</t>
        </is>
      </c>
      <c r="O1908" s="8" t="inlineStr">
        <is>
          <t>CRITIQUE</t>
        </is>
      </c>
      <c r="P1908" s="8" t="inlineStr">
        <is>
          <t>31/08/2026 02:59</t>
        </is>
      </c>
    </row>
    <row r="1909">
      <c r="A1909" s="7" t="inlineStr">
        <is>
          <t>WHAP 8x8</t>
        </is>
      </c>
      <c r="B1909" s="7" t="inlineStr">
        <is>
          <t>WHAP-1905</t>
        </is>
      </c>
      <c r="C1909" s="7" t="inlineStr">
        <is>
          <t>MOT-1905</t>
        </is>
      </c>
      <c r="D1909" s="7" t="inlineStr">
        <is>
          <t>couvercle de poussoir hydraulique</t>
        </is>
      </c>
      <c r="E1909" s="7" t="inlineStr">
        <is>
          <t>Moteur</t>
        </is>
      </c>
      <c r="F1909" s="7" t="inlineStr">
        <is>
          <t>Moteur</t>
        </is>
      </c>
      <c r="G1909" s="7" t="inlineStr">
        <is>
          <t>PIECE_VEHICULE</t>
        </is>
      </c>
      <c r="H1909" s="7" t="n">
        <v>1</v>
      </c>
      <c r="I1909" s="7">
        <f>H1909*$D$3</f>
        <v/>
      </c>
      <c r="J1909" s="7" t="inlineStr">
        <is>
          <t>unité</t>
        </is>
      </c>
      <c r="K1909" s="7" t="n">
        <v>0</v>
      </c>
      <c r="L1909" s="7">
        <f>K1909-I1909</f>
        <v/>
      </c>
      <c r="M1909" s="7">
        <f>IF(K1909&lt;I1909,"✕ INSUFFISANT",IF(K1909&lt;I1909*1.2,"⚠ STOCK FAIBLE","✓ COUVERT"))</f>
        <v/>
      </c>
      <c r="N1909" s="7" t="inlineStr">
        <is>
          <t>SKF</t>
        </is>
      </c>
      <c r="O1909" s="7" t="inlineStr">
        <is>
          <t>CRITIQUE</t>
        </is>
      </c>
      <c r="P1909" s="7" t="inlineStr">
        <is>
          <t>31/08/2026 02:59</t>
        </is>
      </c>
    </row>
    <row r="1910">
      <c r="A1910" s="8" t="inlineStr">
        <is>
          <t>WHAP 8x8</t>
        </is>
      </c>
      <c r="B1910" s="8" t="inlineStr">
        <is>
          <t>WHAP-1906</t>
        </is>
      </c>
      <c r="C1910" s="8" t="inlineStr">
        <is>
          <t>MOT-1906</t>
        </is>
      </c>
      <c r="D1910" s="8" t="inlineStr">
        <is>
          <t>bague de poussoir hydraulique</t>
        </is>
      </c>
      <c r="E1910" s="8" t="inlineStr">
        <is>
          <t>Moteur</t>
        </is>
      </c>
      <c r="F1910" s="8" t="inlineStr">
        <is>
          <t>Moteur</t>
        </is>
      </c>
      <c r="G1910" s="8" t="inlineStr">
        <is>
          <t>PIECE_VEHICULE</t>
        </is>
      </c>
      <c r="H1910" s="8" t="n">
        <v>1</v>
      </c>
      <c r="I1910" s="8">
        <f>H1910*$D$3</f>
        <v/>
      </c>
      <c r="J1910" s="8" t="inlineStr">
        <is>
          <t>unité</t>
        </is>
      </c>
      <c r="K1910" s="8" t="n">
        <v>0</v>
      </c>
      <c r="L1910" s="8">
        <f>K1910-I1910</f>
        <v/>
      </c>
      <c r="M1910" s="8">
        <f>IF(K1910&lt;I1910,"✕ INSUFFISANT",IF(K1910&lt;I1910*1.2,"⚠ STOCK FAIBLE","✓ COUVERT"))</f>
        <v/>
      </c>
      <c r="N1910" s="8" t="inlineStr">
        <is>
          <t>YZK</t>
        </is>
      </c>
      <c r="O1910" s="8" t="inlineStr">
        <is>
          <t>CRITIQUE</t>
        </is>
      </c>
      <c r="P1910" s="8" t="inlineStr">
        <is>
          <t>31/08/2026 02:59</t>
        </is>
      </c>
    </row>
    <row r="1911">
      <c r="A1911" s="7" t="inlineStr">
        <is>
          <t>WHAP 8x8</t>
        </is>
      </c>
      <c r="B1911" s="7" t="inlineStr">
        <is>
          <t>WHAP-1907</t>
        </is>
      </c>
      <c r="C1911" s="7" t="inlineStr">
        <is>
          <t>MOT-1907</t>
        </is>
      </c>
      <c r="D1911" s="7" t="inlineStr">
        <is>
          <t>entretoise de poussoir hydraulique</t>
        </is>
      </c>
      <c r="E1911" s="7" t="inlineStr">
        <is>
          <t>Moteur</t>
        </is>
      </c>
      <c r="F1911" s="7" t="inlineStr">
        <is>
          <t>Moteur</t>
        </is>
      </c>
      <c r="G1911" s="7" t="inlineStr">
        <is>
          <t>PIECE_VEHICULE</t>
        </is>
      </c>
      <c r="H1911" s="7" t="n">
        <v>1</v>
      </c>
      <c r="I1911" s="7">
        <f>H1911*$D$3</f>
        <v/>
      </c>
      <c r="J1911" s="7" t="inlineStr">
        <is>
          <t>unité</t>
        </is>
      </c>
      <c r="K1911" s="7" t="n">
        <v>0</v>
      </c>
      <c r="L1911" s="7">
        <f>K1911-I1911</f>
        <v/>
      </c>
      <c r="M1911" s="7">
        <f>IF(K1911&lt;I1911,"✕ INSUFFISANT",IF(K1911&lt;I1911*1.2,"⚠ STOCK FAIBLE","✓ COUVERT"))</f>
        <v/>
      </c>
      <c r="N1911" s="7" t="inlineStr">
        <is>
          <t>SUM</t>
        </is>
      </c>
      <c r="O1911" s="7" t="inlineStr">
        <is>
          <t>CRITIQUE</t>
        </is>
      </c>
      <c r="P1911" s="7" t="inlineStr">
        <is>
          <t>31/08/2026 02:59</t>
        </is>
      </c>
    </row>
    <row r="1912">
      <c r="A1912" s="8" t="inlineStr">
        <is>
          <t>WHAP 8x8</t>
        </is>
      </c>
      <c r="B1912" s="8" t="inlineStr">
        <is>
          <t>WHAP-1908</t>
        </is>
      </c>
      <c r="C1912" s="8" t="inlineStr">
        <is>
          <t>MOT-1908</t>
        </is>
      </c>
      <c r="D1912" s="8" t="inlineStr">
        <is>
          <t>axe de poussoir hydraulique</t>
        </is>
      </c>
      <c r="E1912" s="8" t="inlineStr">
        <is>
          <t>Moteur</t>
        </is>
      </c>
      <c r="F1912" s="8" t="inlineStr">
        <is>
          <t>Moteur</t>
        </is>
      </c>
      <c r="G1912" s="8" t="inlineStr">
        <is>
          <t>PIECE_VEHICULE</t>
        </is>
      </c>
      <c r="H1912" s="8" t="n">
        <v>1</v>
      </c>
      <c r="I1912" s="8">
        <f>H1912*$D$3</f>
        <v/>
      </c>
      <c r="J1912" s="8" t="inlineStr">
        <is>
          <t>unité</t>
        </is>
      </c>
      <c r="K1912" s="8" t="n">
        <v>0</v>
      </c>
      <c r="L1912" s="8">
        <f>K1912-I1912</f>
        <v/>
      </c>
      <c r="M1912" s="8">
        <f>IF(K1912&lt;I1912,"✕ INSUFFISANT",IF(K1912&lt;I1912*1.2,"⚠ STOCK FAIBLE","✓ COUVERT"))</f>
        <v/>
      </c>
      <c r="N1912" s="8" t="inlineStr">
        <is>
          <t>CTL</t>
        </is>
      </c>
      <c r="O1912" s="8" t="inlineStr">
        <is>
          <t>CRITIQUE</t>
        </is>
      </c>
      <c r="P1912" s="8" t="inlineStr">
        <is>
          <t>31/08/2026 02:59</t>
        </is>
      </c>
    </row>
    <row r="1913">
      <c r="A1913" s="7" t="inlineStr">
        <is>
          <t>WHAP 8x8</t>
        </is>
      </c>
      <c r="B1913" s="7" t="inlineStr">
        <is>
          <t>WHAP-1909</t>
        </is>
      </c>
      <c r="C1913" s="7" t="inlineStr">
        <is>
          <t>MOT-1909</t>
        </is>
      </c>
      <c r="D1913" s="7" t="inlineStr">
        <is>
          <t>poulie de poussoir hydraulique</t>
        </is>
      </c>
      <c r="E1913" s="7" t="inlineStr">
        <is>
          <t>Moteur</t>
        </is>
      </c>
      <c r="F1913" s="7" t="inlineStr">
        <is>
          <t>Moteur</t>
        </is>
      </c>
      <c r="G1913" s="7" t="inlineStr">
        <is>
          <t>PIECE_VEHICULE</t>
        </is>
      </c>
      <c r="H1913" s="7" t="n">
        <v>1</v>
      </c>
      <c r="I1913" s="7">
        <f>H1913*$D$3</f>
        <v/>
      </c>
      <c r="J1913" s="7" t="inlineStr">
        <is>
          <t>unité</t>
        </is>
      </c>
      <c r="K1913" s="7" t="n">
        <v>0</v>
      </c>
      <c r="L1913" s="7">
        <f>K1913-I1913</f>
        <v/>
      </c>
      <c r="M1913" s="7">
        <f>IF(K1913&lt;I1913,"✕ INSUFFISANT",IF(K1913&lt;I1913*1.2,"⚠ STOCK FAIBLE","✓ COUVERT"))</f>
        <v/>
      </c>
      <c r="N1913" s="7" t="inlineStr">
        <is>
          <t>DEL</t>
        </is>
      </c>
      <c r="O1913" s="7" t="inlineStr">
        <is>
          <t>CRITIQUE</t>
        </is>
      </c>
      <c r="P1913" s="7" t="inlineStr">
        <is>
          <t>31/08/2026 02:59</t>
        </is>
      </c>
    </row>
    <row r="1914">
      <c r="A1914" s="8" t="inlineStr">
        <is>
          <t>WHAP 8x8</t>
        </is>
      </c>
      <c r="B1914" s="8" t="inlineStr">
        <is>
          <t>WHAP-1910</t>
        </is>
      </c>
      <c r="C1914" s="8" t="inlineStr">
        <is>
          <t>MOT-1910</t>
        </is>
      </c>
      <c r="D1914" s="8" t="inlineStr">
        <is>
          <t>pignon de poussoir hydraulique</t>
        </is>
      </c>
      <c r="E1914" s="8" t="inlineStr">
        <is>
          <t>Moteur</t>
        </is>
      </c>
      <c r="F1914" s="8" t="inlineStr">
        <is>
          <t>Moteur</t>
        </is>
      </c>
      <c r="G1914" s="8" t="inlineStr">
        <is>
          <t>PIECE_VEHICULE</t>
        </is>
      </c>
      <c r="H1914" s="8" t="n">
        <v>1</v>
      </c>
      <c r="I1914" s="8">
        <f>H1914*$D$3</f>
        <v/>
      </c>
      <c r="J1914" s="8" t="inlineStr">
        <is>
          <t>unité</t>
        </is>
      </c>
      <c r="K1914" s="8" t="n">
        <v>0</v>
      </c>
      <c r="L1914" s="8">
        <f>K1914-I1914</f>
        <v/>
      </c>
      <c r="M1914" s="8">
        <f>IF(K1914&lt;I1914,"✕ INSUFFISANT",IF(K1914&lt;I1914*1.2,"⚠ STOCK FAIBLE","✓ COUVERT"))</f>
        <v/>
      </c>
      <c r="N1914" s="8" t="inlineStr">
        <is>
          <t>VAL</t>
        </is>
      </c>
      <c r="O1914" s="8" t="inlineStr">
        <is>
          <t>CRITIQUE</t>
        </is>
      </c>
      <c r="P1914" s="8" t="inlineStr">
        <is>
          <t>31/08/2026 02:59</t>
        </is>
      </c>
    </row>
    <row r="1915">
      <c r="A1915" s="7" t="inlineStr">
        <is>
          <t>WHAP 8x8</t>
        </is>
      </c>
      <c r="B1915" s="7" t="inlineStr">
        <is>
          <t>WHAP-1911</t>
        </is>
      </c>
      <c r="C1915" s="7" t="inlineStr">
        <is>
          <t>MOT-1911</t>
        </is>
      </c>
      <c r="D1915" s="7" t="inlineStr">
        <is>
          <t>ensemble de culbuteur</t>
        </is>
      </c>
      <c r="E1915" s="7" t="inlineStr">
        <is>
          <t>Moteur</t>
        </is>
      </c>
      <c r="F1915" s="7" t="inlineStr">
        <is>
          <t>Moteur</t>
        </is>
      </c>
      <c r="G1915" s="7" t="inlineStr">
        <is>
          <t>PIECE_VEHICULE</t>
        </is>
      </c>
      <c r="H1915" s="7" t="n">
        <v>1</v>
      </c>
      <c r="I1915" s="7">
        <f>H1915*$D$3</f>
        <v/>
      </c>
      <c r="J1915" s="7" t="inlineStr">
        <is>
          <t>unité</t>
        </is>
      </c>
      <c r="K1915" s="7" t="n">
        <v>0</v>
      </c>
      <c r="L1915" s="7">
        <f>K1915-I1915</f>
        <v/>
      </c>
      <c r="M1915" s="7">
        <f>IF(K1915&lt;I1915,"✕ INSUFFISANT",IF(K1915&lt;I1915*1.2,"⚠ STOCK FAIBLE","✓ COUVERT"))</f>
        <v/>
      </c>
      <c r="N1915" s="7" t="inlineStr">
        <is>
          <t>SUM</t>
        </is>
      </c>
      <c r="O1915" s="7" t="inlineStr">
        <is>
          <t>CRITIQUE</t>
        </is>
      </c>
      <c r="P1915" s="7" t="inlineStr">
        <is>
          <t>31/08/2026 02:59</t>
        </is>
      </c>
    </row>
    <row r="1916">
      <c r="A1916" s="8" t="inlineStr">
        <is>
          <t>WHAP 8x8</t>
        </is>
      </c>
      <c r="B1916" s="8" t="inlineStr">
        <is>
          <t>WHAP-1912</t>
        </is>
      </c>
      <c r="C1916" s="8" t="inlineStr">
        <is>
          <t>MOT-1912</t>
        </is>
      </c>
      <c r="D1916" s="8" t="inlineStr">
        <is>
          <t>kit de culbuteur</t>
        </is>
      </c>
      <c r="E1916" s="8" t="inlineStr">
        <is>
          <t>Moteur</t>
        </is>
      </c>
      <c r="F1916" s="8" t="inlineStr">
        <is>
          <t>Moteur</t>
        </is>
      </c>
      <c r="G1916" s="8" t="inlineStr">
        <is>
          <t>PIECE_VEHICULE</t>
        </is>
      </c>
      <c r="H1916" s="8" t="n">
        <v>1</v>
      </c>
      <c r="I1916" s="8">
        <f>H1916*$D$3</f>
        <v/>
      </c>
      <c r="J1916" s="8" t="inlineStr">
        <is>
          <t>unité</t>
        </is>
      </c>
      <c r="K1916" s="8" t="n">
        <v>0</v>
      </c>
      <c r="L1916" s="8">
        <f>K1916-I1916</f>
        <v/>
      </c>
      <c r="M1916" s="8">
        <f>IF(K1916&lt;I1916,"✕ INSUFFISANT",IF(K1916&lt;I1916*1.2,"⚠ STOCK FAIBLE","✓ COUVERT"))</f>
        <v/>
      </c>
      <c r="N1916" s="8" t="inlineStr">
        <is>
          <t>HEL</t>
        </is>
      </c>
      <c r="O1916" s="8" t="inlineStr">
        <is>
          <t>CRITIQUE</t>
        </is>
      </c>
      <c r="P1916" s="8" t="inlineStr">
        <is>
          <t>31/08/2026 02:59</t>
        </is>
      </c>
    </row>
    <row r="1917">
      <c r="A1917" s="7" t="inlineStr">
        <is>
          <t>WHAP 8x8</t>
        </is>
      </c>
      <c r="B1917" s="7" t="inlineStr">
        <is>
          <t>WHAP-1913</t>
        </is>
      </c>
      <c r="C1917" s="7" t="inlineStr">
        <is>
          <t>MOT-1913</t>
        </is>
      </c>
      <c r="D1917" s="7" t="inlineStr">
        <is>
          <t>support de culbuteur</t>
        </is>
      </c>
      <c r="E1917" s="7" t="inlineStr">
        <is>
          <t>Moteur</t>
        </is>
      </c>
      <c r="F1917" s="7" t="inlineStr">
        <is>
          <t>Moteur</t>
        </is>
      </c>
      <c r="G1917" s="7" t="inlineStr">
        <is>
          <t>PIECE_VEHICULE</t>
        </is>
      </c>
      <c r="H1917" s="7" t="n">
        <v>1</v>
      </c>
      <c r="I1917" s="7">
        <f>H1917*$D$3</f>
        <v/>
      </c>
      <c r="J1917" s="7" t="inlineStr">
        <is>
          <t>unité</t>
        </is>
      </c>
      <c r="K1917" s="7" t="n">
        <v>0</v>
      </c>
      <c r="L1917" s="7">
        <f>K1917-I1917</f>
        <v/>
      </c>
      <c r="M1917" s="7">
        <f>IF(K1917&lt;I1917,"✕ INSUFFISANT",IF(K1917&lt;I1917*1.2,"⚠ STOCK FAIBLE","✓ COUVERT"))</f>
        <v/>
      </c>
      <c r="N1917" s="7" t="inlineStr">
        <is>
          <t>DEL</t>
        </is>
      </c>
      <c r="O1917" s="7" t="inlineStr">
        <is>
          <t>CRITIQUE</t>
        </is>
      </c>
      <c r="P1917" s="7" t="inlineStr">
        <is>
          <t>31/08/2026 02:59</t>
        </is>
      </c>
    </row>
    <row r="1918">
      <c r="A1918" s="8" t="inlineStr">
        <is>
          <t>WHAP 8x8</t>
        </is>
      </c>
      <c r="B1918" s="8" t="inlineStr">
        <is>
          <t>WHAP-1914</t>
        </is>
      </c>
      <c r="C1918" s="8" t="inlineStr">
        <is>
          <t>MOT-1914</t>
        </is>
      </c>
      <c r="D1918" s="8" t="inlineStr">
        <is>
          <t>boîtier de culbuteur</t>
        </is>
      </c>
      <c r="E1918" s="8" t="inlineStr">
        <is>
          <t>Moteur</t>
        </is>
      </c>
      <c r="F1918" s="8" t="inlineStr">
        <is>
          <t>Moteur</t>
        </is>
      </c>
      <c r="G1918" s="8" t="inlineStr">
        <is>
          <t>PIECE_VEHICULE</t>
        </is>
      </c>
      <c r="H1918" s="8" t="n">
        <v>1</v>
      </c>
      <c r="I1918" s="8">
        <f>H1918*$D$3</f>
        <v/>
      </c>
      <c r="J1918" s="8" t="inlineStr">
        <is>
          <t>unité</t>
        </is>
      </c>
      <c r="K1918" s="8" t="n">
        <v>0</v>
      </c>
      <c r="L1918" s="8">
        <f>K1918-I1918</f>
        <v/>
      </c>
      <c r="M1918" s="8">
        <f>IF(K1918&lt;I1918,"✕ INSUFFISANT",IF(K1918&lt;I1918*1.2,"⚠ STOCK FAIBLE","✓ COUVERT"))</f>
        <v/>
      </c>
      <c r="N1918" s="8" t="inlineStr">
        <is>
          <t>SUM</t>
        </is>
      </c>
      <c r="O1918" s="8" t="inlineStr">
        <is>
          <t>CRITIQUE</t>
        </is>
      </c>
      <c r="P1918" s="8" t="inlineStr">
        <is>
          <t>31/08/2026 02:59</t>
        </is>
      </c>
    </row>
    <row r="1919">
      <c r="A1919" s="7" t="inlineStr">
        <is>
          <t>WHAP 8x8</t>
        </is>
      </c>
      <c r="B1919" s="7" t="inlineStr">
        <is>
          <t>WHAP-1915</t>
        </is>
      </c>
      <c r="C1919" s="7" t="inlineStr">
        <is>
          <t>MOT-1915</t>
        </is>
      </c>
      <c r="D1919" s="7" t="inlineStr">
        <is>
          <t>module de culbuteur</t>
        </is>
      </c>
      <c r="E1919" s="7" t="inlineStr">
        <is>
          <t>Moteur</t>
        </is>
      </c>
      <c r="F1919" s="7" t="inlineStr">
        <is>
          <t>Moteur</t>
        </is>
      </c>
      <c r="G1919" s="7" t="inlineStr">
        <is>
          <t>PIECE_VEHICULE</t>
        </is>
      </c>
      <c r="H1919" s="7" t="n">
        <v>1</v>
      </c>
      <c r="I1919" s="7">
        <f>H1919*$D$3</f>
        <v/>
      </c>
      <c r="J1919" s="7" t="inlineStr">
        <is>
          <t>unité</t>
        </is>
      </c>
      <c r="K1919" s="7" t="n">
        <v>0</v>
      </c>
      <c r="L1919" s="7">
        <f>K1919-I1919</f>
        <v/>
      </c>
      <c r="M1919" s="7">
        <f>IF(K1919&lt;I1919,"✕ INSUFFISANT",IF(K1919&lt;I1919*1.2,"⚠ STOCK FAIBLE","✓ COUVERT"))</f>
        <v/>
      </c>
      <c r="N1919" s="7" t="inlineStr">
        <is>
          <t>CTL</t>
        </is>
      </c>
      <c r="O1919" s="7" t="inlineStr">
        <is>
          <t>CRITIQUE</t>
        </is>
      </c>
      <c r="P1919" s="7" t="inlineStr">
        <is>
          <t>31/08/2026 02:59</t>
        </is>
      </c>
    </row>
    <row r="1920">
      <c r="A1920" s="8" t="inlineStr">
        <is>
          <t>WHAP 8x8</t>
        </is>
      </c>
      <c r="B1920" s="8" t="inlineStr">
        <is>
          <t>WHAP-1916</t>
        </is>
      </c>
      <c r="C1920" s="8" t="inlineStr">
        <is>
          <t>MOT-1916</t>
        </is>
      </c>
      <c r="D1920" s="8" t="inlineStr">
        <is>
          <t>câblage de culbuteur</t>
        </is>
      </c>
      <c r="E1920" s="8" t="inlineStr">
        <is>
          <t>Moteur</t>
        </is>
      </c>
      <c r="F1920" s="8" t="inlineStr">
        <is>
          <t>Moteur</t>
        </is>
      </c>
      <c r="G1920" s="8" t="inlineStr">
        <is>
          <t>PIECE_VEHICULE</t>
        </is>
      </c>
      <c r="H1920" s="8" t="n">
        <v>1</v>
      </c>
      <c r="I1920" s="8">
        <f>H1920*$D$3</f>
        <v/>
      </c>
      <c r="J1920" s="8" t="inlineStr">
        <is>
          <t>unité</t>
        </is>
      </c>
      <c r="K1920" s="8" t="n">
        <v>0</v>
      </c>
      <c r="L1920" s="8">
        <f>K1920-I1920</f>
        <v/>
      </c>
      <c r="M1920" s="8">
        <f>IF(K1920&lt;I1920,"✕ INSUFFISANT",IF(K1920&lt;I1920*1.2,"⚠ STOCK FAIBLE","✓ COUVERT"))</f>
        <v/>
      </c>
      <c r="N1920" s="8" t="inlineStr">
        <is>
          <t>FAU</t>
        </is>
      </c>
      <c r="O1920" s="8" t="inlineStr">
        <is>
          <t>CRITIQUE</t>
        </is>
      </c>
      <c r="P1920" s="8" t="inlineStr">
        <is>
          <t>31/08/2026 02:59</t>
        </is>
      </c>
    </row>
    <row r="1921">
      <c r="A1921" s="7" t="inlineStr">
        <is>
          <t>WHAP 8x8</t>
        </is>
      </c>
      <c r="B1921" s="7" t="inlineStr">
        <is>
          <t>WHAP-1917</t>
        </is>
      </c>
      <c r="C1921" s="7" t="inlineStr">
        <is>
          <t>MOT-1917</t>
        </is>
      </c>
      <c r="D1921" s="7" t="inlineStr">
        <is>
          <t>connecteur de culbuteur</t>
        </is>
      </c>
      <c r="E1921" s="7" t="inlineStr">
        <is>
          <t>Moteur</t>
        </is>
      </c>
      <c r="F1921" s="7" t="inlineStr">
        <is>
          <t>Moteur</t>
        </is>
      </c>
      <c r="G1921" s="7" t="inlineStr">
        <is>
          <t>PIECE_VEHICULE</t>
        </is>
      </c>
      <c r="H1921" s="7" t="n">
        <v>1</v>
      </c>
      <c r="I1921" s="7">
        <f>H1921*$D$3</f>
        <v/>
      </c>
      <c r="J1921" s="7" t="inlineStr">
        <is>
          <t>unité</t>
        </is>
      </c>
      <c r="K1921" s="7" t="n">
        <v>0</v>
      </c>
      <c r="L1921" s="7">
        <f>K1921-I1921</f>
        <v/>
      </c>
      <c r="M1921" s="7">
        <f>IF(K1921&lt;I1921,"✕ INSUFFISANT",IF(K1921&lt;I1921*1.2,"⚠ STOCK FAIBLE","✓ COUVERT"))</f>
        <v/>
      </c>
      <c r="N1921" s="7" t="inlineStr">
        <is>
          <t>BOS</t>
        </is>
      </c>
      <c r="O1921" s="7" t="inlineStr">
        <is>
          <t>CRITIQUE</t>
        </is>
      </c>
      <c r="P1921" s="7" t="inlineStr">
        <is>
          <t>31/08/2026 02:59</t>
        </is>
      </c>
    </row>
    <row r="1922">
      <c r="A1922" s="8" t="inlineStr">
        <is>
          <t>WHAP 8x8</t>
        </is>
      </c>
      <c r="B1922" s="8" t="inlineStr">
        <is>
          <t>WHAP-1918</t>
        </is>
      </c>
      <c r="C1922" s="8" t="inlineStr">
        <is>
          <t>MOT-1918</t>
        </is>
      </c>
      <c r="D1922" s="8" t="inlineStr">
        <is>
          <t>joint de culbuteur</t>
        </is>
      </c>
      <c r="E1922" s="8" t="inlineStr">
        <is>
          <t>Moteur</t>
        </is>
      </c>
      <c r="F1922" s="8" t="inlineStr">
        <is>
          <t>Moteur</t>
        </is>
      </c>
      <c r="G1922" s="8" t="inlineStr">
        <is>
          <t>PIECE_VEHICULE</t>
        </is>
      </c>
      <c r="H1922" s="8" t="n">
        <v>1</v>
      </c>
      <c r="I1922" s="8">
        <f>H1922*$D$3</f>
        <v/>
      </c>
      <c r="J1922" s="8" t="inlineStr">
        <is>
          <t>unité</t>
        </is>
      </c>
      <c r="K1922" s="8" t="n">
        <v>0</v>
      </c>
      <c r="L1922" s="8">
        <f>K1922-I1922</f>
        <v/>
      </c>
      <c r="M1922" s="8">
        <f>IF(K1922&lt;I1922,"✕ INSUFFISANT",IF(K1922&lt;I1922*1.2,"⚠ STOCK FAIBLE","✓ COUVERT"))</f>
        <v/>
      </c>
      <c r="N1922" s="8" t="inlineStr">
        <is>
          <t>VAL</t>
        </is>
      </c>
      <c r="O1922" s="8" t="inlineStr">
        <is>
          <t>CRITIQUE</t>
        </is>
      </c>
      <c r="P1922" s="8" t="inlineStr">
        <is>
          <t>31/08/2026 02:59</t>
        </is>
      </c>
    </row>
    <row r="1923">
      <c r="A1923" s="7" t="inlineStr">
        <is>
          <t>WHAP 8x8</t>
        </is>
      </c>
      <c r="B1923" s="7" t="inlineStr">
        <is>
          <t>WHAP-1919</t>
        </is>
      </c>
      <c r="C1923" s="7" t="inlineStr">
        <is>
          <t>MOT-1919</t>
        </is>
      </c>
      <c r="D1923" s="7" t="inlineStr">
        <is>
          <t>fixation de culbuteur</t>
        </is>
      </c>
      <c r="E1923" s="7" t="inlineStr">
        <is>
          <t>Moteur</t>
        </is>
      </c>
      <c r="F1923" s="7" t="inlineStr">
        <is>
          <t>Moteur</t>
        </is>
      </c>
      <c r="G1923" s="7" t="inlineStr">
        <is>
          <t>PIECE_VEHICULE</t>
        </is>
      </c>
      <c r="H1923" s="7" t="n">
        <v>1</v>
      </c>
      <c r="I1923" s="7">
        <f>H1923*$D$3</f>
        <v/>
      </c>
      <c r="J1923" s="7" t="inlineStr">
        <is>
          <t>unité</t>
        </is>
      </c>
      <c r="K1923" s="7" t="n">
        <v>0</v>
      </c>
      <c r="L1923" s="7">
        <f>K1923-I1923</f>
        <v/>
      </c>
      <c r="M1923" s="7">
        <f>IF(K1923&lt;I1923,"✕ INSUFFISANT",IF(K1923&lt;I1923*1.2,"⚠ STOCK FAIBLE","✓ COUVERT"))</f>
        <v/>
      </c>
      <c r="N1923" s="7" t="inlineStr">
        <is>
          <t>CTL</t>
        </is>
      </c>
      <c r="O1923" s="7" t="inlineStr">
        <is>
          <t>CRITIQUE</t>
        </is>
      </c>
      <c r="P1923" s="7" t="inlineStr">
        <is>
          <t>31/08/2026 02:59</t>
        </is>
      </c>
    </row>
    <row r="1924">
      <c r="A1924" s="8" t="inlineStr">
        <is>
          <t>WHAP 8x8</t>
        </is>
      </c>
      <c r="B1924" s="8" t="inlineStr">
        <is>
          <t>WHAP-1920</t>
        </is>
      </c>
      <c r="C1924" s="8" t="inlineStr">
        <is>
          <t>MOT-1920</t>
        </is>
      </c>
      <c r="D1924" s="8" t="inlineStr">
        <is>
          <t>protection de culbuteur</t>
        </is>
      </c>
      <c r="E1924" s="8" t="inlineStr">
        <is>
          <t>Moteur</t>
        </is>
      </c>
      <c r="F1924" s="8" t="inlineStr">
        <is>
          <t>Moteur</t>
        </is>
      </c>
      <c r="G1924" s="8" t="inlineStr">
        <is>
          <t>PIECE_VEHICULE</t>
        </is>
      </c>
      <c r="H1924" s="8" t="n">
        <v>1</v>
      </c>
      <c r="I1924" s="8">
        <f>H1924*$D$3</f>
        <v/>
      </c>
      <c r="J1924" s="8" t="inlineStr">
        <is>
          <t>unité</t>
        </is>
      </c>
      <c r="K1924" s="8" t="n">
        <v>0</v>
      </c>
      <c r="L1924" s="8">
        <f>K1924-I1924</f>
        <v/>
      </c>
      <c r="M1924" s="8">
        <f>IF(K1924&lt;I1924,"✕ INSUFFISANT",IF(K1924&lt;I1924*1.2,"⚠ STOCK FAIBLE","✓ COUVERT"))</f>
        <v/>
      </c>
      <c r="N1924" s="8" t="inlineStr">
        <is>
          <t>YZK</t>
        </is>
      </c>
      <c r="O1924" s="8" t="inlineStr">
        <is>
          <t>CRITIQUE</t>
        </is>
      </c>
      <c r="P1924" s="8" t="inlineStr">
        <is>
          <t>31/08/2026 02:59</t>
        </is>
      </c>
    </row>
    <row r="1925">
      <c r="A1925" s="7" t="inlineStr">
        <is>
          <t>WHAP 8x8</t>
        </is>
      </c>
      <c r="B1925" s="7" t="inlineStr">
        <is>
          <t>WHAP-1921</t>
        </is>
      </c>
      <c r="C1925" s="7" t="inlineStr">
        <is>
          <t>MOT-1921</t>
        </is>
      </c>
      <c r="D1925" s="7" t="inlineStr">
        <is>
          <t>capteur de culbuteur</t>
        </is>
      </c>
      <c r="E1925" s="7" t="inlineStr">
        <is>
          <t>Moteur</t>
        </is>
      </c>
      <c r="F1925" s="7" t="inlineStr">
        <is>
          <t>Moteur</t>
        </is>
      </c>
      <c r="G1925" s="7" t="inlineStr">
        <is>
          <t>PIECE_VEHICULE</t>
        </is>
      </c>
      <c r="H1925" s="7" t="n">
        <v>1</v>
      </c>
      <c r="I1925" s="7">
        <f>H1925*$D$3</f>
        <v/>
      </c>
      <c r="J1925" s="7" t="inlineStr">
        <is>
          <t>unité</t>
        </is>
      </c>
      <c r="K1925" s="7" t="n">
        <v>0</v>
      </c>
      <c r="L1925" s="7">
        <f>K1925-I1925</f>
        <v/>
      </c>
      <c r="M1925" s="7">
        <f>IF(K1925&lt;I1925,"✕ INSUFFISANT",IF(K1925&lt;I1925*1.2,"⚠ STOCK FAIBLE","✓ COUVERT"))</f>
        <v/>
      </c>
      <c r="N1925" s="7" t="inlineStr">
        <is>
          <t>SUM</t>
        </is>
      </c>
      <c r="O1925" s="7" t="inlineStr">
        <is>
          <t>CRITIQUE</t>
        </is>
      </c>
      <c r="P1925" s="7" t="inlineStr">
        <is>
          <t>31/08/2026 02:59</t>
        </is>
      </c>
    </row>
    <row r="1926">
      <c r="A1926" s="8" t="inlineStr">
        <is>
          <t>WHAP 8x8</t>
        </is>
      </c>
      <c r="B1926" s="8" t="inlineStr">
        <is>
          <t>WHAP-1922</t>
        </is>
      </c>
      <c r="C1926" s="8" t="inlineStr">
        <is>
          <t>MOT-1922</t>
        </is>
      </c>
      <c r="D1926" s="8" t="inlineStr">
        <is>
          <t>actionneur de culbuteur</t>
        </is>
      </c>
      <c r="E1926" s="8" t="inlineStr">
        <is>
          <t>Moteur</t>
        </is>
      </c>
      <c r="F1926" s="8" t="inlineStr">
        <is>
          <t>Moteur</t>
        </is>
      </c>
      <c r="G1926" s="8" t="inlineStr">
        <is>
          <t>PIECE_VEHICULE</t>
        </is>
      </c>
      <c r="H1926" s="8" t="n">
        <v>1</v>
      </c>
      <c r="I1926" s="8">
        <f>H1926*$D$3</f>
        <v/>
      </c>
      <c r="J1926" s="8" t="inlineStr">
        <is>
          <t>unité</t>
        </is>
      </c>
      <c r="K1926" s="8" t="n">
        <v>0</v>
      </c>
      <c r="L1926" s="8">
        <f>K1926-I1926</f>
        <v/>
      </c>
      <c r="M1926" s="8">
        <f>IF(K1926&lt;I1926,"✕ INSUFFISANT",IF(K1926&lt;I1926*1.2,"⚠ STOCK FAIBLE","✓ COUVERT"))</f>
        <v/>
      </c>
      <c r="N1926" s="8" t="inlineStr">
        <is>
          <t>SUM</t>
        </is>
      </c>
      <c r="O1926" s="8" t="inlineStr">
        <is>
          <t>CRITIQUE</t>
        </is>
      </c>
      <c r="P1926" s="8" t="inlineStr">
        <is>
          <t>31/08/2026 02:59</t>
        </is>
      </c>
    </row>
    <row r="1927">
      <c r="A1927" s="7" t="inlineStr">
        <is>
          <t>WHAP 8x8</t>
        </is>
      </c>
      <c r="B1927" s="7" t="inlineStr">
        <is>
          <t>WHAP-1923</t>
        </is>
      </c>
      <c r="C1927" s="7" t="inlineStr">
        <is>
          <t>MOT-1923</t>
        </is>
      </c>
      <c r="D1927" s="7" t="inlineStr">
        <is>
          <t>raccord de culbuteur</t>
        </is>
      </c>
      <c r="E1927" s="7" t="inlineStr">
        <is>
          <t>Moteur</t>
        </is>
      </c>
      <c r="F1927" s="7" t="inlineStr">
        <is>
          <t>Moteur</t>
        </is>
      </c>
      <c r="G1927" s="7" t="inlineStr">
        <is>
          <t>PIECE_VEHICULE</t>
        </is>
      </c>
      <c r="H1927" s="7" t="n">
        <v>1</v>
      </c>
      <c r="I1927" s="7">
        <f>H1927*$D$3</f>
        <v/>
      </c>
      <c r="J1927" s="7" t="inlineStr">
        <is>
          <t>unité</t>
        </is>
      </c>
      <c r="K1927" s="7" t="n">
        <v>0</v>
      </c>
      <c r="L1927" s="7">
        <f>K1927-I1927</f>
        <v/>
      </c>
      <c r="M1927" s="7">
        <f>IF(K1927&lt;I1927,"✕ INSUFFISANT",IF(K1927&lt;I1927*1.2,"⚠ STOCK FAIBLE","✓ COUVERT"))</f>
        <v/>
      </c>
      <c r="N1927" s="7" t="inlineStr">
        <is>
          <t>SUM</t>
        </is>
      </c>
      <c r="O1927" s="7" t="inlineStr">
        <is>
          <t>CRITIQUE</t>
        </is>
      </c>
      <c r="P1927" s="7" t="inlineStr">
        <is>
          <t>31/08/2026 02:59</t>
        </is>
      </c>
    </row>
    <row r="1928">
      <c r="A1928" s="8" t="inlineStr">
        <is>
          <t>WHAP 8x8</t>
        </is>
      </c>
      <c r="B1928" s="8" t="inlineStr">
        <is>
          <t>WHAP-1924</t>
        </is>
      </c>
      <c r="C1928" s="8" t="inlineStr">
        <is>
          <t>MOT-1924</t>
        </is>
      </c>
      <c r="D1928" s="8" t="inlineStr">
        <is>
          <t>plaque de culbuteur</t>
        </is>
      </c>
      <c r="E1928" s="8" t="inlineStr">
        <is>
          <t>Moteur</t>
        </is>
      </c>
      <c r="F1928" s="8" t="inlineStr">
        <is>
          <t>Moteur</t>
        </is>
      </c>
      <c r="G1928" s="8" t="inlineStr">
        <is>
          <t>PIECE_VEHICULE</t>
        </is>
      </c>
      <c r="H1928" s="8" t="n">
        <v>1</v>
      </c>
      <c r="I1928" s="8">
        <f>H1928*$D$3</f>
        <v/>
      </c>
      <c r="J1928" s="8" t="inlineStr">
        <is>
          <t>unité</t>
        </is>
      </c>
      <c r="K1928" s="8" t="n">
        <v>0</v>
      </c>
      <c r="L1928" s="8">
        <f>K1928-I1928</f>
        <v/>
      </c>
      <c r="M1928" s="8">
        <f>IF(K1928&lt;I1928,"✕ INSUFFISANT",IF(K1928&lt;I1928*1.2,"⚠ STOCK FAIBLE","✓ COUVERT"))</f>
        <v/>
      </c>
      <c r="N1928" s="8" t="inlineStr">
        <is>
          <t>FAU</t>
        </is>
      </c>
      <c r="O1928" s="8" t="inlineStr">
        <is>
          <t>CRITIQUE</t>
        </is>
      </c>
      <c r="P1928" s="8" t="inlineStr">
        <is>
          <t>31/08/2026 02:59</t>
        </is>
      </c>
    </row>
    <row r="1929">
      <c r="A1929" s="7" t="inlineStr">
        <is>
          <t>WHAP 8x8</t>
        </is>
      </c>
      <c r="B1929" s="7" t="inlineStr">
        <is>
          <t>WHAP-1925</t>
        </is>
      </c>
      <c r="C1929" s="7" t="inlineStr">
        <is>
          <t>MOT-1925</t>
        </is>
      </c>
      <c r="D1929" s="7" t="inlineStr">
        <is>
          <t>couvercle de culbuteur</t>
        </is>
      </c>
      <c r="E1929" s="7" t="inlineStr">
        <is>
          <t>Moteur</t>
        </is>
      </c>
      <c r="F1929" s="7" t="inlineStr">
        <is>
          <t>Moteur</t>
        </is>
      </c>
      <c r="G1929" s="7" t="inlineStr">
        <is>
          <t>PIECE_VEHICULE</t>
        </is>
      </c>
      <c r="H1929" s="7" t="n">
        <v>1</v>
      </c>
      <c r="I1929" s="7">
        <f>H1929*$D$3</f>
        <v/>
      </c>
      <c r="J1929" s="7" t="inlineStr">
        <is>
          <t>unité</t>
        </is>
      </c>
      <c r="K1929" s="7" t="n">
        <v>0</v>
      </c>
      <c r="L1929" s="7">
        <f>K1929-I1929</f>
        <v/>
      </c>
      <c r="M1929" s="7">
        <f>IF(K1929&lt;I1929,"✕ INSUFFISANT",IF(K1929&lt;I1929*1.2,"⚠ STOCK FAIBLE","✓ COUVERT"))</f>
        <v/>
      </c>
      <c r="N1929" s="7" t="inlineStr">
        <is>
          <t>DEL</t>
        </is>
      </c>
      <c r="O1929" s="7" t="inlineStr">
        <is>
          <t>CRITIQUE</t>
        </is>
      </c>
      <c r="P1929" s="7" t="inlineStr">
        <is>
          <t>31/08/2026 02:59</t>
        </is>
      </c>
    </row>
    <row r="1930">
      <c r="A1930" s="8" t="inlineStr">
        <is>
          <t>WHAP 8x8</t>
        </is>
      </c>
      <c r="B1930" s="8" t="inlineStr">
        <is>
          <t>WHAP-1926</t>
        </is>
      </c>
      <c r="C1930" s="8" t="inlineStr">
        <is>
          <t>MOT-1926</t>
        </is>
      </c>
      <c r="D1930" s="8" t="inlineStr">
        <is>
          <t>bague de culbuteur</t>
        </is>
      </c>
      <c r="E1930" s="8" t="inlineStr">
        <is>
          <t>Moteur</t>
        </is>
      </c>
      <c r="F1930" s="8" t="inlineStr">
        <is>
          <t>Moteur</t>
        </is>
      </c>
      <c r="G1930" s="8" t="inlineStr">
        <is>
          <t>PIECE_VEHICULE</t>
        </is>
      </c>
      <c r="H1930" s="8" t="n">
        <v>1</v>
      </c>
      <c r="I1930" s="8">
        <f>H1930*$D$3</f>
        <v/>
      </c>
      <c r="J1930" s="8" t="inlineStr">
        <is>
          <t>unité</t>
        </is>
      </c>
      <c r="K1930" s="8" t="n">
        <v>0</v>
      </c>
      <c r="L1930" s="8">
        <f>K1930-I1930</f>
        <v/>
      </c>
      <c r="M1930" s="8">
        <f>IF(K1930&lt;I1930,"✕ INSUFFISANT",IF(K1930&lt;I1930*1.2,"⚠ STOCK FAIBLE","✓ COUVERT"))</f>
        <v/>
      </c>
      <c r="N1930" s="8" t="inlineStr">
        <is>
          <t>YZK</t>
        </is>
      </c>
      <c r="O1930" s="8" t="inlineStr">
        <is>
          <t>CRITIQUE</t>
        </is>
      </c>
      <c r="P1930" s="8" t="inlineStr">
        <is>
          <t>31/08/2026 02:59</t>
        </is>
      </c>
    </row>
    <row r="1931">
      <c r="A1931" s="7" t="inlineStr">
        <is>
          <t>WHAP 8x8</t>
        </is>
      </c>
      <c r="B1931" s="7" t="inlineStr">
        <is>
          <t>WHAP-1927</t>
        </is>
      </c>
      <c r="C1931" s="7" t="inlineStr">
        <is>
          <t>MOT-1927</t>
        </is>
      </c>
      <c r="D1931" s="7" t="inlineStr">
        <is>
          <t>entretoise de culbuteur</t>
        </is>
      </c>
      <c r="E1931" s="7" t="inlineStr">
        <is>
          <t>Moteur</t>
        </is>
      </c>
      <c r="F1931" s="7" t="inlineStr">
        <is>
          <t>Moteur</t>
        </is>
      </c>
      <c r="G1931" s="7" t="inlineStr">
        <is>
          <t>PIECE_VEHICULE</t>
        </is>
      </c>
      <c r="H1931" s="7" t="n">
        <v>1</v>
      </c>
      <c r="I1931" s="7">
        <f>H1931*$D$3</f>
        <v/>
      </c>
      <c r="J1931" s="7" t="inlineStr">
        <is>
          <t>unité</t>
        </is>
      </c>
      <c r="K1931" s="7" t="n">
        <v>0</v>
      </c>
      <c r="L1931" s="7">
        <f>K1931-I1931</f>
        <v/>
      </c>
      <c r="M1931" s="7">
        <f>IF(K1931&lt;I1931,"✕ INSUFFISANT",IF(K1931&lt;I1931*1.2,"⚠ STOCK FAIBLE","✓ COUVERT"))</f>
        <v/>
      </c>
      <c r="N1931" s="7" t="inlineStr">
        <is>
          <t>MAG</t>
        </is>
      </c>
      <c r="O1931" s="7" t="inlineStr">
        <is>
          <t>CRITIQUE</t>
        </is>
      </c>
      <c r="P1931" s="7" t="inlineStr">
        <is>
          <t>31/08/2026 02:59</t>
        </is>
      </c>
    </row>
    <row r="1932">
      <c r="A1932" s="8" t="inlineStr">
        <is>
          <t>WHAP 8x8</t>
        </is>
      </c>
      <c r="B1932" s="8" t="inlineStr">
        <is>
          <t>WHAP-1928</t>
        </is>
      </c>
      <c r="C1932" s="8" t="inlineStr">
        <is>
          <t>MOT-1928</t>
        </is>
      </c>
      <c r="D1932" s="8" t="inlineStr">
        <is>
          <t>axe de culbuteur</t>
        </is>
      </c>
      <c r="E1932" s="8" t="inlineStr">
        <is>
          <t>Moteur</t>
        </is>
      </c>
      <c r="F1932" s="8" t="inlineStr">
        <is>
          <t>Moteur</t>
        </is>
      </c>
      <c r="G1932" s="8" t="inlineStr">
        <is>
          <t>PIECE_VEHICULE</t>
        </is>
      </c>
      <c r="H1932" s="8" t="n">
        <v>1</v>
      </c>
      <c r="I1932" s="8">
        <f>H1932*$D$3</f>
        <v/>
      </c>
      <c r="J1932" s="8" t="inlineStr">
        <is>
          <t>unité</t>
        </is>
      </c>
      <c r="K1932" s="8" t="n">
        <v>0</v>
      </c>
      <c r="L1932" s="8">
        <f>K1932-I1932</f>
        <v/>
      </c>
      <c r="M1932" s="8">
        <f>IF(K1932&lt;I1932,"✕ INSUFFISANT",IF(K1932&lt;I1932*1.2,"⚠ STOCK FAIBLE","✓ COUVERT"))</f>
        <v/>
      </c>
      <c r="N1932" s="8" t="inlineStr">
        <is>
          <t>SUM</t>
        </is>
      </c>
      <c r="O1932" s="8" t="inlineStr">
        <is>
          <t>CRITIQUE</t>
        </is>
      </c>
      <c r="P1932" s="8" t="inlineStr">
        <is>
          <t>31/08/2026 02:59</t>
        </is>
      </c>
    </row>
    <row r="1933">
      <c r="A1933" s="7" t="inlineStr">
        <is>
          <t>WHAP 8x8</t>
        </is>
      </c>
      <c r="B1933" s="7" t="inlineStr">
        <is>
          <t>WHAP-1929</t>
        </is>
      </c>
      <c r="C1933" s="7" t="inlineStr">
        <is>
          <t>MOT-1929</t>
        </is>
      </c>
      <c r="D1933" s="7" t="inlineStr">
        <is>
          <t>poulie de culbuteur</t>
        </is>
      </c>
      <c r="E1933" s="7" t="inlineStr">
        <is>
          <t>Moteur</t>
        </is>
      </c>
      <c r="F1933" s="7" t="inlineStr">
        <is>
          <t>Moteur</t>
        </is>
      </c>
      <c r="G1933" s="7" t="inlineStr">
        <is>
          <t>PIECE_VEHICULE</t>
        </is>
      </c>
      <c r="H1933" s="7" t="n">
        <v>1</v>
      </c>
      <c r="I1933" s="7">
        <f>H1933*$D$3</f>
        <v/>
      </c>
      <c r="J1933" s="7" t="inlineStr">
        <is>
          <t>unité</t>
        </is>
      </c>
      <c r="K1933" s="7" t="n">
        <v>0</v>
      </c>
      <c r="L1933" s="7">
        <f>K1933-I1933</f>
        <v/>
      </c>
      <c r="M1933" s="7">
        <f>IF(K1933&lt;I1933,"✕ INSUFFISANT",IF(K1933&lt;I1933*1.2,"⚠ STOCK FAIBLE","✓ COUVERT"))</f>
        <v/>
      </c>
      <c r="N1933" s="7" t="inlineStr">
        <is>
          <t>SKF</t>
        </is>
      </c>
      <c r="O1933" s="7" t="inlineStr">
        <is>
          <t>CRITIQUE</t>
        </is>
      </c>
      <c r="P1933" s="7" t="inlineStr">
        <is>
          <t>31/08/2026 02:59</t>
        </is>
      </c>
    </row>
    <row r="1934">
      <c r="A1934" s="8" t="inlineStr">
        <is>
          <t>WHAP 8x8</t>
        </is>
      </c>
      <c r="B1934" s="8" t="inlineStr">
        <is>
          <t>WHAP-1930</t>
        </is>
      </c>
      <c r="C1934" s="8" t="inlineStr">
        <is>
          <t>MOT-1930</t>
        </is>
      </c>
      <c r="D1934" s="8" t="inlineStr">
        <is>
          <t>pignon de culbuteur</t>
        </is>
      </c>
      <c r="E1934" s="8" t="inlineStr">
        <is>
          <t>Moteur</t>
        </is>
      </c>
      <c r="F1934" s="8" t="inlineStr">
        <is>
          <t>Moteur</t>
        </is>
      </c>
      <c r="G1934" s="8" t="inlineStr">
        <is>
          <t>PIECE_VEHICULE</t>
        </is>
      </c>
      <c r="H1934" s="8" t="n">
        <v>1</v>
      </c>
      <c r="I1934" s="8">
        <f>H1934*$D$3</f>
        <v/>
      </c>
      <c r="J1934" s="8" t="inlineStr">
        <is>
          <t>unité</t>
        </is>
      </c>
      <c r="K1934" s="8" t="n">
        <v>0</v>
      </c>
      <c r="L1934" s="8">
        <f>K1934-I1934</f>
        <v/>
      </c>
      <c r="M1934" s="8">
        <f>IF(K1934&lt;I1934,"✕ INSUFFISANT",IF(K1934&lt;I1934*1.2,"⚠ STOCK FAIBLE","✓ COUVERT"))</f>
        <v/>
      </c>
      <c r="N1934" s="8" t="inlineStr">
        <is>
          <t>SKF</t>
        </is>
      </c>
      <c r="O1934" s="8" t="inlineStr">
        <is>
          <t>CRITIQUE</t>
        </is>
      </c>
      <c r="P1934" s="8" t="inlineStr">
        <is>
          <t>31/08/2026 02:59</t>
        </is>
      </c>
    </row>
    <row r="1935">
      <c r="A1935" s="7" t="inlineStr">
        <is>
          <t>WHAP 8x8</t>
        </is>
      </c>
      <c r="B1935" s="7" t="inlineStr">
        <is>
          <t>WHAP-1931</t>
        </is>
      </c>
      <c r="C1935" s="7" t="inlineStr">
        <is>
          <t>MOT-1931</t>
        </is>
      </c>
      <c r="D1935" s="7" t="inlineStr">
        <is>
          <t>ensemble de soupape d'admission</t>
        </is>
      </c>
      <c r="E1935" s="7" t="inlineStr">
        <is>
          <t>Moteur</t>
        </is>
      </c>
      <c r="F1935" s="7" t="inlineStr">
        <is>
          <t>Moteur</t>
        </is>
      </c>
      <c r="G1935" s="7" t="inlineStr">
        <is>
          <t>PIECE_VEHICULE</t>
        </is>
      </c>
      <c r="H1935" s="7" t="n">
        <v>1</v>
      </c>
      <c r="I1935" s="7">
        <f>H1935*$D$3</f>
        <v/>
      </c>
      <c r="J1935" s="7" t="inlineStr">
        <is>
          <t>unité</t>
        </is>
      </c>
      <c r="K1935" s="7" t="n">
        <v>0</v>
      </c>
      <c r="L1935" s="7">
        <f>K1935-I1935</f>
        <v/>
      </c>
      <c r="M1935" s="7">
        <f>IF(K1935&lt;I1935,"✕ INSUFFISANT",IF(K1935&lt;I1935*1.2,"⚠ STOCK FAIBLE","✓ COUVERT"))</f>
        <v/>
      </c>
      <c r="N1935" s="7" t="inlineStr">
        <is>
          <t>CTL</t>
        </is>
      </c>
      <c r="O1935" s="7" t="inlineStr">
        <is>
          <t>CRITIQUE</t>
        </is>
      </c>
      <c r="P1935" s="7" t="inlineStr">
        <is>
          <t>31/08/2026 02:59</t>
        </is>
      </c>
    </row>
    <row r="1936">
      <c r="A1936" s="8" t="inlineStr">
        <is>
          <t>WHAP 8x8</t>
        </is>
      </c>
      <c r="B1936" s="8" t="inlineStr">
        <is>
          <t>WHAP-1932</t>
        </is>
      </c>
      <c r="C1936" s="8" t="inlineStr">
        <is>
          <t>MOT-1932</t>
        </is>
      </c>
      <c r="D1936" s="8" t="inlineStr">
        <is>
          <t>kit de soupape d'admission</t>
        </is>
      </c>
      <c r="E1936" s="8" t="inlineStr">
        <is>
          <t>Moteur</t>
        </is>
      </c>
      <c r="F1936" s="8" t="inlineStr">
        <is>
          <t>Moteur</t>
        </is>
      </c>
      <c r="G1936" s="8" t="inlineStr">
        <is>
          <t>PIECE_VEHICULE</t>
        </is>
      </c>
      <c r="H1936" s="8" t="n">
        <v>1</v>
      </c>
      <c r="I1936" s="8">
        <f>H1936*$D$3</f>
        <v/>
      </c>
      <c r="J1936" s="8" t="inlineStr">
        <is>
          <t>unité</t>
        </is>
      </c>
      <c r="K1936" s="8" t="n">
        <v>0</v>
      </c>
      <c r="L1936" s="8">
        <f>K1936-I1936</f>
        <v/>
      </c>
      <c r="M1936" s="8">
        <f>IF(K1936&lt;I1936,"✕ INSUFFISANT",IF(K1936&lt;I1936*1.2,"⚠ STOCK FAIBLE","✓ COUVERT"))</f>
        <v/>
      </c>
      <c r="N1936" s="8" t="inlineStr">
        <is>
          <t>DEL</t>
        </is>
      </c>
      <c r="O1936" s="8" t="inlineStr">
        <is>
          <t>CRITIQUE</t>
        </is>
      </c>
      <c r="P1936" s="8" t="inlineStr">
        <is>
          <t>31/08/2026 02:59</t>
        </is>
      </c>
    </row>
    <row r="1937">
      <c r="A1937" s="7" t="inlineStr">
        <is>
          <t>WHAP 8x8</t>
        </is>
      </c>
      <c r="B1937" s="7" t="inlineStr">
        <is>
          <t>WHAP-1933</t>
        </is>
      </c>
      <c r="C1937" s="7" t="inlineStr">
        <is>
          <t>MOT-1933</t>
        </is>
      </c>
      <c r="D1937" s="7" t="inlineStr">
        <is>
          <t>support de soupape d'admission</t>
        </is>
      </c>
      <c r="E1937" s="7" t="inlineStr">
        <is>
          <t>Moteur</t>
        </is>
      </c>
      <c r="F1937" s="7" t="inlineStr">
        <is>
          <t>Moteur</t>
        </is>
      </c>
      <c r="G1937" s="7" t="inlineStr">
        <is>
          <t>PIECE_VEHICULE</t>
        </is>
      </c>
      <c r="H1937" s="7" t="n">
        <v>1</v>
      </c>
      <c r="I1937" s="7">
        <f>H1937*$D$3</f>
        <v/>
      </c>
      <c r="J1937" s="7" t="inlineStr">
        <is>
          <t>unité</t>
        </is>
      </c>
      <c r="K1937" s="7" t="n">
        <v>0</v>
      </c>
      <c r="L1937" s="7">
        <f>K1937-I1937</f>
        <v/>
      </c>
      <c r="M1937" s="7">
        <f>IF(K1937&lt;I1937,"✕ INSUFFISANT",IF(K1937&lt;I1937*1.2,"⚠ STOCK FAIBLE","✓ COUVERT"))</f>
        <v/>
      </c>
      <c r="N1937" s="7" t="inlineStr">
        <is>
          <t>FAU</t>
        </is>
      </c>
      <c r="O1937" s="7" t="inlineStr">
        <is>
          <t>CRITIQUE</t>
        </is>
      </c>
      <c r="P1937" s="7" t="inlineStr">
        <is>
          <t>31/08/2026 02:59</t>
        </is>
      </c>
    </row>
    <row r="1938">
      <c r="A1938" s="8" t="inlineStr">
        <is>
          <t>WHAP 8x8</t>
        </is>
      </c>
      <c r="B1938" s="8" t="inlineStr">
        <is>
          <t>WHAP-1934</t>
        </is>
      </c>
      <c r="C1938" s="8" t="inlineStr">
        <is>
          <t>MOT-1934</t>
        </is>
      </c>
      <c r="D1938" s="8" t="inlineStr">
        <is>
          <t>boîtier de soupape d'admission</t>
        </is>
      </c>
      <c r="E1938" s="8" t="inlineStr">
        <is>
          <t>Moteur</t>
        </is>
      </c>
      <c r="F1938" s="8" t="inlineStr">
        <is>
          <t>Moteur</t>
        </is>
      </c>
      <c r="G1938" s="8" t="inlineStr">
        <is>
          <t>PIECE_VEHICULE</t>
        </is>
      </c>
      <c r="H1938" s="8" t="n">
        <v>1</v>
      </c>
      <c r="I1938" s="8">
        <f>H1938*$D$3</f>
        <v/>
      </c>
      <c r="J1938" s="8" t="inlineStr">
        <is>
          <t>unité</t>
        </is>
      </c>
      <c r="K1938" s="8" t="n">
        <v>0</v>
      </c>
      <c r="L1938" s="8">
        <f>K1938-I1938</f>
        <v/>
      </c>
      <c r="M1938" s="8">
        <f>IF(K1938&lt;I1938,"✕ INSUFFISANT",IF(K1938&lt;I1938*1.2,"⚠ STOCK FAIBLE","✓ COUVERT"))</f>
        <v/>
      </c>
      <c r="N1938" s="8" t="inlineStr">
        <is>
          <t>SUM</t>
        </is>
      </c>
      <c r="O1938" s="8" t="inlineStr">
        <is>
          <t>CRITIQUE</t>
        </is>
      </c>
      <c r="P1938" s="8" t="inlineStr">
        <is>
          <t>31/08/2026 02:59</t>
        </is>
      </c>
    </row>
    <row r="1939">
      <c r="A1939" s="7" t="inlineStr">
        <is>
          <t>WHAP 8x8</t>
        </is>
      </c>
      <c r="B1939" s="7" t="inlineStr">
        <is>
          <t>WHAP-1935</t>
        </is>
      </c>
      <c r="C1939" s="7" t="inlineStr">
        <is>
          <t>MOT-1935</t>
        </is>
      </c>
      <c r="D1939" s="7" t="inlineStr">
        <is>
          <t>module de soupape d'admission</t>
        </is>
      </c>
      <c r="E1939" s="7" t="inlineStr">
        <is>
          <t>Moteur</t>
        </is>
      </c>
      <c r="F1939" s="7" t="inlineStr">
        <is>
          <t>Moteur</t>
        </is>
      </c>
      <c r="G1939" s="7" t="inlineStr">
        <is>
          <t>PIECE_VEHICULE</t>
        </is>
      </c>
      <c r="H1939" s="7" t="n">
        <v>1</v>
      </c>
      <c r="I1939" s="7">
        <f>H1939*$D$3</f>
        <v/>
      </c>
      <c r="J1939" s="7" t="inlineStr">
        <is>
          <t>unité</t>
        </is>
      </c>
      <c r="K1939" s="7" t="n">
        <v>0</v>
      </c>
      <c r="L1939" s="7">
        <f>K1939-I1939</f>
        <v/>
      </c>
      <c r="M1939" s="7">
        <f>IF(K1939&lt;I1939,"✕ INSUFFISANT",IF(K1939&lt;I1939*1.2,"⚠ STOCK FAIBLE","✓ COUVERT"))</f>
        <v/>
      </c>
      <c r="N1939" s="7" t="inlineStr">
        <is>
          <t>FAU</t>
        </is>
      </c>
      <c r="O1939" s="7" t="inlineStr">
        <is>
          <t>CRITIQUE</t>
        </is>
      </c>
      <c r="P1939" s="7" t="inlineStr">
        <is>
          <t>31/08/2026 02:59</t>
        </is>
      </c>
    </row>
    <row r="1940">
      <c r="A1940" s="8" t="inlineStr">
        <is>
          <t>WHAP 8x8</t>
        </is>
      </c>
      <c r="B1940" s="8" t="inlineStr">
        <is>
          <t>WHAP-1936</t>
        </is>
      </c>
      <c r="C1940" s="8" t="inlineStr">
        <is>
          <t>MOT-1936</t>
        </is>
      </c>
      <c r="D1940" s="8" t="inlineStr">
        <is>
          <t>câblage de soupape d'admission</t>
        </is>
      </c>
      <c r="E1940" s="8" t="inlineStr">
        <is>
          <t>Moteur</t>
        </is>
      </c>
      <c r="F1940" s="8" t="inlineStr">
        <is>
          <t>Moteur</t>
        </is>
      </c>
      <c r="G1940" s="8" t="inlineStr">
        <is>
          <t>PIECE_VEHICULE</t>
        </is>
      </c>
      <c r="H1940" s="8" t="n">
        <v>1</v>
      </c>
      <c r="I1940" s="8">
        <f>H1940*$D$3</f>
        <v/>
      </c>
      <c r="J1940" s="8" t="inlineStr">
        <is>
          <t>unité</t>
        </is>
      </c>
      <c r="K1940" s="8" t="n">
        <v>0</v>
      </c>
      <c r="L1940" s="8">
        <f>K1940-I1940</f>
        <v/>
      </c>
      <c r="M1940" s="8">
        <f>IF(K1940&lt;I1940,"✕ INSUFFISANT",IF(K1940&lt;I1940*1.2,"⚠ STOCK FAIBLE","✓ COUVERT"))</f>
        <v/>
      </c>
      <c r="N1940" s="8" t="inlineStr">
        <is>
          <t>CTL</t>
        </is>
      </c>
      <c r="O1940" s="8" t="inlineStr">
        <is>
          <t>CRITIQUE</t>
        </is>
      </c>
      <c r="P1940" s="8" t="inlineStr">
        <is>
          <t>31/08/2026 02:59</t>
        </is>
      </c>
    </row>
    <row r="1941">
      <c r="A1941" s="7" t="inlineStr">
        <is>
          <t>WHAP 8x8</t>
        </is>
      </c>
      <c r="B1941" s="7" t="inlineStr">
        <is>
          <t>WHAP-1937</t>
        </is>
      </c>
      <c r="C1941" s="7" t="inlineStr">
        <is>
          <t>MOT-1937</t>
        </is>
      </c>
      <c r="D1941" s="7" t="inlineStr">
        <is>
          <t>connecteur de soupape d'admission</t>
        </is>
      </c>
      <c r="E1941" s="7" t="inlineStr">
        <is>
          <t>Moteur</t>
        </is>
      </c>
      <c r="F1941" s="7" t="inlineStr">
        <is>
          <t>Moteur</t>
        </is>
      </c>
      <c r="G1941" s="7" t="inlineStr">
        <is>
          <t>PIECE_VEHICULE</t>
        </is>
      </c>
      <c r="H1941" s="7" t="n">
        <v>1</v>
      </c>
      <c r="I1941" s="7">
        <f>H1941*$D$3</f>
        <v/>
      </c>
      <c r="J1941" s="7" t="inlineStr">
        <is>
          <t>unité</t>
        </is>
      </c>
      <c r="K1941" s="7" t="n">
        <v>0</v>
      </c>
      <c r="L1941" s="7">
        <f>K1941-I1941</f>
        <v/>
      </c>
      <c r="M1941" s="7">
        <f>IF(K1941&lt;I1941,"✕ INSUFFISANT",IF(K1941&lt;I1941*1.2,"⚠ STOCK FAIBLE","✓ COUVERT"))</f>
        <v/>
      </c>
      <c r="N1941" s="7" t="inlineStr">
        <is>
          <t>FAU</t>
        </is>
      </c>
      <c r="O1941" s="7" t="inlineStr">
        <is>
          <t>CRITIQUE</t>
        </is>
      </c>
      <c r="P1941" s="7" t="inlineStr">
        <is>
          <t>31/08/2026 02:59</t>
        </is>
      </c>
    </row>
    <row r="1942">
      <c r="A1942" s="8" t="inlineStr">
        <is>
          <t>WHAP 8x8</t>
        </is>
      </c>
      <c r="B1942" s="8" t="inlineStr">
        <is>
          <t>WHAP-1938</t>
        </is>
      </c>
      <c r="C1942" s="8" t="inlineStr">
        <is>
          <t>MOT-1938</t>
        </is>
      </c>
      <c r="D1942" s="8" t="inlineStr">
        <is>
          <t>joint de soupape d'admission</t>
        </is>
      </c>
      <c r="E1942" s="8" t="inlineStr">
        <is>
          <t>Moteur</t>
        </is>
      </c>
      <c r="F1942" s="8" t="inlineStr">
        <is>
          <t>Moteur</t>
        </is>
      </c>
      <c r="G1942" s="8" t="inlineStr">
        <is>
          <t>PIECE_VEHICULE</t>
        </is>
      </c>
      <c r="H1942" s="8" t="n">
        <v>1</v>
      </c>
      <c r="I1942" s="8">
        <f>H1942*$D$3</f>
        <v/>
      </c>
      <c r="J1942" s="8" t="inlineStr">
        <is>
          <t>unité</t>
        </is>
      </c>
      <c r="K1942" s="8" t="n">
        <v>0</v>
      </c>
      <c r="L1942" s="8">
        <f>K1942-I1942</f>
        <v/>
      </c>
      <c r="M1942" s="8">
        <f>IF(K1942&lt;I1942,"✕ INSUFFISANT",IF(K1942&lt;I1942*1.2,"⚠ STOCK FAIBLE","✓ COUVERT"))</f>
        <v/>
      </c>
      <c r="N1942" s="8" t="inlineStr">
        <is>
          <t>FAU</t>
        </is>
      </c>
      <c r="O1942" s="8" t="inlineStr">
        <is>
          <t>CRITIQUE</t>
        </is>
      </c>
      <c r="P1942" s="8" t="inlineStr">
        <is>
          <t>31/08/2026 02:59</t>
        </is>
      </c>
    </row>
    <row r="1943">
      <c r="A1943" s="7" t="inlineStr">
        <is>
          <t>WHAP 8x8</t>
        </is>
      </c>
      <c r="B1943" s="7" t="inlineStr">
        <is>
          <t>WHAP-1939</t>
        </is>
      </c>
      <c r="C1943" s="7" t="inlineStr">
        <is>
          <t>MOT-1939</t>
        </is>
      </c>
      <c r="D1943" s="7" t="inlineStr">
        <is>
          <t>fixation de soupape d'admission</t>
        </is>
      </c>
      <c r="E1943" s="7" t="inlineStr">
        <is>
          <t>Moteur</t>
        </is>
      </c>
      <c r="F1943" s="7" t="inlineStr">
        <is>
          <t>Moteur</t>
        </is>
      </c>
      <c r="G1943" s="7" t="inlineStr">
        <is>
          <t>PIECE_VEHICULE</t>
        </is>
      </c>
      <c r="H1943" s="7" t="n">
        <v>1</v>
      </c>
      <c r="I1943" s="7">
        <f>H1943*$D$3</f>
        <v/>
      </c>
      <c r="J1943" s="7" t="inlineStr">
        <is>
          <t>unité</t>
        </is>
      </c>
      <c r="K1943" s="7" t="n">
        <v>0</v>
      </c>
      <c r="L1943" s="7">
        <f>K1943-I1943</f>
        <v/>
      </c>
      <c r="M1943" s="7">
        <f>IF(K1943&lt;I1943,"✕ INSUFFISANT",IF(K1943&lt;I1943*1.2,"⚠ STOCK FAIBLE","✓ COUVERT"))</f>
        <v/>
      </c>
      <c r="N1943" s="7" t="inlineStr">
        <is>
          <t>BOS</t>
        </is>
      </c>
      <c r="O1943" s="7" t="inlineStr">
        <is>
          <t>CRITIQUE</t>
        </is>
      </c>
      <c r="P1943" s="7" t="inlineStr">
        <is>
          <t>31/08/2026 02:59</t>
        </is>
      </c>
    </row>
    <row r="1944">
      <c r="A1944" s="8" t="inlineStr">
        <is>
          <t>WHAP 8x8</t>
        </is>
      </c>
      <c r="B1944" s="8" t="inlineStr">
        <is>
          <t>WHAP-1940</t>
        </is>
      </c>
      <c r="C1944" s="8" t="inlineStr">
        <is>
          <t>MOT-1940</t>
        </is>
      </c>
      <c r="D1944" s="8" t="inlineStr">
        <is>
          <t>protection de soupape d'admission</t>
        </is>
      </c>
      <c r="E1944" s="8" t="inlineStr">
        <is>
          <t>Moteur</t>
        </is>
      </c>
      <c r="F1944" s="8" t="inlineStr">
        <is>
          <t>Moteur</t>
        </is>
      </c>
      <c r="G1944" s="8" t="inlineStr">
        <is>
          <t>PIECE_VEHICULE</t>
        </is>
      </c>
      <c r="H1944" s="8" t="n">
        <v>1</v>
      </c>
      <c r="I1944" s="8">
        <f>H1944*$D$3</f>
        <v/>
      </c>
      <c r="J1944" s="8" t="inlineStr">
        <is>
          <t>unité</t>
        </is>
      </c>
      <c r="K1944" s="8" t="n">
        <v>0</v>
      </c>
      <c r="L1944" s="8">
        <f>K1944-I1944</f>
        <v/>
      </c>
      <c r="M1944" s="8">
        <f>IF(K1944&lt;I1944,"✕ INSUFFISANT",IF(K1944&lt;I1944*1.2,"⚠ STOCK FAIBLE","✓ COUVERT"))</f>
        <v/>
      </c>
      <c r="N1944" s="8" t="inlineStr">
        <is>
          <t>HEL</t>
        </is>
      </c>
      <c r="O1944" s="8" t="inlineStr">
        <is>
          <t>CRITIQUE</t>
        </is>
      </c>
      <c r="P1944" s="8" t="inlineStr">
        <is>
          <t>31/08/2026 02:59</t>
        </is>
      </c>
    </row>
    <row r="1945">
      <c r="A1945" s="7" t="inlineStr">
        <is>
          <t>WHAP 8x8</t>
        </is>
      </c>
      <c r="B1945" s="7" t="inlineStr">
        <is>
          <t>WHAP-1941</t>
        </is>
      </c>
      <c r="C1945" s="7" t="inlineStr">
        <is>
          <t>MOT-1941</t>
        </is>
      </c>
      <c r="D1945" s="7" t="inlineStr">
        <is>
          <t>capteur de soupape d'admission</t>
        </is>
      </c>
      <c r="E1945" s="7" t="inlineStr">
        <is>
          <t>Moteur</t>
        </is>
      </c>
      <c r="F1945" s="7" t="inlineStr">
        <is>
          <t>Moteur</t>
        </is>
      </c>
      <c r="G1945" s="7" t="inlineStr">
        <is>
          <t>PIECE_VEHICULE</t>
        </is>
      </c>
      <c r="H1945" s="7" t="n">
        <v>1</v>
      </c>
      <c r="I1945" s="7">
        <f>H1945*$D$3</f>
        <v/>
      </c>
      <c r="J1945" s="7" t="inlineStr">
        <is>
          <t>unité</t>
        </is>
      </c>
      <c r="K1945" s="7" t="n">
        <v>0</v>
      </c>
      <c r="L1945" s="7">
        <f>K1945-I1945</f>
        <v/>
      </c>
      <c r="M1945" s="7">
        <f>IF(K1945&lt;I1945,"✕ INSUFFISANT",IF(K1945&lt;I1945*1.2,"⚠ STOCK FAIBLE","✓ COUVERT"))</f>
        <v/>
      </c>
      <c r="N1945" s="7" t="inlineStr">
        <is>
          <t>HEL</t>
        </is>
      </c>
      <c r="O1945" s="7" t="inlineStr">
        <is>
          <t>CRITIQUE</t>
        </is>
      </c>
      <c r="P1945" s="7" t="inlineStr">
        <is>
          <t>31/08/2026 02:59</t>
        </is>
      </c>
    </row>
    <row r="1946">
      <c r="A1946" s="8" t="inlineStr">
        <is>
          <t>WHAP 8x8</t>
        </is>
      </c>
      <c r="B1946" s="8" t="inlineStr">
        <is>
          <t>WHAP-1942</t>
        </is>
      </c>
      <c r="C1946" s="8" t="inlineStr">
        <is>
          <t>MOT-1942</t>
        </is>
      </c>
      <c r="D1946" s="8" t="inlineStr">
        <is>
          <t>actionneur de soupape d'admission</t>
        </is>
      </c>
      <c r="E1946" s="8" t="inlineStr">
        <is>
          <t>Moteur</t>
        </is>
      </c>
      <c r="F1946" s="8" t="inlineStr">
        <is>
          <t>Moteur</t>
        </is>
      </c>
      <c r="G1946" s="8" t="inlineStr">
        <is>
          <t>PIECE_VEHICULE</t>
        </is>
      </c>
      <c r="H1946" s="8" t="n">
        <v>1</v>
      </c>
      <c r="I1946" s="8">
        <f>H1946*$D$3</f>
        <v/>
      </c>
      <c r="J1946" s="8" t="inlineStr">
        <is>
          <t>unité</t>
        </is>
      </c>
      <c r="K1946" s="8" t="n">
        <v>0</v>
      </c>
      <c r="L1946" s="8">
        <f>K1946-I1946</f>
        <v/>
      </c>
      <c r="M1946" s="8">
        <f>IF(K1946&lt;I1946,"✕ INSUFFISANT",IF(K1946&lt;I1946*1.2,"⚠ STOCK FAIBLE","✓ COUVERT"))</f>
        <v/>
      </c>
      <c r="N1946" s="8" t="inlineStr">
        <is>
          <t>FAU</t>
        </is>
      </c>
      <c r="O1946" s="8" t="inlineStr">
        <is>
          <t>CRITIQUE</t>
        </is>
      </c>
      <c r="P1946" s="8" t="inlineStr">
        <is>
          <t>31/08/2026 02:59</t>
        </is>
      </c>
    </row>
    <row r="1947">
      <c r="A1947" s="7" t="inlineStr">
        <is>
          <t>WHAP 8x8</t>
        </is>
      </c>
      <c r="B1947" s="7" t="inlineStr">
        <is>
          <t>WHAP-1943</t>
        </is>
      </c>
      <c r="C1947" s="7" t="inlineStr">
        <is>
          <t>MOT-1943</t>
        </is>
      </c>
      <c r="D1947" s="7" t="inlineStr">
        <is>
          <t>raccord de soupape d'admission</t>
        </is>
      </c>
      <c r="E1947" s="7" t="inlineStr">
        <is>
          <t>Moteur</t>
        </is>
      </c>
      <c r="F1947" s="7" t="inlineStr">
        <is>
          <t>Moteur</t>
        </is>
      </c>
      <c r="G1947" s="7" t="inlineStr">
        <is>
          <t>PIECE_VEHICULE</t>
        </is>
      </c>
      <c r="H1947" s="7" t="n">
        <v>1</v>
      </c>
      <c r="I1947" s="7">
        <f>H1947*$D$3</f>
        <v/>
      </c>
      <c r="J1947" s="7" t="inlineStr">
        <is>
          <t>unité</t>
        </is>
      </c>
      <c r="K1947" s="7" t="n">
        <v>0</v>
      </c>
      <c r="L1947" s="7">
        <f>K1947-I1947</f>
        <v/>
      </c>
      <c r="M1947" s="7">
        <f>IF(K1947&lt;I1947,"✕ INSUFFISANT",IF(K1947&lt;I1947*1.2,"⚠ STOCK FAIBLE","✓ COUVERT"))</f>
        <v/>
      </c>
      <c r="N1947" s="7" t="inlineStr">
        <is>
          <t>HEL</t>
        </is>
      </c>
      <c r="O1947" s="7" t="inlineStr">
        <is>
          <t>CRITIQUE</t>
        </is>
      </c>
      <c r="P1947" s="7" t="inlineStr">
        <is>
          <t>31/08/2026 02:59</t>
        </is>
      </c>
    </row>
    <row r="1948">
      <c r="A1948" s="8" t="inlineStr">
        <is>
          <t>WHAP 8x8</t>
        </is>
      </c>
      <c r="B1948" s="8" t="inlineStr">
        <is>
          <t>WHAP-1944</t>
        </is>
      </c>
      <c r="C1948" s="8" t="inlineStr">
        <is>
          <t>MOT-1944</t>
        </is>
      </c>
      <c r="D1948" s="8" t="inlineStr">
        <is>
          <t>plaque de soupape d'admission</t>
        </is>
      </c>
      <c r="E1948" s="8" t="inlineStr">
        <is>
          <t>Moteur</t>
        </is>
      </c>
      <c r="F1948" s="8" t="inlineStr">
        <is>
          <t>Moteur</t>
        </is>
      </c>
      <c r="G1948" s="8" t="inlineStr">
        <is>
          <t>PIECE_VEHICULE</t>
        </is>
      </c>
      <c r="H1948" s="8" t="n">
        <v>1</v>
      </c>
      <c r="I1948" s="8">
        <f>H1948*$D$3</f>
        <v/>
      </c>
      <c r="J1948" s="8" t="inlineStr">
        <is>
          <t>unité</t>
        </is>
      </c>
      <c r="K1948" s="8" t="n">
        <v>0</v>
      </c>
      <c r="L1948" s="8">
        <f>K1948-I1948</f>
        <v/>
      </c>
      <c r="M1948" s="8">
        <f>IF(K1948&lt;I1948,"✕ INSUFFISANT",IF(K1948&lt;I1948*1.2,"⚠ STOCK FAIBLE","✓ COUVERT"))</f>
        <v/>
      </c>
      <c r="N1948" s="8" t="inlineStr">
        <is>
          <t>BOS</t>
        </is>
      </c>
      <c r="O1948" s="8" t="inlineStr">
        <is>
          <t>CRITIQUE</t>
        </is>
      </c>
      <c r="P1948" s="8" t="inlineStr">
        <is>
          <t>31/08/2026 02:59</t>
        </is>
      </c>
    </row>
    <row r="1949">
      <c r="A1949" s="7" t="inlineStr">
        <is>
          <t>WHAP 8x8</t>
        </is>
      </c>
      <c r="B1949" s="7" t="inlineStr">
        <is>
          <t>WHAP-1945</t>
        </is>
      </c>
      <c r="C1949" s="7" t="inlineStr">
        <is>
          <t>MOT-1945</t>
        </is>
      </c>
      <c r="D1949" s="7" t="inlineStr">
        <is>
          <t>couvercle de soupape d'admission</t>
        </is>
      </c>
      <c r="E1949" s="7" t="inlineStr">
        <is>
          <t>Moteur</t>
        </is>
      </c>
      <c r="F1949" s="7" t="inlineStr">
        <is>
          <t>Moteur</t>
        </is>
      </c>
      <c r="G1949" s="7" t="inlineStr">
        <is>
          <t>PIECE_VEHICULE</t>
        </is>
      </c>
      <c r="H1949" s="7" t="n">
        <v>1</v>
      </c>
      <c r="I1949" s="7">
        <f>H1949*$D$3</f>
        <v/>
      </c>
      <c r="J1949" s="7" t="inlineStr">
        <is>
          <t>unité</t>
        </is>
      </c>
      <c r="K1949" s="7" t="n">
        <v>0</v>
      </c>
      <c r="L1949" s="7">
        <f>K1949-I1949</f>
        <v/>
      </c>
      <c r="M1949" s="7">
        <f>IF(K1949&lt;I1949,"✕ INSUFFISANT",IF(K1949&lt;I1949*1.2,"⚠ STOCK FAIBLE","✓ COUVERT"))</f>
        <v/>
      </c>
      <c r="N1949" s="7" t="inlineStr">
        <is>
          <t>CTL</t>
        </is>
      </c>
      <c r="O1949" s="7" t="inlineStr">
        <is>
          <t>CRITIQUE</t>
        </is>
      </c>
      <c r="P1949" s="7" t="inlineStr">
        <is>
          <t>31/08/2026 02:59</t>
        </is>
      </c>
    </row>
    <row r="1950">
      <c r="A1950" s="8" t="inlineStr">
        <is>
          <t>WHAP 8x8</t>
        </is>
      </c>
      <c r="B1950" s="8" t="inlineStr">
        <is>
          <t>WHAP-1946</t>
        </is>
      </c>
      <c r="C1950" s="8" t="inlineStr">
        <is>
          <t>MOT-1946</t>
        </is>
      </c>
      <c r="D1950" s="8" t="inlineStr">
        <is>
          <t>bague de soupape d'admission</t>
        </is>
      </c>
      <c r="E1950" s="8" t="inlineStr">
        <is>
          <t>Moteur</t>
        </is>
      </c>
      <c r="F1950" s="8" t="inlineStr">
        <is>
          <t>Moteur</t>
        </is>
      </c>
      <c r="G1950" s="8" t="inlineStr">
        <is>
          <t>PIECE_VEHICULE</t>
        </is>
      </c>
      <c r="H1950" s="8" t="n">
        <v>1</v>
      </c>
      <c r="I1950" s="8">
        <f>H1950*$D$3</f>
        <v/>
      </c>
      <c r="J1950" s="8" t="inlineStr">
        <is>
          <t>unité</t>
        </is>
      </c>
      <c r="K1950" s="8" t="n">
        <v>0</v>
      </c>
      <c r="L1950" s="8">
        <f>K1950-I1950</f>
        <v/>
      </c>
      <c r="M1950" s="8">
        <f>IF(K1950&lt;I1950,"✕ INSUFFISANT",IF(K1950&lt;I1950*1.2,"⚠ STOCK FAIBLE","✓ COUVERT"))</f>
        <v/>
      </c>
      <c r="N1950" s="8" t="inlineStr">
        <is>
          <t>CTL</t>
        </is>
      </c>
      <c r="O1950" s="8" t="inlineStr">
        <is>
          <t>CRITIQUE</t>
        </is>
      </c>
      <c r="P1950" s="8" t="inlineStr">
        <is>
          <t>31/08/2026 02:59</t>
        </is>
      </c>
    </row>
    <row r="1951">
      <c r="A1951" s="7" t="inlineStr">
        <is>
          <t>WHAP 8x8</t>
        </is>
      </c>
      <c r="B1951" s="7" t="inlineStr">
        <is>
          <t>WHAP-1947</t>
        </is>
      </c>
      <c r="C1951" s="7" t="inlineStr">
        <is>
          <t>MOT-1947</t>
        </is>
      </c>
      <c r="D1951" s="7" t="inlineStr">
        <is>
          <t>entretoise de soupape d'admission</t>
        </is>
      </c>
      <c r="E1951" s="7" t="inlineStr">
        <is>
          <t>Moteur</t>
        </is>
      </c>
      <c r="F1951" s="7" t="inlineStr">
        <is>
          <t>Moteur</t>
        </is>
      </c>
      <c r="G1951" s="7" t="inlineStr">
        <is>
          <t>PIECE_VEHICULE</t>
        </is>
      </c>
      <c r="H1951" s="7" t="n">
        <v>1</v>
      </c>
      <c r="I1951" s="7">
        <f>H1951*$D$3</f>
        <v/>
      </c>
      <c r="J1951" s="7" t="inlineStr">
        <is>
          <t>unité</t>
        </is>
      </c>
      <c r="K1951" s="7" t="n">
        <v>0</v>
      </c>
      <c r="L1951" s="7">
        <f>K1951-I1951</f>
        <v/>
      </c>
      <c r="M1951" s="7">
        <f>IF(K1951&lt;I1951,"✕ INSUFFISANT",IF(K1951&lt;I1951*1.2,"⚠ STOCK FAIBLE","✓ COUVERT"))</f>
        <v/>
      </c>
      <c r="N1951" s="7" t="inlineStr">
        <is>
          <t>HEL</t>
        </is>
      </c>
      <c r="O1951" s="7" t="inlineStr">
        <is>
          <t>CRITIQUE</t>
        </is>
      </c>
      <c r="P1951" s="7" t="inlineStr">
        <is>
          <t>31/08/2026 02:59</t>
        </is>
      </c>
    </row>
    <row r="1952">
      <c r="A1952" s="8" t="inlineStr">
        <is>
          <t>WHAP 8x8</t>
        </is>
      </c>
      <c r="B1952" s="8" t="inlineStr">
        <is>
          <t>WHAP-1948</t>
        </is>
      </c>
      <c r="C1952" s="8" t="inlineStr">
        <is>
          <t>MOT-1948</t>
        </is>
      </c>
      <c r="D1952" s="8" t="inlineStr">
        <is>
          <t>axe de soupape d'admission</t>
        </is>
      </c>
      <c r="E1952" s="8" t="inlineStr">
        <is>
          <t>Moteur</t>
        </is>
      </c>
      <c r="F1952" s="8" t="inlineStr">
        <is>
          <t>Moteur</t>
        </is>
      </c>
      <c r="G1952" s="8" t="inlineStr">
        <is>
          <t>PIECE_VEHICULE</t>
        </is>
      </c>
      <c r="H1952" s="8" t="n">
        <v>1</v>
      </c>
      <c r="I1952" s="8">
        <f>H1952*$D$3</f>
        <v/>
      </c>
      <c r="J1952" s="8" t="inlineStr">
        <is>
          <t>unité</t>
        </is>
      </c>
      <c r="K1952" s="8" t="n">
        <v>0</v>
      </c>
      <c r="L1952" s="8">
        <f>K1952-I1952</f>
        <v/>
      </c>
      <c r="M1952" s="8">
        <f>IF(K1952&lt;I1952,"✕ INSUFFISANT",IF(K1952&lt;I1952*1.2,"⚠ STOCK FAIBLE","✓ COUVERT"))</f>
        <v/>
      </c>
      <c r="N1952" s="8" t="inlineStr">
        <is>
          <t>SKF</t>
        </is>
      </c>
      <c r="O1952" s="8" t="inlineStr">
        <is>
          <t>CRITIQUE</t>
        </is>
      </c>
      <c r="P1952" s="8" t="inlineStr">
        <is>
          <t>31/08/2026 02:59</t>
        </is>
      </c>
    </row>
    <row r="1953">
      <c r="A1953" s="7" t="inlineStr">
        <is>
          <t>WHAP 8x8</t>
        </is>
      </c>
      <c r="B1953" s="7" t="inlineStr">
        <is>
          <t>WHAP-1949</t>
        </is>
      </c>
      <c r="C1953" s="7" t="inlineStr">
        <is>
          <t>MOT-1949</t>
        </is>
      </c>
      <c r="D1953" s="7" t="inlineStr">
        <is>
          <t>poulie de soupape d'admission</t>
        </is>
      </c>
      <c r="E1953" s="7" t="inlineStr">
        <is>
          <t>Moteur</t>
        </is>
      </c>
      <c r="F1953" s="7" t="inlineStr">
        <is>
          <t>Moteur</t>
        </is>
      </c>
      <c r="G1953" s="7" t="inlineStr">
        <is>
          <t>PIECE_VEHICULE</t>
        </is>
      </c>
      <c r="H1953" s="7" t="n">
        <v>1</v>
      </c>
      <c r="I1953" s="7">
        <f>H1953*$D$3</f>
        <v/>
      </c>
      <c r="J1953" s="7" t="inlineStr">
        <is>
          <t>unité</t>
        </is>
      </c>
      <c r="K1953" s="7" t="n">
        <v>0</v>
      </c>
      <c r="L1953" s="7">
        <f>K1953-I1953</f>
        <v/>
      </c>
      <c r="M1953" s="7">
        <f>IF(K1953&lt;I1953,"✕ INSUFFISANT",IF(K1953&lt;I1953*1.2,"⚠ STOCK FAIBLE","✓ COUVERT"))</f>
        <v/>
      </c>
      <c r="N1953" s="7" t="inlineStr">
        <is>
          <t>HEL</t>
        </is>
      </c>
      <c r="O1953" s="7" t="inlineStr">
        <is>
          <t>CRITIQUE</t>
        </is>
      </c>
      <c r="P1953" s="7" t="inlineStr">
        <is>
          <t>31/08/2026 02:59</t>
        </is>
      </c>
    </row>
    <row r="1954">
      <c r="A1954" s="8" t="inlineStr">
        <is>
          <t>WHAP 8x8</t>
        </is>
      </c>
      <c r="B1954" s="8" t="inlineStr">
        <is>
          <t>WHAP-1950</t>
        </is>
      </c>
      <c r="C1954" s="8" t="inlineStr">
        <is>
          <t>MOT-1950</t>
        </is>
      </c>
      <c r="D1954" s="8" t="inlineStr">
        <is>
          <t>pignon de soupape d'admission</t>
        </is>
      </c>
      <c r="E1954" s="8" t="inlineStr">
        <is>
          <t>Moteur</t>
        </is>
      </c>
      <c r="F1954" s="8" t="inlineStr">
        <is>
          <t>Moteur</t>
        </is>
      </c>
      <c r="G1954" s="8" t="inlineStr">
        <is>
          <t>PIECE_VEHICULE</t>
        </is>
      </c>
      <c r="H1954" s="8" t="n">
        <v>1</v>
      </c>
      <c r="I1954" s="8">
        <f>H1954*$D$3</f>
        <v/>
      </c>
      <c r="J1954" s="8" t="inlineStr">
        <is>
          <t>unité</t>
        </is>
      </c>
      <c r="K1954" s="8" t="n">
        <v>0</v>
      </c>
      <c r="L1954" s="8">
        <f>K1954-I1954</f>
        <v/>
      </c>
      <c r="M1954" s="8">
        <f>IF(K1954&lt;I1954,"✕ INSUFFISANT",IF(K1954&lt;I1954*1.2,"⚠ STOCK FAIBLE","✓ COUVERT"))</f>
        <v/>
      </c>
      <c r="N1954" s="8" t="inlineStr">
        <is>
          <t>CTL</t>
        </is>
      </c>
      <c r="O1954" s="8" t="inlineStr">
        <is>
          <t>CRITIQUE</t>
        </is>
      </c>
      <c r="P1954" s="8" t="inlineStr">
        <is>
          <t>31/08/2026 02:59</t>
        </is>
      </c>
    </row>
    <row r="1955">
      <c r="A1955" s="7" t="inlineStr">
        <is>
          <t>WHAP 8x8</t>
        </is>
      </c>
      <c r="B1955" s="7" t="inlineStr">
        <is>
          <t>WHAP-1951</t>
        </is>
      </c>
      <c r="C1955" s="7" t="inlineStr">
        <is>
          <t>MOT-1951</t>
        </is>
      </c>
      <c r="D1955" s="7" t="inlineStr">
        <is>
          <t>ensemble de soupape d'échappement</t>
        </is>
      </c>
      <c r="E1955" s="7" t="inlineStr">
        <is>
          <t>Moteur</t>
        </is>
      </c>
      <c r="F1955" s="7" t="inlineStr">
        <is>
          <t>Moteur</t>
        </is>
      </c>
      <c r="G1955" s="7" t="inlineStr">
        <is>
          <t>PIECE_VEHICULE</t>
        </is>
      </c>
      <c r="H1955" s="7" t="n">
        <v>1</v>
      </c>
      <c r="I1955" s="7">
        <f>H1955*$D$3</f>
        <v/>
      </c>
      <c r="J1955" s="7" t="inlineStr">
        <is>
          <t>unité</t>
        </is>
      </c>
      <c r="K1955" s="7" t="n">
        <v>0</v>
      </c>
      <c r="L1955" s="7">
        <f>K1955-I1955</f>
        <v/>
      </c>
      <c r="M1955" s="7">
        <f>IF(K1955&lt;I1955,"✕ INSUFFISANT",IF(K1955&lt;I1955*1.2,"⚠ STOCK FAIBLE","✓ COUVERT"))</f>
        <v/>
      </c>
      <c r="N1955" s="7" t="inlineStr">
        <is>
          <t>YZK</t>
        </is>
      </c>
      <c r="O1955" s="7" t="inlineStr">
        <is>
          <t>CRITIQUE</t>
        </is>
      </c>
      <c r="P1955" s="7" t="inlineStr">
        <is>
          <t>31/08/2026 02:59</t>
        </is>
      </c>
    </row>
    <row r="1956">
      <c r="A1956" s="8" t="inlineStr">
        <is>
          <t>WHAP 8x8</t>
        </is>
      </c>
      <c r="B1956" s="8" t="inlineStr">
        <is>
          <t>WHAP-1952</t>
        </is>
      </c>
      <c r="C1956" s="8" t="inlineStr">
        <is>
          <t>MOT-1952</t>
        </is>
      </c>
      <c r="D1956" s="8" t="inlineStr">
        <is>
          <t>kit de soupape d'échappement</t>
        </is>
      </c>
      <c r="E1956" s="8" t="inlineStr">
        <is>
          <t>Moteur</t>
        </is>
      </c>
      <c r="F1956" s="8" t="inlineStr">
        <is>
          <t>Moteur</t>
        </is>
      </c>
      <c r="G1956" s="8" t="inlineStr">
        <is>
          <t>PIECE_VEHICULE</t>
        </is>
      </c>
      <c r="H1956" s="8" t="n">
        <v>1</v>
      </c>
      <c r="I1956" s="8">
        <f>H1956*$D$3</f>
        <v/>
      </c>
      <c r="J1956" s="8" t="inlineStr">
        <is>
          <t>unité</t>
        </is>
      </c>
      <c r="K1956" s="8" t="n">
        <v>0</v>
      </c>
      <c r="L1956" s="8">
        <f>K1956-I1956</f>
        <v/>
      </c>
      <c r="M1956" s="8">
        <f>IF(K1956&lt;I1956,"✕ INSUFFISANT",IF(K1956&lt;I1956*1.2,"⚠ STOCK FAIBLE","✓ COUVERT"))</f>
        <v/>
      </c>
      <c r="N1956" s="8" t="inlineStr">
        <is>
          <t>VAL</t>
        </is>
      </c>
      <c r="O1956" s="8" t="inlineStr">
        <is>
          <t>CRITIQUE</t>
        </is>
      </c>
      <c r="P1956" s="8" t="inlineStr">
        <is>
          <t>31/08/2026 02:59</t>
        </is>
      </c>
    </row>
    <row r="1957">
      <c r="A1957" s="7" t="inlineStr">
        <is>
          <t>WHAP 8x8</t>
        </is>
      </c>
      <c r="B1957" s="7" t="inlineStr">
        <is>
          <t>WHAP-1953</t>
        </is>
      </c>
      <c r="C1957" s="7" t="inlineStr">
        <is>
          <t>MOT-1953</t>
        </is>
      </c>
      <c r="D1957" s="7" t="inlineStr">
        <is>
          <t>support de soupape d'échappement</t>
        </is>
      </c>
      <c r="E1957" s="7" t="inlineStr">
        <is>
          <t>Moteur</t>
        </is>
      </c>
      <c r="F1957" s="7" t="inlineStr">
        <is>
          <t>Moteur</t>
        </is>
      </c>
      <c r="G1957" s="7" t="inlineStr">
        <is>
          <t>PIECE_VEHICULE</t>
        </is>
      </c>
      <c r="H1957" s="7" t="n">
        <v>1</v>
      </c>
      <c r="I1957" s="7">
        <f>H1957*$D$3</f>
        <v/>
      </c>
      <c r="J1957" s="7" t="inlineStr">
        <is>
          <t>unité</t>
        </is>
      </c>
      <c r="K1957" s="7" t="n">
        <v>0</v>
      </c>
      <c r="L1957" s="7">
        <f>K1957-I1957</f>
        <v/>
      </c>
      <c r="M1957" s="7">
        <f>IF(K1957&lt;I1957,"✕ INSUFFISANT",IF(K1957&lt;I1957*1.2,"⚠ STOCK FAIBLE","✓ COUVERT"))</f>
        <v/>
      </c>
      <c r="N1957" s="7" t="inlineStr">
        <is>
          <t>BOS</t>
        </is>
      </c>
      <c r="O1957" s="7" t="inlineStr">
        <is>
          <t>CRITIQUE</t>
        </is>
      </c>
      <c r="P1957" s="7" t="inlineStr">
        <is>
          <t>31/08/2026 02:59</t>
        </is>
      </c>
    </row>
    <row r="1958">
      <c r="A1958" s="8" t="inlineStr">
        <is>
          <t>WHAP 8x8</t>
        </is>
      </c>
      <c r="B1958" s="8" t="inlineStr">
        <is>
          <t>WHAP-1954</t>
        </is>
      </c>
      <c r="C1958" s="8" t="inlineStr">
        <is>
          <t>MOT-1954</t>
        </is>
      </c>
      <c r="D1958" s="8" t="inlineStr">
        <is>
          <t>boîtier de soupape d'échappement</t>
        </is>
      </c>
      <c r="E1958" s="8" t="inlineStr">
        <is>
          <t>Moteur</t>
        </is>
      </c>
      <c r="F1958" s="8" t="inlineStr">
        <is>
          <t>Moteur</t>
        </is>
      </c>
      <c r="G1958" s="8" t="inlineStr">
        <is>
          <t>PIECE_VEHICULE</t>
        </is>
      </c>
      <c r="H1958" s="8" t="n">
        <v>1</v>
      </c>
      <c r="I1958" s="8">
        <f>H1958*$D$3</f>
        <v/>
      </c>
      <c r="J1958" s="8" t="inlineStr">
        <is>
          <t>unité</t>
        </is>
      </c>
      <c r="K1958" s="8" t="n">
        <v>0</v>
      </c>
      <c r="L1958" s="8">
        <f>K1958-I1958</f>
        <v/>
      </c>
      <c r="M1958" s="8">
        <f>IF(K1958&lt;I1958,"✕ INSUFFISANT",IF(K1958&lt;I1958*1.2,"⚠ STOCK FAIBLE","✓ COUVERT"))</f>
        <v/>
      </c>
      <c r="N1958" s="8" t="inlineStr">
        <is>
          <t>FAU</t>
        </is>
      </c>
      <c r="O1958" s="8" t="inlineStr">
        <is>
          <t>CRITIQUE</t>
        </is>
      </c>
      <c r="P1958" s="8" t="inlineStr">
        <is>
          <t>31/08/2026 02:59</t>
        </is>
      </c>
    </row>
    <row r="1959">
      <c r="A1959" s="7" t="inlineStr">
        <is>
          <t>WHAP 8x8</t>
        </is>
      </c>
      <c r="B1959" s="7" t="inlineStr">
        <is>
          <t>WHAP-1955</t>
        </is>
      </c>
      <c r="C1959" s="7" t="inlineStr">
        <is>
          <t>MOT-1955</t>
        </is>
      </c>
      <c r="D1959" s="7" t="inlineStr">
        <is>
          <t>module de soupape d'échappement</t>
        </is>
      </c>
      <c r="E1959" s="7" t="inlineStr">
        <is>
          <t>Moteur</t>
        </is>
      </c>
      <c r="F1959" s="7" t="inlineStr">
        <is>
          <t>Moteur</t>
        </is>
      </c>
      <c r="G1959" s="7" t="inlineStr">
        <is>
          <t>PIECE_VEHICULE</t>
        </is>
      </c>
      <c r="H1959" s="7" t="n">
        <v>1</v>
      </c>
      <c r="I1959" s="7">
        <f>H1959*$D$3</f>
        <v/>
      </c>
      <c r="J1959" s="7" t="inlineStr">
        <is>
          <t>unité</t>
        </is>
      </c>
      <c r="K1959" s="7" t="n">
        <v>0</v>
      </c>
      <c r="L1959" s="7">
        <f>K1959-I1959</f>
        <v/>
      </c>
      <c r="M1959" s="7">
        <f>IF(K1959&lt;I1959,"✕ INSUFFISANT",IF(K1959&lt;I1959*1.2,"⚠ STOCK FAIBLE","✓ COUVERT"))</f>
        <v/>
      </c>
      <c r="N1959" s="7" t="inlineStr">
        <is>
          <t>CTL</t>
        </is>
      </c>
      <c r="O1959" s="7" t="inlineStr">
        <is>
          <t>CRITIQUE</t>
        </is>
      </c>
      <c r="P1959" s="7" t="inlineStr">
        <is>
          <t>31/08/2026 02:59</t>
        </is>
      </c>
    </row>
    <row r="1960">
      <c r="A1960" s="8" t="inlineStr">
        <is>
          <t>WHAP 8x8</t>
        </is>
      </c>
      <c r="B1960" s="8" t="inlineStr">
        <is>
          <t>WHAP-1956</t>
        </is>
      </c>
      <c r="C1960" s="8" t="inlineStr">
        <is>
          <t>MOT-1956</t>
        </is>
      </c>
      <c r="D1960" s="8" t="inlineStr">
        <is>
          <t>câblage de soupape d'échappement</t>
        </is>
      </c>
      <c r="E1960" s="8" t="inlineStr">
        <is>
          <t>Moteur</t>
        </is>
      </c>
      <c r="F1960" s="8" t="inlineStr">
        <is>
          <t>Moteur</t>
        </is>
      </c>
      <c r="G1960" s="8" t="inlineStr">
        <is>
          <t>PIECE_VEHICULE</t>
        </is>
      </c>
      <c r="H1960" s="8" t="n">
        <v>1</v>
      </c>
      <c r="I1960" s="8">
        <f>H1960*$D$3</f>
        <v/>
      </c>
      <c r="J1960" s="8" t="inlineStr">
        <is>
          <t>unité</t>
        </is>
      </c>
      <c r="K1960" s="8" t="n">
        <v>0</v>
      </c>
      <c r="L1960" s="8">
        <f>K1960-I1960</f>
        <v/>
      </c>
      <c r="M1960" s="8">
        <f>IF(K1960&lt;I1960,"✕ INSUFFISANT",IF(K1960&lt;I1960*1.2,"⚠ STOCK FAIBLE","✓ COUVERT"))</f>
        <v/>
      </c>
      <c r="N1960" s="8" t="inlineStr">
        <is>
          <t>BOS</t>
        </is>
      </c>
      <c r="O1960" s="8" t="inlineStr">
        <is>
          <t>CRITIQUE</t>
        </is>
      </c>
      <c r="P1960" s="8" t="inlineStr">
        <is>
          <t>31/08/2026 02:59</t>
        </is>
      </c>
    </row>
    <row r="1961">
      <c r="A1961" s="7" t="inlineStr">
        <is>
          <t>WHAP 8x8</t>
        </is>
      </c>
      <c r="B1961" s="7" t="inlineStr">
        <is>
          <t>WHAP-1957</t>
        </is>
      </c>
      <c r="C1961" s="7" t="inlineStr">
        <is>
          <t>MOT-1957</t>
        </is>
      </c>
      <c r="D1961" s="7" t="inlineStr">
        <is>
          <t>connecteur de soupape d'échappement</t>
        </is>
      </c>
      <c r="E1961" s="7" t="inlineStr">
        <is>
          <t>Moteur</t>
        </is>
      </c>
      <c r="F1961" s="7" t="inlineStr">
        <is>
          <t>Moteur</t>
        </is>
      </c>
      <c r="G1961" s="7" t="inlineStr">
        <is>
          <t>PIECE_VEHICULE</t>
        </is>
      </c>
      <c r="H1961" s="7" t="n">
        <v>1</v>
      </c>
      <c r="I1961" s="7">
        <f>H1961*$D$3</f>
        <v/>
      </c>
      <c r="J1961" s="7" t="inlineStr">
        <is>
          <t>unité</t>
        </is>
      </c>
      <c r="K1961" s="7" t="n">
        <v>0</v>
      </c>
      <c r="L1961" s="7">
        <f>K1961-I1961</f>
        <v/>
      </c>
      <c r="M1961" s="7">
        <f>IF(K1961&lt;I1961,"✕ INSUFFISANT",IF(K1961&lt;I1961*1.2,"⚠ STOCK FAIBLE","✓ COUVERT"))</f>
        <v/>
      </c>
      <c r="N1961" s="7" t="inlineStr">
        <is>
          <t>HEL</t>
        </is>
      </c>
      <c r="O1961" s="7" t="inlineStr">
        <is>
          <t>CRITIQUE</t>
        </is>
      </c>
      <c r="P1961" s="7" t="inlineStr">
        <is>
          <t>31/08/2026 02:59</t>
        </is>
      </c>
    </row>
    <row r="1962">
      <c r="A1962" s="8" t="inlineStr">
        <is>
          <t>WHAP 8x8</t>
        </is>
      </c>
      <c r="B1962" s="8" t="inlineStr">
        <is>
          <t>WHAP-1958</t>
        </is>
      </c>
      <c r="C1962" s="8" t="inlineStr">
        <is>
          <t>MOT-1958</t>
        </is>
      </c>
      <c r="D1962" s="8" t="inlineStr">
        <is>
          <t>joint de soupape d'échappement</t>
        </is>
      </c>
      <c r="E1962" s="8" t="inlineStr">
        <is>
          <t>Moteur</t>
        </is>
      </c>
      <c r="F1962" s="8" t="inlineStr">
        <is>
          <t>Moteur</t>
        </is>
      </c>
      <c r="G1962" s="8" t="inlineStr">
        <is>
          <t>PIECE_VEHICULE</t>
        </is>
      </c>
      <c r="H1962" s="8" t="n">
        <v>1</v>
      </c>
      <c r="I1962" s="8">
        <f>H1962*$D$3</f>
        <v/>
      </c>
      <c r="J1962" s="8" t="inlineStr">
        <is>
          <t>unité</t>
        </is>
      </c>
      <c r="K1962" s="8" t="n">
        <v>0</v>
      </c>
      <c r="L1962" s="8">
        <f>K1962-I1962</f>
        <v/>
      </c>
      <c r="M1962" s="8">
        <f>IF(K1962&lt;I1962,"✕ INSUFFISANT",IF(K1962&lt;I1962*1.2,"⚠ STOCK FAIBLE","✓ COUVERT"))</f>
        <v/>
      </c>
      <c r="N1962" s="8" t="inlineStr">
        <is>
          <t>HEL</t>
        </is>
      </c>
      <c r="O1962" s="8" t="inlineStr">
        <is>
          <t>CRITIQUE</t>
        </is>
      </c>
      <c r="P1962" s="8" t="inlineStr">
        <is>
          <t>31/08/2026 02:59</t>
        </is>
      </c>
    </row>
    <row r="1963">
      <c r="A1963" s="7" t="inlineStr">
        <is>
          <t>WHAP 8x8</t>
        </is>
      </c>
      <c r="B1963" s="7" t="inlineStr">
        <is>
          <t>WHAP-1959</t>
        </is>
      </c>
      <c r="C1963" s="7" t="inlineStr">
        <is>
          <t>MOT-1959</t>
        </is>
      </c>
      <c r="D1963" s="7" t="inlineStr">
        <is>
          <t>fixation de soupape d'échappement</t>
        </is>
      </c>
      <c r="E1963" s="7" t="inlineStr">
        <is>
          <t>Moteur</t>
        </is>
      </c>
      <c r="F1963" s="7" t="inlineStr">
        <is>
          <t>Moteur</t>
        </is>
      </c>
      <c r="G1963" s="7" t="inlineStr">
        <is>
          <t>PIECE_VEHICULE</t>
        </is>
      </c>
      <c r="H1963" s="7" t="n">
        <v>1</v>
      </c>
      <c r="I1963" s="7">
        <f>H1963*$D$3</f>
        <v/>
      </c>
      <c r="J1963" s="7" t="inlineStr">
        <is>
          <t>unité</t>
        </is>
      </c>
      <c r="K1963" s="7" t="n">
        <v>0</v>
      </c>
      <c r="L1963" s="7">
        <f>K1963-I1963</f>
        <v/>
      </c>
      <c r="M1963" s="7">
        <f>IF(K1963&lt;I1963,"✕ INSUFFISANT",IF(K1963&lt;I1963*1.2,"⚠ STOCK FAIBLE","✓ COUVERT"))</f>
        <v/>
      </c>
      <c r="N1963" s="7" t="inlineStr">
        <is>
          <t>SUM</t>
        </is>
      </c>
      <c r="O1963" s="7" t="inlineStr">
        <is>
          <t>CRITIQUE</t>
        </is>
      </c>
      <c r="P1963" s="7" t="inlineStr">
        <is>
          <t>31/08/2026 02:59</t>
        </is>
      </c>
    </row>
    <row r="1964">
      <c r="A1964" s="8" t="inlineStr">
        <is>
          <t>WHAP 8x8</t>
        </is>
      </c>
      <c r="B1964" s="8" t="inlineStr">
        <is>
          <t>WHAP-1960</t>
        </is>
      </c>
      <c r="C1964" s="8" t="inlineStr">
        <is>
          <t>MOT-1960</t>
        </is>
      </c>
      <c r="D1964" s="8" t="inlineStr">
        <is>
          <t>protection de soupape d'échappement</t>
        </is>
      </c>
      <c r="E1964" s="8" t="inlineStr">
        <is>
          <t>Moteur</t>
        </is>
      </c>
      <c r="F1964" s="8" t="inlineStr">
        <is>
          <t>Moteur</t>
        </is>
      </c>
      <c r="G1964" s="8" t="inlineStr">
        <is>
          <t>PIECE_VEHICULE</t>
        </is>
      </c>
      <c r="H1964" s="8" t="n">
        <v>1</v>
      </c>
      <c r="I1964" s="8">
        <f>H1964*$D$3</f>
        <v/>
      </c>
      <c r="J1964" s="8" t="inlineStr">
        <is>
          <t>unité</t>
        </is>
      </c>
      <c r="K1964" s="8" t="n">
        <v>0</v>
      </c>
      <c r="L1964" s="8">
        <f>K1964-I1964</f>
        <v/>
      </c>
      <c r="M1964" s="8">
        <f>IF(K1964&lt;I1964,"✕ INSUFFISANT",IF(K1964&lt;I1964*1.2,"⚠ STOCK FAIBLE","✓ COUVERT"))</f>
        <v/>
      </c>
      <c r="N1964" s="8" t="inlineStr">
        <is>
          <t>MAG</t>
        </is>
      </c>
      <c r="O1964" s="8" t="inlineStr">
        <is>
          <t>CRITIQUE</t>
        </is>
      </c>
      <c r="P1964" s="8" t="inlineStr">
        <is>
          <t>31/08/2026 02:59</t>
        </is>
      </c>
    </row>
    <row r="1965">
      <c r="A1965" s="7" t="inlineStr">
        <is>
          <t>WHAP 8x8</t>
        </is>
      </c>
      <c r="B1965" s="7" t="inlineStr">
        <is>
          <t>WHAP-1961</t>
        </is>
      </c>
      <c r="C1965" s="7" t="inlineStr">
        <is>
          <t>MOT-1961</t>
        </is>
      </c>
      <c r="D1965" s="7" t="inlineStr">
        <is>
          <t>capteur de soupape d'échappement</t>
        </is>
      </c>
      <c r="E1965" s="7" t="inlineStr">
        <is>
          <t>Moteur</t>
        </is>
      </c>
      <c r="F1965" s="7" t="inlineStr">
        <is>
          <t>Moteur</t>
        </is>
      </c>
      <c r="G1965" s="7" t="inlineStr">
        <is>
          <t>PIECE_VEHICULE</t>
        </is>
      </c>
      <c r="H1965" s="7" t="n">
        <v>1</v>
      </c>
      <c r="I1965" s="7">
        <f>H1965*$D$3</f>
        <v/>
      </c>
      <c r="J1965" s="7" t="inlineStr">
        <is>
          <t>unité</t>
        </is>
      </c>
      <c r="K1965" s="7" t="n">
        <v>0</v>
      </c>
      <c r="L1965" s="7">
        <f>K1965-I1965</f>
        <v/>
      </c>
      <c r="M1965" s="7">
        <f>IF(K1965&lt;I1965,"✕ INSUFFISANT",IF(K1965&lt;I1965*1.2,"⚠ STOCK FAIBLE","✓ COUVERT"))</f>
        <v/>
      </c>
      <c r="N1965" s="7" t="inlineStr">
        <is>
          <t>SKF</t>
        </is>
      </c>
      <c r="O1965" s="7" t="inlineStr">
        <is>
          <t>CRITIQUE</t>
        </is>
      </c>
      <c r="P1965" s="7" t="inlineStr">
        <is>
          <t>31/08/2026 02:59</t>
        </is>
      </c>
    </row>
    <row r="1966">
      <c r="A1966" s="8" t="inlineStr">
        <is>
          <t>WHAP 8x8</t>
        </is>
      </c>
      <c r="B1966" s="8" t="inlineStr">
        <is>
          <t>WHAP-1962</t>
        </is>
      </c>
      <c r="C1966" s="8" t="inlineStr">
        <is>
          <t>MOT-1962</t>
        </is>
      </c>
      <c r="D1966" s="8" t="inlineStr">
        <is>
          <t>actionneur de soupape d'échappement</t>
        </is>
      </c>
      <c r="E1966" s="8" t="inlineStr">
        <is>
          <t>Moteur</t>
        </is>
      </c>
      <c r="F1966" s="8" t="inlineStr">
        <is>
          <t>Moteur</t>
        </is>
      </c>
      <c r="G1966" s="8" t="inlineStr">
        <is>
          <t>PIECE_VEHICULE</t>
        </is>
      </c>
      <c r="H1966" s="8" t="n">
        <v>1</v>
      </c>
      <c r="I1966" s="8">
        <f>H1966*$D$3</f>
        <v/>
      </c>
      <c r="J1966" s="8" t="inlineStr">
        <is>
          <t>unité</t>
        </is>
      </c>
      <c r="K1966" s="8" t="n">
        <v>0</v>
      </c>
      <c r="L1966" s="8">
        <f>K1966-I1966</f>
        <v/>
      </c>
      <c r="M1966" s="8">
        <f>IF(K1966&lt;I1966,"✕ INSUFFISANT",IF(K1966&lt;I1966*1.2,"⚠ STOCK FAIBLE","✓ COUVERT"))</f>
        <v/>
      </c>
      <c r="N1966" s="8" t="inlineStr">
        <is>
          <t>MAG</t>
        </is>
      </c>
      <c r="O1966" s="8" t="inlineStr">
        <is>
          <t>CRITIQUE</t>
        </is>
      </c>
      <c r="P1966" s="8" t="inlineStr">
        <is>
          <t>31/08/2026 02:59</t>
        </is>
      </c>
    </row>
    <row r="1967">
      <c r="A1967" s="7" t="inlineStr">
        <is>
          <t>WHAP 8x8</t>
        </is>
      </c>
      <c r="B1967" s="7" t="inlineStr">
        <is>
          <t>WHAP-1963</t>
        </is>
      </c>
      <c r="C1967" s="7" t="inlineStr">
        <is>
          <t>MOT-1963</t>
        </is>
      </c>
      <c r="D1967" s="7" t="inlineStr">
        <is>
          <t>raccord de soupape d'échappement</t>
        </is>
      </c>
      <c r="E1967" s="7" t="inlineStr">
        <is>
          <t>Moteur</t>
        </is>
      </c>
      <c r="F1967" s="7" t="inlineStr">
        <is>
          <t>Moteur</t>
        </is>
      </c>
      <c r="G1967" s="7" t="inlineStr">
        <is>
          <t>PIECE_VEHICULE</t>
        </is>
      </c>
      <c r="H1967" s="7" t="n">
        <v>1</v>
      </c>
      <c r="I1967" s="7">
        <f>H1967*$D$3</f>
        <v/>
      </c>
      <c r="J1967" s="7" t="inlineStr">
        <is>
          <t>unité</t>
        </is>
      </c>
      <c r="K1967" s="7" t="n">
        <v>0</v>
      </c>
      <c r="L1967" s="7">
        <f>K1967-I1967</f>
        <v/>
      </c>
      <c r="M1967" s="7">
        <f>IF(K1967&lt;I1967,"✕ INSUFFISANT",IF(K1967&lt;I1967*1.2,"⚠ STOCK FAIBLE","✓ COUVERT"))</f>
        <v/>
      </c>
      <c r="N1967" s="7" t="inlineStr">
        <is>
          <t>CTL</t>
        </is>
      </c>
      <c r="O1967" s="7" t="inlineStr">
        <is>
          <t>CRITIQUE</t>
        </is>
      </c>
      <c r="P1967" s="7" t="inlineStr">
        <is>
          <t>31/08/2026 02:59</t>
        </is>
      </c>
    </row>
    <row r="1968">
      <c r="A1968" s="8" t="inlineStr">
        <is>
          <t>WHAP 8x8</t>
        </is>
      </c>
      <c r="B1968" s="8" t="inlineStr">
        <is>
          <t>WHAP-1964</t>
        </is>
      </c>
      <c r="C1968" s="8" t="inlineStr">
        <is>
          <t>MOT-1964</t>
        </is>
      </c>
      <c r="D1968" s="8" t="inlineStr">
        <is>
          <t>plaque de soupape d'échappement</t>
        </is>
      </c>
      <c r="E1968" s="8" t="inlineStr">
        <is>
          <t>Moteur</t>
        </is>
      </c>
      <c r="F1968" s="8" t="inlineStr">
        <is>
          <t>Moteur</t>
        </is>
      </c>
      <c r="G1968" s="8" t="inlineStr">
        <is>
          <t>PIECE_VEHICULE</t>
        </is>
      </c>
      <c r="H1968" s="8" t="n">
        <v>1</v>
      </c>
      <c r="I1968" s="8">
        <f>H1968*$D$3</f>
        <v/>
      </c>
      <c r="J1968" s="8" t="inlineStr">
        <is>
          <t>unité</t>
        </is>
      </c>
      <c r="K1968" s="8" t="n">
        <v>0</v>
      </c>
      <c r="L1968" s="8">
        <f>K1968-I1968</f>
        <v/>
      </c>
      <c r="M1968" s="8">
        <f>IF(K1968&lt;I1968,"✕ INSUFFISANT",IF(K1968&lt;I1968*1.2,"⚠ STOCK FAIBLE","✓ COUVERT"))</f>
        <v/>
      </c>
      <c r="N1968" s="8" t="inlineStr">
        <is>
          <t>BOS</t>
        </is>
      </c>
      <c r="O1968" s="8" t="inlineStr">
        <is>
          <t>CRITIQUE</t>
        </is>
      </c>
      <c r="P1968" s="8" t="inlineStr">
        <is>
          <t>31/08/2026 02:59</t>
        </is>
      </c>
    </row>
    <row r="1969">
      <c r="A1969" s="7" t="inlineStr">
        <is>
          <t>WHAP 8x8</t>
        </is>
      </c>
      <c r="B1969" s="7" t="inlineStr">
        <is>
          <t>WHAP-1965</t>
        </is>
      </c>
      <c r="C1969" s="7" t="inlineStr">
        <is>
          <t>MOT-1965</t>
        </is>
      </c>
      <c r="D1969" s="7" t="inlineStr">
        <is>
          <t>couvercle de soupape d'échappement</t>
        </is>
      </c>
      <c r="E1969" s="7" t="inlineStr">
        <is>
          <t>Moteur</t>
        </is>
      </c>
      <c r="F1969" s="7" t="inlineStr">
        <is>
          <t>Moteur</t>
        </is>
      </c>
      <c r="G1969" s="7" t="inlineStr">
        <is>
          <t>PIECE_VEHICULE</t>
        </is>
      </c>
      <c r="H1969" s="7" t="n">
        <v>1</v>
      </c>
      <c r="I1969" s="7">
        <f>H1969*$D$3</f>
        <v/>
      </c>
      <c r="J1969" s="7" t="inlineStr">
        <is>
          <t>unité</t>
        </is>
      </c>
      <c r="K1969" s="7" t="n">
        <v>0</v>
      </c>
      <c r="L1969" s="7">
        <f>K1969-I1969</f>
        <v/>
      </c>
      <c r="M1969" s="7">
        <f>IF(K1969&lt;I1969,"✕ INSUFFISANT",IF(K1969&lt;I1969*1.2,"⚠ STOCK FAIBLE","✓ COUVERT"))</f>
        <v/>
      </c>
      <c r="N1969" s="7" t="inlineStr">
        <is>
          <t>SKF</t>
        </is>
      </c>
      <c r="O1969" s="7" t="inlineStr">
        <is>
          <t>CRITIQUE</t>
        </is>
      </c>
      <c r="P1969" s="7" t="inlineStr">
        <is>
          <t>31/08/2026 02:59</t>
        </is>
      </c>
    </row>
    <row r="1970">
      <c r="A1970" s="8" t="inlineStr">
        <is>
          <t>WHAP 8x8</t>
        </is>
      </c>
      <c r="B1970" s="8" t="inlineStr">
        <is>
          <t>WHAP-1966</t>
        </is>
      </c>
      <c r="C1970" s="8" t="inlineStr">
        <is>
          <t>MOT-1966</t>
        </is>
      </c>
      <c r="D1970" s="8" t="inlineStr">
        <is>
          <t>bague de soupape d'échappement</t>
        </is>
      </c>
      <c r="E1970" s="8" t="inlineStr">
        <is>
          <t>Moteur</t>
        </is>
      </c>
      <c r="F1970" s="8" t="inlineStr">
        <is>
          <t>Moteur</t>
        </is>
      </c>
      <c r="G1970" s="8" t="inlineStr">
        <is>
          <t>PIECE_VEHICULE</t>
        </is>
      </c>
      <c r="H1970" s="8" t="n">
        <v>1</v>
      </c>
      <c r="I1970" s="8">
        <f>H1970*$D$3</f>
        <v/>
      </c>
      <c r="J1970" s="8" t="inlineStr">
        <is>
          <t>unité</t>
        </is>
      </c>
      <c r="K1970" s="8" t="n">
        <v>0</v>
      </c>
      <c r="L1970" s="8">
        <f>K1970-I1970</f>
        <v/>
      </c>
      <c r="M1970" s="8">
        <f>IF(K1970&lt;I1970,"✕ INSUFFISANT",IF(K1970&lt;I1970*1.2,"⚠ STOCK FAIBLE","✓ COUVERT"))</f>
        <v/>
      </c>
      <c r="N1970" s="8" t="inlineStr">
        <is>
          <t>HEL</t>
        </is>
      </c>
      <c r="O1970" s="8" t="inlineStr">
        <is>
          <t>CRITIQUE</t>
        </is>
      </c>
      <c r="P1970" s="8" t="inlineStr">
        <is>
          <t>31/08/2026 02:59</t>
        </is>
      </c>
    </row>
    <row r="1971">
      <c r="A1971" s="7" t="inlineStr">
        <is>
          <t>WHAP 8x8</t>
        </is>
      </c>
      <c r="B1971" s="7" t="inlineStr">
        <is>
          <t>WHAP-1967</t>
        </is>
      </c>
      <c r="C1971" s="7" t="inlineStr">
        <is>
          <t>MOT-1967</t>
        </is>
      </c>
      <c r="D1971" s="7" t="inlineStr">
        <is>
          <t>entretoise de soupape d'échappement</t>
        </is>
      </c>
      <c r="E1971" s="7" t="inlineStr">
        <is>
          <t>Moteur</t>
        </is>
      </c>
      <c r="F1971" s="7" t="inlineStr">
        <is>
          <t>Moteur</t>
        </is>
      </c>
      <c r="G1971" s="7" t="inlineStr">
        <is>
          <t>PIECE_VEHICULE</t>
        </is>
      </c>
      <c r="H1971" s="7" t="n">
        <v>1</v>
      </c>
      <c r="I1971" s="7">
        <f>H1971*$D$3</f>
        <v/>
      </c>
      <c r="J1971" s="7" t="inlineStr">
        <is>
          <t>unité</t>
        </is>
      </c>
      <c r="K1971" s="7" t="n">
        <v>0</v>
      </c>
      <c r="L1971" s="7">
        <f>K1971-I1971</f>
        <v/>
      </c>
      <c r="M1971" s="7">
        <f>IF(K1971&lt;I1971,"✕ INSUFFISANT",IF(K1971&lt;I1971*1.2,"⚠ STOCK FAIBLE","✓ COUVERT"))</f>
        <v/>
      </c>
      <c r="N1971" s="7" t="inlineStr">
        <is>
          <t>SUM</t>
        </is>
      </c>
      <c r="O1971" s="7" t="inlineStr">
        <is>
          <t>CRITIQUE</t>
        </is>
      </c>
      <c r="P1971" s="7" t="inlineStr">
        <is>
          <t>31/08/2026 02:59</t>
        </is>
      </c>
    </row>
    <row r="1972">
      <c r="A1972" s="8" t="inlineStr">
        <is>
          <t>WHAP 8x8</t>
        </is>
      </c>
      <c r="B1972" s="8" t="inlineStr">
        <is>
          <t>WHAP-1968</t>
        </is>
      </c>
      <c r="C1972" s="8" t="inlineStr">
        <is>
          <t>MOT-1968</t>
        </is>
      </c>
      <c r="D1972" s="8" t="inlineStr">
        <is>
          <t>axe de soupape d'échappement</t>
        </is>
      </c>
      <c r="E1972" s="8" t="inlineStr">
        <is>
          <t>Moteur</t>
        </is>
      </c>
      <c r="F1972" s="8" t="inlineStr">
        <is>
          <t>Moteur</t>
        </is>
      </c>
      <c r="G1972" s="8" t="inlineStr">
        <is>
          <t>PIECE_VEHICULE</t>
        </is>
      </c>
      <c r="H1972" s="8" t="n">
        <v>1</v>
      </c>
      <c r="I1972" s="8">
        <f>H1972*$D$3</f>
        <v/>
      </c>
      <c r="J1972" s="8" t="inlineStr">
        <is>
          <t>unité</t>
        </is>
      </c>
      <c r="K1972" s="8" t="n">
        <v>0</v>
      </c>
      <c r="L1972" s="8">
        <f>K1972-I1972</f>
        <v/>
      </c>
      <c r="M1972" s="8">
        <f>IF(K1972&lt;I1972,"✕ INSUFFISANT",IF(K1972&lt;I1972*1.2,"⚠ STOCK FAIBLE","✓ COUVERT"))</f>
        <v/>
      </c>
      <c r="N1972" s="8" t="inlineStr">
        <is>
          <t>YZK</t>
        </is>
      </c>
      <c r="O1972" s="8" t="inlineStr">
        <is>
          <t>CRITIQUE</t>
        </is>
      </c>
      <c r="P1972" s="8" t="inlineStr">
        <is>
          <t>31/08/2026 02:59</t>
        </is>
      </c>
    </row>
    <row r="1973">
      <c r="A1973" s="7" t="inlineStr">
        <is>
          <t>WHAP 8x8</t>
        </is>
      </c>
      <c r="B1973" s="7" t="inlineStr">
        <is>
          <t>WHAP-1969</t>
        </is>
      </c>
      <c r="C1973" s="7" t="inlineStr">
        <is>
          <t>MOT-1969</t>
        </is>
      </c>
      <c r="D1973" s="7" t="inlineStr">
        <is>
          <t>poulie de soupape d'échappement</t>
        </is>
      </c>
      <c r="E1973" s="7" t="inlineStr">
        <is>
          <t>Moteur</t>
        </is>
      </c>
      <c r="F1973" s="7" t="inlineStr">
        <is>
          <t>Moteur</t>
        </is>
      </c>
      <c r="G1973" s="7" t="inlineStr">
        <is>
          <t>PIECE_VEHICULE</t>
        </is>
      </c>
      <c r="H1973" s="7" t="n">
        <v>1</v>
      </c>
      <c r="I1973" s="7">
        <f>H1973*$D$3</f>
        <v/>
      </c>
      <c r="J1973" s="7" t="inlineStr">
        <is>
          <t>unité</t>
        </is>
      </c>
      <c r="K1973" s="7" t="n">
        <v>0</v>
      </c>
      <c r="L1973" s="7">
        <f>K1973-I1973</f>
        <v/>
      </c>
      <c r="M1973" s="7">
        <f>IF(K1973&lt;I1973,"✕ INSUFFISANT",IF(K1973&lt;I1973*1.2,"⚠ STOCK FAIBLE","✓ COUVERT"))</f>
        <v/>
      </c>
      <c r="N1973" s="7" t="inlineStr">
        <is>
          <t>BOS</t>
        </is>
      </c>
      <c r="O1973" s="7" t="inlineStr">
        <is>
          <t>CRITIQUE</t>
        </is>
      </c>
      <c r="P1973" s="7" t="inlineStr">
        <is>
          <t>31/08/2026 02:59</t>
        </is>
      </c>
    </row>
    <row r="1974">
      <c r="A1974" s="8" t="inlineStr">
        <is>
          <t>WHAP 8x8</t>
        </is>
      </c>
      <c r="B1974" s="8" t="inlineStr">
        <is>
          <t>WHAP-1970</t>
        </is>
      </c>
      <c r="C1974" s="8" t="inlineStr">
        <is>
          <t>MOT-1970</t>
        </is>
      </c>
      <c r="D1974" s="8" t="inlineStr">
        <is>
          <t>pignon de soupape d'échappement</t>
        </is>
      </c>
      <c r="E1974" s="8" t="inlineStr">
        <is>
          <t>Moteur</t>
        </is>
      </c>
      <c r="F1974" s="8" t="inlineStr">
        <is>
          <t>Moteur</t>
        </is>
      </c>
      <c r="G1974" s="8" t="inlineStr">
        <is>
          <t>PIECE_VEHICULE</t>
        </is>
      </c>
      <c r="H1974" s="8" t="n">
        <v>1</v>
      </c>
      <c r="I1974" s="8">
        <f>H1974*$D$3</f>
        <v/>
      </c>
      <c r="J1974" s="8" t="inlineStr">
        <is>
          <t>unité</t>
        </is>
      </c>
      <c r="K1974" s="8" t="n">
        <v>0</v>
      </c>
      <c r="L1974" s="8">
        <f>K1974-I1974</f>
        <v/>
      </c>
      <c r="M1974" s="8">
        <f>IF(K1974&lt;I1974,"✕ INSUFFISANT",IF(K1974&lt;I1974*1.2,"⚠ STOCK FAIBLE","✓ COUVERT"))</f>
        <v/>
      </c>
      <c r="N1974" s="8" t="inlineStr">
        <is>
          <t>MAG</t>
        </is>
      </c>
      <c r="O1974" s="8" t="inlineStr">
        <is>
          <t>CRITIQUE</t>
        </is>
      </c>
      <c r="P1974" s="8" t="inlineStr">
        <is>
          <t>31/08/2026 02:59</t>
        </is>
      </c>
    </row>
    <row r="1975">
      <c r="A1975" s="7" t="inlineStr">
        <is>
          <t>WHAP 8x8</t>
        </is>
      </c>
      <c r="B1975" s="7" t="inlineStr">
        <is>
          <t>WHAP-1971</t>
        </is>
      </c>
      <c r="C1975" s="7" t="inlineStr">
        <is>
          <t>MOT-1971</t>
        </is>
      </c>
      <c r="D1975" s="7" t="inlineStr">
        <is>
          <t>ensemble de guide de soupape</t>
        </is>
      </c>
      <c r="E1975" s="7" t="inlineStr">
        <is>
          <t>Moteur</t>
        </is>
      </c>
      <c r="F1975" s="7" t="inlineStr">
        <is>
          <t>Moteur</t>
        </is>
      </c>
      <c r="G1975" s="7" t="inlineStr">
        <is>
          <t>PIECE_VEHICULE</t>
        </is>
      </c>
      <c r="H1975" s="7" t="n">
        <v>1</v>
      </c>
      <c r="I1975" s="7">
        <f>H1975*$D$3</f>
        <v/>
      </c>
      <c r="J1975" s="7" t="inlineStr">
        <is>
          <t>unité</t>
        </is>
      </c>
      <c r="K1975" s="7" t="n">
        <v>0</v>
      </c>
      <c r="L1975" s="7">
        <f>K1975-I1975</f>
        <v/>
      </c>
      <c r="M1975" s="7">
        <f>IF(K1975&lt;I1975,"✕ INSUFFISANT",IF(K1975&lt;I1975*1.2,"⚠ STOCK FAIBLE","✓ COUVERT"))</f>
        <v/>
      </c>
      <c r="N1975" s="7" t="inlineStr">
        <is>
          <t>HEL</t>
        </is>
      </c>
      <c r="O1975" s="7" t="inlineStr">
        <is>
          <t>CRITIQUE</t>
        </is>
      </c>
      <c r="P1975" s="7" t="inlineStr">
        <is>
          <t>31/08/2026 02:59</t>
        </is>
      </c>
    </row>
    <row r="1976">
      <c r="A1976" s="8" t="inlineStr">
        <is>
          <t>WHAP 8x8</t>
        </is>
      </c>
      <c r="B1976" s="8" t="inlineStr">
        <is>
          <t>WHAP-1972</t>
        </is>
      </c>
      <c r="C1976" s="8" t="inlineStr">
        <is>
          <t>MOT-1972</t>
        </is>
      </c>
      <c r="D1976" s="8" t="inlineStr">
        <is>
          <t>kit de guide de soupape</t>
        </is>
      </c>
      <c r="E1976" s="8" t="inlineStr">
        <is>
          <t>Moteur</t>
        </is>
      </c>
      <c r="F1976" s="8" t="inlineStr">
        <is>
          <t>Moteur</t>
        </is>
      </c>
      <c r="G1976" s="8" t="inlineStr">
        <is>
          <t>PIECE_VEHICULE</t>
        </is>
      </c>
      <c r="H1976" s="8" t="n">
        <v>1</v>
      </c>
      <c r="I1976" s="8">
        <f>H1976*$D$3</f>
        <v/>
      </c>
      <c r="J1976" s="8" t="inlineStr">
        <is>
          <t>unité</t>
        </is>
      </c>
      <c r="K1976" s="8" t="n">
        <v>0</v>
      </c>
      <c r="L1976" s="8">
        <f>K1976-I1976</f>
        <v/>
      </c>
      <c r="M1976" s="8">
        <f>IF(K1976&lt;I1976,"✕ INSUFFISANT",IF(K1976&lt;I1976*1.2,"⚠ STOCK FAIBLE","✓ COUVERT"))</f>
        <v/>
      </c>
      <c r="N1976" s="8" t="inlineStr">
        <is>
          <t>HEL</t>
        </is>
      </c>
      <c r="O1976" s="8" t="inlineStr">
        <is>
          <t>CRITIQUE</t>
        </is>
      </c>
      <c r="P1976" s="8" t="inlineStr">
        <is>
          <t>31/08/2026 02:59</t>
        </is>
      </c>
    </row>
    <row r="1977">
      <c r="A1977" s="7" t="inlineStr">
        <is>
          <t>WHAP 8x8</t>
        </is>
      </c>
      <c r="B1977" s="7" t="inlineStr">
        <is>
          <t>WHAP-1973</t>
        </is>
      </c>
      <c r="C1977" s="7" t="inlineStr">
        <is>
          <t>MOT-1973</t>
        </is>
      </c>
      <c r="D1977" s="7" t="inlineStr">
        <is>
          <t>support de guide de soupape</t>
        </is>
      </c>
      <c r="E1977" s="7" t="inlineStr">
        <is>
          <t>Moteur</t>
        </is>
      </c>
      <c r="F1977" s="7" t="inlineStr">
        <is>
          <t>Moteur</t>
        </is>
      </c>
      <c r="G1977" s="7" t="inlineStr">
        <is>
          <t>PIECE_VEHICULE</t>
        </is>
      </c>
      <c r="H1977" s="7" t="n">
        <v>1</v>
      </c>
      <c r="I1977" s="7">
        <f>H1977*$D$3</f>
        <v/>
      </c>
      <c r="J1977" s="7" t="inlineStr">
        <is>
          <t>unité</t>
        </is>
      </c>
      <c r="K1977" s="7" t="n">
        <v>0</v>
      </c>
      <c r="L1977" s="7">
        <f>K1977-I1977</f>
        <v/>
      </c>
      <c r="M1977" s="7">
        <f>IF(K1977&lt;I1977,"✕ INSUFFISANT",IF(K1977&lt;I1977*1.2,"⚠ STOCK FAIBLE","✓ COUVERT"))</f>
        <v/>
      </c>
      <c r="N1977" s="7" t="inlineStr">
        <is>
          <t>BOS</t>
        </is>
      </c>
      <c r="O1977" s="7" t="inlineStr">
        <is>
          <t>CRITIQUE</t>
        </is>
      </c>
      <c r="P1977" s="7" t="inlineStr">
        <is>
          <t>31/08/2026 02:59</t>
        </is>
      </c>
    </row>
    <row r="1978">
      <c r="A1978" s="8" t="inlineStr">
        <is>
          <t>WHAP 8x8</t>
        </is>
      </c>
      <c r="B1978" s="8" t="inlineStr">
        <is>
          <t>WHAP-1974</t>
        </is>
      </c>
      <c r="C1978" s="8" t="inlineStr">
        <is>
          <t>MOT-1974</t>
        </is>
      </c>
      <c r="D1978" s="8" t="inlineStr">
        <is>
          <t>boîtier de guide de soupape</t>
        </is>
      </c>
      <c r="E1978" s="8" t="inlineStr">
        <is>
          <t>Moteur</t>
        </is>
      </c>
      <c r="F1978" s="8" t="inlineStr">
        <is>
          <t>Moteur</t>
        </is>
      </c>
      <c r="G1978" s="8" t="inlineStr">
        <is>
          <t>PIECE_VEHICULE</t>
        </is>
      </c>
      <c r="H1978" s="8" t="n">
        <v>1</v>
      </c>
      <c r="I1978" s="8">
        <f>H1978*$D$3</f>
        <v/>
      </c>
      <c r="J1978" s="8" t="inlineStr">
        <is>
          <t>unité</t>
        </is>
      </c>
      <c r="K1978" s="8" t="n">
        <v>0</v>
      </c>
      <c r="L1978" s="8">
        <f>K1978-I1978</f>
        <v/>
      </c>
      <c r="M1978" s="8">
        <f>IF(K1978&lt;I1978,"✕ INSUFFISANT",IF(K1978&lt;I1978*1.2,"⚠ STOCK FAIBLE","✓ COUVERT"))</f>
        <v/>
      </c>
      <c r="N1978" s="8" t="inlineStr">
        <is>
          <t>VAL</t>
        </is>
      </c>
      <c r="O1978" s="8" t="inlineStr">
        <is>
          <t>CRITIQUE</t>
        </is>
      </c>
      <c r="P1978" s="8" t="inlineStr">
        <is>
          <t>31/08/2026 02:59</t>
        </is>
      </c>
    </row>
    <row r="1979">
      <c r="A1979" s="7" t="inlineStr">
        <is>
          <t>WHAP 8x8</t>
        </is>
      </c>
      <c r="B1979" s="7" t="inlineStr">
        <is>
          <t>WHAP-1975</t>
        </is>
      </c>
      <c r="C1979" s="7" t="inlineStr">
        <is>
          <t>MOT-1975</t>
        </is>
      </c>
      <c r="D1979" s="7" t="inlineStr">
        <is>
          <t>module de guide de soupape</t>
        </is>
      </c>
      <c r="E1979" s="7" t="inlineStr">
        <is>
          <t>Moteur</t>
        </is>
      </c>
      <c r="F1979" s="7" t="inlineStr">
        <is>
          <t>Moteur</t>
        </is>
      </c>
      <c r="G1979" s="7" t="inlineStr">
        <is>
          <t>PIECE_VEHICULE</t>
        </is>
      </c>
      <c r="H1979" s="7" t="n">
        <v>1</v>
      </c>
      <c r="I1979" s="7">
        <f>H1979*$D$3</f>
        <v/>
      </c>
      <c r="J1979" s="7" t="inlineStr">
        <is>
          <t>unité</t>
        </is>
      </c>
      <c r="K1979" s="7" t="n">
        <v>0</v>
      </c>
      <c r="L1979" s="7">
        <f>K1979-I1979</f>
        <v/>
      </c>
      <c r="M1979" s="7">
        <f>IF(K1979&lt;I1979,"✕ INSUFFISANT",IF(K1979&lt;I1979*1.2,"⚠ STOCK FAIBLE","✓ COUVERT"))</f>
        <v/>
      </c>
      <c r="N1979" s="7" t="inlineStr">
        <is>
          <t>CTL</t>
        </is>
      </c>
      <c r="O1979" s="7" t="inlineStr">
        <is>
          <t>CRITIQUE</t>
        </is>
      </c>
      <c r="P1979" s="7" t="inlineStr">
        <is>
          <t>31/08/2026 02:59</t>
        </is>
      </c>
    </row>
    <row r="1980">
      <c r="A1980" s="8" t="inlineStr">
        <is>
          <t>WHAP 8x8</t>
        </is>
      </c>
      <c r="B1980" s="8" t="inlineStr">
        <is>
          <t>WHAP-1976</t>
        </is>
      </c>
      <c r="C1980" s="8" t="inlineStr">
        <is>
          <t>MOT-1976</t>
        </is>
      </c>
      <c r="D1980" s="8" t="inlineStr">
        <is>
          <t>câblage de guide de soupape</t>
        </is>
      </c>
      <c r="E1980" s="8" t="inlineStr">
        <is>
          <t>Moteur</t>
        </is>
      </c>
      <c r="F1980" s="8" t="inlineStr">
        <is>
          <t>Moteur</t>
        </is>
      </c>
      <c r="G1980" s="8" t="inlineStr">
        <is>
          <t>PIECE_VEHICULE</t>
        </is>
      </c>
      <c r="H1980" s="8" t="n">
        <v>1</v>
      </c>
      <c r="I1980" s="8">
        <f>H1980*$D$3</f>
        <v/>
      </c>
      <c r="J1980" s="8" t="inlineStr">
        <is>
          <t>unité</t>
        </is>
      </c>
      <c r="K1980" s="8" t="n">
        <v>0</v>
      </c>
      <c r="L1980" s="8">
        <f>K1980-I1980</f>
        <v/>
      </c>
      <c r="M1980" s="8">
        <f>IF(K1980&lt;I1980,"✕ INSUFFISANT",IF(K1980&lt;I1980*1.2,"⚠ STOCK FAIBLE","✓ COUVERT"))</f>
        <v/>
      </c>
      <c r="N1980" s="8" t="inlineStr">
        <is>
          <t>VAL</t>
        </is>
      </c>
      <c r="O1980" s="8" t="inlineStr">
        <is>
          <t>CRITIQUE</t>
        </is>
      </c>
      <c r="P1980" s="8" t="inlineStr">
        <is>
          <t>31/08/2026 02:59</t>
        </is>
      </c>
    </row>
    <row r="1981">
      <c r="A1981" s="7" t="inlineStr">
        <is>
          <t>WHAP 8x8</t>
        </is>
      </c>
      <c r="B1981" s="7" t="inlineStr">
        <is>
          <t>WHAP-1977</t>
        </is>
      </c>
      <c r="C1981" s="7" t="inlineStr">
        <is>
          <t>MOT-1977</t>
        </is>
      </c>
      <c r="D1981" s="7" t="inlineStr">
        <is>
          <t>connecteur de guide de soupape</t>
        </is>
      </c>
      <c r="E1981" s="7" t="inlineStr">
        <is>
          <t>Moteur</t>
        </is>
      </c>
      <c r="F1981" s="7" t="inlineStr">
        <is>
          <t>Moteur</t>
        </is>
      </c>
      <c r="G1981" s="7" t="inlineStr">
        <is>
          <t>PIECE_VEHICULE</t>
        </is>
      </c>
      <c r="H1981" s="7" t="n">
        <v>1</v>
      </c>
      <c r="I1981" s="7">
        <f>H1981*$D$3</f>
        <v/>
      </c>
      <c r="J1981" s="7" t="inlineStr">
        <is>
          <t>unité</t>
        </is>
      </c>
      <c r="K1981" s="7" t="n">
        <v>0</v>
      </c>
      <c r="L1981" s="7">
        <f>K1981-I1981</f>
        <v/>
      </c>
      <c r="M1981" s="7">
        <f>IF(K1981&lt;I1981,"✕ INSUFFISANT",IF(K1981&lt;I1981*1.2,"⚠ STOCK FAIBLE","✓ COUVERT"))</f>
        <v/>
      </c>
      <c r="N1981" s="7" t="inlineStr">
        <is>
          <t>SUM</t>
        </is>
      </c>
      <c r="O1981" s="7" t="inlineStr">
        <is>
          <t>CRITIQUE</t>
        </is>
      </c>
      <c r="P1981" s="7" t="inlineStr">
        <is>
          <t>31/08/2026 02:59</t>
        </is>
      </c>
    </row>
    <row r="1982">
      <c r="A1982" s="8" t="inlineStr">
        <is>
          <t>WHAP 8x8</t>
        </is>
      </c>
      <c r="B1982" s="8" t="inlineStr">
        <is>
          <t>WHAP-1978</t>
        </is>
      </c>
      <c r="C1982" s="8" t="inlineStr">
        <is>
          <t>MOT-1978</t>
        </is>
      </c>
      <c r="D1982" s="8" t="inlineStr">
        <is>
          <t>joint de guide de soupape</t>
        </is>
      </c>
      <c r="E1982" s="8" t="inlineStr">
        <is>
          <t>Moteur</t>
        </is>
      </c>
      <c r="F1982" s="8" t="inlineStr">
        <is>
          <t>Moteur</t>
        </is>
      </c>
      <c r="G1982" s="8" t="inlineStr">
        <is>
          <t>PIECE_VEHICULE</t>
        </is>
      </c>
      <c r="H1982" s="8" t="n">
        <v>1</v>
      </c>
      <c r="I1982" s="8">
        <f>H1982*$D$3</f>
        <v/>
      </c>
      <c r="J1982" s="8" t="inlineStr">
        <is>
          <t>unité</t>
        </is>
      </c>
      <c r="K1982" s="8" t="n">
        <v>0</v>
      </c>
      <c r="L1982" s="8">
        <f>K1982-I1982</f>
        <v/>
      </c>
      <c r="M1982" s="8">
        <f>IF(K1982&lt;I1982,"✕ INSUFFISANT",IF(K1982&lt;I1982*1.2,"⚠ STOCK FAIBLE","✓ COUVERT"))</f>
        <v/>
      </c>
      <c r="N1982" s="8" t="inlineStr">
        <is>
          <t>BOS</t>
        </is>
      </c>
      <c r="O1982" s="8" t="inlineStr">
        <is>
          <t>CRITIQUE</t>
        </is>
      </c>
      <c r="P1982" s="8" t="inlineStr">
        <is>
          <t>31/08/2026 02:59</t>
        </is>
      </c>
    </row>
    <row r="1983">
      <c r="A1983" s="7" t="inlineStr">
        <is>
          <t>WHAP 8x8</t>
        </is>
      </c>
      <c r="B1983" s="7" t="inlineStr">
        <is>
          <t>WHAP-1979</t>
        </is>
      </c>
      <c r="C1983" s="7" t="inlineStr">
        <is>
          <t>MOT-1979</t>
        </is>
      </c>
      <c r="D1983" s="7" t="inlineStr">
        <is>
          <t>fixation de guide de soupape</t>
        </is>
      </c>
      <c r="E1983" s="7" t="inlineStr">
        <is>
          <t>Moteur</t>
        </is>
      </c>
      <c r="F1983" s="7" t="inlineStr">
        <is>
          <t>Moteur</t>
        </is>
      </c>
      <c r="G1983" s="7" t="inlineStr">
        <is>
          <t>PIECE_VEHICULE</t>
        </is>
      </c>
      <c r="H1983" s="7" t="n">
        <v>1</v>
      </c>
      <c r="I1983" s="7">
        <f>H1983*$D$3</f>
        <v/>
      </c>
      <c r="J1983" s="7" t="inlineStr">
        <is>
          <t>unité</t>
        </is>
      </c>
      <c r="K1983" s="7" t="n">
        <v>0</v>
      </c>
      <c r="L1983" s="7">
        <f>K1983-I1983</f>
        <v/>
      </c>
      <c r="M1983" s="7">
        <f>IF(K1983&lt;I1983,"✕ INSUFFISANT",IF(K1983&lt;I1983*1.2,"⚠ STOCK FAIBLE","✓ COUVERT"))</f>
        <v/>
      </c>
      <c r="N1983" s="7" t="inlineStr">
        <is>
          <t>VAL</t>
        </is>
      </c>
      <c r="O1983" s="7" t="inlineStr">
        <is>
          <t>CRITIQUE</t>
        </is>
      </c>
      <c r="P1983" s="7" t="inlineStr">
        <is>
          <t>31/08/2026 02:59</t>
        </is>
      </c>
    </row>
    <row r="1984">
      <c r="A1984" s="8" t="inlineStr">
        <is>
          <t>WHAP 8x8</t>
        </is>
      </c>
      <c r="B1984" s="8" t="inlineStr">
        <is>
          <t>WHAP-1980</t>
        </is>
      </c>
      <c r="C1984" s="8" t="inlineStr">
        <is>
          <t>MOT-1980</t>
        </is>
      </c>
      <c r="D1984" s="8" t="inlineStr">
        <is>
          <t>protection de guide de soupape</t>
        </is>
      </c>
      <c r="E1984" s="8" t="inlineStr">
        <is>
          <t>Moteur</t>
        </is>
      </c>
      <c r="F1984" s="8" t="inlineStr">
        <is>
          <t>Moteur</t>
        </is>
      </c>
      <c r="G1984" s="8" t="inlineStr">
        <is>
          <t>PIECE_VEHICULE</t>
        </is>
      </c>
      <c r="H1984" s="8" t="n">
        <v>1</v>
      </c>
      <c r="I1984" s="8">
        <f>H1984*$D$3</f>
        <v/>
      </c>
      <c r="J1984" s="8" t="inlineStr">
        <is>
          <t>unité</t>
        </is>
      </c>
      <c r="K1984" s="8" t="n">
        <v>0</v>
      </c>
      <c r="L1984" s="8">
        <f>K1984-I1984</f>
        <v/>
      </c>
      <c r="M1984" s="8">
        <f>IF(K1984&lt;I1984,"✕ INSUFFISANT",IF(K1984&lt;I1984*1.2,"⚠ STOCK FAIBLE","✓ COUVERT"))</f>
        <v/>
      </c>
      <c r="N1984" s="8" t="inlineStr">
        <is>
          <t>MAG</t>
        </is>
      </c>
      <c r="O1984" s="8" t="inlineStr">
        <is>
          <t>CRITIQUE</t>
        </is>
      </c>
      <c r="P1984" s="8" t="inlineStr">
        <is>
          <t>31/08/2026 02:59</t>
        </is>
      </c>
    </row>
    <row r="1985">
      <c r="A1985" s="7" t="inlineStr">
        <is>
          <t>WHAP 8x8</t>
        </is>
      </c>
      <c r="B1985" s="7" t="inlineStr">
        <is>
          <t>WHAP-1981</t>
        </is>
      </c>
      <c r="C1985" s="7" t="inlineStr">
        <is>
          <t>MOT-1981</t>
        </is>
      </c>
      <c r="D1985" s="7" t="inlineStr">
        <is>
          <t>capteur de guide de soupape</t>
        </is>
      </c>
      <c r="E1985" s="7" t="inlineStr">
        <is>
          <t>Moteur</t>
        </is>
      </c>
      <c r="F1985" s="7" t="inlineStr">
        <is>
          <t>Moteur</t>
        </is>
      </c>
      <c r="G1985" s="7" t="inlineStr">
        <is>
          <t>PIECE_VEHICULE</t>
        </is>
      </c>
      <c r="H1985" s="7" t="n">
        <v>1</v>
      </c>
      <c r="I1985" s="7">
        <f>H1985*$D$3</f>
        <v/>
      </c>
      <c r="J1985" s="7" t="inlineStr">
        <is>
          <t>unité</t>
        </is>
      </c>
      <c r="K1985" s="7" t="n">
        <v>0</v>
      </c>
      <c r="L1985" s="7">
        <f>K1985-I1985</f>
        <v/>
      </c>
      <c r="M1985" s="7">
        <f>IF(K1985&lt;I1985,"✕ INSUFFISANT",IF(K1985&lt;I1985*1.2,"⚠ STOCK FAIBLE","✓ COUVERT"))</f>
        <v/>
      </c>
      <c r="N1985" s="7" t="inlineStr">
        <is>
          <t>SKF</t>
        </is>
      </c>
      <c r="O1985" s="7" t="inlineStr">
        <is>
          <t>CRITIQUE</t>
        </is>
      </c>
      <c r="P1985" s="7" t="inlineStr">
        <is>
          <t>31/08/2026 02:59</t>
        </is>
      </c>
    </row>
    <row r="1986">
      <c r="A1986" s="8" t="inlineStr">
        <is>
          <t>WHAP 8x8</t>
        </is>
      </c>
      <c r="B1986" s="8" t="inlineStr">
        <is>
          <t>WHAP-1982</t>
        </is>
      </c>
      <c r="C1986" s="8" t="inlineStr">
        <is>
          <t>MOT-1982</t>
        </is>
      </c>
      <c r="D1986" s="8" t="inlineStr">
        <is>
          <t>actionneur de guide de soupape</t>
        </is>
      </c>
      <c r="E1986" s="8" t="inlineStr">
        <is>
          <t>Moteur</t>
        </is>
      </c>
      <c r="F1986" s="8" t="inlineStr">
        <is>
          <t>Moteur</t>
        </is>
      </c>
      <c r="G1986" s="8" t="inlineStr">
        <is>
          <t>PIECE_VEHICULE</t>
        </is>
      </c>
      <c r="H1986" s="8" t="n">
        <v>1</v>
      </c>
      <c r="I1986" s="8">
        <f>H1986*$D$3</f>
        <v/>
      </c>
      <c r="J1986" s="8" t="inlineStr">
        <is>
          <t>unité</t>
        </is>
      </c>
      <c r="K1986" s="8" t="n">
        <v>0</v>
      </c>
      <c r="L1986" s="8">
        <f>K1986-I1986</f>
        <v/>
      </c>
      <c r="M1986" s="8">
        <f>IF(K1986&lt;I1986,"✕ INSUFFISANT",IF(K1986&lt;I1986*1.2,"⚠ STOCK FAIBLE","✓ COUVERT"))</f>
        <v/>
      </c>
      <c r="N1986" s="8" t="inlineStr">
        <is>
          <t>VAL</t>
        </is>
      </c>
      <c r="O1986" s="8" t="inlineStr">
        <is>
          <t>CRITIQUE</t>
        </is>
      </c>
      <c r="P1986" s="8" t="inlineStr">
        <is>
          <t>31/08/2026 02:59</t>
        </is>
      </c>
    </row>
    <row r="1987">
      <c r="A1987" s="7" t="inlineStr">
        <is>
          <t>WHAP 8x8</t>
        </is>
      </c>
      <c r="B1987" s="7" t="inlineStr">
        <is>
          <t>WHAP-1983</t>
        </is>
      </c>
      <c r="C1987" s="7" t="inlineStr">
        <is>
          <t>MOT-1983</t>
        </is>
      </c>
      <c r="D1987" s="7" t="inlineStr">
        <is>
          <t>raccord de guide de soupape</t>
        </is>
      </c>
      <c r="E1987" s="7" t="inlineStr">
        <is>
          <t>Moteur</t>
        </is>
      </c>
      <c r="F1987" s="7" t="inlineStr">
        <is>
          <t>Moteur</t>
        </is>
      </c>
      <c r="G1987" s="7" t="inlineStr">
        <is>
          <t>PIECE_VEHICULE</t>
        </is>
      </c>
      <c r="H1987" s="7" t="n">
        <v>1</v>
      </c>
      <c r="I1987" s="7">
        <f>H1987*$D$3</f>
        <v/>
      </c>
      <c r="J1987" s="7" t="inlineStr">
        <is>
          <t>unité</t>
        </is>
      </c>
      <c r="K1987" s="7" t="n">
        <v>0</v>
      </c>
      <c r="L1987" s="7">
        <f>K1987-I1987</f>
        <v/>
      </c>
      <c r="M1987" s="7">
        <f>IF(K1987&lt;I1987,"✕ INSUFFISANT",IF(K1987&lt;I1987*1.2,"⚠ STOCK FAIBLE","✓ COUVERT"))</f>
        <v/>
      </c>
      <c r="N1987" s="7" t="inlineStr">
        <is>
          <t>CTL</t>
        </is>
      </c>
      <c r="O1987" s="7" t="inlineStr">
        <is>
          <t>CRITIQUE</t>
        </is>
      </c>
      <c r="P1987" s="7" t="inlineStr">
        <is>
          <t>31/08/2026 02:59</t>
        </is>
      </c>
    </row>
    <row r="1988">
      <c r="A1988" s="8" t="inlineStr">
        <is>
          <t>WHAP 8x8</t>
        </is>
      </c>
      <c r="B1988" s="8" t="inlineStr">
        <is>
          <t>WHAP-1984</t>
        </is>
      </c>
      <c r="C1988" s="8" t="inlineStr">
        <is>
          <t>MOT-1984</t>
        </is>
      </c>
      <c r="D1988" s="8" t="inlineStr">
        <is>
          <t>plaque de guide de soupape</t>
        </is>
      </c>
      <c r="E1988" s="8" t="inlineStr">
        <is>
          <t>Moteur</t>
        </is>
      </c>
      <c r="F1988" s="8" t="inlineStr">
        <is>
          <t>Moteur</t>
        </is>
      </c>
      <c r="G1988" s="8" t="inlineStr">
        <is>
          <t>PIECE_VEHICULE</t>
        </is>
      </c>
      <c r="H1988" s="8" t="n">
        <v>1</v>
      </c>
      <c r="I1988" s="8">
        <f>H1988*$D$3</f>
        <v/>
      </c>
      <c r="J1988" s="8" t="inlineStr">
        <is>
          <t>unité</t>
        </is>
      </c>
      <c r="K1988" s="8" t="n">
        <v>0</v>
      </c>
      <c r="L1988" s="8">
        <f>K1988-I1988</f>
        <v/>
      </c>
      <c r="M1988" s="8">
        <f>IF(K1988&lt;I1988,"✕ INSUFFISANT",IF(K1988&lt;I1988*1.2,"⚠ STOCK FAIBLE","✓ COUVERT"))</f>
        <v/>
      </c>
      <c r="N1988" s="8" t="inlineStr">
        <is>
          <t>YZK</t>
        </is>
      </c>
      <c r="O1988" s="8" t="inlineStr">
        <is>
          <t>CRITIQUE</t>
        </is>
      </c>
      <c r="P1988" s="8" t="inlineStr">
        <is>
          <t>31/08/2026 02:59</t>
        </is>
      </c>
    </row>
    <row r="1989">
      <c r="A1989" s="7" t="inlineStr">
        <is>
          <t>WHAP 8x8</t>
        </is>
      </c>
      <c r="B1989" s="7" t="inlineStr">
        <is>
          <t>WHAP-1985</t>
        </is>
      </c>
      <c r="C1989" s="7" t="inlineStr">
        <is>
          <t>MOT-1985</t>
        </is>
      </c>
      <c r="D1989" s="7" t="inlineStr">
        <is>
          <t>couvercle de guide de soupape</t>
        </is>
      </c>
      <c r="E1989" s="7" t="inlineStr">
        <is>
          <t>Moteur</t>
        </is>
      </c>
      <c r="F1989" s="7" t="inlineStr">
        <is>
          <t>Moteur</t>
        </is>
      </c>
      <c r="G1989" s="7" t="inlineStr">
        <is>
          <t>PIECE_VEHICULE</t>
        </is>
      </c>
      <c r="H1989" s="7" t="n">
        <v>1</v>
      </c>
      <c r="I1989" s="7">
        <f>H1989*$D$3</f>
        <v/>
      </c>
      <c r="J1989" s="7" t="inlineStr">
        <is>
          <t>unité</t>
        </is>
      </c>
      <c r="K1989" s="7" t="n">
        <v>0</v>
      </c>
      <c r="L1989" s="7">
        <f>K1989-I1989</f>
        <v/>
      </c>
      <c r="M1989" s="7">
        <f>IF(K1989&lt;I1989,"✕ INSUFFISANT",IF(K1989&lt;I1989*1.2,"⚠ STOCK FAIBLE","✓ COUVERT"))</f>
        <v/>
      </c>
      <c r="N1989" s="7" t="inlineStr">
        <is>
          <t>HEL</t>
        </is>
      </c>
      <c r="O1989" s="7" t="inlineStr">
        <is>
          <t>CRITIQUE</t>
        </is>
      </c>
      <c r="P1989" s="7" t="inlineStr">
        <is>
          <t>31/08/2026 02:59</t>
        </is>
      </c>
    </row>
    <row r="1990">
      <c r="A1990" s="8" t="inlineStr">
        <is>
          <t>WHAP 8x8</t>
        </is>
      </c>
      <c r="B1990" s="8" t="inlineStr">
        <is>
          <t>WHAP-1986</t>
        </is>
      </c>
      <c r="C1990" s="8" t="inlineStr">
        <is>
          <t>MOT-1986</t>
        </is>
      </c>
      <c r="D1990" s="8" t="inlineStr">
        <is>
          <t>bague de guide de soupape</t>
        </is>
      </c>
      <c r="E1990" s="8" t="inlineStr">
        <is>
          <t>Moteur</t>
        </is>
      </c>
      <c r="F1990" s="8" t="inlineStr">
        <is>
          <t>Moteur</t>
        </is>
      </c>
      <c r="G1990" s="8" t="inlineStr">
        <is>
          <t>PIECE_VEHICULE</t>
        </is>
      </c>
      <c r="H1990" s="8" t="n">
        <v>1</v>
      </c>
      <c r="I1990" s="8">
        <f>H1990*$D$3</f>
        <v/>
      </c>
      <c r="J1990" s="8" t="inlineStr">
        <is>
          <t>unité</t>
        </is>
      </c>
      <c r="K1990" s="8" t="n">
        <v>0</v>
      </c>
      <c r="L1990" s="8">
        <f>K1990-I1990</f>
        <v/>
      </c>
      <c r="M1990" s="8">
        <f>IF(K1990&lt;I1990,"✕ INSUFFISANT",IF(K1990&lt;I1990*1.2,"⚠ STOCK FAIBLE","✓ COUVERT"))</f>
        <v/>
      </c>
      <c r="N1990" s="8" t="inlineStr">
        <is>
          <t>DEL</t>
        </is>
      </c>
      <c r="O1990" s="8" t="inlineStr">
        <is>
          <t>CRITIQUE</t>
        </is>
      </c>
      <c r="P1990" s="8" t="inlineStr">
        <is>
          <t>31/08/2026 02:59</t>
        </is>
      </c>
    </row>
    <row r="1991">
      <c r="A1991" s="7" t="inlineStr">
        <is>
          <t>WHAP 8x8</t>
        </is>
      </c>
      <c r="B1991" s="7" t="inlineStr">
        <is>
          <t>WHAP-1987</t>
        </is>
      </c>
      <c r="C1991" s="7" t="inlineStr">
        <is>
          <t>MOT-1987</t>
        </is>
      </c>
      <c r="D1991" s="7" t="inlineStr">
        <is>
          <t>entretoise de guide de soupape</t>
        </is>
      </c>
      <c r="E1991" s="7" t="inlineStr">
        <is>
          <t>Moteur</t>
        </is>
      </c>
      <c r="F1991" s="7" t="inlineStr">
        <is>
          <t>Moteur</t>
        </is>
      </c>
      <c r="G1991" s="7" t="inlineStr">
        <is>
          <t>PIECE_VEHICULE</t>
        </is>
      </c>
      <c r="H1991" s="7" t="n">
        <v>1</v>
      </c>
      <c r="I1991" s="7">
        <f>H1991*$D$3</f>
        <v/>
      </c>
      <c r="J1991" s="7" t="inlineStr">
        <is>
          <t>unité</t>
        </is>
      </c>
      <c r="K1991" s="7" t="n">
        <v>0</v>
      </c>
      <c r="L1991" s="7">
        <f>K1991-I1991</f>
        <v/>
      </c>
      <c r="M1991" s="7">
        <f>IF(K1991&lt;I1991,"✕ INSUFFISANT",IF(K1991&lt;I1991*1.2,"⚠ STOCK FAIBLE","✓ COUVERT"))</f>
        <v/>
      </c>
      <c r="N1991" s="7" t="inlineStr">
        <is>
          <t>VAL</t>
        </is>
      </c>
      <c r="O1991" s="7" t="inlineStr">
        <is>
          <t>CRITIQUE</t>
        </is>
      </c>
      <c r="P1991" s="7" t="inlineStr">
        <is>
          <t>31/08/2026 02:59</t>
        </is>
      </c>
    </row>
    <row r="1992">
      <c r="A1992" s="8" t="inlineStr">
        <is>
          <t>WHAP 8x8</t>
        </is>
      </c>
      <c r="B1992" s="8" t="inlineStr">
        <is>
          <t>WHAP-1988</t>
        </is>
      </c>
      <c r="C1992" s="8" t="inlineStr">
        <is>
          <t>MOT-1988</t>
        </is>
      </c>
      <c r="D1992" s="8" t="inlineStr">
        <is>
          <t>axe de guide de soupape</t>
        </is>
      </c>
      <c r="E1992" s="8" t="inlineStr">
        <is>
          <t>Moteur</t>
        </is>
      </c>
      <c r="F1992" s="8" t="inlineStr">
        <is>
          <t>Moteur</t>
        </is>
      </c>
      <c r="G1992" s="8" t="inlineStr">
        <is>
          <t>PIECE_VEHICULE</t>
        </is>
      </c>
      <c r="H1992" s="8" t="n">
        <v>1</v>
      </c>
      <c r="I1992" s="8">
        <f>H1992*$D$3</f>
        <v/>
      </c>
      <c r="J1992" s="8" t="inlineStr">
        <is>
          <t>unité</t>
        </is>
      </c>
      <c r="K1992" s="8" t="n">
        <v>0</v>
      </c>
      <c r="L1992" s="8">
        <f>K1992-I1992</f>
        <v/>
      </c>
      <c r="M1992" s="8">
        <f>IF(K1992&lt;I1992,"✕ INSUFFISANT",IF(K1992&lt;I1992*1.2,"⚠ STOCK FAIBLE","✓ COUVERT"))</f>
        <v/>
      </c>
      <c r="N1992" s="8" t="inlineStr">
        <is>
          <t>DEL</t>
        </is>
      </c>
      <c r="O1992" s="8" t="inlineStr">
        <is>
          <t>CRITIQUE</t>
        </is>
      </c>
      <c r="P1992" s="8" t="inlineStr">
        <is>
          <t>31/08/2026 02:59</t>
        </is>
      </c>
    </row>
    <row r="1993">
      <c r="A1993" s="7" t="inlineStr">
        <is>
          <t>WHAP 8x8</t>
        </is>
      </c>
      <c r="B1993" s="7" t="inlineStr">
        <is>
          <t>WHAP-1989</t>
        </is>
      </c>
      <c r="C1993" s="7" t="inlineStr">
        <is>
          <t>MOT-1989</t>
        </is>
      </c>
      <c r="D1993" s="7" t="inlineStr">
        <is>
          <t>poulie de guide de soupape</t>
        </is>
      </c>
      <c r="E1993" s="7" t="inlineStr">
        <is>
          <t>Moteur</t>
        </is>
      </c>
      <c r="F1993" s="7" t="inlineStr">
        <is>
          <t>Moteur</t>
        </is>
      </c>
      <c r="G1993" s="7" t="inlineStr">
        <is>
          <t>PIECE_VEHICULE</t>
        </is>
      </c>
      <c r="H1993" s="7" t="n">
        <v>1</v>
      </c>
      <c r="I1993" s="7">
        <f>H1993*$D$3</f>
        <v/>
      </c>
      <c r="J1993" s="7" t="inlineStr">
        <is>
          <t>unité</t>
        </is>
      </c>
      <c r="K1993" s="7" t="n">
        <v>0</v>
      </c>
      <c r="L1993" s="7">
        <f>K1993-I1993</f>
        <v/>
      </c>
      <c r="M1993" s="7">
        <f>IF(K1993&lt;I1993,"✕ INSUFFISANT",IF(K1993&lt;I1993*1.2,"⚠ STOCK FAIBLE","✓ COUVERT"))</f>
        <v/>
      </c>
      <c r="N1993" s="7" t="inlineStr">
        <is>
          <t>SKF</t>
        </is>
      </c>
      <c r="O1993" s="7" t="inlineStr">
        <is>
          <t>CRITIQUE</t>
        </is>
      </c>
      <c r="P1993" s="7" t="inlineStr">
        <is>
          <t>31/08/2026 02:59</t>
        </is>
      </c>
    </row>
    <row r="1994">
      <c r="A1994" s="8" t="inlineStr">
        <is>
          <t>WHAP 8x8</t>
        </is>
      </c>
      <c r="B1994" s="8" t="inlineStr">
        <is>
          <t>WHAP-1990</t>
        </is>
      </c>
      <c r="C1994" s="8" t="inlineStr">
        <is>
          <t>MOT-1990</t>
        </is>
      </c>
      <c r="D1994" s="8" t="inlineStr">
        <is>
          <t>pignon de guide de soupape</t>
        </is>
      </c>
      <c r="E1994" s="8" t="inlineStr">
        <is>
          <t>Moteur</t>
        </is>
      </c>
      <c r="F1994" s="8" t="inlineStr">
        <is>
          <t>Moteur</t>
        </is>
      </c>
      <c r="G1994" s="8" t="inlineStr">
        <is>
          <t>PIECE_VEHICULE</t>
        </is>
      </c>
      <c r="H1994" s="8" t="n">
        <v>1</v>
      </c>
      <c r="I1994" s="8">
        <f>H1994*$D$3</f>
        <v/>
      </c>
      <c r="J1994" s="8" t="inlineStr">
        <is>
          <t>unité</t>
        </is>
      </c>
      <c r="K1994" s="8" t="n">
        <v>0</v>
      </c>
      <c r="L1994" s="8">
        <f>K1994-I1994</f>
        <v/>
      </c>
      <c r="M1994" s="8">
        <f>IF(K1994&lt;I1994,"✕ INSUFFISANT",IF(K1994&lt;I1994*1.2,"⚠ STOCK FAIBLE","✓ COUVERT"))</f>
        <v/>
      </c>
      <c r="N1994" s="8" t="inlineStr">
        <is>
          <t>HEL</t>
        </is>
      </c>
      <c r="O1994" s="8" t="inlineStr">
        <is>
          <t>CRITIQUE</t>
        </is>
      </c>
      <c r="P1994" s="8" t="inlineStr">
        <is>
          <t>31/08/2026 02:59</t>
        </is>
      </c>
    </row>
    <row r="1995">
      <c r="A1995" s="7" t="inlineStr">
        <is>
          <t>WHAP 8x8</t>
        </is>
      </c>
      <c r="B1995" s="7" t="inlineStr">
        <is>
          <t>WHAP-1991</t>
        </is>
      </c>
      <c r="C1995" s="7" t="inlineStr">
        <is>
          <t>MOT-1991</t>
        </is>
      </c>
      <c r="D1995" s="7" t="inlineStr">
        <is>
          <t>ensemble de ressort de soupape</t>
        </is>
      </c>
      <c r="E1995" s="7" t="inlineStr">
        <is>
          <t>Moteur</t>
        </is>
      </c>
      <c r="F1995" s="7" t="inlineStr">
        <is>
          <t>Moteur</t>
        </is>
      </c>
      <c r="G1995" s="7" t="inlineStr">
        <is>
          <t>PIECE_VEHICULE</t>
        </is>
      </c>
      <c r="H1995" s="7" t="n">
        <v>1</v>
      </c>
      <c r="I1995" s="7">
        <f>H1995*$D$3</f>
        <v/>
      </c>
      <c r="J1995" s="7" t="inlineStr">
        <is>
          <t>unité</t>
        </is>
      </c>
      <c r="K1995" s="7" t="n">
        <v>0</v>
      </c>
      <c r="L1995" s="7">
        <f>K1995-I1995</f>
        <v/>
      </c>
      <c r="M1995" s="7">
        <f>IF(K1995&lt;I1995,"✕ INSUFFISANT",IF(K1995&lt;I1995*1.2,"⚠ STOCK FAIBLE","✓ COUVERT"))</f>
        <v/>
      </c>
      <c r="N1995" s="7" t="inlineStr">
        <is>
          <t>DEL</t>
        </is>
      </c>
      <c r="O1995" s="7" t="inlineStr">
        <is>
          <t>CRITIQUE</t>
        </is>
      </c>
      <c r="P1995" s="7" t="inlineStr">
        <is>
          <t>31/08/2026 02:59</t>
        </is>
      </c>
    </row>
    <row r="1996">
      <c r="A1996" s="8" t="inlineStr">
        <is>
          <t>WHAP 8x8</t>
        </is>
      </c>
      <c r="B1996" s="8" t="inlineStr">
        <is>
          <t>WHAP-1992</t>
        </is>
      </c>
      <c r="C1996" s="8" t="inlineStr">
        <is>
          <t>MOT-1992</t>
        </is>
      </c>
      <c r="D1996" s="8" t="inlineStr">
        <is>
          <t>kit de ressort de soupape</t>
        </is>
      </c>
      <c r="E1996" s="8" t="inlineStr">
        <is>
          <t>Moteur</t>
        </is>
      </c>
      <c r="F1996" s="8" t="inlineStr">
        <is>
          <t>Moteur</t>
        </is>
      </c>
      <c r="G1996" s="8" t="inlineStr">
        <is>
          <t>PIECE_VEHICULE</t>
        </is>
      </c>
      <c r="H1996" s="8" t="n">
        <v>1</v>
      </c>
      <c r="I1996" s="8">
        <f>H1996*$D$3</f>
        <v/>
      </c>
      <c r="J1996" s="8" t="inlineStr">
        <is>
          <t>unité</t>
        </is>
      </c>
      <c r="K1996" s="8" t="n">
        <v>0</v>
      </c>
      <c r="L1996" s="8">
        <f>K1996-I1996</f>
        <v/>
      </c>
      <c r="M1996" s="8">
        <f>IF(K1996&lt;I1996,"✕ INSUFFISANT",IF(K1996&lt;I1996*1.2,"⚠ STOCK FAIBLE","✓ COUVERT"))</f>
        <v/>
      </c>
      <c r="N1996" s="8" t="inlineStr">
        <is>
          <t>VAL</t>
        </is>
      </c>
      <c r="O1996" s="8" t="inlineStr">
        <is>
          <t>CRITIQUE</t>
        </is>
      </c>
      <c r="P1996" s="8" t="inlineStr">
        <is>
          <t>31/08/2026 02:59</t>
        </is>
      </c>
    </row>
    <row r="1997">
      <c r="A1997" s="7" t="inlineStr">
        <is>
          <t>WHAP 8x8</t>
        </is>
      </c>
      <c r="B1997" s="7" t="inlineStr">
        <is>
          <t>WHAP-1993</t>
        </is>
      </c>
      <c r="C1997" s="7" t="inlineStr">
        <is>
          <t>MOT-1993</t>
        </is>
      </c>
      <c r="D1997" s="7" t="inlineStr">
        <is>
          <t>support de ressort de soupape</t>
        </is>
      </c>
      <c r="E1997" s="7" t="inlineStr">
        <is>
          <t>Moteur</t>
        </is>
      </c>
      <c r="F1997" s="7" t="inlineStr">
        <is>
          <t>Moteur</t>
        </is>
      </c>
      <c r="G1997" s="7" t="inlineStr">
        <is>
          <t>PIECE_VEHICULE</t>
        </is>
      </c>
      <c r="H1997" s="7" t="n">
        <v>1</v>
      </c>
      <c r="I1997" s="7">
        <f>H1997*$D$3</f>
        <v/>
      </c>
      <c r="J1997" s="7" t="inlineStr">
        <is>
          <t>unité</t>
        </is>
      </c>
      <c r="K1997" s="7" t="n">
        <v>0</v>
      </c>
      <c r="L1997" s="7">
        <f>K1997-I1997</f>
        <v/>
      </c>
      <c r="M1997" s="7">
        <f>IF(K1997&lt;I1997,"✕ INSUFFISANT",IF(K1997&lt;I1997*1.2,"⚠ STOCK FAIBLE","✓ COUVERT"))</f>
        <v/>
      </c>
      <c r="N1997" s="7" t="inlineStr">
        <is>
          <t>FAU</t>
        </is>
      </c>
      <c r="O1997" s="7" t="inlineStr">
        <is>
          <t>CRITIQUE</t>
        </is>
      </c>
      <c r="P1997" s="7" t="inlineStr">
        <is>
          <t>31/08/2026 02:59</t>
        </is>
      </c>
    </row>
    <row r="1998">
      <c r="A1998" s="8" t="inlineStr">
        <is>
          <t>WHAP 8x8</t>
        </is>
      </c>
      <c r="B1998" s="8" t="inlineStr">
        <is>
          <t>WHAP-1994</t>
        </is>
      </c>
      <c r="C1998" s="8" t="inlineStr">
        <is>
          <t>MOT-1994</t>
        </is>
      </c>
      <c r="D1998" s="8" t="inlineStr">
        <is>
          <t>boîtier de ressort de soupape</t>
        </is>
      </c>
      <c r="E1998" s="8" t="inlineStr">
        <is>
          <t>Moteur</t>
        </is>
      </c>
      <c r="F1998" s="8" t="inlineStr">
        <is>
          <t>Moteur</t>
        </is>
      </c>
      <c r="G1998" s="8" t="inlineStr">
        <is>
          <t>PIECE_VEHICULE</t>
        </is>
      </c>
      <c r="H1998" s="8" t="n">
        <v>1</v>
      </c>
      <c r="I1998" s="8">
        <f>H1998*$D$3</f>
        <v/>
      </c>
      <c r="J1998" s="8" t="inlineStr">
        <is>
          <t>unité</t>
        </is>
      </c>
      <c r="K1998" s="8" t="n">
        <v>0</v>
      </c>
      <c r="L1998" s="8">
        <f>K1998-I1998</f>
        <v/>
      </c>
      <c r="M1998" s="8">
        <f>IF(K1998&lt;I1998,"✕ INSUFFISANT",IF(K1998&lt;I1998*1.2,"⚠ STOCK FAIBLE","✓ COUVERT"))</f>
        <v/>
      </c>
      <c r="N1998" s="8" t="inlineStr">
        <is>
          <t>BOS</t>
        </is>
      </c>
      <c r="O1998" s="8" t="inlineStr">
        <is>
          <t>CRITIQUE</t>
        </is>
      </c>
      <c r="P1998" s="8" t="inlineStr">
        <is>
          <t>31/08/2026 02:59</t>
        </is>
      </c>
    </row>
    <row r="1999">
      <c r="A1999" s="7" t="inlineStr">
        <is>
          <t>WHAP 8x8</t>
        </is>
      </c>
      <c r="B1999" s="7" t="inlineStr">
        <is>
          <t>WHAP-1995</t>
        </is>
      </c>
      <c r="C1999" s="7" t="inlineStr">
        <is>
          <t>MOT-1995</t>
        </is>
      </c>
      <c r="D1999" s="7" t="inlineStr">
        <is>
          <t>module de ressort de soupape</t>
        </is>
      </c>
      <c r="E1999" s="7" t="inlineStr">
        <is>
          <t>Moteur</t>
        </is>
      </c>
      <c r="F1999" s="7" t="inlineStr">
        <is>
          <t>Moteur</t>
        </is>
      </c>
      <c r="G1999" s="7" t="inlineStr">
        <is>
          <t>PIECE_VEHICULE</t>
        </is>
      </c>
      <c r="H1999" s="7" t="n">
        <v>1</v>
      </c>
      <c r="I1999" s="7">
        <f>H1999*$D$3</f>
        <v/>
      </c>
      <c r="J1999" s="7" t="inlineStr">
        <is>
          <t>unité</t>
        </is>
      </c>
      <c r="K1999" s="7" t="n">
        <v>0</v>
      </c>
      <c r="L1999" s="7">
        <f>K1999-I1999</f>
        <v/>
      </c>
      <c r="M1999" s="7">
        <f>IF(K1999&lt;I1999,"✕ INSUFFISANT",IF(K1999&lt;I1999*1.2,"⚠ STOCK FAIBLE","✓ COUVERT"))</f>
        <v/>
      </c>
      <c r="N1999" s="7" t="inlineStr">
        <is>
          <t>SKF</t>
        </is>
      </c>
      <c r="O1999" s="7" t="inlineStr">
        <is>
          <t>CRITIQUE</t>
        </is>
      </c>
      <c r="P1999" s="7" t="inlineStr">
        <is>
          <t>31/08/2026 02:59</t>
        </is>
      </c>
    </row>
    <row r="2000">
      <c r="A2000" s="8" t="inlineStr">
        <is>
          <t>WHAP 8x8</t>
        </is>
      </c>
      <c r="B2000" s="8" t="inlineStr">
        <is>
          <t>WHAP-1996</t>
        </is>
      </c>
      <c r="C2000" s="8" t="inlineStr">
        <is>
          <t>MOT-1996</t>
        </is>
      </c>
      <c r="D2000" s="8" t="inlineStr">
        <is>
          <t>câblage de ressort de soupape</t>
        </is>
      </c>
      <c r="E2000" s="8" t="inlineStr">
        <is>
          <t>Moteur</t>
        </is>
      </c>
      <c r="F2000" s="8" t="inlineStr">
        <is>
          <t>Moteur</t>
        </is>
      </c>
      <c r="G2000" s="8" t="inlineStr">
        <is>
          <t>PIECE_VEHICULE</t>
        </is>
      </c>
      <c r="H2000" s="8" t="n">
        <v>1</v>
      </c>
      <c r="I2000" s="8">
        <f>H2000*$D$3</f>
        <v/>
      </c>
      <c r="J2000" s="8" t="inlineStr">
        <is>
          <t>unité</t>
        </is>
      </c>
      <c r="K2000" s="8" t="n">
        <v>0</v>
      </c>
      <c r="L2000" s="8">
        <f>K2000-I2000</f>
        <v/>
      </c>
      <c r="M2000" s="8">
        <f>IF(K2000&lt;I2000,"✕ INSUFFISANT",IF(K2000&lt;I2000*1.2,"⚠ STOCK FAIBLE","✓ COUVERT"))</f>
        <v/>
      </c>
      <c r="N2000" s="8" t="inlineStr">
        <is>
          <t>SUM</t>
        </is>
      </c>
      <c r="O2000" s="8" t="inlineStr">
        <is>
          <t>CRITIQUE</t>
        </is>
      </c>
      <c r="P2000" s="8" t="inlineStr">
        <is>
          <t>31/08/2026 02:59</t>
        </is>
      </c>
    </row>
    <row r="2001">
      <c r="A2001" s="7" t="inlineStr">
        <is>
          <t>WHAP 8x8</t>
        </is>
      </c>
      <c r="B2001" s="7" t="inlineStr">
        <is>
          <t>WHAP-1997</t>
        </is>
      </c>
      <c r="C2001" s="7" t="inlineStr">
        <is>
          <t>MOT-1997</t>
        </is>
      </c>
      <c r="D2001" s="7" t="inlineStr">
        <is>
          <t>connecteur de ressort de soupape</t>
        </is>
      </c>
      <c r="E2001" s="7" t="inlineStr">
        <is>
          <t>Moteur</t>
        </is>
      </c>
      <c r="F2001" s="7" t="inlineStr">
        <is>
          <t>Moteur</t>
        </is>
      </c>
      <c r="G2001" s="7" t="inlineStr">
        <is>
          <t>PIECE_VEHICULE</t>
        </is>
      </c>
      <c r="H2001" s="7" t="n">
        <v>1</v>
      </c>
      <c r="I2001" s="7">
        <f>H2001*$D$3</f>
        <v/>
      </c>
      <c r="J2001" s="7" t="inlineStr">
        <is>
          <t>unité</t>
        </is>
      </c>
      <c r="K2001" s="7" t="n">
        <v>0</v>
      </c>
      <c r="L2001" s="7">
        <f>K2001-I2001</f>
        <v/>
      </c>
      <c r="M2001" s="7">
        <f>IF(K2001&lt;I2001,"✕ INSUFFISANT",IF(K2001&lt;I2001*1.2,"⚠ STOCK FAIBLE","✓ COUVERT"))</f>
        <v/>
      </c>
      <c r="N2001" s="7" t="inlineStr">
        <is>
          <t>VAL</t>
        </is>
      </c>
      <c r="O2001" s="7" t="inlineStr">
        <is>
          <t>CRITIQUE</t>
        </is>
      </c>
      <c r="P2001" s="7" t="inlineStr">
        <is>
          <t>31/08/2026 02:59</t>
        </is>
      </c>
    </row>
    <row r="2002">
      <c r="A2002" s="8" t="inlineStr">
        <is>
          <t>WHAP 8x8</t>
        </is>
      </c>
      <c r="B2002" s="8" t="inlineStr">
        <is>
          <t>WHAP-1998</t>
        </is>
      </c>
      <c r="C2002" s="8" t="inlineStr">
        <is>
          <t>MOT-1998</t>
        </is>
      </c>
      <c r="D2002" s="8" t="inlineStr">
        <is>
          <t>joint de ressort de soupape</t>
        </is>
      </c>
      <c r="E2002" s="8" t="inlineStr">
        <is>
          <t>Moteur</t>
        </is>
      </c>
      <c r="F2002" s="8" t="inlineStr">
        <is>
          <t>Moteur</t>
        </is>
      </c>
      <c r="G2002" s="8" t="inlineStr">
        <is>
          <t>PIECE_VEHICULE</t>
        </is>
      </c>
      <c r="H2002" s="8" t="n">
        <v>1</v>
      </c>
      <c r="I2002" s="8">
        <f>H2002*$D$3</f>
        <v/>
      </c>
      <c r="J2002" s="8" t="inlineStr">
        <is>
          <t>unité</t>
        </is>
      </c>
      <c r="K2002" s="8" t="n">
        <v>0</v>
      </c>
      <c r="L2002" s="8">
        <f>K2002-I2002</f>
        <v/>
      </c>
      <c r="M2002" s="8">
        <f>IF(K2002&lt;I2002,"✕ INSUFFISANT",IF(K2002&lt;I2002*1.2,"⚠ STOCK FAIBLE","✓ COUVERT"))</f>
        <v/>
      </c>
      <c r="N2002" s="8" t="inlineStr">
        <is>
          <t>FAU</t>
        </is>
      </c>
      <c r="O2002" s="8" t="inlineStr">
        <is>
          <t>CRITIQUE</t>
        </is>
      </c>
      <c r="P2002" s="8" t="inlineStr">
        <is>
          <t>31/08/2026 02:59</t>
        </is>
      </c>
    </row>
    <row r="2003">
      <c r="A2003" s="7" t="inlineStr">
        <is>
          <t>WHAP 8x8</t>
        </is>
      </c>
      <c r="B2003" s="7" t="inlineStr">
        <is>
          <t>WHAP-1999</t>
        </is>
      </c>
      <c r="C2003" s="7" t="inlineStr">
        <is>
          <t>MOT-1999</t>
        </is>
      </c>
      <c r="D2003" s="7" t="inlineStr">
        <is>
          <t>fixation de ressort de soupape</t>
        </is>
      </c>
      <c r="E2003" s="7" t="inlineStr">
        <is>
          <t>Moteur</t>
        </is>
      </c>
      <c r="F2003" s="7" t="inlineStr">
        <is>
          <t>Moteur</t>
        </is>
      </c>
      <c r="G2003" s="7" t="inlineStr">
        <is>
          <t>PIECE_VEHICULE</t>
        </is>
      </c>
      <c r="H2003" s="7" t="n">
        <v>1</v>
      </c>
      <c r="I2003" s="7">
        <f>H2003*$D$3</f>
        <v/>
      </c>
      <c r="J2003" s="7" t="inlineStr">
        <is>
          <t>unité</t>
        </is>
      </c>
      <c r="K2003" s="7" t="n">
        <v>0</v>
      </c>
      <c r="L2003" s="7">
        <f>K2003-I2003</f>
        <v/>
      </c>
      <c r="M2003" s="7">
        <f>IF(K2003&lt;I2003,"✕ INSUFFISANT",IF(K2003&lt;I2003*1.2,"⚠ STOCK FAIBLE","✓ COUVERT"))</f>
        <v/>
      </c>
      <c r="N2003" s="7" t="inlineStr">
        <is>
          <t>MAG</t>
        </is>
      </c>
      <c r="O2003" s="7" t="inlineStr">
        <is>
          <t>CRITIQUE</t>
        </is>
      </c>
      <c r="P2003" s="7" t="inlineStr">
        <is>
          <t>31/08/2026 02:59</t>
        </is>
      </c>
    </row>
    <row r="2004">
      <c r="A2004" s="8" t="inlineStr">
        <is>
          <t>WHAP 8x8</t>
        </is>
      </c>
      <c r="B2004" s="8" t="inlineStr">
        <is>
          <t>WHAP-2000</t>
        </is>
      </c>
      <c r="C2004" s="8" t="inlineStr">
        <is>
          <t>MOT-2000</t>
        </is>
      </c>
      <c r="D2004" s="8" t="inlineStr">
        <is>
          <t>protection de ressort de soupape</t>
        </is>
      </c>
      <c r="E2004" s="8" t="inlineStr">
        <is>
          <t>Moteur</t>
        </is>
      </c>
      <c r="F2004" s="8" t="inlineStr">
        <is>
          <t>Moteur</t>
        </is>
      </c>
      <c r="G2004" s="8" t="inlineStr">
        <is>
          <t>PIECE_VEHICULE</t>
        </is>
      </c>
      <c r="H2004" s="8" t="n">
        <v>1</v>
      </c>
      <c r="I2004" s="8">
        <f>H2004*$D$3</f>
        <v/>
      </c>
      <c r="J2004" s="8" t="inlineStr">
        <is>
          <t>unité</t>
        </is>
      </c>
      <c r="K2004" s="8" t="n">
        <v>0</v>
      </c>
      <c r="L2004" s="8">
        <f>K2004-I2004</f>
        <v/>
      </c>
      <c r="M2004" s="8">
        <f>IF(K2004&lt;I2004,"✕ INSUFFISANT",IF(K2004&lt;I2004*1.2,"⚠ STOCK FAIBLE","✓ COUVERT"))</f>
        <v/>
      </c>
      <c r="N2004" s="8" t="inlineStr">
        <is>
          <t>DEL</t>
        </is>
      </c>
      <c r="O2004" s="8" t="inlineStr">
        <is>
          <t>CRITIQUE</t>
        </is>
      </c>
      <c r="P2004" s="8" t="inlineStr">
        <is>
          <t>31/08/2026 02:59</t>
        </is>
      </c>
    </row>
    <row r="2005">
      <c r="A2005" s="7" t="inlineStr">
        <is>
          <t>WHAP 8x8</t>
        </is>
      </c>
      <c r="B2005" s="7" t="inlineStr">
        <is>
          <t>WHAP-2001</t>
        </is>
      </c>
      <c r="C2005" s="7" t="inlineStr">
        <is>
          <t>MOT-2001</t>
        </is>
      </c>
      <c r="D2005" s="7" t="inlineStr">
        <is>
          <t>capteur de ressort de soupape</t>
        </is>
      </c>
      <c r="E2005" s="7" t="inlineStr">
        <is>
          <t>Moteur</t>
        </is>
      </c>
      <c r="F2005" s="7" t="inlineStr">
        <is>
          <t>Moteur</t>
        </is>
      </c>
      <c r="G2005" s="7" t="inlineStr">
        <is>
          <t>PIECE_VEHICULE</t>
        </is>
      </c>
      <c r="H2005" s="7" t="n">
        <v>1</v>
      </c>
      <c r="I2005" s="7">
        <f>H2005*$D$3</f>
        <v/>
      </c>
      <c r="J2005" s="7" t="inlineStr">
        <is>
          <t>unité</t>
        </is>
      </c>
      <c r="K2005" s="7" t="n">
        <v>0</v>
      </c>
      <c r="L2005" s="7">
        <f>K2005-I2005</f>
        <v/>
      </c>
      <c r="M2005" s="7">
        <f>IF(K2005&lt;I2005,"✕ INSUFFISANT",IF(K2005&lt;I2005*1.2,"⚠ STOCK FAIBLE","✓ COUVERT"))</f>
        <v/>
      </c>
      <c r="N2005" s="7" t="inlineStr">
        <is>
          <t>SUM</t>
        </is>
      </c>
      <c r="O2005" s="7" t="inlineStr">
        <is>
          <t>CRITIQUE</t>
        </is>
      </c>
      <c r="P2005" s="7" t="inlineStr">
        <is>
          <t>31/08/2026 02:59</t>
        </is>
      </c>
    </row>
    <row r="2006">
      <c r="A2006" s="8" t="inlineStr">
        <is>
          <t>WHAP 8x8</t>
        </is>
      </c>
      <c r="B2006" s="8" t="inlineStr">
        <is>
          <t>WHAP-2002</t>
        </is>
      </c>
      <c r="C2006" s="8" t="inlineStr">
        <is>
          <t>MOT-2002</t>
        </is>
      </c>
      <c r="D2006" s="8" t="inlineStr">
        <is>
          <t>actionneur de ressort de soupape</t>
        </is>
      </c>
      <c r="E2006" s="8" t="inlineStr">
        <is>
          <t>Moteur</t>
        </is>
      </c>
      <c r="F2006" s="8" t="inlineStr">
        <is>
          <t>Moteur</t>
        </is>
      </c>
      <c r="G2006" s="8" t="inlineStr">
        <is>
          <t>PIECE_VEHICULE</t>
        </is>
      </c>
      <c r="H2006" s="8" t="n">
        <v>1</v>
      </c>
      <c r="I2006" s="8">
        <f>H2006*$D$3</f>
        <v/>
      </c>
      <c r="J2006" s="8" t="inlineStr">
        <is>
          <t>unité</t>
        </is>
      </c>
      <c r="K2006" s="8" t="n">
        <v>0</v>
      </c>
      <c r="L2006" s="8">
        <f>K2006-I2006</f>
        <v/>
      </c>
      <c r="M2006" s="8">
        <f>IF(K2006&lt;I2006,"✕ INSUFFISANT",IF(K2006&lt;I2006*1.2,"⚠ STOCK FAIBLE","✓ COUVERT"))</f>
        <v/>
      </c>
      <c r="N2006" s="8" t="inlineStr">
        <is>
          <t>YZK</t>
        </is>
      </c>
      <c r="O2006" s="8" t="inlineStr">
        <is>
          <t>CRITIQUE</t>
        </is>
      </c>
      <c r="P2006" s="8" t="inlineStr">
        <is>
          <t>31/08/2026 02:59</t>
        </is>
      </c>
    </row>
    <row r="2007">
      <c r="A2007" s="7" t="inlineStr">
        <is>
          <t>WHAP 8x8</t>
        </is>
      </c>
      <c r="B2007" s="7" t="inlineStr">
        <is>
          <t>WHAP-2003</t>
        </is>
      </c>
      <c r="C2007" s="7" t="inlineStr">
        <is>
          <t>MOT-2003</t>
        </is>
      </c>
      <c r="D2007" s="7" t="inlineStr">
        <is>
          <t>raccord de ressort de soupape</t>
        </is>
      </c>
      <c r="E2007" s="7" t="inlineStr">
        <is>
          <t>Moteur</t>
        </is>
      </c>
      <c r="F2007" s="7" t="inlineStr">
        <is>
          <t>Moteur</t>
        </is>
      </c>
      <c r="G2007" s="7" t="inlineStr">
        <is>
          <t>PIECE_VEHICULE</t>
        </is>
      </c>
      <c r="H2007" s="7" t="n">
        <v>1</v>
      </c>
      <c r="I2007" s="7">
        <f>H2007*$D$3</f>
        <v/>
      </c>
      <c r="J2007" s="7" t="inlineStr">
        <is>
          <t>unité</t>
        </is>
      </c>
      <c r="K2007" s="7" t="n">
        <v>0</v>
      </c>
      <c r="L2007" s="7">
        <f>K2007-I2007</f>
        <v/>
      </c>
      <c r="M2007" s="7">
        <f>IF(K2007&lt;I2007,"✕ INSUFFISANT",IF(K2007&lt;I2007*1.2,"⚠ STOCK FAIBLE","✓ COUVERT"))</f>
        <v/>
      </c>
      <c r="N2007" s="7" t="inlineStr">
        <is>
          <t>SUM</t>
        </is>
      </c>
      <c r="O2007" s="7" t="inlineStr">
        <is>
          <t>CRITIQUE</t>
        </is>
      </c>
      <c r="P2007" s="7" t="inlineStr">
        <is>
          <t>31/08/2026 02:59</t>
        </is>
      </c>
    </row>
    <row r="2008">
      <c r="A2008" s="8" t="inlineStr">
        <is>
          <t>WHAP 8x8</t>
        </is>
      </c>
      <c r="B2008" s="8" t="inlineStr">
        <is>
          <t>WHAP-2004</t>
        </is>
      </c>
      <c r="C2008" s="8" t="inlineStr">
        <is>
          <t>MOT-2004</t>
        </is>
      </c>
      <c r="D2008" s="8" t="inlineStr">
        <is>
          <t>plaque de ressort de soupape</t>
        </is>
      </c>
      <c r="E2008" s="8" t="inlineStr">
        <is>
          <t>Moteur</t>
        </is>
      </c>
      <c r="F2008" s="8" t="inlineStr">
        <is>
          <t>Moteur</t>
        </is>
      </c>
      <c r="G2008" s="8" t="inlineStr">
        <is>
          <t>PIECE_VEHICULE</t>
        </is>
      </c>
      <c r="H2008" s="8" t="n">
        <v>1</v>
      </c>
      <c r="I2008" s="8">
        <f>H2008*$D$3</f>
        <v/>
      </c>
      <c r="J2008" s="8" t="inlineStr">
        <is>
          <t>unité</t>
        </is>
      </c>
      <c r="K2008" s="8" t="n">
        <v>0</v>
      </c>
      <c r="L2008" s="8">
        <f>K2008-I2008</f>
        <v/>
      </c>
      <c r="M2008" s="8">
        <f>IF(K2008&lt;I2008,"✕ INSUFFISANT",IF(K2008&lt;I2008*1.2,"⚠ STOCK FAIBLE","✓ COUVERT"))</f>
        <v/>
      </c>
      <c r="N2008" s="8" t="inlineStr">
        <is>
          <t>MAG</t>
        </is>
      </c>
      <c r="O2008" s="8" t="inlineStr">
        <is>
          <t>CRITIQUE</t>
        </is>
      </c>
      <c r="P2008" s="8" t="inlineStr">
        <is>
          <t>31/08/2026 02:59</t>
        </is>
      </c>
    </row>
    <row r="2009">
      <c r="A2009" s="7" t="inlineStr">
        <is>
          <t>WHAP 8x8</t>
        </is>
      </c>
      <c r="B2009" s="7" t="inlineStr">
        <is>
          <t>WHAP-2005</t>
        </is>
      </c>
      <c r="C2009" s="7" t="inlineStr">
        <is>
          <t>MOT-2005</t>
        </is>
      </c>
      <c r="D2009" s="7" t="inlineStr">
        <is>
          <t>couvercle de ressort de soupape</t>
        </is>
      </c>
      <c r="E2009" s="7" t="inlineStr">
        <is>
          <t>Moteur</t>
        </is>
      </c>
      <c r="F2009" s="7" t="inlineStr">
        <is>
          <t>Moteur</t>
        </is>
      </c>
      <c r="G2009" s="7" t="inlineStr">
        <is>
          <t>PIECE_VEHICULE</t>
        </is>
      </c>
      <c r="H2009" s="7" t="n">
        <v>1</v>
      </c>
      <c r="I2009" s="7">
        <f>H2009*$D$3</f>
        <v/>
      </c>
      <c r="J2009" s="7" t="inlineStr">
        <is>
          <t>unité</t>
        </is>
      </c>
      <c r="K2009" s="7" t="n">
        <v>0</v>
      </c>
      <c r="L2009" s="7">
        <f>K2009-I2009</f>
        <v/>
      </c>
      <c r="M2009" s="7">
        <f>IF(K2009&lt;I2009,"✕ INSUFFISANT",IF(K2009&lt;I2009*1.2,"⚠ STOCK FAIBLE","✓ COUVERT"))</f>
        <v/>
      </c>
      <c r="N2009" s="7" t="inlineStr">
        <is>
          <t>CTL</t>
        </is>
      </c>
      <c r="O2009" s="7" t="inlineStr">
        <is>
          <t>CRITIQUE</t>
        </is>
      </c>
      <c r="P2009" s="7" t="inlineStr">
        <is>
          <t>31/08/2026 02:59</t>
        </is>
      </c>
    </row>
    <row r="2010">
      <c r="A2010" s="8" t="inlineStr">
        <is>
          <t>WHAP 8x8</t>
        </is>
      </c>
      <c r="B2010" s="8" t="inlineStr">
        <is>
          <t>WHAP-2006</t>
        </is>
      </c>
      <c r="C2010" s="8" t="inlineStr">
        <is>
          <t>MOT-2006</t>
        </is>
      </c>
      <c r="D2010" s="8" t="inlineStr">
        <is>
          <t>bague de ressort de soupape</t>
        </is>
      </c>
      <c r="E2010" s="8" t="inlineStr">
        <is>
          <t>Moteur</t>
        </is>
      </c>
      <c r="F2010" s="8" t="inlineStr">
        <is>
          <t>Moteur</t>
        </is>
      </c>
      <c r="G2010" s="8" t="inlineStr">
        <is>
          <t>PIECE_VEHICULE</t>
        </is>
      </c>
      <c r="H2010" s="8" t="n">
        <v>1</v>
      </c>
      <c r="I2010" s="8">
        <f>H2010*$D$3</f>
        <v/>
      </c>
      <c r="J2010" s="8" t="inlineStr">
        <is>
          <t>unité</t>
        </is>
      </c>
      <c r="K2010" s="8" t="n">
        <v>0</v>
      </c>
      <c r="L2010" s="8">
        <f>K2010-I2010</f>
        <v/>
      </c>
      <c r="M2010" s="8">
        <f>IF(K2010&lt;I2010,"✕ INSUFFISANT",IF(K2010&lt;I2010*1.2,"⚠ STOCK FAIBLE","✓ COUVERT"))</f>
        <v/>
      </c>
      <c r="N2010" s="8" t="inlineStr">
        <is>
          <t>MAG</t>
        </is>
      </c>
      <c r="O2010" s="8" t="inlineStr">
        <is>
          <t>CRITIQUE</t>
        </is>
      </c>
      <c r="P2010" s="8" t="inlineStr">
        <is>
          <t>31/08/2026 02:59</t>
        </is>
      </c>
    </row>
    <row r="2011">
      <c r="A2011" s="7" t="inlineStr">
        <is>
          <t>WHAP 8x8</t>
        </is>
      </c>
      <c r="B2011" s="7" t="inlineStr">
        <is>
          <t>WHAP-2007</t>
        </is>
      </c>
      <c r="C2011" s="7" t="inlineStr">
        <is>
          <t>MOT-2007</t>
        </is>
      </c>
      <c r="D2011" s="7" t="inlineStr">
        <is>
          <t>entretoise de ressort de soupape</t>
        </is>
      </c>
      <c r="E2011" s="7" t="inlineStr">
        <is>
          <t>Moteur</t>
        </is>
      </c>
      <c r="F2011" s="7" t="inlineStr">
        <is>
          <t>Moteur</t>
        </is>
      </c>
      <c r="G2011" s="7" t="inlineStr">
        <is>
          <t>PIECE_VEHICULE</t>
        </is>
      </c>
      <c r="H2011" s="7" t="n">
        <v>1</v>
      </c>
      <c r="I2011" s="7">
        <f>H2011*$D$3</f>
        <v/>
      </c>
      <c r="J2011" s="7" t="inlineStr">
        <is>
          <t>unité</t>
        </is>
      </c>
      <c r="K2011" s="7" t="n">
        <v>0</v>
      </c>
      <c r="L2011" s="7">
        <f>K2011-I2011</f>
        <v/>
      </c>
      <c r="M2011" s="7">
        <f>IF(K2011&lt;I2011,"✕ INSUFFISANT",IF(K2011&lt;I2011*1.2,"⚠ STOCK FAIBLE","✓ COUVERT"))</f>
        <v/>
      </c>
      <c r="N2011" s="7" t="inlineStr">
        <is>
          <t>YZK</t>
        </is>
      </c>
      <c r="O2011" s="7" t="inlineStr">
        <is>
          <t>CRITIQUE</t>
        </is>
      </c>
      <c r="P2011" s="7" t="inlineStr">
        <is>
          <t>31/08/2026 02:59</t>
        </is>
      </c>
    </row>
    <row r="2012">
      <c r="A2012" s="8" t="inlineStr">
        <is>
          <t>WHAP 8x8</t>
        </is>
      </c>
      <c r="B2012" s="8" t="inlineStr">
        <is>
          <t>WHAP-2008</t>
        </is>
      </c>
      <c r="C2012" s="8" t="inlineStr">
        <is>
          <t>MOT-2008</t>
        </is>
      </c>
      <c r="D2012" s="8" t="inlineStr">
        <is>
          <t>axe de ressort de soupape</t>
        </is>
      </c>
      <c r="E2012" s="8" t="inlineStr">
        <is>
          <t>Moteur</t>
        </is>
      </c>
      <c r="F2012" s="8" t="inlineStr">
        <is>
          <t>Moteur</t>
        </is>
      </c>
      <c r="G2012" s="8" t="inlineStr">
        <is>
          <t>PIECE_VEHICULE</t>
        </is>
      </c>
      <c r="H2012" s="8" t="n">
        <v>1</v>
      </c>
      <c r="I2012" s="8">
        <f>H2012*$D$3</f>
        <v/>
      </c>
      <c r="J2012" s="8" t="inlineStr">
        <is>
          <t>unité</t>
        </is>
      </c>
      <c r="K2012" s="8" t="n">
        <v>0</v>
      </c>
      <c r="L2012" s="8">
        <f>K2012-I2012</f>
        <v/>
      </c>
      <c r="M2012" s="8">
        <f>IF(K2012&lt;I2012,"✕ INSUFFISANT",IF(K2012&lt;I2012*1.2,"⚠ STOCK FAIBLE","✓ COUVERT"))</f>
        <v/>
      </c>
      <c r="N2012" s="8" t="inlineStr">
        <is>
          <t>HEL</t>
        </is>
      </c>
      <c r="O2012" s="8" t="inlineStr">
        <is>
          <t>CRITIQUE</t>
        </is>
      </c>
      <c r="P2012" s="8" t="inlineStr">
        <is>
          <t>31/08/2026 02:59</t>
        </is>
      </c>
    </row>
    <row r="2013">
      <c r="A2013" s="7" t="inlineStr">
        <is>
          <t>WHAP 8x8</t>
        </is>
      </c>
      <c r="B2013" s="7" t="inlineStr">
        <is>
          <t>WHAP-2009</t>
        </is>
      </c>
      <c r="C2013" s="7" t="inlineStr">
        <is>
          <t>MOT-2009</t>
        </is>
      </c>
      <c r="D2013" s="7" t="inlineStr">
        <is>
          <t>poulie de ressort de soupape</t>
        </is>
      </c>
      <c r="E2013" s="7" t="inlineStr">
        <is>
          <t>Moteur</t>
        </is>
      </c>
      <c r="F2013" s="7" t="inlineStr">
        <is>
          <t>Moteur</t>
        </is>
      </c>
      <c r="G2013" s="7" t="inlineStr">
        <is>
          <t>PIECE_VEHICULE</t>
        </is>
      </c>
      <c r="H2013" s="7" t="n">
        <v>1</v>
      </c>
      <c r="I2013" s="7">
        <f>H2013*$D$3</f>
        <v/>
      </c>
      <c r="J2013" s="7" t="inlineStr">
        <is>
          <t>unité</t>
        </is>
      </c>
      <c r="K2013" s="7" t="n">
        <v>0</v>
      </c>
      <c r="L2013" s="7">
        <f>K2013-I2013</f>
        <v/>
      </c>
      <c r="M2013" s="7">
        <f>IF(K2013&lt;I2013,"✕ INSUFFISANT",IF(K2013&lt;I2013*1.2,"⚠ STOCK FAIBLE","✓ COUVERT"))</f>
        <v/>
      </c>
      <c r="N2013" s="7" t="inlineStr">
        <is>
          <t>DEL</t>
        </is>
      </c>
      <c r="O2013" s="7" t="inlineStr">
        <is>
          <t>CRITIQUE</t>
        </is>
      </c>
      <c r="P2013" s="7" t="inlineStr">
        <is>
          <t>31/08/2026 02:59</t>
        </is>
      </c>
    </row>
    <row r="2014">
      <c r="A2014" s="8" t="inlineStr">
        <is>
          <t>WHAP 8x8</t>
        </is>
      </c>
      <c r="B2014" s="8" t="inlineStr">
        <is>
          <t>WHAP-2010</t>
        </is>
      </c>
      <c r="C2014" s="8" t="inlineStr">
        <is>
          <t>MOT-2010</t>
        </is>
      </c>
      <c r="D2014" s="8" t="inlineStr">
        <is>
          <t>pignon de ressort de soupape</t>
        </is>
      </c>
      <c r="E2014" s="8" t="inlineStr">
        <is>
          <t>Moteur</t>
        </is>
      </c>
      <c r="F2014" s="8" t="inlineStr">
        <is>
          <t>Moteur</t>
        </is>
      </c>
      <c r="G2014" s="8" t="inlineStr">
        <is>
          <t>PIECE_VEHICULE</t>
        </is>
      </c>
      <c r="H2014" s="8" t="n">
        <v>1</v>
      </c>
      <c r="I2014" s="8">
        <f>H2014*$D$3</f>
        <v/>
      </c>
      <c r="J2014" s="8" t="inlineStr">
        <is>
          <t>unité</t>
        </is>
      </c>
      <c r="K2014" s="8" t="n">
        <v>0</v>
      </c>
      <c r="L2014" s="8">
        <f>K2014-I2014</f>
        <v/>
      </c>
      <c r="M2014" s="8">
        <f>IF(K2014&lt;I2014,"✕ INSUFFISANT",IF(K2014&lt;I2014*1.2,"⚠ STOCK FAIBLE","✓ COUVERT"))</f>
        <v/>
      </c>
      <c r="N2014" s="8" t="inlineStr">
        <is>
          <t>CTL</t>
        </is>
      </c>
      <c r="O2014" s="8" t="inlineStr">
        <is>
          <t>CRITIQUE</t>
        </is>
      </c>
      <c r="P2014" s="8" t="inlineStr">
        <is>
          <t>31/08/2026 02:59</t>
        </is>
      </c>
    </row>
    <row r="2015">
      <c r="A2015" s="7" t="inlineStr">
        <is>
          <t>WHAP 8x8</t>
        </is>
      </c>
      <c r="B2015" s="7" t="inlineStr">
        <is>
          <t>WHAP-2011</t>
        </is>
      </c>
      <c r="C2015" s="7" t="inlineStr">
        <is>
          <t>MOT-2011</t>
        </is>
      </c>
      <c r="D2015" s="7" t="inlineStr">
        <is>
          <t>ensemble de siège de soupape</t>
        </is>
      </c>
      <c r="E2015" s="7" t="inlineStr">
        <is>
          <t>Moteur</t>
        </is>
      </c>
      <c r="F2015" s="7" t="inlineStr">
        <is>
          <t>Moteur</t>
        </is>
      </c>
      <c r="G2015" s="7" t="inlineStr">
        <is>
          <t>PIECE_VEHICULE</t>
        </is>
      </c>
      <c r="H2015" s="7" t="n">
        <v>1</v>
      </c>
      <c r="I2015" s="7">
        <f>H2015*$D$3</f>
        <v/>
      </c>
      <c r="J2015" s="7" t="inlineStr">
        <is>
          <t>unité</t>
        </is>
      </c>
      <c r="K2015" s="7" t="n">
        <v>0</v>
      </c>
      <c r="L2015" s="7">
        <f>K2015-I2015</f>
        <v/>
      </c>
      <c r="M2015" s="7">
        <f>IF(K2015&lt;I2015,"✕ INSUFFISANT",IF(K2015&lt;I2015*1.2,"⚠ STOCK FAIBLE","✓ COUVERT"))</f>
        <v/>
      </c>
      <c r="N2015" s="7" t="inlineStr">
        <is>
          <t>YZK</t>
        </is>
      </c>
      <c r="O2015" s="7" t="inlineStr">
        <is>
          <t>CRITIQUE</t>
        </is>
      </c>
      <c r="P2015" s="7" t="inlineStr">
        <is>
          <t>31/08/2026 02:59</t>
        </is>
      </c>
    </row>
    <row r="2016">
      <c r="A2016" s="8" t="inlineStr">
        <is>
          <t>WHAP 8x8</t>
        </is>
      </c>
      <c r="B2016" s="8" t="inlineStr">
        <is>
          <t>WHAP-2012</t>
        </is>
      </c>
      <c r="C2016" s="8" t="inlineStr">
        <is>
          <t>MOT-2012</t>
        </is>
      </c>
      <c r="D2016" s="8" t="inlineStr">
        <is>
          <t>kit de siège de soupape</t>
        </is>
      </c>
      <c r="E2016" s="8" t="inlineStr">
        <is>
          <t>Moteur</t>
        </is>
      </c>
      <c r="F2016" s="8" t="inlineStr">
        <is>
          <t>Moteur</t>
        </is>
      </c>
      <c r="G2016" s="8" t="inlineStr">
        <is>
          <t>PIECE_VEHICULE</t>
        </is>
      </c>
      <c r="H2016" s="8" t="n">
        <v>1</v>
      </c>
      <c r="I2016" s="8">
        <f>H2016*$D$3</f>
        <v/>
      </c>
      <c r="J2016" s="8" t="inlineStr">
        <is>
          <t>unité</t>
        </is>
      </c>
      <c r="K2016" s="8" t="n">
        <v>0</v>
      </c>
      <c r="L2016" s="8">
        <f>K2016-I2016</f>
        <v/>
      </c>
      <c r="M2016" s="8">
        <f>IF(K2016&lt;I2016,"✕ INSUFFISANT",IF(K2016&lt;I2016*1.2,"⚠ STOCK FAIBLE","✓ COUVERT"))</f>
        <v/>
      </c>
      <c r="N2016" s="8" t="inlineStr">
        <is>
          <t>SKF</t>
        </is>
      </c>
      <c r="O2016" s="8" t="inlineStr">
        <is>
          <t>CRITIQUE</t>
        </is>
      </c>
      <c r="P2016" s="8" t="inlineStr">
        <is>
          <t>31/08/2026 02:59</t>
        </is>
      </c>
    </row>
    <row r="2017">
      <c r="A2017" s="7" t="inlineStr">
        <is>
          <t>WHAP 8x8</t>
        </is>
      </c>
      <c r="B2017" s="7" t="inlineStr">
        <is>
          <t>WHAP-2013</t>
        </is>
      </c>
      <c r="C2017" s="7" t="inlineStr">
        <is>
          <t>MOT-2013</t>
        </is>
      </c>
      <c r="D2017" s="7" t="inlineStr">
        <is>
          <t>support de siège de soupape</t>
        </is>
      </c>
      <c r="E2017" s="7" t="inlineStr">
        <is>
          <t>Moteur</t>
        </is>
      </c>
      <c r="F2017" s="7" t="inlineStr">
        <is>
          <t>Moteur</t>
        </is>
      </c>
      <c r="G2017" s="7" t="inlineStr">
        <is>
          <t>PIECE_VEHICULE</t>
        </is>
      </c>
      <c r="H2017" s="7" t="n">
        <v>1</v>
      </c>
      <c r="I2017" s="7">
        <f>H2017*$D$3</f>
        <v/>
      </c>
      <c r="J2017" s="7" t="inlineStr">
        <is>
          <t>unité</t>
        </is>
      </c>
      <c r="K2017" s="7" t="n">
        <v>0</v>
      </c>
      <c r="L2017" s="7">
        <f>K2017-I2017</f>
        <v/>
      </c>
      <c r="M2017" s="7">
        <f>IF(K2017&lt;I2017,"✕ INSUFFISANT",IF(K2017&lt;I2017*1.2,"⚠ STOCK FAIBLE","✓ COUVERT"))</f>
        <v/>
      </c>
      <c r="N2017" s="7" t="inlineStr">
        <is>
          <t>HEL</t>
        </is>
      </c>
      <c r="O2017" s="7" t="inlineStr">
        <is>
          <t>CRITIQUE</t>
        </is>
      </c>
      <c r="P2017" s="7" t="inlineStr">
        <is>
          <t>31/08/2026 02:59</t>
        </is>
      </c>
    </row>
    <row r="2018">
      <c r="A2018" s="8" t="inlineStr">
        <is>
          <t>WHAP 8x8</t>
        </is>
      </c>
      <c r="B2018" s="8" t="inlineStr">
        <is>
          <t>WHAP-2014</t>
        </is>
      </c>
      <c r="C2018" s="8" t="inlineStr">
        <is>
          <t>MOT-2014</t>
        </is>
      </c>
      <c r="D2018" s="8" t="inlineStr">
        <is>
          <t>boîtier de siège de soupape</t>
        </is>
      </c>
      <c r="E2018" s="8" t="inlineStr">
        <is>
          <t>Moteur</t>
        </is>
      </c>
      <c r="F2018" s="8" t="inlineStr">
        <is>
          <t>Moteur</t>
        </is>
      </c>
      <c r="G2018" s="8" t="inlineStr">
        <is>
          <t>PIECE_VEHICULE</t>
        </is>
      </c>
      <c r="H2018" s="8" t="n">
        <v>1</v>
      </c>
      <c r="I2018" s="8">
        <f>H2018*$D$3</f>
        <v/>
      </c>
      <c r="J2018" s="8" t="inlineStr">
        <is>
          <t>unité</t>
        </is>
      </c>
      <c r="K2018" s="8" t="n">
        <v>0</v>
      </c>
      <c r="L2018" s="8">
        <f>K2018-I2018</f>
        <v/>
      </c>
      <c r="M2018" s="8">
        <f>IF(K2018&lt;I2018,"✕ INSUFFISANT",IF(K2018&lt;I2018*1.2,"⚠ STOCK FAIBLE","✓ COUVERT"))</f>
        <v/>
      </c>
      <c r="N2018" s="8" t="inlineStr">
        <is>
          <t>YZK</t>
        </is>
      </c>
      <c r="O2018" s="8" t="inlineStr">
        <is>
          <t>CRITIQUE</t>
        </is>
      </c>
      <c r="P2018" s="8" t="inlineStr">
        <is>
          <t>31/08/2026 02:59</t>
        </is>
      </c>
    </row>
    <row r="2019">
      <c r="A2019" s="7" t="inlineStr">
        <is>
          <t>WHAP 8x8</t>
        </is>
      </c>
      <c r="B2019" s="7" t="inlineStr">
        <is>
          <t>WHAP-2015</t>
        </is>
      </c>
      <c r="C2019" s="7" t="inlineStr">
        <is>
          <t>MOT-2015</t>
        </is>
      </c>
      <c r="D2019" s="7" t="inlineStr">
        <is>
          <t>module de siège de soupape</t>
        </is>
      </c>
      <c r="E2019" s="7" t="inlineStr">
        <is>
          <t>Moteur</t>
        </is>
      </c>
      <c r="F2019" s="7" t="inlineStr">
        <is>
          <t>Moteur</t>
        </is>
      </c>
      <c r="G2019" s="7" t="inlineStr">
        <is>
          <t>PIECE_VEHICULE</t>
        </is>
      </c>
      <c r="H2019" s="7" t="n">
        <v>1</v>
      </c>
      <c r="I2019" s="7">
        <f>H2019*$D$3</f>
        <v/>
      </c>
      <c r="J2019" s="7" t="inlineStr">
        <is>
          <t>unité</t>
        </is>
      </c>
      <c r="K2019" s="7" t="n">
        <v>0</v>
      </c>
      <c r="L2019" s="7">
        <f>K2019-I2019</f>
        <v/>
      </c>
      <c r="M2019" s="7">
        <f>IF(K2019&lt;I2019,"✕ INSUFFISANT",IF(K2019&lt;I2019*1.2,"⚠ STOCK FAIBLE","✓ COUVERT"))</f>
        <v/>
      </c>
      <c r="N2019" s="7" t="inlineStr">
        <is>
          <t>SKF</t>
        </is>
      </c>
      <c r="O2019" s="7" t="inlineStr">
        <is>
          <t>CRITIQUE</t>
        </is>
      </c>
      <c r="P2019" s="7" t="inlineStr">
        <is>
          <t>31/08/2026 02:59</t>
        </is>
      </c>
    </row>
    <row r="2020">
      <c r="A2020" s="8" t="inlineStr">
        <is>
          <t>WHAP 8x8</t>
        </is>
      </c>
      <c r="B2020" s="8" t="inlineStr">
        <is>
          <t>WHAP-2016</t>
        </is>
      </c>
      <c r="C2020" s="8" t="inlineStr">
        <is>
          <t>MOT-2016</t>
        </is>
      </c>
      <c r="D2020" s="8" t="inlineStr">
        <is>
          <t>câblage de siège de soupape</t>
        </is>
      </c>
      <c r="E2020" s="8" t="inlineStr">
        <is>
          <t>Moteur</t>
        </is>
      </c>
      <c r="F2020" s="8" t="inlineStr">
        <is>
          <t>Moteur</t>
        </is>
      </c>
      <c r="G2020" s="8" t="inlineStr">
        <is>
          <t>PIECE_VEHICULE</t>
        </is>
      </c>
      <c r="H2020" s="8" t="n">
        <v>1</v>
      </c>
      <c r="I2020" s="8">
        <f>H2020*$D$3</f>
        <v/>
      </c>
      <c r="J2020" s="8" t="inlineStr">
        <is>
          <t>unité</t>
        </is>
      </c>
      <c r="K2020" s="8" t="n">
        <v>0</v>
      </c>
      <c r="L2020" s="8">
        <f>K2020-I2020</f>
        <v/>
      </c>
      <c r="M2020" s="8">
        <f>IF(K2020&lt;I2020,"✕ INSUFFISANT",IF(K2020&lt;I2020*1.2,"⚠ STOCK FAIBLE","✓ COUVERT"))</f>
        <v/>
      </c>
      <c r="N2020" s="8" t="inlineStr">
        <is>
          <t>BOS</t>
        </is>
      </c>
      <c r="O2020" s="8" t="inlineStr">
        <is>
          <t>CRITIQUE</t>
        </is>
      </c>
      <c r="P2020" s="8" t="inlineStr">
        <is>
          <t>31/08/2026 02:59</t>
        </is>
      </c>
    </row>
    <row r="2021">
      <c r="A2021" s="7" t="inlineStr">
        <is>
          <t>WHAP 8x8</t>
        </is>
      </c>
      <c r="B2021" s="7" t="inlineStr">
        <is>
          <t>WHAP-2017</t>
        </is>
      </c>
      <c r="C2021" s="7" t="inlineStr">
        <is>
          <t>MOT-2017</t>
        </is>
      </c>
      <c r="D2021" s="7" t="inlineStr">
        <is>
          <t>connecteur de siège de soupape</t>
        </is>
      </c>
      <c r="E2021" s="7" t="inlineStr">
        <is>
          <t>Moteur</t>
        </is>
      </c>
      <c r="F2021" s="7" t="inlineStr">
        <is>
          <t>Moteur</t>
        </is>
      </c>
      <c r="G2021" s="7" t="inlineStr">
        <is>
          <t>PIECE_VEHICULE</t>
        </is>
      </c>
      <c r="H2021" s="7" t="n">
        <v>1</v>
      </c>
      <c r="I2021" s="7">
        <f>H2021*$D$3</f>
        <v/>
      </c>
      <c r="J2021" s="7" t="inlineStr">
        <is>
          <t>unité</t>
        </is>
      </c>
      <c r="K2021" s="7" t="n">
        <v>0</v>
      </c>
      <c r="L2021" s="7">
        <f>K2021-I2021</f>
        <v/>
      </c>
      <c r="M2021" s="7">
        <f>IF(K2021&lt;I2021,"✕ INSUFFISANT",IF(K2021&lt;I2021*1.2,"⚠ STOCK FAIBLE","✓ COUVERT"))</f>
        <v/>
      </c>
      <c r="N2021" s="7" t="inlineStr">
        <is>
          <t>DEL</t>
        </is>
      </c>
      <c r="O2021" s="7" t="inlineStr">
        <is>
          <t>CRITIQUE</t>
        </is>
      </c>
      <c r="P2021" s="7" t="inlineStr">
        <is>
          <t>31/08/2026 02:59</t>
        </is>
      </c>
    </row>
    <row r="2022">
      <c r="A2022" s="8" t="inlineStr">
        <is>
          <t>WHAP 8x8</t>
        </is>
      </c>
      <c r="B2022" s="8" t="inlineStr">
        <is>
          <t>WHAP-2018</t>
        </is>
      </c>
      <c r="C2022" s="8" t="inlineStr">
        <is>
          <t>MOT-2018</t>
        </is>
      </c>
      <c r="D2022" s="8" t="inlineStr">
        <is>
          <t>joint de siège de soupape</t>
        </is>
      </c>
      <c r="E2022" s="8" t="inlineStr">
        <is>
          <t>Moteur</t>
        </is>
      </c>
      <c r="F2022" s="8" t="inlineStr">
        <is>
          <t>Moteur</t>
        </is>
      </c>
      <c r="G2022" s="8" t="inlineStr">
        <is>
          <t>PIECE_VEHICULE</t>
        </is>
      </c>
      <c r="H2022" s="8" t="n">
        <v>1</v>
      </c>
      <c r="I2022" s="8">
        <f>H2022*$D$3</f>
        <v/>
      </c>
      <c r="J2022" s="8" t="inlineStr">
        <is>
          <t>unité</t>
        </is>
      </c>
      <c r="K2022" s="8" t="n">
        <v>0</v>
      </c>
      <c r="L2022" s="8">
        <f>K2022-I2022</f>
        <v/>
      </c>
      <c r="M2022" s="8">
        <f>IF(K2022&lt;I2022,"✕ INSUFFISANT",IF(K2022&lt;I2022*1.2,"⚠ STOCK FAIBLE","✓ COUVERT"))</f>
        <v/>
      </c>
      <c r="N2022" s="8" t="inlineStr">
        <is>
          <t>VAL</t>
        </is>
      </c>
      <c r="O2022" s="8" t="inlineStr">
        <is>
          <t>CRITIQUE</t>
        </is>
      </c>
      <c r="P2022" s="8" t="inlineStr">
        <is>
          <t>31/08/2026 02:59</t>
        </is>
      </c>
    </row>
    <row r="2023">
      <c r="A2023" s="7" t="inlineStr">
        <is>
          <t>WHAP 8x8</t>
        </is>
      </c>
      <c r="B2023" s="7" t="inlineStr">
        <is>
          <t>WHAP-2019</t>
        </is>
      </c>
      <c r="C2023" s="7" t="inlineStr">
        <is>
          <t>MOT-2019</t>
        </is>
      </c>
      <c r="D2023" s="7" t="inlineStr">
        <is>
          <t>fixation de siège de soupape</t>
        </is>
      </c>
      <c r="E2023" s="7" t="inlineStr">
        <is>
          <t>Moteur</t>
        </is>
      </c>
      <c r="F2023" s="7" t="inlineStr">
        <is>
          <t>Moteur</t>
        </is>
      </c>
      <c r="G2023" s="7" t="inlineStr">
        <is>
          <t>PIECE_VEHICULE</t>
        </is>
      </c>
      <c r="H2023" s="7" t="n">
        <v>1</v>
      </c>
      <c r="I2023" s="7">
        <f>H2023*$D$3</f>
        <v/>
      </c>
      <c r="J2023" s="7" t="inlineStr">
        <is>
          <t>unité</t>
        </is>
      </c>
      <c r="K2023" s="7" t="n">
        <v>0</v>
      </c>
      <c r="L2023" s="7">
        <f>K2023-I2023</f>
        <v/>
      </c>
      <c r="M2023" s="7">
        <f>IF(K2023&lt;I2023,"✕ INSUFFISANT",IF(K2023&lt;I2023*1.2,"⚠ STOCK FAIBLE","✓ COUVERT"))</f>
        <v/>
      </c>
      <c r="N2023" s="7" t="inlineStr">
        <is>
          <t>SUM</t>
        </is>
      </c>
      <c r="O2023" s="7" t="inlineStr">
        <is>
          <t>CRITIQUE</t>
        </is>
      </c>
      <c r="P2023" s="7" t="inlineStr">
        <is>
          <t>31/08/2026 02:59</t>
        </is>
      </c>
    </row>
    <row r="2024">
      <c r="A2024" s="8" t="inlineStr">
        <is>
          <t>WHAP 8x8</t>
        </is>
      </c>
      <c r="B2024" s="8" t="inlineStr">
        <is>
          <t>WHAP-2020</t>
        </is>
      </c>
      <c r="C2024" s="8" t="inlineStr">
        <is>
          <t>MOT-2020</t>
        </is>
      </c>
      <c r="D2024" s="8" t="inlineStr">
        <is>
          <t>protection de siège de soupape</t>
        </is>
      </c>
      <c r="E2024" s="8" t="inlineStr">
        <is>
          <t>Moteur</t>
        </is>
      </c>
      <c r="F2024" s="8" t="inlineStr">
        <is>
          <t>Moteur</t>
        </is>
      </c>
      <c r="G2024" s="8" t="inlineStr">
        <is>
          <t>PIECE_VEHICULE</t>
        </is>
      </c>
      <c r="H2024" s="8" t="n">
        <v>1</v>
      </c>
      <c r="I2024" s="8">
        <f>H2024*$D$3</f>
        <v/>
      </c>
      <c r="J2024" s="8" t="inlineStr">
        <is>
          <t>unité</t>
        </is>
      </c>
      <c r="K2024" s="8" t="n">
        <v>0</v>
      </c>
      <c r="L2024" s="8">
        <f>K2024-I2024</f>
        <v/>
      </c>
      <c r="M2024" s="8">
        <f>IF(K2024&lt;I2024,"✕ INSUFFISANT",IF(K2024&lt;I2024*1.2,"⚠ STOCK FAIBLE","✓ COUVERT"))</f>
        <v/>
      </c>
      <c r="N2024" s="8" t="inlineStr">
        <is>
          <t>SUM</t>
        </is>
      </c>
      <c r="O2024" s="8" t="inlineStr">
        <is>
          <t>CRITIQUE</t>
        </is>
      </c>
      <c r="P2024" s="8" t="inlineStr">
        <is>
          <t>31/08/2026 02:59</t>
        </is>
      </c>
    </row>
    <row r="2025">
      <c r="A2025" s="7" t="inlineStr">
        <is>
          <t>WHAP 8x8</t>
        </is>
      </c>
      <c r="B2025" s="7" t="inlineStr">
        <is>
          <t>WHAP-2021</t>
        </is>
      </c>
      <c r="C2025" s="7" t="inlineStr">
        <is>
          <t>MOT-2021</t>
        </is>
      </c>
      <c r="D2025" s="7" t="inlineStr">
        <is>
          <t>capteur de siège de soupape</t>
        </is>
      </c>
      <c r="E2025" s="7" t="inlineStr">
        <is>
          <t>Moteur</t>
        </is>
      </c>
      <c r="F2025" s="7" t="inlineStr">
        <is>
          <t>Moteur</t>
        </is>
      </c>
      <c r="G2025" s="7" t="inlineStr">
        <is>
          <t>PIECE_VEHICULE</t>
        </is>
      </c>
      <c r="H2025" s="7" t="n">
        <v>1</v>
      </c>
      <c r="I2025" s="7">
        <f>H2025*$D$3</f>
        <v/>
      </c>
      <c r="J2025" s="7" t="inlineStr">
        <is>
          <t>unité</t>
        </is>
      </c>
      <c r="K2025" s="7" t="n">
        <v>0</v>
      </c>
      <c r="L2025" s="7">
        <f>K2025-I2025</f>
        <v/>
      </c>
      <c r="M2025" s="7">
        <f>IF(K2025&lt;I2025,"✕ INSUFFISANT",IF(K2025&lt;I2025*1.2,"⚠ STOCK FAIBLE","✓ COUVERT"))</f>
        <v/>
      </c>
      <c r="N2025" s="7" t="inlineStr">
        <is>
          <t>VAL</t>
        </is>
      </c>
      <c r="O2025" s="7" t="inlineStr">
        <is>
          <t>CRITIQUE</t>
        </is>
      </c>
      <c r="P2025" s="7" t="inlineStr">
        <is>
          <t>31/08/2026 02:59</t>
        </is>
      </c>
    </row>
    <row r="2026">
      <c r="A2026" s="8" t="inlineStr">
        <is>
          <t>WHAP 8x8</t>
        </is>
      </c>
      <c r="B2026" s="8" t="inlineStr">
        <is>
          <t>WHAP-2022</t>
        </is>
      </c>
      <c r="C2026" s="8" t="inlineStr">
        <is>
          <t>MOT-2022</t>
        </is>
      </c>
      <c r="D2026" s="8" t="inlineStr">
        <is>
          <t>actionneur de siège de soupape</t>
        </is>
      </c>
      <c r="E2026" s="8" t="inlineStr">
        <is>
          <t>Moteur</t>
        </is>
      </c>
      <c r="F2026" s="8" t="inlineStr">
        <is>
          <t>Moteur</t>
        </is>
      </c>
      <c r="G2026" s="8" t="inlineStr">
        <is>
          <t>PIECE_VEHICULE</t>
        </is>
      </c>
      <c r="H2026" s="8" t="n">
        <v>1</v>
      </c>
      <c r="I2026" s="8">
        <f>H2026*$D$3</f>
        <v/>
      </c>
      <c r="J2026" s="8" t="inlineStr">
        <is>
          <t>unité</t>
        </is>
      </c>
      <c r="K2026" s="8" t="n">
        <v>0</v>
      </c>
      <c r="L2026" s="8">
        <f>K2026-I2026</f>
        <v/>
      </c>
      <c r="M2026" s="8">
        <f>IF(K2026&lt;I2026,"✕ INSUFFISANT",IF(K2026&lt;I2026*1.2,"⚠ STOCK FAIBLE","✓ COUVERT"))</f>
        <v/>
      </c>
      <c r="N2026" s="8" t="inlineStr">
        <is>
          <t>DEL</t>
        </is>
      </c>
      <c r="O2026" s="8" t="inlineStr">
        <is>
          <t>CRITIQUE</t>
        </is>
      </c>
      <c r="P2026" s="8" t="inlineStr">
        <is>
          <t>31/08/2026 02:59</t>
        </is>
      </c>
    </row>
    <row r="2027">
      <c r="A2027" s="7" t="inlineStr">
        <is>
          <t>WHAP 8x8</t>
        </is>
      </c>
      <c r="B2027" s="7" t="inlineStr">
        <is>
          <t>WHAP-2023</t>
        </is>
      </c>
      <c r="C2027" s="7" t="inlineStr">
        <is>
          <t>MOT-2023</t>
        </is>
      </c>
      <c r="D2027" s="7" t="inlineStr">
        <is>
          <t>raccord de siège de soupape</t>
        </is>
      </c>
      <c r="E2027" s="7" t="inlineStr">
        <is>
          <t>Moteur</t>
        </is>
      </c>
      <c r="F2027" s="7" t="inlineStr">
        <is>
          <t>Moteur</t>
        </is>
      </c>
      <c r="G2027" s="7" t="inlineStr">
        <is>
          <t>PIECE_VEHICULE</t>
        </is>
      </c>
      <c r="H2027" s="7" t="n">
        <v>1</v>
      </c>
      <c r="I2027" s="7">
        <f>H2027*$D$3</f>
        <v/>
      </c>
      <c r="J2027" s="7" t="inlineStr">
        <is>
          <t>unité</t>
        </is>
      </c>
      <c r="K2027" s="7" t="n">
        <v>0</v>
      </c>
      <c r="L2027" s="7">
        <f>K2027-I2027</f>
        <v/>
      </c>
      <c r="M2027" s="7">
        <f>IF(K2027&lt;I2027,"✕ INSUFFISANT",IF(K2027&lt;I2027*1.2,"⚠ STOCK FAIBLE","✓ COUVERT"))</f>
        <v/>
      </c>
      <c r="N2027" s="7" t="inlineStr">
        <is>
          <t>FAU</t>
        </is>
      </c>
      <c r="O2027" s="7" t="inlineStr">
        <is>
          <t>CRITIQUE</t>
        </is>
      </c>
      <c r="P2027" s="7" t="inlineStr">
        <is>
          <t>31/08/2026 02:59</t>
        </is>
      </c>
    </row>
    <row r="2028">
      <c r="A2028" s="8" t="inlineStr">
        <is>
          <t>WHAP 8x8</t>
        </is>
      </c>
      <c r="B2028" s="8" t="inlineStr">
        <is>
          <t>WHAP-2024</t>
        </is>
      </c>
      <c r="C2028" s="8" t="inlineStr">
        <is>
          <t>MOT-2024</t>
        </is>
      </c>
      <c r="D2028" s="8" t="inlineStr">
        <is>
          <t>plaque de siège de soupape</t>
        </is>
      </c>
      <c r="E2028" s="8" t="inlineStr">
        <is>
          <t>Moteur</t>
        </is>
      </c>
      <c r="F2028" s="8" t="inlineStr">
        <is>
          <t>Moteur</t>
        </is>
      </c>
      <c r="G2028" s="8" t="inlineStr">
        <is>
          <t>PIECE_VEHICULE</t>
        </is>
      </c>
      <c r="H2028" s="8" t="n">
        <v>1</v>
      </c>
      <c r="I2028" s="8">
        <f>H2028*$D$3</f>
        <v/>
      </c>
      <c r="J2028" s="8" t="inlineStr">
        <is>
          <t>unité</t>
        </is>
      </c>
      <c r="K2028" s="8" t="n">
        <v>0</v>
      </c>
      <c r="L2028" s="8">
        <f>K2028-I2028</f>
        <v/>
      </c>
      <c r="M2028" s="8">
        <f>IF(K2028&lt;I2028,"✕ INSUFFISANT",IF(K2028&lt;I2028*1.2,"⚠ STOCK FAIBLE","✓ COUVERT"))</f>
        <v/>
      </c>
      <c r="N2028" s="8" t="inlineStr">
        <is>
          <t>HEL</t>
        </is>
      </c>
      <c r="O2028" s="8" t="inlineStr">
        <is>
          <t>CRITIQUE</t>
        </is>
      </c>
      <c r="P2028" s="8" t="inlineStr">
        <is>
          <t>31/08/2026 02:59</t>
        </is>
      </c>
    </row>
    <row r="2029">
      <c r="A2029" s="7" t="inlineStr">
        <is>
          <t>WHAP 8x8</t>
        </is>
      </c>
      <c r="B2029" s="7" t="inlineStr">
        <is>
          <t>WHAP-2025</t>
        </is>
      </c>
      <c r="C2029" s="7" t="inlineStr">
        <is>
          <t>MOT-2025</t>
        </is>
      </c>
      <c r="D2029" s="7" t="inlineStr">
        <is>
          <t>couvercle de siège de soupape</t>
        </is>
      </c>
      <c r="E2029" s="7" t="inlineStr">
        <is>
          <t>Moteur</t>
        </is>
      </c>
      <c r="F2029" s="7" t="inlineStr">
        <is>
          <t>Moteur</t>
        </is>
      </c>
      <c r="G2029" s="7" t="inlineStr">
        <is>
          <t>PIECE_VEHICULE</t>
        </is>
      </c>
      <c r="H2029" s="7" t="n">
        <v>1</v>
      </c>
      <c r="I2029" s="7">
        <f>H2029*$D$3</f>
        <v/>
      </c>
      <c r="J2029" s="7" t="inlineStr">
        <is>
          <t>unité</t>
        </is>
      </c>
      <c r="K2029" s="7" t="n">
        <v>0</v>
      </c>
      <c r="L2029" s="7">
        <f>K2029-I2029</f>
        <v/>
      </c>
      <c r="M2029" s="7">
        <f>IF(K2029&lt;I2029,"✕ INSUFFISANT",IF(K2029&lt;I2029*1.2,"⚠ STOCK FAIBLE","✓ COUVERT"))</f>
        <v/>
      </c>
      <c r="N2029" s="7" t="inlineStr">
        <is>
          <t>SKF</t>
        </is>
      </c>
      <c r="O2029" s="7" t="inlineStr">
        <is>
          <t>CRITIQUE</t>
        </is>
      </c>
      <c r="P2029" s="7" t="inlineStr">
        <is>
          <t>31/08/2026 02:59</t>
        </is>
      </c>
    </row>
    <row r="2030">
      <c r="A2030" s="8" t="inlineStr">
        <is>
          <t>WHAP 8x8</t>
        </is>
      </c>
      <c r="B2030" s="8" t="inlineStr">
        <is>
          <t>WHAP-2026</t>
        </is>
      </c>
      <c r="C2030" s="8" t="inlineStr">
        <is>
          <t>MOT-2026</t>
        </is>
      </c>
      <c r="D2030" s="8" t="inlineStr">
        <is>
          <t>bague de siège de soupape</t>
        </is>
      </c>
      <c r="E2030" s="8" t="inlineStr">
        <is>
          <t>Moteur</t>
        </is>
      </c>
      <c r="F2030" s="8" t="inlineStr">
        <is>
          <t>Moteur</t>
        </is>
      </c>
      <c r="G2030" s="8" t="inlineStr">
        <is>
          <t>PIECE_VEHICULE</t>
        </is>
      </c>
      <c r="H2030" s="8" t="n">
        <v>1</v>
      </c>
      <c r="I2030" s="8">
        <f>H2030*$D$3</f>
        <v/>
      </c>
      <c r="J2030" s="8" t="inlineStr">
        <is>
          <t>unité</t>
        </is>
      </c>
      <c r="K2030" s="8" t="n">
        <v>0</v>
      </c>
      <c r="L2030" s="8">
        <f>K2030-I2030</f>
        <v/>
      </c>
      <c r="M2030" s="8">
        <f>IF(K2030&lt;I2030,"✕ INSUFFISANT",IF(K2030&lt;I2030*1.2,"⚠ STOCK FAIBLE","✓ COUVERT"))</f>
        <v/>
      </c>
      <c r="N2030" s="8" t="inlineStr">
        <is>
          <t>SKF</t>
        </is>
      </c>
      <c r="O2030" s="8" t="inlineStr">
        <is>
          <t>CRITIQUE</t>
        </is>
      </c>
      <c r="P2030" s="8" t="inlineStr">
        <is>
          <t>31/08/2026 02:59</t>
        </is>
      </c>
    </row>
    <row r="2031">
      <c r="A2031" s="7" t="inlineStr">
        <is>
          <t>WHAP 8x8</t>
        </is>
      </c>
      <c r="B2031" s="7" t="inlineStr">
        <is>
          <t>WHAP-2027</t>
        </is>
      </c>
      <c r="C2031" s="7" t="inlineStr">
        <is>
          <t>MOT-2027</t>
        </is>
      </c>
      <c r="D2031" s="7" t="inlineStr">
        <is>
          <t>entretoise de siège de soupape</t>
        </is>
      </c>
      <c r="E2031" s="7" t="inlineStr">
        <is>
          <t>Moteur</t>
        </is>
      </c>
      <c r="F2031" s="7" t="inlineStr">
        <is>
          <t>Moteur</t>
        </is>
      </c>
      <c r="G2031" s="7" t="inlineStr">
        <is>
          <t>PIECE_VEHICULE</t>
        </is>
      </c>
      <c r="H2031" s="7" t="n">
        <v>1</v>
      </c>
      <c r="I2031" s="7">
        <f>H2031*$D$3</f>
        <v/>
      </c>
      <c r="J2031" s="7" t="inlineStr">
        <is>
          <t>unité</t>
        </is>
      </c>
      <c r="K2031" s="7" t="n">
        <v>0</v>
      </c>
      <c r="L2031" s="7">
        <f>K2031-I2031</f>
        <v/>
      </c>
      <c r="M2031" s="7">
        <f>IF(K2031&lt;I2031,"✕ INSUFFISANT",IF(K2031&lt;I2031*1.2,"⚠ STOCK FAIBLE","✓ COUVERT"))</f>
        <v/>
      </c>
      <c r="N2031" s="7" t="inlineStr">
        <is>
          <t>SUM</t>
        </is>
      </c>
      <c r="O2031" s="7" t="inlineStr">
        <is>
          <t>CRITIQUE</t>
        </is>
      </c>
      <c r="P2031" s="7" t="inlineStr">
        <is>
          <t>31/08/2026 02:59</t>
        </is>
      </c>
    </row>
    <row r="2032">
      <c r="A2032" s="8" t="inlineStr">
        <is>
          <t>WHAP 8x8</t>
        </is>
      </c>
      <c r="B2032" s="8" t="inlineStr">
        <is>
          <t>WHAP-2028</t>
        </is>
      </c>
      <c r="C2032" s="8" t="inlineStr">
        <is>
          <t>MOT-2028</t>
        </is>
      </c>
      <c r="D2032" s="8" t="inlineStr">
        <is>
          <t>axe de siège de soupape</t>
        </is>
      </c>
      <c r="E2032" s="8" t="inlineStr">
        <is>
          <t>Moteur</t>
        </is>
      </c>
      <c r="F2032" s="8" t="inlineStr">
        <is>
          <t>Moteur</t>
        </is>
      </c>
      <c r="G2032" s="8" t="inlineStr">
        <is>
          <t>PIECE_VEHICULE</t>
        </is>
      </c>
      <c r="H2032" s="8" t="n">
        <v>1</v>
      </c>
      <c r="I2032" s="8">
        <f>H2032*$D$3</f>
        <v/>
      </c>
      <c r="J2032" s="8" t="inlineStr">
        <is>
          <t>unité</t>
        </is>
      </c>
      <c r="K2032" s="8" t="n">
        <v>0</v>
      </c>
      <c r="L2032" s="8">
        <f>K2032-I2032</f>
        <v/>
      </c>
      <c r="M2032" s="8">
        <f>IF(K2032&lt;I2032,"✕ INSUFFISANT",IF(K2032&lt;I2032*1.2,"⚠ STOCK FAIBLE","✓ COUVERT"))</f>
        <v/>
      </c>
      <c r="N2032" s="8" t="inlineStr">
        <is>
          <t>YZK</t>
        </is>
      </c>
      <c r="O2032" s="8" t="inlineStr">
        <is>
          <t>CRITIQUE</t>
        </is>
      </c>
      <c r="P2032" s="8" t="inlineStr">
        <is>
          <t>31/08/2026 02:59</t>
        </is>
      </c>
    </row>
    <row r="2033">
      <c r="A2033" s="7" t="inlineStr">
        <is>
          <t>WHAP 8x8</t>
        </is>
      </c>
      <c r="B2033" s="7" t="inlineStr">
        <is>
          <t>WHAP-2029</t>
        </is>
      </c>
      <c r="C2033" s="7" t="inlineStr">
        <is>
          <t>MOT-2029</t>
        </is>
      </c>
      <c r="D2033" s="7" t="inlineStr">
        <is>
          <t>poulie de siège de soupape</t>
        </is>
      </c>
      <c r="E2033" s="7" t="inlineStr">
        <is>
          <t>Moteur</t>
        </is>
      </c>
      <c r="F2033" s="7" t="inlineStr">
        <is>
          <t>Moteur</t>
        </is>
      </c>
      <c r="G2033" s="7" t="inlineStr">
        <is>
          <t>PIECE_VEHICULE</t>
        </is>
      </c>
      <c r="H2033" s="7" t="n">
        <v>1</v>
      </c>
      <c r="I2033" s="7">
        <f>H2033*$D$3</f>
        <v/>
      </c>
      <c r="J2033" s="7" t="inlineStr">
        <is>
          <t>unité</t>
        </is>
      </c>
      <c r="K2033" s="7" t="n">
        <v>0</v>
      </c>
      <c r="L2033" s="7">
        <f>K2033-I2033</f>
        <v/>
      </c>
      <c r="M2033" s="7">
        <f>IF(K2033&lt;I2033,"✕ INSUFFISANT",IF(K2033&lt;I2033*1.2,"⚠ STOCK FAIBLE","✓ COUVERT"))</f>
        <v/>
      </c>
      <c r="N2033" s="7" t="inlineStr">
        <is>
          <t>FAU</t>
        </is>
      </c>
      <c r="O2033" s="7" t="inlineStr">
        <is>
          <t>CRITIQUE</t>
        </is>
      </c>
      <c r="P2033" s="7" t="inlineStr">
        <is>
          <t>31/08/2026 02:59</t>
        </is>
      </c>
    </row>
    <row r="2034">
      <c r="A2034" s="8" t="inlineStr">
        <is>
          <t>WHAP 8x8</t>
        </is>
      </c>
      <c r="B2034" s="8" t="inlineStr">
        <is>
          <t>WHAP-2030</t>
        </is>
      </c>
      <c r="C2034" s="8" t="inlineStr">
        <is>
          <t>MOT-2030</t>
        </is>
      </c>
      <c r="D2034" s="8" t="inlineStr">
        <is>
          <t>pignon de siège de soupape</t>
        </is>
      </c>
      <c r="E2034" s="8" t="inlineStr">
        <is>
          <t>Moteur</t>
        </is>
      </c>
      <c r="F2034" s="8" t="inlineStr">
        <is>
          <t>Moteur</t>
        </is>
      </c>
      <c r="G2034" s="8" t="inlineStr">
        <is>
          <t>PIECE_VEHICULE</t>
        </is>
      </c>
      <c r="H2034" s="8" t="n">
        <v>1</v>
      </c>
      <c r="I2034" s="8">
        <f>H2034*$D$3</f>
        <v/>
      </c>
      <c r="J2034" s="8" t="inlineStr">
        <is>
          <t>unité</t>
        </is>
      </c>
      <c r="K2034" s="8" t="n">
        <v>0</v>
      </c>
      <c r="L2034" s="8">
        <f>K2034-I2034</f>
        <v/>
      </c>
      <c r="M2034" s="8">
        <f>IF(K2034&lt;I2034,"✕ INSUFFISANT",IF(K2034&lt;I2034*1.2,"⚠ STOCK FAIBLE","✓ COUVERT"))</f>
        <v/>
      </c>
      <c r="N2034" s="8" t="inlineStr">
        <is>
          <t>HEL</t>
        </is>
      </c>
      <c r="O2034" s="8" t="inlineStr">
        <is>
          <t>CRITIQUE</t>
        </is>
      </c>
      <c r="P2034" s="8" t="inlineStr">
        <is>
          <t>31/08/2026 02:59</t>
        </is>
      </c>
    </row>
    <row r="2035">
      <c r="A2035" s="7" t="inlineStr">
        <is>
          <t>WHAP 8x8</t>
        </is>
      </c>
      <c r="B2035" s="7" t="inlineStr">
        <is>
          <t>WHAP-2031</t>
        </is>
      </c>
      <c r="C2035" s="7" t="inlineStr">
        <is>
          <t>MOT-2031</t>
        </is>
      </c>
      <c r="D2035" s="7" t="inlineStr">
        <is>
          <t>ensemble de injecteur</t>
        </is>
      </c>
      <c r="E2035" s="7" t="inlineStr">
        <is>
          <t>Moteur</t>
        </is>
      </c>
      <c r="F2035" s="7" t="inlineStr">
        <is>
          <t>Moteur</t>
        </is>
      </c>
      <c r="G2035" s="7" t="inlineStr">
        <is>
          <t>PIECE_VEHICULE</t>
        </is>
      </c>
      <c r="H2035" s="7" t="n">
        <v>1</v>
      </c>
      <c r="I2035" s="7">
        <f>H2035*$D$3</f>
        <v/>
      </c>
      <c r="J2035" s="7" t="inlineStr">
        <is>
          <t>unité</t>
        </is>
      </c>
      <c r="K2035" s="7" t="n">
        <v>0</v>
      </c>
      <c r="L2035" s="7">
        <f>K2035-I2035</f>
        <v/>
      </c>
      <c r="M2035" s="7">
        <f>IF(K2035&lt;I2035,"✕ INSUFFISANT",IF(K2035&lt;I2035*1.2,"⚠ STOCK FAIBLE","✓ COUVERT"))</f>
        <v/>
      </c>
      <c r="N2035" s="7" t="inlineStr">
        <is>
          <t>VAL</t>
        </is>
      </c>
      <c r="O2035" s="7" t="inlineStr">
        <is>
          <t>CRITIQUE</t>
        </is>
      </c>
      <c r="P2035" s="7" t="inlineStr">
        <is>
          <t>31/08/2026 02:59</t>
        </is>
      </c>
    </row>
    <row r="2036">
      <c r="A2036" s="8" t="inlineStr">
        <is>
          <t>WHAP 8x8</t>
        </is>
      </c>
      <c r="B2036" s="8" t="inlineStr">
        <is>
          <t>WHAP-2032</t>
        </is>
      </c>
      <c r="C2036" s="8" t="inlineStr">
        <is>
          <t>MOT-2032</t>
        </is>
      </c>
      <c r="D2036" s="8" t="inlineStr">
        <is>
          <t>kit de injecteur</t>
        </is>
      </c>
      <c r="E2036" s="8" t="inlineStr">
        <is>
          <t>Moteur</t>
        </is>
      </c>
      <c r="F2036" s="8" t="inlineStr">
        <is>
          <t>Moteur</t>
        </is>
      </c>
      <c r="G2036" s="8" t="inlineStr">
        <is>
          <t>PIECE_VEHICULE</t>
        </is>
      </c>
      <c r="H2036" s="8" t="n">
        <v>1</v>
      </c>
      <c r="I2036" s="8">
        <f>H2036*$D$3</f>
        <v/>
      </c>
      <c r="J2036" s="8" t="inlineStr">
        <is>
          <t>unité</t>
        </is>
      </c>
      <c r="K2036" s="8" t="n">
        <v>0</v>
      </c>
      <c r="L2036" s="8">
        <f>K2036-I2036</f>
        <v/>
      </c>
      <c r="M2036" s="8">
        <f>IF(K2036&lt;I2036,"✕ INSUFFISANT",IF(K2036&lt;I2036*1.2,"⚠ STOCK FAIBLE","✓ COUVERT"))</f>
        <v/>
      </c>
      <c r="N2036" s="8" t="inlineStr">
        <is>
          <t>DEL</t>
        </is>
      </c>
      <c r="O2036" s="8" t="inlineStr">
        <is>
          <t>CRITIQUE</t>
        </is>
      </c>
      <c r="P2036" s="8" t="inlineStr">
        <is>
          <t>31/08/2026 02:59</t>
        </is>
      </c>
    </row>
    <row r="2037">
      <c r="A2037" s="7" t="inlineStr">
        <is>
          <t>WHAP 8x8</t>
        </is>
      </c>
      <c r="B2037" s="7" t="inlineStr">
        <is>
          <t>WHAP-2033</t>
        </is>
      </c>
      <c r="C2037" s="7" t="inlineStr">
        <is>
          <t>MOT-2033</t>
        </is>
      </c>
      <c r="D2037" s="7" t="inlineStr">
        <is>
          <t>support de injecteur</t>
        </is>
      </c>
      <c r="E2037" s="7" t="inlineStr">
        <is>
          <t>Moteur</t>
        </is>
      </c>
      <c r="F2037" s="7" t="inlineStr">
        <is>
          <t>Moteur</t>
        </is>
      </c>
      <c r="G2037" s="7" t="inlineStr">
        <is>
          <t>PIECE_VEHICULE</t>
        </is>
      </c>
      <c r="H2037" s="7" t="n">
        <v>1</v>
      </c>
      <c r="I2037" s="7">
        <f>H2037*$D$3</f>
        <v/>
      </c>
      <c r="J2037" s="7" t="inlineStr">
        <is>
          <t>unité</t>
        </is>
      </c>
      <c r="K2037" s="7" t="n">
        <v>0</v>
      </c>
      <c r="L2037" s="7">
        <f>K2037-I2037</f>
        <v/>
      </c>
      <c r="M2037" s="7">
        <f>IF(K2037&lt;I2037,"✕ INSUFFISANT",IF(K2037&lt;I2037*1.2,"⚠ STOCK FAIBLE","✓ COUVERT"))</f>
        <v/>
      </c>
      <c r="N2037" s="7" t="inlineStr">
        <is>
          <t>CTL</t>
        </is>
      </c>
      <c r="O2037" s="7" t="inlineStr">
        <is>
          <t>CRITIQUE</t>
        </is>
      </c>
      <c r="P2037" s="7" t="inlineStr">
        <is>
          <t>31/08/2026 02:59</t>
        </is>
      </c>
    </row>
    <row r="2038">
      <c r="A2038" s="8" t="inlineStr">
        <is>
          <t>WHAP 8x8</t>
        </is>
      </c>
      <c r="B2038" s="8" t="inlineStr">
        <is>
          <t>WHAP-2034</t>
        </is>
      </c>
      <c r="C2038" s="8" t="inlineStr">
        <is>
          <t>MOT-2034</t>
        </is>
      </c>
      <c r="D2038" s="8" t="inlineStr">
        <is>
          <t>boîtier de injecteur</t>
        </is>
      </c>
      <c r="E2038" s="8" t="inlineStr">
        <is>
          <t>Moteur</t>
        </is>
      </c>
      <c r="F2038" s="8" t="inlineStr">
        <is>
          <t>Moteur</t>
        </is>
      </c>
      <c r="G2038" s="8" t="inlineStr">
        <is>
          <t>PIECE_VEHICULE</t>
        </is>
      </c>
      <c r="H2038" s="8" t="n">
        <v>1</v>
      </c>
      <c r="I2038" s="8">
        <f>H2038*$D$3</f>
        <v/>
      </c>
      <c r="J2038" s="8" t="inlineStr">
        <is>
          <t>unité</t>
        </is>
      </c>
      <c r="K2038" s="8" t="n">
        <v>0</v>
      </c>
      <c r="L2038" s="8">
        <f>K2038-I2038</f>
        <v/>
      </c>
      <c r="M2038" s="8">
        <f>IF(K2038&lt;I2038,"✕ INSUFFISANT",IF(K2038&lt;I2038*1.2,"⚠ STOCK FAIBLE","✓ COUVERT"))</f>
        <v/>
      </c>
      <c r="N2038" s="8" t="inlineStr">
        <is>
          <t>SKF</t>
        </is>
      </c>
      <c r="O2038" s="8" t="inlineStr">
        <is>
          <t>CRITIQUE</t>
        </is>
      </c>
      <c r="P2038" s="8" t="inlineStr">
        <is>
          <t>31/08/2026 02:59</t>
        </is>
      </c>
    </row>
    <row r="2039">
      <c r="A2039" s="7" t="inlineStr">
        <is>
          <t>WHAP 8x8</t>
        </is>
      </c>
      <c r="B2039" s="7" t="inlineStr">
        <is>
          <t>WHAP-2035</t>
        </is>
      </c>
      <c r="C2039" s="7" t="inlineStr">
        <is>
          <t>MOT-2035</t>
        </is>
      </c>
      <c r="D2039" s="7" t="inlineStr">
        <is>
          <t>module de injecteur</t>
        </is>
      </c>
      <c r="E2039" s="7" t="inlineStr">
        <is>
          <t>Moteur</t>
        </is>
      </c>
      <c r="F2039" s="7" t="inlineStr">
        <is>
          <t>Moteur</t>
        </is>
      </c>
      <c r="G2039" s="7" t="inlineStr">
        <is>
          <t>PIECE_VEHICULE</t>
        </is>
      </c>
      <c r="H2039" s="7" t="n">
        <v>1</v>
      </c>
      <c r="I2039" s="7">
        <f>H2039*$D$3</f>
        <v/>
      </c>
      <c r="J2039" s="7" t="inlineStr">
        <is>
          <t>unité</t>
        </is>
      </c>
      <c r="K2039" s="7" t="n">
        <v>0</v>
      </c>
      <c r="L2039" s="7">
        <f>K2039-I2039</f>
        <v/>
      </c>
      <c r="M2039" s="7">
        <f>IF(K2039&lt;I2039,"✕ INSUFFISANT",IF(K2039&lt;I2039*1.2,"⚠ STOCK FAIBLE","✓ COUVERT"))</f>
        <v/>
      </c>
      <c r="N2039" s="7" t="inlineStr">
        <is>
          <t>YZK</t>
        </is>
      </c>
      <c r="O2039" s="7" t="inlineStr">
        <is>
          <t>CRITIQUE</t>
        </is>
      </c>
      <c r="P2039" s="7" t="inlineStr">
        <is>
          <t>31/08/2026 02:59</t>
        </is>
      </c>
    </row>
    <row r="2040">
      <c r="A2040" s="8" t="inlineStr">
        <is>
          <t>WHAP 8x8</t>
        </is>
      </c>
      <c r="B2040" s="8" t="inlineStr">
        <is>
          <t>WHAP-2036</t>
        </is>
      </c>
      <c r="C2040" s="8" t="inlineStr">
        <is>
          <t>MOT-2036</t>
        </is>
      </c>
      <c r="D2040" s="8" t="inlineStr">
        <is>
          <t>câblage de injecteur</t>
        </is>
      </c>
      <c r="E2040" s="8" t="inlineStr">
        <is>
          <t>Moteur</t>
        </is>
      </c>
      <c r="F2040" s="8" t="inlineStr">
        <is>
          <t>Moteur</t>
        </is>
      </c>
      <c r="G2040" s="8" t="inlineStr">
        <is>
          <t>PIECE_VEHICULE</t>
        </is>
      </c>
      <c r="H2040" s="8" t="n">
        <v>1</v>
      </c>
      <c r="I2040" s="8">
        <f>H2040*$D$3</f>
        <v/>
      </c>
      <c r="J2040" s="8" t="inlineStr">
        <is>
          <t>unité</t>
        </is>
      </c>
      <c r="K2040" s="8" t="n">
        <v>0</v>
      </c>
      <c r="L2040" s="8">
        <f>K2040-I2040</f>
        <v/>
      </c>
      <c r="M2040" s="8">
        <f>IF(K2040&lt;I2040,"✕ INSUFFISANT",IF(K2040&lt;I2040*1.2,"⚠ STOCK FAIBLE","✓ COUVERT"))</f>
        <v/>
      </c>
      <c r="N2040" s="8" t="inlineStr">
        <is>
          <t>SKF</t>
        </is>
      </c>
      <c r="O2040" s="8" t="inlineStr">
        <is>
          <t>CRITIQUE</t>
        </is>
      </c>
      <c r="P2040" s="8" t="inlineStr">
        <is>
          <t>31/08/2026 02:59</t>
        </is>
      </c>
    </row>
    <row r="2041">
      <c r="A2041" s="7" t="inlineStr">
        <is>
          <t>WHAP 8x8</t>
        </is>
      </c>
      <c r="B2041" s="7" t="inlineStr">
        <is>
          <t>WHAP-2037</t>
        </is>
      </c>
      <c r="C2041" s="7" t="inlineStr">
        <is>
          <t>MOT-2037</t>
        </is>
      </c>
      <c r="D2041" s="7" t="inlineStr">
        <is>
          <t>connecteur de injecteur</t>
        </is>
      </c>
      <c r="E2041" s="7" t="inlineStr">
        <is>
          <t>Moteur</t>
        </is>
      </c>
      <c r="F2041" s="7" t="inlineStr">
        <is>
          <t>Moteur</t>
        </is>
      </c>
      <c r="G2041" s="7" t="inlineStr">
        <is>
          <t>PIECE_VEHICULE</t>
        </is>
      </c>
      <c r="H2041" s="7" t="n">
        <v>1</v>
      </c>
      <c r="I2041" s="7">
        <f>H2041*$D$3</f>
        <v/>
      </c>
      <c r="J2041" s="7" t="inlineStr">
        <is>
          <t>unité</t>
        </is>
      </c>
      <c r="K2041" s="7" t="n">
        <v>0</v>
      </c>
      <c r="L2041" s="7">
        <f>K2041-I2041</f>
        <v/>
      </c>
      <c r="M2041" s="7">
        <f>IF(K2041&lt;I2041,"✕ INSUFFISANT",IF(K2041&lt;I2041*1.2,"⚠ STOCK FAIBLE","✓ COUVERT"))</f>
        <v/>
      </c>
      <c r="N2041" s="7" t="inlineStr">
        <is>
          <t>HEL</t>
        </is>
      </c>
      <c r="O2041" s="7" t="inlineStr">
        <is>
          <t>CRITIQUE</t>
        </is>
      </c>
      <c r="P2041" s="7" t="inlineStr">
        <is>
          <t>31/08/2026 02:59</t>
        </is>
      </c>
    </row>
    <row r="2042">
      <c r="A2042" s="8" t="inlineStr">
        <is>
          <t>WHAP 8x8</t>
        </is>
      </c>
      <c r="B2042" s="8" t="inlineStr">
        <is>
          <t>WHAP-2038</t>
        </is>
      </c>
      <c r="C2042" s="8" t="inlineStr">
        <is>
          <t>MOT-2038</t>
        </is>
      </c>
      <c r="D2042" s="8" t="inlineStr">
        <is>
          <t>joint de injecteur</t>
        </is>
      </c>
      <c r="E2042" s="8" t="inlineStr">
        <is>
          <t>Moteur</t>
        </is>
      </c>
      <c r="F2042" s="8" t="inlineStr">
        <is>
          <t>Moteur</t>
        </is>
      </c>
      <c r="G2042" s="8" t="inlineStr">
        <is>
          <t>PIECE_VEHICULE</t>
        </is>
      </c>
      <c r="H2042" s="8" t="n">
        <v>1</v>
      </c>
      <c r="I2042" s="8">
        <f>H2042*$D$3</f>
        <v/>
      </c>
      <c r="J2042" s="8" t="inlineStr">
        <is>
          <t>unité</t>
        </is>
      </c>
      <c r="K2042" s="8" t="n">
        <v>0</v>
      </c>
      <c r="L2042" s="8">
        <f>K2042-I2042</f>
        <v/>
      </c>
      <c r="M2042" s="8">
        <f>IF(K2042&lt;I2042,"✕ INSUFFISANT",IF(K2042&lt;I2042*1.2,"⚠ STOCK FAIBLE","✓ COUVERT"))</f>
        <v/>
      </c>
      <c r="N2042" s="8" t="inlineStr">
        <is>
          <t>VAL</t>
        </is>
      </c>
      <c r="O2042" s="8" t="inlineStr">
        <is>
          <t>CRITIQUE</t>
        </is>
      </c>
      <c r="P2042" s="8" t="inlineStr">
        <is>
          <t>31/08/2026 02:59</t>
        </is>
      </c>
    </row>
    <row r="2043">
      <c r="A2043" s="7" t="inlineStr">
        <is>
          <t>WHAP 8x8</t>
        </is>
      </c>
      <c r="B2043" s="7" t="inlineStr">
        <is>
          <t>WHAP-2039</t>
        </is>
      </c>
      <c r="C2043" s="7" t="inlineStr">
        <is>
          <t>MOT-2039</t>
        </is>
      </c>
      <c r="D2043" s="7" t="inlineStr">
        <is>
          <t>fixation de injecteur</t>
        </is>
      </c>
      <c r="E2043" s="7" t="inlineStr">
        <is>
          <t>Moteur</t>
        </is>
      </c>
      <c r="F2043" s="7" t="inlineStr">
        <is>
          <t>Moteur</t>
        </is>
      </c>
      <c r="G2043" s="7" t="inlineStr">
        <is>
          <t>PIECE_VEHICULE</t>
        </is>
      </c>
      <c r="H2043" s="7" t="n">
        <v>1</v>
      </c>
      <c r="I2043" s="7">
        <f>H2043*$D$3</f>
        <v/>
      </c>
      <c r="J2043" s="7" t="inlineStr">
        <is>
          <t>unité</t>
        </is>
      </c>
      <c r="K2043" s="7" t="n">
        <v>0</v>
      </c>
      <c r="L2043" s="7">
        <f>K2043-I2043</f>
        <v/>
      </c>
      <c r="M2043" s="7">
        <f>IF(K2043&lt;I2043,"✕ INSUFFISANT",IF(K2043&lt;I2043*1.2,"⚠ STOCK FAIBLE","✓ COUVERT"))</f>
        <v/>
      </c>
      <c r="N2043" s="7" t="inlineStr">
        <is>
          <t>DEL</t>
        </is>
      </c>
      <c r="O2043" s="7" t="inlineStr">
        <is>
          <t>CRITIQUE</t>
        </is>
      </c>
      <c r="P2043" s="7" t="inlineStr">
        <is>
          <t>31/08/2026 02:59</t>
        </is>
      </c>
    </row>
    <row r="2044">
      <c r="A2044" s="8" t="inlineStr">
        <is>
          <t>WHAP 8x8</t>
        </is>
      </c>
      <c r="B2044" s="8" t="inlineStr">
        <is>
          <t>WHAP-2040</t>
        </is>
      </c>
      <c r="C2044" s="8" t="inlineStr">
        <is>
          <t>MOT-2040</t>
        </is>
      </c>
      <c r="D2044" s="8" t="inlineStr">
        <is>
          <t>protection de injecteur</t>
        </is>
      </c>
      <c r="E2044" s="8" t="inlineStr">
        <is>
          <t>Moteur</t>
        </is>
      </c>
      <c r="F2044" s="8" t="inlineStr">
        <is>
          <t>Moteur</t>
        </is>
      </c>
      <c r="G2044" s="8" t="inlineStr">
        <is>
          <t>PIECE_VEHICULE</t>
        </is>
      </c>
      <c r="H2044" s="8" t="n">
        <v>1</v>
      </c>
      <c r="I2044" s="8">
        <f>H2044*$D$3</f>
        <v/>
      </c>
      <c r="J2044" s="8" t="inlineStr">
        <is>
          <t>unité</t>
        </is>
      </c>
      <c r="K2044" s="8" t="n">
        <v>0</v>
      </c>
      <c r="L2044" s="8">
        <f>K2044-I2044</f>
        <v/>
      </c>
      <c r="M2044" s="8">
        <f>IF(K2044&lt;I2044,"✕ INSUFFISANT",IF(K2044&lt;I2044*1.2,"⚠ STOCK FAIBLE","✓ COUVERT"))</f>
        <v/>
      </c>
      <c r="N2044" s="8" t="inlineStr">
        <is>
          <t>CTL</t>
        </is>
      </c>
      <c r="O2044" s="8" t="inlineStr">
        <is>
          <t>CRITIQUE</t>
        </is>
      </c>
      <c r="P2044" s="8" t="inlineStr">
        <is>
          <t>31/08/2026 02:59</t>
        </is>
      </c>
    </row>
    <row r="2045">
      <c r="A2045" s="7" t="inlineStr">
        <is>
          <t>WHAP 8x8</t>
        </is>
      </c>
      <c r="B2045" s="7" t="inlineStr">
        <is>
          <t>WHAP-2041</t>
        </is>
      </c>
      <c r="C2045" s="7" t="inlineStr">
        <is>
          <t>MOT-2041</t>
        </is>
      </c>
      <c r="D2045" s="7" t="inlineStr">
        <is>
          <t>capteur de injecteur</t>
        </is>
      </c>
      <c r="E2045" s="7" t="inlineStr">
        <is>
          <t>Moteur</t>
        </is>
      </c>
      <c r="F2045" s="7" t="inlineStr">
        <is>
          <t>Moteur</t>
        </is>
      </c>
      <c r="G2045" s="7" t="inlineStr">
        <is>
          <t>PIECE_VEHICULE</t>
        </is>
      </c>
      <c r="H2045" s="7" t="n">
        <v>1</v>
      </c>
      <c r="I2045" s="7">
        <f>H2045*$D$3</f>
        <v/>
      </c>
      <c r="J2045" s="7" t="inlineStr">
        <is>
          <t>unité</t>
        </is>
      </c>
      <c r="K2045" s="7" t="n">
        <v>0</v>
      </c>
      <c r="L2045" s="7">
        <f>K2045-I2045</f>
        <v/>
      </c>
      <c r="M2045" s="7">
        <f>IF(K2045&lt;I2045,"✕ INSUFFISANT",IF(K2045&lt;I2045*1.2,"⚠ STOCK FAIBLE","✓ COUVERT"))</f>
        <v/>
      </c>
      <c r="N2045" s="7" t="inlineStr">
        <is>
          <t>MAG</t>
        </is>
      </c>
      <c r="O2045" s="7" t="inlineStr">
        <is>
          <t>CRITIQUE</t>
        </is>
      </c>
      <c r="P2045" s="7" t="inlineStr">
        <is>
          <t>31/08/2026 02:59</t>
        </is>
      </c>
    </row>
    <row r="2046">
      <c r="A2046" s="8" t="inlineStr">
        <is>
          <t>WHAP 8x8</t>
        </is>
      </c>
      <c r="B2046" s="8" t="inlineStr">
        <is>
          <t>WHAP-2042</t>
        </is>
      </c>
      <c r="C2046" s="8" t="inlineStr">
        <is>
          <t>MOT-2042</t>
        </is>
      </c>
      <c r="D2046" s="8" t="inlineStr">
        <is>
          <t>actionneur de injecteur</t>
        </is>
      </c>
      <c r="E2046" s="8" t="inlineStr">
        <is>
          <t>Moteur</t>
        </is>
      </c>
      <c r="F2046" s="8" t="inlineStr">
        <is>
          <t>Moteur</t>
        </is>
      </c>
      <c r="G2046" s="8" t="inlineStr">
        <is>
          <t>PIECE_VEHICULE</t>
        </is>
      </c>
      <c r="H2046" s="8" t="n">
        <v>1</v>
      </c>
      <c r="I2046" s="8">
        <f>H2046*$D$3</f>
        <v/>
      </c>
      <c r="J2046" s="8" t="inlineStr">
        <is>
          <t>unité</t>
        </is>
      </c>
      <c r="K2046" s="8" t="n">
        <v>0</v>
      </c>
      <c r="L2046" s="8">
        <f>K2046-I2046</f>
        <v/>
      </c>
      <c r="M2046" s="8">
        <f>IF(K2046&lt;I2046,"✕ INSUFFISANT",IF(K2046&lt;I2046*1.2,"⚠ STOCK FAIBLE","✓ COUVERT"))</f>
        <v/>
      </c>
      <c r="N2046" s="8" t="inlineStr">
        <is>
          <t>HEL</t>
        </is>
      </c>
      <c r="O2046" s="8" t="inlineStr">
        <is>
          <t>CRITIQUE</t>
        </is>
      </c>
      <c r="P2046" s="8" t="inlineStr">
        <is>
          <t>31/08/2026 02:59</t>
        </is>
      </c>
    </row>
    <row r="2047">
      <c r="A2047" s="7" t="inlineStr">
        <is>
          <t>WHAP 8x8</t>
        </is>
      </c>
      <c r="B2047" s="7" t="inlineStr">
        <is>
          <t>WHAP-2043</t>
        </is>
      </c>
      <c r="C2047" s="7" t="inlineStr">
        <is>
          <t>MOT-2043</t>
        </is>
      </c>
      <c r="D2047" s="7" t="inlineStr">
        <is>
          <t>raccord de injecteur</t>
        </is>
      </c>
      <c r="E2047" s="7" t="inlineStr">
        <is>
          <t>Moteur</t>
        </is>
      </c>
      <c r="F2047" s="7" t="inlineStr">
        <is>
          <t>Moteur</t>
        </is>
      </c>
      <c r="G2047" s="7" t="inlineStr">
        <is>
          <t>PIECE_VEHICULE</t>
        </is>
      </c>
      <c r="H2047" s="7" t="n">
        <v>1</v>
      </c>
      <c r="I2047" s="7">
        <f>H2047*$D$3</f>
        <v/>
      </c>
      <c r="J2047" s="7" t="inlineStr">
        <is>
          <t>unité</t>
        </is>
      </c>
      <c r="K2047" s="7" t="n">
        <v>0</v>
      </c>
      <c r="L2047" s="7">
        <f>K2047-I2047</f>
        <v/>
      </c>
      <c r="M2047" s="7">
        <f>IF(K2047&lt;I2047,"✕ INSUFFISANT",IF(K2047&lt;I2047*1.2,"⚠ STOCK FAIBLE","✓ COUVERT"))</f>
        <v/>
      </c>
      <c r="N2047" s="7" t="inlineStr">
        <is>
          <t>YZK</t>
        </is>
      </c>
      <c r="O2047" s="7" t="inlineStr">
        <is>
          <t>CRITIQUE</t>
        </is>
      </c>
      <c r="P2047" s="7" t="inlineStr">
        <is>
          <t>31/08/2026 02:59</t>
        </is>
      </c>
    </row>
    <row r="2048">
      <c r="A2048" s="8" t="inlineStr">
        <is>
          <t>WHAP 8x8</t>
        </is>
      </c>
      <c r="B2048" s="8" t="inlineStr">
        <is>
          <t>WHAP-2044</t>
        </is>
      </c>
      <c r="C2048" s="8" t="inlineStr">
        <is>
          <t>MOT-2044</t>
        </is>
      </c>
      <c r="D2048" s="8" t="inlineStr">
        <is>
          <t>plaque de injecteur</t>
        </is>
      </c>
      <c r="E2048" s="8" t="inlineStr">
        <is>
          <t>Moteur</t>
        </is>
      </c>
      <c r="F2048" s="8" t="inlineStr">
        <is>
          <t>Moteur</t>
        </is>
      </c>
      <c r="G2048" s="8" t="inlineStr">
        <is>
          <t>PIECE_VEHICULE</t>
        </is>
      </c>
      <c r="H2048" s="8" t="n">
        <v>1</v>
      </c>
      <c r="I2048" s="8">
        <f>H2048*$D$3</f>
        <v/>
      </c>
      <c r="J2048" s="8" t="inlineStr">
        <is>
          <t>unité</t>
        </is>
      </c>
      <c r="K2048" s="8" t="n">
        <v>0</v>
      </c>
      <c r="L2048" s="8">
        <f>K2048-I2048</f>
        <v/>
      </c>
      <c r="M2048" s="8">
        <f>IF(K2048&lt;I2048,"✕ INSUFFISANT",IF(K2048&lt;I2048*1.2,"⚠ STOCK FAIBLE","✓ COUVERT"))</f>
        <v/>
      </c>
      <c r="N2048" s="8" t="inlineStr">
        <is>
          <t>BOS</t>
        </is>
      </c>
      <c r="O2048" s="8" t="inlineStr">
        <is>
          <t>CRITIQUE</t>
        </is>
      </c>
      <c r="P2048" s="8" t="inlineStr">
        <is>
          <t>31/08/2026 02:59</t>
        </is>
      </c>
    </row>
    <row r="2049">
      <c r="A2049" s="7" t="inlineStr">
        <is>
          <t>WHAP 8x8</t>
        </is>
      </c>
      <c r="B2049" s="7" t="inlineStr">
        <is>
          <t>WHAP-2045</t>
        </is>
      </c>
      <c r="C2049" s="7" t="inlineStr">
        <is>
          <t>MOT-2045</t>
        </is>
      </c>
      <c r="D2049" s="7" t="inlineStr">
        <is>
          <t>couvercle de injecteur</t>
        </is>
      </c>
      <c r="E2049" s="7" t="inlineStr">
        <is>
          <t>Moteur</t>
        </is>
      </c>
      <c r="F2049" s="7" t="inlineStr">
        <is>
          <t>Moteur</t>
        </is>
      </c>
      <c r="G2049" s="7" t="inlineStr">
        <is>
          <t>PIECE_VEHICULE</t>
        </is>
      </c>
      <c r="H2049" s="7" t="n">
        <v>1</v>
      </c>
      <c r="I2049" s="7">
        <f>H2049*$D$3</f>
        <v/>
      </c>
      <c r="J2049" s="7" t="inlineStr">
        <is>
          <t>unité</t>
        </is>
      </c>
      <c r="K2049" s="7" t="n">
        <v>0</v>
      </c>
      <c r="L2049" s="7">
        <f>K2049-I2049</f>
        <v/>
      </c>
      <c r="M2049" s="7">
        <f>IF(K2049&lt;I2049,"✕ INSUFFISANT",IF(K2049&lt;I2049*1.2,"⚠ STOCK FAIBLE","✓ COUVERT"))</f>
        <v/>
      </c>
      <c r="N2049" s="7" t="inlineStr">
        <is>
          <t>CTL</t>
        </is>
      </c>
      <c r="O2049" s="7" t="inlineStr">
        <is>
          <t>CRITIQUE</t>
        </is>
      </c>
      <c r="P2049" s="7" t="inlineStr">
        <is>
          <t>31/08/2026 02:59</t>
        </is>
      </c>
    </row>
    <row r="2050">
      <c r="A2050" s="8" t="inlineStr">
        <is>
          <t>WHAP 8x8</t>
        </is>
      </c>
      <c r="B2050" s="8" t="inlineStr">
        <is>
          <t>WHAP-2046</t>
        </is>
      </c>
      <c r="C2050" s="8" t="inlineStr">
        <is>
          <t>MOT-2046</t>
        </is>
      </c>
      <c r="D2050" s="8" t="inlineStr">
        <is>
          <t>bague de injecteur</t>
        </is>
      </c>
      <c r="E2050" s="8" t="inlineStr">
        <is>
          <t>Moteur</t>
        </is>
      </c>
      <c r="F2050" s="8" t="inlineStr">
        <is>
          <t>Moteur</t>
        </is>
      </c>
      <c r="G2050" s="8" t="inlineStr">
        <is>
          <t>PIECE_VEHICULE</t>
        </is>
      </c>
      <c r="H2050" s="8" t="n">
        <v>1</v>
      </c>
      <c r="I2050" s="8">
        <f>H2050*$D$3</f>
        <v/>
      </c>
      <c r="J2050" s="8" t="inlineStr">
        <is>
          <t>unité</t>
        </is>
      </c>
      <c r="K2050" s="8" t="n">
        <v>0</v>
      </c>
      <c r="L2050" s="8">
        <f>K2050-I2050</f>
        <v/>
      </c>
      <c r="M2050" s="8">
        <f>IF(K2050&lt;I2050,"✕ INSUFFISANT",IF(K2050&lt;I2050*1.2,"⚠ STOCK FAIBLE","✓ COUVERT"))</f>
        <v/>
      </c>
      <c r="N2050" s="8" t="inlineStr">
        <is>
          <t>DEL</t>
        </is>
      </c>
      <c r="O2050" s="8" t="inlineStr">
        <is>
          <t>CRITIQUE</t>
        </is>
      </c>
      <c r="P2050" s="8" t="inlineStr">
        <is>
          <t>31/08/2026 02:59</t>
        </is>
      </c>
    </row>
    <row r="2051">
      <c r="A2051" s="7" t="inlineStr">
        <is>
          <t>WHAP 8x8</t>
        </is>
      </c>
      <c r="B2051" s="7" t="inlineStr">
        <is>
          <t>WHAP-2047</t>
        </is>
      </c>
      <c r="C2051" s="7" t="inlineStr">
        <is>
          <t>MOT-2047</t>
        </is>
      </c>
      <c r="D2051" s="7" t="inlineStr">
        <is>
          <t>entretoise de injecteur</t>
        </is>
      </c>
      <c r="E2051" s="7" t="inlineStr">
        <is>
          <t>Moteur</t>
        </is>
      </c>
      <c r="F2051" s="7" t="inlineStr">
        <is>
          <t>Moteur</t>
        </is>
      </c>
      <c r="G2051" s="7" t="inlineStr">
        <is>
          <t>PIECE_VEHICULE</t>
        </is>
      </c>
      <c r="H2051" s="7" t="n">
        <v>1</v>
      </c>
      <c r="I2051" s="7">
        <f>H2051*$D$3</f>
        <v/>
      </c>
      <c r="J2051" s="7" t="inlineStr">
        <is>
          <t>unité</t>
        </is>
      </c>
      <c r="K2051" s="7" t="n">
        <v>0</v>
      </c>
      <c r="L2051" s="7">
        <f>K2051-I2051</f>
        <v/>
      </c>
      <c r="M2051" s="7">
        <f>IF(K2051&lt;I2051,"✕ INSUFFISANT",IF(K2051&lt;I2051*1.2,"⚠ STOCK FAIBLE","✓ COUVERT"))</f>
        <v/>
      </c>
      <c r="N2051" s="7" t="inlineStr">
        <is>
          <t>DEL</t>
        </is>
      </c>
      <c r="O2051" s="7" t="inlineStr">
        <is>
          <t>CRITIQUE</t>
        </is>
      </c>
      <c r="P2051" s="7" t="inlineStr">
        <is>
          <t>31/08/2026 02:59</t>
        </is>
      </c>
    </row>
    <row r="2052">
      <c r="A2052" s="8" t="inlineStr">
        <is>
          <t>WHAP 8x8</t>
        </is>
      </c>
      <c r="B2052" s="8" t="inlineStr">
        <is>
          <t>WHAP-2048</t>
        </is>
      </c>
      <c r="C2052" s="8" t="inlineStr">
        <is>
          <t>MOT-2048</t>
        </is>
      </c>
      <c r="D2052" s="8" t="inlineStr">
        <is>
          <t>axe de injecteur</t>
        </is>
      </c>
      <c r="E2052" s="8" t="inlineStr">
        <is>
          <t>Moteur</t>
        </is>
      </c>
      <c r="F2052" s="8" t="inlineStr">
        <is>
          <t>Moteur</t>
        </is>
      </c>
      <c r="G2052" s="8" t="inlineStr">
        <is>
          <t>PIECE_VEHICULE</t>
        </is>
      </c>
      <c r="H2052" s="8" t="n">
        <v>1</v>
      </c>
      <c r="I2052" s="8">
        <f>H2052*$D$3</f>
        <v/>
      </c>
      <c r="J2052" s="8" t="inlineStr">
        <is>
          <t>unité</t>
        </is>
      </c>
      <c r="K2052" s="8" t="n">
        <v>0</v>
      </c>
      <c r="L2052" s="8">
        <f>K2052-I2052</f>
        <v/>
      </c>
      <c r="M2052" s="8">
        <f>IF(K2052&lt;I2052,"✕ INSUFFISANT",IF(K2052&lt;I2052*1.2,"⚠ STOCK FAIBLE","✓ COUVERT"))</f>
        <v/>
      </c>
      <c r="N2052" s="8" t="inlineStr">
        <is>
          <t>HEL</t>
        </is>
      </c>
      <c r="O2052" s="8" t="inlineStr">
        <is>
          <t>CRITIQUE</t>
        </is>
      </c>
      <c r="P2052" s="8" t="inlineStr">
        <is>
          <t>31/08/2026 02:59</t>
        </is>
      </c>
    </row>
    <row r="2053">
      <c r="A2053" s="7" t="inlineStr">
        <is>
          <t>WHAP 8x8</t>
        </is>
      </c>
      <c r="B2053" s="7" t="inlineStr">
        <is>
          <t>WHAP-2049</t>
        </is>
      </c>
      <c r="C2053" s="7" t="inlineStr">
        <is>
          <t>MOT-2049</t>
        </is>
      </c>
      <c r="D2053" s="7" t="inlineStr">
        <is>
          <t>poulie de injecteur</t>
        </is>
      </c>
      <c r="E2053" s="7" t="inlineStr">
        <is>
          <t>Moteur</t>
        </is>
      </c>
      <c r="F2053" s="7" t="inlineStr">
        <is>
          <t>Moteur</t>
        </is>
      </c>
      <c r="G2053" s="7" t="inlineStr">
        <is>
          <t>PIECE_VEHICULE</t>
        </is>
      </c>
      <c r="H2053" s="7" t="n">
        <v>1</v>
      </c>
      <c r="I2053" s="7">
        <f>H2053*$D$3</f>
        <v/>
      </c>
      <c r="J2053" s="7" t="inlineStr">
        <is>
          <t>unité</t>
        </is>
      </c>
      <c r="K2053" s="7" t="n">
        <v>0</v>
      </c>
      <c r="L2053" s="7">
        <f>K2053-I2053</f>
        <v/>
      </c>
      <c r="M2053" s="7">
        <f>IF(K2053&lt;I2053,"✕ INSUFFISANT",IF(K2053&lt;I2053*1.2,"⚠ STOCK FAIBLE","✓ COUVERT"))</f>
        <v/>
      </c>
      <c r="N2053" s="7" t="inlineStr">
        <is>
          <t>VAL</t>
        </is>
      </c>
      <c r="O2053" s="7" t="inlineStr">
        <is>
          <t>CRITIQUE</t>
        </is>
      </c>
      <c r="P2053" s="7" t="inlineStr">
        <is>
          <t>31/08/2026 02:59</t>
        </is>
      </c>
    </row>
    <row r="2054">
      <c r="A2054" s="8" t="inlineStr">
        <is>
          <t>WHAP 8x8</t>
        </is>
      </c>
      <c r="B2054" s="8" t="inlineStr">
        <is>
          <t>WHAP-2050</t>
        </is>
      </c>
      <c r="C2054" s="8" t="inlineStr">
        <is>
          <t>MOT-2050</t>
        </is>
      </c>
      <c r="D2054" s="8" t="inlineStr">
        <is>
          <t>pignon de injecteur</t>
        </is>
      </c>
      <c r="E2054" s="8" t="inlineStr">
        <is>
          <t>Moteur</t>
        </is>
      </c>
      <c r="F2054" s="8" t="inlineStr">
        <is>
          <t>Moteur</t>
        </is>
      </c>
      <c r="G2054" s="8" t="inlineStr">
        <is>
          <t>PIECE_VEHICULE</t>
        </is>
      </c>
      <c r="H2054" s="8" t="n">
        <v>1</v>
      </c>
      <c r="I2054" s="8">
        <f>H2054*$D$3</f>
        <v/>
      </c>
      <c r="J2054" s="8" t="inlineStr">
        <is>
          <t>unité</t>
        </is>
      </c>
      <c r="K2054" s="8" t="n">
        <v>0</v>
      </c>
      <c r="L2054" s="8">
        <f>K2054-I2054</f>
        <v/>
      </c>
      <c r="M2054" s="8">
        <f>IF(K2054&lt;I2054,"✕ INSUFFISANT",IF(K2054&lt;I2054*1.2,"⚠ STOCK FAIBLE","✓ COUVERT"))</f>
        <v/>
      </c>
      <c r="N2054" s="8" t="inlineStr">
        <is>
          <t>VAL</t>
        </is>
      </c>
      <c r="O2054" s="8" t="inlineStr">
        <is>
          <t>CRITIQUE</t>
        </is>
      </c>
      <c r="P2054" s="8" t="inlineStr">
        <is>
          <t>31/08/2026 02:59</t>
        </is>
      </c>
    </row>
    <row r="2055">
      <c r="A2055" s="7" t="inlineStr">
        <is>
          <t>WHAP 8x8</t>
        </is>
      </c>
      <c r="B2055" s="7" t="inlineStr">
        <is>
          <t>WHAP-2051</t>
        </is>
      </c>
      <c r="C2055" s="7" t="inlineStr">
        <is>
          <t>MOT-2051</t>
        </is>
      </c>
      <c r="D2055" s="7" t="inlineStr">
        <is>
          <t>ensemble de rampe commune</t>
        </is>
      </c>
      <c r="E2055" s="7" t="inlineStr">
        <is>
          <t>Moteur</t>
        </is>
      </c>
      <c r="F2055" s="7" t="inlineStr">
        <is>
          <t>Moteur</t>
        </is>
      </c>
      <c r="G2055" s="7" t="inlineStr">
        <is>
          <t>PIECE_VEHICULE</t>
        </is>
      </c>
      <c r="H2055" s="7" t="n">
        <v>1</v>
      </c>
      <c r="I2055" s="7">
        <f>H2055*$D$3</f>
        <v/>
      </c>
      <c r="J2055" s="7" t="inlineStr">
        <is>
          <t>unité</t>
        </is>
      </c>
      <c r="K2055" s="7" t="n">
        <v>0</v>
      </c>
      <c r="L2055" s="7">
        <f>K2055-I2055</f>
        <v/>
      </c>
      <c r="M2055" s="7">
        <f>IF(K2055&lt;I2055,"✕ INSUFFISANT",IF(K2055&lt;I2055*1.2,"⚠ STOCK FAIBLE","✓ COUVERT"))</f>
        <v/>
      </c>
      <c r="N2055" s="7" t="inlineStr">
        <is>
          <t>CTL</t>
        </is>
      </c>
      <c r="O2055" s="7" t="inlineStr">
        <is>
          <t>CRITIQUE</t>
        </is>
      </c>
      <c r="P2055" s="7" t="inlineStr">
        <is>
          <t>31/08/2026 02:59</t>
        </is>
      </c>
    </row>
    <row r="2056">
      <c r="A2056" s="8" t="inlineStr">
        <is>
          <t>WHAP 8x8</t>
        </is>
      </c>
      <c r="B2056" s="8" t="inlineStr">
        <is>
          <t>WHAP-2052</t>
        </is>
      </c>
      <c r="C2056" s="8" t="inlineStr">
        <is>
          <t>MOT-2052</t>
        </is>
      </c>
      <c r="D2056" s="8" t="inlineStr">
        <is>
          <t>kit de rampe commune</t>
        </is>
      </c>
      <c r="E2056" s="8" t="inlineStr">
        <is>
          <t>Moteur</t>
        </is>
      </c>
      <c r="F2056" s="8" t="inlineStr">
        <is>
          <t>Moteur</t>
        </is>
      </c>
      <c r="G2056" s="8" t="inlineStr">
        <is>
          <t>PIECE_VEHICULE</t>
        </is>
      </c>
      <c r="H2056" s="8" t="n">
        <v>1</v>
      </c>
      <c r="I2056" s="8">
        <f>H2056*$D$3</f>
        <v/>
      </c>
      <c r="J2056" s="8" t="inlineStr">
        <is>
          <t>unité</t>
        </is>
      </c>
      <c r="K2056" s="8" t="n">
        <v>0</v>
      </c>
      <c r="L2056" s="8">
        <f>K2056-I2056</f>
        <v/>
      </c>
      <c r="M2056" s="8">
        <f>IF(K2056&lt;I2056,"✕ INSUFFISANT",IF(K2056&lt;I2056*1.2,"⚠ STOCK FAIBLE","✓ COUVERT"))</f>
        <v/>
      </c>
      <c r="N2056" s="8" t="inlineStr">
        <is>
          <t>CTL</t>
        </is>
      </c>
      <c r="O2056" s="8" t="inlineStr">
        <is>
          <t>CRITIQUE</t>
        </is>
      </c>
      <c r="P2056" s="8" t="inlineStr">
        <is>
          <t>31/08/2026 02:59</t>
        </is>
      </c>
    </row>
    <row r="2057">
      <c r="A2057" s="7" t="inlineStr">
        <is>
          <t>WHAP 8x8</t>
        </is>
      </c>
      <c r="B2057" s="7" t="inlineStr">
        <is>
          <t>WHAP-2053</t>
        </is>
      </c>
      <c r="C2057" s="7" t="inlineStr">
        <is>
          <t>MOT-2053</t>
        </is>
      </c>
      <c r="D2057" s="7" t="inlineStr">
        <is>
          <t>support de rampe commune</t>
        </is>
      </c>
      <c r="E2057" s="7" t="inlineStr">
        <is>
          <t>Moteur</t>
        </is>
      </c>
      <c r="F2057" s="7" t="inlineStr">
        <is>
          <t>Moteur</t>
        </is>
      </c>
      <c r="G2057" s="7" t="inlineStr">
        <is>
          <t>PIECE_VEHICULE</t>
        </is>
      </c>
      <c r="H2057" s="7" t="n">
        <v>1</v>
      </c>
      <c r="I2057" s="7">
        <f>H2057*$D$3</f>
        <v/>
      </c>
      <c r="J2057" s="7" t="inlineStr">
        <is>
          <t>unité</t>
        </is>
      </c>
      <c r="K2057" s="7" t="n">
        <v>0</v>
      </c>
      <c r="L2057" s="7">
        <f>K2057-I2057</f>
        <v/>
      </c>
      <c r="M2057" s="7">
        <f>IF(K2057&lt;I2057,"✕ INSUFFISANT",IF(K2057&lt;I2057*1.2,"⚠ STOCK FAIBLE","✓ COUVERT"))</f>
        <v/>
      </c>
      <c r="N2057" s="7" t="inlineStr">
        <is>
          <t>VAL</t>
        </is>
      </c>
      <c r="O2057" s="7" t="inlineStr">
        <is>
          <t>CRITIQUE</t>
        </is>
      </c>
      <c r="P2057" s="7" t="inlineStr">
        <is>
          <t>31/08/2026 02:59</t>
        </is>
      </c>
    </row>
    <row r="2058">
      <c r="A2058" s="8" t="inlineStr">
        <is>
          <t>WHAP 8x8</t>
        </is>
      </c>
      <c r="B2058" s="8" t="inlineStr">
        <is>
          <t>WHAP-2054</t>
        </is>
      </c>
      <c r="C2058" s="8" t="inlineStr">
        <is>
          <t>MOT-2054</t>
        </is>
      </c>
      <c r="D2058" s="8" t="inlineStr">
        <is>
          <t>boîtier de rampe commune</t>
        </is>
      </c>
      <c r="E2058" s="8" t="inlineStr">
        <is>
          <t>Moteur</t>
        </is>
      </c>
      <c r="F2058" s="8" t="inlineStr">
        <is>
          <t>Moteur</t>
        </is>
      </c>
      <c r="G2058" s="8" t="inlineStr">
        <is>
          <t>PIECE_VEHICULE</t>
        </is>
      </c>
      <c r="H2058" s="8" t="n">
        <v>1</v>
      </c>
      <c r="I2058" s="8">
        <f>H2058*$D$3</f>
        <v/>
      </c>
      <c r="J2058" s="8" t="inlineStr">
        <is>
          <t>unité</t>
        </is>
      </c>
      <c r="K2058" s="8" t="n">
        <v>0</v>
      </c>
      <c r="L2058" s="8">
        <f>K2058-I2058</f>
        <v/>
      </c>
      <c r="M2058" s="8">
        <f>IF(K2058&lt;I2058,"✕ INSUFFISANT",IF(K2058&lt;I2058*1.2,"⚠ STOCK FAIBLE","✓ COUVERT"))</f>
        <v/>
      </c>
      <c r="N2058" s="8" t="inlineStr">
        <is>
          <t>VAL</t>
        </is>
      </c>
      <c r="O2058" s="8" t="inlineStr">
        <is>
          <t>CRITIQUE</t>
        </is>
      </c>
      <c r="P2058" s="8" t="inlineStr">
        <is>
          <t>31/08/2026 02:59</t>
        </is>
      </c>
    </row>
    <row r="2059">
      <c r="A2059" s="7" t="inlineStr">
        <is>
          <t>WHAP 8x8</t>
        </is>
      </c>
      <c r="B2059" s="7" t="inlineStr">
        <is>
          <t>WHAP-2055</t>
        </is>
      </c>
      <c r="C2059" s="7" t="inlineStr">
        <is>
          <t>MOT-2055</t>
        </is>
      </c>
      <c r="D2059" s="7" t="inlineStr">
        <is>
          <t>module de rampe commune</t>
        </is>
      </c>
      <c r="E2059" s="7" t="inlineStr">
        <is>
          <t>Moteur</t>
        </is>
      </c>
      <c r="F2059" s="7" t="inlineStr">
        <is>
          <t>Moteur</t>
        </is>
      </c>
      <c r="G2059" s="7" t="inlineStr">
        <is>
          <t>PIECE_VEHICULE</t>
        </is>
      </c>
      <c r="H2059" s="7" t="n">
        <v>1</v>
      </c>
      <c r="I2059" s="7">
        <f>H2059*$D$3</f>
        <v/>
      </c>
      <c r="J2059" s="7" t="inlineStr">
        <is>
          <t>unité</t>
        </is>
      </c>
      <c r="K2059" s="7" t="n">
        <v>0</v>
      </c>
      <c r="L2059" s="7">
        <f>K2059-I2059</f>
        <v/>
      </c>
      <c r="M2059" s="7">
        <f>IF(K2059&lt;I2059,"✕ INSUFFISANT",IF(K2059&lt;I2059*1.2,"⚠ STOCK FAIBLE","✓ COUVERT"))</f>
        <v/>
      </c>
      <c r="N2059" s="7" t="inlineStr">
        <is>
          <t>DEL</t>
        </is>
      </c>
      <c r="O2059" s="7" t="inlineStr">
        <is>
          <t>CRITIQUE</t>
        </is>
      </c>
      <c r="P2059" s="7" t="inlineStr">
        <is>
          <t>31/08/2026 02:59</t>
        </is>
      </c>
    </row>
    <row r="2060">
      <c r="A2060" s="8" t="inlineStr">
        <is>
          <t>WHAP 8x8</t>
        </is>
      </c>
      <c r="B2060" s="8" t="inlineStr">
        <is>
          <t>WHAP-2056</t>
        </is>
      </c>
      <c r="C2060" s="8" t="inlineStr">
        <is>
          <t>MOT-2056</t>
        </is>
      </c>
      <c r="D2060" s="8" t="inlineStr">
        <is>
          <t>câblage de rampe commune</t>
        </is>
      </c>
      <c r="E2060" s="8" t="inlineStr">
        <is>
          <t>Moteur</t>
        </is>
      </c>
      <c r="F2060" s="8" t="inlineStr">
        <is>
          <t>Moteur</t>
        </is>
      </c>
      <c r="G2060" s="8" t="inlineStr">
        <is>
          <t>PIECE_VEHICULE</t>
        </is>
      </c>
      <c r="H2060" s="8" t="n">
        <v>1</v>
      </c>
      <c r="I2060" s="8">
        <f>H2060*$D$3</f>
        <v/>
      </c>
      <c r="J2060" s="8" t="inlineStr">
        <is>
          <t>unité</t>
        </is>
      </c>
      <c r="K2060" s="8" t="n">
        <v>0</v>
      </c>
      <c r="L2060" s="8">
        <f>K2060-I2060</f>
        <v/>
      </c>
      <c r="M2060" s="8">
        <f>IF(K2060&lt;I2060,"✕ INSUFFISANT",IF(K2060&lt;I2060*1.2,"⚠ STOCK FAIBLE","✓ COUVERT"))</f>
        <v/>
      </c>
      <c r="N2060" s="8" t="inlineStr">
        <is>
          <t>YZK</t>
        </is>
      </c>
      <c r="O2060" s="8" t="inlineStr">
        <is>
          <t>CRITIQUE</t>
        </is>
      </c>
      <c r="P2060" s="8" t="inlineStr">
        <is>
          <t>31/08/2026 02:59</t>
        </is>
      </c>
    </row>
    <row r="2061">
      <c r="A2061" s="7" t="inlineStr">
        <is>
          <t>WHAP 8x8</t>
        </is>
      </c>
      <c r="B2061" s="7" t="inlineStr">
        <is>
          <t>WHAP-2057</t>
        </is>
      </c>
      <c r="C2061" s="7" t="inlineStr">
        <is>
          <t>MOT-2057</t>
        </is>
      </c>
      <c r="D2061" s="7" t="inlineStr">
        <is>
          <t>connecteur de rampe commune</t>
        </is>
      </c>
      <c r="E2061" s="7" t="inlineStr">
        <is>
          <t>Moteur</t>
        </is>
      </c>
      <c r="F2061" s="7" t="inlineStr">
        <is>
          <t>Moteur</t>
        </is>
      </c>
      <c r="G2061" s="7" t="inlineStr">
        <is>
          <t>PIECE_VEHICULE</t>
        </is>
      </c>
      <c r="H2061" s="7" t="n">
        <v>1</v>
      </c>
      <c r="I2061" s="7">
        <f>H2061*$D$3</f>
        <v/>
      </c>
      <c r="J2061" s="7" t="inlineStr">
        <is>
          <t>unité</t>
        </is>
      </c>
      <c r="K2061" s="7" t="n">
        <v>0</v>
      </c>
      <c r="L2061" s="7">
        <f>K2061-I2061</f>
        <v/>
      </c>
      <c r="M2061" s="7">
        <f>IF(K2061&lt;I2061,"✕ INSUFFISANT",IF(K2061&lt;I2061*1.2,"⚠ STOCK FAIBLE","✓ COUVERT"))</f>
        <v/>
      </c>
      <c r="N2061" s="7" t="inlineStr">
        <is>
          <t>DEL</t>
        </is>
      </c>
      <c r="O2061" s="7" t="inlineStr">
        <is>
          <t>CRITIQUE</t>
        </is>
      </c>
      <c r="P2061" s="7" t="inlineStr">
        <is>
          <t>31/08/2026 02:59</t>
        </is>
      </c>
    </row>
    <row r="2062">
      <c r="A2062" s="8" t="inlineStr">
        <is>
          <t>WHAP 8x8</t>
        </is>
      </c>
      <c r="B2062" s="8" t="inlineStr">
        <is>
          <t>WHAP-2058</t>
        </is>
      </c>
      <c r="C2062" s="8" t="inlineStr">
        <is>
          <t>MOT-2058</t>
        </is>
      </c>
      <c r="D2062" s="8" t="inlineStr">
        <is>
          <t>joint de rampe commune</t>
        </is>
      </c>
      <c r="E2062" s="8" t="inlineStr">
        <is>
          <t>Moteur</t>
        </is>
      </c>
      <c r="F2062" s="8" t="inlineStr">
        <is>
          <t>Moteur</t>
        </is>
      </c>
      <c r="G2062" s="8" t="inlineStr">
        <is>
          <t>PIECE_VEHICULE</t>
        </is>
      </c>
      <c r="H2062" s="8" t="n">
        <v>1</v>
      </c>
      <c r="I2062" s="8">
        <f>H2062*$D$3</f>
        <v/>
      </c>
      <c r="J2062" s="8" t="inlineStr">
        <is>
          <t>unité</t>
        </is>
      </c>
      <c r="K2062" s="8" t="n">
        <v>0</v>
      </c>
      <c r="L2062" s="8">
        <f>K2062-I2062</f>
        <v/>
      </c>
      <c r="M2062" s="8">
        <f>IF(K2062&lt;I2062,"✕ INSUFFISANT",IF(K2062&lt;I2062*1.2,"⚠ STOCK FAIBLE","✓ COUVERT"))</f>
        <v/>
      </c>
      <c r="N2062" s="8" t="inlineStr">
        <is>
          <t>MAG</t>
        </is>
      </c>
      <c r="O2062" s="8" t="inlineStr">
        <is>
          <t>CRITIQUE</t>
        </is>
      </c>
      <c r="P2062" s="8" t="inlineStr">
        <is>
          <t>31/08/2026 02:59</t>
        </is>
      </c>
    </row>
    <row r="2063">
      <c r="A2063" s="7" t="inlineStr">
        <is>
          <t>WHAP 8x8</t>
        </is>
      </c>
      <c r="B2063" s="7" t="inlineStr">
        <is>
          <t>WHAP-2059</t>
        </is>
      </c>
      <c r="C2063" s="7" t="inlineStr">
        <is>
          <t>MOT-2059</t>
        </is>
      </c>
      <c r="D2063" s="7" t="inlineStr">
        <is>
          <t>fixation de rampe commune</t>
        </is>
      </c>
      <c r="E2063" s="7" t="inlineStr">
        <is>
          <t>Moteur</t>
        </is>
      </c>
      <c r="F2063" s="7" t="inlineStr">
        <is>
          <t>Moteur</t>
        </is>
      </c>
      <c r="G2063" s="7" t="inlineStr">
        <is>
          <t>PIECE_VEHICULE</t>
        </is>
      </c>
      <c r="H2063" s="7" t="n">
        <v>1</v>
      </c>
      <c r="I2063" s="7">
        <f>H2063*$D$3</f>
        <v/>
      </c>
      <c r="J2063" s="7" t="inlineStr">
        <is>
          <t>unité</t>
        </is>
      </c>
      <c r="K2063" s="7" t="n">
        <v>0</v>
      </c>
      <c r="L2063" s="7">
        <f>K2063-I2063</f>
        <v/>
      </c>
      <c r="M2063" s="7">
        <f>IF(K2063&lt;I2063,"✕ INSUFFISANT",IF(K2063&lt;I2063*1.2,"⚠ STOCK FAIBLE","✓ COUVERT"))</f>
        <v/>
      </c>
      <c r="N2063" s="7" t="inlineStr">
        <is>
          <t>DEL</t>
        </is>
      </c>
      <c r="O2063" s="7" t="inlineStr">
        <is>
          <t>CRITIQUE</t>
        </is>
      </c>
      <c r="P2063" s="7" t="inlineStr">
        <is>
          <t>31/08/2026 02:59</t>
        </is>
      </c>
    </row>
    <row r="2064">
      <c r="A2064" s="8" t="inlineStr">
        <is>
          <t>WHAP 8x8</t>
        </is>
      </c>
      <c r="B2064" s="8" t="inlineStr">
        <is>
          <t>WHAP-2060</t>
        </is>
      </c>
      <c r="C2064" s="8" t="inlineStr">
        <is>
          <t>MOT-2060</t>
        </is>
      </c>
      <c r="D2064" s="8" t="inlineStr">
        <is>
          <t>protection de rampe commune</t>
        </is>
      </c>
      <c r="E2064" s="8" t="inlineStr">
        <is>
          <t>Moteur</t>
        </is>
      </c>
      <c r="F2064" s="8" t="inlineStr">
        <is>
          <t>Moteur</t>
        </is>
      </c>
      <c r="G2064" s="8" t="inlineStr">
        <is>
          <t>PIECE_VEHICULE</t>
        </is>
      </c>
      <c r="H2064" s="8" t="n">
        <v>1</v>
      </c>
      <c r="I2064" s="8">
        <f>H2064*$D$3</f>
        <v/>
      </c>
      <c r="J2064" s="8" t="inlineStr">
        <is>
          <t>unité</t>
        </is>
      </c>
      <c r="K2064" s="8" t="n">
        <v>0</v>
      </c>
      <c r="L2064" s="8">
        <f>K2064-I2064</f>
        <v/>
      </c>
      <c r="M2064" s="8">
        <f>IF(K2064&lt;I2064,"✕ INSUFFISANT",IF(K2064&lt;I2064*1.2,"⚠ STOCK FAIBLE","✓ COUVERT"))</f>
        <v/>
      </c>
      <c r="N2064" s="8" t="inlineStr">
        <is>
          <t>FAU</t>
        </is>
      </c>
      <c r="O2064" s="8" t="inlineStr">
        <is>
          <t>CRITIQUE</t>
        </is>
      </c>
      <c r="P2064" s="8" t="inlineStr">
        <is>
          <t>31/08/2026 02:59</t>
        </is>
      </c>
    </row>
    <row r="2065">
      <c r="A2065" s="7" t="inlineStr">
        <is>
          <t>WHAP 8x8</t>
        </is>
      </c>
      <c r="B2065" s="7" t="inlineStr">
        <is>
          <t>WHAP-2061</t>
        </is>
      </c>
      <c r="C2065" s="7" t="inlineStr">
        <is>
          <t>MOT-2061</t>
        </is>
      </c>
      <c r="D2065" s="7" t="inlineStr">
        <is>
          <t>capteur de rampe commune</t>
        </is>
      </c>
      <c r="E2065" s="7" t="inlineStr">
        <is>
          <t>Moteur</t>
        </is>
      </c>
      <c r="F2065" s="7" t="inlineStr">
        <is>
          <t>Moteur</t>
        </is>
      </c>
      <c r="G2065" s="7" t="inlineStr">
        <is>
          <t>PIECE_VEHICULE</t>
        </is>
      </c>
      <c r="H2065" s="7" t="n">
        <v>1</v>
      </c>
      <c r="I2065" s="7">
        <f>H2065*$D$3</f>
        <v/>
      </c>
      <c r="J2065" s="7" t="inlineStr">
        <is>
          <t>unité</t>
        </is>
      </c>
      <c r="K2065" s="7" t="n">
        <v>0</v>
      </c>
      <c r="L2065" s="7">
        <f>K2065-I2065</f>
        <v/>
      </c>
      <c r="M2065" s="7">
        <f>IF(K2065&lt;I2065,"✕ INSUFFISANT",IF(K2065&lt;I2065*1.2,"⚠ STOCK FAIBLE","✓ COUVERT"))</f>
        <v/>
      </c>
      <c r="N2065" s="7" t="inlineStr">
        <is>
          <t>HEL</t>
        </is>
      </c>
      <c r="O2065" s="7" t="inlineStr">
        <is>
          <t>CRITIQUE</t>
        </is>
      </c>
      <c r="P2065" s="7" t="inlineStr">
        <is>
          <t>31/08/2026 02:59</t>
        </is>
      </c>
    </row>
    <row r="2066">
      <c r="A2066" s="8" t="inlineStr">
        <is>
          <t>WHAP 8x8</t>
        </is>
      </c>
      <c r="B2066" s="8" t="inlineStr">
        <is>
          <t>WHAP-2062</t>
        </is>
      </c>
      <c r="C2066" s="8" t="inlineStr">
        <is>
          <t>MOT-2062</t>
        </is>
      </c>
      <c r="D2066" s="8" t="inlineStr">
        <is>
          <t>actionneur de rampe commune</t>
        </is>
      </c>
      <c r="E2066" s="8" t="inlineStr">
        <is>
          <t>Moteur</t>
        </is>
      </c>
      <c r="F2066" s="8" t="inlineStr">
        <is>
          <t>Moteur</t>
        </is>
      </c>
      <c r="G2066" s="8" t="inlineStr">
        <is>
          <t>PIECE_VEHICULE</t>
        </is>
      </c>
      <c r="H2066" s="8" t="n">
        <v>1</v>
      </c>
      <c r="I2066" s="8">
        <f>H2066*$D$3</f>
        <v/>
      </c>
      <c r="J2066" s="8" t="inlineStr">
        <is>
          <t>unité</t>
        </is>
      </c>
      <c r="K2066" s="8" t="n">
        <v>0</v>
      </c>
      <c r="L2066" s="8">
        <f>K2066-I2066</f>
        <v/>
      </c>
      <c r="M2066" s="8">
        <f>IF(K2066&lt;I2066,"✕ INSUFFISANT",IF(K2066&lt;I2066*1.2,"⚠ STOCK FAIBLE","✓ COUVERT"))</f>
        <v/>
      </c>
      <c r="N2066" s="8" t="inlineStr">
        <is>
          <t>BOS</t>
        </is>
      </c>
      <c r="O2066" s="8" t="inlineStr">
        <is>
          <t>CRITIQUE</t>
        </is>
      </c>
      <c r="P2066" s="8" t="inlineStr">
        <is>
          <t>31/08/2026 02:59</t>
        </is>
      </c>
    </row>
    <row r="2067">
      <c r="A2067" s="7" t="inlineStr">
        <is>
          <t>WHAP 8x8</t>
        </is>
      </c>
      <c r="B2067" s="7" t="inlineStr">
        <is>
          <t>WHAP-2063</t>
        </is>
      </c>
      <c r="C2067" s="7" t="inlineStr">
        <is>
          <t>MOT-2063</t>
        </is>
      </c>
      <c r="D2067" s="7" t="inlineStr">
        <is>
          <t>raccord de rampe commune</t>
        </is>
      </c>
      <c r="E2067" s="7" t="inlineStr">
        <is>
          <t>Moteur</t>
        </is>
      </c>
      <c r="F2067" s="7" t="inlineStr">
        <is>
          <t>Moteur</t>
        </is>
      </c>
      <c r="G2067" s="7" t="inlineStr">
        <is>
          <t>PIECE_VEHICULE</t>
        </is>
      </c>
      <c r="H2067" s="7" t="n">
        <v>1</v>
      </c>
      <c r="I2067" s="7">
        <f>H2067*$D$3</f>
        <v/>
      </c>
      <c r="J2067" s="7" t="inlineStr">
        <is>
          <t>unité</t>
        </is>
      </c>
      <c r="K2067" s="7" t="n">
        <v>0</v>
      </c>
      <c r="L2067" s="7">
        <f>K2067-I2067</f>
        <v/>
      </c>
      <c r="M2067" s="7">
        <f>IF(K2067&lt;I2067,"✕ INSUFFISANT",IF(K2067&lt;I2067*1.2,"⚠ STOCK FAIBLE","✓ COUVERT"))</f>
        <v/>
      </c>
      <c r="N2067" s="7" t="inlineStr">
        <is>
          <t>SUM</t>
        </is>
      </c>
      <c r="O2067" s="7" t="inlineStr">
        <is>
          <t>CRITIQUE</t>
        </is>
      </c>
      <c r="P2067" s="7" t="inlineStr">
        <is>
          <t>31/08/2026 02:59</t>
        </is>
      </c>
    </row>
    <row r="2068">
      <c r="A2068" s="8" t="inlineStr">
        <is>
          <t>WHAP 8x8</t>
        </is>
      </c>
      <c r="B2068" s="8" t="inlineStr">
        <is>
          <t>WHAP-2064</t>
        </is>
      </c>
      <c r="C2068" s="8" t="inlineStr">
        <is>
          <t>MOT-2064</t>
        </is>
      </c>
      <c r="D2068" s="8" t="inlineStr">
        <is>
          <t>plaque de rampe commune</t>
        </is>
      </c>
      <c r="E2068" s="8" t="inlineStr">
        <is>
          <t>Moteur</t>
        </is>
      </c>
      <c r="F2068" s="8" t="inlineStr">
        <is>
          <t>Moteur</t>
        </is>
      </c>
      <c r="G2068" s="8" t="inlineStr">
        <is>
          <t>PIECE_VEHICULE</t>
        </is>
      </c>
      <c r="H2068" s="8" t="n">
        <v>1</v>
      </c>
      <c r="I2068" s="8">
        <f>H2068*$D$3</f>
        <v/>
      </c>
      <c r="J2068" s="8" t="inlineStr">
        <is>
          <t>unité</t>
        </is>
      </c>
      <c r="K2068" s="8" t="n">
        <v>0</v>
      </c>
      <c r="L2068" s="8">
        <f>K2068-I2068</f>
        <v/>
      </c>
      <c r="M2068" s="8">
        <f>IF(K2068&lt;I2068,"✕ INSUFFISANT",IF(K2068&lt;I2068*1.2,"⚠ STOCK FAIBLE","✓ COUVERT"))</f>
        <v/>
      </c>
      <c r="N2068" s="8" t="inlineStr">
        <is>
          <t>SKF</t>
        </is>
      </c>
      <c r="O2068" s="8" t="inlineStr">
        <is>
          <t>CRITIQUE</t>
        </is>
      </c>
      <c r="P2068" s="8" t="inlineStr">
        <is>
          <t>31/08/2026 02:59</t>
        </is>
      </c>
    </row>
    <row r="2069">
      <c r="A2069" s="7" t="inlineStr">
        <is>
          <t>WHAP 8x8</t>
        </is>
      </c>
      <c r="B2069" s="7" t="inlineStr">
        <is>
          <t>WHAP-2065</t>
        </is>
      </c>
      <c r="C2069" s="7" t="inlineStr">
        <is>
          <t>MOT-2065</t>
        </is>
      </c>
      <c r="D2069" s="7" t="inlineStr">
        <is>
          <t>couvercle de rampe commune</t>
        </is>
      </c>
      <c r="E2069" s="7" t="inlineStr">
        <is>
          <t>Moteur</t>
        </is>
      </c>
      <c r="F2069" s="7" t="inlineStr">
        <is>
          <t>Moteur</t>
        </is>
      </c>
      <c r="G2069" s="7" t="inlineStr">
        <is>
          <t>PIECE_VEHICULE</t>
        </is>
      </c>
      <c r="H2069" s="7" t="n">
        <v>1</v>
      </c>
      <c r="I2069" s="7">
        <f>H2069*$D$3</f>
        <v/>
      </c>
      <c r="J2069" s="7" t="inlineStr">
        <is>
          <t>unité</t>
        </is>
      </c>
      <c r="K2069" s="7" t="n">
        <v>0</v>
      </c>
      <c r="L2069" s="7">
        <f>K2069-I2069</f>
        <v/>
      </c>
      <c r="M2069" s="7">
        <f>IF(K2069&lt;I2069,"✕ INSUFFISANT",IF(K2069&lt;I2069*1.2,"⚠ STOCK FAIBLE","✓ COUVERT"))</f>
        <v/>
      </c>
      <c r="N2069" s="7" t="inlineStr">
        <is>
          <t>CTL</t>
        </is>
      </c>
      <c r="O2069" s="7" t="inlineStr">
        <is>
          <t>CRITIQUE</t>
        </is>
      </c>
      <c r="P2069" s="7" t="inlineStr">
        <is>
          <t>31/08/2026 02:59</t>
        </is>
      </c>
    </row>
    <row r="2070">
      <c r="A2070" s="8" t="inlineStr">
        <is>
          <t>WHAP 8x8</t>
        </is>
      </c>
      <c r="B2070" s="8" t="inlineStr">
        <is>
          <t>WHAP-2066</t>
        </is>
      </c>
      <c r="C2070" s="8" t="inlineStr">
        <is>
          <t>MOT-2066</t>
        </is>
      </c>
      <c r="D2070" s="8" t="inlineStr">
        <is>
          <t>bague de rampe commune</t>
        </is>
      </c>
      <c r="E2070" s="8" t="inlineStr">
        <is>
          <t>Moteur</t>
        </is>
      </c>
      <c r="F2070" s="8" t="inlineStr">
        <is>
          <t>Moteur</t>
        </is>
      </c>
      <c r="G2070" s="8" t="inlineStr">
        <is>
          <t>PIECE_VEHICULE</t>
        </is>
      </c>
      <c r="H2070" s="8" t="n">
        <v>1</v>
      </c>
      <c r="I2070" s="8">
        <f>H2070*$D$3</f>
        <v/>
      </c>
      <c r="J2070" s="8" t="inlineStr">
        <is>
          <t>unité</t>
        </is>
      </c>
      <c r="K2070" s="8" t="n">
        <v>0</v>
      </c>
      <c r="L2070" s="8">
        <f>K2070-I2070</f>
        <v/>
      </c>
      <c r="M2070" s="8">
        <f>IF(K2070&lt;I2070,"✕ INSUFFISANT",IF(K2070&lt;I2070*1.2,"⚠ STOCK FAIBLE","✓ COUVERT"))</f>
        <v/>
      </c>
      <c r="N2070" s="8" t="inlineStr">
        <is>
          <t>SKF</t>
        </is>
      </c>
      <c r="O2070" s="8" t="inlineStr">
        <is>
          <t>CRITIQUE</t>
        </is>
      </c>
      <c r="P2070" s="8" t="inlineStr">
        <is>
          <t>31/08/2026 02:59</t>
        </is>
      </c>
    </row>
    <row r="2071">
      <c r="A2071" s="7" t="inlineStr">
        <is>
          <t>WHAP 8x8</t>
        </is>
      </c>
      <c r="B2071" s="7" t="inlineStr">
        <is>
          <t>WHAP-2067</t>
        </is>
      </c>
      <c r="C2071" s="7" t="inlineStr">
        <is>
          <t>MOT-2067</t>
        </is>
      </c>
      <c r="D2071" s="7" t="inlineStr">
        <is>
          <t>entretoise de rampe commune</t>
        </is>
      </c>
      <c r="E2071" s="7" t="inlineStr">
        <is>
          <t>Moteur</t>
        </is>
      </c>
      <c r="F2071" s="7" t="inlineStr">
        <is>
          <t>Moteur</t>
        </is>
      </c>
      <c r="G2071" s="7" t="inlineStr">
        <is>
          <t>PIECE_VEHICULE</t>
        </is>
      </c>
      <c r="H2071" s="7" t="n">
        <v>1</v>
      </c>
      <c r="I2071" s="7">
        <f>H2071*$D$3</f>
        <v/>
      </c>
      <c r="J2071" s="7" t="inlineStr">
        <is>
          <t>unité</t>
        </is>
      </c>
      <c r="K2071" s="7" t="n">
        <v>0</v>
      </c>
      <c r="L2071" s="7">
        <f>K2071-I2071</f>
        <v/>
      </c>
      <c r="M2071" s="7">
        <f>IF(K2071&lt;I2071,"✕ INSUFFISANT",IF(K2071&lt;I2071*1.2,"⚠ STOCK FAIBLE","✓ COUVERT"))</f>
        <v/>
      </c>
      <c r="N2071" s="7" t="inlineStr">
        <is>
          <t>SUM</t>
        </is>
      </c>
      <c r="O2071" s="7" t="inlineStr">
        <is>
          <t>CRITIQUE</t>
        </is>
      </c>
      <c r="P2071" s="7" t="inlineStr">
        <is>
          <t>31/08/2026 02:59</t>
        </is>
      </c>
    </row>
    <row r="2072">
      <c r="A2072" s="8" t="inlineStr">
        <is>
          <t>WHAP 8x8</t>
        </is>
      </c>
      <c r="B2072" s="8" t="inlineStr">
        <is>
          <t>WHAP-2068</t>
        </is>
      </c>
      <c r="C2072" s="8" t="inlineStr">
        <is>
          <t>MOT-2068</t>
        </is>
      </c>
      <c r="D2072" s="8" t="inlineStr">
        <is>
          <t>axe de rampe commune</t>
        </is>
      </c>
      <c r="E2072" s="8" t="inlineStr">
        <is>
          <t>Moteur</t>
        </is>
      </c>
      <c r="F2072" s="8" t="inlineStr">
        <is>
          <t>Moteur</t>
        </is>
      </c>
      <c r="G2072" s="8" t="inlineStr">
        <is>
          <t>PIECE_VEHICULE</t>
        </is>
      </c>
      <c r="H2072" s="8" t="n">
        <v>1</v>
      </c>
      <c r="I2072" s="8">
        <f>H2072*$D$3</f>
        <v/>
      </c>
      <c r="J2072" s="8" t="inlineStr">
        <is>
          <t>unité</t>
        </is>
      </c>
      <c r="K2072" s="8" t="n">
        <v>0</v>
      </c>
      <c r="L2072" s="8">
        <f>K2072-I2072</f>
        <v/>
      </c>
      <c r="M2072" s="8">
        <f>IF(K2072&lt;I2072,"✕ INSUFFISANT",IF(K2072&lt;I2072*1.2,"⚠ STOCK FAIBLE","✓ COUVERT"))</f>
        <v/>
      </c>
      <c r="N2072" s="8" t="inlineStr">
        <is>
          <t>CTL</t>
        </is>
      </c>
      <c r="O2072" s="8" t="inlineStr">
        <is>
          <t>CRITIQUE</t>
        </is>
      </c>
      <c r="P2072" s="8" t="inlineStr">
        <is>
          <t>31/08/2026 02:59</t>
        </is>
      </c>
    </row>
    <row r="2073">
      <c r="A2073" s="7" t="inlineStr">
        <is>
          <t>WHAP 8x8</t>
        </is>
      </c>
      <c r="B2073" s="7" t="inlineStr">
        <is>
          <t>WHAP-2069</t>
        </is>
      </c>
      <c r="C2073" s="7" t="inlineStr">
        <is>
          <t>MOT-2069</t>
        </is>
      </c>
      <c r="D2073" s="7" t="inlineStr">
        <is>
          <t>poulie de rampe commune</t>
        </is>
      </c>
      <c r="E2073" s="7" t="inlineStr">
        <is>
          <t>Moteur</t>
        </is>
      </c>
      <c r="F2073" s="7" t="inlineStr">
        <is>
          <t>Moteur</t>
        </is>
      </c>
      <c r="G2073" s="7" t="inlineStr">
        <is>
          <t>PIECE_VEHICULE</t>
        </is>
      </c>
      <c r="H2073" s="7" t="n">
        <v>1</v>
      </c>
      <c r="I2073" s="7">
        <f>H2073*$D$3</f>
        <v/>
      </c>
      <c r="J2073" s="7" t="inlineStr">
        <is>
          <t>unité</t>
        </is>
      </c>
      <c r="K2073" s="7" t="n">
        <v>0</v>
      </c>
      <c r="L2073" s="7">
        <f>K2073-I2073</f>
        <v/>
      </c>
      <c r="M2073" s="7">
        <f>IF(K2073&lt;I2073,"✕ INSUFFISANT",IF(K2073&lt;I2073*1.2,"⚠ STOCK FAIBLE","✓ COUVERT"))</f>
        <v/>
      </c>
      <c r="N2073" s="7" t="inlineStr">
        <is>
          <t>FAU</t>
        </is>
      </c>
      <c r="O2073" s="7" t="inlineStr">
        <is>
          <t>CRITIQUE</t>
        </is>
      </c>
      <c r="P2073" s="7" t="inlineStr">
        <is>
          <t>31/08/2026 02:59</t>
        </is>
      </c>
    </row>
    <row r="2074">
      <c r="A2074" s="8" t="inlineStr">
        <is>
          <t>WHAP 8x8</t>
        </is>
      </c>
      <c r="B2074" s="8" t="inlineStr">
        <is>
          <t>WHAP-2070</t>
        </is>
      </c>
      <c r="C2074" s="8" t="inlineStr">
        <is>
          <t>MOT-2070</t>
        </is>
      </c>
      <c r="D2074" s="8" t="inlineStr">
        <is>
          <t>pignon de rampe commune</t>
        </is>
      </c>
      <c r="E2074" s="8" t="inlineStr">
        <is>
          <t>Moteur</t>
        </is>
      </c>
      <c r="F2074" s="8" t="inlineStr">
        <is>
          <t>Moteur</t>
        </is>
      </c>
      <c r="G2074" s="8" t="inlineStr">
        <is>
          <t>PIECE_VEHICULE</t>
        </is>
      </c>
      <c r="H2074" s="8" t="n">
        <v>1</v>
      </c>
      <c r="I2074" s="8">
        <f>H2074*$D$3</f>
        <v/>
      </c>
      <c r="J2074" s="8" t="inlineStr">
        <is>
          <t>unité</t>
        </is>
      </c>
      <c r="K2074" s="8" t="n">
        <v>0</v>
      </c>
      <c r="L2074" s="8">
        <f>K2074-I2074</f>
        <v/>
      </c>
      <c r="M2074" s="8">
        <f>IF(K2074&lt;I2074,"✕ INSUFFISANT",IF(K2074&lt;I2074*1.2,"⚠ STOCK FAIBLE","✓ COUVERT"))</f>
        <v/>
      </c>
      <c r="N2074" s="8" t="inlineStr">
        <is>
          <t>CTL</t>
        </is>
      </c>
      <c r="O2074" s="8" t="inlineStr">
        <is>
          <t>CRITIQUE</t>
        </is>
      </c>
      <c r="P2074" s="8" t="inlineStr">
        <is>
          <t>31/08/2026 02:59</t>
        </is>
      </c>
    </row>
    <row r="2075">
      <c r="A2075" s="7" t="inlineStr">
        <is>
          <t>WHAP 8x8</t>
        </is>
      </c>
      <c r="B2075" s="7" t="inlineStr">
        <is>
          <t>WHAP-2071</t>
        </is>
      </c>
      <c r="C2075" s="7" t="inlineStr">
        <is>
          <t>MOT-2071</t>
        </is>
      </c>
      <c r="D2075" s="7" t="inlineStr">
        <is>
          <t>ensemble de pompe haute pression</t>
        </is>
      </c>
      <c r="E2075" s="7" t="inlineStr">
        <is>
          <t>Moteur</t>
        </is>
      </c>
      <c r="F2075" s="7" t="inlineStr">
        <is>
          <t>Moteur</t>
        </is>
      </c>
      <c r="G2075" s="7" t="inlineStr">
        <is>
          <t>PIECE_VEHICULE</t>
        </is>
      </c>
      <c r="H2075" s="7" t="n">
        <v>1</v>
      </c>
      <c r="I2075" s="7">
        <f>H2075*$D$3</f>
        <v/>
      </c>
      <c r="J2075" s="7" t="inlineStr">
        <is>
          <t>unité</t>
        </is>
      </c>
      <c r="K2075" s="7" t="n">
        <v>0</v>
      </c>
      <c r="L2075" s="7">
        <f>K2075-I2075</f>
        <v/>
      </c>
      <c r="M2075" s="7">
        <f>IF(K2075&lt;I2075,"✕ INSUFFISANT",IF(K2075&lt;I2075*1.2,"⚠ STOCK FAIBLE","✓ COUVERT"))</f>
        <v/>
      </c>
      <c r="N2075" s="7" t="inlineStr">
        <is>
          <t>CTL</t>
        </is>
      </c>
      <c r="O2075" s="7" t="inlineStr">
        <is>
          <t>CRITIQUE</t>
        </is>
      </c>
      <c r="P2075" s="7" t="inlineStr">
        <is>
          <t>31/08/2026 02:59</t>
        </is>
      </c>
    </row>
    <row r="2076">
      <c r="A2076" s="8" t="inlineStr">
        <is>
          <t>WHAP 8x8</t>
        </is>
      </c>
      <c r="B2076" s="8" t="inlineStr">
        <is>
          <t>WHAP-2072</t>
        </is>
      </c>
      <c r="C2076" s="8" t="inlineStr">
        <is>
          <t>MOT-2072</t>
        </is>
      </c>
      <c r="D2076" s="8" t="inlineStr">
        <is>
          <t>kit de pompe haute pression</t>
        </is>
      </c>
      <c r="E2076" s="8" t="inlineStr">
        <is>
          <t>Moteur</t>
        </is>
      </c>
      <c r="F2076" s="8" t="inlineStr">
        <is>
          <t>Moteur</t>
        </is>
      </c>
      <c r="G2076" s="8" t="inlineStr">
        <is>
          <t>PIECE_VEHICULE</t>
        </is>
      </c>
      <c r="H2076" s="8" t="n">
        <v>1</v>
      </c>
      <c r="I2076" s="8">
        <f>H2076*$D$3</f>
        <v/>
      </c>
      <c r="J2076" s="8" t="inlineStr">
        <is>
          <t>unité</t>
        </is>
      </c>
      <c r="K2076" s="8" t="n">
        <v>0</v>
      </c>
      <c r="L2076" s="8">
        <f>K2076-I2076</f>
        <v/>
      </c>
      <c r="M2076" s="8">
        <f>IF(K2076&lt;I2076,"✕ INSUFFISANT",IF(K2076&lt;I2076*1.2,"⚠ STOCK FAIBLE","✓ COUVERT"))</f>
        <v/>
      </c>
      <c r="N2076" s="8" t="inlineStr">
        <is>
          <t>MAG</t>
        </is>
      </c>
      <c r="O2076" s="8" t="inlineStr">
        <is>
          <t>CRITIQUE</t>
        </is>
      </c>
      <c r="P2076" s="8" t="inlineStr">
        <is>
          <t>31/08/2026 02:59</t>
        </is>
      </c>
    </row>
    <row r="2077">
      <c r="A2077" s="7" t="inlineStr">
        <is>
          <t>WHAP 8x8</t>
        </is>
      </c>
      <c r="B2077" s="7" t="inlineStr">
        <is>
          <t>WHAP-2073</t>
        </is>
      </c>
      <c r="C2077" s="7" t="inlineStr">
        <is>
          <t>MOT-2073</t>
        </is>
      </c>
      <c r="D2077" s="7" t="inlineStr">
        <is>
          <t>support de pompe haute pression</t>
        </is>
      </c>
      <c r="E2077" s="7" t="inlineStr">
        <is>
          <t>Moteur</t>
        </is>
      </c>
      <c r="F2077" s="7" t="inlineStr">
        <is>
          <t>Moteur</t>
        </is>
      </c>
      <c r="G2077" s="7" t="inlineStr">
        <is>
          <t>PIECE_VEHICULE</t>
        </is>
      </c>
      <c r="H2077" s="7" t="n">
        <v>1</v>
      </c>
      <c r="I2077" s="7">
        <f>H2077*$D$3</f>
        <v/>
      </c>
      <c r="J2077" s="7" t="inlineStr">
        <is>
          <t>unité</t>
        </is>
      </c>
      <c r="K2077" s="7" t="n">
        <v>0</v>
      </c>
      <c r="L2077" s="7">
        <f>K2077-I2077</f>
        <v/>
      </c>
      <c r="M2077" s="7">
        <f>IF(K2077&lt;I2077,"✕ INSUFFISANT",IF(K2077&lt;I2077*1.2,"⚠ STOCK FAIBLE","✓ COUVERT"))</f>
        <v/>
      </c>
      <c r="N2077" s="7" t="inlineStr">
        <is>
          <t>HEL</t>
        </is>
      </c>
      <c r="O2077" s="7" t="inlineStr">
        <is>
          <t>CRITIQUE</t>
        </is>
      </c>
      <c r="P2077" s="7" t="inlineStr">
        <is>
          <t>31/08/2026 02:59</t>
        </is>
      </c>
    </row>
    <row r="2078">
      <c r="A2078" s="8" t="inlineStr">
        <is>
          <t>WHAP 8x8</t>
        </is>
      </c>
      <c r="B2078" s="8" t="inlineStr">
        <is>
          <t>WHAP-2074</t>
        </is>
      </c>
      <c r="C2078" s="8" t="inlineStr">
        <is>
          <t>MOT-2074</t>
        </is>
      </c>
      <c r="D2078" s="8" t="inlineStr">
        <is>
          <t>boîtier de pompe haute pression</t>
        </is>
      </c>
      <c r="E2078" s="8" t="inlineStr">
        <is>
          <t>Moteur</t>
        </is>
      </c>
      <c r="F2078" s="8" t="inlineStr">
        <is>
          <t>Moteur</t>
        </is>
      </c>
      <c r="G2078" s="8" t="inlineStr">
        <is>
          <t>PIECE_VEHICULE</t>
        </is>
      </c>
      <c r="H2078" s="8" t="n">
        <v>1</v>
      </c>
      <c r="I2078" s="8">
        <f>H2078*$D$3</f>
        <v/>
      </c>
      <c r="J2078" s="8" t="inlineStr">
        <is>
          <t>unité</t>
        </is>
      </c>
      <c r="K2078" s="8" t="n">
        <v>0</v>
      </c>
      <c r="L2078" s="8">
        <f>K2078-I2078</f>
        <v/>
      </c>
      <c r="M2078" s="8">
        <f>IF(K2078&lt;I2078,"✕ INSUFFISANT",IF(K2078&lt;I2078*1.2,"⚠ STOCK FAIBLE","✓ COUVERT"))</f>
        <v/>
      </c>
      <c r="N2078" s="8" t="inlineStr">
        <is>
          <t>BOS</t>
        </is>
      </c>
      <c r="O2078" s="8" t="inlineStr">
        <is>
          <t>CRITIQUE</t>
        </is>
      </c>
      <c r="P2078" s="8" t="inlineStr">
        <is>
          <t>31/08/2026 02:59</t>
        </is>
      </c>
    </row>
    <row r="2079">
      <c r="A2079" s="7" t="inlineStr">
        <is>
          <t>WHAP 8x8</t>
        </is>
      </c>
      <c r="B2079" s="7" t="inlineStr">
        <is>
          <t>WHAP-2075</t>
        </is>
      </c>
      <c r="C2079" s="7" t="inlineStr">
        <is>
          <t>MOT-2075</t>
        </is>
      </c>
      <c r="D2079" s="7" t="inlineStr">
        <is>
          <t>module de pompe haute pression</t>
        </is>
      </c>
      <c r="E2079" s="7" t="inlineStr">
        <is>
          <t>Moteur</t>
        </is>
      </c>
      <c r="F2079" s="7" t="inlineStr">
        <is>
          <t>Moteur</t>
        </is>
      </c>
      <c r="G2079" s="7" t="inlineStr">
        <is>
          <t>PIECE_VEHICULE</t>
        </is>
      </c>
      <c r="H2079" s="7" t="n">
        <v>1</v>
      </c>
      <c r="I2079" s="7">
        <f>H2079*$D$3</f>
        <v/>
      </c>
      <c r="J2079" s="7" t="inlineStr">
        <is>
          <t>unité</t>
        </is>
      </c>
      <c r="K2079" s="7" t="n">
        <v>0</v>
      </c>
      <c r="L2079" s="7">
        <f>K2079-I2079</f>
        <v/>
      </c>
      <c r="M2079" s="7">
        <f>IF(K2079&lt;I2079,"✕ INSUFFISANT",IF(K2079&lt;I2079*1.2,"⚠ STOCK FAIBLE","✓ COUVERT"))</f>
        <v/>
      </c>
      <c r="N2079" s="7" t="inlineStr">
        <is>
          <t>CTL</t>
        </is>
      </c>
      <c r="O2079" s="7" t="inlineStr">
        <is>
          <t>CRITIQUE</t>
        </is>
      </c>
      <c r="P2079" s="7" t="inlineStr">
        <is>
          <t>31/08/2026 02:59</t>
        </is>
      </c>
    </row>
    <row r="2080">
      <c r="A2080" s="8" t="inlineStr">
        <is>
          <t>WHAP 8x8</t>
        </is>
      </c>
      <c r="B2080" s="8" t="inlineStr">
        <is>
          <t>WHAP-2076</t>
        </is>
      </c>
      <c r="C2080" s="8" t="inlineStr">
        <is>
          <t>MOT-2076</t>
        </is>
      </c>
      <c r="D2080" s="8" t="inlineStr">
        <is>
          <t>câblage de pompe haute pression</t>
        </is>
      </c>
      <c r="E2080" s="8" t="inlineStr">
        <is>
          <t>Moteur</t>
        </is>
      </c>
      <c r="F2080" s="8" t="inlineStr">
        <is>
          <t>Moteur</t>
        </is>
      </c>
      <c r="G2080" s="8" t="inlineStr">
        <is>
          <t>PIECE_VEHICULE</t>
        </is>
      </c>
      <c r="H2080" s="8" t="n">
        <v>1</v>
      </c>
      <c r="I2080" s="8">
        <f>H2080*$D$3</f>
        <v/>
      </c>
      <c r="J2080" s="8" t="inlineStr">
        <is>
          <t>unité</t>
        </is>
      </c>
      <c r="K2080" s="8" t="n">
        <v>0</v>
      </c>
      <c r="L2080" s="8">
        <f>K2080-I2080</f>
        <v/>
      </c>
      <c r="M2080" s="8">
        <f>IF(K2080&lt;I2080,"✕ INSUFFISANT",IF(K2080&lt;I2080*1.2,"⚠ STOCK FAIBLE","✓ COUVERT"))</f>
        <v/>
      </c>
      <c r="N2080" s="8" t="inlineStr">
        <is>
          <t>VAL</t>
        </is>
      </c>
      <c r="O2080" s="8" t="inlineStr">
        <is>
          <t>CRITIQUE</t>
        </is>
      </c>
      <c r="P2080" s="8" t="inlineStr">
        <is>
          <t>31/08/2026 02:59</t>
        </is>
      </c>
    </row>
    <row r="2081">
      <c r="A2081" s="7" t="inlineStr">
        <is>
          <t>WHAP 8x8</t>
        </is>
      </c>
      <c r="B2081" s="7" t="inlineStr">
        <is>
          <t>WHAP-2077</t>
        </is>
      </c>
      <c r="C2081" s="7" t="inlineStr">
        <is>
          <t>MOT-2077</t>
        </is>
      </c>
      <c r="D2081" s="7" t="inlineStr">
        <is>
          <t>connecteur de pompe haute pression</t>
        </is>
      </c>
      <c r="E2081" s="7" t="inlineStr">
        <is>
          <t>Moteur</t>
        </is>
      </c>
      <c r="F2081" s="7" t="inlineStr">
        <is>
          <t>Moteur</t>
        </is>
      </c>
      <c r="G2081" s="7" t="inlineStr">
        <is>
          <t>PIECE_VEHICULE</t>
        </is>
      </c>
      <c r="H2081" s="7" t="n">
        <v>1</v>
      </c>
      <c r="I2081" s="7">
        <f>H2081*$D$3</f>
        <v/>
      </c>
      <c r="J2081" s="7" t="inlineStr">
        <is>
          <t>unité</t>
        </is>
      </c>
      <c r="K2081" s="7" t="n">
        <v>0</v>
      </c>
      <c r="L2081" s="7">
        <f>K2081-I2081</f>
        <v/>
      </c>
      <c r="M2081" s="7">
        <f>IF(K2081&lt;I2081,"✕ INSUFFISANT",IF(K2081&lt;I2081*1.2,"⚠ STOCK FAIBLE","✓ COUVERT"))</f>
        <v/>
      </c>
      <c r="N2081" s="7" t="inlineStr">
        <is>
          <t>FAU</t>
        </is>
      </c>
      <c r="O2081" s="7" t="inlineStr">
        <is>
          <t>CRITIQUE</t>
        </is>
      </c>
      <c r="P2081" s="7" t="inlineStr">
        <is>
          <t>31/08/2026 02:59</t>
        </is>
      </c>
    </row>
    <row r="2082">
      <c r="A2082" s="8" t="inlineStr">
        <is>
          <t>WHAP 8x8</t>
        </is>
      </c>
      <c r="B2082" s="8" t="inlineStr">
        <is>
          <t>WHAP-2078</t>
        </is>
      </c>
      <c r="C2082" s="8" t="inlineStr">
        <is>
          <t>MOT-2078</t>
        </is>
      </c>
      <c r="D2082" s="8" t="inlineStr">
        <is>
          <t>joint de pompe haute pression</t>
        </is>
      </c>
      <c r="E2082" s="8" t="inlineStr">
        <is>
          <t>Moteur</t>
        </is>
      </c>
      <c r="F2082" s="8" t="inlineStr">
        <is>
          <t>Moteur</t>
        </is>
      </c>
      <c r="G2082" s="8" t="inlineStr">
        <is>
          <t>PIECE_VEHICULE</t>
        </is>
      </c>
      <c r="H2082" s="8" t="n">
        <v>1</v>
      </c>
      <c r="I2082" s="8">
        <f>H2082*$D$3</f>
        <v/>
      </c>
      <c r="J2082" s="8" t="inlineStr">
        <is>
          <t>unité</t>
        </is>
      </c>
      <c r="K2082" s="8" t="n">
        <v>0</v>
      </c>
      <c r="L2082" s="8">
        <f>K2082-I2082</f>
        <v/>
      </c>
      <c r="M2082" s="8">
        <f>IF(K2082&lt;I2082,"✕ INSUFFISANT",IF(K2082&lt;I2082*1.2,"⚠ STOCK FAIBLE","✓ COUVERT"))</f>
        <v/>
      </c>
      <c r="N2082" s="8" t="inlineStr">
        <is>
          <t>YZK</t>
        </is>
      </c>
      <c r="O2082" s="8" t="inlineStr">
        <is>
          <t>CRITIQUE</t>
        </is>
      </c>
      <c r="P2082" s="8" t="inlineStr">
        <is>
          <t>31/08/2026 02:59</t>
        </is>
      </c>
    </row>
    <row r="2083">
      <c r="A2083" s="7" t="inlineStr">
        <is>
          <t>WHAP 8x8</t>
        </is>
      </c>
      <c r="B2083" s="7" t="inlineStr">
        <is>
          <t>WHAP-2079</t>
        </is>
      </c>
      <c r="C2083" s="7" t="inlineStr">
        <is>
          <t>MOT-2079</t>
        </is>
      </c>
      <c r="D2083" s="7" t="inlineStr">
        <is>
          <t>fixation de pompe haute pression</t>
        </is>
      </c>
      <c r="E2083" s="7" t="inlineStr">
        <is>
          <t>Moteur</t>
        </is>
      </c>
      <c r="F2083" s="7" t="inlineStr">
        <is>
          <t>Moteur</t>
        </is>
      </c>
      <c r="G2083" s="7" t="inlineStr">
        <is>
          <t>PIECE_VEHICULE</t>
        </is>
      </c>
      <c r="H2083" s="7" t="n">
        <v>1</v>
      </c>
      <c r="I2083" s="7">
        <f>H2083*$D$3</f>
        <v/>
      </c>
      <c r="J2083" s="7" t="inlineStr">
        <is>
          <t>unité</t>
        </is>
      </c>
      <c r="K2083" s="7" t="n">
        <v>0</v>
      </c>
      <c r="L2083" s="7">
        <f>K2083-I2083</f>
        <v/>
      </c>
      <c r="M2083" s="7">
        <f>IF(K2083&lt;I2083,"✕ INSUFFISANT",IF(K2083&lt;I2083*1.2,"⚠ STOCK FAIBLE","✓ COUVERT"))</f>
        <v/>
      </c>
      <c r="N2083" s="7" t="inlineStr">
        <is>
          <t>BOS</t>
        </is>
      </c>
      <c r="O2083" s="7" t="inlineStr">
        <is>
          <t>CRITIQUE</t>
        </is>
      </c>
      <c r="P2083" s="7" t="inlineStr">
        <is>
          <t>31/08/2026 02:59</t>
        </is>
      </c>
    </row>
    <row r="2084">
      <c r="A2084" s="8" t="inlineStr">
        <is>
          <t>WHAP 8x8</t>
        </is>
      </c>
      <c r="B2084" s="8" t="inlineStr">
        <is>
          <t>WHAP-2080</t>
        </is>
      </c>
      <c r="C2084" s="8" t="inlineStr">
        <is>
          <t>MOT-2080</t>
        </is>
      </c>
      <c r="D2084" s="8" t="inlineStr">
        <is>
          <t>protection de pompe haute pression</t>
        </is>
      </c>
      <c r="E2084" s="8" t="inlineStr">
        <is>
          <t>Moteur</t>
        </is>
      </c>
      <c r="F2084" s="8" t="inlineStr">
        <is>
          <t>Moteur</t>
        </is>
      </c>
      <c r="G2084" s="8" t="inlineStr">
        <is>
          <t>PIECE_VEHICULE</t>
        </is>
      </c>
      <c r="H2084" s="8" t="n">
        <v>1</v>
      </c>
      <c r="I2084" s="8">
        <f>H2084*$D$3</f>
        <v/>
      </c>
      <c r="J2084" s="8" t="inlineStr">
        <is>
          <t>unité</t>
        </is>
      </c>
      <c r="K2084" s="8" t="n">
        <v>0</v>
      </c>
      <c r="L2084" s="8">
        <f>K2084-I2084</f>
        <v/>
      </c>
      <c r="M2084" s="8">
        <f>IF(K2084&lt;I2084,"✕ INSUFFISANT",IF(K2084&lt;I2084*1.2,"⚠ STOCK FAIBLE","✓ COUVERT"))</f>
        <v/>
      </c>
      <c r="N2084" s="8" t="inlineStr">
        <is>
          <t>YZK</t>
        </is>
      </c>
      <c r="O2084" s="8" t="inlineStr">
        <is>
          <t>CRITIQUE</t>
        </is>
      </c>
      <c r="P2084" s="8" t="inlineStr">
        <is>
          <t>31/08/2026 02:59</t>
        </is>
      </c>
    </row>
    <row r="2085">
      <c r="A2085" s="7" t="inlineStr">
        <is>
          <t>WHAP 8x8</t>
        </is>
      </c>
      <c r="B2085" s="7" t="inlineStr">
        <is>
          <t>WHAP-2081</t>
        </is>
      </c>
      <c r="C2085" s="7" t="inlineStr">
        <is>
          <t>MOT-2081</t>
        </is>
      </c>
      <c r="D2085" s="7" t="inlineStr">
        <is>
          <t>capteur de pompe haute pression</t>
        </is>
      </c>
      <c r="E2085" s="7" t="inlineStr">
        <is>
          <t>Moteur</t>
        </is>
      </c>
      <c r="F2085" s="7" t="inlineStr">
        <is>
          <t>Moteur</t>
        </is>
      </c>
      <c r="G2085" s="7" t="inlineStr">
        <is>
          <t>PIECE_VEHICULE</t>
        </is>
      </c>
      <c r="H2085" s="7" t="n">
        <v>1</v>
      </c>
      <c r="I2085" s="7">
        <f>H2085*$D$3</f>
        <v/>
      </c>
      <c r="J2085" s="7" t="inlineStr">
        <is>
          <t>unité</t>
        </is>
      </c>
      <c r="K2085" s="7" t="n">
        <v>0</v>
      </c>
      <c r="L2085" s="7">
        <f>K2085-I2085</f>
        <v/>
      </c>
      <c r="M2085" s="7">
        <f>IF(K2085&lt;I2085,"✕ INSUFFISANT",IF(K2085&lt;I2085*1.2,"⚠ STOCK FAIBLE","✓ COUVERT"))</f>
        <v/>
      </c>
      <c r="N2085" s="7" t="inlineStr">
        <is>
          <t>MAG</t>
        </is>
      </c>
      <c r="O2085" s="7" t="inlineStr">
        <is>
          <t>CRITIQUE</t>
        </is>
      </c>
      <c r="P2085" s="7" t="inlineStr">
        <is>
          <t>31/08/2026 02:59</t>
        </is>
      </c>
    </row>
    <row r="2086">
      <c r="A2086" s="8" t="inlineStr">
        <is>
          <t>WHAP 8x8</t>
        </is>
      </c>
      <c r="B2086" s="8" t="inlineStr">
        <is>
          <t>WHAP-2082</t>
        </is>
      </c>
      <c r="C2086" s="8" t="inlineStr">
        <is>
          <t>MOT-2082</t>
        </is>
      </c>
      <c r="D2086" s="8" t="inlineStr">
        <is>
          <t>actionneur de pompe haute pression</t>
        </is>
      </c>
      <c r="E2086" s="8" t="inlineStr">
        <is>
          <t>Moteur</t>
        </is>
      </c>
      <c r="F2086" s="8" t="inlineStr">
        <is>
          <t>Moteur</t>
        </is>
      </c>
      <c r="G2086" s="8" t="inlineStr">
        <is>
          <t>PIECE_VEHICULE</t>
        </is>
      </c>
      <c r="H2086" s="8" t="n">
        <v>1</v>
      </c>
      <c r="I2086" s="8">
        <f>H2086*$D$3</f>
        <v/>
      </c>
      <c r="J2086" s="8" t="inlineStr">
        <is>
          <t>unité</t>
        </is>
      </c>
      <c r="K2086" s="8" t="n">
        <v>0</v>
      </c>
      <c r="L2086" s="8">
        <f>K2086-I2086</f>
        <v/>
      </c>
      <c r="M2086" s="8">
        <f>IF(K2086&lt;I2086,"✕ INSUFFISANT",IF(K2086&lt;I2086*1.2,"⚠ STOCK FAIBLE","✓ COUVERT"))</f>
        <v/>
      </c>
      <c r="N2086" s="8" t="inlineStr">
        <is>
          <t>CTL</t>
        </is>
      </c>
      <c r="O2086" s="8" t="inlineStr">
        <is>
          <t>CRITIQUE</t>
        </is>
      </c>
      <c r="P2086" s="8" t="inlineStr">
        <is>
          <t>31/08/2026 02:59</t>
        </is>
      </c>
    </row>
    <row r="2087">
      <c r="A2087" s="7" t="inlineStr">
        <is>
          <t>WHAP 8x8</t>
        </is>
      </c>
      <c r="B2087" s="7" t="inlineStr">
        <is>
          <t>WHAP-2083</t>
        </is>
      </c>
      <c r="C2087" s="7" t="inlineStr">
        <is>
          <t>MOT-2083</t>
        </is>
      </c>
      <c r="D2087" s="7" t="inlineStr">
        <is>
          <t>raccord de pompe haute pression</t>
        </is>
      </c>
      <c r="E2087" s="7" t="inlineStr">
        <is>
          <t>Moteur</t>
        </is>
      </c>
      <c r="F2087" s="7" t="inlineStr">
        <is>
          <t>Moteur</t>
        </is>
      </c>
      <c r="G2087" s="7" t="inlineStr">
        <is>
          <t>PIECE_VEHICULE</t>
        </is>
      </c>
      <c r="H2087" s="7" t="n">
        <v>1</v>
      </c>
      <c r="I2087" s="7">
        <f>H2087*$D$3</f>
        <v/>
      </c>
      <c r="J2087" s="7" t="inlineStr">
        <is>
          <t>unité</t>
        </is>
      </c>
      <c r="K2087" s="7" t="n">
        <v>0</v>
      </c>
      <c r="L2087" s="7">
        <f>K2087-I2087</f>
        <v/>
      </c>
      <c r="M2087" s="7">
        <f>IF(K2087&lt;I2087,"✕ INSUFFISANT",IF(K2087&lt;I2087*1.2,"⚠ STOCK FAIBLE","✓ COUVERT"))</f>
        <v/>
      </c>
      <c r="N2087" s="7" t="inlineStr">
        <is>
          <t>YZK</t>
        </is>
      </c>
      <c r="O2087" s="7" t="inlineStr">
        <is>
          <t>CRITIQUE</t>
        </is>
      </c>
      <c r="P2087" s="7" t="inlineStr">
        <is>
          <t>31/08/2026 02:59</t>
        </is>
      </c>
    </row>
    <row r="2088">
      <c r="A2088" s="8" t="inlineStr">
        <is>
          <t>WHAP 8x8</t>
        </is>
      </c>
      <c r="B2088" s="8" t="inlineStr">
        <is>
          <t>WHAP-2084</t>
        </is>
      </c>
      <c r="C2088" s="8" t="inlineStr">
        <is>
          <t>MOT-2084</t>
        </is>
      </c>
      <c r="D2088" s="8" t="inlineStr">
        <is>
          <t>plaque de pompe haute pression</t>
        </is>
      </c>
      <c r="E2088" s="8" t="inlineStr">
        <is>
          <t>Moteur</t>
        </is>
      </c>
      <c r="F2088" s="8" t="inlineStr">
        <is>
          <t>Moteur</t>
        </is>
      </c>
      <c r="G2088" s="8" t="inlineStr">
        <is>
          <t>PIECE_VEHICULE</t>
        </is>
      </c>
      <c r="H2088" s="8" t="n">
        <v>1</v>
      </c>
      <c r="I2088" s="8">
        <f>H2088*$D$3</f>
        <v/>
      </c>
      <c r="J2088" s="8" t="inlineStr">
        <is>
          <t>unité</t>
        </is>
      </c>
      <c r="K2088" s="8" t="n">
        <v>0</v>
      </c>
      <c r="L2088" s="8">
        <f>K2088-I2088</f>
        <v/>
      </c>
      <c r="M2088" s="8">
        <f>IF(K2088&lt;I2088,"✕ INSUFFISANT",IF(K2088&lt;I2088*1.2,"⚠ STOCK FAIBLE","✓ COUVERT"))</f>
        <v/>
      </c>
      <c r="N2088" s="8" t="inlineStr">
        <is>
          <t>DEL</t>
        </is>
      </c>
      <c r="O2088" s="8" t="inlineStr">
        <is>
          <t>CRITIQUE</t>
        </is>
      </c>
      <c r="P2088" s="8" t="inlineStr">
        <is>
          <t>31/08/2026 02:59</t>
        </is>
      </c>
    </row>
    <row r="2089">
      <c r="A2089" s="7" t="inlineStr">
        <is>
          <t>WHAP 8x8</t>
        </is>
      </c>
      <c r="B2089" s="7" t="inlineStr">
        <is>
          <t>WHAP-2085</t>
        </is>
      </c>
      <c r="C2089" s="7" t="inlineStr">
        <is>
          <t>MOT-2085</t>
        </is>
      </c>
      <c r="D2089" s="7" t="inlineStr">
        <is>
          <t>couvercle de pompe haute pression</t>
        </is>
      </c>
      <c r="E2089" s="7" t="inlineStr">
        <is>
          <t>Moteur</t>
        </is>
      </c>
      <c r="F2089" s="7" t="inlineStr">
        <is>
          <t>Moteur</t>
        </is>
      </c>
      <c r="G2089" s="7" t="inlineStr">
        <is>
          <t>PIECE_VEHICULE</t>
        </is>
      </c>
      <c r="H2089" s="7" t="n">
        <v>1</v>
      </c>
      <c r="I2089" s="7">
        <f>H2089*$D$3</f>
        <v/>
      </c>
      <c r="J2089" s="7" t="inlineStr">
        <is>
          <t>unité</t>
        </is>
      </c>
      <c r="K2089" s="7" t="n">
        <v>0</v>
      </c>
      <c r="L2089" s="7">
        <f>K2089-I2089</f>
        <v/>
      </c>
      <c r="M2089" s="7">
        <f>IF(K2089&lt;I2089,"✕ INSUFFISANT",IF(K2089&lt;I2089*1.2,"⚠ STOCK FAIBLE","✓ COUVERT"))</f>
        <v/>
      </c>
      <c r="N2089" s="7" t="inlineStr">
        <is>
          <t>BOS</t>
        </is>
      </c>
      <c r="O2089" s="7" t="inlineStr">
        <is>
          <t>CRITIQUE</t>
        </is>
      </c>
      <c r="P2089" s="7" t="inlineStr">
        <is>
          <t>31/08/2026 02:59</t>
        </is>
      </c>
    </row>
    <row r="2090">
      <c r="A2090" s="8" t="inlineStr">
        <is>
          <t>WHAP 8x8</t>
        </is>
      </c>
      <c r="B2090" s="8" t="inlineStr">
        <is>
          <t>WHAP-2086</t>
        </is>
      </c>
      <c r="C2090" s="8" t="inlineStr">
        <is>
          <t>MOT-2086</t>
        </is>
      </c>
      <c r="D2090" s="8" t="inlineStr">
        <is>
          <t>bague de pompe haute pression</t>
        </is>
      </c>
      <c r="E2090" s="8" t="inlineStr">
        <is>
          <t>Moteur</t>
        </is>
      </c>
      <c r="F2090" s="8" t="inlineStr">
        <is>
          <t>Moteur</t>
        </is>
      </c>
      <c r="G2090" s="8" t="inlineStr">
        <is>
          <t>PIECE_VEHICULE</t>
        </is>
      </c>
      <c r="H2090" s="8" t="n">
        <v>1</v>
      </c>
      <c r="I2090" s="8">
        <f>H2090*$D$3</f>
        <v/>
      </c>
      <c r="J2090" s="8" t="inlineStr">
        <is>
          <t>unité</t>
        </is>
      </c>
      <c r="K2090" s="8" t="n">
        <v>0</v>
      </c>
      <c r="L2090" s="8">
        <f>K2090-I2090</f>
        <v/>
      </c>
      <c r="M2090" s="8">
        <f>IF(K2090&lt;I2090,"✕ INSUFFISANT",IF(K2090&lt;I2090*1.2,"⚠ STOCK FAIBLE","✓ COUVERT"))</f>
        <v/>
      </c>
      <c r="N2090" s="8" t="inlineStr">
        <is>
          <t>SKF</t>
        </is>
      </c>
      <c r="O2090" s="8" t="inlineStr">
        <is>
          <t>CRITIQUE</t>
        </is>
      </c>
      <c r="P2090" s="8" t="inlineStr">
        <is>
          <t>31/08/2026 02:59</t>
        </is>
      </c>
    </row>
    <row r="2091">
      <c r="A2091" s="7" t="inlineStr">
        <is>
          <t>WHAP 8x8</t>
        </is>
      </c>
      <c r="B2091" s="7" t="inlineStr">
        <is>
          <t>WHAP-2087</t>
        </is>
      </c>
      <c r="C2091" s="7" t="inlineStr">
        <is>
          <t>MOT-2087</t>
        </is>
      </c>
      <c r="D2091" s="7" t="inlineStr">
        <is>
          <t>entretoise de pompe haute pression</t>
        </is>
      </c>
      <c r="E2091" s="7" t="inlineStr">
        <is>
          <t>Moteur</t>
        </is>
      </c>
      <c r="F2091" s="7" t="inlineStr">
        <is>
          <t>Moteur</t>
        </is>
      </c>
      <c r="G2091" s="7" t="inlineStr">
        <is>
          <t>PIECE_VEHICULE</t>
        </is>
      </c>
      <c r="H2091" s="7" t="n">
        <v>1</v>
      </c>
      <c r="I2091" s="7">
        <f>H2091*$D$3</f>
        <v/>
      </c>
      <c r="J2091" s="7" t="inlineStr">
        <is>
          <t>unité</t>
        </is>
      </c>
      <c r="K2091" s="7" t="n">
        <v>0</v>
      </c>
      <c r="L2091" s="7">
        <f>K2091-I2091</f>
        <v/>
      </c>
      <c r="M2091" s="7">
        <f>IF(K2091&lt;I2091,"✕ INSUFFISANT",IF(K2091&lt;I2091*1.2,"⚠ STOCK FAIBLE","✓ COUVERT"))</f>
        <v/>
      </c>
      <c r="N2091" s="7" t="inlineStr">
        <is>
          <t>YZK</t>
        </is>
      </c>
      <c r="O2091" s="7" t="inlineStr">
        <is>
          <t>CRITIQUE</t>
        </is>
      </c>
      <c r="P2091" s="7" t="inlineStr">
        <is>
          <t>31/08/2026 02:59</t>
        </is>
      </c>
    </row>
    <row r="2092">
      <c r="A2092" s="8" t="inlineStr">
        <is>
          <t>WHAP 8x8</t>
        </is>
      </c>
      <c r="B2092" s="8" t="inlineStr">
        <is>
          <t>WHAP-2088</t>
        </is>
      </c>
      <c r="C2092" s="8" t="inlineStr">
        <is>
          <t>MOT-2088</t>
        </is>
      </c>
      <c r="D2092" s="8" t="inlineStr">
        <is>
          <t>axe de pompe haute pression</t>
        </is>
      </c>
      <c r="E2092" s="8" t="inlineStr">
        <is>
          <t>Moteur</t>
        </is>
      </c>
      <c r="F2092" s="8" t="inlineStr">
        <is>
          <t>Moteur</t>
        </is>
      </c>
      <c r="G2092" s="8" t="inlineStr">
        <is>
          <t>PIECE_VEHICULE</t>
        </is>
      </c>
      <c r="H2092" s="8" t="n">
        <v>1</v>
      </c>
      <c r="I2092" s="8">
        <f>H2092*$D$3</f>
        <v/>
      </c>
      <c r="J2092" s="8" t="inlineStr">
        <is>
          <t>unité</t>
        </is>
      </c>
      <c r="K2092" s="8" t="n">
        <v>0</v>
      </c>
      <c r="L2092" s="8">
        <f>K2092-I2092</f>
        <v/>
      </c>
      <c r="M2092" s="8">
        <f>IF(K2092&lt;I2092,"✕ INSUFFISANT",IF(K2092&lt;I2092*1.2,"⚠ STOCK FAIBLE","✓ COUVERT"))</f>
        <v/>
      </c>
      <c r="N2092" s="8" t="inlineStr">
        <is>
          <t>HEL</t>
        </is>
      </c>
      <c r="O2092" s="8" t="inlineStr">
        <is>
          <t>CRITIQUE</t>
        </is>
      </c>
      <c r="P2092" s="8" t="inlineStr">
        <is>
          <t>31/08/2026 02:59</t>
        </is>
      </c>
    </row>
    <row r="2093">
      <c r="A2093" s="7" t="inlineStr">
        <is>
          <t>WHAP 8x8</t>
        </is>
      </c>
      <c r="B2093" s="7" t="inlineStr">
        <is>
          <t>WHAP-2089</t>
        </is>
      </c>
      <c r="C2093" s="7" t="inlineStr">
        <is>
          <t>MOT-2089</t>
        </is>
      </c>
      <c r="D2093" s="7" t="inlineStr">
        <is>
          <t>poulie de pompe haute pression</t>
        </is>
      </c>
      <c r="E2093" s="7" t="inlineStr">
        <is>
          <t>Moteur</t>
        </is>
      </c>
      <c r="F2093" s="7" t="inlineStr">
        <is>
          <t>Moteur</t>
        </is>
      </c>
      <c r="G2093" s="7" t="inlineStr">
        <is>
          <t>PIECE_VEHICULE</t>
        </is>
      </c>
      <c r="H2093" s="7" t="n">
        <v>1</v>
      </c>
      <c r="I2093" s="7">
        <f>H2093*$D$3</f>
        <v/>
      </c>
      <c r="J2093" s="7" t="inlineStr">
        <is>
          <t>unité</t>
        </is>
      </c>
      <c r="K2093" s="7" t="n">
        <v>0</v>
      </c>
      <c r="L2093" s="7">
        <f>K2093-I2093</f>
        <v/>
      </c>
      <c r="M2093" s="7">
        <f>IF(K2093&lt;I2093,"✕ INSUFFISANT",IF(K2093&lt;I2093*1.2,"⚠ STOCK FAIBLE","✓ COUVERT"))</f>
        <v/>
      </c>
      <c r="N2093" s="7" t="inlineStr">
        <is>
          <t>VAL</t>
        </is>
      </c>
      <c r="O2093" s="7" t="inlineStr">
        <is>
          <t>CRITIQUE</t>
        </is>
      </c>
      <c r="P2093" s="7" t="inlineStr">
        <is>
          <t>31/08/2026 02:59</t>
        </is>
      </c>
    </row>
    <row r="2094">
      <c r="A2094" s="8" t="inlineStr">
        <is>
          <t>WHAP 8x8</t>
        </is>
      </c>
      <c r="B2094" s="8" t="inlineStr">
        <is>
          <t>WHAP-2090</t>
        </is>
      </c>
      <c r="C2094" s="8" t="inlineStr">
        <is>
          <t>MOT-2090</t>
        </is>
      </c>
      <c r="D2094" s="8" t="inlineStr">
        <is>
          <t>pignon de pompe haute pression</t>
        </is>
      </c>
      <c r="E2094" s="8" t="inlineStr">
        <is>
          <t>Moteur</t>
        </is>
      </c>
      <c r="F2094" s="8" t="inlineStr">
        <is>
          <t>Moteur</t>
        </is>
      </c>
      <c r="G2094" s="8" t="inlineStr">
        <is>
          <t>PIECE_VEHICULE</t>
        </is>
      </c>
      <c r="H2094" s="8" t="n">
        <v>1</v>
      </c>
      <c r="I2094" s="8">
        <f>H2094*$D$3</f>
        <v/>
      </c>
      <c r="J2094" s="8" t="inlineStr">
        <is>
          <t>unité</t>
        </is>
      </c>
      <c r="K2094" s="8" t="n">
        <v>0</v>
      </c>
      <c r="L2094" s="8">
        <f>K2094-I2094</f>
        <v/>
      </c>
      <c r="M2094" s="8">
        <f>IF(K2094&lt;I2094,"✕ INSUFFISANT",IF(K2094&lt;I2094*1.2,"⚠ STOCK FAIBLE","✓ COUVERT"))</f>
        <v/>
      </c>
      <c r="N2094" s="8" t="inlineStr">
        <is>
          <t>CTL</t>
        </is>
      </c>
      <c r="O2094" s="8" t="inlineStr">
        <is>
          <t>CRITIQUE</t>
        </is>
      </c>
      <c r="P2094" s="8" t="inlineStr">
        <is>
          <t>31/08/2026 02:59</t>
        </is>
      </c>
    </row>
    <row r="2095">
      <c r="A2095" s="7" t="inlineStr">
        <is>
          <t>WHAP 8x8</t>
        </is>
      </c>
      <c r="B2095" s="7" t="inlineStr">
        <is>
          <t>WHAP-2091</t>
        </is>
      </c>
      <c r="C2095" s="7" t="inlineStr">
        <is>
          <t>MOT-2091</t>
        </is>
      </c>
      <c r="D2095" s="7" t="inlineStr">
        <is>
          <t>ensemble de pompe à carburant</t>
        </is>
      </c>
      <c r="E2095" s="7" t="inlineStr">
        <is>
          <t>Moteur</t>
        </is>
      </c>
      <c r="F2095" s="7" t="inlineStr">
        <is>
          <t>Moteur</t>
        </is>
      </c>
      <c r="G2095" s="7" t="inlineStr">
        <is>
          <t>PIECE_VEHICULE</t>
        </is>
      </c>
      <c r="H2095" s="7" t="n">
        <v>1</v>
      </c>
      <c r="I2095" s="7">
        <f>H2095*$D$3</f>
        <v/>
      </c>
      <c r="J2095" s="7" t="inlineStr">
        <is>
          <t>unité</t>
        </is>
      </c>
      <c r="K2095" s="7" t="n">
        <v>0</v>
      </c>
      <c r="L2095" s="7">
        <f>K2095-I2095</f>
        <v/>
      </c>
      <c r="M2095" s="7">
        <f>IF(K2095&lt;I2095,"✕ INSUFFISANT",IF(K2095&lt;I2095*1.2,"⚠ STOCK FAIBLE","✓ COUVERT"))</f>
        <v/>
      </c>
      <c r="N2095" s="7" t="inlineStr">
        <is>
          <t>SUM</t>
        </is>
      </c>
      <c r="O2095" s="7" t="inlineStr">
        <is>
          <t>CRITIQUE</t>
        </is>
      </c>
      <c r="P2095" s="7" t="inlineStr">
        <is>
          <t>31/08/2026 02:59</t>
        </is>
      </c>
    </row>
    <row r="2096">
      <c r="A2096" s="8" t="inlineStr">
        <is>
          <t>WHAP 8x8</t>
        </is>
      </c>
      <c r="B2096" s="8" t="inlineStr">
        <is>
          <t>WHAP-2092</t>
        </is>
      </c>
      <c r="C2096" s="8" t="inlineStr">
        <is>
          <t>MOT-2092</t>
        </is>
      </c>
      <c r="D2096" s="8" t="inlineStr">
        <is>
          <t>kit de pompe à carburant</t>
        </is>
      </c>
      <c r="E2096" s="8" t="inlineStr">
        <is>
          <t>Moteur</t>
        </is>
      </c>
      <c r="F2096" s="8" t="inlineStr">
        <is>
          <t>Moteur</t>
        </is>
      </c>
      <c r="G2096" s="8" t="inlineStr">
        <is>
          <t>PIECE_VEHICULE</t>
        </is>
      </c>
      <c r="H2096" s="8" t="n">
        <v>1</v>
      </c>
      <c r="I2096" s="8">
        <f>H2096*$D$3</f>
        <v/>
      </c>
      <c r="J2096" s="8" t="inlineStr">
        <is>
          <t>unité</t>
        </is>
      </c>
      <c r="K2096" s="8" t="n">
        <v>0</v>
      </c>
      <c r="L2096" s="8">
        <f>K2096-I2096</f>
        <v/>
      </c>
      <c r="M2096" s="8">
        <f>IF(K2096&lt;I2096,"✕ INSUFFISANT",IF(K2096&lt;I2096*1.2,"⚠ STOCK FAIBLE","✓ COUVERT"))</f>
        <v/>
      </c>
      <c r="N2096" s="8" t="inlineStr">
        <is>
          <t>YZK</t>
        </is>
      </c>
      <c r="O2096" s="8" t="inlineStr">
        <is>
          <t>CRITIQUE</t>
        </is>
      </c>
      <c r="P2096" s="8" t="inlineStr">
        <is>
          <t>31/08/2026 02:59</t>
        </is>
      </c>
    </row>
    <row r="2097">
      <c r="A2097" s="7" t="inlineStr">
        <is>
          <t>WHAP 8x8</t>
        </is>
      </c>
      <c r="B2097" s="7" t="inlineStr">
        <is>
          <t>WHAP-2093</t>
        </is>
      </c>
      <c r="C2097" s="7" t="inlineStr">
        <is>
          <t>MOT-2093</t>
        </is>
      </c>
      <c r="D2097" s="7" t="inlineStr">
        <is>
          <t>support de pompe à carburant</t>
        </is>
      </c>
      <c r="E2097" s="7" t="inlineStr">
        <is>
          <t>Moteur</t>
        </is>
      </c>
      <c r="F2097" s="7" t="inlineStr">
        <is>
          <t>Moteur</t>
        </is>
      </c>
      <c r="G2097" s="7" t="inlineStr">
        <is>
          <t>PIECE_VEHICULE</t>
        </is>
      </c>
      <c r="H2097" s="7" t="n">
        <v>1</v>
      </c>
      <c r="I2097" s="7">
        <f>H2097*$D$3</f>
        <v/>
      </c>
      <c r="J2097" s="7" t="inlineStr">
        <is>
          <t>unité</t>
        </is>
      </c>
      <c r="K2097" s="7" t="n">
        <v>0</v>
      </c>
      <c r="L2097" s="7">
        <f>K2097-I2097</f>
        <v/>
      </c>
      <c r="M2097" s="7">
        <f>IF(K2097&lt;I2097,"✕ INSUFFISANT",IF(K2097&lt;I2097*1.2,"⚠ STOCK FAIBLE","✓ COUVERT"))</f>
        <v/>
      </c>
      <c r="N2097" s="7" t="inlineStr">
        <is>
          <t>BOS</t>
        </is>
      </c>
      <c r="O2097" s="7" t="inlineStr">
        <is>
          <t>CRITIQUE</t>
        </is>
      </c>
      <c r="P2097" s="7" t="inlineStr">
        <is>
          <t>31/08/2026 02:59</t>
        </is>
      </c>
    </row>
    <row r="2098">
      <c r="A2098" s="8" t="inlineStr">
        <is>
          <t>WHAP 8x8</t>
        </is>
      </c>
      <c r="B2098" s="8" t="inlineStr">
        <is>
          <t>WHAP-2094</t>
        </is>
      </c>
      <c r="C2098" s="8" t="inlineStr">
        <is>
          <t>MOT-2094</t>
        </is>
      </c>
      <c r="D2098" s="8" t="inlineStr">
        <is>
          <t>boîtier de pompe à carburant</t>
        </is>
      </c>
      <c r="E2098" s="8" t="inlineStr">
        <is>
          <t>Moteur</t>
        </is>
      </c>
      <c r="F2098" s="8" t="inlineStr">
        <is>
          <t>Moteur</t>
        </is>
      </c>
      <c r="G2098" s="8" t="inlineStr">
        <is>
          <t>PIECE_VEHICULE</t>
        </is>
      </c>
      <c r="H2098" s="8" t="n">
        <v>1</v>
      </c>
      <c r="I2098" s="8">
        <f>H2098*$D$3</f>
        <v/>
      </c>
      <c r="J2098" s="8" t="inlineStr">
        <is>
          <t>unité</t>
        </is>
      </c>
      <c r="K2098" s="8" t="n">
        <v>0</v>
      </c>
      <c r="L2098" s="8">
        <f>K2098-I2098</f>
        <v/>
      </c>
      <c r="M2098" s="8">
        <f>IF(K2098&lt;I2098,"✕ INSUFFISANT",IF(K2098&lt;I2098*1.2,"⚠ STOCK FAIBLE","✓ COUVERT"))</f>
        <v/>
      </c>
      <c r="N2098" s="8" t="inlineStr">
        <is>
          <t>DEL</t>
        </is>
      </c>
      <c r="O2098" s="8" t="inlineStr">
        <is>
          <t>CRITIQUE</t>
        </is>
      </c>
      <c r="P2098" s="8" t="inlineStr">
        <is>
          <t>31/08/2026 02:59</t>
        </is>
      </c>
    </row>
    <row r="2099">
      <c r="A2099" s="7" t="inlineStr">
        <is>
          <t>WHAP 8x8</t>
        </is>
      </c>
      <c r="B2099" s="7" t="inlineStr">
        <is>
          <t>WHAP-2095</t>
        </is>
      </c>
      <c r="C2099" s="7" t="inlineStr">
        <is>
          <t>MOT-2095</t>
        </is>
      </c>
      <c r="D2099" s="7" t="inlineStr">
        <is>
          <t>module de pompe à carburant</t>
        </is>
      </c>
      <c r="E2099" s="7" t="inlineStr">
        <is>
          <t>Moteur</t>
        </is>
      </c>
      <c r="F2099" s="7" t="inlineStr">
        <is>
          <t>Moteur</t>
        </is>
      </c>
      <c r="G2099" s="7" t="inlineStr">
        <is>
          <t>PIECE_VEHICULE</t>
        </is>
      </c>
      <c r="H2099" s="7" t="n">
        <v>1</v>
      </c>
      <c r="I2099" s="7">
        <f>H2099*$D$3</f>
        <v/>
      </c>
      <c r="J2099" s="7" t="inlineStr">
        <is>
          <t>unité</t>
        </is>
      </c>
      <c r="K2099" s="7" t="n">
        <v>0</v>
      </c>
      <c r="L2099" s="7">
        <f>K2099-I2099</f>
        <v/>
      </c>
      <c r="M2099" s="7">
        <f>IF(K2099&lt;I2099,"✕ INSUFFISANT",IF(K2099&lt;I2099*1.2,"⚠ STOCK FAIBLE","✓ COUVERT"))</f>
        <v/>
      </c>
      <c r="N2099" s="7" t="inlineStr">
        <is>
          <t>FAU</t>
        </is>
      </c>
      <c r="O2099" s="7" t="inlineStr">
        <is>
          <t>CRITIQUE</t>
        </is>
      </c>
      <c r="P2099" s="7" t="inlineStr">
        <is>
          <t>31/08/2026 02:59</t>
        </is>
      </c>
    </row>
    <row r="2100">
      <c r="A2100" s="8" t="inlineStr">
        <is>
          <t>WHAP 8x8</t>
        </is>
      </c>
      <c r="B2100" s="8" t="inlineStr">
        <is>
          <t>WHAP-2096</t>
        </is>
      </c>
      <c r="C2100" s="8" t="inlineStr">
        <is>
          <t>MOT-2096</t>
        </is>
      </c>
      <c r="D2100" s="8" t="inlineStr">
        <is>
          <t>câblage de pompe à carburant</t>
        </is>
      </c>
      <c r="E2100" s="8" t="inlineStr">
        <is>
          <t>Moteur</t>
        </is>
      </c>
      <c r="F2100" s="8" t="inlineStr">
        <is>
          <t>Moteur</t>
        </is>
      </c>
      <c r="G2100" s="8" t="inlineStr">
        <is>
          <t>PIECE_VEHICULE</t>
        </is>
      </c>
      <c r="H2100" s="8" t="n">
        <v>1</v>
      </c>
      <c r="I2100" s="8">
        <f>H2100*$D$3</f>
        <v/>
      </c>
      <c r="J2100" s="8" t="inlineStr">
        <is>
          <t>unité</t>
        </is>
      </c>
      <c r="K2100" s="8" t="n">
        <v>0</v>
      </c>
      <c r="L2100" s="8">
        <f>K2100-I2100</f>
        <v/>
      </c>
      <c r="M2100" s="8">
        <f>IF(K2100&lt;I2100,"✕ INSUFFISANT",IF(K2100&lt;I2100*1.2,"⚠ STOCK FAIBLE","✓ COUVERT"))</f>
        <v/>
      </c>
      <c r="N2100" s="8" t="inlineStr">
        <is>
          <t>DEL</t>
        </is>
      </c>
      <c r="O2100" s="8" t="inlineStr">
        <is>
          <t>CRITIQUE</t>
        </is>
      </c>
      <c r="P2100" s="8" t="inlineStr">
        <is>
          <t>31/08/2026 02:59</t>
        </is>
      </c>
    </row>
    <row r="2101">
      <c r="A2101" s="7" t="inlineStr">
        <is>
          <t>WHAP 8x8</t>
        </is>
      </c>
      <c r="B2101" s="7" t="inlineStr">
        <is>
          <t>WHAP-2097</t>
        </is>
      </c>
      <c r="C2101" s="7" t="inlineStr">
        <is>
          <t>MOT-2097</t>
        </is>
      </c>
      <c r="D2101" s="7" t="inlineStr">
        <is>
          <t>connecteur de pompe à carburant</t>
        </is>
      </c>
      <c r="E2101" s="7" t="inlineStr">
        <is>
          <t>Moteur</t>
        </is>
      </c>
      <c r="F2101" s="7" t="inlineStr">
        <is>
          <t>Moteur</t>
        </is>
      </c>
      <c r="G2101" s="7" t="inlineStr">
        <is>
          <t>PIECE_VEHICULE</t>
        </is>
      </c>
      <c r="H2101" s="7" t="n">
        <v>1</v>
      </c>
      <c r="I2101" s="7">
        <f>H2101*$D$3</f>
        <v/>
      </c>
      <c r="J2101" s="7" t="inlineStr">
        <is>
          <t>unité</t>
        </is>
      </c>
      <c r="K2101" s="7" t="n">
        <v>0</v>
      </c>
      <c r="L2101" s="7">
        <f>K2101-I2101</f>
        <v/>
      </c>
      <c r="M2101" s="7">
        <f>IF(K2101&lt;I2101,"✕ INSUFFISANT",IF(K2101&lt;I2101*1.2,"⚠ STOCK FAIBLE","✓ COUVERT"))</f>
        <v/>
      </c>
      <c r="N2101" s="7" t="inlineStr">
        <is>
          <t>BOS</t>
        </is>
      </c>
      <c r="O2101" s="7" t="inlineStr">
        <is>
          <t>CRITIQUE</t>
        </is>
      </c>
      <c r="P2101" s="7" t="inlineStr">
        <is>
          <t>31/08/2026 02:59</t>
        </is>
      </c>
    </row>
    <row r="2102">
      <c r="A2102" s="8" t="inlineStr">
        <is>
          <t>WHAP 8x8</t>
        </is>
      </c>
      <c r="B2102" s="8" t="inlineStr">
        <is>
          <t>WHAP-2098</t>
        </is>
      </c>
      <c r="C2102" s="8" t="inlineStr">
        <is>
          <t>MOT-2098</t>
        </is>
      </c>
      <c r="D2102" s="8" t="inlineStr">
        <is>
          <t>joint de pompe à carburant</t>
        </is>
      </c>
      <c r="E2102" s="8" t="inlineStr">
        <is>
          <t>Moteur</t>
        </is>
      </c>
      <c r="F2102" s="8" t="inlineStr">
        <is>
          <t>Moteur</t>
        </is>
      </c>
      <c r="G2102" s="8" t="inlineStr">
        <is>
          <t>PIECE_VEHICULE</t>
        </is>
      </c>
      <c r="H2102" s="8" t="n">
        <v>1</v>
      </c>
      <c r="I2102" s="8">
        <f>H2102*$D$3</f>
        <v/>
      </c>
      <c r="J2102" s="8" t="inlineStr">
        <is>
          <t>unité</t>
        </is>
      </c>
      <c r="K2102" s="8" t="n">
        <v>0</v>
      </c>
      <c r="L2102" s="8">
        <f>K2102-I2102</f>
        <v/>
      </c>
      <c r="M2102" s="8">
        <f>IF(K2102&lt;I2102,"✕ INSUFFISANT",IF(K2102&lt;I2102*1.2,"⚠ STOCK FAIBLE","✓ COUVERT"))</f>
        <v/>
      </c>
      <c r="N2102" s="8" t="inlineStr">
        <is>
          <t>VAL</t>
        </is>
      </c>
      <c r="O2102" s="8" t="inlineStr">
        <is>
          <t>CRITIQUE</t>
        </is>
      </c>
      <c r="P2102" s="8" t="inlineStr">
        <is>
          <t>31/08/2026 02:59</t>
        </is>
      </c>
    </row>
    <row r="2103">
      <c r="A2103" s="7" t="inlineStr">
        <is>
          <t>WHAP 8x8</t>
        </is>
      </c>
      <c r="B2103" s="7" t="inlineStr">
        <is>
          <t>WHAP-2099</t>
        </is>
      </c>
      <c r="C2103" s="7" t="inlineStr">
        <is>
          <t>MOT-2099</t>
        </is>
      </c>
      <c r="D2103" s="7" t="inlineStr">
        <is>
          <t>fixation de pompe à carburant</t>
        </is>
      </c>
      <c r="E2103" s="7" t="inlineStr">
        <is>
          <t>Moteur</t>
        </is>
      </c>
      <c r="F2103" s="7" t="inlineStr">
        <is>
          <t>Moteur</t>
        </is>
      </c>
      <c r="G2103" s="7" t="inlineStr">
        <is>
          <t>PIECE_VEHICULE</t>
        </is>
      </c>
      <c r="H2103" s="7" t="n">
        <v>1</v>
      </c>
      <c r="I2103" s="7">
        <f>H2103*$D$3</f>
        <v/>
      </c>
      <c r="J2103" s="7" t="inlineStr">
        <is>
          <t>unité</t>
        </is>
      </c>
      <c r="K2103" s="7" t="n">
        <v>0</v>
      </c>
      <c r="L2103" s="7">
        <f>K2103-I2103</f>
        <v/>
      </c>
      <c r="M2103" s="7">
        <f>IF(K2103&lt;I2103,"✕ INSUFFISANT",IF(K2103&lt;I2103*1.2,"⚠ STOCK FAIBLE","✓ COUVERT"))</f>
        <v/>
      </c>
      <c r="N2103" s="7" t="inlineStr">
        <is>
          <t>FAU</t>
        </is>
      </c>
      <c r="O2103" s="7" t="inlineStr">
        <is>
          <t>CRITIQUE</t>
        </is>
      </c>
      <c r="P2103" s="7" t="inlineStr">
        <is>
          <t>31/08/2026 02:59</t>
        </is>
      </c>
    </row>
    <row r="2104">
      <c r="A2104" s="8" t="inlineStr">
        <is>
          <t>WHAP 8x8</t>
        </is>
      </c>
      <c r="B2104" s="8" t="inlineStr">
        <is>
          <t>WHAP-2100</t>
        </is>
      </c>
      <c r="C2104" s="8" t="inlineStr">
        <is>
          <t>MOT-2100</t>
        </is>
      </c>
      <c r="D2104" s="8" t="inlineStr">
        <is>
          <t>protection de pompe à carburant</t>
        </is>
      </c>
      <c r="E2104" s="8" t="inlineStr">
        <is>
          <t>Moteur</t>
        </is>
      </c>
      <c r="F2104" s="8" t="inlineStr">
        <is>
          <t>Moteur</t>
        </is>
      </c>
      <c r="G2104" s="8" t="inlineStr">
        <is>
          <t>PIECE_VEHICULE</t>
        </is>
      </c>
      <c r="H2104" s="8" t="n">
        <v>1</v>
      </c>
      <c r="I2104" s="8">
        <f>H2104*$D$3</f>
        <v/>
      </c>
      <c r="J2104" s="8" t="inlineStr">
        <is>
          <t>unité</t>
        </is>
      </c>
      <c r="K2104" s="8" t="n">
        <v>0</v>
      </c>
      <c r="L2104" s="8">
        <f>K2104-I2104</f>
        <v/>
      </c>
      <c r="M2104" s="8">
        <f>IF(K2104&lt;I2104,"✕ INSUFFISANT",IF(K2104&lt;I2104*1.2,"⚠ STOCK FAIBLE","✓ COUVERT"))</f>
        <v/>
      </c>
      <c r="N2104" s="8" t="inlineStr">
        <is>
          <t>CTL</t>
        </is>
      </c>
      <c r="O2104" s="8" t="inlineStr">
        <is>
          <t>CRITIQUE</t>
        </is>
      </c>
      <c r="P2104" s="8" t="inlineStr">
        <is>
          <t>31/08/2026 02:59</t>
        </is>
      </c>
    </row>
    <row r="2105">
      <c r="A2105" s="7" t="inlineStr">
        <is>
          <t>WHAP 8x8</t>
        </is>
      </c>
      <c r="B2105" s="7" t="inlineStr">
        <is>
          <t>WHAP-2101</t>
        </is>
      </c>
      <c r="C2105" s="7" t="inlineStr">
        <is>
          <t>MOT-2101</t>
        </is>
      </c>
      <c r="D2105" s="7" t="inlineStr">
        <is>
          <t>capteur de pompe à carburant</t>
        </is>
      </c>
      <c r="E2105" s="7" t="inlineStr">
        <is>
          <t>Moteur</t>
        </is>
      </c>
      <c r="F2105" s="7" t="inlineStr">
        <is>
          <t>Moteur</t>
        </is>
      </c>
      <c r="G2105" s="7" t="inlineStr">
        <is>
          <t>PIECE_VEHICULE</t>
        </is>
      </c>
      <c r="H2105" s="7" t="n">
        <v>1</v>
      </c>
      <c r="I2105" s="7">
        <f>H2105*$D$3</f>
        <v/>
      </c>
      <c r="J2105" s="7" t="inlineStr">
        <is>
          <t>unité</t>
        </is>
      </c>
      <c r="K2105" s="7" t="n">
        <v>0</v>
      </c>
      <c r="L2105" s="7">
        <f>K2105-I2105</f>
        <v/>
      </c>
      <c r="M2105" s="7">
        <f>IF(K2105&lt;I2105,"✕ INSUFFISANT",IF(K2105&lt;I2105*1.2,"⚠ STOCK FAIBLE","✓ COUVERT"))</f>
        <v/>
      </c>
      <c r="N2105" s="7" t="inlineStr">
        <is>
          <t>YZK</t>
        </is>
      </c>
      <c r="O2105" s="7" t="inlineStr">
        <is>
          <t>CRITIQUE</t>
        </is>
      </c>
      <c r="P2105" s="7" t="inlineStr">
        <is>
          <t>31/08/2026 02:59</t>
        </is>
      </c>
    </row>
    <row r="2106">
      <c r="A2106" s="8" t="inlineStr">
        <is>
          <t>WHAP 8x8</t>
        </is>
      </c>
      <c r="B2106" s="8" t="inlineStr">
        <is>
          <t>WHAP-2102</t>
        </is>
      </c>
      <c r="C2106" s="8" t="inlineStr">
        <is>
          <t>MOT-2102</t>
        </is>
      </c>
      <c r="D2106" s="8" t="inlineStr">
        <is>
          <t>actionneur de pompe à carburant</t>
        </is>
      </c>
      <c r="E2106" s="8" t="inlineStr">
        <is>
          <t>Moteur</t>
        </is>
      </c>
      <c r="F2106" s="8" t="inlineStr">
        <is>
          <t>Moteur</t>
        </is>
      </c>
      <c r="G2106" s="8" t="inlineStr">
        <is>
          <t>PIECE_VEHICULE</t>
        </is>
      </c>
      <c r="H2106" s="8" t="n">
        <v>1</v>
      </c>
      <c r="I2106" s="8">
        <f>H2106*$D$3</f>
        <v/>
      </c>
      <c r="J2106" s="8" t="inlineStr">
        <is>
          <t>unité</t>
        </is>
      </c>
      <c r="K2106" s="8" t="n">
        <v>0</v>
      </c>
      <c r="L2106" s="8">
        <f>K2106-I2106</f>
        <v/>
      </c>
      <c r="M2106" s="8">
        <f>IF(K2106&lt;I2106,"✕ INSUFFISANT",IF(K2106&lt;I2106*1.2,"⚠ STOCK FAIBLE","✓ COUVERT"))</f>
        <v/>
      </c>
      <c r="N2106" s="8" t="inlineStr">
        <is>
          <t>YZK</t>
        </is>
      </c>
      <c r="O2106" s="8" t="inlineStr">
        <is>
          <t>CRITIQUE</t>
        </is>
      </c>
      <c r="P2106" s="8" t="inlineStr">
        <is>
          <t>31/08/2026 02:59</t>
        </is>
      </c>
    </row>
    <row r="2107">
      <c r="A2107" s="7" t="inlineStr">
        <is>
          <t>WHAP 8x8</t>
        </is>
      </c>
      <c r="B2107" s="7" t="inlineStr">
        <is>
          <t>WHAP-2103</t>
        </is>
      </c>
      <c r="C2107" s="7" t="inlineStr">
        <is>
          <t>MOT-2103</t>
        </is>
      </c>
      <c r="D2107" s="7" t="inlineStr">
        <is>
          <t>raccord de pompe à carburant</t>
        </is>
      </c>
      <c r="E2107" s="7" t="inlineStr">
        <is>
          <t>Moteur</t>
        </is>
      </c>
      <c r="F2107" s="7" t="inlineStr">
        <is>
          <t>Moteur</t>
        </is>
      </c>
      <c r="G2107" s="7" t="inlineStr">
        <is>
          <t>PIECE_VEHICULE</t>
        </is>
      </c>
      <c r="H2107" s="7" t="n">
        <v>1</v>
      </c>
      <c r="I2107" s="7">
        <f>H2107*$D$3</f>
        <v/>
      </c>
      <c r="J2107" s="7" t="inlineStr">
        <is>
          <t>unité</t>
        </is>
      </c>
      <c r="K2107" s="7" t="n">
        <v>0</v>
      </c>
      <c r="L2107" s="7">
        <f>K2107-I2107</f>
        <v/>
      </c>
      <c r="M2107" s="7">
        <f>IF(K2107&lt;I2107,"✕ INSUFFISANT",IF(K2107&lt;I2107*1.2,"⚠ STOCK FAIBLE","✓ COUVERT"))</f>
        <v/>
      </c>
      <c r="N2107" s="7" t="inlineStr">
        <is>
          <t>VAL</t>
        </is>
      </c>
      <c r="O2107" s="7" t="inlineStr">
        <is>
          <t>CRITIQUE</t>
        </is>
      </c>
      <c r="P2107" s="7" t="inlineStr">
        <is>
          <t>31/08/2026 02:59</t>
        </is>
      </c>
    </row>
    <row r="2108">
      <c r="A2108" s="8" t="inlineStr">
        <is>
          <t>WHAP 8x8</t>
        </is>
      </c>
      <c r="B2108" s="8" t="inlineStr">
        <is>
          <t>WHAP-2104</t>
        </is>
      </c>
      <c r="C2108" s="8" t="inlineStr">
        <is>
          <t>MOT-2104</t>
        </is>
      </c>
      <c r="D2108" s="8" t="inlineStr">
        <is>
          <t>plaque de pompe à carburant</t>
        </is>
      </c>
      <c r="E2108" s="8" t="inlineStr">
        <is>
          <t>Moteur</t>
        </is>
      </c>
      <c r="F2108" s="8" t="inlineStr">
        <is>
          <t>Moteur</t>
        </is>
      </c>
      <c r="G2108" s="8" t="inlineStr">
        <is>
          <t>PIECE_VEHICULE</t>
        </is>
      </c>
      <c r="H2108" s="8" t="n">
        <v>1</v>
      </c>
      <c r="I2108" s="8">
        <f>H2108*$D$3</f>
        <v/>
      </c>
      <c r="J2108" s="8" t="inlineStr">
        <is>
          <t>unité</t>
        </is>
      </c>
      <c r="K2108" s="8" t="n">
        <v>0</v>
      </c>
      <c r="L2108" s="8">
        <f>K2108-I2108</f>
        <v/>
      </c>
      <c r="M2108" s="8">
        <f>IF(K2108&lt;I2108,"✕ INSUFFISANT",IF(K2108&lt;I2108*1.2,"⚠ STOCK FAIBLE","✓ COUVERT"))</f>
        <v/>
      </c>
      <c r="N2108" s="8" t="inlineStr">
        <is>
          <t>HEL</t>
        </is>
      </c>
      <c r="O2108" s="8" t="inlineStr">
        <is>
          <t>CRITIQUE</t>
        </is>
      </c>
      <c r="P2108" s="8" t="inlineStr">
        <is>
          <t>31/08/2026 02:59</t>
        </is>
      </c>
    </row>
    <row r="2109">
      <c r="A2109" s="7" t="inlineStr">
        <is>
          <t>WHAP 8x8</t>
        </is>
      </c>
      <c r="B2109" s="7" t="inlineStr">
        <is>
          <t>WHAP-2105</t>
        </is>
      </c>
      <c r="C2109" s="7" t="inlineStr">
        <is>
          <t>MOT-2105</t>
        </is>
      </c>
      <c r="D2109" s="7" t="inlineStr">
        <is>
          <t>couvercle de pompe à carburant</t>
        </is>
      </c>
      <c r="E2109" s="7" t="inlineStr">
        <is>
          <t>Moteur</t>
        </is>
      </c>
      <c r="F2109" s="7" t="inlineStr">
        <is>
          <t>Moteur</t>
        </is>
      </c>
      <c r="G2109" s="7" t="inlineStr">
        <is>
          <t>PIECE_VEHICULE</t>
        </is>
      </c>
      <c r="H2109" s="7" t="n">
        <v>1</v>
      </c>
      <c r="I2109" s="7">
        <f>H2109*$D$3</f>
        <v/>
      </c>
      <c r="J2109" s="7" t="inlineStr">
        <is>
          <t>unité</t>
        </is>
      </c>
      <c r="K2109" s="7" t="n">
        <v>0</v>
      </c>
      <c r="L2109" s="7">
        <f>K2109-I2109</f>
        <v/>
      </c>
      <c r="M2109" s="7">
        <f>IF(K2109&lt;I2109,"✕ INSUFFISANT",IF(K2109&lt;I2109*1.2,"⚠ STOCK FAIBLE","✓ COUVERT"))</f>
        <v/>
      </c>
      <c r="N2109" s="7" t="inlineStr">
        <is>
          <t>FAU</t>
        </is>
      </c>
      <c r="O2109" s="7" t="inlineStr">
        <is>
          <t>CRITIQUE</t>
        </is>
      </c>
      <c r="P2109" s="7" t="inlineStr">
        <is>
          <t>31/08/2026 02:59</t>
        </is>
      </c>
    </row>
    <row r="2110">
      <c r="A2110" s="8" t="inlineStr">
        <is>
          <t>WHAP 8x8</t>
        </is>
      </c>
      <c r="B2110" s="8" t="inlineStr">
        <is>
          <t>WHAP-2106</t>
        </is>
      </c>
      <c r="C2110" s="8" t="inlineStr">
        <is>
          <t>MOT-2106</t>
        </is>
      </c>
      <c r="D2110" s="8" t="inlineStr">
        <is>
          <t>bague de pompe à carburant</t>
        </is>
      </c>
      <c r="E2110" s="8" t="inlineStr">
        <is>
          <t>Moteur</t>
        </is>
      </c>
      <c r="F2110" s="8" t="inlineStr">
        <is>
          <t>Moteur</t>
        </is>
      </c>
      <c r="G2110" s="8" t="inlineStr">
        <is>
          <t>PIECE_VEHICULE</t>
        </is>
      </c>
      <c r="H2110" s="8" t="n">
        <v>1</v>
      </c>
      <c r="I2110" s="8">
        <f>H2110*$D$3</f>
        <v/>
      </c>
      <c r="J2110" s="8" t="inlineStr">
        <is>
          <t>unité</t>
        </is>
      </c>
      <c r="K2110" s="8" t="n">
        <v>0</v>
      </c>
      <c r="L2110" s="8">
        <f>K2110-I2110</f>
        <v/>
      </c>
      <c r="M2110" s="8">
        <f>IF(K2110&lt;I2110,"✕ INSUFFISANT",IF(K2110&lt;I2110*1.2,"⚠ STOCK FAIBLE","✓ COUVERT"))</f>
        <v/>
      </c>
      <c r="N2110" s="8" t="inlineStr">
        <is>
          <t>VAL</t>
        </is>
      </c>
      <c r="O2110" s="8" t="inlineStr">
        <is>
          <t>CRITIQUE</t>
        </is>
      </c>
      <c r="P2110" s="8" t="inlineStr">
        <is>
          <t>31/08/2026 02:59</t>
        </is>
      </c>
    </row>
    <row r="2111">
      <c r="A2111" s="7" t="inlineStr">
        <is>
          <t>WHAP 8x8</t>
        </is>
      </c>
      <c r="B2111" s="7" t="inlineStr">
        <is>
          <t>WHAP-2107</t>
        </is>
      </c>
      <c r="C2111" s="7" t="inlineStr">
        <is>
          <t>MOT-2107</t>
        </is>
      </c>
      <c r="D2111" s="7" t="inlineStr">
        <is>
          <t>entretoise de pompe à carburant</t>
        </is>
      </c>
      <c r="E2111" s="7" t="inlineStr">
        <is>
          <t>Moteur</t>
        </is>
      </c>
      <c r="F2111" s="7" t="inlineStr">
        <is>
          <t>Moteur</t>
        </is>
      </c>
      <c r="G2111" s="7" t="inlineStr">
        <is>
          <t>PIECE_VEHICULE</t>
        </is>
      </c>
      <c r="H2111" s="7" t="n">
        <v>1</v>
      </c>
      <c r="I2111" s="7">
        <f>H2111*$D$3</f>
        <v/>
      </c>
      <c r="J2111" s="7" t="inlineStr">
        <is>
          <t>unité</t>
        </is>
      </c>
      <c r="K2111" s="7" t="n">
        <v>0</v>
      </c>
      <c r="L2111" s="7">
        <f>K2111-I2111</f>
        <v/>
      </c>
      <c r="M2111" s="7">
        <f>IF(K2111&lt;I2111,"✕ INSUFFISANT",IF(K2111&lt;I2111*1.2,"⚠ STOCK FAIBLE","✓ COUVERT"))</f>
        <v/>
      </c>
      <c r="N2111" s="7" t="inlineStr">
        <is>
          <t>BOS</t>
        </is>
      </c>
      <c r="O2111" s="7" t="inlineStr">
        <is>
          <t>CRITIQUE</t>
        </is>
      </c>
      <c r="P2111" s="7" t="inlineStr">
        <is>
          <t>31/08/2026 02:59</t>
        </is>
      </c>
    </row>
    <row r="2112">
      <c r="A2112" s="8" t="inlineStr">
        <is>
          <t>WHAP 8x8</t>
        </is>
      </c>
      <c r="B2112" s="8" t="inlineStr">
        <is>
          <t>WHAP-2108</t>
        </is>
      </c>
      <c r="C2112" s="8" t="inlineStr">
        <is>
          <t>MOT-2108</t>
        </is>
      </c>
      <c r="D2112" s="8" t="inlineStr">
        <is>
          <t>axe de pompe à carburant</t>
        </is>
      </c>
      <c r="E2112" s="8" t="inlineStr">
        <is>
          <t>Moteur</t>
        </is>
      </c>
      <c r="F2112" s="8" t="inlineStr">
        <is>
          <t>Moteur</t>
        </is>
      </c>
      <c r="G2112" s="8" t="inlineStr">
        <is>
          <t>PIECE_VEHICULE</t>
        </is>
      </c>
      <c r="H2112" s="8" t="n">
        <v>1</v>
      </c>
      <c r="I2112" s="8">
        <f>H2112*$D$3</f>
        <v/>
      </c>
      <c r="J2112" s="8" t="inlineStr">
        <is>
          <t>unité</t>
        </is>
      </c>
      <c r="K2112" s="8" t="n">
        <v>0</v>
      </c>
      <c r="L2112" s="8">
        <f>K2112-I2112</f>
        <v/>
      </c>
      <c r="M2112" s="8">
        <f>IF(K2112&lt;I2112,"✕ INSUFFISANT",IF(K2112&lt;I2112*1.2,"⚠ STOCK FAIBLE","✓ COUVERT"))</f>
        <v/>
      </c>
      <c r="N2112" s="8" t="inlineStr">
        <is>
          <t>DEL</t>
        </is>
      </c>
      <c r="O2112" s="8" t="inlineStr">
        <is>
          <t>CRITIQUE</t>
        </is>
      </c>
      <c r="P2112" s="8" t="inlineStr">
        <is>
          <t>31/08/2026 02:59</t>
        </is>
      </c>
    </row>
    <row r="2113">
      <c r="A2113" s="7" t="inlineStr">
        <is>
          <t>WHAP 8x8</t>
        </is>
      </c>
      <c r="B2113" s="7" t="inlineStr">
        <is>
          <t>WHAP-2109</t>
        </is>
      </c>
      <c r="C2113" s="7" t="inlineStr">
        <is>
          <t>MOT-2109</t>
        </is>
      </c>
      <c r="D2113" s="7" t="inlineStr">
        <is>
          <t>poulie de pompe à carburant</t>
        </is>
      </c>
      <c r="E2113" s="7" t="inlineStr">
        <is>
          <t>Moteur</t>
        </is>
      </c>
      <c r="F2113" s="7" t="inlineStr">
        <is>
          <t>Moteur</t>
        </is>
      </c>
      <c r="G2113" s="7" t="inlineStr">
        <is>
          <t>PIECE_VEHICULE</t>
        </is>
      </c>
      <c r="H2113" s="7" t="n">
        <v>1</v>
      </c>
      <c r="I2113" s="7">
        <f>H2113*$D$3</f>
        <v/>
      </c>
      <c r="J2113" s="7" t="inlineStr">
        <is>
          <t>unité</t>
        </is>
      </c>
      <c r="K2113" s="7" t="n">
        <v>0</v>
      </c>
      <c r="L2113" s="7">
        <f>K2113-I2113</f>
        <v/>
      </c>
      <c r="M2113" s="7">
        <f>IF(K2113&lt;I2113,"✕ INSUFFISANT",IF(K2113&lt;I2113*1.2,"⚠ STOCK FAIBLE","✓ COUVERT"))</f>
        <v/>
      </c>
      <c r="N2113" s="7" t="inlineStr">
        <is>
          <t>CTL</t>
        </is>
      </c>
      <c r="O2113" s="7" t="inlineStr">
        <is>
          <t>CRITIQUE</t>
        </is>
      </c>
      <c r="P2113" s="7" t="inlineStr">
        <is>
          <t>31/08/2026 02:59</t>
        </is>
      </c>
    </row>
    <row r="2114">
      <c r="A2114" s="8" t="inlineStr">
        <is>
          <t>WHAP 8x8</t>
        </is>
      </c>
      <c r="B2114" s="8" t="inlineStr">
        <is>
          <t>WHAP-2110</t>
        </is>
      </c>
      <c r="C2114" s="8" t="inlineStr">
        <is>
          <t>MOT-2110</t>
        </is>
      </c>
      <c r="D2114" s="8" t="inlineStr">
        <is>
          <t>pignon de pompe à carburant</t>
        </is>
      </c>
      <c r="E2114" s="8" t="inlineStr">
        <is>
          <t>Moteur</t>
        </is>
      </c>
      <c r="F2114" s="8" t="inlineStr">
        <is>
          <t>Moteur</t>
        </is>
      </c>
      <c r="G2114" s="8" t="inlineStr">
        <is>
          <t>PIECE_VEHICULE</t>
        </is>
      </c>
      <c r="H2114" s="8" t="n">
        <v>1</v>
      </c>
      <c r="I2114" s="8">
        <f>H2114*$D$3</f>
        <v/>
      </c>
      <c r="J2114" s="8" t="inlineStr">
        <is>
          <t>unité</t>
        </is>
      </c>
      <c r="K2114" s="8" t="n">
        <v>0</v>
      </c>
      <c r="L2114" s="8">
        <f>K2114-I2114</f>
        <v/>
      </c>
      <c r="M2114" s="8">
        <f>IF(K2114&lt;I2114,"✕ INSUFFISANT",IF(K2114&lt;I2114*1.2,"⚠ STOCK FAIBLE","✓ COUVERT"))</f>
        <v/>
      </c>
      <c r="N2114" s="8" t="inlineStr">
        <is>
          <t>YZK</t>
        </is>
      </c>
      <c r="O2114" s="8" t="inlineStr">
        <is>
          <t>CRITIQUE</t>
        </is>
      </c>
      <c r="P2114" s="8" t="inlineStr">
        <is>
          <t>31/08/2026 02:59</t>
        </is>
      </c>
    </row>
    <row r="2115">
      <c r="A2115" s="7" t="inlineStr">
        <is>
          <t>WHAP 8x8</t>
        </is>
      </c>
      <c r="B2115" s="7" t="inlineStr">
        <is>
          <t>WHAP-2111</t>
        </is>
      </c>
      <c r="C2115" s="7" t="inlineStr">
        <is>
          <t>MOT-2111</t>
        </is>
      </c>
      <c r="D2115" s="7" t="inlineStr">
        <is>
          <t>ensemble de filtre à carburant</t>
        </is>
      </c>
      <c r="E2115" s="7" t="inlineStr">
        <is>
          <t>Moteur</t>
        </is>
      </c>
      <c r="F2115" s="7" t="inlineStr">
        <is>
          <t>Moteur</t>
        </is>
      </c>
      <c r="G2115" s="7" t="inlineStr">
        <is>
          <t>PIECE_VEHICULE</t>
        </is>
      </c>
      <c r="H2115" s="7" t="n">
        <v>1</v>
      </c>
      <c r="I2115" s="7">
        <f>H2115*$D$3</f>
        <v/>
      </c>
      <c r="J2115" s="7" t="inlineStr">
        <is>
          <t>unité</t>
        </is>
      </c>
      <c r="K2115" s="7" t="n">
        <v>0</v>
      </c>
      <c r="L2115" s="7">
        <f>K2115-I2115</f>
        <v/>
      </c>
      <c r="M2115" s="7">
        <f>IF(K2115&lt;I2115,"✕ INSUFFISANT",IF(K2115&lt;I2115*1.2,"⚠ STOCK FAIBLE","✓ COUVERT"))</f>
        <v/>
      </c>
      <c r="N2115" s="7" t="inlineStr">
        <is>
          <t>YZK</t>
        </is>
      </c>
      <c r="O2115" s="7" t="inlineStr">
        <is>
          <t>CRITIQUE</t>
        </is>
      </c>
      <c r="P2115" s="7" t="inlineStr">
        <is>
          <t>31/08/2026 02:59</t>
        </is>
      </c>
    </row>
    <row r="2116">
      <c r="A2116" s="8" t="inlineStr">
        <is>
          <t>WHAP 8x8</t>
        </is>
      </c>
      <c r="B2116" s="8" t="inlineStr">
        <is>
          <t>WHAP-2112</t>
        </is>
      </c>
      <c r="C2116" s="8" t="inlineStr">
        <is>
          <t>MOT-2112</t>
        </is>
      </c>
      <c r="D2116" s="8" t="inlineStr">
        <is>
          <t>kit de filtre à carburant</t>
        </is>
      </c>
      <c r="E2116" s="8" t="inlineStr">
        <is>
          <t>Moteur</t>
        </is>
      </c>
      <c r="F2116" s="8" t="inlineStr">
        <is>
          <t>Moteur</t>
        </is>
      </c>
      <c r="G2116" s="8" t="inlineStr">
        <is>
          <t>PIECE_VEHICULE</t>
        </is>
      </c>
      <c r="H2116" s="8" t="n">
        <v>1</v>
      </c>
      <c r="I2116" s="8">
        <f>H2116*$D$3</f>
        <v/>
      </c>
      <c r="J2116" s="8" t="inlineStr">
        <is>
          <t>unité</t>
        </is>
      </c>
      <c r="K2116" s="8" t="n">
        <v>0</v>
      </c>
      <c r="L2116" s="8">
        <f>K2116-I2116</f>
        <v/>
      </c>
      <c r="M2116" s="8">
        <f>IF(K2116&lt;I2116,"✕ INSUFFISANT",IF(K2116&lt;I2116*1.2,"⚠ STOCK FAIBLE","✓ COUVERT"))</f>
        <v/>
      </c>
      <c r="N2116" s="8" t="inlineStr">
        <is>
          <t>YZK</t>
        </is>
      </c>
      <c r="O2116" s="8" t="inlineStr">
        <is>
          <t>CRITIQUE</t>
        </is>
      </c>
      <c r="P2116" s="8" t="inlineStr">
        <is>
          <t>31/08/2026 02:59</t>
        </is>
      </c>
    </row>
    <row r="2117">
      <c r="A2117" s="7" t="inlineStr">
        <is>
          <t>WHAP 8x8</t>
        </is>
      </c>
      <c r="B2117" s="7" t="inlineStr">
        <is>
          <t>WHAP-2113</t>
        </is>
      </c>
      <c r="C2117" s="7" t="inlineStr">
        <is>
          <t>MOT-2113</t>
        </is>
      </c>
      <c r="D2117" s="7" t="inlineStr">
        <is>
          <t>support de filtre à carburant</t>
        </is>
      </c>
      <c r="E2117" s="7" t="inlineStr">
        <is>
          <t>Moteur</t>
        </is>
      </c>
      <c r="F2117" s="7" t="inlineStr">
        <is>
          <t>Moteur</t>
        </is>
      </c>
      <c r="G2117" s="7" t="inlineStr">
        <is>
          <t>PIECE_VEHICULE</t>
        </is>
      </c>
      <c r="H2117" s="7" t="n">
        <v>1</v>
      </c>
      <c r="I2117" s="7">
        <f>H2117*$D$3</f>
        <v/>
      </c>
      <c r="J2117" s="7" t="inlineStr">
        <is>
          <t>unité</t>
        </is>
      </c>
      <c r="K2117" s="7" t="n">
        <v>0</v>
      </c>
      <c r="L2117" s="7">
        <f>K2117-I2117</f>
        <v/>
      </c>
      <c r="M2117" s="7">
        <f>IF(K2117&lt;I2117,"✕ INSUFFISANT",IF(K2117&lt;I2117*1.2,"⚠ STOCK FAIBLE","✓ COUVERT"))</f>
        <v/>
      </c>
      <c r="N2117" s="7" t="inlineStr">
        <is>
          <t>VAL</t>
        </is>
      </c>
      <c r="O2117" s="7" t="inlineStr">
        <is>
          <t>CRITIQUE</t>
        </is>
      </c>
      <c r="P2117" s="7" t="inlineStr">
        <is>
          <t>31/08/2026 02:59</t>
        </is>
      </c>
    </row>
    <row r="2118">
      <c r="A2118" s="8" t="inlineStr">
        <is>
          <t>WHAP 8x8</t>
        </is>
      </c>
      <c r="B2118" s="8" t="inlineStr">
        <is>
          <t>WHAP-2114</t>
        </is>
      </c>
      <c r="C2118" s="8" t="inlineStr">
        <is>
          <t>MOT-2114</t>
        </is>
      </c>
      <c r="D2118" s="8" t="inlineStr">
        <is>
          <t>boîtier de filtre à carburant</t>
        </is>
      </c>
      <c r="E2118" s="8" t="inlineStr">
        <is>
          <t>Moteur</t>
        </is>
      </c>
      <c r="F2118" s="8" t="inlineStr">
        <is>
          <t>Moteur</t>
        </is>
      </c>
      <c r="G2118" s="8" t="inlineStr">
        <is>
          <t>PIECE_VEHICULE</t>
        </is>
      </c>
      <c r="H2118" s="8" t="n">
        <v>1</v>
      </c>
      <c r="I2118" s="8">
        <f>H2118*$D$3</f>
        <v/>
      </c>
      <c r="J2118" s="8" t="inlineStr">
        <is>
          <t>unité</t>
        </is>
      </c>
      <c r="K2118" s="8" t="n">
        <v>0</v>
      </c>
      <c r="L2118" s="8">
        <f>K2118-I2118</f>
        <v/>
      </c>
      <c r="M2118" s="8">
        <f>IF(K2118&lt;I2118,"✕ INSUFFISANT",IF(K2118&lt;I2118*1.2,"⚠ STOCK FAIBLE","✓ COUVERT"))</f>
        <v/>
      </c>
      <c r="N2118" s="8" t="inlineStr">
        <is>
          <t>CTL</t>
        </is>
      </c>
      <c r="O2118" s="8" t="inlineStr">
        <is>
          <t>CRITIQUE</t>
        </is>
      </c>
      <c r="P2118" s="8" t="inlineStr">
        <is>
          <t>31/08/2026 02:59</t>
        </is>
      </c>
    </row>
    <row r="2119">
      <c r="A2119" s="7" t="inlineStr">
        <is>
          <t>WHAP 8x8</t>
        </is>
      </c>
      <c r="B2119" s="7" t="inlineStr">
        <is>
          <t>WHAP-2115</t>
        </is>
      </c>
      <c r="C2119" s="7" t="inlineStr">
        <is>
          <t>MOT-2115</t>
        </is>
      </c>
      <c r="D2119" s="7" t="inlineStr">
        <is>
          <t>module de filtre à carburant</t>
        </is>
      </c>
      <c r="E2119" s="7" t="inlineStr">
        <is>
          <t>Moteur</t>
        </is>
      </c>
      <c r="F2119" s="7" t="inlineStr">
        <is>
          <t>Moteur</t>
        </is>
      </c>
      <c r="G2119" s="7" t="inlineStr">
        <is>
          <t>PIECE_VEHICULE</t>
        </is>
      </c>
      <c r="H2119" s="7" t="n">
        <v>1</v>
      </c>
      <c r="I2119" s="7">
        <f>H2119*$D$3</f>
        <v/>
      </c>
      <c r="J2119" s="7" t="inlineStr">
        <is>
          <t>unité</t>
        </is>
      </c>
      <c r="K2119" s="7" t="n">
        <v>0</v>
      </c>
      <c r="L2119" s="7">
        <f>K2119-I2119</f>
        <v/>
      </c>
      <c r="M2119" s="7">
        <f>IF(K2119&lt;I2119,"✕ INSUFFISANT",IF(K2119&lt;I2119*1.2,"⚠ STOCK FAIBLE","✓ COUVERT"))</f>
        <v/>
      </c>
      <c r="N2119" s="7" t="inlineStr">
        <is>
          <t>MAG</t>
        </is>
      </c>
      <c r="O2119" s="7" t="inlineStr">
        <is>
          <t>CRITIQUE</t>
        </is>
      </c>
      <c r="P2119" s="7" t="inlineStr">
        <is>
          <t>31/08/2026 02:59</t>
        </is>
      </c>
    </row>
    <row r="2120">
      <c r="A2120" s="8" t="inlineStr">
        <is>
          <t>WHAP 8x8</t>
        </is>
      </c>
      <c r="B2120" s="8" t="inlineStr">
        <is>
          <t>WHAP-2116</t>
        </is>
      </c>
      <c r="C2120" s="8" t="inlineStr">
        <is>
          <t>MOT-2116</t>
        </is>
      </c>
      <c r="D2120" s="8" t="inlineStr">
        <is>
          <t>câblage de filtre à carburant</t>
        </is>
      </c>
      <c r="E2120" s="8" t="inlineStr">
        <is>
          <t>Moteur</t>
        </is>
      </c>
      <c r="F2120" s="8" t="inlineStr">
        <is>
          <t>Moteur</t>
        </is>
      </c>
      <c r="G2120" s="8" t="inlineStr">
        <is>
          <t>PIECE_VEHICULE</t>
        </is>
      </c>
      <c r="H2120" s="8" t="n">
        <v>1</v>
      </c>
      <c r="I2120" s="8">
        <f>H2120*$D$3</f>
        <v/>
      </c>
      <c r="J2120" s="8" t="inlineStr">
        <is>
          <t>unité</t>
        </is>
      </c>
      <c r="K2120" s="8" t="n">
        <v>0</v>
      </c>
      <c r="L2120" s="8">
        <f>K2120-I2120</f>
        <v/>
      </c>
      <c r="M2120" s="8">
        <f>IF(K2120&lt;I2120,"✕ INSUFFISANT",IF(K2120&lt;I2120*1.2,"⚠ STOCK FAIBLE","✓ COUVERT"))</f>
        <v/>
      </c>
      <c r="N2120" s="8" t="inlineStr">
        <is>
          <t>YZK</t>
        </is>
      </c>
      <c r="O2120" s="8" t="inlineStr">
        <is>
          <t>CRITIQUE</t>
        </is>
      </c>
      <c r="P2120" s="8" t="inlineStr">
        <is>
          <t>31/08/2026 02:59</t>
        </is>
      </c>
    </row>
    <row r="2121">
      <c r="A2121" s="7" t="inlineStr">
        <is>
          <t>WHAP 8x8</t>
        </is>
      </c>
      <c r="B2121" s="7" t="inlineStr">
        <is>
          <t>WHAP-2117</t>
        </is>
      </c>
      <c r="C2121" s="7" t="inlineStr">
        <is>
          <t>MOT-2117</t>
        </is>
      </c>
      <c r="D2121" s="7" t="inlineStr">
        <is>
          <t>connecteur de filtre à carburant</t>
        </is>
      </c>
      <c r="E2121" s="7" t="inlineStr">
        <is>
          <t>Moteur</t>
        </is>
      </c>
      <c r="F2121" s="7" t="inlineStr">
        <is>
          <t>Moteur</t>
        </is>
      </c>
      <c r="G2121" s="7" t="inlineStr">
        <is>
          <t>PIECE_VEHICULE</t>
        </is>
      </c>
      <c r="H2121" s="7" t="n">
        <v>1</v>
      </c>
      <c r="I2121" s="7">
        <f>H2121*$D$3</f>
        <v/>
      </c>
      <c r="J2121" s="7" t="inlineStr">
        <is>
          <t>unité</t>
        </is>
      </c>
      <c r="K2121" s="7" t="n">
        <v>0</v>
      </c>
      <c r="L2121" s="7">
        <f>K2121-I2121</f>
        <v/>
      </c>
      <c r="M2121" s="7">
        <f>IF(K2121&lt;I2121,"✕ INSUFFISANT",IF(K2121&lt;I2121*1.2,"⚠ STOCK FAIBLE","✓ COUVERT"))</f>
        <v/>
      </c>
      <c r="N2121" s="7" t="inlineStr">
        <is>
          <t>YZK</t>
        </is>
      </c>
      <c r="O2121" s="7" t="inlineStr">
        <is>
          <t>CRITIQUE</t>
        </is>
      </c>
      <c r="P2121" s="7" t="inlineStr">
        <is>
          <t>31/08/2026 02:59</t>
        </is>
      </c>
    </row>
    <row r="2122">
      <c r="A2122" s="8" t="inlineStr">
        <is>
          <t>WHAP 8x8</t>
        </is>
      </c>
      <c r="B2122" s="8" t="inlineStr">
        <is>
          <t>WHAP-2118</t>
        </is>
      </c>
      <c r="C2122" s="8" t="inlineStr">
        <is>
          <t>MOT-2118</t>
        </is>
      </c>
      <c r="D2122" s="8" t="inlineStr">
        <is>
          <t>joint de filtre à carburant</t>
        </is>
      </c>
      <c r="E2122" s="8" t="inlineStr">
        <is>
          <t>Moteur</t>
        </is>
      </c>
      <c r="F2122" s="8" t="inlineStr">
        <is>
          <t>Moteur</t>
        </is>
      </c>
      <c r="G2122" s="8" t="inlineStr">
        <is>
          <t>PIECE_VEHICULE</t>
        </is>
      </c>
      <c r="H2122" s="8" t="n">
        <v>1</v>
      </c>
      <c r="I2122" s="8">
        <f>H2122*$D$3</f>
        <v/>
      </c>
      <c r="J2122" s="8" t="inlineStr">
        <is>
          <t>unité</t>
        </is>
      </c>
      <c r="K2122" s="8" t="n">
        <v>0</v>
      </c>
      <c r="L2122" s="8">
        <f>K2122-I2122</f>
        <v/>
      </c>
      <c r="M2122" s="8">
        <f>IF(K2122&lt;I2122,"✕ INSUFFISANT",IF(K2122&lt;I2122*1.2,"⚠ STOCK FAIBLE","✓ COUVERT"))</f>
        <v/>
      </c>
      <c r="N2122" s="8" t="inlineStr">
        <is>
          <t>CTL</t>
        </is>
      </c>
      <c r="O2122" s="8" t="inlineStr">
        <is>
          <t>CRITIQUE</t>
        </is>
      </c>
      <c r="P2122" s="8" t="inlineStr">
        <is>
          <t>31/08/2026 02:59</t>
        </is>
      </c>
    </row>
    <row r="2123">
      <c r="A2123" s="7" t="inlineStr">
        <is>
          <t>WHAP 8x8</t>
        </is>
      </c>
      <c r="B2123" s="7" t="inlineStr">
        <is>
          <t>WHAP-2119</t>
        </is>
      </c>
      <c r="C2123" s="7" t="inlineStr">
        <is>
          <t>MOT-2119</t>
        </is>
      </c>
      <c r="D2123" s="7" t="inlineStr">
        <is>
          <t>fixation de filtre à carburant</t>
        </is>
      </c>
      <c r="E2123" s="7" t="inlineStr">
        <is>
          <t>Moteur</t>
        </is>
      </c>
      <c r="F2123" s="7" t="inlineStr">
        <is>
          <t>Moteur</t>
        </is>
      </c>
      <c r="G2123" s="7" t="inlineStr">
        <is>
          <t>PIECE_VEHICULE</t>
        </is>
      </c>
      <c r="H2123" s="7" t="n">
        <v>1</v>
      </c>
      <c r="I2123" s="7">
        <f>H2123*$D$3</f>
        <v/>
      </c>
      <c r="J2123" s="7" t="inlineStr">
        <is>
          <t>unité</t>
        </is>
      </c>
      <c r="K2123" s="7" t="n">
        <v>0</v>
      </c>
      <c r="L2123" s="7">
        <f>K2123-I2123</f>
        <v/>
      </c>
      <c r="M2123" s="7">
        <f>IF(K2123&lt;I2123,"✕ INSUFFISANT",IF(K2123&lt;I2123*1.2,"⚠ STOCK FAIBLE","✓ COUVERT"))</f>
        <v/>
      </c>
      <c r="N2123" s="7" t="inlineStr">
        <is>
          <t>DEL</t>
        </is>
      </c>
      <c r="O2123" s="7" t="inlineStr">
        <is>
          <t>CRITIQUE</t>
        </is>
      </c>
      <c r="P2123" s="7" t="inlineStr">
        <is>
          <t>31/08/2026 02:59</t>
        </is>
      </c>
    </row>
    <row r="2124">
      <c r="A2124" s="8" t="inlineStr">
        <is>
          <t>WHAP 8x8</t>
        </is>
      </c>
      <c r="B2124" s="8" t="inlineStr">
        <is>
          <t>WHAP-2120</t>
        </is>
      </c>
      <c r="C2124" s="8" t="inlineStr">
        <is>
          <t>MOT-2120</t>
        </is>
      </c>
      <c r="D2124" s="8" t="inlineStr">
        <is>
          <t>protection de filtre à carburant</t>
        </is>
      </c>
      <c r="E2124" s="8" t="inlineStr">
        <is>
          <t>Moteur</t>
        </is>
      </c>
      <c r="F2124" s="8" t="inlineStr">
        <is>
          <t>Moteur</t>
        </is>
      </c>
      <c r="G2124" s="8" t="inlineStr">
        <is>
          <t>PIECE_VEHICULE</t>
        </is>
      </c>
      <c r="H2124" s="8" t="n">
        <v>1</v>
      </c>
      <c r="I2124" s="8">
        <f>H2124*$D$3</f>
        <v/>
      </c>
      <c r="J2124" s="8" t="inlineStr">
        <is>
          <t>unité</t>
        </is>
      </c>
      <c r="K2124" s="8" t="n">
        <v>0</v>
      </c>
      <c r="L2124" s="8">
        <f>K2124-I2124</f>
        <v/>
      </c>
      <c r="M2124" s="8">
        <f>IF(K2124&lt;I2124,"✕ INSUFFISANT",IF(K2124&lt;I2124*1.2,"⚠ STOCK FAIBLE","✓ COUVERT"))</f>
        <v/>
      </c>
      <c r="N2124" s="8" t="inlineStr">
        <is>
          <t>HEL</t>
        </is>
      </c>
      <c r="O2124" s="8" t="inlineStr">
        <is>
          <t>CRITIQUE</t>
        </is>
      </c>
      <c r="P2124" s="8" t="inlineStr">
        <is>
          <t>31/08/2026 02:59</t>
        </is>
      </c>
    </row>
    <row r="2125">
      <c r="A2125" s="7" t="inlineStr">
        <is>
          <t>WHAP 8x8</t>
        </is>
      </c>
      <c r="B2125" s="7" t="inlineStr">
        <is>
          <t>WHAP-2121</t>
        </is>
      </c>
      <c r="C2125" s="7" t="inlineStr">
        <is>
          <t>MOT-2121</t>
        </is>
      </c>
      <c r="D2125" s="7" t="inlineStr">
        <is>
          <t>capteur de filtre à carburant</t>
        </is>
      </c>
      <c r="E2125" s="7" t="inlineStr">
        <is>
          <t>Moteur</t>
        </is>
      </c>
      <c r="F2125" s="7" t="inlineStr">
        <is>
          <t>Moteur</t>
        </is>
      </c>
      <c r="G2125" s="7" t="inlineStr">
        <is>
          <t>PIECE_VEHICULE</t>
        </is>
      </c>
      <c r="H2125" s="7" t="n">
        <v>1</v>
      </c>
      <c r="I2125" s="7">
        <f>H2125*$D$3</f>
        <v/>
      </c>
      <c r="J2125" s="7" t="inlineStr">
        <is>
          <t>unité</t>
        </is>
      </c>
      <c r="K2125" s="7" t="n">
        <v>0</v>
      </c>
      <c r="L2125" s="7">
        <f>K2125-I2125</f>
        <v/>
      </c>
      <c r="M2125" s="7">
        <f>IF(K2125&lt;I2125,"✕ INSUFFISANT",IF(K2125&lt;I2125*1.2,"⚠ STOCK FAIBLE","✓ COUVERT"))</f>
        <v/>
      </c>
      <c r="N2125" s="7" t="inlineStr">
        <is>
          <t>FAU</t>
        </is>
      </c>
      <c r="O2125" s="7" t="inlineStr">
        <is>
          <t>CRITIQUE</t>
        </is>
      </c>
      <c r="P2125" s="7" t="inlineStr">
        <is>
          <t>31/08/2026 02:59</t>
        </is>
      </c>
    </row>
    <row r="2126">
      <c r="A2126" s="8" t="inlineStr">
        <is>
          <t>WHAP 8x8</t>
        </is>
      </c>
      <c r="B2126" s="8" t="inlineStr">
        <is>
          <t>WHAP-2122</t>
        </is>
      </c>
      <c r="C2126" s="8" t="inlineStr">
        <is>
          <t>MOT-2122</t>
        </is>
      </c>
      <c r="D2126" s="8" t="inlineStr">
        <is>
          <t>actionneur de filtre à carburant</t>
        </is>
      </c>
      <c r="E2126" s="8" t="inlineStr">
        <is>
          <t>Moteur</t>
        </is>
      </c>
      <c r="F2126" s="8" t="inlineStr">
        <is>
          <t>Moteur</t>
        </is>
      </c>
      <c r="G2126" s="8" t="inlineStr">
        <is>
          <t>PIECE_VEHICULE</t>
        </is>
      </c>
      <c r="H2126" s="8" t="n">
        <v>1</v>
      </c>
      <c r="I2126" s="8">
        <f>H2126*$D$3</f>
        <v/>
      </c>
      <c r="J2126" s="8" t="inlineStr">
        <is>
          <t>unité</t>
        </is>
      </c>
      <c r="K2126" s="8" t="n">
        <v>0</v>
      </c>
      <c r="L2126" s="8">
        <f>K2126-I2126</f>
        <v/>
      </c>
      <c r="M2126" s="8">
        <f>IF(K2126&lt;I2126,"✕ INSUFFISANT",IF(K2126&lt;I2126*1.2,"⚠ STOCK FAIBLE","✓ COUVERT"))</f>
        <v/>
      </c>
      <c r="N2126" s="8" t="inlineStr">
        <is>
          <t>HEL</t>
        </is>
      </c>
      <c r="O2126" s="8" t="inlineStr">
        <is>
          <t>CRITIQUE</t>
        </is>
      </c>
      <c r="P2126" s="8" t="inlineStr">
        <is>
          <t>31/08/2026 02:59</t>
        </is>
      </c>
    </row>
    <row r="2127">
      <c r="A2127" s="7" t="inlineStr">
        <is>
          <t>WHAP 8x8</t>
        </is>
      </c>
      <c r="B2127" s="7" t="inlineStr">
        <is>
          <t>WHAP-2123</t>
        </is>
      </c>
      <c r="C2127" s="7" t="inlineStr">
        <is>
          <t>MOT-2123</t>
        </is>
      </c>
      <c r="D2127" s="7" t="inlineStr">
        <is>
          <t>raccord de filtre à carburant</t>
        </is>
      </c>
      <c r="E2127" s="7" t="inlineStr">
        <is>
          <t>Moteur</t>
        </is>
      </c>
      <c r="F2127" s="7" t="inlineStr">
        <is>
          <t>Moteur</t>
        </is>
      </c>
      <c r="G2127" s="7" t="inlineStr">
        <is>
          <t>PIECE_VEHICULE</t>
        </is>
      </c>
      <c r="H2127" s="7" t="n">
        <v>1</v>
      </c>
      <c r="I2127" s="7">
        <f>H2127*$D$3</f>
        <v/>
      </c>
      <c r="J2127" s="7" t="inlineStr">
        <is>
          <t>unité</t>
        </is>
      </c>
      <c r="K2127" s="7" t="n">
        <v>0</v>
      </c>
      <c r="L2127" s="7">
        <f>K2127-I2127</f>
        <v/>
      </c>
      <c r="M2127" s="7">
        <f>IF(K2127&lt;I2127,"✕ INSUFFISANT",IF(K2127&lt;I2127*1.2,"⚠ STOCK FAIBLE","✓ COUVERT"))</f>
        <v/>
      </c>
      <c r="N2127" s="7" t="inlineStr">
        <is>
          <t>SKF</t>
        </is>
      </c>
      <c r="O2127" s="7" t="inlineStr">
        <is>
          <t>CRITIQUE</t>
        </is>
      </c>
      <c r="P2127" s="7" t="inlineStr">
        <is>
          <t>31/08/2026 02:59</t>
        </is>
      </c>
    </row>
    <row r="2128">
      <c r="A2128" s="8" t="inlineStr">
        <is>
          <t>WHAP 8x8</t>
        </is>
      </c>
      <c r="B2128" s="8" t="inlineStr">
        <is>
          <t>WHAP-2124</t>
        </is>
      </c>
      <c r="C2128" s="8" t="inlineStr">
        <is>
          <t>MOT-2124</t>
        </is>
      </c>
      <c r="D2128" s="8" t="inlineStr">
        <is>
          <t>plaque de filtre à carburant</t>
        </is>
      </c>
      <c r="E2128" s="8" t="inlineStr">
        <is>
          <t>Moteur</t>
        </is>
      </c>
      <c r="F2128" s="8" t="inlineStr">
        <is>
          <t>Moteur</t>
        </is>
      </c>
      <c r="G2128" s="8" t="inlineStr">
        <is>
          <t>PIECE_VEHICULE</t>
        </is>
      </c>
      <c r="H2128" s="8" t="n">
        <v>1</v>
      </c>
      <c r="I2128" s="8">
        <f>H2128*$D$3</f>
        <v/>
      </c>
      <c r="J2128" s="8" t="inlineStr">
        <is>
          <t>unité</t>
        </is>
      </c>
      <c r="K2128" s="8" t="n">
        <v>0</v>
      </c>
      <c r="L2128" s="8">
        <f>K2128-I2128</f>
        <v/>
      </c>
      <c r="M2128" s="8">
        <f>IF(K2128&lt;I2128,"✕ INSUFFISANT",IF(K2128&lt;I2128*1.2,"⚠ STOCK FAIBLE","✓ COUVERT"))</f>
        <v/>
      </c>
      <c r="N2128" s="8" t="inlineStr">
        <is>
          <t>MAG</t>
        </is>
      </c>
      <c r="O2128" s="8" t="inlineStr">
        <is>
          <t>CRITIQUE</t>
        </is>
      </c>
      <c r="P2128" s="8" t="inlineStr">
        <is>
          <t>31/08/2026 02:59</t>
        </is>
      </c>
    </row>
    <row r="2129">
      <c r="A2129" s="7" t="inlineStr">
        <is>
          <t>WHAP 8x8</t>
        </is>
      </c>
      <c r="B2129" s="7" t="inlineStr">
        <is>
          <t>WHAP-2125</t>
        </is>
      </c>
      <c r="C2129" s="7" t="inlineStr">
        <is>
          <t>MOT-2125</t>
        </is>
      </c>
      <c r="D2129" s="7" t="inlineStr">
        <is>
          <t>couvercle de filtre à carburant</t>
        </is>
      </c>
      <c r="E2129" s="7" t="inlineStr">
        <is>
          <t>Moteur</t>
        </is>
      </c>
      <c r="F2129" s="7" t="inlineStr">
        <is>
          <t>Moteur</t>
        </is>
      </c>
      <c r="G2129" s="7" t="inlineStr">
        <is>
          <t>PIECE_VEHICULE</t>
        </is>
      </c>
      <c r="H2129" s="7" t="n">
        <v>1</v>
      </c>
      <c r="I2129" s="7">
        <f>H2129*$D$3</f>
        <v/>
      </c>
      <c r="J2129" s="7" t="inlineStr">
        <is>
          <t>unité</t>
        </is>
      </c>
      <c r="K2129" s="7" t="n">
        <v>0</v>
      </c>
      <c r="L2129" s="7">
        <f>K2129-I2129</f>
        <v/>
      </c>
      <c r="M2129" s="7">
        <f>IF(K2129&lt;I2129,"✕ INSUFFISANT",IF(K2129&lt;I2129*1.2,"⚠ STOCK FAIBLE","✓ COUVERT"))</f>
        <v/>
      </c>
      <c r="N2129" s="7" t="inlineStr">
        <is>
          <t>DEL</t>
        </is>
      </c>
      <c r="O2129" s="7" t="inlineStr">
        <is>
          <t>CRITIQUE</t>
        </is>
      </c>
      <c r="P2129" s="7" t="inlineStr">
        <is>
          <t>31/08/2026 02:59</t>
        </is>
      </c>
    </row>
    <row r="2130">
      <c r="A2130" s="8" t="inlineStr">
        <is>
          <t>WHAP 8x8</t>
        </is>
      </c>
      <c r="B2130" s="8" t="inlineStr">
        <is>
          <t>WHAP-2126</t>
        </is>
      </c>
      <c r="C2130" s="8" t="inlineStr">
        <is>
          <t>MOT-2126</t>
        </is>
      </c>
      <c r="D2130" s="8" t="inlineStr">
        <is>
          <t>bague de filtre à carburant</t>
        </is>
      </c>
      <c r="E2130" s="8" t="inlineStr">
        <is>
          <t>Moteur</t>
        </is>
      </c>
      <c r="F2130" s="8" t="inlineStr">
        <is>
          <t>Moteur</t>
        </is>
      </c>
      <c r="G2130" s="8" t="inlineStr">
        <is>
          <t>PIECE_VEHICULE</t>
        </is>
      </c>
      <c r="H2130" s="8" t="n">
        <v>1</v>
      </c>
      <c r="I2130" s="8">
        <f>H2130*$D$3</f>
        <v/>
      </c>
      <c r="J2130" s="8" t="inlineStr">
        <is>
          <t>unité</t>
        </is>
      </c>
      <c r="K2130" s="8" t="n">
        <v>0</v>
      </c>
      <c r="L2130" s="8">
        <f>K2130-I2130</f>
        <v/>
      </c>
      <c r="M2130" s="8">
        <f>IF(K2130&lt;I2130,"✕ INSUFFISANT",IF(K2130&lt;I2130*1.2,"⚠ STOCK FAIBLE","✓ COUVERT"))</f>
        <v/>
      </c>
      <c r="N2130" s="8" t="inlineStr">
        <is>
          <t>SUM</t>
        </is>
      </c>
      <c r="O2130" s="8" t="inlineStr">
        <is>
          <t>CRITIQUE</t>
        </is>
      </c>
      <c r="P2130" s="8" t="inlineStr">
        <is>
          <t>31/08/2026 02:59</t>
        </is>
      </c>
    </row>
    <row r="2131">
      <c r="A2131" s="7" t="inlineStr">
        <is>
          <t>WHAP 8x8</t>
        </is>
      </c>
      <c r="B2131" s="7" t="inlineStr">
        <is>
          <t>WHAP-2127</t>
        </is>
      </c>
      <c r="C2131" s="7" t="inlineStr">
        <is>
          <t>MOT-2127</t>
        </is>
      </c>
      <c r="D2131" s="7" t="inlineStr">
        <is>
          <t>entretoise de filtre à carburant</t>
        </is>
      </c>
      <c r="E2131" s="7" t="inlineStr">
        <is>
          <t>Moteur</t>
        </is>
      </c>
      <c r="F2131" s="7" t="inlineStr">
        <is>
          <t>Moteur</t>
        </is>
      </c>
      <c r="G2131" s="7" t="inlineStr">
        <is>
          <t>PIECE_VEHICULE</t>
        </is>
      </c>
      <c r="H2131" s="7" t="n">
        <v>1</v>
      </c>
      <c r="I2131" s="7">
        <f>H2131*$D$3</f>
        <v/>
      </c>
      <c r="J2131" s="7" t="inlineStr">
        <is>
          <t>unité</t>
        </is>
      </c>
      <c r="K2131" s="7" t="n">
        <v>0</v>
      </c>
      <c r="L2131" s="7">
        <f>K2131-I2131</f>
        <v/>
      </c>
      <c r="M2131" s="7">
        <f>IF(K2131&lt;I2131,"✕ INSUFFISANT",IF(K2131&lt;I2131*1.2,"⚠ STOCK FAIBLE","✓ COUVERT"))</f>
        <v/>
      </c>
      <c r="N2131" s="7" t="inlineStr">
        <is>
          <t>FAU</t>
        </is>
      </c>
      <c r="O2131" s="7" t="inlineStr">
        <is>
          <t>CRITIQUE</t>
        </is>
      </c>
      <c r="P2131" s="7" t="inlineStr">
        <is>
          <t>31/08/2026 02:59</t>
        </is>
      </c>
    </row>
    <row r="2132">
      <c r="A2132" s="8" t="inlineStr">
        <is>
          <t>WHAP 8x8</t>
        </is>
      </c>
      <c r="B2132" s="8" t="inlineStr">
        <is>
          <t>WHAP-2128</t>
        </is>
      </c>
      <c r="C2132" s="8" t="inlineStr">
        <is>
          <t>MOT-2128</t>
        </is>
      </c>
      <c r="D2132" s="8" t="inlineStr">
        <is>
          <t>axe de filtre à carburant</t>
        </is>
      </c>
      <c r="E2132" s="8" t="inlineStr">
        <is>
          <t>Moteur</t>
        </is>
      </c>
      <c r="F2132" s="8" t="inlineStr">
        <is>
          <t>Moteur</t>
        </is>
      </c>
      <c r="G2132" s="8" t="inlineStr">
        <is>
          <t>PIECE_VEHICULE</t>
        </is>
      </c>
      <c r="H2132" s="8" t="n">
        <v>1</v>
      </c>
      <c r="I2132" s="8">
        <f>H2132*$D$3</f>
        <v/>
      </c>
      <c r="J2132" s="8" t="inlineStr">
        <is>
          <t>unité</t>
        </is>
      </c>
      <c r="K2132" s="8" t="n">
        <v>0</v>
      </c>
      <c r="L2132" s="8">
        <f>K2132-I2132</f>
        <v/>
      </c>
      <c r="M2132" s="8">
        <f>IF(K2132&lt;I2132,"✕ INSUFFISANT",IF(K2132&lt;I2132*1.2,"⚠ STOCK FAIBLE","✓ COUVERT"))</f>
        <v/>
      </c>
      <c r="N2132" s="8" t="inlineStr">
        <is>
          <t>SKF</t>
        </is>
      </c>
      <c r="O2132" s="8" t="inlineStr">
        <is>
          <t>CRITIQUE</t>
        </is>
      </c>
      <c r="P2132" s="8" t="inlineStr">
        <is>
          <t>31/08/2026 02:59</t>
        </is>
      </c>
    </row>
    <row r="2133">
      <c r="A2133" s="7" t="inlineStr">
        <is>
          <t>WHAP 8x8</t>
        </is>
      </c>
      <c r="B2133" s="7" t="inlineStr">
        <is>
          <t>WHAP-2129</t>
        </is>
      </c>
      <c r="C2133" s="7" t="inlineStr">
        <is>
          <t>MOT-2129</t>
        </is>
      </c>
      <c r="D2133" s="7" t="inlineStr">
        <is>
          <t>poulie de filtre à carburant</t>
        </is>
      </c>
      <c r="E2133" s="7" t="inlineStr">
        <is>
          <t>Moteur</t>
        </is>
      </c>
      <c r="F2133" s="7" t="inlineStr">
        <is>
          <t>Moteur</t>
        </is>
      </c>
      <c r="G2133" s="7" t="inlineStr">
        <is>
          <t>PIECE_VEHICULE</t>
        </is>
      </c>
      <c r="H2133" s="7" t="n">
        <v>1</v>
      </c>
      <c r="I2133" s="7">
        <f>H2133*$D$3</f>
        <v/>
      </c>
      <c r="J2133" s="7" t="inlineStr">
        <is>
          <t>unité</t>
        </is>
      </c>
      <c r="K2133" s="7" t="n">
        <v>0</v>
      </c>
      <c r="L2133" s="7">
        <f>K2133-I2133</f>
        <v/>
      </c>
      <c r="M2133" s="7">
        <f>IF(K2133&lt;I2133,"✕ INSUFFISANT",IF(K2133&lt;I2133*1.2,"⚠ STOCK FAIBLE","✓ COUVERT"))</f>
        <v/>
      </c>
      <c r="N2133" s="7" t="inlineStr">
        <is>
          <t>DEL</t>
        </is>
      </c>
      <c r="O2133" s="7" t="inlineStr">
        <is>
          <t>CRITIQUE</t>
        </is>
      </c>
      <c r="P2133" s="7" t="inlineStr">
        <is>
          <t>31/08/2026 02:59</t>
        </is>
      </c>
    </row>
    <row r="2134">
      <c r="A2134" s="8" t="inlineStr">
        <is>
          <t>WHAP 8x8</t>
        </is>
      </c>
      <c r="B2134" s="8" t="inlineStr">
        <is>
          <t>WHAP-2130</t>
        </is>
      </c>
      <c r="C2134" s="8" t="inlineStr">
        <is>
          <t>MOT-2130</t>
        </is>
      </c>
      <c r="D2134" s="8" t="inlineStr">
        <is>
          <t>pignon de filtre à carburant</t>
        </is>
      </c>
      <c r="E2134" s="8" t="inlineStr">
        <is>
          <t>Moteur</t>
        </is>
      </c>
      <c r="F2134" s="8" t="inlineStr">
        <is>
          <t>Moteur</t>
        </is>
      </c>
      <c r="G2134" s="8" t="inlineStr">
        <is>
          <t>PIECE_VEHICULE</t>
        </is>
      </c>
      <c r="H2134" s="8" t="n">
        <v>1</v>
      </c>
      <c r="I2134" s="8">
        <f>H2134*$D$3</f>
        <v/>
      </c>
      <c r="J2134" s="8" t="inlineStr">
        <is>
          <t>unité</t>
        </is>
      </c>
      <c r="K2134" s="8" t="n">
        <v>0</v>
      </c>
      <c r="L2134" s="8">
        <f>K2134-I2134</f>
        <v/>
      </c>
      <c r="M2134" s="8">
        <f>IF(K2134&lt;I2134,"✕ INSUFFISANT",IF(K2134&lt;I2134*1.2,"⚠ STOCK FAIBLE","✓ COUVERT"))</f>
        <v/>
      </c>
      <c r="N2134" s="8" t="inlineStr">
        <is>
          <t>MAG</t>
        </is>
      </c>
      <c r="O2134" s="8" t="inlineStr">
        <is>
          <t>CRITIQUE</t>
        </is>
      </c>
      <c r="P2134" s="8" t="inlineStr">
        <is>
          <t>31/08/2026 02:59</t>
        </is>
      </c>
    </row>
    <row r="2135">
      <c r="A2135" s="7" t="inlineStr">
        <is>
          <t>WHAP 8x8</t>
        </is>
      </c>
      <c r="B2135" s="7" t="inlineStr">
        <is>
          <t>WHAP-2131</t>
        </is>
      </c>
      <c r="C2135" s="7" t="inlineStr">
        <is>
          <t>MOT-2131</t>
        </is>
      </c>
      <c r="D2135" s="7" t="inlineStr">
        <is>
          <t>ensemble de filtre à huile</t>
        </is>
      </c>
      <c r="E2135" s="7" t="inlineStr">
        <is>
          <t>Moteur</t>
        </is>
      </c>
      <c r="F2135" s="7" t="inlineStr">
        <is>
          <t>Moteur</t>
        </is>
      </c>
      <c r="G2135" s="7" t="inlineStr">
        <is>
          <t>PIECE_VEHICULE</t>
        </is>
      </c>
      <c r="H2135" s="7" t="n">
        <v>1</v>
      </c>
      <c r="I2135" s="7">
        <f>H2135*$D$3</f>
        <v/>
      </c>
      <c r="J2135" s="7" t="inlineStr">
        <is>
          <t>unité</t>
        </is>
      </c>
      <c r="K2135" s="7" t="n">
        <v>0</v>
      </c>
      <c r="L2135" s="7">
        <f>K2135-I2135</f>
        <v/>
      </c>
      <c r="M2135" s="7">
        <f>IF(K2135&lt;I2135,"✕ INSUFFISANT",IF(K2135&lt;I2135*1.2,"⚠ STOCK FAIBLE","✓ COUVERT"))</f>
        <v/>
      </c>
      <c r="N2135" s="7" t="inlineStr">
        <is>
          <t>HEL</t>
        </is>
      </c>
      <c r="O2135" s="7" t="inlineStr">
        <is>
          <t>CRITIQUE</t>
        </is>
      </c>
      <c r="P2135" s="7" t="inlineStr">
        <is>
          <t>31/08/2026 02:59</t>
        </is>
      </c>
    </row>
    <row r="2136">
      <c r="A2136" s="8" t="inlineStr">
        <is>
          <t>WHAP 8x8</t>
        </is>
      </c>
      <c r="B2136" s="8" t="inlineStr">
        <is>
          <t>WHAP-2132</t>
        </is>
      </c>
      <c r="C2136" s="8" t="inlineStr">
        <is>
          <t>MOT-2132</t>
        </is>
      </c>
      <c r="D2136" s="8" t="inlineStr">
        <is>
          <t>kit de filtre à huile</t>
        </is>
      </c>
      <c r="E2136" s="8" t="inlineStr">
        <is>
          <t>Moteur</t>
        </is>
      </c>
      <c r="F2136" s="8" t="inlineStr">
        <is>
          <t>Moteur</t>
        </is>
      </c>
      <c r="G2136" s="8" t="inlineStr">
        <is>
          <t>PIECE_VEHICULE</t>
        </is>
      </c>
      <c r="H2136" s="8" t="n">
        <v>1</v>
      </c>
      <c r="I2136" s="8">
        <f>H2136*$D$3</f>
        <v/>
      </c>
      <c r="J2136" s="8" t="inlineStr">
        <is>
          <t>unité</t>
        </is>
      </c>
      <c r="K2136" s="8" t="n">
        <v>0</v>
      </c>
      <c r="L2136" s="8">
        <f>K2136-I2136</f>
        <v/>
      </c>
      <c r="M2136" s="8">
        <f>IF(K2136&lt;I2136,"✕ INSUFFISANT",IF(K2136&lt;I2136*1.2,"⚠ STOCK FAIBLE","✓ COUVERT"))</f>
        <v/>
      </c>
      <c r="N2136" s="8" t="inlineStr">
        <is>
          <t>SKF</t>
        </is>
      </c>
      <c r="O2136" s="8" t="inlineStr">
        <is>
          <t>CRITIQUE</t>
        </is>
      </c>
      <c r="P2136" s="8" t="inlineStr">
        <is>
          <t>31/08/2026 02:59</t>
        </is>
      </c>
    </row>
    <row r="2137">
      <c r="A2137" s="7" t="inlineStr">
        <is>
          <t>WHAP 8x8</t>
        </is>
      </c>
      <c r="B2137" s="7" t="inlineStr">
        <is>
          <t>WHAP-2133</t>
        </is>
      </c>
      <c r="C2137" s="7" t="inlineStr">
        <is>
          <t>MOT-2133</t>
        </is>
      </c>
      <c r="D2137" s="7" t="inlineStr">
        <is>
          <t>support de filtre à huile</t>
        </is>
      </c>
      <c r="E2137" s="7" t="inlineStr">
        <is>
          <t>Moteur</t>
        </is>
      </c>
      <c r="F2137" s="7" t="inlineStr">
        <is>
          <t>Moteur</t>
        </is>
      </c>
      <c r="G2137" s="7" t="inlineStr">
        <is>
          <t>PIECE_VEHICULE</t>
        </is>
      </c>
      <c r="H2137" s="7" t="n">
        <v>1</v>
      </c>
      <c r="I2137" s="7">
        <f>H2137*$D$3</f>
        <v/>
      </c>
      <c r="J2137" s="7" t="inlineStr">
        <is>
          <t>unité</t>
        </is>
      </c>
      <c r="K2137" s="7" t="n">
        <v>0</v>
      </c>
      <c r="L2137" s="7">
        <f>K2137-I2137</f>
        <v/>
      </c>
      <c r="M2137" s="7">
        <f>IF(K2137&lt;I2137,"✕ INSUFFISANT",IF(K2137&lt;I2137*1.2,"⚠ STOCK FAIBLE","✓ COUVERT"))</f>
        <v/>
      </c>
      <c r="N2137" s="7" t="inlineStr">
        <is>
          <t>YZK</t>
        </is>
      </c>
      <c r="O2137" s="7" t="inlineStr">
        <is>
          <t>CRITIQUE</t>
        </is>
      </c>
      <c r="P2137" s="7" t="inlineStr">
        <is>
          <t>31/08/2026 02:59</t>
        </is>
      </c>
    </row>
    <row r="2138">
      <c r="A2138" s="8" t="inlineStr">
        <is>
          <t>WHAP 8x8</t>
        </is>
      </c>
      <c r="B2138" s="8" t="inlineStr">
        <is>
          <t>WHAP-2134</t>
        </is>
      </c>
      <c r="C2138" s="8" t="inlineStr">
        <is>
          <t>MOT-2134</t>
        </is>
      </c>
      <c r="D2138" s="8" t="inlineStr">
        <is>
          <t>boîtier de filtre à huile</t>
        </is>
      </c>
      <c r="E2138" s="8" t="inlineStr">
        <is>
          <t>Moteur</t>
        </is>
      </c>
      <c r="F2138" s="8" t="inlineStr">
        <is>
          <t>Moteur</t>
        </is>
      </c>
      <c r="G2138" s="8" t="inlineStr">
        <is>
          <t>PIECE_VEHICULE</t>
        </is>
      </c>
      <c r="H2138" s="8" t="n">
        <v>1</v>
      </c>
      <c r="I2138" s="8">
        <f>H2138*$D$3</f>
        <v/>
      </c>
      <c r="J2138" s="8" t="inlineStr">
        <is>
          <t>unité</t>
        </is>
      </c>
      <c r="K2138" s="8" t="n">
        <v>0</v>
      </c>
      <c r="L2138" s="8">
        <f>K2138-I2138</f>
        <v/>
      </c>
      <c r="M2138" s="8">
        <f>IF(K2138&lt;I2138,"✕ INSUFFISANT",IF(K2138&lt;I2138*1.2,"⚠ STOCK FAIBLE","✓ COUVERT"))</f>
        <v/>
      </c>
      <c r="N2138" s="8" t="inlineStr">
        <is>
          <t>SUM</t>
        </is>
      </c>
      <c r="O2138" s="8" t="inlineStr">
        <is>
          <t>CRITIQUE</t>
        </is>
      </c>
      <c r="P2138" s="8" t="inlineStr">
        <is>
          <t>31/08/2026 02:59</t>
        </is>
      </c>
    </row>
    <row r="2139">
      <c r="A2139" s="7" t="inlineStr">
        <is>
          <t>WHAP 8x8</t>
        </is>
      </c>
      <c r="B2139" s="7" t="inlineStr">
        <is>
          <t>WHAP-2135</t>
        </is>
      </c>
      <c r="C2139" s="7" t="inlineStr">
        <is>
          <t>MOT-2135</t>
        </is>
      </c>
      <c r="D2139" s="7" t="inlineStr">
        <is>
          <t>module de filtre à huile</t>
        </is>
      </c>
      <c r="E2139" s="7" t="inlineStr">
        <is>
          <t>Moteur</t>
        </is>
      </c>
      <c r="F2139" s="7" t="inlineStr">
        <is>
          <t>Moteur</t>
        </is>
      </c>
      <c r="G2139" s="7" t="inlineStr">
        <is>
          <t>PIECE_VEHICULE</t>
        </is>
      </c>
      <c r="H2139" s="7" t="n">
        <v>1</v>
      </c>
      <c r="I2139" s="7">
        <f>H2139*$D$3</f>
        <v/>
      </c>
      <c r="J2139" s="7" t="inlineStr">
        <is>
          <t>unité</t>
        </is>
      </c>
      <c r="K2139" s="7" t="n">
        <v>0</v>
      </c>
      <c r="L2139" s="7">
        <f>K2139-I2139</f>
        <v/>
      </c>
      <c r="M2139" s="7">
        <f>IF(K2139&lt;I2139,"✕ INSUFFISANT",IF(K2139&lt;I2139*1.2,"⚠ STOCK FAIBLE","✓ COUVERT"))</f>
        <v/>
      </c>
      <c r="N2139" s="7" t="inlineStr">
        <is>
          <t>YZK</t>
        </is>
      </c>
      <c r="O2139" s="7" t="inlineStr">
        <is>
          <t>CRITIQUE</t>
        </is>
      </c>
      <c r="P2139" s="7" t="inlineStr">
        <is>
          <t>31/08/2026 02:59</t>
        </is>
      </c>
    </row>
    <row r="2140">
      <c r="A2140" s="8" t="inlineStr">
        <is>
          <t>WHAP 8x8</t>
        </is>
      </c>
      <c r="B2140" s="8" t="inlineStr">
        <is>
          <t>WHAP-2136</t>
        </is>
      </c>
      <c r="C2140" s="8" t="inlineStr">
        <is>
          <t>MOT-2136</t>
        </is>
      </c>
      <c r="D2140" s="8" t="inlineStr">
        <is>
          <t>câblage de filtre à huile</t>
        </is>
      </c>
      <c r="E2140" s="8" t="inlineStr">
        <is>
          <t>Moteur</t>
        </is>
      </c>
      <c r="F2140" s="8" t="inlineStr">
        <is>
          <t>Moteur</t>
        </is>
      </c>
      <c r="G2140" s="8" t="inlineStr">
        <is>
          <t>PIECE_VEHICULE</t>
        </is>
      </c>
      <c r="H2140" s="8" t="n">
        <v>1</v>
      </c>
      <c r="I2140" s="8">
        <f>H2140*$D$3</f>
        <v/>
      </c>
      <c r="J2140" s="8" t="inlineStr">
        <is>
          <t>unité</t>
        </is>
      </c>
      <c r="K2140" s="8" t="n">
        <v>0</v>
      </c>
      <c r="L2140" s="8">
        <f>K2140-I2140</f>
        <v/>
      </c>
      <c r="M2140" s="8">
        <f>IF(K2140&lt;I2140,"✕ INSUFFISANT",IF(K2140&lt;I2140*1.2,"⚠ STOCK FAIBLE","✓ COUVERT"))</f>
        <v/>
      </c>
      <c r="N2140" s="8" t="inlineStr">
        <is>
          <t>BOS</t>
        </is>
      </c>
      <c r="O2140" s="8" t="inlineStr">
        <is>
          <t>CRITIQUE</t>
        </is>
      </c>
      <c r="P2140" s="8" t="inlineStr">
        <is>
          <t>31/08/2026 02:59</t>
        </is>
      </c>
    </row>
    <row r="2141">
      <c r="A2141" s="7" t="inlineStr">
        <is>
          <t>WHAP 8x8</t>
        </is>
      </c>
      <c r="B2141" s="7" t="inlineStr">
        <is>
          <t>WHAP-2137</t>
        </is>
      </c>
      <c r="C2141" s="7" t="inlineStr">
        <is>
          <t>MOT-2137</t>
        </is>
      </c>
      <c r="D2141" s="7" t="inlineStr">
        <is>
          <t>connecteur de filtre à huile</t>
        </is>
      </c>
      <c r="E2141" s="7" t="inlineStr">
        <is>
          <t>Moteur</t>
        </is>
      </c>
      <c r="F2141" s="7" t="inlineStr">
        <is>
          <t>Moteur</t>
        </is>
      </c>
      <c r="G2141" s="7" t="inlineStr">
        <is>
          <t>PIECE_VEHICULE</t>
        </is>
      </c>
      <c r="H2141" s="7" t="n">
        <v>1</v>
      </c>
      <c r="I2141" s="7">
        <f>H2141*$D$3</f>
        <v/>
      </c>
      <c r="J2141" s="7" t="inlineStr">
        <is>
          <t>unité</t>
        </is>
      </c>
      <c r="K2141" s="7" t="n">
        <v>0</v>
      </c>
      <c r="L2141" s="7">
        <f>K2141-I2141</f>
        <v/>
      </c>
      <c r="M2141" s="7">
        <f>IF(K2141&lt;I2141,"✕ INSUFFISANT",IF(K2141&lt;I2141*1.2,"⚠ STOCK FAIBLE","✓ COUVERT"))</f>
        <v/>
      </c>
      <c r="N2141" s="7" t="inlineStr">
        <is>
          <t>VAL</t>
        </is>
      </c>
      <c r="O2141" s="7" t="inlineStr">
        <is>
          <t>CRITIQUE</t>
        </is>
      </c>
      <c r="P2141" s="7" t="inlineStr">
        <is>
          <t>31/08/2026 02:59</t>
        </is>
      </c>
    </row>
    <row r="2142">
      <c r="A2142" s="8" t="inlineStr">
        <is>
          <t>WHAP 8x8</t>
        </is>
      </c>
      <c r="B2142" s="8" t="inlineStr">
        <is>
          <t>WHAP-2138</t>
        </is>
      </c>
      <c r="C2142" s="8" t="inlineStr">
        <is>
          <t>MOT-2138</t>
        </is>
      </c>
      <c r="D2142" s="8" t="inlineStr">
        <is>
          <t>joint de filtre à huile</t>
        </is>
      </c>
      <c r="E2142" s="8" t="inlineStr">
        <is>
          <t>Moteur</t>
        </is>
      </c>
      <c r="F2142" s="8" t="inlineStr">
        <is>
          <t>Moteur</t>
        </is>
      </c>
      <c r="G2142" s="8" t="inlineStr">
        <is>
          <t>PIECE_VEHICULE</t>
        </is>
      </c>
      <c r="H2142" s="8" t="n">
        <v>1</v>
      </c>
      <c r="I2142" s="8">
        <f>H2142*$D$3</f>
        <v/>
      </c>
      <c r="J2142" s="8" t="inlineStr">
        <is>
          <t>unité</t>
        </is>
      </c>
      <c r="K2142" s="8" t="n">
        <v>0</v>
      </c>
      <c r="L2142" s="8">
        <f>K2142-I2142</f>
        <v/>
      </c>
      <c r="M2142" s="8">
        <f>IF(K2142&lt;I2142,"✕ INSUFFISANT",IF(K2142&lt;I2142*1.2,"⚠ STOCK FAIBLE","✓ COUVERT"))</f>
        <v/>
      </c>
      <c r="N2142" s="8" t="inlineStr">
        <is>
          <t>DEL</t>
        </is>
      </c>
      <c r="O2142" s="8" t="inlineStr">
        <is>
          <t>CRITIQUE</t>
        </is>
      </c>
      <c r="P2142" s="8" t="inlineStr">
        <is>
          <t>31/08/2026 02:59</t>
        </is>
      </c>
    </row>
    <row r="2143">
      <c r="A2143" s="7" t="inlineStr">
        <is>
          <t>WHAP 8x8</t>
        </is>
      </c>
      <c r="B2143" s="7" t="inlineStr">
        <is>
          <t>WHAP-2139</t>
        </is>
      </c>
      <c r="C2143" s="7" t="inlineStr">
        <is>
          <t>MOT-2139</t>
        </is>
      </c>
      <c r="D2143" s="7" t="inlineStr">
        <is>
          <t>fixation de filtre à huile</t>
        </is>
      </c>
      <c r="E2143" s="7" t="inlineStr">
        <is>
          <t>Moteur</t>
        </is>
      </c>
      <c r="F2143" s="7" t="inlineStr">
        <is>
          <t>Moteur</t>
        </is>
      </c>
      <c r="G2143" s="7" t="inlineStr">
        <is>
          <t>PIECE_VEHICULE</t>
        </is>
      </c>
      <c r="H2143" s="7" t="n">
        <v>1</v>
      </c>
      <c r="I2143" s="7">
        <f>H2143*$D$3</f>
        <v/>
      </c>
      <c r="J2143" s="7" t="inlineStr">
        <is>
          <t>unité</t>
        </is>
      </c>
      <c r="K2143" s="7" t="n">
        <v>0</v>
      </c>
      <c r="L2143" s="7">
        <f>K2143-I2143</f>
        <v/>
      </c>
      <c r="M2143" s="7">
        <f>IF(K2143&lt;I2143,"✕ INSUFFISANT",IF(K2143&lt;I2143*1.2,"⚠ STOCK FAIBLE","✓ COUVERT"))</f>
        <v/>
      </c>
      <c r="N2143" s="7" t="inlineStr">
        <is>
          <t>HEL</t>
        </is>
      </c>
      <c r="O2143" s="7" t="inlineStr">
        <is>
          <t>CRITIQUE</t>
        </is>
      </c>
      <c r="P2143" s="7" t="inlineStr">
        <is>
          <t>31/08/2026 02:59</t>
        </is>
      </c>
    </row>
    <row r="2144">
      <c r="A2144" s="8" t="inlineStr">
        <is>
          <t>WHAP 8x8</t>
        </is>
      </c>
      <c r="B2144" s="8" t="inlineStr">
        <is>
          <t>WHAP-2140</t>
        </is>
      </c>
      <c r="C2144" s="8" t="inlineStr">
        <is>
          <t>MOT-2140</t>
        </is>
      </c>
      <c r="D2144" s="8" t="inlineStr">
        <is>
          <t>protection de filtre à huile</t>
        </is>
      </c>
      <c r="E2144" s="8" t="inlineStr">
        <is>
          <t>Moteur</t>
        </is>
      </c>
      <c r="F2144" s="8" t="inlineStr">
        <is>
          <t>Moteur</t>
        </is>
      </c>
      <c r="G2144" s="8" t="inlineStr">
        <is>
          <t>PIECE_VEHICULE</t>
        </is>
      </c>
      <c r="H2144" s="8" t="n">
        <v>1</v>
      </c>
      <c r="I2144" s="8">
        <f>H2144*$D$3</f>
        <v/>
      </c>
      <c r="J2144" s="8" t="inlineStr">
        <is>
          <t>unité</t>
        </is>
      </c>
      <c r="K2144" s="8" t="n">
        <v>0</v>
      </c>
      <c r="L2144" s="8">
        <f>K2144-I2144</f>
        <v/>
      </c>
      <c r="M2144" s="8">
        <f>IF(K2144&lt;I2144,"✕ INSUFFISANT",IF(K2144&lt;I2144*1.2,"⚠ STOCK FAIBLE","✓ COUVERT"))</f>
        <v/>
      </c>
      <c r="N2144" s="8" t="inlineStr">
        <is>
          <t>DEL</t>
        </is>
      </c>
      <c r="O2144" s="8" t="inlineStr">
        <is>
          <t>CRITIQUE</t>
        </is>
      </c>
      <c r="P2144" s="8" t="inlineStr">
        <is>
          <t>31/08/2026 02:59</t>
        </is>
      </c>
    </row>
    <row r="2145">
      <c r="A2145" s="7" t="inlineStr">
        <is>
          <t>WHAP 8x8</t>
        </is>
      </c>
      <c r="B2145" s="7" t="inlineStr">
        <is>
          <t>WHAP-2141</t>
        </is>
      </c>
      <c r="C2145" s="7" t="inlineStr">
        <is>
          <t>MOT-2141</t>
        </is>
      </c>
      <c r="D2145" s="7" t="inlineStr">
        <is>
          <t>capteur de filtre à huile</t>
        </is>
      </c>
      <c r="E2145" s="7" t="inlineStr">
        <is>
          <t>Moteur</t>
        </is>
      </c>
      <c r="F2145" s="7" t="inlineStr">
        <is>
          <t>Moteur</t>
        </is>
      </c>
      <c r="G2145" s="7" t="inlineStr">
        <is>
          <t>PIECE_VEHICULE</t>
        </is>
      </c>
      <c r="H2145" s="7" t="n">
        <v>1</v>
      </c>
      <c r="I2145" s="7">
        <f>H2145*$D$3</f>
        <v/>
      </c>
      <c r="J2145" s="7" t="inlineStr">
        <is>
          <t>unité</t>
        </is>
      </c>
      <c r="K2145" s="7" t="n">
        <v>0</v>
      </c>
      <c r="L2145" s="7">
        <f>K2145-I2145</f>
        <v/>
      </c>
      <c r="M2145" s="7">
        <f>IF(K2145&lt;I2145,"✕ INSUFFISANT",IF(K2145&lt;I2145*1.2,"⚠ STOCK FAIBLE","✓ COUVERT"))</f>
        <v/>
      </c>
      <c r="N2145" s="7" t="inlineStr">
        <is>
          <t>VAL</t>
        </is>
      </c>
      <c r="O2145" s="7" t="inlineStr">
        <is>
          <t>CRITIQUE</t>
        </is>
      </c>
      <c r="P2145" s="7" t="inlineStr">
        <is>
          <t>31/08/2026 02:59</t>
        </is>
      </c>
    </row>
    <row r="2146">
      <c r="A2146" s="8" t="inlineStr">
        <is>
          <t>WHAP 8x8</t>
        </is>
      </c>
      <c r="B2146" s="8" t="inlineStr">
        <is>
          <t>WHAP-2142</t>
        </is>
      </c>
      <c r="C2146" s="8" t="inlineStr">
        <is>
          <t>MOT-2142</t>
        </is>
      </c>
      <c r="D2146" s="8" t="inlineStr">
        <is>
          <t>actionneur de filtre à huile</t>
        </is>
      </c>
      <c r="E2146" s="8" t="inlineStr">
        <is>
          <t>Moteur</t>
        </is>
      </c>
      <c r="F2146" s="8" t="inlineStr">
        <is>
          <t>Moteur</t>
        </is>
      </c>
      <c r="G2146" s="8" t="inlineStr">
        <is>
          <t>PIECE_VEHICULE</t>
        </is>
      </c>
      <c r="H2146" s="8" t="n">
        <v>1</v>
      </c>
      <c r="I2146" s="8">
        <f>H2146*$D$3</f>
        <v/>
      </c>
      <c r="J2146" s="8" t="inlineStr">
        <is>
          <t>unité</t>
        </is>
      </c>
      <c r="K2146" s="8" t="n">
        <v>0</v>
      </c>
      <c r="L2146" s="8">
        <f>K2146-I2146</f>
        <v/>
      </c>
      <c r="M2146" s="8">
        <f>IF(K2146&lt;I2146,"✕ INSUFFISANT",IF(K2146&lt;I2146*1.2,"⚠ STOCK FAIBLE","✓ COUVERT"))</f>
        <v/>
      </c>
      <c r="N2146" s="8" t="inlineStr">
        <is>
          <t>HEL</t>
        </is>
      </c>
      <c r="O2146" s="8" t="inlineStr">
        <is>
          <t>CRITIQUE</t>
        </is>
      </c>
      <c r="P2146" s="8" t="inlineStr">
        <is>
          <t>31/08/2026 02:59</t>
        </is>
      </c>
    </row>
    <row r="2147">
      <c r="A2147" s="7" t="inlineStr">
        <is>
          <t>WHAP 8x8</t>
        </is>
      </c>
      <c r="B2147" s="7" t="inlineStr">
        <is>
          <t>WHAP-2143</t>
        </is>
      </c>
      <c r="C2147" s="7" t="inlineStr">
        <is>
          <t>MOT-2143</t>
        </is>
      </c>
      <c r="D2147" s="7" t="inlineStr">
        <is>
          <t>raccord de filtre à huile</t>
        </is>
      </c>
      <c r="E2147" s="7" t="inlineStr">
        <is>
          <t>Moteur</t>
        </is>
      </c>
      <c r="F2147" s="7" t="inlineStr">
        <is>
          <t>Moteur</t>
        </is>
      </c>
      <c r="G2147" s="7" t="inlineStr">
        <is>
          <t>PIECE_VEHICULE</t>
        </is>
      </c>
      <c r="H2147" s="7" t="n">
        <v>1</v>
      </c>
      <c r="I2147" s="7">
        <f>H2147*$D$3</f>
        <v/>
      </c>
      <c r="J2147" s="7" t="inlineStr">
        <is>
          <t>unité</t>
        </is>
      </c>
      <c r="K2147" s="7" t="n">
        <v>0</v>
      </c>
      <c r="L2147" s="7">
        <f>K2147-I2147</f>
        <v/>
      </c>
      <c r="M2147" s="7">
        <f>IF(K2147&lt;I2147,"✕ INSUFFISANT",IF(K2147&lt;I2147*1.2,"⚠ STOCK FAIBLE","✓ COUVERT"))</f>
        <v/>
      </c>
      <c r="N2147" s="7" t="inlineStr">
        <is>
          <t>HEL</t>
        </is>
      </c>
      <c r="O2147" s="7" t="inlineStr">
        <is>
          <t>CRITIQUE</t>
        </is>
      </c>
      <c r="P2147" s="7" t="inlineStr">
        <is>
          <t>31/08/2026 02:59</t>
        </is>
      </c>
    </row>
    <row r="2148">
      <c r="A2148" s="8" t="inlineStr">
        <is>
          <t>WHAP 8x8</t>
        </is>
      </c>
      <c r="B2148" s="8" t="inlineStr">
        <is>
          <t>WHAP-2144</t>
        </is>
      </c>
      <c r="C2148" s="8" t="inlineStr">
        <is>
          <t>MOT-2144</t>
        </is>
      </c>
      <c r="D2148" s="8" t="inlineStr">
        <is>
          <t>plaque de filtre à huile</t>
        </is>
      </c>
      <c r="E2148" s="8" t="inlineStr">
        <is>
          <t>Moteur</t>
        </is>
      </c>
      <c r="F2148" s="8" t="inlineStr">
        <is>
          <t>Moteur</t>
        </is>
      </c>
      <c r="G2148" s="8" t="inlineStr">
        <is>
          <t>PIECE_VEHICULE</t>
        </is>
      </c>
      <c r="H2148" s="8" t="n">
        <v>1</v>
      </c>
      <c r="I2148" s="8">
        <f>H2148*$D$3</f>
        <v/>
      </c>
      <c r="J2148" s="8" t="inlineStr">
        <is>
          <t>unité</t>
        </is>
      </c>
      <c r="K2148" s="8" t="n">
        <v>0</v>
      </c>
      <c r="L2148" s="8">
        <f>K2148-I2148</f>
        <v/>
      </c>
      <c r="M2148" s="8">
        <f>IF(K2148&lt;I2148,"✕ INSUFFISANT",IF(K2148&lt;I2148*1.2,"⚠ STOCK FAIBLE","✓ COUVERT"))</f>
        <v/>
      </c>
      <c r="N2148" s="8" t="inlineStr">
        <is>
          <t>MAG</t>
        </is>
      </c>
      <c r="O2148" s="8" t="inlineStr">
        <is>
          <t>CRITIQUE</t>
        </is>
      </c>
      <c r="P2148" s="8" t="inlineStr">
        <is>
          <t>31/08/2026 02:59</t>
        </is>
      </c>
    </row>
    <row r="2149">
      <c r="A2149" s="7" t="inlineStr">
        <is>
          <t>WHAP 8x8</t>
        </is>
      </c>
      <c r="B2149" s="7" t="inlineStr">
        <is>
          <t>WHAP-2145</t>
        </is>
      </c>
      <c r="C2149" s="7" t="inlineStr">
        <is>
          <t>MOT-2145</t>
        </is>
      </c>
      <c r="D2149" s="7" t="inlineStr">
        <is>
          <t>couvercle de filtre à huile</t>
        </is>
      </c>
      <c r="E2149" s="7" t="inlineStr">
        <is>
          <t>Moteur</t>
        </is>
      </c>
      <c r="F2149" s="7" t="inlineStr">
        <is>
          <t>Moteur</t>
        </is>
      </c>
      <c r="G2149" s="7" t="inlineStr">
        <is>
          <t>PIECE_VEHICULE</t>
        </is>
      </c>
      <c r="H2149" s="7" t="n">
        <v>1</v>
      </c>
      <c r="I2149" s="7">
        <f>H2149*$D$3</f>
        <v/>
      </c>
      <c r="J2149" s="7" t="inlineStr">
        <is>
          <t>unité</t>
        </is>
      </c>
      <c r="K2149" s="7" t="n">
        <v>0</v>
      </c>
      <c r="L2149" s="7">
        <f>K2149-I2149</f>
        <v/>
      </c>
      <c r="M2149" s="7">
        <f>IF(K2149&lt;I2149,"✕ INSUFFISANT",IF(K2149&lt;I2149*1.2,"⚠ STOCK FAIBLE","✓ COUVERT"))</f>
        <v/>
      </c>
      <c r="N2149" s="7" t="inlineStr">
        <is>
          <t>BOS</t>
        </is>
      </c>
      <c r="O2149" s="7" t="inlineStr">
        <is>
          <t>CRITIQUE</t>
        </is>
      </c>
      <c r="P2149" s="7" t="inlineStr">
        <is>
          <t>31/08/2026 02:59</t>
        </is>
      </c>
    </row>
    <row r="2150">
      <c r="A2150" s="8" t="inlineStr">
        <is>
          <t>WHAP 8x8</t>
        </is>
      </c>
      <c r="B2150" s="8" t="inlineStr">
        <is>
          <t>WHAP-2146</t>
        </is>
      </c>
      <c r="C2150" s="8" t="inlineStr">
        <is>
          <t>MOT-2146</t>
        </is>
      </c>
      <c r="D2150" s="8" t="inlineStr">
        <is>
          <t>bague de filtre à huile</t>
        </is>
      </c>
      <c r="E2150" s="8" t="inlineStr">
        <is>
          <t>Moteur</t>
        </is>
      </c>
      <c r="F2150" s="8" t="inlineStr">
        <is>
          <t>Moteur</t>
        </is>
      </c>
      <c r="G2150" s="8" t="inlineStr">
        <is>
          <t>PIECE_VEHICULE</t>
        </is>
      </c>
      <c r="H2150" s="8" t="n">
        <v>1</v>
      </c>
      <c r="I2150" s="8">
        <f>H2150*$D$3</f>
        <v/>
      </c>
      <c r="J2150" s="8" t="inlineStr">
        <is>
          <t>unité</t>
        </is>
      </c>
      <c r="K2150" s="8" t="n">
        <v>0</v>
      </c>
      <c r="L2150" s="8">
        <f>K2150-I2150</f>
        <v/>
      </c>
      <c r="M2150" s="8">
        <f>IF(K2150&lt;I2150,"✕ INSUFFISANT",IF(K2150&lt;I2150*1.2,"⚠ STOCK FAIBLE","✓ COUVERT"))</f>
        <v/>
      </c>
      <c r="N2150" s="8" t="inlineStr">
        <is>
          <t>MAG</t>
        </is>
      </c>
      <c r="O2150" s="8" t="inlineStr">
        <is>
          <t>CRITIQUE</t>
        </is>
      </c>
      <c r="P2150" s="8" t="inlineStr">
        <is>
          <t>31/08/2026 02:59</t>
        </is>
      </c>
    </row>
    <row r="2151">
      <c r="A2151" s="7" t="inlineStr">
        <is>
          <t>WHAP 8x8</t>
        </is>
      </c>
      <c r="B2151" s="7" t="inlineStr">
        <is>
          <t>WHAP-2147</t>
        </is>
      </c>
      <c r="C2151" s="7" t="inlineStr">
        <is>
          <t>MOT-2147</t>
        </is>
      </c>
      <c r="D2151" s="7" t="inlineStr">
        <is>
          <t>entretoise de filtre à huile</t>
        </is>
      </c>
      <c r="E2151" s="7" t="inlineStr">
        <is>
          <t>Moteur</t>
        </is>
      </c>
      <c r="F2151" s="7" t="inlineStr">
        <is>
          <t>Moteur</t>
        </is>
      </c>
      <c r="G2151" s="7" t="inlineStr">
        <is>
          <t>PIECE_VEHICULE</t>
        </is>
      </c>
      <c r="H2151" s="7" t="n">
        <v>1</v>
      </c>
      <c r="I2151" s="7">
        <f>H2151*$D$3</f>
        <v/>
      </c>
      <c r="J2151" s="7" t="inlineStr">
        <is>
          <t>unité</t>
        </is>
      </c>
      <c r="K2151" s="7" t="n">
        <v>0</v>
      </c>
      <c r="L2151" s="7">
        <f>K2151-I2151</f>
        <v/>
      </c>
      <c r="M2151" s="7">
        <f>IF(K2151&lt;I2151,"✕ INSUFFISANT",IF(K2151&lt;I2151*1.2,"⚠ STOCK FAIBLE","✓ COUVERT"))</f>
        <v/>
      </c>
      <c r="N2151" s="7" t="inlineStr">
        <is>
          <t>VAL</t>
        </is>
      </c>
      <c r="O2151" s="7" t="inlineStr">
        <is>
          <t>CRITIQUE</t>
        </is>
      </c>
      <c r="P2151" s="7" t="inlineStr">
        <is>
          <t>31/08/2026 02:59</t>
        </is>
      </c>
    </row>
    <row r="2152">
      <c r="A2152" s="8" t="inlineStr">
        <is>
          <t>WHAP 8x8</t>
        </is>
      </c>
      <c r="B2152" s="8" t="inlineStr">
        <is>
          <t>WHAP-2148</t>
        </is>
      </c>
      <c r="C2152" s="8" t="inlineStr">
        <is>
          <t>MOT-2148</t>
        </is>
      </c>
      <c r="D2152" s="8" t="inlineStr">
        <is>
          <t>axe de filtre à huile</t>
        </is>
      </c>
      <c r="E2152" s="8" t="inlineStr">
        <is>
          <t>Moteur</t>
        </is>
      </c>
      <c r="F2152" s="8" t="inlineStr">
        <is>
          <t>Moteur</t>
        </is>
      </c>
      <c r="G2152" s="8" t="inlineStr">
        <is>
          <t>PIECE_VEHICULE</t>
        </is>
      </c>
      <c r="H2152" s="8" t="n">
        <v>1</v>
      </c>
      <c r="I2152" s="8">
        <f>H2152*$D$3</f>
        <v/>
      </c>
      <c r="J2152" s="8" t="inlineStr">
        <is>
          <t>unité</t>
        </is>
      </c>
      <c r="K2152" s="8" t="n">
        <v>0</v>
      </c>
      <c r="L2152" s="8">
        <f>K2152-I2152</f>
        <v/>
      </c>
      <c r="M2152" s="8">
        <f>IF(K2152&lt;I2152,"✕ INSUFFISANT",IF(K2152&lt;I2152*1.2,"⚠ STOCK FAIBLE","✓ COUVERT"))</f>
        <v/>
      </c>
      <c r="N2152" s="8" t="inlineStr">
        <is>
          <t>DEL</t>
        </is>
      </c>
      <c r="O2152" s="8" t="inlineStr">
        <is>
          <t>CRITIQUE</t>
        </is>
      </c>
      <c r="P2152" s="8" t="inlineStr">
        <is>
          <t>31/08/2026 02:59</t>
        </is>
      </c>
    </row>
    <row r="2153">
      <c r="A2153" s="7" t="inlineStr">
        <is>
          <t>WHAP 8x8</t>
        </is>
      </c>
      <c r="B2153" s="7" t="inlineStr">
        <is>
          <t>WHAP-2149</t>
        </is>
      </c>
      <c r="C2153" s="7" t="inlineStr">
        <is>
          <t>MOT-2149</t>
        </is>
      </c>
      <c r="D2153" s="7" t="inlineStr">
        <is>
          <t>poulie de filtre à huile</t>
        </is>
      </c>
      <c r="E2153" s="7" t="inlineStr">
        <is>
          <t>Moteur</t>
        </is>
      </c>
      <c r="F2153" s="7" t="inlineStr">
        <is>
          <t>Moteur</t>
        </is>
      </c>
      <c r="G2153" s="7" t="inlineStr">
        <is>
          <t>PIECE_VEHICULE</t>
        </is>
      </c>
      <c r="H2153" s="7" t="n">
        <v>1</v>
      </c>
      <c r="I2153" s="7">
        <f>H2153*$D$3</f>
        <v/>
      </c>
      <c r="J2153" s="7" t="inlineStr">
        <is>
          <t>unité</t>
        </is>
      </c>
      <c r="K2153" s="7" t="n">
        <v>0</v>
      </c>
      <c r="L2153" s="7">
        <f>K2153-I2153</f>
        <v/>
      </c>
      <c r="M2153" s="7">
        <f>IF(K2153&lt;I2153,"✕ INSUFFISANT",IF(K2153&lt;I2153*1.2,"⚠ STOCK FAIBLE","✓ COUVERT"))</f>
        <v/>
      </c>
      <c r="N2153" s="7" t="inlineStr">
        <is>
          <t>DEL</t>
        </is>
      </c>
      <c r="O2153" s="7" t="inlineStr">
        <is>
          <t>CRITIQUE</t>
        </is>
      </c>
      <c r="P2153" s="7" t="inlineStr">
        <is>
          <t>31/08/2026 02:59</t>
        </is>
      </c>
    </row>
    <row r="2154">
      <c r="A2154" s="8" t="inlineStr">
        <is>
          <t>WHAP 8x8</t>
        </is>
      </c>
      <c r="B2154" s="8" t="inlineStr">
        <is>
          <t>WHAP-2150</t>
        </is>
      </c>
      <c r="C2154" s="8" t="inlineStr">
        <is>
          <t>MOT-2150</t>
        </is>
      </c>
      <c r="D2154" s="8" t="inlineStr">
        <is>
          <t>pignon de filtre à huile</t>
        </is>
      </c>
      <c r="E2154" s="8" t="inlineStr">
        <is>
          <t>Moteur</t>
        </is>
      </c>
      <c r="F2154" s="8" t="inlineStr">
        <is>
          <t>Moteur</t>
        </is>
      </c>
      <c r="G2154" s="8" t="inlineStr">
        <is>
          <t>PIECE_VEHICULE</t>
        </is>
      </c>
      <c r="H2154" s="8" t="n">
        <v>1</v>
      </c>
      <c r="I2154" s="8">
        <f>H2154*$D$3</f>
        <v/>
      </c>
      <c r="J2154" s="8" t="inlineStr">
        <is>
          <t>unité</t>
        </is>
      </c>
      <c r="K2154" s="8" t="n">
        <v>0</v>
      </c>
      <c r="L2154" s="8">
        <f>K2154-I2154</f>
        <v/>
      </c>
      <c r="M2154" s="8">
        <f>IF(K2154&lt;I2154,"✕ INSUFFISANT",IF(K2154&lt;I2154*1.2,"⚠ STOCK FAIBLE","✓ COUVERT"))</f>
        <v/>
      </c>
      <c r="N2154" s="8" t="inlineStr">
        <is>
          <t>YZK</t>
        </is>
      </c>
      <c r="O2154" s="8" t="inlineStr">
        <is>
          <t>CRITIQUE</t>
        </is>
      </c>
      <c r="P2154" s="8" t="inlineStr">
        <is>
          <t>31/08/2026 02:59</t>
        </is>
      </c>
    </row>
    <row r="2155">
      <c r="A2155" s="7" t="inlineStr">
        <is>
          <t>WHAP 8x8</t>
        </is>
      </c>
      <c r="B2155" s="7" t="inlineStr">
        <is>
          <t>WHAP-2151</t>
        </is>
      </c>
      <c r="C2155" s="7" t="inlineStr">
        <is>
          <t>MOT-2151</t>
        </is>
      </c>
      <c r="D2155" s="7" t="inlineStr">
        <is>
          <t>ensemble de filtre à air</t>
        </is>
      </c>
      <c r="E2155" s="7" t="inlineStr">
        <is>
          <t>Moteur</t>
        </is>
      </c>
      <c r="F2155" s="7" t="inlineStr">
        <is>
          <t>Moteur</t>
        </is>
      </c>
      <c r="G2155" s="7" t="inlineStr">
        <is>
          <t>PIECE_VEHICULE</t>
        </is>
      </c>
      <c r="H2155" s="7" t="n">
        <v>1</v>
      </c>
      <c r="I2155" s="7">
        <f>H2155*$D$3</f>
        <v/>
      </c>
      <c r="J2155" s="7" t="inlineStr">
        <is>
          <t>unité</t>
        </is>
      </c>
      <c r="K2155" s="7" t="n">
        <v>0</v>
      </c>
      <c r="L2155" s="7">
        <f>K2155-I2155</f>
        <v/>
      </c>
      <c r="M2155" s="7">
        <f>IF(K2155&lt;I2155,"✕ INSUFFISANT",IF(K2155&lt;I2155*1.2,"⚠ STOCK FAIBLE","✓ COUVERT"))</f>
        <v/>
      </c>
      <c r="N2155" s="7" t="inlineStr">
        <is>
          <t>VAL</t>
        </is>
      </c>
      <c r="O2155" s="7" t="inlineStr">
        <is>
          <t>CRITIQUE</t>
        </is>
      </c>
      <c r="P2155" s="7" t="inlineStr">
        <is>
          <t>31/08/2026 02:59</t>
        </is>
      </c>
    </row>
    <row r="2156">
      <c r="A2156" s="8" t="inlineStr">
        <is>
          <t>WHAP 8x8</t>
        </is>
      </c>
      <c r="B2156" s="8" t="inlineStr">
        <is>
          <t>WHAP-2152</t>
        </is>
      </c>
      <c r="C2156" s="8" t="inlineStr">
        <is>
          <t>MOT-2152</t>
        </is>
      </c>
      <c r="D2156" s="8" t="inlineStr">
        <is>
          <t>kit de filtre à air</t>
        </is>
      </c>
      <c r="E2156" s="8" t="inlineStr">
        <is>
          <t>Moteur</t>
        </is>
      </c>
      <c r="F2156" s="8" t="inlineStr">
        <is>
          <t>Moteur</t>
        </is>
      </c>
      <c r="G2156" s="8" t="inlineStr">
        <is>
          <t>PIECE_VEHICULE</t>
        </is>
      </c>
      <c r="H2156" s="8" t="n">
        <v>1</v>
      </c>
      <c r="I2156" s="8">
        <f>H2156*$D$3</f>
        <v/>
      </c>
      <c r="J2156" s="8" t="inlineStr">
        <is>
          <t>unité</t>
        </is>
      </c>
      <c r="K2156" s="8" t="n">
        <v>0</v>
      </c>
      <c r="L2156" s="8">
        <f>K2156-I2156</f>
        <v/>
      </c>
      <c r="M2156" s="8">
        <f>IF(K2156&lt;I2156,"✕ INSUFFISANT",IF(K2156&lt;I2156*1.2,"⚠ STOCK FAIBLE","✓ COUVERT"))</f>
        <v/>
      </c>
      <c r="N2156" s="8" t="inlineStr">
        <is>
          <t>SUM</t>
        </is>
      </c>
      <c r="O2156" s="8" t="inlineStr">
        <is>
          <t>CRITIQUE</t>
        </is>
      </c>
      <c r="P2156" s="8" t="inlineStr">
        <is>
          <t>31/08/2026 02:59</t>
        </is>
      </c>
    </row>
    <row r="2157">
      <c r="A2157" s="7" t="inlineStr">
        <is>
          <t>WHAP 8x8</t>
        </is>
      </c>
      <c r="B2157" s="7" t="inlineStr">
        <is>
          <t>WHAP-2153</t>
        </is>
      </c>
      <c r="C2157" s="7" t="inlineStr">
        <is>
          <t>MOT-2153</t>
        </is>
      </c>
      <c r="D2157" s="7" t="inlineStr">
        <is>
          <t>support de filtre à air</t>
        </is>
      </c>
      <c r="E2157" s="7" t="inlineStr">
        <is>
          <t>Moteur</t>
        </is>
      </c>
      <c r="F2157" s="7" t="inlineStr">
        <is>
          <t>Moteur</t>
        </is>
      </c>
      <c r="G2157" s="7" t="inlineStr">
        <is>
          <t>PIECE_VEHICULE</t>
        </is>
      </c>
      <c r="H2157" s="7" t="n">
        <v>1</v>
      </c>
      <c r="I2157" s="7">
        <f>H2157*$D$3</f>
        <v/>
      </c>
      <c r="J2157" s="7" t="inlineStr">
        <is>
          <t>unité</t>
        </is>
      </c>
      <c r="K2157" s="7" t="n">
        <v>0</v>
      </c>
      <c r="L2157" s="7">
        <f>K2157-I2157</f>
        <v/>
      </c>
      <c r="M2157" s="7">
        <f>IF(K2157&lt;I2157,"✕ INSUFFISANT",IF(K2157&lt;I2157*1.2,"⚠ STOCK FAIBLE","✓ COUVERT"))</f>
        <v/>
      </c>
      <c r="N2157" s="7" t="inlineStr">
        <is>
          <t>YZK</t>
        </is>
      </c>
      <c r="O2157" s="7" t="inlineStr">
        <is>
          <t>CRITIQUE</t>
        </is>
      </c>
      <c r="P2157" s="7" t="inlineStr">
        <is>
          <t>31/08/2026 02:59</t>
        </is>
      </c>
    </row>
    <row r="2158">
      <c r="A2158" s="8" t="inlineStr">
        <is>
          <t>WHAP 8x8</t>
        </is>
      </c>
      <c r="B2158" s="8" t="inlineStr">
        <is>
          <t>WHAP-2154</t>
        </is>
      </c>
      <c r="C2158" s="8" t="inlineStr">
        <is>
          <t>MOT-2154</t>
        </is>
      </c>
      <c r="D2158" s="8" t="inlineStr">
        <is>
          <t>module de filtre à air</t>
        </is>
      </c>
      <c r="E2158" s="8" t="inlineStr">
        <is>
          <t>Moteur</t>
        </is>
      </c>
      <c r="F2158" s="8" t="inlineStr">
        <is>
          <t>Moteur</t>
        </is>
      </c>
      <c r="G2158" s="8" t="inlineStr">
        <is>
          <t>PIECE_VEHICULE</t>
        </is>
      </c>
      <c r="H2158" s="8" t="n">
        <v>1</v>
      </c>
      <c r="I2158" s="8">
        <f>H2158*$D$3</f>
        <v/>
      </c>
      <c r="J2158" s="8" t="inlineStr">
        <is>
          <t>unité</t>
        </is>
      </c>
      <c r="K2158" s="8" t="n">
        <v>0</v>
      </c>
      <c r="L2158" s="8">
        <f>K2158-I2158</f>
        <v/>
      </c>
      <c r="M2158" s="8">
        <f>IF(K2158&lt;I2158,"✕ INSUFFISANT",IF(K2158&lt;I2158*1.2,"⚠ STOCK FAIBLE","✓ COUVERT"))</f>
        <v/>
      </c>
      <c r="N2158" s="8" t="inlineStr">
        <is>
          <t>DEL</t>
        </is>
      </c>
      <c r="O2158" s="8" t="inlineStr">
        <is>
          <t>CRITIQUE</t>
        </is>
      </c>
      <c r="P2158" s="8" t="inlineStr">
        <is>
          <t>31/08/2026 02:59</t>
        </is>
      </c>
    </row>
    <row r="2159">
      <c r="A2159" s="7" t="inlineStr">
        <is>
          <t>WHAP 8x8</t>
        </is>
      </c>
      <c r="B2159" s="7" t="inlineStr">
        <is>
          <t>WHAP-2155</t>
        </is>
      </c>
      <c r="C2159" s="7" t="inlineStr">
        <is>
          <t>MOT-2155</t>
        </is>
      </c>
      <c r="D2159" s="7" t="inlineStr">
        <is>
          <t>câblage de filtre à air</t>
        </is>
      </c>
      <c r="E2159" s="7" t="inlineStr">
        <is>
          <t>Moteur</t>
        </is>
      </c>
      <c r="F2159" s="7" t="inlineStr">
        <is>
          <t>Moteur</t>
        </is>
      </c>
      <c r="G2159" s="7" t="inlineStr">
        <is>
          <t>PIECE_VEHICULE</t>
        </is>
      </c>
      <c r="H2159" s="7" t="n">
        <v>1</v>
      </c>
      <c r="I2159" s="7">
        <f>H2159*$D$3</f>
        <v/>
      </c>
      <c r="J2159" s="7" t="inlineStr">
        <is>
          <t>unité</t>
        </is>
      </c>
      <c r="K2159" s="7" t="n">
        <v>0</v>
      </c>
      <c r="L2159" s="7">
        <f>K2159-I2159</f>
        <v/>
      </c>
      <c r="M2159" s="7">
        <f>IF(K2159&lt;I2159,"✕ INSUFFISANT",IF(K2159&lt;I2159*1.2,"⚠ STOCK FAIBLE","✓ COUVERT"))</f>
        <v/>
      </c>
      <c r="N2159" s="7" t="inlineStr">
        <is>
          <t>MAG</t>
        </is>
      </c>
      <c r="O2159" s="7" t="inlineStr">
        <is>
          <t>CRITIQUE</t>
        </is>
      </c>
      <c r="P2159" s="7" t="inlineStr">
        <is>
          <t>31/08/2026 02:59</t>
        </is>
      </c>
    </row>
    <row r="2160">
      <c r="A2160" s="8" t="inlineStr">
        <is>
          <t>WHAP 8x8</t>
        </is>
      </c>
      <c r="B2160" s="8" t="inlineStr">
        <is>
          <t>WHAP-2156</t>
        </is>
      </c>
      <c r="C2160" s="8" t="inlineStr">
        <is>
          <t>MOT-2156</t>
        </is>
      </c>
      <c r="D2160" s="8" t="inlineStr">
        <is>
          <t>connecteur de filtre à air</t>
        </is>
      </c>
      <c r="E2160" s="8" t="inlineStr">
        <is>
          <t>Moteur</t>
        </is>
      </c>
      <c r="F2160" s="8" t="inlineStr">
        <is>
          <t>Moteur</t>
        </is>
      </c>
      <c r="G2160" s="8" t="inlineStr">
        <is>
          <t>PIECE_VEHICULE</t>
        </is>
      </c>
      <c r="H2160" s="8" t="n">
        <v>1</v>
      </c>
      <c r="I2160" s="8">
        <f>H2160*$D$3</f>
        <v/>
      </c>
      <c r="J2160" s="8" t="inlineStr">
        <is>
          <t>unité</t>
        </is>
      </c>
      <c r="K2160" s="8" t="n">
        <v>0</v>
      </c>
      <c r="L2160" s="8">
        <f>K2160-I2160</f>
        <v/>
      </c>
      <c r="M2160" s="8">
        <f>IF(K2160&lt;I2160,"✕ INSUFFISANT",IF(K2160&lt;I2160*1.2,"⚠ STOCK FAIBLE","✓ COUVERT"))</f>
        <v/>
      </c>
      <c r="N2160" s="8" t="inlineStr">
        <is>
          <t>HEL</t>
        </is>
      </c>
      <c r="O2160" s="8" t="inlineStr">
        <is>
          <t>CRITIQUE</t>
        </is>
      </c>
      <c r="P2160" s="8" t="inlineStr">
        <is>
          <t>31/08/2026 02:59</t>
        </is>
      </c>
    </row>
    <row r="2161">
      <c r="A2161" s="7" t="inlineStr">
        <is>
          <t>WHAP 8x8</t>
        </is>
      </c>
      <c r="B2161" s="7" t="inlineStr">
        <is>
          <t>WHAP-2157</t>
        </is>
      </c>
      <c r="C2161" s="7" t="inlineStr">
        <is>
          <t>MOT-2157</t>
        </is>
      </c>
      <c r="D2161" s="7" t="inlineStr">
        <is>
          <t>joint de filtre à air</t>
        </is>
      </c>
      <c r="E2161" s="7" t="inlineStr">
        <is>
          <t>Moteur</t>
        </is>
      </c>
      <c r="F2161" s="7" t="inlineStr">
        <is>
          <t>Moteur</t>
        </is>
      </c>
      <c r="G2161" s="7" t="inlineStr">
        <is>
          <t>PIECE_VEHICULE</t>
        </is>
      </c>
      <c r="H2161" s="7" t="n">
        <v>1</v>
      </c>
      <c r="I2161" s="7">
        <f>H2161*$D$3</f>
        <v/>
      </c>
      <c r="J2161" s="7" t="inlineStr">
        <is>
          <t>unité</t>
        </is>
      </c>
      <c r="K2161" s="7" t="n">
        <v>0</v>
      </c>
      <c r="L2161" s="7">
        <f>K2161-I2161</f>
        <v/>
      </c>
      <c r="M2161" s="7">
        <f>IF(K2161&lt;I2161,"✕ INSUFFISANT",IF(K2161&lt;I2161*1.2,"⚠ STOCK FAIBLE","✓ COUVERT"))</f>
        <v/>
      </c>
      <c r="N2161" s="7" t="inlineStr">
        <is>
          <t>BOS</t>
        </is>
      </c>
      <c r="O2161" s="7" t="inlineStr">
        <is>
          <t>CRITIQUE</t>
        </is>
      </c>
      <c r="P2161" s="7" t="inlineStr">
        <is>
          <t>31/08/2026 02:59</t>
        </is>
      </c>
    </row>
    <row r="2162">
      <c r="A2162" s="8" t="inlineStr">
        <is>
          <t>WHAP 8x8</t>
        </is>
      </c>
      <c r="B2162" s="8" t="inlineStr">
        <is>
          <t>WHAP-2158</t>
        </is>
      </c>
      <c r="C2162" s="8" t="inlineStr">
        <is>
          <t>MOT-2158</t>
        </is>
      </c>
      <c r="D2162" s="8" t="inlineStr">
        <is>
          <t>fixation de filtre à air</t>
        </is>
      </c>
      <c r="E2162" s="8" t="inlineStr">
        <is>
          <t>Moteur</t>
        </is>
      </c>
      <c r="F2162" s="8" t="inlineStr">
        <is>
          <t>Moteur</t>
        </is>
      </c>
      <c r="G2162" s="8" t="inlineStr">
        <is>
          <t>PIECE_VEHICULE</t>
        </is>
      </c>
      <c r="H2162" s="8" t="n">
        <v>1</v>
      </c>
      <c r="I2162" s="8">
        <f>H2162*$D$3</f>
        <v/>
      </c>
      <c r="J2162" s="8" t="inlineStr">
        <is>
          <t>unité</t>
        </is>
      </c>
      <c r="K2162" s="8" t="n">
        <v>0</v>
      </c>
      <c r="L2162" s="8">
        <f>K2162-I2162</f>
        <v/>
      </c>
      <c r="M2162" s="8">
        <f>IF(K2162&lt;I2162,"✕ INSUFFISANT",IF(K2162&lt;I2162*1.2,"⚠ STOCK FAIBLE","✓ COUVERT"))</f>
        <v/>
      </c>
      <c r="N2162" s="8" t="inlineStr">
        <is>
          <t>DEL</t>
        </is>
      </c>
      <c r="O2162" s="8" t="inlineStr">
        <is>
          <t>CRITIQUE</t>
        </is>
      </c>
      <c r="P2162" s="8" t="inlineStr">
        <is>
          <t>31/08/2026 02:59</t>
        </is>
      </c>
    </row>
    <row r="2163">
      <c r="A2163" s="7" t="inlineStr">
        <is>
          <t>WHAP 8x8</t>
        </is>
      </c>
      <c r="B2163" s="7" t="inlineStr">
        <is>
          <t>WHAP-2159</t>
        </is>
      </c>
      <c r="C2163" s="7" t="inlineStr">
        <is>
          <t>MOT-2159</t>
        </is>
      </c>
      <c r="D2163" s="7" t="inlineStr">
        <is>
          <t>protection de filtre à air</t>
        </is>
      </c>
      <c r="E2163" s="7" t="inlineStr">
        <is>
          <t>Moteur</t>
        </is>
      </c>
      <c r="F2163" s="7" t="inlineStr">
        <is>
          <t>Moteur</t>
        </is>
      </c>
      <c r="G2163" s="7" t="inlineStr">
        <is>
          <t>PIECE_VEHICULE</t>
        </is>
      </c>
      <c r="H2163" s="7" t="n">
        <v>1</v>
      </c>
      <c r="I2163" s="7">
        <f>H2163*$D$3</f>
        <v/>
      </c>
      <c r="J2163" s="7" t="inlineStr">
        <is>
          <t>unité</t>
        </is>
      </c>
      <c r="K2163" s="7" t="n">
        <v>0</v>
      </c>
      <c r="L2163" s="7">
        <f>K2163-I2163</f>
        <v/>
      </c>
      <c r="M2163" s="7">
        <f>IF(K2163&lt;I2163,"✕ INSUFFISANT",IF(K2163&lt;I2163*1.2,"⚠ STOCK FAIBLE","✓ COUVERT"))</f>
        <v/>
      </c>
      <c r="N2163" s="7" t="inlineStr">
        <is>
          <t>SKF</t>
        </is>
      </c>
      <c r="O2163" s="7" t="inlineStr">
        <is>
          <t>CRITIQUE</t>
        </is>
      </c>
      <c r="P2163" s="7" t="inlineStr">
        <is>
          <t>31/08/2026 02:59</t>
        </is>
      </c>
    </row>
    <row r="2164">
      <c r="A2164" s="8" t="inlineStr">
        <is>
          <t>WHAP 8x8</t>
        </is>
      </c>
      <c r="B2164" s="8" t="inlineStr">
        <is>
          <t>WHAP-2160</t>
        </is>
      </c>
      <c r="C2164" s="8" t="inlineStr">
        <is>
          <t>MOT-2160</t>
        </is>
      </c>
      <c r="D2164" s="8" t="inlineStr">
        <is>
          <t>capteur de filtre à air</t>
        </is>
      </c>
      <c r="E2164" s="8" t="inlineStr">
        <is>
          <t>Moteur</t>
        </is>
      </c>
      <c r="F2164" s="8" t="inlineStr">
        <is>
          <t>Moteur</t>
        </is>
      </c>
      <c r="G2164" s="8" t="inlineStr">
        <is>
          <t>PIECE_VEHICULE</t>
        </is>
      </c>
      <c r="H2164" s="8" t="n">
        <v>1</v>
      </c>
      <c r="I2164" s="8">
        <f>H2164*$D$3</f>
        <v/>
      </c>
      <c r="J2164" s="8" t="inlineStr">
        <is>
          <t>unité</t>
        </is>
      </c>
      <c r="K2164" s="8" t="n">
        <v>0</v>
      </c>
      <c r="L2164" s="8">
        <f>K2164-I2164</f>
        <v/>
      </c>
      <c r="M2164" s="8">
        <f>IF(K2164&lt;I2164,"✕ INSUFFISANT",IF(K2164&lt;I2164*1.2,"⚠ STOCK FAIBLE","✓ COUVERT"))</f>
        <v/>
      </c>
      <c r="N2164" s="8" t="inlineStr">
        <is>
          <t>CTL</t>
        </is>
      </c>
      <c r="O2164" s="8" t="inlineStr">
        <is>
          <t>CRITIQUE</t>
        </is>
      </c>
      <c r="P2164" s="8" t="inlineStr">
        <is>
          <t>31/08/2026 02:59</t>
        </is>
      </c>
    </row>
    <row r="2165">
      <c r="A2165" s="7" t="inlineStr">
        <is>
          <t>WHAP 8x8</t>
        </is>
      </c>
      <c r="B2165" s="7" t="inlineStr">
        <is>
          <t>WHAP-2161</t>
        </is>
      </c>
      <c r="C2165" s="7" t="inlineStr">
        <is>
          <t>MOT-2161</t>
        </is>
      </c>
      <c r="D2165" s="7" t="inlineStr">
        <is>
          <t>actionneur de filtre à air</t>
        </is>
      </c>
      <c r="E2165" s="7" t="inlineStr">
        <is>
          <t>Moteur</t>
        </is>
      </c>
      <c r="F2165" s="7" t="inlineStr">
        <is>
          <t>Moteur</t>
        </is>
      </c>
      <c r="G2165" s="7" t="inlineStr">
        <is>
          <t>PIECE_VEHICULE</t>
        </is>
      </c>
      <c r="H2165" s="7" t="n">
        <v>1</v>
      </c>
      <c r="I2165" s="7">
        <f>H2165*$D$3</f>
        <v/>
      </c>
      <c r="J2165" s="7" t="inlineStr">
        <is>
          <t>unité</t>
        </is>
      </c>
      <c r="K2165" s="7" t="n">
        <v>0</v>
      </c>
      <c r="L2165" s="7">
        <f>K2165-I2165</f>
        <v/>
      </c>
      <c r="M2165" s="7">
        <f>IF(K2165&lt;I2165,"✕ INSUFFISANT",IF(K2165&lt;I2165*1.2,"⚠ STOCK FAIBLE","✓ COUVERT"))</f>
        <v/>
      </c>
      <c r="N2165" s="7" t="inlineStr">
        <is>
          <t>FAU</t>
        </is>
      </c>
      <c r="O2165" s="7" t="inlineStr">
        <is>
          <t>CRITIQUE</t>
        </is>
      </c>
      <c r="P2165" s="7" t="inlineStr">
        <is>
          <t>31/08/2026 02:59</t>
        </is>
      </c>
    </row>
    <row r="2166">
      <c r="A2166" s="8" t="inlineStr">
        <is>
          <t>WHAP 8x8</t>
        </is>
      </c>
      <c r="B2166" s="8" t="inlineStr">
        <is>
          <t>WHAP-2162</t>
        </is>
      </c>
      <c r="C2166" s="8" t="inlineStr">
        <is>
          <t>MOT-2162</t>
        </is>
      </c>
      <c r="D2166" s="8" t="inlineStr">
        <is>
          <t>raccord de filtre à air</t>
        </is>
      </c>
      <c r="E2166" s="8" t="inlineStr">
        <is>
          <t>Moteur</t>
        </is>
      </c>
      <c r="F2166" s="8" t="inlineStr">
        <is>
          <t>Moteur</t>
        </is>
      </c>
      <c r="G2166" s="8" t="inlineStr">
        <is>
          <t>PIECE_VEHICULE</t>
        </is>
      </c>
      <c r="H2166" s="8" t="n">
        <v>1</v>
      </c>
      <c r="I2166" s="8">
        <f>H2166*$D$3</f>
        <v/>
      </c>
      <c r="J2166" s="8" t="inlineStr">
        <is>
          <t>unité</t>
        </is>
      </c>
      <c r="K2166" s="8" t="n">
        <v>0</v>
      </c>
      <c r="L2166" s="8">
        <f>K2166-I2166</f>
        <v/>
      </c>
      <c r="M2166" s="8">
        <f>IF(K2166&lt;I2166,"✕ INSUFFISANT",IF(K2166&lt;I2166*1.2,"⚠ STOCK FAIBLE","✓ COUVERT"))</f>
        <v/>
      </c>
      <c r="N2166" s="8" t="inlineStr">
        <is>
          <t>CTL</t>
        </is>
      </c>
      <c r="O2166" s="8" t="inlineStr">
        <is>
          <t>CRITIQUE</t>
        </is>
      </c>
      <c r="P2166" s="8" t="inlineStr">
        <is>
          <t>31/08/2026 02:59</t>
        </is>
      </c>
    </row>
    <row r="2167">
      <c r="A2167" s="7" t="inlineStr">
        <is>
          <t>WHAP 8x8</t>
        </is>
      </c>
      <c r="B2167" s="7" t="inlineStr">
        <is>
          <t>WHAP-2163</t>
        </is>
      </c>
      <c r="C2167" s="7" t="inlineStr">
        <is>
          <t>MOT-2163</t>
        </is>
      </c>
      <c r="D2167" s="7" t="inlineStr">
        <is>
          <t>plaque de filtre à air</t>
        </is>
      </c>
      <c r="E2167" s="7" t="inlineStr">
        <is>
          <t>Moteur</t>
        </is>
      </c>
      <c r="F2167" s="7" t="inlineStr">
        <is>
          <t>Moteur</t>
        </is>
      </c>
      <c r="G2167" s="7" t="inlineStr">
        <is>
          <t>PIECE_VEHICULE</t>
        </is>
      </c>
      <c r="H2167" s="7" t="n">
        <v>1</v>
      </c>
      <c r="I2167" s="7">
        <f>H2167*$D$3</f>
        <v/>
      </c>
      <c r="J2167" s="7" t="inlineStr">
        <is>
          <t>unité</t>
        </is>
      </c>
      <c r="K2167" s="7" t="n">
        <v>0</v>
      </c>
      <c r="L2167" s="7">
        <f>K2167-I2167</f>
        <v/>
      </c>
      <c r="M2167" s="7">
        <f>IF(K2167&lt;I2167,"✕ INSUFFISANT",IF(K2167&lt;I2167*1.2,"⚠ STOCK FAIBLE","✓ COUVERT"))</f>
        <v/>
      </c>
      <c r="N2167" s="7" t="inlineStr">
        <is>
          <t>FAU</t>
        </is>
      </c>
      <c r="O2167" s="7" t="inlineStr">
        <is>
          <t>CRITIQUE</t>
        </is>
      </c>
      <c r="P2167" s="7" t="inlineStr">
        <is>
          <t>31/08/2026 02:59</t>
        </is>
      </c>
    </row>
    <row r="2168">
      <c r="A2168" s="8" t="inlineStr">
        <is>
          <t>WHAP 8x8</t>
        </is>
      </c>
      <c r="B2168" s="8" t="inlineStr">
        <is>
          <t>WHAP-2164</t>
        </is>
      </c>
      <c r="C2168" s="8" t="inlineStr">
        <is>
          <t>MOT-2164</t>
        </is>
      </c>
      <c r="D2168" s="8" t="inlineStr">
        <is>
          <t>couvercle de filtre à air</t>
        </is>
      </c>
      <c r="E2168" s="8" t="inlineStr">
        <is>
          <t>Moteur</t>
        </is>
      </c>
      <c r="F2168" s="8" t="inlineStr">
        <is>
          <t>Moteur</t>
        </is>
      </c>
      <c r="G2168" s="8" t="inlineStr">
        <is>
          <t>PIECE_VEHICULE</t>
        </is>
      </c>
      <c r="H2168" s="8" t="n">
        <v>1</v>
      </c>
      <c r="I2168" s="8">
        <f>H2168*$D$3</f>
        <v/>
      </c>
      <c r="J2168" s="8" t="inlineStr">
        <is>
          <t>unité</t>
        </is>
      </c>
      <c r="K2168" s="8" t="n">
        <v>0</v>
      </c>
      <c r="L2168" s="8">
        <f>K2168-I2168</f>
        <v/>
      </c>
      <c r="M2168" s="8">
        <f>IF(K2168&lt;I2168,"✕ INSUFFISANT",IF(K2168&lt;I2168*1.2,"⚠ STOCK FAIBLE","✓ COUVERT"))</f>
        <v/>
      </c>
      <c r="N2168" s="8" t="inlineStr">
        <is>
          <t>MAG</t>
        </is>
      </c>
      <c r="O2168" s="8" t="inlineStr">
        <is>
          <t>CRITIQUE</t>
        </is>
      </c>
      <c r="P2168" s="8" t="inlineStr">
        <is>
          <t>31/08/2026 02:59</t>
        </is>
      </c>
    </row>
    <row r="2169">
      <c r="A2169" s="7" t="inlineStr">
        <is>
          <t>WHAP 8x8</t>
        </is>
      </c>
      <c r="B2169" s="7" t="inlineStr">
        <is>
          <t>WHAP-2165</t>
        </is>
      </c>
      <c r="C2169" s="7" t="inlineStr">
        <is>
          <t>MOT-2165</t>
        </is>
      </c>
      <c r="D2169" s="7" t="inlineStr">
        <is>
          <t>bague de filtre à air</t>
        </is>
      </c>
      <c r="E2169" s="7" t="inlineStr">
        <is>
          <t>Moteur</t>
        </is>
      </c>
      <c r="F2169" s="7" t="inlineStr">
        <is>
          <t>Moteur</t>
        </is>
      </c>
      <c r="G2169" s="7" t="inlineStr">
        <is>
          <t>PIECE_VEHICULE</t>
        </is>
      </c>
      <c r="H2169" s="7" t="n">
        <v>1</v>
      </c>
      <c r="I2169" s="7">
        <f>H2169*$D$3</f>
        <v/>
      </c>
      <c r="J2169" s="7" t="inlineStr">
        <is>
          <t>unité</t>
        </is>
      </c>
      <c r="K2169" s="7" t="n">
        <v>0</v>
      </c>
      <c r="L2169" s="7">
        <f>K2169-I2169</f>
        <v/>
      </c>
      <c r="M2169" s="7">
        <f>IF(K2169&lt;I2169,"✕ INSUFFISANT",IF(K2169&lt;I2169*1.2,"⚠ STOCK FAIBLE","✓ COUVERT"))</f>
        <v/>
      </c>
      <c r="N2169" s="7" t="inlineStr">
        <is>
          <t>VAL</t>
        </is>
      </c>
      <c r="O2169" s="7" t="inlineStr">
        <is>
          <t>CRITIQUE</t>
        </is>
      </c>
      <c r="P2169" s="7" t="inlineStr">
        <is>
          <t>31/08/2026 02:59</t>
        </is>
      </c>
    </row>
    <row r="2170">
      <c r="A2170" s="8" t="inlineStr">
        <is>
          <t>WHAP 8x8</t>
        </is>
      </c>
      <c r="B2170" s="8" t="inlineStr">
        <is>
          <t>WHAP-2166</t>
        </is>
      </c>
      <c r="C2170" s="8" t="inlineStr">
        <is>
          <t>MOT-2166</t>
        </is>
      </c>
      <c r="D2170" s="8" t="inlineStr">
        <is>
          <t>entretoise de filtre à air</t>
        </is>
      </c>
      <c r="E2170" s="8" t="inlineStr">
        <is>
          <t>Moteur</t>
        </is>
      </c>
      <c r="F2170" s="8" t="inlineStr">
        <is>
          <t>Moteur</t>
        </is>
      </c>
      <c r="G2170" s="8" t="inlineStr">
        <is>
          <t>PIECE_VEHICULE</t>
        </is>
      </c>
      <c r="H2170" s="8" t="n">
        <v>1</v>
      </c>
      <c r="I2170" s="8">
        <f>H2170*$D$3</f>
        <v/>
      </c>
      <c r="J2170" s="8" t="inlineStr">
        <is>
          <t>unité</t>
        </is>
      </c>
      <c r="K2170" s="8" t="n">
        <v>0</v>
      </c>
      <c r="L2170" s="8">
        <f>K2170-I2170</f>
        <v/>
      </c>
      <c r="M2170" s="8">
        <f>IF(K2170&lt;I2170,"✕ INSUFFISANT",IF(K2170&lt;I2170*1.2,"⚠ STOCK FAIBLE","✓ COUVERT"))</f>
        <v/>
      </c>
      <c r="N2170" s="8" t="inlineStr">
        <is>
          <t>HEL</t>
        </is>
      </c>
      <c r="O2170" s="8" t="inlineStr">
        <is>
          <t>CRITIQUE</t>
        </is>
      </c>
      <c r="P2170" s="8" t="inlineStr">
        <is>
          <t>31/08/2026 02:59</t>
        </is>
      </c>
    </row>
    <row r="2171">
      <c r="A2171" s="7" t="inlineStr">
        <is>
          <t>WHAP 8x8</t>
        </is>
      </c>
      <c r="B2171" s="7" t="inlineStr">
        <is>
          <t>WHAP-2167</t>
        </is>
      </c>
      <c r="C2171" s="7" t="inlineStr">
        <is>
          <t>MOT-2167</t>
        </is>
      </c>
      <c r="D2171" s="7" t="inlineStr">
        <is>
          <t>axe de filtre à air</t>
        </is>
      </c>
      <c r="E2171" s="7" t="inlineStr">
        <is>
          <t>Moteur</t>
        </is>
      </c>
      <c r="F2171" s="7" t="inlineStr">
        <is>
          <t>Moteur</t>
        </is>
      </c>
      <c r="G2171" s="7" t="inlineStr">
        <is>
          <t>PIECE_VEHICULE</t>
        </is>
      </c>
      <c r="H2171" s="7" t="n">
        <v>1</v>
      </c>
      <c r="I2171" s="7">
        <f>H2171*$D$3</f>
        <v/>
      </c>
      <c r="J2171" s="7" t="inlineStr">
        <is>
          <t>unité</t>
        </is>
      </c>
      <c r="K2171" s="7" t="n">
        <v>0</v>
      </c>
      <c r="L2171" s="7">
        <f>K2171-I2171</f>
        <v/>
      </c>
      <c r="M2171" s="7">
        <f>IF(K2171&lt;I2171,"✕ INSUFFISANT",IF(K2171&lt;I2171*1.2,"⚠ STOCK FAIBLE","✓ COUVERT"))</f>
        <v/>
      </c>
      <c r="N2171" s="7" t="inlineStr">
        <is>
          <t>HEL</t>
        </is>
      </c>
      <c r="O2171" s="7" t="inlineStr">
        <is>
          <t>CRITIQUE</t>
        </is>
      </c>
      <c r="P2171" s="7" t="inlineStr">
        <is>
          <t>31/08/2026 02:59</t>
        </is>
      </c>
    </row>
    <row r="2172">
      <c r="A2172" s="8" t="inlineStr">
        <is>
          <t>WHAP 8x8</t>
        </is>
      </c>
      <c r="B2172" s="8" t="inlineStr">
        <is>
          <t>WHAP-2168</t>
        </is>
      </c>
      <c r="C2172" s="8" t="inlineStr">
        <is>
          <t>MOT-2168</t>
        </is>
      </c>
      <c r="D2172" s="8" t="inlineStr">
        <is>
          <t>poulie de filtre à air</t>
        </is>
      </c>
      <c r="E2172" s="8" t="inlineStr">
        <is>
          <t>Moteur</t>
        </is>
      </c>
      <c r="F2172" s="8" t="inlineStr">
        <is>
          <t>Moteur</t>
        </is>
      </c>
      <c r="G2172" s="8" t="inlineStr">
        <is>
          <t>PIECE_VEHICULE</t>
        </is>
      </c>
      <c r="H2172" s="8" t="n">
        <v>1</v>
      </c>
      <c r="I2172" s="8">
        <f>H2172*$D$3</f>
        <v/>
      </c>
      <c r="J2172" s="8" t="inlineStr">
        <is>
          <t>unité</t>
        </is>
      </c>
      <c r="K2172" s="8" t="n">
        <v>0</v>
      </c>
      <c r="L2172" s="8">
        <f>K2172-I2172</f>
        <v/>
      </c>
      <c r="M2172" s="8">
        <f>IF(K2172&lt;I2172,"✕ INSUFFISANT",IF(K2172&lt;I2172*1.2,"⚠ STOCK FAIBLE","✓ COUVERT"))</f>
        <v/>
      </c>
      <c r="N2172" s="8" t="inlineStr">
        <is>
          <t>VAL</t>
        </is>
      </c>
      <c r="O2172" s="8" t="inlineStr">
        <is>
          <t>CRITIQUE</t>
        </is>
      </c>
      <c r="P2172" s="8" t="inlineStr">
        <is>
          <t>31/08/2026 02:59</t>
        </is>
      </c>
    </row>
    <row r="2173">
      <c r="A2173" s="7" t="inlineStr">
        <is>
          <t>WHAP 8x8</t>
        </is>
      </c>
      <c r="B2173" s="7" t="inlineStr">
        <is>
          <t>WHAP-2169</t>
        </is>
      </c>
      <c r="C2173" s="7" t="inlineStr">
        <is>
          <t>MOT-2169</t>
        </is>
      </c>
      <c r="D2173" s="7" t="inlineStr">
        <is>
          <t>pignon de filtre à air</t>
        </is>
      </c>
      <c r="E2173" s="7" t="inlineStr">
        <is>
          <t>Moteur</t>
        </is>
      </c>
      <c r="F2173" s="7" t="inlineStr">
        <is>
          <t>Moteur</t>
        </is>
      </c>
      <c r="G2173" s="7" t="inlineStr">
        <is>
          <t>PIECE_VEHICULE</t>
        </is>
      </c>
      <c r="H2173" s="7" t="n">
        <v>1</v>
      </c>
      <c r="I2173" s="7">
        <f>H2173*$D$3</f>
        <v/>
      </c>
      <c r="J2173" s="7" t="inlineStr">
        <is>
          <t>unité</t>
        </is>
      </c>
      <c r="K2173" s="7" t="n">
        <v>0</v>
      </c>
      <c r="L2173" s="7">
        <f>K2173-I2173</f>
        <v/>
      </c>
      <c r="M2173" s="7">
        <f>IF(K2173&lt;I2173,"✕ INSUFFISANT",IF(K2173&lt;I2173*1.2,"⚠ STOCK FAIBLE","✓ COUVERT"))</f>
        <v/>
      </c>
      <c r="N2173" s="7" t="inlineStr">
        <is>
          <t>BOS</t>
        </is>
      </c>
      <c r="O2173" s="7" t="inlineStr">
        <is>
          <t>CRITIQUE</t>
        </is>
      </c>
      <c r="P2173" s="7" t="inlineStr">
        <is>
          <t>31/08/2026 02:59</t>
        </is>
      </c>
    </row>
    <row r="2174">
      <c r="A2174" s="8" t="inlineStr">
        <is>
          <t>WHAP 8x8</t>
        </is>
      </c>
      <c r="B2174" s="8" t="inlineStr">
        <is>
          <t>WHAP-2170</t>
        </is>
      </c>
      <c r="C2174" s="8" t="inlineStr">
        <is>
          <t>MOT-2170</t>
        </is>
      </c>
      <c r="D2174" s="8" t="inlineStr">
        <is>
          <t>ensemble de boîtier de filtre à air</t>
        </is>
      </c>
      <c r="E2174" s="8" t="inlineStr">
        <is>
          <t>Moteur</t>
        </is>
      </c>
      <c r="F2174" s="8" t="inlineStr">
        <is>
          <t>Moteur</t>
        </is>
      </c>
      <c r="G2174" s="8" t="inlineStr">
        <is>
          <t>PIECE_VEHICULE</t>
        </is>
      </c>
      <c r="H2174" s="8" t="n">
        <v>1</v>
      </c>
      <c r="I2174" s="8">
        <f>H2174*$D$3</f>
        <v/>
      </c>
      <c r="J2174" s="8" t="inlineStr">
        <is>
          <t>unité</t>
        </is>
      </c>
      <c r="K2174" s="8" t="n">
        <v>0</v>
      </c>
      <c r="L2174" s="8">
        <f>K2174-I2174</f>
        <v/>
      </c>
      <c r="M2174" s="8">
        <f>IF(K2174&lt;I2174,"✕ INSUFFISANT",IF(K2174&lt;I2174*1.2,"⚠ STOCK FAIBLE","✓ COUVERT"))</f>
        <v/>
      </c>
      <c r="N2174" s="8" t="inlineStr">
        <is>
          <t>SKF</t>
        </is>
      </c>
      <c r="O2174" s="8" t="inlineStr">
        <is>
          <t>CRITIQUE</t>
        </is>
      </c>
      <c r="P2174" s="8" t="inlineStr">
        <is>
          <t>31/08/2026 02:59</t>
        </is>
      </c>
    </row>
    <row r="2175">
      <c r="A2175" s="7" t="inlineStr">
        <is>
          <t>WHAP 8x8</t>
        </is>
      </c>
      <c r="B2175" s="7" t="inlineStr">
        <is>
          <t>WHAP-2171</t>
        </is>
      </c>
      <c r="C2175" s="7" t="inlineStr">
        <is>
          <t>MOT-2171</t>
        </is>
      </c>
      <c r="D2175" s="7" t="inlineStr">
        <is>
          <t>kit de boîtier de filtre à air</t>
        </is>
      </c>
      <c r="E2175" s="7" t="inlineStr">
        <is>
          <t>Moteur</t>
        </is>
      </c>
      <c r="F2175" s="7" t="inlineStr">
        <is>
          <t>Moteur</t>
        </is>
      </c>
      <c r="G2175" s="7" t="inlineStr">
        <is>
          <t>PIECE_VEHICULE</t>
        </is>
      </c>
      <c r="H2175" s="7" t="n">
        <v>1</v>
      </c>
      <c r="I2175" s="7">
        <f>H2175*$D$3</f>
        <v/>
      </c>
      <c r="J2175" s="7" t="inlineStr">
        <is>
          <t>unité</t>
        </is>
      </c>
      <c r="K2175" s="7" t="n">
        <v>0</v>
      </c>
      <c r="L2175" s="7">
        <f>K2175-I2175</f>
        <v/>
      </c>
      <c r="M2175" s="7">
        <f>IF(K2175&lt;I2175,"✕ INSUFFISANT",IF(K2175&lt;I2175*1.2,"⚠ STOCK FAIBLE","✓ COUVERT"))</f>
        <v/>
      </c>
      <c r="N2175" s="7" t="inlineStr">
        <is>
          <t>SKF</t>
        </is>
      </c>
      <c r="O2175" s="7" t="inlineStr">
        <is>
          <t>CRITIQUE</t>
        </is>
      </c>
      <c r="P2175" s="7" t="inlineStr">
        <is>
          <t>31/08/2026 02:59</t>
        </is>
      </c>
    </row>
    <row r="2176">
      <c r="A2176" s="8" t="inlineStr">
        <is>
          <t>WHAP 8x8</t>
        </is>
      </c>
      <c r="B2176" s="8" t="inlineStr">
        <is>
          <t>WHAP-2172</t>
        </is>
      </c>
      <c r="C2176" s="8" t="inlineStr">
        <is>
          <t>MOT-2172</t>
        </is>
      </c>
      <c r="D2176" s="8" t="inlineStr">
        <is>
          <t>support de boîtier de filtre à air</t>
        </is>
      </c>
      <c r="E2176" s="8" t="inlineStr">
        <is>
          <t>Moteur</t>
        </is>
      </c>
      <c r="F2176" s="8" t="inlineStr">
        <is>
          <t>Moteur</t>
        </is>
      </c>
      <c r="G2176" s="8" t="inlineStr">
        <is>
          <t>PIECE_VEHICULE</t>
        </is>
      </c>
      <c r="H2176" s="8" t="n">
        <v>1</v>
      </c>
      <c r="I2176" s="8">
        <f>H2176*$D$3</f>
        <v/>
      </c>
      <c r="J2176" s="8" t="inlineStr">
        <is>
          <t>unité</t>
        </is>
      </c>
      <c r="K2176" s="8" t="n">
        <v>0</v>
      </c>
      <c r="L2176" s="8">
        <f>K2176-I2176</f>
        <v/>
      </c>
      <c r="M2176" s="8">
        <f>IF(K2176&lt;I2176,"✕ INSUFFISANT",IF(K2176&lt;I2176*1.2,"⚠ STOCK FAIBLE","✓ COUVERT"))</f>
        <v/>
      </c>
      <c r="N2176" s="8" t="inlineStr">
        <is>
          <t>YZK</t>
        </is>
      </c>
      <c r="O2176" s="8" t="inlineStr">
        <is>
          <t>CRITIQUE</t>
        </is>
      </c>
      <c r="P2176" s="8" t="inlineStr">
        <is>
          <t>31/08/2026 02:59</t>
        </is>
      </c>
    </row>
    <row r="2177">
      <c r="A2177" s="7" t="inlineStr">
        <is>
          <t>WHAP 8x8</t>
        </is>
      </c>
      <c r="B2177" s="7" t="inlineStr">
        <is>
          <t>WHAP-2173</t>
        </is>
      </c>
      <c r="C2177" s="7" t="inlineStr">
        <is>
          <t>MOT-2173</t>
        </is>
      </c>
      <c r="D2177" s="7" t="inlineStr">
        <is>
          <t>boîtier de boîtier de filtre à air</t>
        </is>
      </c>
      <c r="E2177" s="7" t="inlineStr">
        <is>
          <t>Moteur</t>
        </is>
      </c>
      <c r="F2177" s="7" t="inlineStr">
        <is>
          <t>Moteur</t>
        </is>
      </c>
      <c r="G2177" s="7" t="inlineStr">
        <is>
          <t>PIECE_VEHICULE</t>
        </is>
      </c>
      <c r="H2177" s="7" t="n">
        <v>1</v>
      </c>
      <c r="I2177" s="7">
        <f>H2177*$D$3</f>
        <v/>
      </c>
      <c r="J2177" s="7" t="inlineStr">
        <is>
          <t>unité</t>
        </is>
      </c>
      <c r="K2177" s="7" t="n">
        <v>0</v>
      </c>
      <c r="L2177" s="7">
        <f>K2177-I2177</f>
        <v/>
      </c>
      <c r="M2177" s="7">
        <f>IF(K2177&lt;I2177,"✕ INSUFFISANT",IF(K2177&lt;I2177*1.2,"⚠ STOCK FAIBLE","✓ COUVERT"))</f>
        <v/>
      </c>
      <c r="N2177" s="7" t="inlineStr">
        <is>
          <t>DEL</t>
        </is>
      </c>
      <c r="O2177" s="7" t="inlineStr">
        <is>
          <t>CRITIQUE</t>
        </is>
      </c>
      <c r="P2177" s="7" t="inlineStr">
        <is>
          <t>31/08/2026 02:59</t>
        </is>
      </c>
    </row>
    <row r="2178">
      <c r="A2178" s="8" t="inlineStr">
        <is>
          <t>WHAP 8x8</t>
        </is>
      </c>
      <c r="B2178" s="8" t="inlineStr">
        <is>
          <t>WHAP-2174</t>
        </is>
      </c>
      <c r="C2178" s="8" t="inlineStr">
        <is>
          <t>MOT-2174</t>
        </is>
      </c>
      <c r="D2178" s="8" t="inlineStr">
        <is>
          <t>module de boîtier de filtre à air</t>
        </is>
      </c>
      <c r="E2178" s="8" t="inlineStr">
        <is>
          <t>Moteur</t>
        </is>
      </c>
      <c r="F2178" s="8" t="inlineStr">
        <is>
          <t>Moteur</t>
        </is>
      </c>
      <c r="G2178" s="8" t="inlineStr">
        <is>
          <t>PIECE_VEHICULE</t>
        </is>
      </c>
      <c r="H2178" s="8" t="n">
        <v>1</v>
      </c>
      <c r="I2178" s="8">
        <f>H2178*$D$3</f>
        <v/>
      </c>
      <c r="J2178" s="8" t="inlineStr">
        <is>
          <t>unité</t>
        </is>
      </c>
      <c r="K2178" s="8" t="n">
        <v>0</v>
      </c>
      <c r="L2178" s="8">
        <f>K2178-I2178</f>
        <v/>
      </c>
      <c r="M2178" s="8">
        <f>IF(K2178&lt;I2178,"✕ INSUFFISANT",IF(K2178&lt;I2178*1.2,"⚠ STOCK FAIBLE","✓ COUVERT"))</f>
        <v/>
      </c>
      <c r="N2178" s="8" t="inlineStr">
        <is>
          <t>VAL</t>
        </is>
      </c>
      <c r="O2178" s="8" t="inlineStr">
        <is>
          <t>CRITIQUE</t>
        </is>
      </c>
      <c r="P2178" s="8" t="inlineStr">
        <is>
          <t>31/08/2026 02:59</t>
        </is>
      </c>
    </row>
    <row r="2179">
      <c r="A2179" s="7" t="inlineStr">
        <is>
          <t>WHAP 8x8</t>
        </is>
      </c>
      <c r="B2179" s="7" t="inlineStr">
        <is>
          <t>WHAP-2175</t>
        </is>
      </c>
      <c r="C2179" s="7" t="inlineStr">
        <is>
          <t>MOT-2175</t>
        </is>
      </c>
      <c r="D2179" s="7" t="inlineStr">
        <is>
          <t>câblage de boîtier de filtre à air</t>
        </is>
      </c>
      <c r="E2179" s="7" t="inlineStr">
        <is>
          <t>Moteur</t>
        </is>
      </c>
      <c r="F2179" s="7" t="inlineStr">
        <is>
          <t>Moteur</t>
        </is>
      </c>
      <c r="G2179" s="7" t="inlineStr">
        <is>
          <t>PIECE_VEHICULE</t>
        </is>
      </c>
      <c r="H2179" s="7" t="n">
        <v>1</v>
      </c>
      <c r="I2179" s="7">
        <f>H2179*$D$3</f>
        <v/>
      </c>
      <c r="J2179" s="7" t="inlineStr">
        <is>
          <t>unité</t>
        </is>
      </c>
      <c r="K2179" s="7" t="n">
        <v>0</v>
      </c>
      <c r="L2179" s="7">
        <f>K2179-I2179</f>
        <v/>
      </c>
      <c r="M2179" s="7">
        <f>IF(K2179&lt;I2179,"✕ INSUFFISANT",IF(K2179&lt;I2179*1.2,"⚠ STOCK FAIBLE","✓ COUVERT"))</f>
        <v/>
      </c>
      <c r="N2179" s="7" t="inlineStr">
        <is>
          <t>YZK</t>
        </is>
      </c>
      <c r="O2179" s="7" t="inlineStr">
        <is>
          <t>CRITIQUE</t>
        </is>
      </c>
      <c r="P2179" s="7" t="inlineStr">
        <is>
          <t>31/08/2026 02:59</t>
        </is>
      </c>
    </row>
    <row r="2180">
      <c r="A2180" s="8" t="inlineStr">
        <is>
          <t>WHAP 8x8</t>
        </is>
      </c>
      <c r="B2180" s="8" t="inlineStr">
        <is>
          <t>WHAP-2176</t>
        </is>
      </c>
      <c r="C2180" s="8" t="inlineStr">
        <is>
          <t>MOT-2176</t>
        </is>
      </c>
      <c r="D2180" s="8" t="inlineStr">
        <is>
          <t>connecteur de boîtier de filtre à air</t>
        </is>
      </c>
      <c r="E2180" s="8" t="inlineStr">
        <is>
          <t>Moteur</t>
        </is>
      </c>
      <c r="F2180" s="8" t="inlineStr">
        <is>
          <t>Moteur</t>
        </is>
      </c>
      <c r="G2180" s="8" t="inlineStr">
        <is>
          <t>PIECE_VEHICULE</t>
        </is>
      </c>
      <c r="H2180" s="8" t="n">
        <v>1</v>
      </c>
      <c r="I2180" s="8">
        <f>H2180*$D$3</f>
        <v/>
      </c>
      <c r="J2180" s="8" t="inlineStr">
        <is>
          <t>unité</t>
        </is>
      </c>
      <c r="K2180" s="8" t="n">
        <v>0</v>
      </c>
      <c r="L2180" s="8">
        <f>K2180-I2180</f>
        <v/>
      </c>
      <c r="M2180" s="8">
        <f>IF(K2180&lt;I2180,"✕ INSUFFISANT",IF(K2180&lt;I2180*1.2,"⚠ STOCK FAIBLE","✓ COUVERT"))</f>
        <v/>
      </c>
      <c r="N2180" s="8" t="inlineStr">
        <is>
          <t>BOS</t>
        </is>
      </c>
      <c r="O2180" s="8" t="inlineStr">
        <is>
          <t>CRITIQUE</t>
        </is>
      </c>
      <c r="P2180" s="8" t="inlineStr">
        <is>
          <t>31/08/2026 02:59</t>
        </is>
      </c>
    </row>
    <row r="2181">
      <c r="A2181" s="7" t="inlineStr">
        <is>
          <t>WHAP 8x8</t>
        </is>
      </c>
      <c r="B2181" s="7" t="inlineStr">
        <is>
          <t>WHAP-2177</t>
        </is>
      </c>
      <c r="C2181" s="7" t="inlineStr">
        <is>
          <t>MOT-2177</t>
        </is>
      </c>
      <c r="D2181" s="7" t="inlineStr">
        <is>
          <t>joint de boîtier de filtre à air</t>
        </is>
      </c>
      <c r="E2181" s="7" t="inlineStr">
        <is>
          <t>Moteur</t>
        </is>
      </c>
      <c r="F2181" s="7" t="inlineStr">
        <is>
          <t>Moteur</t>
        </is>
      </c>
      <c r="G2181" s="7" t="inlineStr">
        <is>
          <t>PIECE_VEHICULE</t>
        </is>
      </c>
      <c r="H2181" s="7" t="n">
        <v>1</v>
      </c>
      <c r="I2181" s="7">
        <f>H2181*$D$3</f>
        <v/>
      </c>
      <c r="J2181" s="7" t="inlineStr">
        <is>
          <t>unité</t>
        </is>
      </c>
      <c r="K2181" s="7" t="n">
        <v>0</v>
      </c>
      <c r="L2181" s="7">
        <f>K2181-I2181</f>
        <v/>
      </c>
      <c r="M2181" s="7">
        <f>IF(K2181&lt;I2181,"✕ INSUFFISANT",IF(K2181&lt;I2181*1.2,"⚠ STOCK FAIBLE","✓ COUVERT"))</f>
        <v/>
      </c>
      <c r="N2181" s="7" t="inlineStr">
        <is>
          <t>HEL</t>
        </is>
      </c>
      <c r="O2181" s="7" t="inlineStr">
        <is>
          <t>CRITIQUE</t>
        </is>
      </c>
      <c r="P2181" s="7" t="inlineStr">
        <is>
          <t>31/08/2026 02:59</t>
        </is>
      </c>
    </row>
    <row r="2182">
      <c r="A2182" s="8" t="inlineStr">
        <is>
          <t>WHAP 8x8</t>
        </is>
      </c>
      <c r="B2182" s="8" t="inlineStr">
        <is>
          <t>WHAP-2178</t>
        </is>
      </c>
      <c r="C2182" s="8" t="inlineStr">
        <is>
          <t>MOT-2178</t>
        </is>
      </c>
      <c r="D2182" s="8" t="inlineStr">
        <is>
          <t>fixation de boîtier de filtre à air</t>
        </is>
      </c>
      <c r="E2182" s="8" t="inlineStr">
        <is>
          <t>Moteur</t>
        </is>
      </c>
      <c r="F2182" s="8" t="inlineStr">
        <is>
          <t>Moteur</t>
        </is>
      </c>
      <c r="G2182" s="8" t="inlineStr">
        <is>
          <t>PIECE_VEHICULE</t>
        </is>
      </c>
      <c r="H2182" s="8" t="n">
        <v>1</v>
      </c>
      <c r="I2182" s="8">
        <f>H2182*$D$3</f>
        <v/>
      </c>
      <c r="J2182" s="8" t="inlineStr">
        <is>
          <t>unité</t>
        </is>
      </c>
      <c r="K2182" s="8" t="n">
        <v>0</v>
      </c>
      <c r="L2182" s="8">
        <f>K2182-I2182</f>
        <v/>
      </c>
      <c r="M2182" s="8">
        <f>IF(K2182&lt;I2182,"✕ INSUFFISANT",IF(K2182&lt;I2182*1.2,"⚠ STOCK FAIBLE","✓ COUVERT"))</f>
        <v/>
      </c>
      <c r="N2182" s="8" t="inlineStr">
        <is>
          <t>SUM</t>
        </is>
      </c>
      <c r="O2182" s="8" t="inlineStr">
        <is>
          <t>CRITIQUE</t>
        </is>
      </c>
      <c r="P2182" s="8" t="inlineStr">
        <is>
          <t>31/08/2026 02:59</t>
        </is>
      </c>
    </row>
    <row r="2183">
      <c r="A2183" s="7" t="inlineStr">
        <is>
          <t>WHAP 8x8</t>
        </is>
      </c>
      <c r="B2183" s="7" t="inlineStr">
        <is>
          <t>WHAP-2179</t>
        </is>
      </c>
      <c r="C2183" s="7" t="inlineStr">
        <is>
          <t>MOT-2179</t>
        </is>
      </c>
      <c r="D2183" s="7" t="inlineStr">
        <is>
          <t>protection de boîtier de filtre à air</t>
        </is>
      </c>
      <c r="E2183" s="7" t="inlineStr">
        <is>
          <t>Moteur</t>
        </is>
      </c>
      <c r="F2183" s="7" t="inlineStr">
        <is>
          <t>Moteur</t>
        </is>
      </c>
      <c r="G2183" s="7" t="inlineStr">
        <is>
          <t>PIECE_VEHICULE</t>
        </is>
      </c>
      <c r="H2183" s="7" t="n">
        <v>1</v>
      </c>
      <c r="I2183" s="7">
        <f>H2183*$D$3</f>
        <v/>
      </c>
      <c r="J2183" s="7" t="inlineStr">
        <is>
          <t>unité</t>
        </is>
      </c>
      <c r="K2183" s="7" t="n">
        <v>0</v>
      </c>
      <c r="L2183" s="7">
        <f>K2183-I2183</f>
        <v/>
      </c>
      <c r="M2183" s="7">
        <f>IF(K2183&lt;I2183,"✕ INSUFFISANT",IF(K2183&lt;I2183*1.2,"⚠ STOCK FAIBLE","✓ COUVERT"))</f>
        <v/>
      </c>
      <c r="N2183" s="7" t="inlineStr">
        <is>
          <t>HEL</t>
        </is>
      </c>
      <c r="O2183" s="7" t="inlineStr">
        <is>
          <t>CRITIQUE</t>
        </is>
      </c>
      <c r="P2183" s="7" t="inlineStr">
        <is>
          <t>31/08/2026 02:59</t>
        </is>
      </c>
    </row>
    <row r="2184">
      <c r="A2184" s="8" t="inlineStr">
        <is>
          <t>WHAP 8x8</t>
        </is>
      </c>
      <c r="B2184" s="8" t="inlineStr">
        <is>
          <t>WHAP-2180</t>
        </is>
      </c>
      <c r="C2184" s="8" t="inlineStr">
        <is>
          <t>MOT-2180</t>
        </is>
      </c>
      <c r="D2184" s="8" t="inlineStr">
        <is>
          <t>capteur de boîtier de filtre à air</t>
        </is>
      </c>
      <c r="E2184" s="8" t="inlineStr">
        <is>
          <t>Moteur</t>
        </is>
      </c>
      <c r="F2184" s="8" t="inlineStr">
        <is>
          <t>Moteur</t>
        </is>
      </c>
      <c r="G2184" s="8" t="inlineStr">
        <is>
          <t>PIECE_VEHICULE</t>
        </is>
      </c>
      <c r="H2184" s="8" t="n">
        <v>1</v>
      </c>
      <c r="I2184" s="8">
        <f>H2184*$D$3</f>
        <v/>
      </c>
      <c r="J2184" s="8" t="inlineStr">
        <is>
          <t>unité</t>
        </is>
      </c>
      <c r="K2184" s="8" t="n">
        <v>0</v>
      </c>
      <c r="L2184" s="8">
        <f>K2184-I2184</f>
        <v/>
      </c>
      <c r="M2184" s="8">
        <f>IF(K2184&lt;I2184,"✕ INSUFFISANT",IF(K2184&lt;I2184*1.2,"⚠ STOCK FAIBLE","✓ COUVERT"))</f>
        <v/>
      </c>
      <c r="N2184" s="8" t="inlineStr">
        <is>
          <t>FAU</t>
        </is>
      </c>
      <c r="O2184" s="8" t="inlineStr">
        <is>
          <t>CRITIQUE</t>
        </is>
      </c>
      <c r="P2184" s="8" t="inlineStr">
        <is>
          <t>31/08/2026 02:59</t>
        </is>
      </c>
    </row>
    <row r="2185">
      <c r="A2185" s="7" t="inlineStr">
        <is>
          <t>WHAP 8x8</t>
        </is>
      </c>
      <c r="B2185" s="7" t="inlineStr">
        <is>
          <t>WHAP-2181</t>
        </is>
      </c>
      <c r="C2185" s="7" t="inlineStr">
        <is>
          <t>MOT-2181</t>
        </is>
      </c>
      <c r="D2185" s="7" t="inlineStr">
        <is>
          <t>actionneur de boîtier de filtre à air</t>
        </is>
      </c>
      <c r="E2185" s="7" t="inlineStr">
        <is>
          <t>Moteur</t>
        </is>
      </c>
      <c r="F2185" s="7" t="inlineStr">
        <is>
          <t>Moteur</t>
        </is>
      </c>
      <c r="G2185" s="7" t="inlineStr">
        <is>
          <t>PIECE_VEHICULE</t>
        </is>
      </c>
      <c r="H2185" s="7" t="n">
        <v>1</v>
      </c>
      <c r="I2185" s="7">
        <f>H2185*$D$3</f>
        <v/>
      </c>
      <c r="J2185" s="7" t="inlineStr">
        <is>
          <t>unité</t>
        </is>
      </c>
      <c r="K2185" s="7" t="n">
        <v>0</v>
      </c>
      <c r="L2185" s="7">
        <f>K2185-I2185</f>
        <v/>
      </c>
      <c r="M2185" s="7">
        <f>IF(K2185&lt;I2185,"✕ INSUFFISANT",IF(K2185&lt;I2185*1.2,"⚠ STOCK FAIBLE","✓ COUVERT"))</f>
        <v/>
      </c>
      <c r="N2185" s="7" t="inlineStr">
        <is>
          <t>FAU</t>
        </is>
      </c>
      <c r="O2185" s="7" t="inlineStr">
        <is>
          <t>CRITIQUE</t>
        </is>
      </c>
      <c r="P2185" s="7" t="inlineStr">
        <is>
          <t>31/08/2026 02:59</t>
        </is>
      </c>
    </row>
    <row r="2186">
      <c r="A2186" s="8" t="inlineStr">
        <is>
          <t>WHAP 8x8</t>
        </is>
      </c>
      <c r="B2186" s="8" t="inlineStr">
        <is>
          <t>WHAP-2182</t>
        </is>
      </c>
      <c r="C2186" s="8" t="inlineStr">
        <is>
          <t>MOT-2182</t>
        </is>
      </c>
      <c r="D2186" s="8" t="inlineStr">
        <is>
          <t>raccord de boîtier de filtre à air</t>
        </is>
      </c>
      <c r="E2186" s="8" t="inlineStr">
        <is>
          <t>Moteur</t>
        </is>
      </c>
      <c r="F2186" s="8" t="inlineStr">
        <is>
          <t>Moteur</t>
        </is>
      </c>
      <c r="G2186" s="8" t="inlineStr">
        <is>
          <t>PIECE_VEHICULE</t>
        </is>
      </c>
      <c r="H2186" s="8" t="n">
        <v>1</v>
      </c>
      <c r="I2186" s="8">
        <f>H2186*$D$3</f>
        <v/>
      </c>
      <c r="J2186" s="8" t="inlineStr">
        <is>
          <t>unité</t>
        </is>
      </c>
      <c r="K2186" s="8" t="n">
        <v>0</v>
      </c>
      <c r="L2186" s="8">
        <f>K2186-I2186</f>
        <v/>
      </c>
      <c r="M2186" s="8">
        <f>IF(K2186&lt;I2186,"✕ INSUFFISANT",IF(K2186&lt;I2186*1.2,"⚠ STOCK FAIBLE","✓ COUVERT"))</f>
        <v/>
      </c>
      <c r="N2186" s="8" t="inlineStr">
        <is>
          <t>DEL</t>
        </is>
      </c>
      <c r="O2186" s="8" t="inlineStr">
        <is>
          <t>CRITIQUE</t>
        </is>
      </c>
      <c r="P2186" s="8" t="inlineStr">
        <is>
          <t>31/08/2026 02:59</t>
        </is>
      </c>
    </row>
    <row r="2187">
      <c r="A2187" s="7" t="inlineStr">
        <is>
          <t>WHAP 8x8</t>
        </is>
      </c>
      <c r="B2187" s="7" t="inlineStr">
        <is>
          <t>WHAP-2183</t>
        </is>
      </c>
      <c r="C2187" s="7" t="inlineStr">
        <is>
          <t>MOT-2183</t>
        </is>
      </c>
      <c r="D2187" s="7" t="inlineStr">
        <is>
          <t>plaque de boîtier de filtre à air</t>
        </is>
      </c>
      <c r="E2187" s="7" t="inlineStr">
        <is>
          <t>Moteur</t>
        </is>
      </c>
      <c r="F2187" s="7" t="inlineStr">
        <is>
          <t>Moteur</t>
        </is>
      </c>
      <c r="G2187" s="7" t="inlineStr">
        <is>
          <t>PIECE_VEHICULE</t>
        </is>
      </c>
      <c r="H2187" s="7" t="n">
        <v>1</v>
      </c>
      <c r="I2187" s="7">
        <f>H2187*$D$3</f>
        <v/>
      </c>
      <c r="J2187" s="7" t="inlineStr">
        <is>
          <t>unité</t>
        </is>
      </c>
      <c r="K2187" s="7" t="n">
        <v>0</v>
      </c>
      <c r="L2187" s="7">
        <f>K2187-I2187</f>
        <v/>
      </c>
      <c r="M2187" s="7">
        <f>IF(K2187&lt;I2187,"✕ INSUFFISANT",IF(K2187&lt;I2187*1.2,"⚠ STOCK FAIBLE","✓ COUVERT"))</f>
        <v/>
      </c>
      <c r="N2187" s="7" t="inlineStr">
        <is>
          <t>DEL</t>
        </is>
      </c>
      <c r="O2187" s="7" t="inlineStr">
        <is>
          <t>CRITIQUE</t>
        </is>
      </c>
      <c r="P2187" s="7" t="inlineStr">
        <is>
          <t>31/08/2026 02:59</t>
        </is>
      </c>
    </row>
    <row r="2188">
      <c r="A2188" s="8" t="inlineStr">
        <is>
          <t>WHAP 8x8</t>
        </is>
      </c>
      <c r="B2188" s="8" t="inlineStr">
        <is>
          <t>WHAP-2184</t>
        </is>
      </c>
      <c r="C2188" s="8" t="inlineStr">
        <is>
          <t>MOT-2184</t>
        </is>
      </c>
      <c r="D2188" s="8" t="inlineStr">
        <is>
          <t>couvercle de boîtier de filtre à air</t>
        </is>
      </c>
      <c r="E2188" s="8" t="inlineStr">
        <is>
          <t>Moteur</t>
        </is>
      </c>
      <c r="F2188" s="8" t="inlineStr">
        <is>
          <t>Moteur</t>
        </is>
      </c>
      <c r="G2188" s="8" t="inlineStr">
        <is>
          <t>PIECE_VEHICULE</t>
        </is>
      </c>
      <c r="H2188" s="8" t="n">
        <v>1</v>
      </c>
      <c r="I2188" s="8">
        <f>H2188*$D$3</f>
        <v/>
      </c>
      <c r="J2188" s="8" t="inlineStr">
        <is>
          <t>unité</t>
        </is>
      </c>
      <c r="K2188" s="8" t="n">
        <v>0</v>
      </c>
      <c r="L2188" s="8">
        <f>K2188-I2188</f>
        <v/>
      </c>
      <c r="M2188" s="8">
        <f>IF(K2188&lt;I2188,"✕ INSUFFISANT",IF(K2188&lt;I2188*1.2,"⚠ STOCK FAIBLE","✓ COUVERT"))</f>
        <v/>
      </c>
      <c r="N2188" s="8" t="inlineStr">
        <is>
          <t>DEL</t>
        </is>
      </c>
      <c r="O2188" s="8" t="inlineStr">
        <is>
          <t>CRITIQUE</t>
        </is>
      </c>
      <c r="P2188" s="8" t="inlineStr">
        <is>
          <t>31/08/2026 02:59</t>
        </is>
      </c>
    </row>
    <row r="2189">
      <c r="A2189" s="7" t="inlineStr">
        <is>
          <t>WHAP 8x8</t>
        </is>
      </c>
      <c r="B2189" s="7" t="inlineStr">
        <is>
          <t>WHAP-2185</t>
        </is>
      </c>
      <c r="C2189" s="7" t="inlineStr">
        <is>
          <t>MOT-2185</t>
        </is>
      </c>
      <c r="D2189" s="7" t="inlineStr">
        <is>
          <t>bague de boîtier de filtre à air</t>
        </is>
      </c>
      <c r="E2189" s="7" t="inlineStr">
        <is>
          <t>Moteur</t>
        </is>
      </c>
      <c r="F2189" s="7" t="inlineStr">
        <is>
          <t>Moteur</t>
        </is>
      </c>
      <c r="G2189" s="7" t="inlineStr">
        <is>
          <t>PIECE_VEHICULE</t>
        </is>
      </c>
      <c r="H2189" s="7" t="n">
        <v>1</v>
      </c>
      <c r="I2189" s="7">
        <f>H2189*$D$3</f>
        <v/>
      </c>
      <c r="J2189" s="7" t="inlineStr">
        <is>
          <t>unité</t>
        </is>
      </c>
      <c r="K2189" s="7" t="n">
        <v>0</v>
      </c>
      <c r="L2189" s="7">
        <f>K2189-I2189</f>
        <v/>
      </c>
      <c r="M2189" s="7">
        <f>IF(K2189&lt;I2189,"✕ INSUFFISANT",IF(K2189&lt;I2189*1.2,"⚠ STOCK FAIBLE","✓ COUVERT"))</f>
        <v/>
      </c>
      <c r="N2189" s="7" t="inlineStr">
        <is>
          <t>MAG</t>
        </is>
      </c>
      <c r="O2189" s="7" t="inlineStr">
        <is>
          <t>CRITIQUE</t>
        </is>
      </c>
      <c r="P2189" s="7" t="inlineStr">
        <is>
          <t>31/08/2026 02:59</t>
        </is>
      </c>
    </row>
    <row r="2190">
      <c r="A2190" s="8" t="inlineStr">
        <is>
          <t>WHAP 8x8</t>
        </is>
      </c>
      <c r="B2190" s="8" t="inlineStr">
        <is>
          <t>WHAP-2186</t>
        </is>
      </c>
      <c r="C2190" s="8" t="inlineStr">
        <is>
          <t>MOT-2186</t>
        </is>
      </c>
      <c r="D2190" s="8" t="inlineStr">
        <is>
          <t>entretoise de boîtier de filtre à air</t>
        </is>
      </c>
      <c r="E2190" s="8" t="inlineStr">
        <is>
          <t>Moteur</t>
        </is>
      </c>
      <c r="F2190" s="8" t="inlineStr">
        <is>
          <t>Moteur</t>
        </is>
      </c>
      <c r="G2190" s="8" t="inlineStr">
        <is>
          <t>PIECE_VEHICULE</t>
        </is>
      </c>
      <c r="H2190" s="8" t="n">
        <v>1</v>
      </c>
      <c r="I2190" s="8">
        <f>H2190*$D$3</f>
        <v/>
      </c>
      <c r="J2190" s="8" t="inlineStr">
        <is>
          <t>unité</t>
        </is>
      </c>
      <c r="K2190" s="8" t="n">
        <v>0</v>
      </c>
      <c r="L2190" s="8">
        <f>K2190-I2190</f>
        <v/>
      </c>
      <c r="M2190" s="8">
        <f>IF(K2190&lt;I2190,"✕ INSUFFISANT",IF(K2190&lt;I2190*1.2,"⚠ STOCK FAIBLE","✓ COUVERT"))</f>
        <v/>
      </c>
      <c r="N2190" s="8" t="inlineStr">
        <is>
          <t>DEL</t>
        </is>
      </c>
      <c r="O2190" s="8" t="inlineStr">
        <is>
          <t>CRITIQUE</t>
        </is>
      </c>
      <c r="P2190" s="8" t="inlineStr">
        <is>
          <t>31/08/2026 02:59</t>
        </is>
      </c>
    </row>
    <row r="2191">
      <c r="A2191" s="7" t="inlineStr">
        <is>
          <t>WHAP 8x8</t>
        </is>
      </c>
      <c r="B2191" s="7" t="inlineStr">
        <is>
          <t>WHAP-2187</t>
        </is>
      </c>
      <c r="C2191" s="7" t="inlineStr">
        <is>
          <t>MOT-2187</t>
        </is>
      </c>
      <c r="D2191" s="7" t="inlineStr">
        <is>
          <t>axe de boîtier de filtre à air</t>
        </is>
      </c>
      <c r="E2191" s="7" t="inlineStr">
        <is>
          <t>Moteur</t>
        </is>
      </c>
      <c r="F2191" s="7" t="inlineStr">
        <is>
          <t>Moteur</t>
        </is>
      </c>
      <c r="G2191" s="7" t="inlineStr">
        <is>
          <t>PIECE_VEHICULE</t>
        </is>
      </c>
      <c r="H2191" s="7" t="n">
        <v>1</v>
      </c>
      <c r="I2191" s="7">
        <f>H2191*$D$3</f>
        <v/>
      </c>
      <c r="J2191" s="7" t="inlineStr">
        <is>
          <t>unité</t>
        </is>
      </c>
      <c r="K2191" s="7" t="n">
        <v>0</v>
      </c>
      <c r="L2191" s="7">
        <f>K2191-I2191</f>
        <v/>
      </c>
      <c r="M2191" s="7">
        <f>IF(K2191&lt;I2191,"✕ INSUFFISANT",IF(K2191&lt;I2191*1.2,"⚠ STOCK FAIBLE","✓ COUVERT"))</f>
        <v/>
      </c>
      <c r="N2191" s="7" t="inlineStr">
        <is>
          <t>CTL</t>
        </is>
      </c>
      <c r="O2191" s="7" t="inlineStr">
        <is>
          <t>CRITIQUE</t>
        </is>
      </c>
      <c r="P2191" s="7" t="inlineStr">
        <is>
          <t>31/08/2026 02:59</t>
        </is>
      </c>
    </row>
    <row r="2192">
      <c r="A2192" s="8" t="inlineStr">
        <is>
          <t>WHAP 8x8</t>
        </is>
      </c>
      <c r="B2192" s="8" t="inlineStr">
        <is>
          <t>WHAP-2188</t>
        </is>
      </c>
      <c r="C2192" s="8" t="inlineStr">
        <is>
          <t>MOT-2188</t>
        </is>
      </c>
      <c r="D2192" s="8" t="inlineStr">
        <is>
          <t>poulie de boîtier de filtre à air</t>
        </is>
      </c>
      <c r="E2192" s="8" t="inlineStr">
        <is>
          <t>Moteur</t>
        </is>
      </c>
      <c r="F2192" s="8" t="inlineStr">
        <is>
          <t>Moteur</t>
        </is>
      </c>
      <c r="G2192" s="8" t="inlineStr">
        <is>
          <t>PIECE_VEHICULE</t>
        </is>
      </c>
      <c r="H2192" s="8" t="n">
        <v>1</v>
      </c>
      <c r="I2192" s="8">
        <f>H2192*$D$3</f>
        <v/>
      </c>
      <c r="J2192" s="8" t="inlineStr">
        <is>
          <t>unité</t>
        </is>
      </c>
      <c r="K2192" s="8" t="n">
        <v>0</v>
      </c>
      <c r="L2192" s="8">
        <f>K2192-I2192</f>
        <v/>
      </c>
      <c r="M2192" s="8">
        <f>IF(K2192&lt;I2192,"✕ INSUFFISANT",IF(K2192&lt;I2192*1.2,"⚠ STOCK FAIBLE","✓ COUVERT"))</f>
        <v/>
      </c>
      <c r="N2192" s="8" t="inlineStr">
        <is>
          <t>SUM</t>
        </is>
      </c>
      <c r="O2192" s="8" t="inlineStr">
        <is>
          <t>CRITIQUE</t>
        </is>
      </c>
      <c r="P2192" s="8" t="inlineStr">
        <is>
          <t>31/08/2026 02:59</t>
        </is>
      </c>
    </row>
    <row r="2193">
      <c r="A2193" s="7" t="inlineStr">
        <is>
          <t>WHAP 8x8</t>
        </is>
      </c>
      <c r="B2193" s="7" t="inlineStr">
        <is>
          <t>WHAP-2189</t>
        </is>
      </c>
      <c r="C2193" s="7" t="inlineStr">
        <is>
          <t>MOT-2189</t>
        </is>
      </c>
      <c r="D2193" s="7" t="inlineStr">
        <is>
          <t>pignon de boîtier de filtre à air</t>
        </is>
      </c>
      <c r="E2193" s="7" t="inlineStr">
        <is>
          <t>Moteur</t>
        </is>
      </c>
      <c r="F2193" s="7" t="inlineStr">
        <is>
          <t>Moteur</t>
        </is>
      </c>
      <c r="G2193" s="7" t="inlineStr">
        <is>
          <t>PIECE_VEHICULE</t>
        </is>
      </c>
      <c r="H2193" s="7" t="n">
        <v>1</v>
      </c>
      <c r="I2193" s="7">
        <f>H2193*$D$3</f>
        <v/>
      </c>
      <c r="J2193" s="7" t="inlineStr">
        <is>
          <t>unité</t>
        </is>
      </c>
      <c r="K2193" s="7" t="n">
        <v>0</v>
      </c>
      <c r="L2193" s="7">
        <f>K2193-I2193</f>
        <v/>
      </c>
      <c r="M2193" s="7">
        <f>IF(K2193&lt;I2193,"✕ INSUFFISANT",IF(K2193&lt;I2193*1.2,"⚠ STOCK FAIBLE","✓ COUVERT"))</f>
        <v/>
      </c>
      <c r="N2193" s="7" t="inlineStr">
        <is>
          <t>YZK</t>
        </is>
      </c>
      <c r="O2193" s="7" t="inlineStr">
        <is>
          <t>CRITIQUE</t>
        </is>
      </c>
      <c r="P2193" s="7" t="inlineStr">
        <is>
          <t>31/08/2026 02:59</t>
        </is>
      </c>
    </row>
    <row r="2194">
      <c r="A2194" s="8" t="inlineStr">
        <is>
          <t>WHAP 8x8</t>
        </is>
      </c>
      <c r="B2194" s="8" t="inlineStr">
        <is>
          <t>WHAP-2190</t>
        </is>
      </c>
      <c r="C2194" s="8" t="inlineStr">
        <is>
          <t>MOT-2190</t>
        </is>
      </c>
      <c r="D2194" s="8" t="inlineStr">
        <is>
          <t>ensemble de turbocompresseur</t>
        </is>
      </c>
      <c r="E2194" s="8" t="inlineStr">
        <is>
          <t>Moteur</t>
        </is>
      </c>
      <c r="F2194" s="8" t="inlineStr">
        <is>
          <t>Moteur</t>
        </is>
      </c>
      <c r="G2194" s="8" t="inlineStr">
        <is>
          <t>PIECE_VEHICULE</t>
        </is>
      </c>
      <c r="H2194" s="8" t="n">
        <v>1</v>
      </c>
      <c r="I2194" s="8">
        <f>H2194*$D$3</f>
        <v/>
      </c>
      <c r="J2194" s="8" t="inlineStr">
        <is>
          <t>unité</t>
        </is>
      </c>
      <c r="K2194" s="8" t="n">
        <v>0</v>
      </c>
      <c r="L2194" s="8">
        <f>K2194-I2194</f>
        <v/>
      </c>
      <c r="M2194" s="8">
        <f>IF(K2194&lt;I2194,"✕ INSUFFISANT",IF(K2194&lt;I2194*1.2,"⚠ STOCK FAIBLE","✓ COUVERT"))</f>
        <v/>
      </c>
      <c r="N2194" s="8" t="inlineStr">
        <is>
          <t>HEL</t>
        </is>
      </c>
      <c r="O2194" s="8" t="inlineStr">
        <is>
          <t>CRITIQUE</t>
        </is>
      </c>
      <c r="P2194" s="8" t="inlineStr">
        <is>
          <t>31/08/2026 02:59</t>
        </is>
      </c>
    </row>
    <row r="2195">
      <c r="A2195" s="7" t="inlineStr">
        <is>
          <t>WHAP 8x8</t>
        </is>
      </c>
      <c r="B2195" s="7" t="inlineStr">
        <is>
          <t>WHAP-2191</t>
        </is>
      </c>
      <c r="C2195" s="7" t="inlineStr">
        <is>
          <t>MOT-2191</t>
        </is>
      </c>
      <c r="D2195" s="7" t="inlineStr">
        <is>
          <t>kit de turbocompresseur</t>
        </is>
      </c>
      <c r="E2195" s="7" t="inlineStr">
        <is>
          <t>Moteur</t>
        </is>
      </c>
      <c r="F2195" s="7" t="inlineStr">
        <is>
          <t>Moteur</t>
        </is>
      </c>
      <c r="G2195" s="7" t="inlineStr">
        <is>
          <t>PIECE_VEHICULE</t>
        </is>
      </c>
      <c r="H2195" s="7" t="n">
        <v>1</v>
      </c>
      <c r="I2195" s="7">
        <f>H2195*$D$3</f>
        <v/>
      </c>
      <c r="J2195" s="7" t="inlineStr">
        <is>
          <t>unité</t>
        </is>
      </c>
      <c r="K2195" s="7" t="n">
        <v>0</v>
      </c>
      <c r="L2195" s="7">
        <f>K2195-I2195</f>
        <v/>
      </c>
      <c r="M2195" s="7">
        <f>IF(K2195&lt;I2195,"✕ INSUFFISANT",IF(K2195&lt;I2195*1.2,"⚠ STOCK FAIBLE","✓ COUVERT"))</f>
        <v/>
      </c>
      <c r="N2195" s="7" t="inlineStr">
        <is>
          <t>VAL</t>
        </is>
      </c>
      <c r="O2195" s="7" t="inlineStr">
        <is>
          <t>CRITIQUE</t>
        </is>
      </c>
      <c r="P2195" s="7" t="inlineStr">
        <is>
          <t>31/08/2026 02:59</t>
        </is>
      </c>
    </row>
    <row r="2196">
      <c r="A2196" s="8" t="inlineStr">
        <is>
          <t>WHAP 8x8</t>
        </is>
      </c>
      <c r="B2196" s="8" t="inlineStr">
        <is>
          <t>WHAP-2192</t>
        </is>
      </c>
      <c r="C2196" s="8" t="inlineStr">
        <is>
          <t>MOT-2192</t>
        </is>
      </c>
      <c r="D2196" s="8" t="inlineStr">
        <is>
          <t>support de turbocompresseur</t>
        </is>
      </c>
      <c r="E2196" s="8" t="inlineStr">
        <is>
          <t>Moteur</t>
        </is>
      </c>
      <c r="F2196" s="8" t="inlineStr">
        <is>
          <t>Moteur</t>
        </is>
      </c>
      <c r="G2196" s="8" t="inlineStr">
        <is>
          <t>PIECE_VEHICULE</t>
        </is>
      </c>
      <c r="H2196" s="8" t="n">
        <v>1</v>
      </c>
      <c r="I2196" s="8">
        <f>H2196*$D$3</f>
        <v/>
      </c>
      <c r="J2196" s="8" t="inlineStr">
        <is>
          <t>unité</t>
        </is>
      </c>
      <c r="K2196" s="8" t="n">
        <v>0</v>
      </c>
      <c r="L2196" s="8">
        <f>K2196-I2196</f>
        <v/>
      </c>
      <c r="M2196" s="8">
        <f>IF(K2196&lt;I2196,"✕ INSUFFISANT",IF(K2196&lt;I2196*1.2,"⚠ STOCK FAIBLE","✓ COUVERT"))</f>
        <v/>
      </c>
      <c r="N2196" s="8" t="inlineStr">
        <is>
          <t>SKF</t>
        </is>
      </c>
      <c r="O2196" s="8" t="inlineStr">
        <is>
          <t>CRITIQUE</t>
        </is>
      </c>
      <c r="P2196" s="8" t="inlineStr">
        <is>
          <t>31/08/2026 02:59</t>
        </is>
      </c>
    </row>
    <row r="2197">
      <c r="A2197" s="7" t="inlineStr">
        <is>
          <t>WHAP 8x8</t>
        </is>
      </c>
      <c r="B2197" s="7" t="inlineStr">
        <is>
          <t>WHAP-2193</t>
        </is>
      </c>
      <c r="C2197" s="7" t="inlineStr">
        <is>
          <t>MOT-2193</t>
        </is>
      </c>
      <c r="D2197" s="7" t="inlineStr">
        <is>
          <t>boîtier de turbocompresseur</t>
        </is>
      </c>
      <c r="E2197" s="7" t="inlineStr">
        <is>
          <t>Moteur</t>
        </is>
      </c>
      <c r="F2197" s="7" t="inlineStr">
        <is>
          <t>Moteur</t>
        </is>
      </c>
      <c r="G2197" s="7" t="inlineStr">
        <is>
          <t>PIECE_VEHICULE</t>
        </is>
      </c>
      <c r="H2197" s="7" t="n">
        <v>1</v>
      </c>
      <c r="I2197" s="7">
        <f>H2197*$D$3</f>
        <v/>
      </c>
      <c r="J2197" s="7" t="inlineStr">
        <is>
          <t>unité</t>
        </is>
      </c>
      <c r="K2197" s="7" t="n">
        <v>0</v>
      </c>
      <c r="L2197" s="7">
        <f>K2197-I2197</f>
        <v/>
      </c>
      <c r="M2197" s="7">
        <f>IF(K2197&lt;I2197,"✕ INSUFFISANT",IF(K2197&lt;I2197*1.2,"⚠ STOCK FAIBLE","✓ COUVERT"))</f>
        <v/>
      </c>
      <c r="N2197" s="7" t="inlineStr">
        <is>
          <t>MAG</t>
        </is>
      </c>
      <c r="O2197" s="7" t="inlineStr">
        <is>
          <t>CRITIQUE</t>
        </is>
      </c>
      <c r="P2197" s="7" t="inlineStr">
        <is>
          <t>31/08/2026 02:59</t>
        </is>
      </c>
    </row>
    <row r="2198">
      <c r="A2198" s="8" t="inlineStr">
        <is>
          <t>WHAP 8x8</t>
        </is>
      </c>
      <c r="B2198" s="8" t="inlineStr">
        <is>
          <t>WHAP-2194</t>
        </is>
      </c>
      <c r="C2198" s="8" t="inlineStr">
        <is>
          <t>MOT-2194</t>
        </is>
      </c>
      <c r="D2198" s="8" t="inlineStr">
        <is>
          <t>module de turbocompresseur</t>
        </is>
      </c>
      <c r="E2198" s="8" t="inlineStr">
        <is>
          <t>Moteur</t>
        </is>
      </c>
      <c r="F2198" s="8" t="inlineStr">
        <is>
          <t>Moteur</t>
        </is>
      </c>
      <c r="G2198" s="8" t="inlineStr">
        <is>
          <t>PIECE_VEHICULE</t>
        </is>
      </c>
      <c r="H2198" s="8" t="n">
        <v>1</v>
      </c>
      <c r="I2198" s="8">
        <f>H2198*$D$3</f>
        <v/>
      </c>
      <c r="J2198" s="8" t="inlineStr">
        <is>
          <t>unité</t>
        </is>
      </c>
      <c r="K2198" s="8" t="n">
        <v>0</v>
      </c>
      <c r="L2198" s="8">
        <f>K2198-I2198</f>
        <v/>
      </c>
      <c r="M2198" s="8">
        <f>IF(K2198&lt;I2198,"✕ INSUFFISANT",IF(K2198&lt;I2198*1.2,"⚠ STOCK FAIBLE","✓ COUVERT"))</f>
        <v/>
      </c>
      <c r="N2198" s="8" t="inlineStr">
        <is>
          <t>SUM</t>
        </is>
      </c>
      <c r="O2198" s="8" t="inlineStr">
        <is>
          <t>CRITIQUE</t>
        </is>
      </c>
      <c r="P2198" s="8" t="inlineStr">
        <is>
          <t>31/08/2026 02:59</t>
        </is>
      </c>
    </row>
    <row r="2199">
      <c r="A2199" s="7" t="inlineStr">
        <is>
          <t>WHAP 8x8</t>
        </is>
      </c>
      <c r="B2199" s="7" t="inlineStr">
        <is>
          <t>WHAP-2195</t>
        </is>
      </c>
      <c r="C2199" s="7" t="inlineStr">
        <is>
          <t>MOT-2195</t>
        </is>
      </c>
      <c r="D2199" s="7" t="inlineStr">
        <is>
          <t>câblage de turbocompresseur</t>
        </is>
      </c>
      <c r="E2199" s="7" t="inlineStr">
        <is>
          <t>Moteur</t>
        </is>
      </c>
      <c r="F2199" s="7" t="inlineStr">
        <is>
          <t>Moteur</t>
        </is>
      </c>
      <c r="G2199" s="7" t="inlineStr">
        <is>
          <t>PIECE_VEHICULE</t>
        </is>
      </c>
      <c r="H2199" s="7" t="n">
        <v>1</v>
      </c>
      <c r="I2199" s="7">
        <f>H2199*$D$3</f>
        <v/>
      </c>
      <c r="J2199" s="7" t="inlineStr">
        <is>
          <t>unité</t>
        </is>
      </c>
      <c r="K2199" s="7" t="n">
        <v>0</v>
      </c>
      <c r="L2199" s="7">
        <f>K2199-I2199</f>
        <v/>
      </c>
      <c r="M2199" s="7">
        <f>IF(K2199&lt;I2199,"✕ INSUFFISANT",IF(K2199&lt;I2199*1.2,"⚠ STOCK FAIBLE","✓ COUVERT"))</f>
        <v/>
      </c>
      <c r="N2199" s="7" t="inlineStr">
        <is>
          <t>MAG</t>
        </is>
      </c>
      <c r="O2199" s="7" t="inlineStr">
        <is>
          <t>CRITIQUE</t>
        </is>
      </c>
      <c r="P2199" s="7" t="inlineStr">
        <is>
          <t>31/08/2026 02:59</t>
        </is>
      </c>
    </row>
    <row r="2200">
      <c r="A2200" s="8" t="inlineStr">
        <is>
          <t>WHAP 8x8</t>
        </is>
      </c>
      <c r="B2200" s="8" t="inlineStr">
        <is>
          <t>WHAP-2196</t>
        </is>
      </c>
      <c r="C2200" s="8" t="inlineStr">
        <is>
          <t>MOT-2196</t>
        </is>
      </c>
      <c r="D2200" s="8" t="inlineStr">
        <is>
          <t>connecteur de turbocompresseur</t>
        </is>
      </c>
      <c r="E2200" s="8" t="inlineStr">
        <is>
          <t>Moteur</t>
        </is>
      </c>
      <c r="F2200" s="8" t="inlineStr">
        <is>
          <t>Moteur</t>
        </is>
      </c>
      <c r="G2200" s="8" t="inlineStr">
        <is>
          <t>PIECE_VEHICULE</t>
        </is>
      </c>
      <c r="H2200" s="8" t="n">
        <v>1</v>
      </c>
      <c r="I2200" s="8">
        <f>H2200*$D$3</f>
        <v/>
      </c>
      <c r="J2200" s="8" t="inlineStr">
        <is>
          <t>unité</t>
        </is>
      </c>
      <c r="K2200" s="8" t="n">
        <v>0</v>
      </c>
      <c r="L2200" s="8">
        <f>K2200-I2200</f>
        <v/>
      </c>
      <c r="M2200" s="8">
        <f>IF(K2200&lt;I2200,"✕ INSUFFISANT",IF(K2200&lt;I2200*1.2,"⚠ STOCK FAIBLE","✓ COUVERT"))</f>
        <v/>
      </c>
      <c r="N2200" s="8" t="inlineStr">
        <is>
          <t>MAG</t>
        </is>
      </c>
      <c r="O2200" s="8" t="inlineStr">
        <is>
          <t>CRITIQUE</t>
        </is>
      </c>
      <c r="P2200" s="8" t="inlineStr">
        <is>
          <t>31/08/2026 02:59</t>
        </is>
      </c>
    </row>
    <row r="2201">
      <c r="A2201" s="7" t="inlineStr">
        <is>
          <t>WHAP 8x8</t>
        </is>
      </c>
      <c r="B2201" s="7" t="inlineStr">
        <is>
          <t>WHAP-2197</t>
        </is>
      </c>
      <c r="C2201" s="7" t="inlineStr">
        <is>
          <t>MOT-2197</t>
        </is>
      </c>
      <c r="D2201" s="7" t="inlineStr">
        <is>
          <t>joint de turbocompresseur</t>
        </is>
      </c>
      <c r="E2201" s="7" t="inlineStr">
        <is>
          <t>Moteur</t>
        </is>
      </c>
      <c r="F2201" s="7" t="inlineStr">
        <is>
          <t>Moteur</t>
        </is>
      </c>
      <c r="G2201" s="7" t="inlineStr">
        <is>
          <t>PIECE_VEHICULE</t>
        </is>
      </c>
      <c r="H2201" s="7" t="n">
        <v>1</v>
      </c>
      <c r="I2201" s="7">
        <f>H2201*$D$3</f>
        <v/>
      </c>
      <c r="J2201" s="7" t="inlineStr">
        <is>
          <t>unité</t>
        </is>
      </c>
      <c r="K2201" s="7" t="n">
        <v>0</v>
      </c>
      <c r="L2201" s="7">
        <f>K2201-I2201</f>
        <v/>
      </c>
      <c r="M2201" s="7">
        <f>IF(K2201&lt;I2201,"✕ INSUFFISANT",IF(K2201&lt;I2201*1.2,"⚠ STOCK FAIBLE","✓ COUVERT"))</f>
        <v/>
      </c>
      <c r="N2201" s="7" t="inlineStr">
        <is>
          <t>BOS</t>
        </is>
      </c>
      <c r="O2201" s="7" t="inlineStr">
        <is>
          <t>CRITIQUE</t>
        </is>
      </c>
      <c r="P2201" s="7" t="inlineStr">
        <is>
          <t>31/08/2026 02:59</t>
        </is>
      </c>
    </row>
    <row r="2202">
      <c r="A2202" s="8" t="inlineStr">
        <is>
          <t>WHAP 8x8</t>
        </is>
      </c>
      <c r="B2202" s="8" t="inlineStr">
        <is>
          <t>WHAP-2198</t>
        </is>
      </c>
      <c r="C2202" s="8" t="inlineStr">
        <is>
          <t>MOT-2198</t>
        </is>
      </c>
      <c r="D2202" s="8" t="inlineStr">
        <is>
          <t>fixation de turbocompresseur</t>
        </is>
      </c>
      <c r="E2202" s="8" t="inlineStr">
        <is>
          <t>Moteur</t>
        </is>
      </c>
      <c r="F2202" s="8" t="inlineStr">
        <is>
          <t>Moteur</t>
        </is>
      </c>
      <c r="G2202" s="8" t="inlineStr">
        <is>
          <t>PIECE_VEHICULE</t>
        </is>
      </c>
      <c r="H2202" s="8" t="n">
        <v>1</v>
      </c>
      <c r="I2202" s="8">
        <f>H2202*$D$3</f>
        <v/>
      </c>
      <c r="J2202" s="8" t="inlineStr">
        <is>
          <t>unité</t>
        </is>
      </c>
      <c r="K2202" s="8" t="n">
        <v>0</v>
      </c>
      <c r="L2202" s="8">
        <f>K2202-I2202</f>
        <v/>
      </c>
      <c r="M2202" s="8">
        <f>IF(K2202&lt;I2202,"✕ INSUFFISANT",IF(K2202&lt;I2202*1.2,"⚠ STOCK FAIBLE","✓ COUVERT"))</f>
        <v/>
      </c>
      <c r="N2202" s="8" t="inlineStr">
        <is>
          <t>CTL</t>
        </is>
      </c>
      <c r="O2202" s="8" t="inlineStr">
        <is>
          <t>CRITIQUE</t>
        </is>
      </c>
      <c r="P2202" s="8" t="inlineStr">
        <is>
          <t>31/08/2026 02:59</t>
        </is>
      </c>
    </row>
    <row r="2203">
      <c r="A2203" s="7" t="inlineStr">
        <is>
          <t>WHAP 8x8</t>
        </is>
      </c>
      <c r="B2203" s="7" t="inlineStr">
        <is>
          <t>WHAP-2199</t>
        </is>
      </c>
      <c r="C2203" s="7" t="inlineStr">
        <is>
          <t>MOT-2199</t>
        </is>
      </c>
      <c r="D2203" s="7" t="inlineStr">
        <is>
          <t>protection de turbocompresseur</t>
        </is>
      </c>
      <c r="E2203" s="7" t="inlineStr">
        <is>
          <t>Moteur</t>
        </is>
      </c>
      <c r="F2203" s="7" t="inlineStr">
        <is>
          <t>Moteur</t>
        </is>
      </c>
      <c r="G2203" s="7" t="inlineStr">
        <is>
          <t>PIECE_VEHICULE</t>
        </is>
      </c>
      <c r="H2203" s="7" t="n">
        <v>1</v>
      </c>
      <c r="I2203" s="7">
        <f>H2203*$D$3</f>
        <v/>
      </c>
      <c r="J2203" s="7" t="inlineStr">
        <is>
          <t>unité</t>
        </is>
      </c>
      <c r="K2203" s="7" t="n">
        <v>0</v>
      </c>
      <c r="L2203" s="7">
        <f>K2203-I2203</f>
        <v/>
      </c>
      <c r="M2203" s="7">
        <f>IF(K2203&lt;I2203,"✕ INSUFFISANT",IF(K2203&lt;I2203*1.2,"⚠ STOCK FAIBLE","✓ COUVERT"))</f>
        <v/>
      </c>
      <c r="N2203" s="7" t="inlineStr">
        <is>
          <t>YZK</t>
        </is>
      </c>
      <c r="O2203" s="7" t="inlineStr">
        <is>
          <t>CRITIQUE</t>
        </is>
      </c>
      <c r="P2203" s="7" t="inlineStr">
        <is>
          <t>31/08/2026 02:59</t>
        </is>
      </c>
    </row>
    <row r="2204">
      <c r="A2204" s="8" t="inlineStr">
        <is>
          <t>WHAP 8x8</t>
        </is>
      </c>
      <c r="B2204" s="8" t="inlineStr">
        <is>
          <t>WHAP-2200</t>
        </is>
      </c>
      <c r="C2204" s="8" t="inlineStr">
        <is>
          <t>MOT-2200</t>
        </is>
      </c>
      <c r="D2204" s="8" t="inlineStr">
        <is>
          <t>capteur de turbocompresseur</t>
        </is>
      </c>
      <c r="E2204" s="8" t="inlineStr">
        <is>
          <t>Moteur</t>
        </is>
      </c>
      <c r="F2204" s="8" t="inlineStr">
        <is>
          <t>Moteur</t>
        </is>
      </c>
      <c r="G2204" s="8" t="inlineStr">
        <is>
          <t>PIECE_VEHICULE</t>
        </is>
      </c>
      <c r="H2204" s="8" t="n">
        <v>1</v>
      </c>
      <c r="I2204" s="8">
        <f>H2204*$D$3</f>
        <v/>
      </c>
      <c r="J2204" s="8" t="inlineStr">
        <is>
          <t>unité</t>
        </is>
      </c>
      <c r="K2204" s="8" t="n">
        <v>0</v>
      </c>
      <c r="L2204" s="8">
        <f>K2204-I2204</f>
        <v/>
      </c>
      <c r="M2204" s="8">
        <f>IF(K2204&lt;I2204,"✕ INSUFFISANT",IF(K2204&lt;I2204*1.2,"⚠ STOCK FAIBLE","✓ COUVERT"))</f>
        <v/>
      </c>
      <c r="N2204" s="8" t="inlineStr">
        <is>
          <t>MAG</t>
        </is>
      </c>
      <c r="O2204" s="8" t="inlineStr">
        <is>
          <t>CRITIQUE</t>
        </is>
      </c>
      <c r="P2204" s="8" t="inlineStr">
        <is>
          <t>31/08/2026 02:59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autoFilter ref="A4:P2204"/>
  <conditionalFormatting sqref="M5:M2204">
    <cfRule type="cellIs" priority="1" operator="equal" dxfId="0">
      <formula>"✓ COUVERT"</formula>
    </cfRule>
    <cfRule type="cellIs" priority="2" operator="equal" dxfId="1">
      <formula>"⚠ STOCK FAIBLE"</formula>
    </cfRule>
    <cfRule type="cellIs" priority="3" operator="equal" dxfId="2">
      <formula>"✕ INSUFFISANT"</formula>
    </cfRule>
  </conditionalFormatting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V124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4" customWidth="1" min="1" max="1"/>
    <col width="12" customWidth="1" min="2" max="2"/>
    <col hidden="1" width="10" customWidth="1" min="3" max="3"/>
    <col width="16" customWidth="1" min="4" max="4"/>
    <col width="34" customWidth="1" min="5" max="5"/>
    <col width="14" customWidth="1" min="6" max="6"/>
    <col width="16" customWidth="1" min="7" max="7"/>
    <col width="18" customWidth="1" min="8" max="8"/>
    <col width="16" customWidth="1" min="9" max="9"/>
    <col width="10" customWidth="1" min="10" max="10"/>
    <col hidden="1" width="20" customWidth="1" min="11" max="11"/>
    <col width="24" customWidth="1" min="12" max="12"/>
    <col width="30" customWidth="1" min="13" max="13"/>
    <col width="20" customWidth="1" min="14" max="14"/>
    <col width="24" customWidth="1" min="15" max="15"/>
    <col width="20" customWidth="1" min="16" max="16"/>
    <col width="18" customWidth="1" min="17" max="17"/>
    <col width="30" customWidth="1" min="18" max="18"/>
    <col width="14" customWidth="1" min="19" max="19"/>
    <col hidden="1" outlineLevel="1" width="18" customWidth="1" min="20" max="22"/>
  </cols>
  <sheetData>
    <row r="1" ht="22" customHeight="1">
      <c r="A1" s="1" t="inlineStr">
        <is>
          <t>RECEPTION</t>
        </is>
      </c>
    </row>
    <row r="2">
      <c r="A2" s="2" t="inlineStr">
        <is>
          <t>Livraisons fournisseur. Une reception ne modifie jamais le stock.</t>
        </is>
      </c>
    </row>
    <row r="3" ht="15" customHeight="1">
      <c r="A3" s="13" t="inlineStr">
        <is>
          <t>SLCC - aucune synchronisation depuis l'ouverture du fichier</t>
        </is>
      </c>
    </row>
    <row r="4" ht="30" customHeight="1">
      <c r="A4" s="14" t="inlineStr">
        <is>
          <t>ID_RECEPTION</t>
        </is>
      </c>
      <c r="B4" s="15" t="inlineStr">
        <is>
          <t>DATE</t>
        </is>
      </c>
      <c r="C4" s="14" t="inlineStr">
        <is>
          <t>HEURE</t>
        </is>
      </c>
      <c r="D4" s="6" t="inlineStr">
        <is>
          <t>REFERENCE_PIECE</t>
        </is>
      </c>
      <c r="E4" s="14" t="inlineStr">
        <is>
          <t>DESIGNATION</t>
        </is>
      </c>
      <c r="F4" s="6" t="inlineStr">
        <is>
          <t>FOURNISSEUR</t>
        </is>
      </c>
      <c r="G4" s="6" t="inlineStr">
        <is>
          <t>BON_LIVRAISON</t>
        </is>
      </c>
      <c r="H4" s="6" t="inlineStr">
        <is>
          <t>QUANTITE_ATTENDUE</t>
        </is>
      </c>
      <c r="I4" s="6" t="inlineStr">
        <is>
          <t>QUANTITE_RECUE</t>
        </is>
      </c>
      <c r="J4" s="14" t="inlineStr">
        <is>
          <t>ECART</t>
        </is>
      </c>
      <c r="K4" s="14" t="inlineStr">
        <is>
          <t>TOLERANCE_AUTORISEE</t>
        </is>
      </c>
      <c r="L4" s="14" t="inlineStr">
        <is>
          <t>RESULTAT_CONTROLE</t>
        </is>
      </c>
      <c r="M4" s="16" t="inlineStr">
        <is>
          <t>COMMENTAIRE</t>
        </is>
      </c>
      <c r="N4" s="6" t="inlineStr">
        <is>
          <t>MATRICULE_OPERATEUR</t>
        </is>
      </c>
      <c r="O4" s="14" t="inlineStr">
        <is>
          <t>STATUT</t>
        </is>
      </c>
      <c r="P4" s="14" t="inlineStr">
        <is>
          <t>MATRICULE_CHECKER</t>
        </is>
      </c>
      <c r="Q4" s="14" t="inlineStr">
        <is>
          <t>DATE_VALIDATION</t>
        </is>
      </c>
      <c r="R4" s="14" t="inlineStr">
        <is>
          <t>MOTIF_REJET</t>
        </is>
      </c>
      <c r="S4" s="14" t="inlineStr">
        <is>
          <t>ETAT_SYNC</t>
        </is>
      </c>
      <c r="T4" s="14" t="inlineStr">
        <is>
          <t>DATE_SOUMISSION</t>
        </is>
      </c>
      <c r="U4" s="14" t="inlineStr">
        <is>
          <t>ID_SYNC</t>
        </is>
      </c>
      <c r="V4" s="14" t="inlineStr">
        <is>
          <t>JETON_VALIDATION</t>
        </is>
      </c>
    </row>
    <row r="5">
      <c r="A5" s="17" t="inlineStr">
        <is>
          <t>RCP-2026-254</t>
        </is>
      </c>
      <c r="B5" s="18" t="inlineStr">
        <is>
          <t>31/08/2026</t>
        </is>
      </c>
      <c r="C5" s="18" t="inlineStr">
        <is>
          <t>05:59</t>
        </is>
      </c>
      <c r="D5" s="17" t="inlineStr">
        <is>
          <t>WHAP-0151</t>
        </is>
      </c>
      <c r="E5" s="18">
        <f>IF($D5="","",IFERROR(VLOOKUP($D5,ARTICLES!$A$5:$S$2243,3,FALSE),"reference inconnue"))</f>
        <v/>
      </c>
      <c r="F5" s="17" t="inlineStr">
        <is>
          <t>BOS</t>
        </is>
      </c>
      <c r="G5" s="17" t="inlineStr">
        <is>
          <t>BL-BOS-2839</t>
        </is>
      </c>
      <c r="H5" s="17" t="n">
        <v>30</v>
      </c>
      <c r="I5" s="17" t="n">
        <v>30</v>
      </c>
      <c r="J5" s="18">
        <f>IF(I5="","",I5-H5)</f>
        <v/>
      </c>
      <c r="K5" s="18">
        <f>IF($D5="","",IFERROR(VLOOKUP($D5,ARTICLES!$A$5:$S$2243,9,FALSE),0))</f>
        <v/>
      </c>
      <c r="L5" s="18">
        <f>IF(H5="","",IF(J5=0,"✓ CONFORME",IF(AND(K5&gt;0,ABS(J5)&lt;=H5*K5/100),"✓ DANS LA TOLERANCE","✕ HORS TOLERANCE")))</f>
        <v/>
      </c>
      <c r="M5" s="17" t="inlineStr"/>
      <c r="N5" s="17" t="inlineStr">
        <is>
          <t>OP-1042</t>
        </is>
      </c>
      <c r="O5" s="17" t="inlineStr">
        <is>
          <t>VALIDE</t>
        </is>
      </c>
      <c r="P5" s="17" t="inlineStr"/>
      <c r="Q5" s="17" t="inlineStr"/>
      <c r="R5" s="17" t="inlineStr"/>
      <c r="S5" s="17" t="inlineStr">
        <is>
          <t>SYNCHRONISE</t>
        </is>
      </c>
      <c r="T5" s="17" t="inlineStr"/>
      <c r="U5" s="17" t="inlineStr">
        <is>
          <t>RECEPTION-HISTORIQUE-001</t>
        </is>
      </c>
      <c r="V5" s="17" t="inlineStr"/>
    </row>
    <row r="6">
      <c r="A6" s="17" t="inlineStr">
        <is>
          <t>RCP-2026-253</t>
        </is>
      </c>
      <c r="B6" s="18" t="inlineStr">
        <is>
          <t>31/08/2026</t>
        </is>
      </c>
      <c r="C6" s="18" t="inlineStr">
        <is>
          <t>01:59</t>
        </is>
      </c>
      <c r="D6" s="17" t="inlineStr">
        <is>
          <t>TRT-002</t>
        </is>
      </c>
      <c r="E6" s="18">
        <f>IF($D6="","",IFERROR(VLOOKUP($D6,ARTICLES!$A$5:$S$2243,3,FALSE),"reference inconnue"))</f>
        <v/>
      </c>
      <c r="F6" s="17" t="inlineStr">
        <is>
          <t>SUM</t>
        </is>
      </c>
      <c r="G6" s="17" t="inlineStr">
        <is>
          <t>BL-SUM-2838</t>
        </is>
      </c>
      <c r="H6" s="17" t="n">
        <v>360</v>
      </c>
      <c r="I6" s="17" t="n">
        <v>360</v>
      </c>
      <c r="J6" s="18">
        <f>IF(I6="","",I6-H6)</f>
        <v/>
      </c>
      <c r="K6" s="18">
        <f>IF($D6="","",IFERROR(VLOOKUP($D6,ARTICLES!$A$5:$S$2243,9,FALSE),0))</f>
        <v/>
      </c>
      <c r="L6" s="18">
        <f>IF(H6="","",IF(J6=0,"✓ CONFORME",IF(AND(K6&gt;0,ABS(J6)&lt;=H6*K6/100),"✓ DANS LA TOLERANCE","✕ HORS TOLERANCE")))</f>
        <v/>
      </c>
      <c r="M6" s="17" t="inlineStr"/>
      <c r="N6" s="17" t="inlineStr">
        <is>
          <t>OP-1051</t>
        </is>
      </c>
      <c r="O6" s="17" t="inlineStr">
        <is>
          <t>VALIDE</t>
        </is>
      </c>
      <c r="P6" s="17" t="inlineStr"/>
      <c r="Q6" s="17" t="inlineStr"/>
      <c r="R6" s="17" t="inlineStr"/>
      <c r="S6" s="17" t="inlineStr">
        <is>
          <t>SYNCHRONISE</t>
        </is>
      </c>
      <c r="T6" s="17" t="inlineStr"/>
      <c r="U6" s="17" t="inlineStr">
        <is>
          <t>RECEPTION-HISTORIQUE-002</t>
        </is>
      </c>
      <c r="V6" s="17" t="inlineStr"/>
    </row>
    <row r="7">
      <c r="A7" s="17" t="inlineStr">
        <is>
          <t>RCP-2026-252</t>
        </is>
      </c>
      <c r="B7" s="18" t="inlineStr">
        <is>
          <t>30/08/2026</t>
        </is>
      </c>
      <c r="C7" s="18" t="inlineStr">
        <is>
          <t>21:59</t>
        </is>
      </c>
      <c r="D7" s="17" t="inlineStr">
        <is>
          <t>NET-001</t>
        </is>
      </c>
      <c r="E7" s="18">
        <f>IF($D7="","",IFERROR(VLOOKUP($D7,ARTICLES!$A$5:$S$2243,3,FALSE),"reference inconnue"))</f>
        <v/>
      </c>
      <c r="F7" s="17" t="inlineStr">
        <is>
          <t>YZK</t>
        </is>
      </c>
      <c r="G7" s="17" t="inlineStr">
        <is>
          <t>BL-YZK-2837</t>
        </is>
      </c>
      <c r="H7" s="17" t="n">
        <v>600</v>
      </c>
      <c r="I7" s="17" t="n">
        <v>600</v>
      </c>
      <c r="J7" s="18">
        <f>IF(I7="","",I7-H7)</f>
        <v/>
      </c>
      <c r="K7" s="18">
        <f>IF($D7="","",IFERROR(VLOOKUP($D7,ARTICLES!$A$5:$S$2243,9,FALSE),0))</f>
        <v/>
      </c>
      <c r="L7" s="18">
        <f>IF(H7="","",IF(J7=0,"✓ CONFORME",IF(AND(K7&gt;0,ABS(J7)&lt;=H7*K7/100),"✓ DANS LA TOLERANCE","✕ HORS TOLERANCE")))</f>
        <v/>
      </c>
      <c r="M7" s="17" t="inlineStr"/>
      <c r="N7" s="17" t="inlineStr">
        <is>
          <t>OP-1042</t>
        </is>
      </c>
      <c r="O7" s="17" t="inlineStr">
        <is>
          <t>VALIDE</t>
        </is>
      </c>
      <c r="P7" s="17" t="inlineStr"/>
      <c r="Q7" s="17" t="inlineStr"/>
      <c r="R7" s="17" t="inlineStr"/>
      <c r="S7" s="17" t="inlineStr">
        <is>
          <t>SYNCHRONISE</t>
        </is>
      </c>
      <c r="T7" s="17" t="inlineStr"/>
      <c r="U7" s="17" t="inlineStr">
        <is>
          <t>RECEPTION-HISTORIQUE-003</t>
        </is>
      </c>
      <c r="V7" s="17" t="inlineStr"/>
    </row>
    <row r="8">
      <c r="A8" s="17" t="inlineStr">
        <is>
          <t>RCP-2026-251</t>
        </is>
      </c>
      <c r="B8" s="18" t="inlineStr">
        <is>
          <t>30/08/2026</t>
        </is>
      </c>
      <c r="C8" s="18" t="inlineStr">
        <is>
          <t>17:59</t>
        </is>
      </c>
      <c r="D8" s="17" t="inlineStr">
        <is>
          <t>WHAP-0057</t>
        </is>
      </c>
      <c r="E8" s="18">
        <f>IF($D8="","",IFERROR(VLOOKUP($D8,ARTICLES!$A$5:$S$2243,3,FALSE),"reference inconnue"))</f>
        <v/>
      </c>
      <c r="F8" s="17" t="inlineStr">
        <is>
          <t>CTL</t>
        </is>
      </c>
      <c r="G8" s="17" t="inlineStr">
        <is>
          <t>BL-CTL-2836</t>
        </is>
      </c>
      <c r="H8" s="17" t="n">
        <v>100</v>
      </c>
      <c r="I8" s="17" t="n">
        <v>100</v>
      </c>
      <c r="J8" s="18">
        <f>IF(I8="","",I8-H8)</f>
        <v/>
      </c>
      <c r="K8" s="18">
        <f>IF($D8="","",IFERROR(VLOOKUP($D8,ARTICLES!$A$5:$S$2243,9,FALSE),0))</f>
        <v/>
      </c>
      <c r="L8" s="18">
        <f>IF(H8="","",IF(J8=0,"✓ CONFORME",IF(AND(K8&gt;0,ABS(J8)&lt;=H8*K8/100),"✓ DANS LA TOLERANCE","✕ HORS TOLERANCE")))</f>
        <v/>
      </c>
      <c r="M8" s="17" t="inlineStr"/>
      <c r="N8" s="17" t="inlineStr">
        <is>
          <t>OP-1063</t>
        </is>
      </c>
      <c r="O8" s="17" t="inlineStr">
        <is>
          <t>VALIDE</t>
        </is>
      </c>
      <c r="P8" s="17" t="inlineStr"/>
      <c r="Q8" s="17" t="inlineStr"/>
      <c r="R8" s="17" t="inlineStr"/>
      <c r="S8" s="17" t="inlineStr">
        <is>
          <t>SYNCHRONISE</t>
        </is>
      </c>
      <c r="T8" s="17" t="inlineStr"/>
      <c r="U8" s="17" t="inlineStr">
        <is>
          <t>RECEPTION-HISTORIQUE-004</t>
        </is>
      </c>
      <c r="V8" s="17" t="inlineStr"/>
    </row>
    <row r="9">
      <c r="A9" s="17" t="inlineStr">
        <is>
          <t>RCP-2026-250</t>
        </is>
      </c>
      <c r="B9" s="18" t="inlineStr">
        <is>
          <t>30/08/2026</t>
        </is>
      </c>
      <c r="C9" s="18" t="inlineStr">
        <is>
          <t>13:59</t>
        </is>
      </c>
      <c r="D9" s="17" t="inlineStr">
        <is>
          <t>LUB-002</t>
        </is>
      </c>
      <c r="E9" s="18">
        <f>IF($D9="","",IFERROR(VLOOKUP($D9,ARTICLES!$A$5:$S$2243,3,FALSE),"reference inconnue"))</f>
        <v/>
      </c>
      <c r="F9" s="17" t="inlineStr">
        <is>
          <t>HEL</t>
        </is>
      </c>
      <c r="G9" s="17" t="inlineStr">
        <is>
          <t>BL-HEL-2835</t>
        </is>
      </c>
      <c r="H9" s="17" t="n">
        <v>300</v>
      </c>
      <c r="I9" s="17" t="n">
        <v>300</v>
      </c>
      <c r="J9" s="18">
        <f>IF(I9="","",I9-H9)</f>
        <v/>
      </c>
      <c r="K9" s="18">
        <f>IF($D9="","",IFERROR(VLOOKUP($D9,ARTICLES!$A$5:$S$2243,9,FALSE),0))</f>
        <v/>
      </c>
      <c r="L9" s="18">
        <f>IF(H9="","",IF(J9=0,"✓ CONFORME",IF(AND(K9&gt;0,ABS(J9)&lt;=H9*K9/100),"✓ DANS LA TOLERANCE","✕ HORS TOLERANCE")))</f>
        <v/>
      </c>
      <c r="M9" s="17" t="inlineStr"/>
      <c r="N9" s="17" t="inlineStr">
        <is>
          <t>OP-1042</t>
        </is>
      </c>
      <c r="O9" s="17" t="inlineStr">
        <is>
          <t>VALIDE</t>
        </is>
      </c>
      <c r="P9" s="17" t="inlineStr"/>
      <c r="Q9" s="17" t="inlineStr"/>
      <c r="R9" s="17" t="inlineStr"/>
      <c r="S9" s="17" t="inlineStr">
        <is>
          <t>SYNCHRONISE</t>
        </is>
      </c>
      <c r="T9" s="17" t="inlineStr"/>
      <c r="U9" s="17" t="inlineStr">
        <is>
          <t>RECEPTION-HISTORIQUE-005</t>
        </is>
      </c>
      <c r="V9" s="17" t="inlineStr"/>
    </row>
    <row r="10">
      <c r="A10" s="17" t="inlineStr">
        <is>
          <t>RCP-2026-249</t>
        </is>
      </c>
      <c r="B10" s="18" t="inlineStr">
        <is>
          <t>30/08/2026</t>
        </is>
      </c>
      <c r="C10" s="18" t="inlineStr">
        <is>
          <t>09:59</t>
        </is>
      </c>
      <c r="D10" s="17" t="inlineStr">
        <is>
          <t>WHAP-0418</t>
        </is>
      </c>
      <c r="E10" s="18">
        <f>IF($D10="","",IFERROR(VLOOKUP($D10,ARTICLES!$A$5:$S$2243,3,FALSE),"reference inconnue"))</f>
        <v/>
      </c>
      <c r="F10" s="17" t="inlineStr">
        <is>
          <t>VAL</t>
        </is>
      </c>
      <c r="G10" s="17" t="inlineStr">
        <is>
          <t>BL-VAL-2834</t>
        </is>
      </c>
      <c r="H10" s="17" t="n">
        <v>24</v>
      </c>
      <c r="I10" s="17" t="n">
        <v>24</v>
      </c>
      <c r="J10" s="18">
        <f>IF(I10="","",I10-H10)</f>
        <v/>
      </c>
      <c r="K10" s="18">
        <f>IF($D10="","",IFERROR(VLOOKUP($D10,ARTICLES!$A$5:$S$2243,9,FALSE),0))</f>
        <v/>
      </c>
      <c r="L10" s="18">
        <f>IF(H10="","",IF(J10=0,"✓ CONFORME",IF(AND(K10&gt;0,ABS(J10)&lt;=H10*K10/100),"✓ DANS LA TOLERANCE","✕ HORS TOLERANCE")))</f>
        <v/>
      </c>
      <c r="M10" s="17" t="inlineStr"/>
      <c r="N10" s="17" t="inlineStr">
        <is>
          <t>OP-1042</t>
        </is>
      </c>
      <c r="O10" s="17" t="inlineStr">
        <is>
          <t>VALIDE</t>
        </is>
      </c>
      <c r="P10" s="17" t="inlineStr"/>
      <c r="Q10" s="17" t="inlineStr"/>
      <c r="R10" s="17" t="inlineStr"/>
      <c r="S10" s="17" t="inlineStr">
        <is>
          <t>SYNCHRONISE</t>
        </is>
      </c>
      <c r="T10" s="17" t="inlineStr"/>
      <c r="U10" s="17" t="inlineStr">
        <is>
          <t>RECEPTION-HISTORIQUE-006</t>
        </is>
      </c>
      <c r="V10" s="17" t="inlineStr"/>
    </row>
    <row r="11">
      <c r="A11" s="17" t="inlineStr">
        <is>
          <t>RCP-2026-248</t>
        </is>
      </c>
      <c r="B11" s="18" t="inlineStr">
        <is>
          <t>30/08/2026</t>
        </is>
      </c>
      <c r="C11" s="18" t="inlineStr">
        <is>
          <t>05:59</t>
        </is>
      </c>
      <c r="D11" s="17" t="inlineStr">
        <is>
          <t>EPI-002</t>
        </is>
      </c>
      <c r="E11" s="18">
        <f>IF($D11="","",IFERROR(VLOOKUP($D11,ARTICLES!$A$5:$S$2243,3,FALSE),"reference inconnue"))</f>
        <v/>
      </c>
      <c r="F11" s="17" t="inlineStr">
        <is>
          <t>SUM</t>
        </is>
      </c>
      <c r="G11" s="17" t="inlineStr">
        <is>
          <t>BL-SUM-2833</t>
        </is>
      </c>
      <c r="H11" s="17" t="n">
        <v>600</v>
      </c>
      <c r="I11" s="17" t="n">
        <v>600</v>
      </c>
      <c r="J11" s="18">
        <f>IF(I11="","",I11-H11)</f>
        <v/>
      </c>
      <c r="K11" s="18">
        <f>IF($D11="","",IFERROR(VLOOKUP($D11,ARTICLES!$A$5:$S$2243,9,FALSE),0))</f>
        <v/>
      </c>
      <c r="L11" s="18">
        <f>IF(H11="","",IF(J11=0,"✓ CONFORME",IF(AND(K11&gt;0,ABS(J11)&lt;=H11*K11/100),"✓ DANS LA TOLERANCE","✕ HORS TOLERANCE")))</f>
        <v/>
      </c>
      <c r="M11" s="17" t="inlineStr"/>
      <c r="N11" s="17" t="inlineStr">
        <is>
          <t>OP-1078</t>
        </is>
      </c>
      <c r="O11" s="17" t="inlineStr">
        <is>
          <t>VALIDE</t>
        </is>
      </c>
      <c r="P11" s="17" t="inlineStr"/>
      <c r="Q11" s="17" t="inlineStr"/>
      <c r="R11" s="17" t="inlineStr"/>
      <c r="S11" s="17" t="inlineStr">
        <is>
          <t>SYNCHRONISE</t>
        </is>
      </c>
      <c r="T11" s="17" t="inlineStr"/>
      <c r="U11" s="17" t="inlineStr">
        <is>
          <t>RECEPTION-HISTORIQUE-007</t>
        </is>
      </c>
      <c r="V11" s="17" t="inlineStr"/>
    </row>
    <row r="12">
      <c r="A12" s="17" t="inlineStr">
        <is>
          <t>RCP-2026-247</t>
        </is>
      </c>
      <c r="B12" s="18" t="inlineStr">
        <is>
          <t>30/08/2026</t>
        </is>
      </c>
      <c r="C12" s="18" t="inlineStr">
        <is>
          <t>01:59</t>
        </is>
      </c>
      <c r="D12" s="17" t="inlineStr">
        <is>
          <t>WHAP-0611</t>
        </is>
      </c>
      <c r="E12" s="18">
        <f>IF($D12="","",IFERROR(VLOOKUP($D12,ARTICLES!$A$5:$S$2243,3,FALSE),"reference inconnue"))</f>
        <v/>
      </c>
      <c r="F12" s="17" t="inlineStr">
        <is>
          <t>DEL</t>
        </is>
      </c>
      <c r="G12" s="17" t="inlineStr">
        <is>
          <t>BL-DEL-2832</t>
        </is>
      </c>
      <c r="H12" s="17" t="n">
        <v>80</v>
      </c>
      <c r="I12" s="17" t="n">
        <v>80</v>
      </c>
      <c r="J12" s="18">
        <f>IF(I12="","",I12-H12)</f>
        <v/>
      </c>
      <c r="K12" s="18">
        <f>IF($D12="","",IFERROR(VLOOKUP($D12,ARTICLES!$A$5:$S$2243,9,FALSE),0))</f>
        <v/>
      </c>
      <c r="L12" s="18">
        <f>IF(H12="","",IF(J12=0,"✓ CONFORME",IF(AND(K12&gt;0,ABS(J12)&lt;=H12*K12/100),"✓ DANS LA TOLERANCE","✕ HORS TOLERANCE")))</f>
        <v/>
      </c>
      <c r="M12" s="17" t="inlineStr"/>
      <c r="N12" s="17" t="inlineStr">
        <is>
          <t>OP-1042</t>
        </is>
      </c>
      <c r="O12" s="17" t="inlineStr">
        <is>
          <t>VALIDE</t>
        </is>
      </c>
      <c r="P12" s="17" t="inlineStr"/>
      <c r="Q12" s="17" t="inlineStr"/>
      <c r="R12" s="17" t="inlineStr"/>
      <c r="S12" s="17" t="inlineStr">
        <is>
          <t>SYNCHRONISE</t>
        </is>
      </c>
      <c r="T12" s="17" t="inlineStr"/>
      <c r="U12" s="17" t="inlineStr">
        <is>
          <t>RECEPTION-HISTORIQUE-008</t>
        </is>
      </c>
      <c r="V12" s="17" t="inlineStr"/>
    </row>
    <row r="13">
      <c r="A13" s="17" t="inlineStr">
        <is>
          <t>RCP-2026-246</t>
        </is>
      </c>
      <c r="B13" s="18" t="inlineStr">
        <is>
          <t>29/08/2026</t>
        </is>
      </c>
      <c r="C13" s="18" t="inlineStr">
        <is>
          <t>21:59</t>
        </is>
      </c>
      <c r="D13" s="17" t="inlineStr">
        <is>
          <t>SEC-001</t>
        </is>
      </c>
      <c r="E13" s="18">
        <f>IF($D13="","",IFERROR(VLOOKUP($D13,ARTICLES!$A$5:$S$2243,3,FALSE),"reference inconnue"))</f>
        <v/>
      </c>
      <c r="F13" s="17" t="inlineStr">
        <is>
          <t>YZK</t>
        </is>
      </c>
      <c r="G13" s="17" t="inlineStr">
        <is>
          <t>BL-YZK-2831</t>
        </is>
      </c>
      <c r="H13" s="17" t="n">
        <v>12</v>
      </c>
      <c r="I13" s="17" t="n">
        <v>12</v>
      </c>
      <c r="J13" s="18">
        <f>IF(I13="","",I13-H13)</f>
        <v/>
      </c>
      <c r="K13" s="18">
        <f>IF($D13="","",IFERROR(VLOOKUP($D13,ARTICLES!$A$5:$S$2243,9,FALSE),0))</f>
        <v/>
      </c>
      <c r="L13" s="18">
        <f>IF(H13="","",IF(J13=0,"✓ CONFORME",IF(AND(K13&gt;0,ABS(J13)&lt;=H13*K13/100),"✓ DANS LA TOLERANCE","✕ HORS TOLERANCE")))</f>
        <v/>
      </c>
      <c r="M13" s="17" t="inlineStr"/>
      <c r="N13" s="17" t="inlineStr">
        <is>
          <t>OP-1078</t>
        </is>
      </c>
      <c r="O13" s="17" t="inlineStr">
        <is>
          <t>VALIDE</t>
        </is>
      </c>
      <c r="P13" s="17" t="inlineStr"/>
      <c r="Q13" s="17" t="inlineStr"/>
      <c r="R13" s="17" t="inlineStr"/>
      <c r="S13" s="17" t="inlineStr">
        <is>
          <t>SYNCHRONISE</t>
        </is>
      </c>
      <c r="T13" s="17" t="inlineStr"/>
      <c r="U13" s="17" t="inlineStr">
        <is>
          <t>RECEPTION-HISTORIQUE-009</t>
        </is>
      </c>
      <c r="V13" s="17" t="inlineStr"/>
    </row>
    <row r="14">
      <c r="A14" s="17" t="inlineStr">
        <is>
          <t>RCP-2026-245</t>
        </is>
      </c>
      <c r="B14" s="18" t="inlineStr">
        <is>
          <t>29/08/2026</t>
        </is>
      </c>
      <c r="C14" s="18" t="inlineStr">
        <is>
          <t>17:59</t>
        </is>
      </c>
      <c r="D14" s="17" t="inlineStr">
        <is>
          <t>WHAP-0104</t>
        </is>
      </c>
      <c r="E14" s="18">
        <f>IF($D14="","",IFERROR(VLOOKUP($D14,ARTICLES!$A$5:$S$2243,3,FALSE),"reference inconnue"))</f>
        <v/>
      </c>
      <c r="F14" s="17" t="inlineStr">
        <is>
          <t>BOS</t>
        </is>
      </c>
      <c r="G14" s="17" t="inlineStr">
        <is>
          <t>BL-BOS-2830</t>
        </is>
      </c>
      <c r="H14" s="17" t="n">
        <v>100</v>
      </c>
      <c r="I14" s="17" t="n">
        <v>100</v>
      </c>
      <c r="J14" s="18">
        <f>IF(I14="","",I14-H14)</f>
        <v/>
      </c>
      <c r="K14" s="18">
        <f>IF($D14="","",IFERROR(VLOOKUP($D14,ARTICLES!$A$5:$S$2243,9,FALSE),0))</f>
        <v/>
      </c>
      <c r="L14" s="18">
        <f>IF(H14="","",IF(J14=0,"✓ CONFORME",IF(AND(K14&gt;0,ABS(J14)&lt;=H14*K14/100),"✓ DANS LA TOLERANCE","✕ HORS TOLERANCE")))</f>
        <v/>
      </c>
      <c r="M14" s="17" t="inlineStr"/>
      <c r="N14" s="17" t="inlineStr">
        <is>
          <t>OP-1063</t>
        </is>
      </c>
      <c r="O14" s="17" t="inlineStr">
        <is>
          <t>VALIDE</t>
        </is>
      </c>
      <c r="P14" s="17" t="inlineStr"/>
      <c r="Q14" s="17" t="inlineStr"/>
      <c r="R14" s="17" t="inlineStr"/>
      <c r="S14" s="17" t="inlineStr">
        <is>
          <t>SYNCHRONISE</t>
        </is>
      </c>
      <c r="T14" s="17" t="inlineStr"/>
      <c r="U14" s="17" t="inlineStr">
        <is>
          <t>RECEPTION-HISTORIQUE-010</t>
        </is>
      </c>
      <c r="V14" s="17" t="inlineStr"/>
    </row>
    <row r="15">
      <c r="A15" s="17" t="inlineStr">
        <is>
          <t>RCP-2026-244</t>
        </is>
      </c>
      <c r="B15" s="18" t="inlineStr">
        <is>
          <t>29/08/2026</t>
        </is>
      </c>
      <c r="C15" s="18" t="inlineStr">
        <is>
          <t>13:59</t>
        </is>
      </c>
      <c r="D15" s="17" t="inlineStr">
        <is>
          <t>ADH-002</t>
        </is>
      </c>
      <c r="E15" s="18">
        <f>IF($D15="","",IFERROR(VLOOKUP($D15,ARTICLES!$A$5:$S$2243,3,FALSE),"reference inconnue"))</f>
        <v/>
      </c>
      <c r="F15" s="17" t="inlineStr">
        <is>
          <t>SUM</t>
        </is>
      </c>
      <c r="G15" s="17" t="inlineStr">
        <is>
          <t>BL-SUM-2829</t>
        </is>
      </c>
      <c r="H15" s="17" t="n">
        <v>180</v>
      </c>
      <c r="I15" s="17" t="n">
        <v>180</v>
      </c>
      <c r="J15" s="18">
        <f>IF(I15="","",I15-H15)</f>
        <v/>
      </c>
      <c r="K15" s="18">
        <f>IF($D15="","",IFERROR(VLOOKUP($D15,ARTICLES!$A$5:$S$2243,9,FALSE),0))</f>
        <v/>
      </c>
      <c r="L15" s="18">
        <f>IF(H15="","",IF(J15=0,"✓ CONFORME",IF(AND(K15&gt;0,ABS(J15)&lt;=H15*K15/100),"✓ DANS LA TOLERANCE","✕ HORS TOLERANCE")))</f>
        <v/>
      </c>
      <c r="M15" s="17" t="inlineStr"/>
      <c r="N15" s="17" t="inlineStr">
        <is>
          <t>OP-1078</t>
        </is>
      </c>
      <c r="O15" s="17" t="inlineStr">
        <is>
          <t>VALIDE</t>
        </is>
      </c>
      <c r="P15" s="17" t="inlineStr"/>
      <c r="Q15" s="17" t="inlineStr"/>
      <c r="R15" s="17" t="inlineStr"/>
      <c r="S15" s="17" t="inlineStr">
        <is>
          <t>SYNCHRONISE</t>
        </is>
      </c>
      <c r="T15" s="17" t="inlineStr"/>
      <c r="U15" s="17" t="inlineStr">
        <is>
          <t>RECEPTION-HISTORIQUE-011</t>
        </is>
      </c>
      <c r="V15" s="17" t="inlineStr"/>
    </row>
    <row r="16">
      <c r="A16" s="17" t="inlineStr">
        <is>
          <t>RCP-2026-243</t>
        </is>
      </c>
      <c r="B16" s="18" t="inlineStr">
        <is>
          <t>29/08/2026</t>
        </is>
      </c>
      <c r="C16" s="18" t="inlineStr">
        <is>
          <t>09:59</t>
        </is>
      </c>
      <c r="D16" s="17" t="inlineStr">
        <is>
          <t>WHAP-0396</t>
        </is>
      </c>
      <c r="E16" s="18">
        <f>IF($D16="","",IFERROR(VLOOKUP($D16,ARTICLES!$A$5:$S$2243,3,FALSE),"reference inconnue"))</f>
        <v/>
      </c>
      <c r="F16" s="17" t="inlineStr">
        <is>
          <t>BOS</t>
        </is>
      </c>
      <c r="G16" s="17" t="inlineStr">
        <is>
          <t>BL-BOS-2828</t>
        </is>
      </c>
      <c r="H16" s="17" t="n">
        <v>120</v>
      </c>
      <c r="I16" s="17" t="n">
        <v>120</v>
      </c>
      <c r="J16" s="18">
        <f>IF(I16="","",I16-H16)</f>
        <v/>
      </c>
      <c r="K16" s="18">
        <f>IF($D16="","",IFERROR(VLOOKUP($D16,ARTICLES!$A$5:$S$2243,9,FALSE),0))</f>
        <v/>
      </c>
      <c r="L16" s="18">
        <f>IF(H16="","",IF(J16=0,"✓ CONFORME",IF(AND(K16&gt;0,ABS(J16)&lt;=H16*K16/100),"✓ DANS LA TOLERANCE","✕ HORS TOLERANCE")))</f>
        <v/>
      </c>
      <c r="M16" s="17" t="inlineStr"/>
      <c r="N16" s="17" t="inlineStr">
        <is>
          <t>OP-1051</t>
        </is>
      </c>
      <c r="O16" s="17" t="inlineStr">
        <is>
          <t>VALIDE</t>
        </is>
      </c>
      <c r="P16" s="17" t="inlineStr"/>
      <c r="Q16" s="17" t="inlineStr"/>
      <c r="R16" s="17" t="inlineStr"/>
      <c r="S16" s="17" t="inlineStr">
        <is>
          <t>SYNCHRONISE</t>
        </is>
      </c>
      <c r="T16" s="17" t="inlineStr"/>
      <c r="U16" s="17" t="inlineStr">
        <is>
          <t>RECEPTION-HISTORIQUE-012</t>
        </is>
      </c>
      <c r="V16" s="17" t="inlineStr"/>
    </row>
    <row r="17">
      <c r="A17" s="17" t="inlineStr">
        <is>
          <t>RCP-2026-242</t>
        </is>
      </c>
      <c r="B17" s="18" t="inlineStr">
        <is>
          <t>29/08/2026</t>
        </is>
      </c>
      <c r="C17" s="18" t="inlineStr">
        <is>
          <t>05:59</t>
        </is>
      </c>
      <c r="D17" s="17" t="inlineStr">
        <is>
          <t>WHAP-0552</t>
        </is>
      </c>
      <c r="E17" s="18">
        <f>IF($D17="","",IFERROR(VLOOKUP($D17,ARTICLES!$A$5:$S$2243,3,FALSE),"reference inconnue"))</f>
        <v/>
      </c>
      <c r="F17" s="17" t="inlineStr">
        <is>
          <t>SKF</t>
        </is>
      </c>
      <c r="G17" s="17" t="inlineStr">
        <is>
          <t>BL-SKF-2827</t>
        </is>
      </c>
      <c r="H17" s="17" t="n">
        <v>18</v>
      </c>
      <c r="I17" s="17" t="n">
        <v>18</v>
      </c>
      <c r="J17" s="18">
        <f>IF(I17="","",I17-H17)</f>
        <v/>
      </c>
      <c r="K17" s="18">
        <f>IF($D17="","",IFERROR(VLOOKUP($D17,ARTICLES!$A$5:$S$2243,9,FALSE),0))</f>
        <v/>
      </c>
      <c r="L17" s="18">
        <f>IF(H17="","",IF(J17=0,"✓ CONFORME",IF(AND(K17&gt;0,ABS(J17)&lt;=H17*K17/100),"✓ DANS LA TOLERANCE","✕ HORS TOLERANCE")))</f>
        <v/>
      </c>
      <c r="M17" s="17" t="inlineStr"/>
      <c r="N17" s="17" t="inlineStr">
        <is>
          <t>OP-1063</t>
        </is>
      </c>
      <c r="O17" s="17" t="inlineStr">
        <is>
          <t>VALIDE</t>
        </is>
      </c>
      <c r="P17" s="17" t="inlineStr"/>
      <c r="Q17" s="17" t="inlineStr"/>
      <c r="R17" s="17" t="inlineStr"/>
      <c r="S17" s="17" t="inlineStr">
        <is>
          <t>SYNCHRONISE</t>
        </is>
      </c>
      <c r="T17" s="17" t="inlineStr"/>
      <c r="U17" s="17" t="inlineStr">
        <is>
          <t>RECEPTION-HISTORIQUE-013</t>
        </is>
      </c>
      <c r="V17" s="17" t="inlineStr"/>
    </row>
    <row r="18">
      <c r="A18" s="17" t="inlineStr">
        <is>
          <t>RCP-2026-241</t>
        </is>
      </c>
      <c r="B18" s="18" t="inlineStr">
        <is>
          <t>29/08/2026</t>
        </is>
      </c>
      <c r="C18" s="18" t="inlineStr">
        <is>
          <t>01:59</t>
        </is>
      </c>
      <c r="D18" s="17" t="inlineStr">
        <is>
          <t>WHAP-0366</t>
        </is>
      </c>
      <c r="E18" s="18">
        <f>IF($D18="","",IFERROR(VLOOKUP($D18,ARTICLES!$A$5:$S$2243,3,FALSE),"reference inconnue"))</f>
        <v/>
      </c>
      <c r="F18" s="17" t="inlineStr">
        <is>
          <t>VAL</t>
        </is>
      </c>
      <c r="G18" s="17" t="inlineStr">
        <is>
          <t>BL-VAL-2826</t>
        </is>
      </c>
      <c r="H18" s="17" t="n">
        <v>480</v>
      </c>
      <c r="I18" s="17" t="n">
        <v>480</v>
      </c>
      <c r="J18" s="18">
        <f>IF(I18="","",I18-H18)</f>
        <v/>
      </c>
      <c r="K18" s="18">
        <f>IF($D18="","",IFERROR(VLOOKUP($D18,ARTICLES!$A$5:$S$2243,9,FALSE),0))</f>
        <v/>
      </c>
      <c r="L18" s="18">
        <f>IF(H18="","",IF(J18=0,"✓ CONFORME",IF(AND(K18&gt;0,ABS(J18)&lt;=H18*K18/100),"✓ DANS LA TOLERANCE","✕ HORS TOLERANCE")))</f>
        <v/>
      </c>
      <c r="M18" s="17" t="inlineStr"/>
      <c r="N18" s="17" t="inlineStr">
        <is>
          <t>OP-1051</t>
        </is>
      </c>
      <c r="O18" s="17" t="inlineStr">
        <is>
          <t>VALIDE</t>
        </is>
      </c>
      <c r="P18" s="17" t="inlineStr"/>
      <c r="Q18" s="17" t="inlineStr"/>
      <c r="R18" s="17" t="inlineStr"/>
      <c r="S18" s="17" t="inlineStr">
        <is>
          <t>SYNCHRONISE</t>
        </is>
      </c>
      <c r="T18" s="17" t="inlineStr"/>
      <c r="U18" s="17" t="inlineStr">
        <is>
          <t>RECEPTION-HISTORIQUE-014</t>
        </is>
      </c>
      <c r="V18" s="17" t="inlineStr"/>
    </row>
    <row r="19">
      <c r="A19" s="17" t="inlineStr">
        <is>
          <t>RCP-2026-240</t>
        </is>
      </c>
      <c r="B19" s="18" t="inlineStr">
        <is>
          <t>28/08/2026</t>
        </is>
      </c>
      <c r="C19" s="18" t="inlineStr">
        <is>
          <t>21:59</t>
        </is>
      </c>
      <c r="D19" s="17" t="inlineStr">
        <is>
          <t>WHAP-0629</t>
        </is>
      </c>
      <c r="E19" s="18">
        <f>IF($D19="","",IFERROR(VLOOKUP($D19,ARTICLES!$A$5:$S$2243,3,FALSE),"reference inconnue"))</f>
        <v/>
      </c>
      <c r="F19" s="17" t="inlineStr">
        <is>
          <t>BOS</t>
        </is>
      </c>
      <c r="G19" s="17" t="inlineStr">
        <is>
          <t>BL-BOS-2825</t>
        </is>
      </c>
      <c r="H19" s="17" t="n">
        <v>180</v>
      </c>
      <c r="I19" s="17" t="n">
        <v>180</v>
      </c>
      <c r="J19" s="18">
        <f>IF(I19="","",I19-H19)</f>
        <v/>
      </c>
      <c r="K19" s="18">
        <f>IF($D19="","",IFERROR(VLOOKUP($D19,ARTICLES!$A$5:$S$2243,9,FALSE),0))</f>
        <v/>
      </c>
      <c r="L19" s="18">
        <f>IF(H19="","",IF(J19=0,"✓ CONFORME",IF(AND(K19&gt;0,ABS(J19)&lt;=H19*K19/100),"✓ DANS LA TOLERANCE","✕ HORS TOLERANCE")))</f>
        <v/>
      </c>
      <c r="M19" s="17" t="inlineStr"/>
      <c r="N19" s="17" t="inlineStr">
        <is>
          <t>OP-1063</t>
        </is>
      </c>
      <c r="O19" s="17" t="inlineStr">
        <is>
          <t>VALIDE</t>
        </is>
      </c>
      <c r="P19" s="17" t="inlineStr"/>
      <c r="Q19" s="17" t="inlineStr"/>
      <c r="R19" s="17" t="inlineStr"/>
      <c r="S19" s="17" t="inlineStr">
        <is>
          <t>SYNCHRONISE</t>
        </is>
      </c>
      <c r="T19" s="17" t="inlineStr"/>
      <c r="U19" s="17" t="inlineStr">
        <is>
          <t>RECEPTION-HISTORIQUE-015</t>
        </is>
      </c>
      <c r="V19" s="17" t="inlineStr"/>
    </row>
    <row r="20">
      <c r="A20" s="17" t="inlineStr">
        <is>
          <t>RCP-2026-239</t>
        </is>
      </c>
      <c r="B20" s="18" t="inlineStr">
        <is>
          <t>28/08/2026</t>
        </is>
      </c>
      <c r="C20" s="18" t="inlineStr">
        <is>
          <t>17:59</t>
        </is>
      </c>
      <c r="D20" s="17" t="inlineStr">
        <is>
          <t>WHAP-0225</t>
        </is>
      </c>
      <c r="E20" s="18">
        <f>IF($D20="","",IFERROR(VLOOKUP($D20,ARTICLES!$A$5:$S$2243,3,FALSE),"reference inconnue"))</f>
        <v/>
      </c>
      <c r="F20" s="17" t="inlineStr">
        <is>
          <t>VAL</t>
        </is>
      </c>
      <c r="G20" s="17" t="inlineStr">
        <is>
          <t>BL-VAL-2824</t>
        </is>
      </c>
      <c r="H20" s="17" t="n">
        <v>60</v>
      </c>
      <c r="I20" s="17" t="n">
        <v>60</v>
      </c>
      <c r="J20" s="18">
        <f>IF(I20="","",I20-H20)</f>
        <v/>
      </c>
      <c r="K20" s="18">
        <f>IF($D20="","",IFERROR(VLOOKUP($D20,ARTICLES!$A$5:$S$2243,9,FALSE),0))</f>
        <v/>
      </c>
      <c r="L20" s="18">
        <f>IF(H20="","",IF(J20=0,"✓ CONFORME",IF(AND(K20&gt;0,ABS(J20)&lt;=H20*K20/100),"✓ DANS LA TOLERANCE","✕ HORS TOLERANCE")))</f>
        <v/>
      </c>
      <c r="M20" s="17" t="inlineStr"/>
      <c r="N20" s="17" t="inlineStr">
        <is>
          <t>OP-1051</t>
        </is>
      </c>
      <c r="O20" s="17" t="inlineStr">
        <is>
          <t>VALIDE</t>
        </is>
      </c>
      <c r="P20" s="17" t="inlineStr"/>
      <c r="Q20" s="17" t="inlineStr"/>
      <c r="R20" s="17" t="inlineStr"/>
      <c r="S20" s="17" t="inlineStr">
        <is>
          <t>SYNCHRONISE</t>
        </is>
      </c>
      <c r="T20" s="17" t="inlineStr"/>
      <c r="U20" s="17" t="inlineStr">
        <is>
          <t>RECEPTION-HISTORIQUE-016</t>
        </is>
      </c>
      <c r="V20" s="17" t="inlineStr"/>
    </row>
    <row r="21">
      <c r="A21" s="17" t="inlineStr">
        <is>
          <t>RCP-2026-238</t>
        </is>
      </c>
      <c r="B21" s="18" t="inlineStr">
        <is>
          <t>28/08/2026</t>
        </is>
      </c>
      <c r="C21" s="18" t="inlineStr">
        <is>
          <t>13:59</t>
        </is>
      </c>
      <c r="D21" s="17" t="inlineStr">
        <is>
          <t>ACC-001</t>
        </is>
      </c>
      <c r="E21" s="18">
        <f>IF($D21="","",IFERROR(VLOOKUP($D21,ARTICLES!$A$5:$S$2243,3,FALSE),"reference inconnue"))</f>
        <v/>
      </c>
      <c r="F21" s="17" t="inlineStr">
        <is>
          <t>FAU</t>
        </is>
      </c>
      <c r="G21" s="17" t="inlineStr">
        <is>
          <t>BL-FAU-2823</t>
        </is>
      </c>
      <c r="H21" s="17" t="n">
        <v>180</v>
      </c>
      <c r="I21" s="17" t="n">
        <v>180</v>
      </c>
      <c r="J21" s="18">
        <f>IF(I21="","",I21-H21)</f>
        <v/>
      </c>
      <c r="K21" s="18">
        <f>IF($D21="","",IFERROR(VLOOKUP($D21,ARTICLES!$A$5:$S$2243,9,FALSE),0))</f>
        <v/>
      </c>
      <c r="L21" s="18">
        <f>IF(H21="","",IF(J21=0,"✓ CONFORME",IF(AND(K21&gt;0,ABS(J21)&lt;=H21*K21/100),"✓ DANS LA TOLERANCE","✕ HORS TOLERANCE")))</f>
        <v/>
      </c>
      <c r="M21" s="17" t="inlineStr"/>
      <c r="N21" s="17" t="inlineStr">
        <is>
          <t>OP-1051</t>
        </is>
      </c>
      <c r="O21" s="17" t="inlineStr">
        <is>
          <t>VALIDE</t>
        </is>
      </c>
      <c r="P21" s="17" t="inlineStr"/>
      <c r="Q21" s="17" t="inlineStr"/>
      <c r="R21" s="17" t="inlineStr"/>
      <c r="S21" s="17" t="inlineStr">
        <is>
          <t>SYNCHRONISE</t>
        </is>
      </c>
      <c r="T21" s="17" t="inlineStr"/>
      <c r="U21" s="17" t="inlineStr">
        <is>
          <t>RECEPTION-HISTORIQUE-017</t>
        </is>
      </c>
      <c r="V21" s="17" t="inlineStr"/>
    </row>
    <row r="22">
      <c r="A22" s="17" t="inlineStr">
        <is>
          <t>RCP-2026-237</t>
        </is>
      </c>
      <c r="B22" s="18" t="inlineStr">
        <is>
          <t>28/08/2026</t>
        </is>
      </c>
      <c r="C22" s="18" t="inlineStr">
        <is>
          <t>09:59</t>
        </is>
      </c>
      <c r="D22" s="17" t="inlineStr">
        <is>
          <t>WHAP-0470</t>
        </is>
      </c>
      <c r="E22" s="18">
        <f>IF($D22="","",IFERROR(VLOOKUP($D22,ARTICLES!$A$5:$S$2243,3,FALSE),"reference inconnue"))</f>
        <v/>
      </c>
      <c r="F22" s="17" t="inlineStr">
        <is>
          <t>VAL</t>
        </is>
      </c>
      <c r="G22" s="17" t="inlineStr">
        <is>
          <t>BL-VAL-2822</t>
        </is>
      </c>
      <c r="H22" s="17" t="n">
        <v>60</v>
      </c>
      <c r="I22" s="17" t="n">
        <v>60</v>
      </c>
      <c r="J22" s="18">
        <f>IF(I22="","",I22-H22)</f>
        <v/>
      </c>
      <c r="K22" s="18">
        <f>IF($D22="","",IFERROR(VLOOKUP($D22,ARTICLES!$A$5:$S$2243,9,FALSE),0))</f>
        <v/>
      </c>
      <c r="L22" s="18">
        <f>IF(H22="","",IF(J22=0,"✓ CONFORME",IF(AND(K22&gt;0,ABS(J22)&lt;=H22*K22/100),"✓ DANS LA TOLERANCE","✕ HORS TOLERANCE")))</f>
        <v/>
      </c>
      <c r="M22" s="17" t="inlineStr"/>
      <c r="N22" s="17" t="inlineStr">
        <is>
          <t>OP-1042</t>
        </is>
      </c>
      <c r="O22" s="17" t="inlineStr">
        <is>
          <t>VALIDE</t>
        </is>
      </c>
      <c r="P22" s="17" t="inlineStr"/>
      <c r="Q22" s="17" t="inlineStr"/>
      <c r="R22" s="17" t="inlineStr"/>
      <c r="S22" s="17" t="inlineStr">
        <is>
          <t>SYNCHRONISE</t>
        </is>
      </c>
      <c r="T22" s="17" t="inlineStr"/>
      <c r="U22" s="17" t="inlineStr">
        <is>
          <t>RECEPTION-HISTORIQUE-018</t>
        </is>
      </c>
      <c r="V22" s="17" t="inlineStr"/>
    </row>
    <row r="23">
      <c r="A23" s="17" t="inlineStr">
        <is>
          <t>RCP-2026-236</t>
        </is>
      </c>
      <c r="B23" s="18" t="inlineStr">
        <is>
          <t>28/08/2026</t>
        </is>
      </c>
      <c r="C23" s="18" t="inlineStr">
        <is>
          <t>05:59</t>
        </is>
      </c>
      <c r="D23" s="17" t="inlineStr">
        <is>
          <t>ADH-001</t>
        </is>
      </c>
      <c r="E23" s="18">
        <f>IF($D23="","",IFERROR(VLOOKUP($D23,ARTICLES!$A$5:$S$2243,3,FALSE),"reference inconnue"))</f>
        <v/>
      </c>
      <c r="F23" s="17" t="inlineStr">
        <is>
          <t>DEL</t>
        </is>
      </c>
      <c r="G23" s="17" t="inlineStr">
        <is>
          <t>BL-DEL-2821</t>
        </is>
      </c>
      <c r="H23" s="17" t="n">
        <v>600</v>
      </c>
      <c r="I23" s="17" t="n">
        <v>596</v>
      </c>
      <c r="J23" s="18">
        <f>IF(I23="","",I23-H23)</f>
        <v/>
      </c>
      <c r="K23" s="18">
        <f>IF($D23="","",IFERROR(VLOOKUP($D23,ARTICLES!$A$5:$S$2243,9,FALSE),0))</f>
        <v/>
      </c>
      <c r="L23" s="18">
        <f>IF(H23="","",IF(J23=0,"✓ CONFORME",IF(AND(K23&gt;0,ABS(J23)&lt;=H23*K23/100),"✓ DANS LA TOLERANCE","✕ HORS TOLERANCE")))</f>
        <v/>
      </c>
      <c r="M23" s="17" t="inlineStr">
        <is>
          <t>Ecart constate au comptage: -4</t>
        </is>
      </c>
      <c r="N23" s="17" t="inlineStr">
        <is>
          <t>OP-1042</t>
        </is>
      </c>
      <c r="O23" s="17" t="inlineStr">
        <is>
          <t>VALIDE</t>
        </is>
      </c>
      <c r="P23" s="17" t="inlineStr"/>
      <c r="Q23" s="17" t="inlineStr"/>
      <c r="R23" s="17" t="inlineStr"/>
      <c r="S23" s="17" t="inlineStr">
        <is>
          <t>SYNCHRONISE</t>
        </is>
      </c>
      <c r="T23" s="17" t="inlineStr"/>
      <c r="U23" s="17" t="inlineStr">
        <is>
          <t>RECEPTION-HISTORIQUE-019</t>
        </is>
      </c>
      <c r="V23" s="17" t="inlineStr"/>
    </row>
    <row r="24">
      <c r="A24" s="17" t="inlineStr">
        <is>
          <t>RCP-2026-235</t>
        </is>
      </c>
      <c r="B24" s="18" t="inlineStr">
        <is>
          <t>28/08/2026</t>
        </is>
      </c>
      <c r="C24" s="18" t="inlineStr">
        <is>
          <t>01:59</t>
        </is>
      </c>
      <c r="D24" s="17" t="inlineStr">
        <is>
          <t>WHAP-0153</t>
        </is>
      </c>
      <c r="E24" s="18">
        <f>IF($D24="","",IFERROR(VLOOKUP($D24,ARTICLES!$A$5:$S$2243,3,FALSE),"reference inconnue"))</f>
        <v/>
      </c>
      <c r="F24" s="17" t="inlineStr">
        <is>
          <t>VAL</t>
        </is>
      </c>
      <c r="G24" s="17" t="inlineStr">
        <is>
          <t>BL-VAL-2820</t>
        </is>
      </c>
      <c r="H24" s="17" t="n">
        <v>60</v>
      </c>
      <c r="I24" s="17" t="n">
        <v>60</v>
      </c>
      <c r="J24" s="18">
        <f>IF(I24="","",I24-H24)</f>
        <v/>
      </c>
      <c r="K24" s="18">
        <f>IF($D24="","",IFERROR(VLOOKUP($D24,ARTICLES!$A$5:$S$2243,9,FALSE),0))</f>
        <v/>
      </c>
      <c r="L24" s="18">
        <f>IF(H24="","",IF(J24=0,"✓ CONFORME",IF(AND(K24&gt;0,ABS(J24)&lt;=H24*K24/100),"✓ DANS LA TOLERANCE","✕ HORS TOLERANCE")))</f>
        <v/>
      </c>
      <c r="M24" s="17" t="inlineStr"/>
      <c r="N24" s="17" t="inlineStr">
        <is>
          <t>OP-1063</t>
        </is>
      </c>
      <c r="O24" s="17" t="inlineStr">
        <is>
          <t>VALIDE</t>
        </is>
      </c>
      <c r="P24" s="17" t="inlineStr"/>
      <c r="Q24" s="17" t="inlineStr"/>
      <c r="R24" s="17" t="inlineStr"/>
      <c r="S24" s="17" t="inlineStr">
        <is>
          <t>SYNCHRONISE</t>
        </is>
      </c>
      <c r="T24" s="17" t="inlineStr"/>
      <c r="U24" s="17" t="inlineStr">
        <is>
          <t>RECEPTION-HISTORIQUE-020</t>
        </is>
      </c>
      <c r="V24" s="17" t="inlineStr"/>
    </row>
    <row r="25">
      <c r="A25" s="17" t="inlineStr">
        <is>
          <t>RCP-2026-232</t>
        </is>
      </c>
      <c r="B25" s="18" t="inlineStr">
        <is>
          <t>27/08/2026</t>
        </is>
      </c>
      <c r="C25" s="18" t="inlineStr">
        <is>
          <t>13:59</t>
        </is>
      </c>
      <c r="D25" s="17" t="inlineStr">
        <is>
          <t>EMB-002</t>
        </is>
      </c>
      <c r="E25" s="18">
        <f>IF($D25="","",IFERROR(VLOOKUP($D25,ARTICLES!$A$5:$S$2243,3,FALSE),"reference inconnue"))</f>
        <v/>
      </c>
      <c r="F25" s="17" t="inlineStr">
        <is>
          <t>VAL</t>
        </is>
      </c>
      <c r="G25" s="17" t="inlineStr">
        <is>
          <t>BL-VAL-2817</t>
        </is>
      </c>
      <c r="H25" s="17" t="n">
        <v>240</v>
      </c>
      <c r="I25" s="17" t="n">
        <v>240</v>
      </c>
      <c r="J25" s="18">
        <f>IF(I25="","",I25-H25)</f>
        <v/>
      </c>
      <c r="K25" s="18">
        <f>IF($D25="","",IFERROR(VLOOKUP($D25,ARTICLES!$A$5:$S$2243,9,FALSE),0))</f>
        <v/>
      </c>
      <c r="L25" s="18">
        <f>IF(H25="","",IF(J25=0,"✓ CONFORME",IF(AND(K25&gt;0,ABS(J25)&lt;=H25*K25/100),"✓ DANS LA TOLERANCE","✕ HORS TOLERANCE")))</f>
        <v/>
      </c>
      <c r="M25" s="17" t="inlineStr"/>
      <c r="N25" s="17" t="inlineStr">
        <is>
          <t>OP-1042</t>
        </is>
      </c>
      <c r="O25" s="17" t="inlineStr">
        <is>
          <t>VALIDE</t>
        </is>
      </c>
      <c r="P25" s="17" t="inlineStr"/>
      <c r="Q25" s="17" t="inlineStr"/>
      <c r="R25" s="17" t="inlineStr"/>
      <c r="S25" s="17" t="inlineStr">
        <is>
          <t>SYNCHRONISE</t>
        </is>
      </c>
      <c r="T25" s="17" t="inlineStr"/>
      <c r="U25" s="17" t="inlineStr">
        <is>
          <t>RECEPTION-HISTORIQUE-021</t>
        </is>
      </c>
      <c r="V25" s="17" t="inlineStr"/>
    </row>
    <row r="26">
      <c r="A26" s="17" t="inlineStr">
        <is>
          <t>RCP-2026-231</t>
        </is>
      </c>
      <c r="B26" s="18" t="inlineStr">
        <is>
          <t>27/08/2026</t>
        </is>
      </c>
      <c r="C26" s="18" t="inlineStr">
        <is>
          <t>09:59</t>
        </is>
      </c>
      <c r="D26" s="17" t="inlineStr">
        <is>
          <t>WHAP-0574</t>
        </is>
      </c>
      <c r="E26" s="18">
        <f>IF($D26="","",IFERROR(VLOOKUP($D26,ARTICLES!$A$5:$S$2243,3,FALSE),"reference inconnue"))</f>
        <v/>
      </c>
      <c r="F26" s="17" t="inlineStr">
        <is>
          <t>CTL</t>
        </is>
      </c>
      <c r="G26" s="17" t="inlineStr">
        <is>
          <t>BL-CTL-2816</t>
        </is>
      </c>
      <c r="H26" s="17" t="n">
        <v>80</v>
      </c>
      <c r="I26" s="17" t="n">
        <v>80</v>
      </c>
      <c r="J26" s="18">
        <f>IF(I26="","",I26-H26)</f>
        <v/>
      </c>
      <c r="K26" s="18">
        <f>IF($D26="","",IFERROR(VLOOKUP($D26,ARTICLES!$A$5:$S$2243,9,FALSE),0))</f>
        <v/>
      </c>
      <c r="L26" s="18">
        <f>IF(H26="","",IF(J26=0,"✓ CONFORME",IF(AND(K26&gt;0,ABS(J26)&lt;=H26*K26/100),"✓ DANS LA TOLERANCE","✕ HORS TOLERANCE")))</f>
        <v/>
      </c>
      <c r="M26" s="17" t="inlineStr"/>
      <c r="N26" s="17" t="inlineStr">
        <is>
          <t>OP-1042</t>
        </is>
      </c>
      <c r="O26" s="17" t="inlineStr">
        <is>
          <t>VALIDE</t>
        </is>
      </c>
      <c r="P26" s="17" t="inlineStr"/>
      <c r="Q26" s="17" t="inlineStr"/>
      <c r="R26" s="17" t="inlineStr"/>
      <c r="S26" s="17" t="inlineStr">
        <is>
          <t>SYNCHRONISE</t>
        </is>
      </c>
      <c r="T26" s="17" t="inlineStr"/>
      <c r="U26" s="17" t="inlineStr">
        <is>
          <t>RECEPTION-HISTORIQUE-022</t>
        </is>
      </c>
      <c r="V26" s="17" t="inlineStr"/>
    </row>
    <row r="27">
      <c r="A27" s="17" t="inlineStr">
        <is>
          <t>RCP-2026-230</t>
        </is>
      </c>
      <c r="B27" s="18" t="inlineStr">
        <is>
          <t>27/08/2026</t>
        </is>
      </c>
      <c r="C27" s="18" t="inlineStr">
        <is>
          <t>05:59</t>
        </is>
      </c>
      <c r="D27" s="17" t="inlineStr">
        <is>
          <t>WHAP-0575</t>
        </is>
      </c>
      <c r="E27" s="18">
        <f>IF($D27="","",IFERROR(VLOOKUP($D27,ARTICLES!$A$5:$S$2243,3,FALSE),"reference inconnue"))</f>
        <v/>
      </c>
      <c r="F27" s="17" t="inlineStr">
        <is>
          <t>SKF</t>
        </is>
      </c>
      <c r="G27" s="17" t="inlineStr">
        <is>
          <t>BL-SKF-2815</t>
        </is>
      </c>
      <c r="H27" s="17" t="n">
        <v>12</v>
      </c>
      <c r="I27" s="17" t="n">
        <v>12</v>
      </c>
      <c r="J27" s="18">
        <f>IF(I27="","",I27-H27)</f>
        <v/>
      </c>
      <c r="K27" s="18">
        <f>IF($D27="","",IFERROR(VLOOKUP($D27,ARTICLES!$A$5:$S$2243,9,FALSE),0))</f>
        <v/>
      </c>
      <c r="L27" s="18">
        <f>IF(H27="","",IF(J27=0,"✓ CONFORME",IF(AND(K27&gt;0,ABS(J27)&lt;=H27*K27/100),"✓ DANS LA TOLERANCE","✕ HORS TOLERANCE")))</f>
        <v/>
      </c>
      <c r="M27" s="17" t="inlineStr"/>
      <c r="N27" s="17" t="inlineStr">
        <is>
          <t>OP-1063</t>
        </is>
      </c>
      <c r="O27" s="17" t="inlineStr">
        <is>
          <t>VALIDE</t>
        </is>
      </c>
      <c r="P27" s="17" t="inlineStr"/>
      <c r="Q27" s="17" t="inlineStr"/>
      <c r="R27" s="17" t="inlineStr"/>
      <c r="S27" s="17" t="inlineStr">
        <is>
          <t>SYNCHRONISE</t>
        </is>
      </c>
      <c r="T27" s="17" t="inlineStr"/>
      <c r="U27" s="17" t="inlineStr">
        <is>
          <t>RECEPTION-HISTORIQUE-023</t>
        </is>
      </c>
      <c r="V27" s="17" t="inlineStr"/>
    </row>
    <row r="28">
      <c r="A28" s="17" t="inlineStr">
        <is>
          <t>RCP-2026-228</t>
        </is>
      </c>
      <c r="B28" s="18" t="inlineStr">
        <is>
          <t>26/08/2026</t>
        </is>
      </c>
      <c r="C28" s="18" t="inlineStr">
        <is>
          <t>21:59</t>
        </is>
      </c>
      <c r="D28" s="17" t="inlineStr">
        <is>
          <t>WHAP-0224</t>
        </is>
      </c>
      <c r="E28" s="18">
        <f>IF($D28="","",IFERROR(VLOOKUP($D28,ARTICLES!$A$5:$S$2243,3,FALSE),"reference inconnue"))</f>
        <v/>
      </c>
      <c r="F28" s="17" t="inlineStr">
        <is>
          <t>SUM</t>
        </is>
      </c>
      <c r="G28" s="17" t="inlineStr">
        <is>
          <t>BL-SUM-2813</t>
        </is>
      </c>
      <c r="H28" s="17" t="n">
        <v>12</v>
      </c>
      <c r="I28" s="17" t="n">
        <v>12</v>
      </c>
      <c r="J28" s="18">
        <f>IF(I28="","",I28-H28)</f>
        <v/>
      </c>
      <c r="K28" s="18">
        <f>IF($D28="","",IFERROR(VLOOKUP($D28,ARTICLES!$A$5:$S$2243,9,FALSE),0))</f>
        <v/>
      </c>
      <c r="L28" s="18">
        <f>IF(H28="","",IF(J28=0,"✓ CONFORME",IF(AND(K28&gt;0,ABS(J28)&lt;=H28*K28/100),"✓ DANS LA TOLERANCE","✕ HORS TOLERANCE")))</f>
        <v/>
      </c>
      <c r="M28" s="17" t="inlineStr"/>
      <c r="N28" s="17" t="inlineStr">
        <is>
          <t>OP-1063</t>
        </is>
      </c>
      <c r="O28" s="17" t="inlineStr">
        <is>
          <t>VALIDE</t>
        </is>
      </c>
      <c r="P28" s="17" t="inlineStr"/>
      <c r="Q28" s="17" t="inlineStr"/>
      <c r="R28" s="17" t="inlineStr"/>
      <c r="S28" s="17" t="inlineStr">
        <is>
          <t>SYNCHRONISE</t>
        </is>
      </c>
      <c r="T28" s="17" t="inlineStr"/>
      <c r="U28" s="17" t="inlineStr">
        <is>
          <t>RECEPTION-HISTORIQUE-024</t>
        </is>
      </c>
      <c r="V28" s="17" t="inlineStr"/>
    </row>
    <row r="29">
      <c r="A29" s="17" t="inlineStr">
        <is>
          <t>RCP-2026-227</t>
        </is>
      </c>
      <c r="B29" s="18" t="inlineStr">
        <is>
          <t>26/08/2026</t>
        </is>
      </c>
      <c r="C29" s="18" t="inlineStr">
        <is>
          <t>17:59</t>
        </is>
      </c>
      <c r="D29" s="17" t="inlineStr">
        <is>
          <t>WHAP-0246</t>
        </is>
      </c>
      <c r="E29" s="18">
        <f>IF($D29="","",IFERROR(VLOOKUP($D29,ARTICLES!$A$5:$S$2243,3,FALSE),"reference inconnue"))</f>
        <v/>
      </c>
      <c r="F29" s="17" t="inlineStr">
        <is>
          <t>MAG</t>
        </is>
      </c>
      <c r="G29" s="17" t="inlineStr">
        <is>
          <t>BL-MAG-2812</t>
        </is>
      </c>
      <c r="H29" s="17" t="n">
        <v>180</v>
      </c>
      <c r="I29" s="17" t="n">
        <v>180</v>
      </c>
      <c r="J29" s="18">
        <f>IF(I29="","",I29-H29)</f>
        <v/>
      </c>
      <c r="K29" s="18">
        <f>IF($D29="","",IFERROR(VLOOKUP($D29,ARTICLES!$A$5:$S$2243,9,FALSE),0))</f>
        <v/>
      </c>
      <c r="L29" s="18">
        <f>IF(H29="","",IF(J29=0,"✓ CONFORME",IF(AND(K29&gt;0,ABS(J29)&lt;=H29*K29/100),"✓ DANS LA TOLERANCE","✕ HORS TOLERANCE")))</f>
        <v/>
      </c>
      <c r="M29" s="17" t="inlineStr"/>
      <c r="N29" s="17" t="inlineStr">
        <is>
          <t>OP-1042</t>
        </is>
      </c>
      <c r="O29" s="17" t="inlineStr">
        <is>
          <t>VALIDE</t>
        </is>
      </c>
      <c r="P29" s="17" t="inlineStr"/>
      <c r="Q29" s="17" t="inlineStr"/>
      <c r="R29" s="17" t="inlineStr"/>
      <c r="S29" s="17" t="inlineStr">
        <is>
          <t>SYNCHRONISE</t>
        </is>
      </c>
      <c r="T29" s="17" t="inlineStr"/>
      <c r="U29" s="17" t="inlineStr">
        <is>
          <t>RECEPTION-HISTORIQUE-025</t>
        </is>
      </c>
      <c r="V29" s="17" t="inlineStr"/>
    </row>
    <row r="30">
      <c r="A30" s="17" t="inlineStr">
        <is>
          <t>RCP-2026-226</t>
        </is>
      </c>
      <c r="B30" s="18" t="inlineStr">
        <is>
          <t>26/08/2026</t>
        </is>
      </c>
      <c r="C30" s="18" t="inlineStr">
        <is>
          <t>13:59</t>
        </is>
      </c>
      <c r="D30" s="17" t="inlineStr">
        <is>
          <t>WHAP-0171</t>
        </is>
      </c>
      <c r="E30" s="18">
        <f>IF($D30="","",IFERROR(VLOOKUP($D30,ARTICLES!$A$5:$S$2243,3,FALSE),"reference inconnue"))</f>
        <v/>
      </c>
      <c r="F30" s="17" t="inlineStr">
        <is>
          <t>FAU</t>
        </is>
      </c>
      <c r="G30" s="17" t="inlineStr">
        <is>
          <t>BL-FAU-2811</t>
        </is>
      </c>
      <c r="H30" s="17" t="n">
        <v>120</v>
      </c>
      <c r="I30" s="17" t="n">
        <v>120</v>
      </c>
      <c r="J30" s="18">
        <f>IF(I30="","",I30-H30)</f>
        <v/>
      </c>
      <c r="K30" s="18">
        <f>IF($D30="","",IFERROR(VLOOKUP($D30,ARTICLES!$A$5:$S$2243,9,FALSE),0))</f>
        <v/>
      </c>
      <c r="L30" s="18">
        <f>IF(H30="","",IF(J30=0,"✓ CONFORME",IF(AND(K30&gt;0,ABS(J30)&lt;=H30*K30/100),"✓ DANS LA TOLERANCE","✕ HORS TOLERANCE")))</f>
        <v/>
      </c>
      <c r="M30" s="17" t="inlineStr"/>
      <c r="N30" s="17" t="inlineStr">
        <is>
          <t>OP-1042</t>
        </is>
      </c>
      <c r="O30" s="17" t="inlineStr">
        <is>
          <t>VALIDE</t>
        </is>
      </c>
      <c r="P30" s="17" t="inlineStr"/>
      <c r="Q30" s="17" t="inlineStr"/>
      <c r="R30" s="17" t="inlineStr"/>
      <c r="S30" s="17" t="inlineStr">
        <is>
          <t>SYNCHRONISE</t>
        </is>
      </c>
      <c r="T30" s="17" t="inlineStr"/>
      <c r="U30" s="17" t="inlineStr">
        <is>
          <t>RECEPTION-HISTORIQUE-026</t>
        </is>
      </c>
      <c r="V30" s="17" t="inlineStr"/>
    </row>
    <row r="31">
      <c r="A31" s="17" t="inlineStr">
        <is>
          <t>RCP-2026-224</t>
        </is>
      </c>
      <c r="B31" s="18" t="inlineStr">
        <is>
          <t>26/08/2026</t>
        </is>
      </c>
      <c r="C31" s="18" t="inlineStr">
        <is>
          <t>05:59</t>
        </is>
      </c>
      <c r="D31" s="17" t="inlineStr">
        <is>
          <t>WHAP-0447</t>
        </is>
      </c>
      <c r="E31" s="18">
        <f>IF($D31="","",IFERROR(VLOOKUP($D31,ARTICLES!$A$5:$S$2243,3,FALSE),"reference inconnue"))</f>
        <v/>
      </c>
      <c r="F31" s="17" t="inlineStr">
        <is>
          <t>SKF</t>
        </is>
      </c>
      <c r="G31" s="17" t="inlineStr">
        <is>
          <t>BL-SKF-2809</t>
        </is>
      </c>
      <c r="H31" s="17" t="n">
        <v>18</v>
      </c>
      <c r="I31" s="17" t="n">
        <v>15</v>
      </c>
      <c r="J31" s="18">
        <f>IF(I31="","",I31-H31)</f>
        <v/>
      </c>
      <c r="K31" s="18">
        <f>IF($D31="","",IFERROR(VLOOKUP($D31,ARTICLES!$A$5:$S$2243,9,FALSE),0))</f>
        <v/>
      </c>
      <c r="L31" s="18">
        <f>IF(H31="","",IF(J31=0,"✓ CONFORME",IF(AND(K31&gt;0,ABS(J31)&lt;=H31*K31/100),"✓ DANS LA TOLERANCE","✕ HORS TOLERANCE")))</f>
        <v/>
      </c>
      <c r="M31" s="17" t="inlineStr">
        <is>
          <t>Ecart constate au comptage: -3</t>
        </is>
      </c>
      <c r="N31" s="17" t="inlineStr">
        <is>
          <t>OP-1063</t>
        </is>
      </c>
      <c r="O31" s="17" t="inlineStr">
        <is>
          <t>VALIDE</t>
        </is>
      </c>
      <c r="P31" s="17" t="inlineStr"/>
      <c r="Q31" s="17" t="inlineStr"/>
      <c r="R31" s="17" t="inlineStr"/>
      <c r="S31" s="17" t="inlineStr">
        <is>
          <t>SYNCHRONISE</t>
        </is>
      </c>
      <c r="T31" s="17" t="inlineStr"/>
      <c r="U31" s="17" t="inlineStr">
        <is>
          <t>RECEPTION-HISTORIQUE-027</t>
        </is>
      </c>
      <c r="V31" s="17" t="inlineStr"/>
    </row>
    <row r="32">
      <c r="A32" s="17" t="inlineStr">
        <is>
          <t>RCP-2026-222</t>
        </is>
      </c>
      <c r="B32" s="18" t="inlineStr">
        <is>
          <t>25/08/2026</t>
        </is>
      </c>
      <c r="C32" s="18" t="inlineStr">
        <is>
          <t>21:59</t>
        </is>
      </c>
      <c r="D32" s="17" t="inlineStr">
        <is>
          <t>WHAP-0497</t>
        </is>
      </c>
      <c r="E32" s="18">
        <f>IF($D32="","",IFERROR(VLOOKUP($D32,ARTICLES!$A$5:$S$2243,3,FALSE),"reference inconnue"))</f>
        <v/>
      </c>
      <c r="F32" s="17" t="inlineStr">
        <is>
          <t>HEL</t>
        </is>
      </c>
      <c r="G32" s="17" t="inlineStr">
        <is>
          <t>BL-HEL-2807</t>
        </is>
      </c>
      <c r="H32" s="17" t="n">
        <v>420</v>
      </c>
      <c r="I32" s="17" t="n">
        <v>420</v>
      </c>
      <c r="J32" s="18">
        <f>IF(I32="","",I32-H32)</f>
        <v/>
      </c>
      <c r="K32" s="18">
        <f>IF($D32="","",IFERROR(VLOOKUP($D32,ARTICLES!$A$5:$S$2243,9,FALSE),0))</f>
        <v/>
      </c>
      <c r="L32" s="18">
        <f>IF(H32="","",IF(J32=0,"✓ CONFORME",IF(AND(K32&gt;0,ABS(J32)&lt;=H32*K32/100),"✓ DANS LA TOLERANCE","✕ HORS TOLERANCE")))</f>
        <v/>
      </c>
      <c r="M32" s="17" t="inlineStr"/>
      <c r="N32" s="17" t="inlineStr">
        <is>
          <t>OP-1078</t>
        </is>
      </c>
      <c r="O32" s="17" t="inlineStr">
        <is>
          <t>VALIDE</t>
        </is>
      </c>
      <c r="P32" s="17" t="inlineStr"/>
      <c r="Q32" s="17" t="inlineStr"/>
      <c r="R32" s="17" t="inlineStr"/>
      <c r="S32" s="17" t="inlineStr">
        <is>
          <t>SYNCHRONISE</t>
        </is>
      </c>
      <c r="T32" s="17" t="inlineStr"/>
      <c r="U32" s="17" t="inlineStr">
        <is>
          <t>RECEPTION-HISTORIQUE-028</t>
        </is>
      </c>
      <c r="V32" s="17" t="inlineStr"/>
    </row>
    <row r="33">
      <c r="A33" s="17" t="inlineStr">
        <is>
          <t>RCP-2026-221</t>
        </is>
      </c>
      <c r="B33" s="18" t="inlineStr">
        <is>
          <t>25/08/2026</t>
        </is>
      </c>
      <c r="C33" s="18" t="inlineStr">
        <is>
          <t>17:59</t>
        </is>
      </c>
      <c r="D33" s="17" t="inlineStr">
        <is>
          <t>WHAP-0338</t>
        </is>
      </c>
      <c r="E33" s="18">
        <f>IF($D33="","",IFERROR(VLOOKUP($D33,ARTICLES!$A$5:$S$2243,3,FALSE),"reference inconnue"))</f>
        <v/>
      </c>
      <c r="F33" s="17" t="inlineStr">
        <is>
          <t>SUM</t>
        </is>
      </c>
      <c r="G33" s="17" t="inlineStr">
        <is>
          <t>BL-SUM-2806</t>
        </is>
      </c>
      <c r="H33" s="17" t="n">
        <v>240</v>
      </c>
      <c r="I33" s="17" t="n">
        <v>240</v>
      </c>
      <c r="J33" s="18">
        <f>IF(I33="","",I33-H33)</f>
        <v/>
      </c>
      <c r="K33" s="18">
        <f>IF($D33="","",IFERROR(VLOOKUP($D33,ARTICLES!$A$5:$S$2243,9,FALSE),0))</f>
        <v/>
      </c>
      <c r="L33" s="18">
        <f>IF(H33="","",IF(J33=0,"✓ CONFORME",IF(AND(K33&gt;0,ABS(J33)&lt;=H33*K33/100),"✓ DANS LA TOLERANCE","✕ HORS TOLERANCE")))</f>
        <v/>
      </c>
      <c r="M33" s="17" t="inlineStr"/>
      <c r="N33" s="17" t="inlineStr">
        <is>
          <t>OP-1042</t>
        </is>
      </c>
      <c r="O33" s="17" t="inlineStr">
        <is>
          <t>VALIDE</t>
        </is>
      </c>
      <c r="P33" s="17" t="inlineStr"/>
      <c r="Q33" s="17" t="inlineStr"/>
      <c r="R33" s="17" t="inlineStr"/>
      <c r="S33" s="17" t="inlineStr">
        <is>
          <t>SYNCHRONISE</t>
        </is>
      </c>
      <c r="T33" s="17" t="inlineStr"/>
      <c r="U33" s="17" t="inlineStr">
        <is>
          <t>RECEPTION-HISTORIQUE-029</t>
        </is>
      </c>
      <c r="V33" s="17" t="inlineStr"/>
    </row>
    <row r="34">
      <c r="A34" s="17" t="inlineStr">
        <is>
          <t>RCP-2026-220</t>
        </is>
      </c>
      <c r="B34" s="18" t="inlineStr">
        <is>
          <t>25/08/2026</t>
        </is>
      </c>
      <c r="C34" s="18" t="inlineStr">
        <is>
          <t>13:59</t>
        </is>
      </c>
      <c r="D34" s="17" t="inlineStr">
        <is>
          <t>WHAP-0133</t>
        </is>
      </c>
      <c r="E34" s="18">
        <f>IF($D34="","",IFERROR(VLOOKUP($D34,ARTICLES!$A$5:$S$2243,3,FALSE),"reference inconnue"))</f>
        <v/>
      </c>
      <c r="F34" s="17" t="inlineStr">
        <is>
          <t>VAL</t>
        </is>
      </c>
      <c r="G34" s="17" t="inlineStr">
        <is>
          <t>BL-VAL-2805</t>
        </is>
      </c>
      <c r="H34" s="17" t="n">
        <v>100</v>
      </c>
      <c r="I34" s="17" t="n">
        <v>100</v>
      </c>
      <c r="J34" s="18">
        <f>IF(I34="","",I34-H34)</f>
        <v/>
      </c>
      <c r="K34" s="18">
        <f>IF($D34="","",IFERROR(VLOOKUP($D34,ARTICLES!$A$5:$S$2243,9,FALSE),0))</f>
        <v/>
      </c>
      <c r="L34" s="18">
        <f>IF(H34="","",IF(J34=0,"✓ CONFORME",IF(AND(K34&gt;0,ABS(J34)&lt;=H34*K34/100),"✓ DANS LA TOLERANCE","✕ HORS TOLERANCE")))</f>
        <v/>
      </c>
      <c r="M34" s="17" t="inlineStr"/>
      <c r="N34" s="17" t="inlineStr">
        <is>
          <t>OP-1042</t>
        </is>
      </c>
      <c r="O34" s="17" t="inlineStr">
        <is>
          <t>VALIDE</t>
        </is>
      </c>
      <c r="P34" s="17" t="inlineStr"/>
      <c r="Q34" s="17" t="inlineStr"/>
      <c r="R34" s="17" t="inlineStr"/>
      <c r="S34" s="17" t="inlineStr">
        <is>
          <t>SYNCHRONISE</t>
        </is>
      </c>
      <c r="T34" s="17" t="inlineStr"/>
      <c r="U34" s="17" t="inlineStr">
        <is>
          <t>RECEPTION-HISTORIQUE-030</t>
        </is>
      </c>
      <c r="V34" s="17" t="inlineStr"/>
    </row>
    <row r="35">
      <c r="A35" s="17" t="inlineStr">
        <is>
          <t>RCP-2026-219</t>
        </is>
      </c>
      <c r="B35" s="18" t="inlineStr">
        <is>
          <t>25/08/2026</t>
        </is>
      </c>
      <c r="C35" s="18" t="inlineStr">
        <is>
          <t>09:59</t>
        </is>
      </c>
      <c r="D35" s="17" t="inlineStr">
        <is>
          <t>WHAP-0446</t>
        </is>
      </c>
      <c r="E35" s="18">
        <f>IF($D35="","",IFERROR(VLOOKUP($D35,ARTICLES!$A$5:$S$2243,3,FALSE),"reference inconnue"))</f>
        <v/>
      </c>
      <c r="F35" s="17" t="inlineStr">
        <is>
          <t>HEL</t>
        </is>
      </c>
      <c r="G35" s="17" t="inlineStr">
        <is>
          <t>BL-HEL-2804</t>
        </is>
      </c>
      <c r="H35" s="17" t="n">
        <v>40</v>
      </c>
      <c r="I35" s="17" t="n">
        <v>40</v>
      </c>
      <c r="J35" s="18">
        <f>IF(I35="","",I35-H35)</f>
        <v/>
      </c>
      <c r="K35" s="18">
        <f>IF($D35="","",IFERROR(VLOOKUP($D35,ARTICLES!$A$5:$S$2243,9,FALSE),0))</f>
        <v/>
      </c>
      <c r="L35" s="18">
        <f>IF(H35="","",IF(J35=0,"✓ CONFORME",IF(AND(K35&gt;0,ABS(J35)&lt;=H35*K35/100),"✓ DANS LA TOLERANCE","✕ HORS TOLERANCE")))</f>
        <v/>
      </c>
      <c r="M35" s="17" t="inlineStr"/>
      <c r="N35" s="17" t="inlineStr">
        <is>
          <t>OP-1042</t>
        </is>
      </c>
      <c r="O35" s="17" t="inlineStr">
        <is>
          <t>VALIDE</t>
        </is>
      </c>
      <c r="P35" s="17" t="inlineStr"/>
      <c r="Q35" s="17" t="inlineStr"/>
      <c r="R35" s="17" t="inlineStr"/>
      <c r="S35" s="17" t="inlineStr">
        <is>
          <t>SYNCHRONISE</t>
        </is>
      </c>
      <c r="T35" s="17" t="inlineStr"/>
      <c r="U35" s="17" t="inlineStr">
        <is>
          <t>RECEPTION-HISTORIQUE-031</t>
        </is>
      </c>
      <c r="V35" s="17" t="inlineStr"/>
    </row>
    <row r="36">
      <c r="A36" s="17" t="inlineStr">
        <is>
          <t>RCP-2026-218</t>
        </is>
      </c>
      <c r="B36" s="18" t="inlineStr">
        <is>
          <t>25/08/2026</t>
        </is>
      </c>
      <c r="C36" s="18" t="inlineStr">
        <is>
          <t>05:59</t>
        </is>
      </c>
      <c r="D36" s="17" t="inlineStr">
        <is>
          <t>WHAP-0551</t>
        </is>
      </c>
      <c r="E36" s="18">
        <f>IF($D36="","",IFERROR(VLOOKUP($D36,ARTICLES!$A$5:$S$2243,3,FALSE),"reference inconnue"))</f>
        <v/>
      </c>
      <c r="F36" s="17" t="inlineStr">
        <is>
          <t>CTL</t>
        </is>
      </c>
      <c r="G36" s="17" t="inlineStr">
        <is>
          <t>BL-CTL-2803</t>
        </is>
      </c>
      <c r="H36" s="17" t="n">
        <v>40</v>
      </c>
      <c r="I36" s="17" t="n">
        <v>40</v>
      </c>
      <c r="J36" s="18">
        <f>IF(I36="","",I36-H36)</f>
        <v/>
      </c>
      <c r="K36" s="18">
        <f>IF($D36="","",IFERROR(VLOOKUP($D36,ARTICLES!$A$5:$S$2243,9,FALSE),0))</f>
        <v/>
      </c>
      <c r="L36" s="18">
        <f>IF(H36="","",IF(J36=0,"✓ CONFORME",IF(AND(K36&gt;0,ABS(J36)&lt;=H36*K36/100),"✓ DANS LA TOLERANCE","✕ HORS TOLERANCE")))</f>
        <v/>
      </c>
      <c r="M36" s="17" t="inlineStr"/>
      <c r="N36" s="17" t="inlineStr">
        <is>
          <t>OP-1078</t>
        </is>
      </c>
      <c r="O36" s="17" t="inlineStr">
        <is>
          <t>VALIDE</t>
        </is>
      </c>
      <c r="P36" s="17" t="inlineStr"/>
      <c r="Q36" s="17" t="inlineStr"/>
      <c r="R36" s="17" t="inlineStr"/>
      <c r="S36" s="17" t="inlineStr">
        <is>
          <t>SYNCHRONISE</t>
        </is>
      </c>
      <c r="T36" s="17" t="inlineStr"/>
      <c r="U36" s="17" t="inlineStr">
        <is>
          <t>RECEPTION-HISTORIQUE-032</t>
        </is>
      </c>
      <c r="V36" s="17" t="inlineStr"/>
    </row>
    <row r="37">
      <c r="A37" s="17" t="inlineStr">
        <is>
          <t>RCP-2026-217</t>
        </is>
      </c>
      <c r="B37" s="18" t="inlineStr">
        <is>
          <t>25/08/2026</t>
        </is>
      </c>
      <c r="C37" s="18" t="inlineStr">
        <is>
          <t>01:59</t>
        </is>
      </c>
      <c r="D37" s="17" t="inlineStr">
        <is>
          <t>WHAP-0199</t>
        </is>
      </c>
      <c r="E37" s="18">
        <f>IF($D37="","",IFERROR(VLOOKUP($D37,ARTICLES!$A$5:$S$2243,3,FALSE),"reference inconnue"))</f>
        <v/>
      </c>
      <c r="F37" s="17" t="inlineStr">
        <is>
          <t>CTL</t>
        </is>
      </c>
      <c r="G37" s="17" t="inlineStr">
        <is>
          <t>BL-CTL-2802</t>
        </is>
      </c>
      <c r="H37" s="17" t="n">
        <v>100</v>
      </c>
      <c r="I37" s="17" t="n">
        <v>100</v>
      </c>
      <c r="J37" s="18">
        <f>IF(I37="","",I37-H37)</f>
        <v/>
      </c>
      <c r="K37" s="18">
        <f>IF($D37="","",IFERROR(VLOOKUP($D37,ARTICLES!$A$5:$S$2243,9,FALSE),0))</f>
        <v/>
      </c>
      <c r="L37" s="18">
        <f>IF(H37="","",IF(J37=0,"✓ CONFORME",IF(AND(K37&gt;0,ABS(J37)&lt;=H37*K37/100),"✓ DANS LA TOLERANCE","✕ HORS TOLERANCE")))</f>
        <v/>
      </c>
      <c r="M37" s="17" t="inlineStr"/>
      <c r="N37" s="17" t="inlineStr">
        <is>
          <t>OP-1042</t>
        </is>
      </c>
      <c r="O37" s="17" t="inlineStr">
        <is>
          <t>VALIDE</t>
        </is>
      </c>
      <c r="P37" s="17" t="inlineStr"/>
      <c r="Q37" s="17" t="inlineStr"/>
      <c r="R37" s="17" t="inlineStr"/>
      <c r="S37" s="17" t="inlineStr">
        <is>
          <t>SYNCHRONISE</t>
        </is>
      </c>
      <c r="T37" s="17" t="inlineStr"/>
      <c r="U37" s="17" t="inlineStr">
        <is>
          <t>RECEPTION-HISTORIQUE-033</t>
        </is>
      </c>
      <c r="V37" s="17" t="inlineStr"/>
    </row>
    <row r="38">
      <c r="A38" s="17" t="inlineStr">
        <is>
          <t>RCP-2026-215</t>
        </is>
      </c>
      <c r="B38" s="18" t="inlineStr">
        <is>
          <t>24/08/2026</t>
        </is>
      </c>
      <c r="C38" s="18" t="inlineStr">
        <is>
          <t>17:59</t>
        </is>
      </c>
      <c r="D38" s="17" t="inlineStr">
        <is>
          <t>WHAP-0172</t>
        </is>
      </c>
      <c r="E38" s="18">
        <f>IF($D38="","",IFERROR(VLOOKUP($D38,ARTICLES!$A$5:$S$2243,3,FALSE),"reference inconnue"))</f>
        <v/>
      </c>
      <c r="F38" s="17" t="inlineStr">
        <is>
          <t>FAU</t>
        </is>
      </c>
      <c r="G38" s="17" t="inlineStr">
        <is>
          <t>BL-FAU-2800</t>
        </is>
      </c>
      <c r="H38" s="17" t="n">
        <v>120</v>
      </c>
      <c r="I38" s="17" t="n">
        <v>120</v>
      </c>
      <c r="J38" s="18">
        <f>IF(I38="","",I38-H38)</f>
        <v/>
      </c>
      <c r="K38" s="18">
        <f>IF($D38="","",IFERROR(VLOOKUP($D38,ARTICLES!$A$5:$S$2243,9,FALSE),0))</f>
        <v/>
      </c>
      <c r="L38" s="18">
        <f>IF(H38="","",IF(J38=0,"✓ CONFORME",IF(AND(K38&gt;0,ABS(J38)&lt;=H38*K38/100),"✓ DANS LA TOLERANCE","✕ HORS TOLERANCE")))</f>
        <v/>
      </c>
      <c r="M38" s="17" t="inlineStr"/>
      <c r="N38" s="17" t="inlineStr">
        <is>
          <t>OP-1063</t>
        </is>
      </c>
      <c r="O38" s="17" t="inlineStr">
        <is>
          <t>VALIDE</t>
        </is>
      </c>
      <c r="P38" s="17" t="inlineStr"/>
      <c r="Q38" s="17" t="inlineStr"/>
      <c r="R38" s="17" t="inlineStr"/>
      <c r="S38" s="17" t="inlineStr">
        <is>
          <t>SYNCHRONISE</t>
        </is>
      </c>
      <c r="T38" s="17" t="inlineStr"/>
      <c r="U38" s="17" t="inlineStr">
        <is>
          <t>RECEPTION-HISTORIQUE-034</t>
        </is>
      </c>
      <c r="V38" s="17" t="inlineStr"/>
    </row>
    <row r="39">
      <c r="A39" s="17" t="inlineStr">
        <is>
          <t>RCP-2026-214</t>
        </is>
      </c>
      <c r="B39" s="18" t="inlineStr">
        <is>
          <t>24/08/2026</t>
        </is>
      </c>
      <c r="C39" s="18" t="inlineStr">
        <is>
          <t>13:59</t>
        </is>
      </c>
      <c r="D39" s="17" t="inlineStr">
        <is>
          <t>WHAP-0592</t>
        </is>
      </c>
      <c r="E39" s="18">
        <f>IF($D39="","",IFERROR(VLOOKUP($D39,ARTICLES!$A$5:$S$2243,3,FALSE),"reference inconnue"))</f>
        <v/>
      </c>
      <c r="F39" s="17" t="inlineStr">
        <is>
          <t>BOS</t>
        </is>
      </c>
      <c r="G39" s="17" t="inlineStr">
        <is>
          <t>BL-BOS-2799</t>
        </is>
      </c>
      <c r="H39" s="17" t="n">
        <v>80</v>
      </c>
      <c r="I39" s="17" t="n">
        <v>84</v>
      </c>
      <c r="J39" s="18">
        <f>IF(I39="","",I39-H39)</f>
        <v/>
      </c>
      <c r="K39" s="18">
        <f>IF($D39="","",IFERROR(VLOOKUP($D39,ARTICLES!$A$5:$S$2243,9,FALSE),0))</f>
        <v/>
      </c>
      <c r="L39" s="18">
        <f>IF(H39="","",IF(J39=0,"✓ CONFORME",IF(AND(K39&gt;0,ABS(J39)&lt;=H39*K39/100),"✓ DANS LA TOLERANCE","✕ HORS TOLERANCE")))</f>
        <v/>
      </c>
      <c r="M39" s="17" t="inlineStr">
        <is>
          <t>Ecart constate au comptage: +4</t>
        </is>
      </c>
      <c r="N39" s="17" t="inlineStr">
        <is>
          <t>OP-1051</t>
        </is>
      </c>
      <c r="O39" s="17" t="inlineStr">
        <is>
          <t>VALIDE</t>
        </is>
      </c>
      <c r="P39" s="17" t="inlineStr"/>
      <c r="Q39" s="17" t="inlineStr"/>
      <c r="R39" s="17" t="inlineStr"/>
      <c r="S39" s="17" t="inlineStr">
        <is>
          <t>SYNCHRONISE</t>
        </is>
      </c>
      <c r="T39" s="17" t="inlineStr"/>
      <c r="U39" s="17" t="inlineStr">
        <is>
          <t>RECEPTION-HISTORIQUE-035</t>
        </is>
      </c>
      <c r="V39" s="17" t="inlineStr"/>
    </row>
    <row r="40">
      <c r="A40" s="17" t="inlineStr">
        <is>
          <t>RCP-2026-212</t>
        </is>
      </c>
      <c r="B40" s="18" t="inlineStr">
        <is>
          <t>24/08/2026</t>
        </is>
      </c>
      <c r="C40" s="18" t="inlineStr">
        <is>
          <t>05:59</t>
        </is>
      </c>
      <c r="D40" s="17" t="inlineStr">
        <is>
          <t>WHAP-0610</t>
        </is>
      </c>
      <c r="E40" s="18">
        <f>IF($D40="","",IFERROR(VLOOKUP($D40,ARTICLES!$A$5:$S$2243,3,FALSE),"reference inconnue"))</f>
        <v/>
      </c>
      <c r="F40" s="17" t="inlineStr">
        <is>
          <t>FAU</t>
        </is>
      </c>
      <c r="G40" s="17" t="inlineStr">
        <is>
          <t>BL-FAU-2797</t>
        </is>
      </c>
      <c r="H40" s="17" t="n">
        <v>40</v>
      </c>
      <c r="I40" s="17" t="n">
        <v>40</v>
      </c>
      <c r="J40" s="18">
        <f>IF(I40="","",I40-H40)</f>
        <v/>
      </c>
      <c r="K40" s="18">
        <f>IF($D40="","",IFERROR(VLOOKUP($D40,ARTICLES!$A$5:$S$2243,9,FALSE),0))</f>
        <v/>
      </c>
      <c r="L40" s="18">
        <f>IF(H40="","",IF(J40=0,"✓ CONFORME",IF(AND(K40&gt;0,ABS(J40)&lt;=H40*K40/100),"✓ DANS LA TOLERANCE","✕ HORS TOLERANCE")))</f>
        <v/>
      </c>
      <c r="M40" s="17" t="inlineStr"/>
      <c r="N40" s="17" t="inlineStr">
        <is>
          <t>OP-1063</t>
        </is>
      </c>
      <c r="O40" s="17" t="inlineStr">
        <is>
          <t>VALIDE</t>
        </is>
      </c>
      <c r="P40" s="17" t="inlineStr"/>
      <c r="Q40" s="17" t="inlineStr"/>
      <c r="R40" s="17" t="inlineStr"/>
      <c r="S40" s="17" t="inlineStr">
        <is>
          <t>SYNCHRONISE</t>
        </is>
      </c>
      <c r="T40" s="17" t="inlineStr"/>
      <c r="U40" s="17" t="inlineStr">
        <is>
          <t>RECEPTION-HISTORIQUE-036</t>
        </is>
      </c>
      <c r="V40" s="17" t="inlineStr"/>
    </row>
    <row r="41">
      <c r="A41" s="17" t="inlineStr">
        <is>
          <t>RCP-2026-211</t>
        </is>
      </c>
      <c r="B41" s="18" t="inlineStr">
        <is>
          <t>24/08/2026</t>
        </is>
      </c>
      <c r="C41" s="18" t="inlineStr">
        <is>
          <t>01:59</t>
        </is>
      </c>
      <c r="D41" s="17" t="inlineStr">
        <is>
          <t>WHAP-0200</t>
        </is>
      </c>
      <c r="E41" s="18">
        <f>IF($D41="","",IFERROR(VLOOKUP($D41,ARTICLES!$A$5:$S$2243,3,FALSE),"reference inconnue"))</f>
        <v/>
      </c>
      <c r="F41" s="17" t="inlineStr">
        <is>
          <t>CTL</t>
        </is>
      </c>
      <c r="G41" s="17" t="inlineStr">
        <is>
          <t>BL-CTL-2796</t>
        </is>
      </c>
      <c r="H41" s="17" t="n">
        <v>120</v>
      </c>
      <c r="I41" s="17" t="n">
        <v>120</v>
      </c>
      <c r="J41" s="18">
        <f>IF(I41="","",I41-H41)</f>
        <v/>
      </c>
      <c r="K41" s="18">
        <f>IF($D41="","",IFERROR(VLOOKUP($D41,ARTICLES!$A$5:$S$2243,9,FALSE),0))</f>
        <v/>
      </c>
      <c r="L41" s="18">
        <f>IF(H41="","",IF(J41=0,"✓ CONFORME",IF(AND(K41&gt;0,ABS(J41)&lt;=H41*K41/100),"✓ DANS LA TOLERANCE","✕ HORS TOLERANCE")))</f>
        <v/>
      </c>
      <c r="M41" s="17" t="inlineStr"/>
      <c r="N41" s="17" t="inlineStr">
        <is>
          <t>OP-1042</t>
        </is>
      </c>
      <c r="O41" s="17" t="inlineStr">
        <is>
          <t>VALIDE</t>
        </is>
      </c>
      <c r="P41" s="17" t="inlineStr"/>
      <c r="Q41" s="17" t="inlineStr"/>
      <c r="R41" s="17" t="inlineStr"/>
      <c r="S41" s="17" t="inlineStr">
        <is>
          <t>SYNCHRONISE</t>
        </is>
      </c>
      <c r="T41" s="17" t="inlineStr"/>
      <c r="U41" s="17" t="inlineStr">
        <is>
          <t>RECEPTION-HISTORIQUE-037</t>
        </is>
      </c>
      <c r="V41" s="17" t="inlineStr"/>
    </row>
    <row r="42">
      <c r="A42" s="17" t="inlineStr">
        <is>
          <t>RCP-2026-208</t>
        </is>
      </c>
      <c r="B42" s="18" t="inlineStr">
        <is>
          <t>23/08/2026</t>
        </is>
      </c>
      <c r="C42" s="18" t="inlineStr">
        <is>
          <t>13:59</t>
        </is>
      </c>
      <c r="D42" s="17" t="inlineStr">
        <is>
          <t>SEC-002</t>
        </is>
      </c>
      <c r="E42" s="18">
        <f>IF($D42="","",IFERROR(VLOOKUP($D42,ARTICLES!$A$5:$S$2243,3,FALSE),"reference inconnue"))</f>
        <v/>
      </c>
      <c r="F42" s="17" t="inlineStr">
        <is>
          <t>BOS</t>
        </is>
      </c>
      <c r="G42" s="17" t="inlineStr">
        <is>
          <t>BL-BOS-2793</t>
        </is>
      </c>
      <c r="H42" s="17" t="n">
        <v>60</v>
      </c>
      <c r="I42" s="17" t="n">
        <v>60</v>
      </c>
      <c r="J42" s="18">
        <f>IF(I42="","",I42-H42)</f>
        <v/>
      </c>
      <c r="K42" s="18">
        <f>IF($D42="","",IFERROR(VLOOKUP($D42,ARTICLES!$A$5:$S$2243,9,FALSE),0))</f>
        <v/>
      </c>
      <c r="L42" s="18">
        <f>IF(H42="","",IF(J42=0,"✓ CONFORME",IF(AND(K42&gt;0,ABS(J42)&lt;=H42*K42/100),"✓ DANS LA TOLERANCE","✕ HORS TOLERANCE")))</f>
        <v/>
      </c>
      <c r="M42" s="17" t="inlineStr"/>
      <c r="N42" s="17" t="inlineStr">
        <is>
          <t>OP-1051</t>
        </is>
      </c>
      <c r="O42" s="17" t="inlineStr">
        <is>
          <t>VALIDE</t>
        </is>
      </c>
      <c r="P42" s="17" t="inlineStr"/>
      <c r="Q42" s="17" t="inlineStr"/>
      <c r="R42" s="17" t="inlineStr"/>
      <c r="S42" s="17" t="inlineStr">
        <is>
          <t>SYNCHRONISE</t>
        </is>
      </c>
      <c r="T42" s="17" t="inlineStr"/>
      <c r="U42" s="17" t="inlineStr">
        <is>
          <t>RECEPTION-HISTORIQUE-038</t>
        </is>
      </c>
      <c r="V42" s="17" t="inlineStr"/>
    </row>
    <row r="43">
      <c r="A43" s="17" t="inlineStr">
        <is>
          <t>RCP-2026-207</t>
        </is>
      </c>
      <c r="B43" s="18" t="inlineStr">
        <is>
          <t>23/08/2026</t>
        </is>
      </c>
      <c r="C43" s="18" t="inlineStr">
        <is>
          <t>09:59</t>
        </is>
      </c>
      <c r="D43" s="17" t="inlineStr">
        <is>
          <t>ACC-002</t>
        </is>
      </c>
      <c r="E43" s="18">
        <f>IF($D43="","",IFERROR(VLOOKUP($D43,ARTICLES!$A$5:$S$2243,3,FALSE),"reference inconnue"))</f>
        <v/>
      </c>
      <c r="F43" s="17" t="inlineStr">
        <is>
          <t>FAU</t>
        </is>
      </c>
      <c r="G43" s="17" t="inlineStr">
        <is>
          <t>BL-FAU-2792</t>
        </is>
      </c>
      <c r="H43" s="17" t="n">
        <v>300</v>
      </c>
      <c r="I43" s="17" t="n">
        <v>300</v>
      </c>
      <c r="J43" s="18">
        <f>IF(I43="","",I43-H43)</f>
        <v/>
      </c>
      <c r="K43" s="18">
        <f>IF($D43="","",IFERROR(VLOOKUP($D43,ARTICLES!$A$5:$S$2243,9,FALSE),0))</f>
        <v/>
      </c>
      <c r="L43" s="18">
        <f>IF(H43="","",IF(J43=0,"✓ CONFORME",IF(AND(K43&gt;0,ABS(J43)&lt;=H43*K43/100),"✓ DANS LA TOLERANCE","✕ HORS TOLERANCE")))</f>
        <v/>
      </c>
      <c r="M43" s="17" t="inlineStr"/>
      <c r="N43" s="17" t="inlineStr">
        <is>
          <t>OP-1051</t>
        </is>
      </c>
      <c r="O43" s="17" t="inlineStr">
        <is>
          <t>VALIDE</t>
        </is>
      </c>
      <c r="P43" s="17" t="inlineStr"/>
      <c r="Q43" s="17" t="inlineStr"/>
      <c r="R43" s="17" t="inlineStr"/>
      <c r="S43" s="17" t="inlineStr">
        <is>
          <t>SYNCHRONISE</t>
        </is>
      </c>
      <c r="T43" s="17" t="inlineStr"/>
      <c r="U43" s="17" t="inlineStr">
        <is>
          <t>RECEPTION-HISTORIQUE-039</t>
        </is>
      </c>
      <c r="V43" s="17" t="inlineStr"/>
    </row>
    <row r="44">
      <c r="A44" s="17" t="inlineStr">
        <is>
          <t>RCP-2026-205</t>
        </is>
      </c>
      <c r="B44" s="18" t="inlineStr">
        <is>
          <t>23/08/2026</t>
        </is>
      </c>
      <c r="C44" s="18" t="inlineStr">
        <is>
          <t>01:59</t>
        </is>
      </c>
      <c r="D44" s="17" t="inlineStr">
        <is>
          <t>WHAP-0226</t>
        </is>
      </c>
      <c r="E44" s="18">
        <f>IF($D44="","",IFERROR(VLOOKUP($D44,ARTICLES!$A$5:$S$2243,3,FALSE),"reference inconnue"))</f>
        <v/>
      </c>
      <c r="F44" s="17" t="inlineStr">
        <is>
          <t>SKF</t>
        </is>
      </c>
      <c r="G44" s="17" t="inlineStr">
        <is>
          <t>BL-SKF-2790</t>
        </is>
      </c>
      <c r="H44" s="17" t="n">
        <v>30</v>
      </c>
      <c r="I44" s="17" t="n">
        <v>30</v>
      </c>
      <c r="J44" s="18">
        <f>IF(I44="","",I44-H44)</f>
        <v/>
      </c>
      <c r="K44" s="18">
        <f>IF($D44="","",IFERROR(VLOOKUP($D44,ARTICLES!$A$5:$S$2243,9,FALSE),0))</f>
        <v/>
      </c>
      <c r="L44" s="18">
        <f>IF(H44="","",IF(J44=0,"✓ CONFORME",IF(AND(K44&gt;0,ABS(J44)&lt;=H44*K44/100),"✓ DANS LA TOLERANCE","✕ HORS TOLERANCE")))</f>
        <v/>
      </c>
      <c r="M44" s="17" t="inlineStr"/>
      <c r="N44" s="17" t="inlineStr">
        <is>
          <t>OP-1051</t>
        </is>
      </c>
      <c r="O44" s="17" t="inlineStr">
        <is>
          <t>VALIDE</t>
        </is>
      </c>
      <c r="P44" s="17" t="inlineStr"/>
      <c r="Q44" s="17" t="inlineStr"/>
      <c r="R44" s="17" t="inlineStr"/>
      <c r="S44" s="17" t="inlineStr">
        <is>
          <t>SYNCHRONISE</t>
        </is>
      </c>
      <c r="T44" s="17" t="inlineStr"/>
      <c r="U44" s="17" t="inlineStr">
        <is>
          <t>RECEPTION-HISTORIQUE-040</t>
        </is>
      </c>
      <c r="V44" s="17" t="inlineStr"/>
    </row>
    <row r="45">
      <c r="A45" s="17" t="n"/>
      <c r="B45" s="18">
        <f>IF($D45="","",TEXT(TODAY(),"dd/mm/yyyy"))</f>
        <v/>
      </c>
      <c r="C45" s="18">
        <f>IF($D45="","",TEXT(NOW(),"hh:mm"))</f>
        <v/>
      </c>
      <c r="D45" s="19" t="n"/>
      <c r="E45" s="18">
        <f>IF($D45="","",IFERROR(VLOOKUP($D45,ARTICLES!$A$5:$S$2243,3,FALSE),"reference inconnue"))</f>
        <v/>
      </c>
      <c r="F45" s="19" t="n"/>
      <c r="G45" s="19" t="n"/>
      <c r="H45" s="19" t="n"/>
      <c r="I45" s="19" t="n"/>
      <c r="J45" s="18">
        <f>IF(I45="","",I45-H45)</f>
        <v/>
      </c>
      <c r="K45" s="18">
        <f>IF($D45="","",IFERROR(VLOOKUP($D45,ARTICLES!$A$5:$S$2243,9,FALSE),0))</f>
        <v/>
      </c>
      <c r="L45" s="18">
        <f>IF(H45="","",IF(J45=0,"✓ CONFORME",IF(AND(K45&gt;0,ABS(J45)&lt;=H45*K45/100),"✓ DANS LA TOLERANCE","✕ HORS TOLERANCE")))</f>
        <v/>
      </c>
      <c r="M45" s="19" t="n"/>
      <c r="N45" s="19" t="n"/>
      <c r="O45" s="17" t="inlineStr">
        <is>
          <t>BROUILLON</t>
        </is>
      </c>
      <c r="P45" s="17" t="n"/>
      <c r="Q45" s="17" t="n"/>
      <c r="R45" s="17" t="n"/>
      <c r="S45" s="17" t="n"/>
      <c r="T45" s="17" t="n"/>
      <c r="U45" s="17" t="n"/>
      <c r="V45" s="17" t="n"/>
    </row>
    <row r="46">
      <c r="A46" s="17" t="n"/>
      <c r="B46" s="18">
        <f>IF($D46="","",TEXT(TODAY(),"dd/mm/yyyy"))</f>
        <v/>
      </c>
      <c r="C46" s="18">
        <f>IF($D46="","",TEXT(NOW(),"hh:mm"))</f>
        <v/>
      </c>
      <c r="D46" s="19" t="n"/>
      <c r="E46" s="18">
        <f>IF($D46="","",IFERROR(VLOOKUP($D46,ARTICLES!$A$5:$S$2243,3,FALSE),"reference inconnue"))</f>
        <v/>
      </c>
      <c r="F46" s="19" t="n"/>
      <c r="G46" s="19" t="n"/>
      <c r="H46" s="19" t="n"/>
      <c r="I46" s="19" t="n"/>
      <c r="J46" s="18">
        <f>IF(I46="","",I46-H46)</f>
        <v/>
      </c>
      <c r="K46" s="18">
        <f>IF($D46="","",IFERROR(VLOOKUP($D46,ARTICLES!$A$5:$S$2243,9,FALSE),0))</f>
        <v/>
      </c>
      <c r="L46" s="18">
        <f>IF(H46="","",IF(J46=0,"✓ CONFORME",IF(AND(K46&gt;0,ABS(J46)&lt;=H46*K46/100),"✓ DANS LA TOLERANCE","✕ HORS TOLERANCE")))</f>
        <v/>
      </c>
      <c r="M46" s="19" t="n"/>
      <c r="N46" s="19" t="n"/>
      <c r="O46" s="17" t="inlineStr">
        <is>
          <t>BROUILLON</t>
        </is>
      </c>
      <c r="P46" s="17" t="n"/>
      <c r="Q46" s="17" t="n"/>
      <c r="R46" s="17" t="n"/>
      <c r="S46" s="17" t="n"/>
      <c r="T46" s="17" t="n"/>
      <c r="U46" s="17" t="n"/>
      <c r="V46" s="17" t="n"/>
    </row>
    <row r="47">
      <c r="A47" s="17" t="n"/>
      <c r="B47" s="18">
        <f>IF($D47="","",TEXT(TODAY(),"dd/mm/yyyy"))</f>
        <v/>
      </c>
      <c r="C47" s="18">
        <f>IF($D47="","",TEXT(NOW(),"hh:mm"))</f>
        <v/>
      </c>
      <c r="D47" s="19" t="n"/>
      <c r="E47" s="18">
        <f>IF($D47="","",IFERROR(VLOOKUP($D47,ARTICLES!$A$5:$S$2243,3,FALSE),"reference inconnue"))</f>
        <v/>
      </c>
      <c r="F47" s="19" t="n"/>
      <c r="G47" s="19" t="n"/>
      <c r="H47" s="19" t="n"/>
      <c r="I47" s="19" t="n"/>
      <c r="J47" s="18">
        <f>IF(I47="","",I47-H47)</f>
        <v/>
      </c>
      <c r="K47" s="18">
        <f>IF($D47="","",IFERROR(VLOOKUP($D47,ARTICLES!$A$5:$S$2243,9,FALSE),0))</f>
        <v/>
      </c>
      <c r="L47" s="18">
        <f>IF(H47="","",IF(J47=0,"✓ CONFORME",IF(AND(K47&gt;0,ABS(J47)&lt;=H47*K47/100),"✓ DANS LA TOLERANCE","✕ HORS TOLERANCE")))</f>
        <v/>
      </c>
      <c r="M47" s="19" t="n"/>
      <c r="N47" s="19" t="n"/>
      <c r="O47" s="17" t="inlineStr">
        <is>
          <t>BROUILLON</t>
        </is>
      </c>
      <c r="P47" s="17" t="n"/>
      <c r="Q47" s="17" t="n"/>
      <c r="R47" s="17" t="n"/>
      <c r="S47" s="17" t="n"/>
      <c r="T47" s="17" t="n"/>
      <c r="U47" s="17" t="n"/>
      <c r="V47" s="17" t="n"/>
    </row>
    <row r="48">
      <c r="A48" s="17" t="n"/>
      <c r="B48" s="18">
        <f>IF($D48="","",TEXT(TODAY(),"dd/mm/yyyy"))</f>
        <v/>
      </c>
      <c r="C48" s="18">
        <f>IF($D48="","",TEXT(NOW(),"hh:mm"))</f>
        <v/>
      </c>
      <c r="D48" s="19" t="n"/>
      <c r="E48" s="18">
        <f>IF($D48="","",IFERROR(VLOOKUP($D48,ARTICLES!$A$5:$S$2243,3,FALSE),"reference inconnue"))</f>
        <v/>
      </c>
      <c r="F48" s="19" t="n"/>
      <c r="G48" s="19" t="n"/>
      <c r="H48" s="19" t="n"/>
      <c r="I48" s="19" t="n"/>
      <c r="J48" s="18">
        <f>IF(I48="","",I48-H48)</f>
        <v/>
      </c>
      <c r="K48" s="18">
        <f>IF($D48="","",IFERROR(VLOOKUP($D48,ARTICLES!$A$5:$S$2243,9,FALSE),0))</f>
        <v/>
      </c>
      <c r="L48" s="18">
        <f>IF(H48="","",IF(J48=0,"✓ CONFORME",IF(AND(K48&gt;0,ABS(J48)&lt;=H48*K48/100),"✓ DANS LA TOLERANCE","✕ HORS TOLERANCE")))</f>
        <v/>
      </c>
      <c r="M48" s="19" t="n"/>
      <c r="N48" s="19" t="n"/>
      <c r="O48" s="17" t="inlineStr">
        <is>
          <t>BROUILLON</t>
        </is>
      </c>
      <c r="P48" s="17" t="n"/>
      <c r="Q48" s="17" t="n"/>
      <c r="R48" s="17" t="n"/>
      <c r="S48" s="17" t="n"/>
      <c r="T48" s="17" t="n"/>
      <c r="U48" s="17" t="n"/>
      <c r="V48" s="17" t="n"/>
    </row>
    <row r="49">
      <c r="A49" s="17" t="n"/>
      <c r="B49" s="18">
        <f>IF($D49="","",TEXT(TODAY(),"dd/mm/yyyy"))</f>
        <v/>
      </c>
      <c r="C49" s="18">
        <f>IF($D49="","",TEXT(NOW(),"hh:mm"))</f>
        <v/>
      </c>
      <c r="D49" s="19" t="n"/>
      <c r="E49" s="18">
        <f>IF($D49="","",IFERROR(VLOOKUP($D49,ARTICLES!$A$5:$S$2243,3,FALSE),"reference inconnue"))</f>
        <v/>
      </c>
      <c r="F49" s="19" t="n"/>
      <c r="G49" s="19" t="n"/>
      <c r="H49" s="19" t="n"/>
      <c r="I49" s="19" t="n"/>
      <c r="J49" s="18">
        <f>IF(I49="","",I49-H49)</f>
        <v/>
      </c>
      <c r="K49" s="18">
        <f>IF($D49="","",IFERROR(VLOOKUP($D49,ARTICLES!$A$5:$S$2243,9,FALSE),0))</f>
        <v/>
      </c>
      <c r="L49" s="18">
        <f>IF(H49="","",IF(J49=0,"✓ CONFORME",IF(AND(K49&gt;0,ABS(J49)&lt;=H49*K49/100),"✓ DANS LA TOLERANCE","✕ HORS TOLERANCE")))</f>
        <v/>
      </c>
      <c r="M49" s="19" t="n"/>
      <c r="N49" s="19" t="n"/>
      <c r="O49" s="17" t="inlineStr">
        <is>
          <t>BROUILLON</t>
        </is>
      </c>
      <c r="P49" s="17" t="n"/>
      <c r="Q49" s="17" t="n"/>
      <c r="R49" s="17" t="n"/>
      <c r="S49" s="17" t="n"/>
      <c r="T49" s="17" t="n"/>
      <c r="U49" s="17" t="n"/>
      <c r="V49" s="17" t="n"/>
    </row>
    <row r="50">
      <c r="A50" s="17" t="n"/>
      <c r="B50" s="18">
        <f>IF($D50="","",TEXT(TODAY(),"dd/mm/yyyy"))</f>
        <v/>
      </c>
      <c r="C50" s="18">
        <f>IF($D50="","",TEXT(NOW(),"hh:mm"))</f>
        <v/>
      </c>
      <c r="D50" s="19" t="n"/>
      <c r="E50" s="18">
        <f>IF($D50="","",IFERROR(VLOOKUP($D50,ARTICLES!$A$5:$S$2243,3,FALSE),"reference inconnue"))</f>
        <v/>
      </c>
      <c r="F50" s="19" t="n"/>
      <c r="G50" s="19" t="n"/>
      <c r="H50" s="19" t="n"/>
      <c r="I50" s="19" t="n"/>
      <c r="J50" s="18">
        <f>IF(I50="","",I50-H50)</f>
        <v/>
      </c>
      <c r="K50" s="18">
        <f>IF($D50="","",IFERROR(VLOOKUP($D50,ARTICLES!$A$5:$S$2243,9,FALSE),0))</f>
        <v/>
      </c>
      <c r="L50" s="18">
        <f>IF(H50="","",IF(J50=0,"✓ CONFORME",IF(AND(K50&gt;0,ABS(J50)&lt;=H50*K50/100),"✓ DANS LA TOLERANCE","✕ HORS TOLERANCE")))</f>
        <v/>
      </c>
      <c r="M50" s="19" t="n"/>
      <c r="N50" s="19" t="n"/>
      <c r="O50" s="17" t="inlineStr">
        <is>
          <t>BROUILLON</t>
        </is>
      </c>
      <c r="P50" s="17" t="n"/>
      <c r="Q50" s="17" t="n"/>
      <c r="R50" s="17" t="n"/>
      <c r="S50" s="17" t="n"/>
      <c r="T50" s="17" t="n"/>
      <c r="U50" s="17" t="n"/>
      <c r="V50" s="17" t="n"/>
    </row>
    <row r="51">
      <c r="A51" s="17" t="n"/>
      <c r="B51" s="18">
        <f>IF($D51="","",TEXT(TODAY(),"dd/mm/yyyy"))</f>
        <v/>
      </c>
      <c r="C51" s="18">
        <f>IF($D51="","",TEXT(NOW(),"hh:mm"))</f>
        <v/>
      </c>
      <c r="D51" s="19" t="n"/>
      <c r="E51" s="18">
        <f>IF($D51="","",IFERROR(VLOOKUP($D51,ARTICLES!$A$5:$S$2243,3,FALSE),"reference inconnue"))</f>
        <v/>
      </c>
      <c r="F51" s="19" t="n"/>
      <c r="G51" s="19" t="n"/>
      <c r="H51" s="19" t="n"/>
      <c r="I51" s="19" t="n"/>
      <c r="J51" s="18">
        <f>IF(I51="","",I51-H51)</f>
        <v/>
      </c>
      <c r="K51" s="18">
        <f>IF($D51="","",IFERROR(VLOOKUP($D51,ARTICLES!$A$5:$S$2243,9,FALSE),0))</f>
        <v/>
      </c>
      <c r="L51" s="18">
        <f>IF(H51="","",IF(J51=0,"✓ CONFORME",IF(AND(K51&gt;0,ABS(J51)&lt;=H51*K51/100),"✓ DANS LA TOLERANCE","✕ HORS TOLERANCE")))</f>
        <v/>
      </c>
      <c r="M51" s="19" t="n"/>
      <c r="N51" s="19" t="n"/>
      <c r="O51" s="17" t="inlineStr">
        <is>
          <t>BROUILLON</t>
        </is>
      </c>
      <c r="P51" s="17" t="n"/>
      <c r="Q51" s="17" t="n"/>
      <c r="R51" s="17" t="n"/>
      <c r="S51" s="17" t="n"/>
      <c r="T51" s="17" t="n"/>
      <c r="U51" s="17" t="n"/>
      <c r="V51" s="17" t="n"/>
    </row>
    <row r="52">
      <c r="A52" s="17" t="n"/>
      <c r="B52" s="18">
        <f>IF($D52="","",TEXT(TODAY(),"dd/mm/yyyy"))</f>
        <v/>
      </c>
      <c r="C52" s="18">
        <f>IF($D52="","",TEXT(NOW(),"hh:mm"))</f>
        <v/>
      </c>
      <c r="D52" s="19" t="n"/>
      <c r="E52" s="18">
        <f>IF($D52="","",IFERROR(VLOOKUP($D52,ARTICLES!$A$5:$S$2243,3,FALSE),"reference inconnue"))</f>
        <v/>
      </c>
      <c r="F52" s="19" t="n"/>
      <c r="G52" s="19" t="n"/>
      <c r="H52" s="19" t="n"/>
      <c r="I52" s="19" t="n"/>
      <c r="J52" s="18">
        <f>IF(I52="","",I52-H52)</f>
        <v/>
      </c>
      <c r="K52" s="18">
        <f>IF($D52="","",IFERROR(VLOOKUP($D52,ARTICLES!$A$5:$S$2243,9,FALSE),0))</f>
        <v/>
      </c>
      <c r="L52" s="18">
        <f>IF(H52="","",IF(J52=0,"✓ CONFORME",IF(AND(K52&gt;0,ABS(J52)&lt;=H52*K52/100),"✓ DANS LA TOLERANCE","✕ HORS TOLERANCE")))</f>
        <v/>
      </c>
      <c r="M52" s="19" t="n"/>
      <c r="N52" s="19" t="n"/>
      <c r="O52" s="17" t="inlineStr">
        <is>
          <t>BROUILLON</t>
        </is>
      </c>
      <c r="P52" s="17" t="n"/>
      <c r="Q52" s="17" t="n"/>
      <c r="R52" s="17" t="n"/>
      <c r="S52" s="17" t="n"/>
      <c r="T52" s="17" t="n"/>
      <c r="U52" s="17" t="n"/>
      <c r="V52" s="17" t="n"/>
    </row>
    <row r="53">
      <c r="A53" s="17" t="n"/>
      <c r="B53" s="18">
        <f>IF($D53="","",TEXT(TODAY(),"dd/mm/yyyy"))</f>
        <v/>
      </c>
      <c r="C53" s="18">
        <f>IF($D53="","",TEXT(NOW(),"hh:mm"))</f>
        <v/>
      </c>
      <c r="D53" s="19" t="n"/>
      <c r="E53" s="18">
        <f>IF($D53="","",IFERROR(VLOOKUP($D53,ARTICLES!$A$5:$S$2243,3,FALSE),"reference inconnue"))</f>
        <v/>
      </c>
      <c r="F53" s="19" t="n"/>
      <c r="G53" s="19" t="n"/>
      <c r="H53" s="19" t="n"/>
      <c r="I53" s="19" t="n"/>
      <c r="J53" s="18">
        <f>IF(I53="","",I53-H53)</f>
        <v/>
      </c>
      <c r="K53" s="18">
        <f>IF($D53="","",IFERROR(VLOOKUP($D53,ARTICLES!$A$5:$S$2243,9,FALSE),0))</f>
        <v/>
      </c>
      <c r="L53" s="18">
        <f>IF(H53="","",IF(J53=0,"✓ CONFORME",IF(AND(K53&gt;0,ABS(J53)&lt;=H53*K53/100),"✓ DANS LA TOLERANCE","✕ HORS TOLERANCE")))</f>
        <v/>
      </c>
      <c r="M53" s="19" t="n"/>
      <c r="N53" s="19" t="n"/>
      <c r="O53" s="17" t="inlineStr">
        <is>
          <t>BROUILLON</t>
        </is>
      </c>
      <c r="P53" s="17" t="n"/>
      <c r="Q53" s="17" t="n"/>
      <c r="R53" s="17" t="n"/>
      <c r="S53" s="17" t="n"/>
      <c r="T53" s="17" t="n"/>
      <c r="U53" s="17" t="n"/>
      <c r="V53" s="17" t="n"/>
    </row>
    <row r="54">
      <c r="A54" s="17" t="n"/>
      <c r="B54" s="18">
        <f>IF($D54="","",TEXT(TODAY(),"dd/mm/yyyy"))</f>
        <v/>
      </c>
      <c r="C54" s="18">
        <f>IF($D54="","",TEXT(NOW(),"hh:mm"))</f>
        <v/>
      </c>
      <c r="D54" s="19" t="n"/>
      <c r="E54" s="18">
        <f>IF($D54="","",IFERROR(VLOOKUP($D54,ARTICLES!$A$5:$S$2243,3,FALSE),"reference inconnue"))</f>
        <v/>
      </c>
      <c r="F54" s="19" t="n"/>
      <c r="G54" s="19" t="n"/>
      <c r="H54" s="19" t="n"/>
      <c r="I54" s="19" t="n"/>
      <c r="J54" s="18">
        <f>IF(I54="","",I54-H54)</f>
        <v/>
      </c>
      <c r="K54" s="18">
        <f>IF($D54="","",IFERROR(VLOOKUP($D54,ARTICLES!$A$5:$S$2243,9,FALSE),0))</f>
        <v/>
      </c>
      <c r="L54" s="18">
        <f>IF(H54="","",IF(J54=0,"✓ CONFORME",IF(AND(K54&gt;0,ABS(J54)&lt;=H54*K54/100),"✓ DANS LA TOLERANCE","✕ HORS TOLERANCE")))</f>
        <v/>
      </c>
      <c r="M54" s="19" t="n"/>
      <c r="N54" s="19" t="n"/>
      <c r="O54" s="17" t="inlineStr">
        <is>
          <t>BROUILLON</t>
        </is>
      </c>
      <c r="P54" s="17" t="n"/>
      <c r="Q54" s="17" t="n"/>
      <c r="R54" s="17" t="n"/>
      <c r="S54" s="17" t="n"/>
      <c r="T54" s="17" t="n"/>
      <c r="U54" s="17" t="n"/>
      <c r="V54" s="17" t="n"/>
    </row>
    <row r="55">
      <c r="A55" s="17" t="n"/>
      <c r="B55" s="18">
        <f>IF($D55="","",TEXT(TODAY(),"dd/mm/yyyy"))</f>
        <v/>
      </c>
      <c r="C55" s="18">
        <f>IF($D55="","",TEXT(NOW(),"hh:mm"))</f>
        <v/>
      </c>
      <c r="D55" s="19" t="n"/>
      <c r="E55" s="18">
        <f>IF($D55="","",IFERROR(VLOOKUP($D55,ARTICLES!$A$5:$S$2243,3,FALSE),"reference inconnue"))</f>
        <v/>
      </c>
      <c r="F55" s="19" t="n"/>
      <c r="G55" s="19" t="n"/>
      <c r="H55" s="19" t="n"/>
      <c r="I55" s="19" t="n"/>
      <c r="J55" s="18">
        <f>IF(I55="","",I55-H55)</f>
        <v/>
      </c>
      <c r="K55" s="18">
        <f>IF($D55="","",IFERROR(VLOOKUP($D55,ARTICLES!$A$5:$S$2243,9,FALSE),0))</f>
        <v/>
      </c>
      <c r="L55" s="18">
        <f>IF(H55="","",IF(J55=0,"✓ CONFORME",IF(AND(K55&gt;0,ABS(J55)&lt;=H55*K55/100),"✓ DANS LA TOLERANCE","✕ HORS TOLERANCE")))</f>
        <v/>
      </c>
      <c r="M55" s="19" t="n"/>
      <c r="N55" s="19" t="n"/>
      <c r="O55" s="17" t="inlineStr">
        <is>
          <t>BROUILLON</t>
        </is>
      </c>
      <c r="P55" s="17" t="n"/>
      <c r="Q55" s="17" t="n"/>
      <c r="R55" s="17" t="n"/>
      <c r="S55" s="17" t="n"/>
      <c r="T55" s="17" t="n"/>
      <c r="U55" s="17" t="n"/>
      <c r="V55" s="17" t="n"/>
    </row>
    <row r="56">
      <c r="A56" s="17" t="n"/>
      <c r="B56" s="18">
        <f>IF($D56="","",TEXT(TODAY(),"dd/mm/yyyy"))</f>
        <v/>
      </c>
      <c r="C56" s="18">
        <f>IF($D56="","",TEXT(NOW(),"hh:mm"))</f>
        <v/>
      </c>
      <c r="D56" s="19" t="n"/>
      <c r="E56" s="18">
        <f>IF($D56="","",IFERROR(VLOOKUP($D56,ARTICLES!$A$5:$S$2243,3,FALSE),"reference inconnue"))</f>
        <v/>
      </c>
      <c r="F56" s="19" t="n"/>
      <c r="G56" s="19" t="n"/>
      <c r="H56" s="19" t="n"/>
      <c r="I56" s="19" t="n"/>
      <c r="J56" s="18">
        <f>IF(I56="","",I56-H56)</f>
        <v/>
      </c>
      <c r="K56" s="18">
        <f>IF($D56="","",IFERROR(VLOOKUP($D56,ARTICLES!$A$5:$S$2243,9,FALSE),0))</f>
        <v/>
      </c>
      <c r="L56" s="18">
        <f>IF(H56="","",IF(J56=0,"✓ CONFORME",IF(AND(K56&gt;0,ABS(J56)&lt;=H56*K56/100),"✓ DANS LA TOLERANCE","✕ HORS TOLERANCE")))</f>
        <v/>
      </c>
      <c r="M56" s="19" t="n"/>
      <c r="N56" s="19" t="n"/>
      <c r="O56" s="17" t="inlineStr">
        <is>
          <t>BROUILLON</t>
        </is>
      </c>
      <c r="P56" s="17" t="n"/>
      <c r="Q56" s="17" t="n"/>
      <c r="R56" s="17" t="n"/>
      <c r="S56" s="17" t="n"/>
      <c r="T56" s="17" t="n"/>
      <c r="U56" s="17" t="n"/>
      <c r="V56" s="17" t="n"/>
    </row>
    <row r="57">
      <c r="A57" s="17" t="n"/>
      <c r="B57" s="18">
        <f>IF($D57="","",TEXT(TODAY(),"dd/mm/yyyy"))</f>
        <v/>
      </c>
      <c r="C57" s="18">
        <f>IF($D57="","",TEXT(NOW(),"hh:mm"))</f>
        <v/>
      </c>
      <c r="D57" s="19" t="n"/>
      <c r="E57" s="18">
        <f>IF($D57="","",IFERROR(VLOOKUP($D57,ARTICLES!$A$5:$S$2243,3,FALSE),"reference inconnue"))</f>
        <v/>
      </c>
      <c r="F57" s="19" t="n"/>
      <c r="G57" s="19" t="n"/>
      <c r="H57" s="19" t="n"/>
      <c r="I57" s="19" t="n"/>
      <c r="J57" s="18">
        <f>IF(I57="","",I57-H57)</f>
        <v/>
      </c>
      <c r="K57" s="18">
        <f>IF($D57="","",IFERROR(VLOOKUP($D57,ARTICLES!$A$5:$S$2243,9,FALSE),0))</f>
        <v/>
      </c>
      <c r="L57" s="18">
        <f>IF(H57="","",IF(J57=0,"✓ CONFORME",IF(AND(K57&gt;0,ABS(J57)&lt;=H57*K57/100),"✓ DANS LA TOLERANCE","✕ HORS TOLERANCE")))</f>
        <v/>
      </c>
      <c r="M57" s="19" t="n"/>
      <c r="N57" s="19" t="n"/>
      <c r="O57" s="17" t="inlineStr">
        <is>
          <t>BROUILLON</t>
        </is>
      </c>
      <c r="P57" s="17" t="n"/>
      <c r="Q57" s="17" t="n"/>
      <c r="R57" s="17" t="n"/>
      <c r="S57" s="17" t="n"/>
      <c r="T57" s="17" t="n"/>
      <c r="U57" s="17" t="n"/>
      <c r="V57" s="17" t="n"/>
    </row>
    <row r="58">
      <c r="A58" s="17" t="n"/>
      <c r="B58" s="18">
        <f>IF($D58="","",TEXT(TODAY(),"dd/mm/yyyy"))</f>
        <v/>
      </c>
      <c r="C58" s="18">
        <f>IF($D58="","",TEXT(NOW(),"hh:mm"))</f>
        <v/>
      </c>
      <c r="D58" s="19" t="n"/>
      <c r="E58" s="18">
        <f>IF($D58="","",IFERROR(VLOOKUP($D58,ARTICLES!$A$5:$S$2243,3,FALSE),"reference inconnue"))</f>
        <v/>
      </c>
      <c r="F58" s="19" t="n"/>
      <c r="G58" s="19" t="n"/>
      <c r="H58" s="19" t="n"/>
      <c r="I58" s="19" t="n"/>
      <c r="J58" s="18">
        <f>IF(I58="","",I58-H58)</f>
        <v/>
      </c>
      <c r="K58" s="18">
        <f>IF($D58="","",IFERROR(VLOOKUP($D58,ARTICLES!$A$5:$S$2243,9,FALSE),0))</f>
        <v/>
      </c>
      <c r="L58" s="18">
        <f>IF(H58="","",IF(J58=0,"✓ CONFORME",IF(AND(K58&gt;0,ABS(J58)&lt;=H58*K58/100),"✓ DANS LA TOLERANCE","✕ HORS TOLERANCE")))</f>
        <v/>
      </c>
      <c r="M58" s="19" t="n"/>
      <c r="N58" s="19" t="n"/>
      <c r="O58" s="17" t="inlineStr">
        <is>
          <t>BROUILLON</t>
        </is>
      </c>
      <c r="P58" s="17" t="n"/>
      <c r="Q58" s="17" t="n"/>
      <c r="R58" s="17" t="n"/>
      <c r="S58" s="17" t="n"/>
      <c r="T58" s="17" t="n"/>
      <c r="U58" s="17" t="n"/>
      <c r="V58" s="17" t="n"/>
    </row>
    <row r="59">
      <c r="A59" s="17" t="n"/>
      <c r="B59" s="18">
        <f>IF($D59="","",TEXT(TODAY(),"dd/mm/yyyy"))</f>
        <v/>
      </c>
      <c r="C59" s="18">
        <f>IF($D59="","",TEXT(NOW(),"hh:mm"))</f>
        <v/>
      </c>
      <c r="D59" s="19" t="n"/>
      <c r="E59" s="18">
        <f>IF($D59="","",IFERROR(VLOOKUP($D59,ARTICLES!$A$5:$S$2243,3,FALSE),"reference inconnue"))</f>
        <v/>
      </c>
      <c r="F59" s="19" t="n"/>
      <c r="G59" s="19" t="n"/>
      <c r="H59" s="19" t="n"/>
      <c r="I59" s="19" t="n"/>
      <c r="J59" s="18">
        <f>IF(I59="","",I59-H59)</f>
        <v/>
      </c>
      <c r="K59" s="18">
        <f>IF($D59="","",IFERROR(VLOOKUP($D59,ARTICLES!$A$5:$S$2243,9,FALSE),0))</f>
        <v/>
      </c>
      <c r="L59" s="18">
        <f>IF(H59="","",IF(J59=0,"✓ CONFORME",IF(AND(K59&gt;0,ABS(J59)&lt;=H59*K59/100),"✓ DANS LA TOLERANCE","✕ HORS TOLERANCE")))</f>
        <v/>
      </c>
      <c r="M59" s="19" t="n"/>
      <c r="N59" s="19" t="n"/>
      <c r="O59" s="17" t="inlineStr">
        <is>
          <t>BROUILLON</t>
        </is>
      </c>
      <c r="P59" s="17" t="n"/>
      <c r="Q59" s="17" t="n"/>
      <c r="R59" s="17" t="n"/>
      <c r="S59" s="17" t="n"/>
      <c r="T59" s="17" t="n"/>
      <c r="U59" s="17" t="n"/>
      <c r="V59" s="17" t="n"/>
    </row>
    <row r="60">
      <c r="A60" s="17" t="n"/>
      <c r="B60" s="18">
        <f>IF($D60="","",TEXT(TODAY(),"dd/mm/yyyy"))</f>
        <v/>
      </c>
      <c r="C60" s="18">
        <f>IF($D60="","",TEXT(NOW(),"hh:mm"))</f>
        <v/>
      </c>
      <c r="D60" s="19" t="n"/>
      <c r="E60" s="18">
        <f>IF($D60="","",IFERROR(VLOOKUP($D60,ARTICLES!$A$5:$S$2243,3,FALSE),"reference inconnue"))</f>
        <v/>
      </c>
      <c r="F60" s="19" t="n"/>
      <c r="G60" s="19" t="n"/>
      <c r="H60" s="19" t="n"/>
      <c r="I60" s="19" t="n"/>
      <c r="J60" s="18">
        <f>IF(I60="","",I60-H60)</f>
        <v/>
      </c>
      <c r="K60" s="18">
        <f>IF($D60="","",IFERROR(VLOOKUP($D60,ARTICLES!$A$5:$S$2243,9,FALSE),0))</f>
        <v/>
      </c>
      <c r="L60" s="18">
        <f>IF(H60="","",IF(J60=0,"✓ CONFORME",IF(AND(K60&gt;0,ABS(J60)&lt;=H60*K60/100),"✓ DANS LA TOLERANCE","✕ HORS TOLERANCE")))</f>
        <v/>
      </c>
      <c r="M60" s="19" t="n"/>
      <c r="N60" s="19" t="n"/>
      <c r="O60" s="17" t="inlineStr">
        <is>
          <t>BROUILLON</t>
        </is>
      </c>
      <c r="P60" s="17" t="n"/>
      <c r="Q60" s="17" t="n"/>
      <c r="R60" s="17" t="n"/>
      <c r="S60" s="17" t="n"/>
      <c r="T60" s="17" t="n"/>
      <c r="U60" s="17" t="n"/>
      <c r="V60" s="17" t="n"/>
    </row>
    <row r="61">
      <c r="A61" s="17" t="n"/>
      <c r="B61" s="18">
        <f>IF($D61="","",TEXT(TODAY(),"dd/mm/yyyy"))</f>
        <v/>
      </c>
      <c r="C61" s="18">
        <f>IF($D61="","",TEXT(NOW(),"hh:mm"))</f>
        <v/>
      </c>
      <c r="D61" s="19" t="n"/>
      <c r="E61" s="18">
        <f>IF($D61="","",IFERROR(VLOOKUP($D61,ARTICLES!$A$5:$S$2243,3,FALSE),"reference inconnue"))</f>
        <v/>
      </c>
      <c r="F61" s="19" t="n"/>
      <c r="G61" s="19" t="n"/>
      <c r="H61" s="19" t="n"/>
      <c r="I61" s="19" t="n"/>
      <c r="J61" s="18">
        <f>IF(I61="","",I61-H61)</f>
        <v/>
      </c>
      <c r="K61" s="18">
        <f>IF($D61="","",IFERROR(VLOOKUP($D61,ARTICLES!$A$5:$S$2243,9,FALSE),0))</f>
        <v/>
      </c>
      <c r="L61" s="18">
        <f>IF(H61="","",IF(J61=0,"✓ CONFORME",IF(AND(K61&gt;0,ABS(J61)&lt;=H61*K61/100),"✓ DANS LA TOLERANCE","✕ HORS TOLERANCE")))</f>
        <v/>
      </c>
      <c r="M61" s="19" t="n"/>
      <c r="N61" s="19" t="n"/>
      <c r="O61" s="17" t="inlineStr">
        <is>
          <t>BROUILLON</t>
        </is>
      </c>
      <c r="P61" s="17" t="n"/>
      <c r="Q61" s="17" t="n"/>
      <c r="R61" s="17" t="n"/>
      <c r="S61" s="17" t="n"/>
      <c r="T61" s="17" t="n"/>
      <c r="U61" s="17" t="n"/>
      <c r="V61" s="17" t="n"/>
    </row>
    <row r="62">
      <c r="A62" s="17" t="n"/>
      <c r="B62" s="18">
        <f>IF($D62="","",TEXT(TODAY(),"dd/mm/yyyy"))</f>
        <v/>
      </c>
      <c r="C62" s="18">
        <f>IF($D62="","",TEXT(NOW(),"hh:mm"))</f>
        <v/>
      </c>
      <c r="D62" s="19" t="n"/>
      <c r="E62" s="18">
        <f>IF($D62="","",IFERROR(VLOOKUP($D62,ARTICLES!$A$5:$S$2243,3,FALSE),"reference inconnue"))</f>
        <v/>
      </c>
      <c r="F62" s="19" t="n"/>
      <c r="G62" s="19" t="n"/>
      <c r="H62" s="19" t="n"/>
      <c r="I62" s="19" t="n"/>
      <c r="J62" s="18">
        <f>IF(I62="","",I62-H62)</f>
        <v/>
      </c>
      <c r="K62" s="18">
        <f>IF($D62="","",IFERROR(VLOOKUP($D62,ARTICLES!$A$5:$S$2243,9,FALSE),0))</f>
        <v/>
      </c>
      <c r="L62" s="18">
        <f>IF(H62="","",IF(J62=0,"✓ CONFORME",IF(AND(K62&gt;0,ABS(J62)&lt;=H62*K62/100),"✓ DANS LA TOLERANCE","✕ HORS TOLERANCE")))</f>
        <v/>
      </c>
      <c r="M62" s="19" t="n"/>
      <c r="N62" s="19" t="n"/>
      <c r="O62" s="17" t="inlineStr">
        <is>
          <t>BROUILLON</t>
        </is>
      </c>
      <c r="P62" s="17" t="n"/>
      <c r="Q62" s="17" t="n"/>
      <c r="R62" s="17" t="n"/>
      <c r="S62" s="17" t="n"/>
      <c r="T62" s="17" t="n"/>
      <c r="U62" s="17" t="n"/>
      <c r="V62" s="17" t="n"/>
    </row>
    <row r="63">
      <c r="A63" s="17" t="n"/>
      <c r="B63" s="18">
        <f>IF($D63="","",TEXT(TODAY(),"dd/mm/yyyy"))</f>
        <v/>
      </c>
      <c r="C63" s="18">
        <f>IF($D63="","",TEXT(NOW(),"hh:mm"))</f>
        <v/>
      </c>
      <c r="D63" s="19" t="n"/>
      <c r="E63" s="18">
        <f>IF($D63="","",IFERROR(VLOOKUP($D63,ARTICLES!$A$5:$S$2243,3,FALSE),"reference inconnue"))</f>
        <v/>
      </c>
      <c r="F63" s="19" t="n"/>
      <c r="G63" s="19" t="n"/>
      <c r="H63" s="19" t="n"/>
      <c r="I63" s="19" t="n"/>
      <c r="J63" s="18">
        <f>IF(I63="","",I63-H63)</f>
        <v/>
      </c>
      <c r="K63" s="18">
        <f>IF($D63="","",IFERROR(VLOOKUP($D63,ARTICLES!$A$5:$S$2243,9,FALSE),0))</f>
        <v/>
      </c>
      <c r="L63" s="18">
        <f>IF(H63="","",IF(J63=0,"✓ CONFORME",IF(AND(K63&gt;0,ABS(J63)&lt;=H63*K63/100),"✓ DANS LA TOLERANCE","✕ HORS TOLERANCE")))</f>
        <v/>
      </c>
      <c r="M63" s="19" t="n"/>
      <c r="N63" s="19" t="n"/>
      <c r="O63" s="17" t="inlineStr">
        <is>
          <t>BROUILLON</t>
        </is>
      </c>
      <c r="P63" s="17" t="n"/>
      <c r="Q63" s="17" t="n"/>
      <c r="R63" s="17" t="n"/>
      <c r="S63" s="17" t="n"/>
      <c r="T63" s="17" t="n"/>
      <c r="U63" s="17" t="n"/>
      <c r="V63" s="17" t="n"/>
    </row>
    <row r="64">
      <c r="A64" s="17" t="n"/>
      <c r="B64" s="18">
        <f>IF($D64="","",TEXT(TODAY(),"dd/mm/yyyy"))</f>
        <v/>
      </c>
      <c r="C64" s="18">
        <f>IF($D64="","",TEXT(NOW(),"hh:mm"))</f>
        <v/>
      </c>
      <c r="D64" s="19" t="n"/>
      <c r="E64" s="18">
        <f>IF($D64="","",IFERROR(VLOOKUP($D64,ARTICLES!$A$5:$S$2243,3,FALSE),"reference inconnue"))</f>
        <v/>
      </c>
      <c r="F64" s="19" t="n"/>
      <c r="G64" s="19" t="n"/>
      <c r="H64" s="19" t="n"/>
      <c r="I64" s="19" t="n"/>
      <c r="J64" s="18">
        <f>IF(I64="","",I64-H64)</f>
        <v/>
      </c>
      <c r="K64" s="18">
        <f>IF($D64="","",IFERROR(VLOOKUP($D64,ARTICLES!$A$5:$S$2243,9,FALSE),0))</f>
        <v/>
      </c>
      <c r="L64" s="18">
        <f>IF(H64="","",IF(J64=0,"✓ CONFORME",IF(AND(K64&gt;0,ABS(J64)&lt;=H64*K64/100),"✓ DANS LA TOLERANCE","✕ HORS TOLERANCE")))</f>
        <v/>
      </c>
      <c r="M64" s="19" t="n"/>
      <c r="N64" s="19" t="n"/>
      <c r="O64" s="17" t="inlineStr">
        <is>
          <t>BROUILLON</t>
        </is>
      </c>
      <c r="P64" s="17" t="n"/>
      <c r="Q64" s="17" t="n"/>
      <c r="R64" s="17" t="n"/>
      <c r="S64" s="17" t="n"/>
      <c r="T64" s="17" t="n"/>
      <c r="U64" s="17" t="n"/>
      <c r="V64" s="17" t="n"/>
    </row>
    <row r="65">
      <c r="A65" s="17" t="n"/>
      <c r="B65" s="18">
        <f>IF($D65="","",TEXT(TODAY(),"dd/mm/yyyy"))</f>
        <v/>
      </c>
      <c r="C65" s="18">
        <f>IF($D65="","",TEXT(NOW(),"hh:mm"))</f>
        <v/>
      </c>
      <c r="D65" s="19" t="n"/>
      <c r="E65" s="18">
        <f>IF($D65="","",IFERROR(VLOOKUP($D65,ARTICLES!$A$5:$S$2243,3,FALSE),"reference inconnue"))</f>
        <v/>
      </c>
      <c r="F65" s="19" t="n"/>
      <c r="G65" s="19" t="n"/>
      <c r="H65" s="19" t="n"/>
      <c r="I65" s="19" t="n"/>
      <c r="J65" s="18">
        <f>IF(I65="","",I65-H65)</f>
        <v/>
      </c>
      <c r="K65" s="18">
        <f>IF($D65="","",IFERROR(VLOOKUP($D65,ARTICLES!$A$5:$S$2243,9,FALSE),0))</f>
        <v/>
      </c>
      <c r="L65" s="18">
        <f>IF(H65="","",IF(J65=0,"✓ CONFORME",IF(AND(K65&gt;0,ABS(J65)&lt;=H65*K65/100),"✓ DANS LA TOLERANCE","✕ HORS TOLERANCE")))</f>
        <v/>
      </c>
      <c r="M65" s="19" t="n"/>
      <c r="N65" s="19" t="n"/>
      <c r="O65" s="17" t="inlineStr">
        <is>
          <t>BROUILLON</t>
        </is>
      </c>
      <c r="P65" s="17" t="n"/>
      <c r="Q65" s="17" t="n"/>
      <c r="R65" s="17" t="n"/>
      <c r="S65" s="17" t="n"/>
      <c r="T65" s="17" t="n"/>
      <c r="U65" s="17" t="n"/>
      <c r="V65" s="17" t="n"/>
    </row>
    <row r="66">
      <c r="A66" s="17" t="n"/>
      <c r="B66" s="18">
        <f>IF($D66="","",TEXT(TODAY(),"dd/mm/yyyy"))</f>
        <v/>
      </c>
      <c r="C66" s="18">
        <f>IF($D66="","",TEXT(NOW(),"hh:mm"))</f>
        <v/>
      </c>
      <c r="D66" s="19" t="n"/>
      <c r="E66" s="18">
        <f>IF($D66="","",IFERROR(VLOOKUP($D66,ARTICLES!$A$5:$S$2243,3,FALSE),"reference inconnue"))</f>
        <v/>
      </c>
      <c r="F66" s="19" t="n"/>
      <c r="G66" s="19" t="n"/>
      <c r="H66" s="19" t="n"/>
      <c r="I66" s="19" t="n"/>
      <c r="J66" s="18">
        <f>IF(I66="","",I66-H66)</f>
        <v/>
      </c>
      <c r="K66" s="18">
        <f>IF($D66="","",IFERROR(VLOOKUP($D66,ARTICLES!$A$5:$S$2243,9,FALSE),0))</f>
        <v/>
      </c>
      <c r="L66" s="18">
        <f>IF(H66="","",IF(J66=0,"✓ CONFORME",IF(AND(K66&gt;0,ABS(J66)&lt;=H66*K66/100),"✓ DANS LA TOLERANCE","✕ HORS TOLERANCE")))</f>
        <v/>
      </c>
      <c r="M66" s="19" t="n"/>
      <c r="N66" s="19" t="n"/>
      <c r="O66" s="17" t="inlineStr">
        <is>
          <t>BROUILLON</t>
        </is>
      </c>
      <c r="P66" s="17" t="n"/>
      <c r="Q66" s="17" t="n"/>
      <c r="R66" s="17" t="n"/>
      <c r="S66" s="17" t="n"/>
      <c r="T66" s="17" t="n"/>
      <c r="U66" s="17" t="n"/>
      <c r="V66" s="17" t="n"/>
    </row>
    <row r="67">
      <c r="A67" s="17" t="n"/>
      <c r="B67" s="18">
        <f>IF($D67="","",TEXT(TODAY(),"dd/mm/yyyy"))</f>
        <v/>
      </c>
      <c r="C67" s="18">
        <f>IF($D67="","",TEXT(NOW(),"hh:mm"))</f>
        <v/>
      </c>
      <c r="D67" s="19" t="n"/>
      <c r="E67" s="18">
        <f>IF($D67="","",IFERROR(VLOOKUP($D67,ARTICLES!$A$5:$S$2243,3,FALSE),"reference inconnue"))</f>
        <v/>
      </c>
      <c r="F67" s="19" t="n"/>
      <c r="G67" s="19" t="n"/>
      <c r="H67" s="19" t="n"/>
      <c r="I67" s="19" t="n"/>
      <c r="J67" s="18">
        <f>IF(I67="","",I67-H67)</f>
        <v/>
      </c>
      <c r="K67" s="18">
        <f>IF($D67="","",IFERROR(VLOOKUP($D67,ARTICLES!$A$5:$S$2243,9,FALSE),0))</f>
        <v/>
      </c>
      <c r="L67" s="18">
        <f>IF(H67="","",IF(J67=0,"✓ CONFORME",IF(AND(K67&gt;0,ABS(J67)&lt;=H67*K67/100),"✓ DANS LA TOLERANCE","✕ HORS TOLERANCE")))</f>
        <v/>
      </c>
      <c r="M67" s="19" t="n"/>
      <c r="N67" s="19" t="n"/>
      <c r="O67" s="17" t="inlineStr">
        <is>
          <t>BROUILLON</t>
        </is>
      </c>
      <c r="P67" s="17" t="n"/>
      <c r="Q67" s="17" t="n"/>
      <c r="R67" s="17" t="n"/>
      <c r="S67" s="17" t="n"/>
      <c r="T67" s="17" t="n"/>
      <c r="U67" s="17" t="n"/>
      <c r="V67" s="17" t="n"/>
    </row>
    <row r="68">
      <c r="A68" s="17" t="n"/>
      <c r="B68" s="18">
        <f>IF($D68="","",TEXT(TODAY(),"dd/mm/yyyy"))</f>
        <v/>
      </c>
      <c r="C68" s="18">
        <f>IF($D68="","",TEXT(NOW(),"hh:mm"))</f>
        <v/>
      </c>
      <c r="D68" s="19" t="n"/>
      <c r="E68" s="18">
        <f>IF($D68="","",IFERROR(VLOOKUP($D68,ARTICLES!$A$5:$S$2243,3,FALSE),"reference inconnue"))</f>
        <v/>
      </c>
      <c r="F68" s="19" t="n"/>
      <c r="G68" s="19" t="n"/>
      <c r="H68" s="19" t="n"/>
      <c r="I68" s="19" t="n"/>
      <c r="J68" s="18">
        <f>IF(I68="","",I68-H68)</f>
        <v/>
      </c>
      <c r="K68" s="18">
        <f>IF($D68="","",IFERROR(VLOOKUP($D68,ARTICLES!$A$5:$S$2243,9,FALSE),0))</f>
        <v/>
      </c>
      <c r="L68" s="18">
        <f>IF(H68="","",IF(J68=0,"✓ CONFORME",IF(AND(K68&gt;0,ABS(J68)&lt;=H68*K68/100),"✓ DANS LA TOLERANCE","✕ HORS TOLERANCE")))</f>
        <v/>
      </c>
      <c r="M68" s="19" t="n"/>
      <c r="N68" s="19" t="n"/>
      <c r="O68" s="17" t="inlineStr">
        <is>
          <t>BROUILLON</t>
        </is>
      </c>
      <c r="P68" s="17" t="n"/>
      <c r="Q68" s="17" t="n"/>
      <c r="R68" s="17" t="n"/>
      <c r="S68" s="17" t="n"/>
      <c r="T68" s="17" t="n"/>
      <c r="U68" s="17" t="n"/>
      <c r="V68" s="17" t="n"/>
    </row>
    <row r="69">
      <c r="A69" s="17" t="n"/>
      <c r="B69" s="18">
        <f>IF($D69="","",TEXT(TODAY(),"dd/mm/yyyy"))</f>
        <v/>
      </c>
      <c r="C69" s="18">
        <f>IF($D69="","",TEXT(NOW(),"hh:mm"))</f>
        <v/>
      </c>
      <c r="D69" s="19" t="n"/>
      <c r="E69" s="18">
        <f>IF($D69="","",IFERROR(VLOOKUP($D69,ARTICLES!$A$5:$S$2243,3,FALSE),"reference inconnue"))</f>
        <v/>
      </c>
      <c r="F69" s="19" t="n"/>
      <c r="G69" s="19" t="n"/>
      <c r="H69" s="19" t="n"/>
      <c r="I69" s="19" t="n"/>
      <c r="J69" s="18">
        <f>IF(I69="","",I69-H69)</f>
        <v/>
      </c>
      <c r="K69" s="18">
        <f>IF($D69="","",IFERROR(VLOOKUP($D69,ARTICLES!$A$5:$S$2243,9,FALSE),0))</f>
        <v/>
      </c>
      <c r="L69" s="18">
        <f>IF(H69="","",IF(J69=0,"✓ CONFORME",IF(AND(K69&gt;0,ABS(J69)&lt;=H69*K69/100),"✓ DANS LA TOLERANCE","✕ HORS TOLERANCE")))</f>
        <v/>
      </c>
      <c r="M69" s="19" t="n"/>
      <c r="N69" s="19" t="n"/>
      <c r="O69" s="17" t="inlineStr">
        <is>
          <t>BROUILLON</t>
        </is>
      </c>
      <c r="P69" s="17" t="n"/>
      <c r="Q69" s="17" t="n"/>
      <c r="R69" s="17" t="n"/>
      <c r="S69" s="17" t="n"/>
      <c r="T69" s="17" t="n"/>
      <c r="U69" s="17" t="n"/>
      <c r="V69" s="17" t="n"/>
    </row>
    <row r="70">
      <c r="A70" s="17" t="n"/>
      <c r="B70" s="18">
        <f>IF($D70="","",TEXT(TODAY(),"dd/mm/yyyy"))</f>
        <v/>
      </c>
      <c r="C70" s="18">
        <f>IF($D70="","",TEXT(NOW(),"hh:mm"))</f>
        <v/>
      </c>
      <c r="D70" s="19" t="n"/>
      <c r="E70" s="18">
        <f>IF($D70="","",IFERROR(VLOOKUP($D70,ARTICLES!$A$5:$S$2243,3,FALSE),"reference inconnue"))</f>
        <v/>
      </c>
      <c r="F70" s="19" t="n"/>
      <c r="G70" s="19" t="n"/>
      <c r="H70" s="19" t="n"/>
      <c r="I70" s="19" t="n"/>
      <c r="J70" s="18">
        <f>IF(I70="","",I70-H70)</f>
        <v/>
      </c>
      <c r="K70" s="18">
        <f>IF($D70="","",IFERROR(VLOOKUP($D70,ARTICLES!$A$5:$S$2243,9,FALSE),0))</f>
        <v/>
      </c>
      <c r="L70" s="18">
        <f>IF(H70="","",IF(J70=0,"✓ CONFORME",IF(AND(K70&gt;0,ABS(J70)&lt;=H70*K70/100),"✓ DANS LA TOLERANCE","✕ HORS TOLERANCE")))</f>
        <v/>
      </c>
      <c r="M70" s="19" t="n"/>
      <c r="N70" s="19" t="n"/>
      <c r="O70" s="17" t="inlineStr">
        <is>
          <t>BROUILLON</t>
        </is>
      </c>
      <c r="P70" s="17" t="n"/>
      <c r="Q70" s="17" t="n"/>
      <c r="R70" s="17" t="n"/>
      <c r="S70" s="17" t="n"/>
      <c r="T70" s="17" t="n"/>
      <c r="U70" s="17" t="n"/>
      <c r="V70" s="17" t="n"/>
    </row>
    <row r="71">
      <c r="A71" s="17" t="n"/>
      <c r="B71" s="18">
        <f>IF($D71="","",TEXT(TODAY(),"dd/mm/yyyy"))</f>
        <v/>
      </c>
      <c r="C71" s="18">
        <f>IF($D71="","",TEXT(NOW(),"hh:mm"))</f>
        <v/>
      </c>
      <c r="D71" s="19" t="n"/>
      <c r="E71" s="18">
        <f>IF($D71="","",IFERROR(VLOOKUP($D71,ARTICLES!$A$5:$S$2243,3,FALSE),"reference inconnue"))</f>
        <v/>
      </c>
      <c r="F71" s="19" t="n"/>
      <c r="G71" s="19" t="n"/>
      <c r="H71" s="19" t="n"/>
      <c r="I71" s="19" t="n"/>
      <c r="J71" s="18">
        <f>IF(I71="","",I71-H71)</f>
        <v/>
      </c>
      <c r="K71" s="18">
        <f>IF($D71="","",IFERROR(VLOOKUP($D71,ARTICLES!$A$5:$S$2243,9,FALSE),0))</f>
        <v/>
      </c>
      <c r="L71" s="18">
        <f>IF(H71="","",IF(J71=0,"✓ CONFORME",IF(AND(K71&gt;0,ABS(J71)&lt;=H71*K71/100),"✓ DANS LA TOLERANCE","✕ HORS TOLERANCE")))</f>
        <v/>
      </c>
      <c r="M71" s="19" t="n"/>
      <c r="N71" s="19" t="n"/>
      <c r="O71" s="17" t="inlineStr">
        <is>
          <t>BROUILLON</t>
        </is>
      </c>
      <c r="P71" s="17" t="n"/>
      <c r="Q71" s="17" t="n"/>
      <c r="R71" s="17" t="n"/>
      <c r="S71" s="17" t="n"/>
      <c r="T71" s="17" t="n"/>
      <c r="U71" s="17" t="n"/>
      <c r="V71" s="17" t="n"/>
    </row>
    <row r="72">
      <c r="A72" s="17" t="n"/>
      <c r="B72" s="18">
        <f>IF($D72="","",TEXT(TODAY(),"dd/mm/yyyy"))</f>
        <v/>
      </c>
      <c r="C72" s="18">
        <f>IF($D72="","",TEXT(NOW(),"hh:mm"))</f>
        <v/>
      </c>
      <c r="D72" s="19" t="n"/>
      <c r="E72" s="18">
        <f>IF($D72="","",IFERROR(VLOOKUP($D72,ARTICLES!$A$5:$S$2243,3,FALSE),"reference inconnue"))</f>
        <v/>
      </c>
      <c r="F72" s="19" t="n"/>
      <c r="G72" s="19" t="n"/>
      <c r="H72" s="19" t="n"/>
      <c r="I72" s="19" t="n"/>
      <c r="J72" s="18">
        <f>IF(I72="","",I72-H72)</f>
        <v/>
      </c>
      <c r="K72" s="18">
        <f>IF($D72="","",IFERROR(VLOOKUP($D72,ARTICLES!$A$5:$S$2243,9,FALSE),0))</f>
        <v/>
      </c>
      <c r="L72" s="18">
        <f>IF(H72="","",IF(J72=0,"✓ CONFORME",IF(AND(K72&gt;0,ABS(J72)&lt;=H72*K72/100),"✓ DANS LA TOLERANCE","✕ HORS TOLERANCE")))</f>
        <v/>
      </c>
      <c r="M72" s="19" t="n"/>
      <c r="N72" s="19" t="n"/>
      <c r="O72" s="17" t="inlineStr">
        <is>
          <t>BROUILLON</t>
        </is>
      </c>
      <c r="P72" s="17" t="n"/>
      <c r="Q72" s="17" t="n"/>
      <c r="R72" s="17" t="n"/>
      <c r="S72" s="17" t="n"/>
      <c r="T72" s="17" t="n"/>
      <c r="U72" s="17" t="n"/>
      <c r="V72" s="17" t="n"/>
    </row>
    <row r="73">
      <c r="A73" s="17" t="n"/>
      <c r="B73" s="18">
        <f>IF($D73="","",TEXT(TODAY(),"dd/mm/yyyy"))</f>
        <v/>
      </c>
      <c r="C73" s="18">
        <f>IF($D73="","",TEXT(NOW(),"hh:mm"))</f>
        <v/>
      </c>
      <c r="D73" s="19" t="n"/>
      <c r="E73" s="18">
        <f>IF($D73="","",IFERROR(VLOOKUP($D73,ARTICLES!$A$5:$S$2243,3,FALSE),"reference inconnue"))</f>
        <v/>
      </c>
      <c r="F73" s="19" t="n"/>
      <c r="G73" s="19" t="n"/>
      <c r="H73" s="19" t="n"/>
      <c r="I73" s="19" t="n"/>
      <c r="J73" s="18">
        <f>IF(I73="","",I73-H73)</f>
        <v/>
      </c>
      <c r="K73" s="18">
        <f>IF($D73="","",IFERROR(VLOOKUP($D73,ARTICLES!$A$5:$S$2243,9,FALSE),0))</f>
        <v/>
      </c>
      <c r="L73" s="18">
        <f>IF(H73="","",IF(J73=0,"✓ CONFORME",IF(AND(K73&gt;0,ABS(J73)&lt;=H73*K73/100),"✓ DANS LA TOLERANCE","✕ HORS TOLERANCE")))</f>
        <v/>
      </c>
      <c r="M73" s="19" t="n"/>
      <c r="N73" s="19" t="n"/>
      <c r="O73" s="17" t="inlineStr">
        <is>
          <t>BROUILLON</t>
        </is>
      </c>
      <c r="P73" s="17" t="n"/>
      <c r="Q73" s="17" t="n"/>
      <c r="R73" s="17" t="n"/>
      <c r="S73" s="17" t="n"/>
      <c r="T73" s="17" t="n"/>
      <c r="U73" s="17" t="n"/>
      <c r="V73" s="17" t="n"/>
    </row>
    <row r="74">
      <c r="A74" s="17" t="n"/>
      <c r="B74" s="18">
        <f>IF($D74="","",TEXT(TODAY(),"dd/mm/yyyy"))</f>
        <v/>
      </c>
      <c r="C74" s="18">
        <f>IF($D74="","",TEXT(NOW(),"hh:mm"))</f>
        <v/>
      </c>
      <c r="D74" s="19" t="n"/>
      <c r="E74" s="18">
        <f>IF($D74="","",IFERROR(VLOOKUP($D74,ARTICLES!$A$5:$S$2243,3,FALSE),"reference inconnue"))</f>
        <v/>
      </c>
      <c r="F74" s="19" t="n"/>
      <c r="G74" s="19" t="n"/>
      <c r="H74" s="19" t="n"/>
      <c r="I74" s="19" t="n"/>
      <c r="J74" s="18">
        <f>IF(I74="","",I74-H74)</f>
        <v/>
      </c>
      <c r="K74" s="18">
        <f>IF($D74="","",IFERROR(VLOOKUP($D74,ARTICLES!$A$5:$S$2243,9,FALSE),0))</f>
        <v/>
      </c>
      <c r="L74" s="18">
        <f>IF(H74="","",IF(J74=0,"✓ CONFORME",IF(AND(K74&gt;0,ABS(J74)&lt;=H74*K74/100),"✓ DANS LA TOLERANCE","✕ HORS TOLERANCE")))</f>
        <v/>
      </c>
      <c r="M74" s="19" t="n"/>
      <c r="N74" s="19" t="n"/>
      <c r="O74" s="17" t="inlineStr">
        <is>
          <t>BROUILLON</t>
        </is>
      </c>
      <c r="P74" s="17" t="n"/>
      <c r="Q74" s="17" t="n"/>
      <c r="R74" s="17" t="n"/>
      <c r="S74" s="17" t="n"/>
      <c r="T74" s="17" t="n"/>
      <c r="U74" s="17" t="n"/>
      <c r="V74" s="17" t="n"/>
    </row>
    <row r="75">
      <c r="A75" s="17" t="n"/>
      <c r="B75" s="18">
        <f>IF($D75="","",TEXT(TODAY(),"dd/mm/yyyy"))</f>
        <v/>
      </c>
      <c r="C75" s="18">
        <f>IF($D75="","",TEXT(NOW(),"hh:mm"))</f>
        <v/>
      </c>
      <c r="D75" s="19" t="n"/>
      <c r="E75" s="18">
        <f>IF($D75="","",IFERROR(VLOOKUP($D75,ARTICLES!$A$5:$S$2243,3,FALSE),"reference inconnue"))</f>
        <v/>
      </c>
      <c r="F75" s="19" t="n"/>
      <c r="G75" s="19" t="n"/>
      <c r="H75" s="19" t="n"/>
      <c r="I75" s="19" t="n"/>
      <c r="J75" s="18">
        <f>IF(I75="","",I75-H75)</f>
        <v/>
      </c>
      <c r="K75" s="18">
        <f>IF($D75="","",IFERROR(VLOOKUP($D75,ARTICLES!$A$5:$S$2243,9,FALSE),0))</f>
        <v/>
      </c>
      <c r="L75" s="18">
        <f>IF(H75="","",IF(J75=0,"✓ CONFORME",IF(AND(K75&gt;0,ABS(J75)&lt;=H75*K75/100),"✓ DANS LA TOLERANCE","✕ HORS TOLERANCE")))</f>
        <v/>
      </c>
      <c r="M75" s="19" t="n"/>
      <c r="N75" s="19" t="n"/>
      <c r="O75" s="17" t="inlineStr">
        <is>
          <t>BROUILLON</t>
        </is>
      </c>
      <c r="P75" s="17" t="n"/>
      <c r="Q75" s="17" t="n"/>
      <c r="R75" s="17" t="n"/>
      <c r="S75" s="17" t="n"/>
      <c r="T75" s="17" t="n"/>
      <c r="U75" s="17" t="n"/>
      <c r="V75" s="17" t="n"/>
    </row>
    <row r="76">
      <c r="A76" s="17" t="n"/>
      <c r="B76" s="18">
        <f>IF($D76="","",TEXT(TODAY(),"dd/mm/yyyy"))</f>
        <v/>
      </c>
      <c r="C76" s="18">
        <f>IF($D76="","",TEXT(NOW(),"hh:mm"))</f>
        <v/>
      </c>
      <c r="D76" s="19" t="n"/>
      <c r="E76" s="18">
        <f>IF($D76="","",IFERROR(VLOOKUP($D76,ARTICLES!$A$5:$S$2243,3,FALSE),"reference inconnue"))</f>
        <v/>
      </c>
      <c r="F76" s="19" t="n"/>
      <c r="G76" s="19" t="n"/>
      <c r="H76" s="19" t="n"/>
      <c r="I76" s="19" t="n"/>
      <c r="J76" s="18">
        <f>IF(I76="","",I76-H76)</f>
        <v/>
      </c>
      <c r="K76" s="18">
        <f>IF($D76="","",IFERROR(VLOOKUP($D76,ARTICLES!$A$5:$S$2243,9,FALSE),0))</f>
        <v/>
      </c>
      <c r="L76" s="18">
        <f>IF(H76="","",IF(J76=0,"✓ CONFORME",IF(AND(K76&gt;0,ABS(J76)&lt;=H76*K76/100),"✓ DANS LA TOLERANCE","✕ HORS TOLERANCE")))</f>
        <v/>
      </c>
      <c r="M76" s="19" t="n"/>
      <c r="N76" s="19" t="n"/>
      <c r="O76" s="17" t="inlineStr">
        <is>
          <t>BROUILLON</t>
        </is>
      </c>
      <c r="P76" s="17" t="n"/>
      <c r="Q76" s="17" t="n"/>
      <c r="R76" s="17" t="n"/>
      <c r="S76" s="17" t="n"/>
      <c r="T76" s="17" t="n"/>
      <c r="U76" s="17" t="n"/>
      <c r="V76" s="17" t="n"/>
    </row>
    <row r="77">
      <c r="A77" s="17" t="n"/>
      <c r="B77" s="18">
        <f>IF($D77="","",TEXT(TODAY(),"dd/mm/yyyy"))</f>
        <v/>
      </c>
      <c r="C77" s="18">
        <f>IF($D77="","",TEXT(NOW(),"hh:mm"))</f>
        <v/>
      </c>
      <c r="D77" s="19" t="n"/>
      <c r="E77" s="18">
        <f>IF($D77="","",IFERROR(VLOOKUP($D77,ARTICLES!$A$5:$S$2243,3,FALSE),"reference inconnue"))</f>
        <v/>
      </c>
      <c r="F77" s="19" t="n"/>
      <c r="G77" s="19" t="n"/>
      <c r="H77" s="19" t="n"/>
      <c r="I77" s="19" t="n"/>
      <c r="J77" s="18">
        <f>IF(I77="","",I77-H77)</f>
        <v/>
      </c>
      <c r="K77" s="18">
        <f>IF($D77="","",IFERROR(VLOOKUP($D77,ARTICLES!$A$5:$S$2243,9,FALSE),0))</f>
        <v/>
      </c>
      <c r="L77" s="18">
        <f>IF(H77="","",IF(J77=0,"✓ CONFORME",IF(AND(K77&gt;0,ABS(J77)&lt;=H77*K77/100),"✓ DANS LA TOLERANCE","✕ HORS TOLERANCE")))</f>
        <v/>
      </c>
      <c r="M77" s="19" t="n"/>
      <c r="N77" s="19" t="n"/>
      <c r="O77" s="17" t="inlineStr">
        <is>
          <t>BROUILLON</t>
        </is>
      </c>
      <c r="P77" s="17" t="n"/>
      <c r="Q77" s="17" t="n"/>
      <c r="R77" s="17" t="n"/>
      <c r="S77" s="17" t="n"/>
      <c r="T77" s="17" t="n"/>
      <c r="U77" s="17" t="n"/>
      <c r="V77" s="17" t="n"/>
    </row>
    <row r="78">
      <c r="A78" s="17" t="n"/>
      <c r="B78" s="18">
        <f>IF($D78="","",TEXT(TODAY(),"dd/mm/yyyy"))</f>
        <v/>
      </c>
      <c r="C78" s="18">
        <f>IF($D78="","",TEXT(NOW(),"hh:mm"))</f>
        <v/>
      </c>
      <c r="D78" s="19" t="n"/>
      <c r="E78" s="18">
        <f>IF($D78="","",IFERROR(VLOOKUP($D78,ARTICLES!$A$5:$S$2243,3,FALSE),"reference inconnue"))</f>
        <v/>
      </c>
      <c r="F78" s="19" t="n"/>
      <c r="G78" s="19" t="n"/>
      <c r="H78" s="19" t="n"/>
      <c r="I78" s="19" t="n"/>
      <c r="J78" s="18">
        <f>IF(I78="","",I78-H78)</f>
        <v/>
      </c>
      <c r="K78" s="18">
        <f>IF($D78="","",IFERROR(VLOOKUP($D78,ARTICLES!$A$5:$S$2243,9,FALSE),0))</f>
        <v/>
      </c>
      <c r="L78" s="18">
        <f>IF(H78="","",IF(J78=0,"✓ CONFORME",IF(AND(K78&gt;0,ABS(J78)&lt;=H78*K78/100),"✓ DANS LA TOLERANCE","✕ HORS TOLERANCE")))</f>
        <v/>
      </c>
      <c r="M78" s="19" t="n"/>
      <c r="N78" s="19" t="n"/>
      <c r="O78" s="17" t="inlineStr">
        <is>
          <t>BROUILLON</t>
        </is>
      </c>
      <c r="P78" s="17" t="n"/>
      <c r="Q78" s="17" t="n"/>
      <c r="R78" s="17" t="n"/>
      <c r="S78" s="17" t="n"/>
      <c r="T78" s="17" t="n"/>
      <c r="U78" s="17" t="n"/>
      <c r="V78" s="17" t="n"/>
    </row>
    <row r="79">
      <c r="A79" s="17" t="n"/>
      <c r="B79" s="18">
        <f>IF($D79="","",TEXT(TODAY(),"dd/mm/yyyy"))</f>
        <v/>
      </c>
      <c r="C79" s="18">
        <f>IF($D79="","",TEXT(NOW(),"hh:mm"))</f>
        <v/>
      </c>
      <c r="D79" s="19" t="n"/>
      <c r="E79" s="18">
        <f>IF($D79="","",IFERROR(VLOOKUP($D79,ARTICLES!$A$5:$S$2243,3,FALSE),"reference inconnue"))</f>
        <v/>
      </c>
      <c r="F79" s="19" t="n"/>
      <c r="G79" s="19" t="n"/>
      <c r="H79" s="19" t="n"/>
      <c r="I79" s="19" t="n"/>
      <c r="J79" s="18">
        <f>IF(I79="","",I79-H79)</f>
        <v/>
      </c>
      <c r="K79" s="18">
        <f>IF($D79="","",IFERROR(VLOOKUP($D79,ARTICLES!$A$5:$S$2243,9,FALSE),0))</f>
        <v/>
      </c>
      <c r="L79" s="18">
        <f>IF(H79="","",IF(J79=0,"✓ CONFORME",IF(AND(K79&gt;0,ABS(J79)&lt;=H79*K79/100),"✓ DANS LA TOLERANCE","✕ HORS TOLERANCE")))</f>
        <v/>
      </c>
      <c r="M79" s="19" t="n"/>
      <c r="N79" s="19" t="n"/>
      <c r="O79" s="17" t="inlineStr">
        <is>
          <t>BROUILLON</t>
        </is>
      </c>
      <c r="P79" s="17" t="n"/>
      <c r="Q79" s="17" t="n"/>
      <c r="R79" s="17" t="n"/>
      <c r="S79" s="17" t="n"/>
      <c r="T79" s="17" t="n"/>
      <c r="U79" s="17" t="n"/>
      <c r="V79" s="17" t="n"/>
    </row>
    <row r="80">
      <c r="A80" s="17" t="n"/>
      <c r="B80" s="18">
        <f>IF($D80="","",TEXT(TODAY(),"dd/mm/yyyy"))</f>
        <v/>
      </c>
      <c r="C80" s="18">
        <f>IF($D80="","",TEXT(NOW(),"hh:mm"))</f>
        <v/>
      </c>
      <c r="D80" s="19" t="n"/>
      <c r="E80" s="18">
        <f>IF($D80="","",IFERROR(VLOOKUP($D80,ARTICLES!$A$5:$S$2243,3,FALSE),"reference inconnue"))</f>
        <v/>
      </c>
      <c r="F80" s="19" t="n"/>
      <c r="G80" s="19" t="n"/>
      <c r="H80" s="19" t="n"/>
      <c r="I80" s="19" t="n"/>
      <c r="J80" s="18">
        <f>IF(I80="","",I80-H80)</f>
        <v/>
      </c>
      <c r="K80" s="18">
        <f>IF($D80="","",IFERROR(VLOOKUP($D80,ARTICLES!$A$5:$S$2243,9,FALSE),0))</f>
        <v/>
      </c>
      <c r="L80" s="18">
        <f>IF(H80="","",IF(J80=0,"✓ CONFORME",IF(AND(K80&gt;0,ABS(J80)&lt;=H80*K80/100),"✓ DANS LA TOLERANCE","✕ HORS TOLERANCE")))</f>
        <v/>
      </c>
      <c r="M80" s="19" t="n"/>
      <c r="N80" s="19" t="n"/>
      <c r="O80" s="17" t="inlineStr">
        <is>
          <t>BROUILLON</t>
        </is>
      </c>
      <c r="P80" s="17" t="n"/>
      <c r="Q80" s="17" t="n"/>
      <c r="R80" s="17" t="n"/>
      <c r="S80" s="17" t="n"/>
      <c r="T80" s="17" t="n"/>
      <c r="U80" s="17" t="n"/>
      <c r="V80" s="17" t="n"/>
    </row>
    <row r="81">
      <c r="A81" s="17" t="n"/>
      <c r="B81" s="18">
        <f>IF($D81="","",TEXT(TODAY(),"dd/mm/yyyy"))</f>
        <v/>
      </c>
      <c r="C81" s="18">
        <f>IF($D81="","",TEXT(NOW(),"hh:mm"))</f>
        <v/>
      </c>
      <c r="D81" s="19" t="n"/>
      <c r="E81" s="18">
        <f>IF($D81="","",IFERROR(VLOOKUP($D81,ARTICLES!$A$5:$S$2243,3,FALSE),"reference inconnue"))</f>
        <v/>
      </c>
      <c r="F81" s="19" t="n"/>
      <c r="G81" s="19" t="n"/>
      <c r="H81" s="19" t="n"/>
      <c r="I81" s="19" t="n"/>
      <c r="J81" s="18">
        <f>IF(I81="","",I81-H81)</f>
        <v/>
      </c>
      <c r="K81" s="18">
        <f>IF($D81="","",IFERROR(VLOOKUP($D81,ARTICLES!$A$5:$S$2243,9,FALSE),0))</f>
        <v/>
      </c>
      <c r="L81" s="18">
        <f>IF(H81="","",IF(J81=0,"✓ CONFORME",IF(AND(K81&gt;0,ABS(J81)&lt;=H81*K81/100),"✓ DANS LA TOLERANCE","✕ HORS TOLERANCE")))</f>
        <v/>
      </c>
      <c r="M81" s="19" t="n"/>
      <c r="N81" s="19" t="n"/>
      <c r="O81" s="17" t="inlineStr">
        <is>
          <t>BROUILLON</t>
        </is>
      </c>
      <c r="P81" s="17" t="n"/>
      <c r="Q81" s="17" t="n"/>
      <c r="R81" s="17" t="n"/>
      <c r="S81" s="17" t="n"/>
      <c r="T81" s="17" t="n"/>
      <c r="U81" s="17" t="n"/>
      <c r="V81" s="17" t="n"/>
    </row>
    <row r="82">
      <c r="A82" s="17" t="n"/>
      <c r="B82" s="18">
        <f>IF($D82="","",TEXT(TODAY(),"dd/mm/yyyy"))</f>
        <v/>
      </c>
      <c r="C82" s="18">
        <f>IF($D82="","",TEXT(NOW(),"hh:mm"))</f>
        <v/>
      </c>
      <c r="D82" s="19" t="n"/>
      <c r="E82" s="18">
        <f>IF($D82="","",IFERROR(VLOOKUP($D82,ARTICLES!$A$5:$S$2243,3,FALSE),"reference inconnue"))</f>
        <v/>
      </c>
      <c r="F82" s="19" t="n"/>
      <c r="G82" s="19" t="n"/>
      <c r="H82" s="19" t="n"/>
      <c r="I82" s="19" t="n"/>
      <c r="J82" s="18">
        <f>IF(I82="","",I82-H82)</f>
        <v/>
      </c>
      <c r="K82" s="18">
        <f>IF($D82="","",IFERROR(VLOOKUP($D82,ARTICLES!$A$5:$S$2243,9,FALSE),0))</f>
        <v/>
      </c>
      <c r="L82" s="18">
        <f>IF(H82="","",IF(J82=0,"✓ CONFORME",IF(AND(K82&gt;0,ABS(J82)&lt;=H82*K82/100),"✓ DANS LA TOLERANCE","✕ HORS TOLERANCE")))</f>
        <v/>
      </c>
      <c r="M82" s="19" t="n"/>
      <c r="N82" s="19" t="n"/>
      <c r="O82" s="17" t="inlineStr">
        <is>
          <t>BROUILLON</t>
        </is>
      </c>
      <c r="P82" s="17" t="n"/>
      <c r="Q82" s="17" t="n"/>
      <c r="R82" s="17" t="n"/>
      <c r="S82" s="17" t="n"/>
      <c r="T82" s="17" t="n"/>
      <c r="U82" s="17" t="n"/>
      <c r="V82" s="17" t="n"/>
    </row>
    <row r="83">
      <c r="A83" s="17" t="n"/>
      <c r="B83" s="18">
        <f>IF($D83="","",TEXT(TODAY(),"dd/mm/yyyy"))</f>
        <v/>
      </c>
      <c r="C83" s="18">
        <f>IF($D83="","",TEXT(NOW(),"hh:mm"))</f>
        <v/>
      </c>
      <c r="D83" s="19" t="n"/>
      <c r="E83" s="18">
        <f>IF($D83="","",IFERROR(VLOOKUP($D83,ARTICLES!$A$5:$S$2243,3,FALSE),"reference inconnue"))</f>
        <v/>
      </c>
      <c r="F83" s="19" t="n"/>
      <c r="G83" s="19" t="n"/>
      <c r="H83" s="19" t="n"/>
      <c r="I83" s="19" t="n"/>
      <c r="J83" s="18">
        <f>IF(I83="","",I83-H83)</f>
        <v/>
      </c>
      <c r="K83" s="18">
        <f>IF($D83="","",IFERROR(VLOOKUP($D83,ARTICLES!$A$5:$S$2243,9,FALSE),0))</f>
        <v/>
      </c>
      <c r="L83" s="18">
        <f>IF(H83="","",IF(J83=0,"✓ CONFORME",IF(AND(K83&gt;0,ABS(J83)&lt;=H83*K83/100),"✓ DANS LA TOLERANCE","✕ HORS TOLERANCE")))</f>
        <v/>
      </c>
      <c r="M83" s="19" t="n"/>
      <c r="N83" s="19" t="n"/>
      <c r="O83" s="17" t="inlineStr">
        <is>
          <t>BROUILLON</t>
        </is>
      </c>
      <c r="P83" s="17" t="n"/>
      <c r="Q83" s="17" t="n"/>
      <c r="R83" s="17" t="n"/>
      <c r="S83" s="17" t="n"/>
      <c r="T83" s="17" t="n"/>
      <c r="U83" s="17" t="n"/>
      <c r="V83" s="17" t="n"/>
    </row>
    <row r="84">
      <c r="A84" s="17" t="n"/>
      <c r="B84" s="18">
        <f>IF($D84="","",TEXT(TODAY(),"dd/mm/yyyy"))</f>
        <v/>
      </c>
      <c r="C84" s="18">
        <f>IF($D84="","",TEXT(NOW(),"hh:mm"))</f>
        <v/>
      </c>
      <c r="D84" s="19" t="n"/>
      <c r="E84" s="18">
        <f>IF($D84="","",IFERROR(VLOOKUP($D84,ARTICLES!$A$5:$S$2243,3,FALSE),"reference inconnue"))</f>
        <v/>
      </c>
      <c r="F84" s="19" t="n"/>
      <c r="G84" s="19" t="n"/>
      <c r="H84" s="19" t="n"/>
      <c r="I84" s="19" t="n"/>
      <c r="J84" s="18">
        <f>IF(I84="","",I84-H84)</f>
        <v/>
      </c>
      <c r="K84" s="18">
        <f>IF($D84="","",IFERROR(VLOOKUP($D84,ARTICLES!$A$5:$S$2243,9,FALSE),0))</f>
        <v/>
      </c>
      <c r="L84" s="18">
        <f>IF(H84="","",IF(J84=0,"✓ CONFORME",IF(AND(K84&gt;0,ABS(J84)&lt;=H84*K84/100),"✓ DANS LA TOLERANCE","✕ HORS TOLERANCE")))</f>
        <v/>
      </c>
      <c r="M84" s="19" t="n"/>
      <c r="N84" s="19" t="n"/>
      <c r="O84" s="17" t="inlineStr">
        <is>
          <t>BROUILLON</t>
        </is>
      </c>
      <c r="P84" s="17" t="n"/>
      <c r="Q84" s="17" t="n"/>
      <c r="R84" s="17" t="n"/>
      <c r="S84" s="17" t="n"/>
      <c r="T84" s="17" t="n"/>
      <c r="U84" s="17" t="n"/>
      <c r="V84" s="17" t="n"/>
    </row>
    <row r="85">
      <c r="A85" s="17" t="n"/>
      <c r="B85" s="18">
        <f>IF($D85="","",TEXT(TODAY(),"dd/mm/yyyy"))</f>
        <v/>
      </c>
      <c r="C85" s="18">
        <f>IF($D85="","",TEXT(NOW(),"hh:mm"))</f>
        <v/>
      </c>
      <c r="D85" s="19" t="n"/>
      <c r="E85" s="18">
        <f>IF($D85="","",IFERROR(VLOOKUP($D85,ARTICLES!$A$5:$S$2243,3,FALSE),"reference inconnue"))</f>
        <v/>
      </c>
      <c r="F85" s="19" t="n"/>
      <c r="G85" s="19" t="n"/>
      <c r="H85" s="19" t="n"/>
      <c r="I85" s="19" t="n"/>
      <c r="J85" s="18">
        <f>IF(I85="","",I85-H85)</f>
        <v/>
      </c>
      <c r="K85" s="18">
        <f>IF($D85="","",IFERROR(VLOOKUP($D85,ARTICLES!$A$5:$S$2243,9,FALSE),0))</f>
        <v/>
      </c>
      <c r="L85" s="18">
        <f>IF(H85="","",IF(J85=0,"✓ CONFORME",IF(AND(K85&gt;0,ABS(J85)&lt;=H85*K85/100),"✓ DANS LA TOLERANCE","✕ HORS TOLERANCE")))</f>
        <v/>
      </c>
      <c r="M85" s="19" t="n"/>
      <c r="N85" s="19" t="n"/>
      <c r="O85" s="17" t="inlineStr">
        <is>
          <t>BROUILLON</t>
        </is>
      </c>
      <c r="P85" s="17" t="n"/>
      <c r="Q85" s="17" t="n"/>
      <c r="R85" s="17" t="n"/>
      <c r="S85" s="17" t="n"/>
      <c r="T85" s="17" t="n"/>
      <c r="U85" s="17" t="n"/>
      <c r="V85" s="17" t="n"/>
    </row>
    <row r="86">
      <c r="A86" s="17" t="n"/>
      <c r="B86" s="18">
        <f>IF($D86="","",TEXT(TODAY(),"dd/mm/yyyy"))</f>
        <v/>
      </c>
      <c r="C86" s="18">
        <f>IF($D86="","",TEXT(NOW(),"hh:mm"))</f>
        <v/>
      </c>
      <c r="D86" s="19" t="n"/>
      <c r="E86" s="18">
        <f>IF($D86="","",IFERROR(VLOOKUP($D86,ARTICLES!$A$5:$S$2243,3,FALSE),"reference inconnue"))</f>
        <v/>
      </c>
      <c r="F86" s="19" t="n"/>
      <c r="G86" s="19" t="n"/>
      <c r="H86" s="19" t="n"/>
      <c r="I86" s="19" t="n"/>
      <c r="J86" s="18">
        <f>IF(I86="","",I86-H86)</f>
        <v/>
      </c>
      <c r="K86" s="18">
        <f>IF($D86="","",IFERROR(VLOOKUP($D86,ARTICLES!$A$5:$S$2243,9,FALSE),0))</f>
        <v/>
      </c>
      <c r="L86" s="18">
        <f>IF(H86="","",IF(J86=0,"✓ CONFORME",IF(AND(K86&gt;0,ABS(J86)&lt;=H86*K86/100),"✓ DANS LA TOLERANCE","✕ HORS TOLERANCE")))</f>
        <v/>
      </c>
      <c r="M86" s="19" t="n"/>
      <c r="N86" s="19" t="n"/>
      <c r="O86" s="17" t="inlineStr">
        <is>
          <t>BROUILLON</t>
        </is>
      </c>
      <c r="P86" s="17" t="n"/>
      <c r="Q86" s="17" t="n"/>
      <c r="R86" s="17" t="n"/>
      <c r="S86" s="17" t="n"/>
      <c r="T86" s="17" t="n"/>
      <c r="U86" s="17" t="n"/>
      <c r="V86" s="17" t="n"/>
    </row>
    <row r="87">
      <c r="A87" s="17" t="n"/>
      <c r="B87" s="18">
        <f>IF($D87="","",TEXT(TODAY(),"dd/mm/yyyy"))</f>
        <v/>
      </c>
      <c r="C87" s="18">
        <f>IF($D87="","",TEXT(NOW(),"hh:mm"))</f>
        <v/>
      </c>
      <c r="D87" s="19" t="n"/>
      <c r="E87" s="18">
        <f>IF($D87="","",IFERROR(VLOOKUP($D87,ARTICLES!$A$5:$S$2243,3,FALSE),"reference inconnue"))</f>
        <v/>
      </c>
      <c r="F87" s="19" t="n"/>
      <c r="G87" s="19" t="n"/>
      <c r="H87" s="19" t="n"/>
      <c r="I87" s="19" t="n"/>
      <c r="J87" s="18">
        <f>IF(I87="","",I87-H87)</f>
        <v/>
      </c>
      <c r="K87" s="18">
        <f>IF($D87="","",IFERROR(VLOOKUP($D87,ARTICLES!$A$5:$S$2243,9,FALSE),0))</f>
        <v/>
      </c>
      <c r="L87" s="18">
        <f>IF(H87="","",IF(J87=0,"✓ CONFORME",IF(AND(K87&gt;0,ABS(J87)&lt;=H87*K87/100),"✓ DANS LA TOLERANCE","✕ HORS TOLERANCE")))</f>
        <v/>
      </c>
      <c r="M87" s="19" t="n"/>
      <c r="N87" s="19" t="n"/>
      <c r="O87" s="17" t="inlineStr">
        <is>
          <t>BROUILLON</t>
        </is>
      </c>
      <c r="P87" s="17" t="n"/>
      <c r="Q87" s="17" t="n"/>
      <c r="R87" s="17" t="n"/>
      <c r="S87" s="17" t="n"/>
      <c r="T87" s="17" t="n"/>
      <c r="U87" s="17" t="n"/>
      <c r="V87" s="17" t="n"/>
    </row>
    <row r="88">
      <c r="A88" s="17" t="n"/>
      <c r="B88" s="18">
        <f>IF($D88="","",TEXT(TODAY(),"dd/mm/yyyy"))</f>
        <v/>
      </c>
      <c r="C88" s="18">
        <f>IF($D88="","",TEXT(NOW(),"hh:mm"))</f>
        <v/>
      </c>
      <c r="D88" s="19" t="n"/>
      <c r="E88" s="18">
        <f>IF($D88="","",IFERROR(VLOOKUP($D88,ARTICLES!$A$5:$S$2243,3,FALSE),"reference inconnue"))</f>
        <v/>
      </c>
      <c r="F88" s="19" t="n"/>
      <c r="G88" s="19" t="n"/>
      <c r="H88" s="19" t="n"/>
      <c r="I88" s="19" t="n"/>
      <c r="J88" s="18">
        <f>IF(I88="","",I88-H88)</f>
        <v/>
      </c>
      <c r="K88" s="18">
        <f>IF($D88="","",IFERROR(VLOOKUP($D88,ARTICLES!$A$5:$S$2243,9,FALSE),0))</f>
        <v/>
      </c>
      <c r="L88" s="18">
        <f>IF(H88="","",IF(J88=0,"✓ CONFORME",IF(AND(K88&gt;0,ABS(J88)&lt;=H88*K88/100),"✓ DANS LA TOLERANCE","✕ HORS TOLERANCE")))</f>
        <v/>
      </c>
      <c r="M88" s="19" t="n"/>
      <c r="N88" s="19" t="n"/>
      <c r="O88" s="17" t="inlineStr">
        <is>
          <t>BROUILLON</t>
        </is>
      </c>
      <c r="P88" s="17" t="n"/>
      <c r="Q88" s="17" t="n"/>
      <c r="R88" s="17" t="n"/>
      <c r="S88" s="17" t="n"/>
      <c r="T88" s="17" t="n"/>
      <c r="U88" s="17" t="n"/>
      <c r="V88" s="17" t="n"/>
    </row>
    <row r="89">
      <c r="A89" s="17" t="n"/>
      <c r="B89" s="18">
        <f>IF($D89="","",TEXT(TODAY(),"dd/mm/yyyy"))</f>
        <v/>
      </c>
      <c r="C89" s="18">
        <f>IF($D89="","",TEXT(NOW(),"hh:mm"))</f>
        <v/>
      </c>
      <c r="D89" s="19" t="n"/>
      <c r="E89" s="18">
        <f>IF($D89="","",IFERROR(VLOOKUP($D89,ARTICLES!$A$5:$S$2243,3,FALSE),"reference inconnue"))</f>
        <v/>
      </c>
      <c r="F89" s="19" t="n"/>
      <c r="G89" s="19" t="n"/>
      <c r="H89" s="19" t="n"/>
      <c r="I89" s="19" t="n"/>
      <c r="J89" s="18">
        <f>IF(I89="","",I89-H89)</f>
        <v/>
      </c>
      <c r="K89" s="18">
        <f>IF($D89="","",IFERROR(VLOOKUP($D89,ARTICLES!$A$5:$S$2243,9,FALSE),0))</f>
        <v/>
      </c>
      <c r="L89" s="18">
        <f>IF(H89="","",IF(J89=0,"✓ CONFORME",IF(AND(K89&gt;0,ABS(J89)&lt;=H89*K89/100),"✓ DANS LA TOLERANCE","✕ HORS TOLERANCE")))</f>
        <v/>
      </c>
      <c r="M89" s="19" t="n"/>
      <c r="N89" s="19" t="n"/>
      <c r="O89" s="17" t="inlineStr">
        <is>
          <t>BROUILLON</t>
        </is>
      </c>
      <c r="P89" s="17" t="n"/>
      <c r="Q89" s="17" t="n"/>
      <c r="R89" s="17" t="n"/>
      <c r="S89" s="17" t="n"/>
      <c r="T89" s="17" t="n"/>
      <c r="U89" s="17" t="n"/>
      <c r="V89" s="17" t="n"/>
    </row>
    <row r="90">
      <c r="A90" s="17" t="n"/>
      <c r="B90" s="18">
        <f>IF($D90="","",TEXT(TODAY(),"dd/mm/yyyy"))</f>
        <v/>
      </c>
      <c r="C90" s="18">
        <f>IF($D90="","",TEXT(NOW(),"hh:mm"))</f>
        <v/>
      </c>
      <c r="D90" s="19" t="n"/>
      <c r="E90" s="18">
        <f>IF($D90="","",IFERROR(VLOOKUP($D90,ARTICLES!$A$5:$S$2243,3,FALSE),"reference inconnue"))</f>
        <v/>
      </c>
      <c r="F90" s="19" t="n"/>
      <c r="G90" s="19" t="n"/>
      <c r="H90" s="19" t="n"/>
      <c r="I90" s="19" t="n"/>
      <c r="J90" s="18">
        <f>IF(I90="","",I90-H90)</f>
        <v/>
      </c>
      <c r="K90" s="18">
        <f>IF($D90="","",IFERROR(VLOOKUP($D90,ARTICLES!$A$5:$S$2243,9,FALSE),0))</f>
        <v/>
      </c>
      <c r="L90" s="18">
        <f>IF(H90="","",IF(J90=0,"✓ CONFORME",IF(AND(K90&gt;0,ABS(J90)&lt;=H90*K90/100),"✓ DANS LA TOLERANCE","✕ HORS TOLERANCE")))</f>
        <v/>
      </c>
      <c r="M90" s="19" t="n"/>
      <c r="N90" s="19" t="n"/>
      <c r="O90" s="17" t="inlineStr">
        <is>
          <t>BROUILLON</t>
        </is>
      </c>
      <c r="P90" s="17" t="n"/>
      <c r="Q90" s="17" t="n"/>
      <c r="R90" s="17" t="n"/>
      <c r="S90" s="17" t="n"/>
      <c r="T90" s="17" t="n"/>
      <c r="U90" s="17" t="n"/>
      <c r="V90" s="17" t="n"/>
    </row>
    <row r="91">
      <c r="A91" s="17" t="n"/>
      <c r="B91" s="18">
        <f>IF($D91="","",TEXT(TODAY(),"dd/mm/yyyy"))</f>
        <v/>
      </c>
      <c r="C91" s="18">
        <f>IF($D91="","",TEXT(NOW(),"hh:mm"))</f>
        <v/>
      </c>
      <c r="D91" s="19" t="n"/>
      <c r="E91" s="18">
        <f>IF($D91="","",IFERROR(VLOOKUP($D91,ARTICLES!$A$5:$S$2243,3,FALSE),"reference inconnue"))</f>
        <v/>
      </c>
      <c r="F91" s="19" t="n"/>
      <c r="G91" s="19" t="n"/>
      <c r="H91" s="19" t="n"/>
      <c r="I91" s="19" t="n"/>
      <c r="J91" s="18">
        <f>IF(I91="","",I91-H91)</f>
        <v/>
      </c>
      <c r="K91" s="18">
        <f>IF($D91="","",IFERROR(VLOOKUP($D91,ARTICLES!$A$5:$S$2243,9,FALSE),0))</f>
        <v/>
      </c>
      <c r="L91" s="18">
        <f>IF(H91="","",IF(J91=0,"✓ CONFORME",IF(AND(K91&gt;0,ABS(J91)&lt;=H91*K91/100),"✓ DANS LA TOLERANCE","✕ HORS TOLERANCE")))</f>
        <v/>
      </c>
      <c r="M91" s="19" t="n"/>
      <c r="N91" s="19" t="n"/>
      <c r="O91" s="17" t="inlineStr">
        <is>
          <t>BROUILLON</t>
        </is>
      </c>
      <c r="P91" s="17" t="n"/>
      <c r="Q91" s="17" t="n"/>
      <c r="R91" s="17" t="n"/>
      <c r="S91" s="17" t="n"/>
      <c r="T91" s="17" t="n"/>
      <c r="U91" s="17" t="n"/>
      <c r="V91" s="17" t="n"/>
    </row>
    <row r="92">
      <c r="A92" s="17" t="n"/>
      <c r="B92" s="18">
        <f>IF($D92="","",TEXT(TODAY(),"dd/mm/yyyy"))</f>
        <v/>
      </c>
      <c r="C92" s="18">
        <f>IF($D92="","",TEXT(NOW(),"hh:mm"))</f>
        <v/>
      </c>
      <c r="D92" s="19" t="n"/>
      <c r="E92" s="18">
        <f>IF($D92="","",IFERROR(VLOOKUP($D92,ARTICLES!$A$5:$S$2243,3,FALSE),"reference inconnue"))</f>
        <v/>
      </c>
      <c r="F92" s="19" t="n"/>
      <c r="G92" s="19" t="n"/>
      <c r="H92" s="19" t="n"/>
      <c r="I92" s="19" t="n"/>
      <c r="J92" s="18">
        <f>IF(I92="","",I92-H92)</f>
        <v/>
      </c>
      <c r="K92" s="18">
        <f>IF($D92="","",IFERROR(VLOOKUP($D92,ARTICLES!$A$5:$S$2243,9,FALSE),0))</f>
        <v/>
      </c>
      <c r="L92" s="18">
        <f>IF(H92="","",IF(J92=0,"✓ CONFORME",IF(AND(K92&gt;0,ABS(J92)&lt;=H92*K92/100),"✓ DANS LA TOLERANCE","✕ HORS TOLERANCE")))</f>
        <v/>
      </c>
      <c r="M92" s="19" t="n"/>
      <c r="N92" s="19" t="n"/>
      <c r="O92" s="17" t="inlineStr">
        <is>
          <t>BROUILLON</t>
        </is>
      </c>
      <c r="P92" s="17" t="n"/>
      <c r="Q92" s="17" t="n"/>
      <c r="R92" s="17" t="n"/>
      <c r="S92" s="17" t="n"/>
      <c r="T92" s="17" t="n"/>
      <c r="U92" s="17" t="n"/>
      <c r="V92" s="17" t="n"/>
    </row>
    <row r="93">
      <c r="A93" s="17" t="n"/>
      <c r="B93" s="18">
        <f>IF($D93="","",TEXT(TODAY(),"dd/mm/yyyy"))</f>
        <v/>
      </c>
      <c r="C93" s="18">
        <f>IF($D93="","",TEXT(NOW(),"hh:mm"))</f>
        <v/>
      </c>
      <c r="D93" s="19" t="n"/>
      <c r="E93" s="18">
        <f>IF($D93="","",IFERROR(VLOOKUP($D93,ARTICLES!$A$5:$S$2243,3,FALSE),"reference inconnue"))</f>
        <v/>
      </c>
      <c r="F93" s="19" t="n"/>
      <c r="G93" s="19" t="n"/>
      <c r="H93" s="19" t="n"/>
      <c r="I93" s="19" t="n"/>
      <c r="J93" s="18">
        <f>IF(I93="","",I93-H93)</f>
        <v/>
      </c>
      <c r="K93" s="18">
        <f>IF($D93="","",IFERROR(VLOOKUP($D93,ARTICLES!$A$5:$S$2243,9,FALSE),0))</f>
        <v/>
      </c>
      <c r="L93" s="18">
        <f>IF(H93="","",IF(J93=0,"✓ CONFORME",IF(AND(K93&gt;0,ABS(J93)&lt;=H93*K93/100),"✓ DANS LA TOLERANCE","✕ HORS TOLERANCE")))</f>
        <v/>
      </c>
      <c r="M93" s="19" t="n"/>
      <c r="N93" s="19" t="n"/>
      <c r="O93" s="17" t="inlineStr">
        <is>
          <t>BROUILLON</t>
        </is>
      </c>
      <c r="P93" s="17" t="n"/>
      <c r="Q93" s="17" t="n"/>
      <c r="R93" s="17" t="n"/>
      <c r="S93" s="17" t="n"/>
      <c r="T93" s="17" t="n"/>
      <c r="U93" s="17" t="n"/>
      <c r="V93" s="17" t="n"/>
    </row>
    <row r="94">
      <c r="A94" s="17" t="n"/>
      <c r="B94" s="18">
        <f>IF($D94="","",TEXT(TODAY(),"dd/mm/yyyy"))</f>
        <v/>
      </c>
      <c r="C94" s="18">
        <f>IF($D94="","",TEXT(NOW(),"hh:mm"))</f>
        <v/>
      </c>
      <c r="D94" s="19" t="n"/>
      <c r="E94" s="18">
        <f>IF($D94="","",IFERROR(VLOOKUP($D94,ARTICLES!$A$5:$S$2243,3,FALSE),"reference inconnue"))</f>
        <v/>
      </c>
      <c r="F94" s="19" t="n"/>
      <c r="G94" s="19" t="n"/>
      <c r="H94" s="19" t="n"/>
      <c r="I94" s="19" t="n"/>
      <c r="J94" s="18">
        <f>IF(I94="","",I94-H94)</f>
        <v/>
      </c>
      <c r="K94" s="18">
        <f>IF($D94="","",IFERROR(VLOOKUP($D94,ARTICLES!$A$5:$S$2243,9,FALSE),0))</f>
        <v/>
      </c>
      <c r="L94" s="18">
        <f>IF(H94="","",IF(J94=0,"✓ CONFORME",IF(AND(K94&gt;0,ABS(J94)&lt;=H94*K94/100),"✓ DANS LA TOLERANCE","✕ HORS TOLERANCE")))</f>
        <v/>
      </c>
      <c r="M94" s="19" t="n"/>
      <c r="N94" s="19" t="n"/>
      <c r="O94" s="17" t="inlineStr">
        <is>
          <t>BROUILLON</t>
        </is>
      </c>
      <c r="P94" s="17" t="n"/>
      <c r="Q94" s="17" t="n"/>
      <c r="R94" s="17" t="n"/>
      <c r="S94" s="17" t="n"/>
      <c r="T94" s="17" t="n"/>
      <c r="U94" s="17" t="n"/>
      <c r="V94" s="17" t="n"/>
    </row>
    <row r="95">
      <c r="A95" s="17" t="n"/>
      <c r="B95" s="18">
        <f>IF($D95="","",TEXT(TODAY(),"dd/mm/yyyy"))</f>
        <v/>
      </c>
      <c r="C95" s="18">
        <f>IF($D95="","",TEXT(NOW(),"hh:mm"))</f>
        <v/>
      </c>
      <c r="D95" s="19" t="n"/>
      <c r="E95" s="18">
        <f>IF($D95="","",IFERROR(VLOOKUP($D95,ARTICLES!$A$5:$S$2243,3,FALSE),"reference inconnue"))</f>
        <v/>
      </c>
      <c r="F95" s="19" t="n"/>
      <c r="G95" s="19" t="n"/>
      <c r="H95" s="19" t="n"/>
      <c r="I95" s="19" t="n"/>
      <c r="J95" s="18">
        <f>IF(I95="","",I95-H95)</f>
        <v/>
      </c>
      <c r="K95" s="18">
        <f>IF($D95="","",IFERROR(VLOOKUP($D95,ARTICLES!$A$5:$S$2243,9,FALSE),0))</f>
        <v/>
      </c>
      <c r="L95" s="18">
        <f>IF(H95="","",IF(J95=0,"✓ CONFORME",IF(AND(K95&gt;0,ABS(J95)&lt;=H95*K95/100),"✓ DANS LA TOLERANCE","✕ HORS TOLERANCE")))</f>
        <v/>
      </c>
      <c r="M95" s="19" t="n"/>
      <c r="N95" s="19" t="n"/>
      <c r="O95" s="17" t="inlineStr">
        <is>
          <t>BROUILLON</t>
        </is>
      </c>
      <c r="P95" s="17" t="n"/>
      <c r="Q95" s="17" t="n"/>
      <c r="R95" s="17" t="n"/>
      <c r="S95" s="17" t="n"/>
      <c r="T95" s="17" t="n"/>
      <c r="U95" s="17" t="n"/>
      <c r="V95" s="17" t="n"/>
    </row>
    <row r="96">
      <c r="A96" s="17" t="n"/>
      <c r="B96" s="18">
        <f>IF($D96="","",TEXT(TODAY(),"dd/mm/yyyy"))</f>
        <v/>
      </c>
      <c r="C96" s="18">
        <f>IF($D96="","",TEXT(NOW(),"hh:mm"))</f>
        <v/>
      </c>
      <c r="D96" s="19" t="n"/>
      <c r="E96" s="18">
        <f>IF($D96="","",IFERROR(VLOOKUP($D96,ARTICLES!$A$5:$S$2243,3,FALSE),"reference inconnue"))</f>
        <v/>
      </c>
      <c r="F96" s="19" t="n"/>
      <c r="G96" s="19" t="n"/>
      <c r="H96" s="19" t="n"/>
      <c r="I96" s="19" t="n"/>
      <c r="J96" s="18">
        <f>IF(I96="","",I96-H96)</f>
        <v/>
      </c>
      <c r="K96" s="18">
        <f>IF($D96="","",IFERROR(VLOOKUP($D96,ARTICLES!$A$5:$S$2243,9,FALSE),0))</f>
        <v/>
      </c>
      <c r="L96" s="18">
        <f>IF(H96="","",IF(J96=0,"✓ CONFORME",IF(AND(K96&gt;0,ABS(J96)&lt;=H96*K96/100),"✓ DANS LA TOLERANCE","✕ HORS TOLERANCE")))</f>
        <v/>
      </c>
      <c r="M96" s="19" t="n"/>
      <c r="N96" s="19" t="n"/>
      <c r="O96" s="17" t="inlineStr">
        <is>
          <t>BROUILLON</t>
        </is>
      </c>
      <c r="P96" s="17" t="n"/>
      <c r="Q96" s="17" t="n"/>
      <c r="R96" s="17" t="n"/>
      <c r="S96" s="17" t="n"/>
      <c r="T96" s="17" t="n"/>
      <c r="U96" s="17" t="n"/>
      <c r="V96" s="17" t="n"/>
    </row>
    <row r="97">
      <c r="A97" s="17" t="n"/>
      <c r="B97" s="18">
        <f>IF($D97="","",TEXT(TODAY(),"dd/mm/yyyy"))</f>
        <v/>
      </c>
      <c r="C97" s="18">
        <f>IF($D97="","",TEXT(NOW(),"hh:mm"))</f>
        <v/>
      </c>
      <c r="D97" s="19" t="n"/>
      <c r="E97" s="18">
        <f>IF($D97="","",IFERROR(VLOOKUP($D97,ARTICLES!$A$5:$S$2243,3,FALSE),"reference inconnue"))</f>
        <v/>
      </c>
      <c r="F97" s="19" t="n"/>
      <c r="G97" s="19" t="n"/>
      <c r="H97" s="19" t="n"/>
      <c r="I97" s="19" t="n"/>
      <c r="J97" s="18">
        <f>IF(I97="","",I97-H97)</f>
        <v/>
      </c>
      <c r="K97" s="18">
        <f>IF($D97="","",IFERROR(VLOOKUP($D97,ARTICLES!$A$5:$S$2243,9,FALSE),0))</f>
        <v/>
      </c>
      <c r="L97" s="18">
        <f>IF(H97="","",IF(J97=0,"✓ CONFORME",IF(AND(K97&gt;0,ABS(J97)&lt;=H97*K97/100),"✓ DANS LA TOLERANCE","✕ HORS TOLERANCE")))</f>
        <v/>
      </c>
      <c r="M97" s="19" t="n"/>
      <c r="N97" s="19" t="n"/>
      <c r="O97" s="17" t="inlineStr">
        <is>
          <t>BROUILLON</t>
        </is>
      </c>
      <c r="P97" s="17" t="n"/>
      <c r="Q97" s="17" t="n"/>
      <c r="R97" s="17" t="n"/>
      <c r="S97" s="17" t="n"/>
      <c r="T97" s="17" t="n"/>
      <c r="U97" s="17" t="n"/>
      <c r="V97" s="17" t="n"/>
    </row>
    <row r="98">
      <c r="A98" s="17" t="n"/>
      <c r="B98" s="18">
        <f>IF($D98="","",TEXT(TODAY(),"dd/mm/yyyy"))</f>
        <v/>
      </c>
      <c r="C98" s="18">
        <f>IF($D98="","",TEXT(NOW(),"hh:mm"))</f>
        <v/>
      </c>
      <c r="D98" s="19" t="n"/>
      <c r="E98" s="18">
        <f>IF($D98="","",IFERROR(VLOOKUP($D98,ARTICLES!$A$5:$S$2243,3,FALSE),"reference inconnue"))</f>
        <v/>
      </c>
      <c r="F98" s="19" t="n"/>
      <c r="G98" s="19" t="n"/>
      <c r="H98" s="19" t="n"/>
      <c r="I98" s="19" t="n"/>
      <c r="J98" s="18">
        <f>IF(I98="","",I98-H98)</f>
        <v/>
      </c>
      <c r="K98" s="18">
        <f>IF($D98="","",IFERROR(VLOOKUP($D98,ARTICLES!$A$5:$S$2243,9,FALSE),0))</f>
        <v/>
      </c>
      <c r="L98" s="18">
        <f>IF(H98="","",IF(J98=0,"✓ CONFORME",IF(AND(K98&gt;0,ABS(J98)&lt;=H98*K98/100),"✓ DANS LA TOLERANCE","✕ HORS TOLERANCE")))</f>
        <v/>
      </c>
      <c r="M98" s="19" t="n"/>
      <c r="N98" s="19" t="n"/>
      <c r="O98" s="17" t="inlineStr">
        <is>
          <t>BROUILLON</t>
        </is>
      </c>
      <c r="P98" s="17" t="n"/>
      <c r="Q98" s="17" t="n"/>
      <c r="R98" s="17" t="n"/>
      <c r="S98" s="17" t="n"/>
      <c r="T98" s="17" t="n"/>
      <c r="U98" s="17" t="n"/>
      <c r="V98" s="17" t="n"/>
    </row>
    <row r="99">
      <c r="A99" s="17" t="n"/>
      <c r="B99" s="18">
        <f>IF($D99="","",TEXT(TODAY(),"dd/mm/yyyy"))</f>
        <v/>
      </c>
      <c r="C99" s="18">
        <f>IF($D99="","",TEXT(NOW(),"hh:mm"))</f>
        <v/>
      </c>
      <c r="D99" s="19" t="n"/>
      <c r="E99" s="18">
        <f>IF($D99="","",IFERROR(VLOOKUP($D99,ARTICLES!$A$5:$S$2243,3,FALSE),"reference inconnue"))</f>
        <v/>
      </c>
      <c r="F99" s="19" t="n"/>
      <c r="G99" s="19" t="n"/>
      <c r="H99" s="19" t="n"/>
      <c r="I99" s="19" t="n"/>
      <c r="J99" s="18">
        <f>IF(I99="","",I99-H99)</f>
        <v/>
      </c>
      <c r="K99" s="18">
        <f>IF($D99="","",IFERROR(VLOOKUP($D99,ARTICLES!$A$5:$S$2243,9,FALSE),0))</f>
        <v/>
      </c>
      <c r="L99" s="18">
        <f>IF(H99="","",IF(J99=0,"✓ CONFORME",IF(AND(K99&gt;0,ABS(J99)&lt;=H99*K99/100),"✓ DANS LA TOLERANCE","✕ HORS TOLERANCE")))</f>
        <v/>
      </c>
      <c r="M99" s="19" t="n"/>
      <c r="N99" s="19" t="n"/>
      <c r="O99" s="17" t="inlineStr">
        <is>
          <t>BROUILLON</t>
        </is>
      </c>
      <c r="P99" s="17" t="n"/>
      <c r="Q99" s="17" t="n"/>
      <c r="R99" s="17" t="n"/>
      <c r="S99" s="17" t="n"/>
      <c r="T99" s="17" t="n"/>
      <c r="U99" s="17" t="n"/>
      <c r="V99" s="17" t="n"/>
    </row>
    <row r="100">
      <c r="A100" s="17" t="n"/>
      <c r="B100" s="18">
        <f>IF($D100="","",TEXT(TODAY(),"dd/mm/yyyy"))</f>
        <v/>
      </c>
      <c r="C100" s="18">
        <f>IF($D100="","",TEXT(NOW(),"hh:mm"))</f>
        <v/>
      </c>
      <c r="D100" s="19" t="n"/>
      <c r="E100" s="18">
        <f>IF($D100="","",IFERROR(VLOOKUP($D100,ARTICLES!$A$5:$S$2243,3,FALSE),"reference inconnue"))</f>
        <v/>
      </c>
      <c r="F100" s="19" t="n"/>
      <c r="G100" s="19" t="n"/>
      <c r="H100" s="19" t="n"/>
      <c r="I100" s="19" t="n"/>
      <c r="J100" s="18">
        <f>IF(I100="","",I100-H100)</f>
        <v/>
      </c>
      <c r="K100" s="18">
        <f>IF($D100="","",IFERROR(VLOOKUP($D100,ARTICLES!$A$5:$S$2243,9,FALSE),0))</f>
        <v/>
      </c>
      <c r="L100" s="18">
        <f>IF(H100="","",IF(J100=0,"✓ CONFORME",IF(AND(K100&gt;0,ABS(J100)&lt;=H100*K100/100),"✓ DANS LA TOLERANCE","✕ HORS TOLERANCE")))</f>
        <v/>
      </c>
      <c r="M100" s="19" t="n"/>
      <c r="N100" s="19" t="n"/>
      <c r="O100" s="17" t="inlineStr">
        <is>
          <t>BROUILLON</t>
        </is>
      </c>
      <c r="P100" s="17" t="n"/>
      <c r="Q100" s="17" t="n"/>
      <c r="R100" s="17" t="n"/>
      <c r="S100" s="17" t="n"/>
      <c r="T100" s="17" t="n"/>
      <c r="U100" s="17" t="n"/>
      <c r="V100" s="17" t="n"/>
    </row>
    <row r="101">
      <c r="A101" s="17" t="n"/>
      <c r="B101" s="18">
        <f>IF($D101="","",TEXT(TODAY(),"dd/mm/yyyy"))</f>
        <v/>
      </c>
      <c r="C101" s="18">
        <f>IF($D101="","",TEXT(NOW(),"hh:mm"))</f>
        <v/>
      </c>
      <c r="D101" s="19" t="n"/>
      <c r="E101" s="18">
        <f>IF($D101="","",IFERROR(VLOOKUP($D101,ARTICLES!$A$5:$S$2243,3,FALSE),"reference inconnue"))</f>
        <v/>
      </c>
      <c r="F101" s="19" t="n"/>
      <c r="G101" s="19" t="n"/>
      <c r="H101" s="19" t="n"/>
      <c r="I101" s="19" t="n"/>
      <c r="J101" s="18">
        <f>IF(I101="","",I101-H101)</f>
        <v/>
      </c>
      <c r="K101" s="18">
        <f>IF($D101="","",IFERROR(VLOOKUP($D101,ARTICLES!$A$5:$S$2243,9,FALSE),0))</f>
        <v/>
      </c>
      <c r="L101" s="18">
        <f>IF(H101="","",IF(J101=0,"✓ CONFORME",IF(AND(K101&gt;0,ABS(J101)&lt;=H101*K101/100),"✓ DANS LA TOLERANCE","✕ HORS TOLERANCE")))</f>
        <v/>
      </c>
      <c r="M101" s="19" t="n"/>
      <c r="N101" s="19" t="n"/>
      <c r="O101" s="17" t="inlineStr">
        <is>
          <t>BROUILLON</t>
        </is>
      </c>
      <c r="P101" s="17" t="n"/>
      <c r="Q101" s="17" t="n"/>
      <c r="R101" s="17" t="n"/>
      <c r="S101" s="17" t="n"/>
      <c r="T101" s="17" t="n"/>
      <c r="U101" s="17" t="n"/>
      <c r="V101" s="17" t="n"/>
    </row>
    <row r="102">
      <c r="A102" s="17" t="n"/>
      <c r="B102" s="18">
        <f>IF($D102="","",TEXT(TODAY(),"dd/mm/yyyy"))</f>
        <v/>
      </c>
      <c r="C102" s="18">
        <f>IF($D102="","",TEXT(NOW(),"hh:mm"))</f>
        <v/>
      </c>
      <c r="D102" s="19" t="n"/>
      <c r="E102" s="18">
        <f>IF($D102="","",IFERROR(VLOOKUP($D102,ARTICLES!$A$5:$S$2243,3,FALSE),"reference inconnue"))</f>
        <v/>
      </c>
      <c r="F102" s="19" t="n"/>
      <c r="G102" s="19" t="n"/>
      <c r="H102" s="19" t="n"/>
      <c r="I102" s="19" t="n"/>
      <c r="J102" s="18">
        <f>IF(I102="","",I102-H102)</f>
        <v/>
      </c>
      <c r="K102" s="18">
        <f>IF($D102="","",IFERROR(VLOOKUP($D102,ARTICLES!$A$5:$S$2243,9,FALSE),0))</f>
        <v/>
      </c>
      <c r="L102" s="18">
        <f>IF(H102="","",IF(J102=0,"✓ CONFORME",IF(AND(K102&gt;0,ABS(J102)&lt;=H102*K102/100),"✓ DANS LA TOLERANCE","✕ HORS TOLERANCE")))</f>
        <v/>
      </c>
      <c r="M102" s="19" t="n"/>
      <c r="N102" s="19" t="n"/>
      <c r="O102" s="17" t="inlineStr">
        <is>
          <t>BROUILLON</t>
        </is>
      </c>
      <c r="P102" s="17" t="n"/>
      <c r="Q102" s="17" t="n"/>
      <c r="R102" s="17" t="n"/>
      <c r="S102" s="17" t="n"/>
      <c r="T102" s="17" t="n"/>
      <c r="U102" s="17" t="n"/>
      <c r="V102" s="17" t="n"/>
    </row>
    <row r="103">
      <c r="A103" s="17" t="n"/>
      <c r="B103" s="18">
        <f>IF($D103="","",TEXT(TODAY(),"dd/mm/yyyy"))</f>
        <v/>
      </c>
      <c r="C103" s="18">
        <f>IF($D103="","",TEXT(NOW(),"hh:mm"))</f>
        <v/>
      </c>
      <c r="D103" s="19" t="n"/>
      <c r="E103" s="18">
        <f>IF($D103="","",IFERROR(VLOOKUP($D103,ARTICLES!$A$5:$S$2243,3,FALSE),"reference inconnue"))</f>
        <v/>
      </c>
      <c r="F103" s="19" t="n"/>
      <c r="G103" s="19" t="n"/>
      <c r="H103" s="19" t="n"/>
      <c r="I103" s="19" t="n"/>
      <c r="J103" s="18">
        <f>IF(I103="","",I103-H103)</f>
        <v/>
      </c>
      <c r="K103" s="18">
        <f>IF($D103="","",IFERROR(VLOOKUP($D103,ARTICLES!$A$5:$S$2243,9,FALSE),0))</f>
        <v/>
      </c>
      <c r="L103" s="18">
        <f>IF(H103="","",IF(J103=0,"✓ CONFORME",IF(AND(K103&gt;0,ABS(J103)&lt;=H103*K103/100),"✓ DANS LA TOLERANCE","✕ HORS TOLERANCE")))</f>
        <v/>
      </c>
      <c r="M103" s="19" t="n"/>
      <c r="N103" s="19" t="n"/>
      <c r="O103" s="17" t="inlineStr">
        <is>
          <t>BROUILLON</t>
        </is>
      </c>
      <c r="P103" s="17" t="n"/>
      <c r="Q103" s="17" t="n"/>
      <c r="R103" s="17" t="n"/>
      <c r="S103" s="17" t="n"/>
      <c r="T103" s="17" t="n"/>
      <c r="U103" s="17" t="n"/>
      <c r="V103" s="17" t="n"/>
    </row>
    <row r="104">
      <c r="A104" s="17" t="n"/>
      <c r="B104" s="18">
        <f>IF($D104="","",TEXT(TODAY(),"dd/mm/yyyy"))</f>
        <v/>
      </c>
      <c r="C104" s="18">
        <f>IF($D104="","",TEXT(NOW(),"hh:mm"))</f>
        <v/>
      </c>
      <c r="D104" s="19" t="n"/>
      <c r="E104" s="18">
        <f>IF($D104="","",IFERROR(VLOOKUP($D104,ARTICLES!$A$5:$S$2243,3,FALSE),"reference inconnue"))</f>
        <v/>
      </c>
      <c r="F104" s="19" t="n"/>
      <c r="G104" s="19" t="n"/>
      <c r="H104" s="19" t="n"/>
      <c r="I104" s="19" t="n"/>
      <c r="J104" s="18">
        <f>IF(I104="","",I104-H104)</f>
        <v/>
      </c>
      <c r="K104" s="18">
        <f>IF($D104="","",IFERROR(VLOOKUP($D104,ARTICLES!$A$5:$S$2243,9,FALSE),0))</f>
        <v/>
      </c>
      <c r="L104" s="18">
        <f>IF(H104="","",IF(J104=0,"✓ CONFORME",IF(AND(K104&gt;0,ABS(J104)&lt;=H104*K104/100),"✓ DANS LA TOLERANCE","✕ HORS TOLERANCE")))</f>
        <v/>
      </c>
      <c r="M104" s="19" t="n"/>
      <c r="N104" s="19" t="n"/>
      <c r="O104" s="17" t="inlineStr">
        <is>
          <t>BROUILLON</t>
        </is>
      </c>
      <c r="P104" s="17" t="n"/>
      <c r="Q104" s="17" t="n"/>
      <c r="R104" s="17" t="n"/>
      <c r="S104" s="17" t="n"/>
      <c r="T104" s="17" t="n"/>
      <c r="U104" s="17" t="n"/>
      <c r="V104" s="17" t="n"/>
    </row>
    <row r="105">
      <c r="A105" s="17" t="n"/>
      <c r="B105" s="18">
        <f>IF($D105="","",TEXT(TODAY(),"dd/mm/yyyy"))</f>
        <v/>
      </c>
      <c r="C105" s="18">
        <f>IF($D105="","",TEXT(NOW(),"hh:mm"))</f>
        <v/>
      </c>
      <c r="D105" s="19" t="n"/>
      <c r="E105" s="18">
        <f>IF($D105="","",IFERROR(VLOOKUP($D105,ARTICLES!$A$5:$S$2243,3,FALSE),"reference inconnue"))</f>
        <v/>
      </c>
      <c r="F105" s="19" t="n"/>
      <c r="G105" s="19" t="n"/>
      <c r="H105" s="19" t="n"/>
      <c r="I105" s="19" t="n"/>
      <c r="J105" s="18">
        <f>IF(I105="","",I105-H105)</f>
        <v/>
      </c>
      <c r="K105" s="18">
        <f>IF($D105="","",IFERROR(VLOOKUP($D105,ARTICLES!$A$5:$S$2243,9,FALSE),0))</f>
        <v/>
      </c>
      <c r="L105" s="18">
        <f>IF(H105="","",IF(J105=0,"✓ CONFORME",IF(AND(K105&gt;0,ABS(J105)&lt;=H105*K105/100),"✓ DANS LA TOLERANCE","✕ HORS TOLERANCE")))</f>
        <v/>
      </c>
      <c r="M105" s="19" t="n"/>
      <c r="N105" s="19" t="n"/>
      <c r="O105" s="17" t="inlineStr">
        <is>
          <t>BROUILLON</t>
        </is>
      </c>
      <c r="P105" s="17" t="n"/>
      <c r="Q105" s="17" t="n"/>
      <c r="R105" s="17" t="n"/>
      <c r="S105" s="17" t="n"/>
      <c r="T105" s="17" t="n"/>
      <c r="U105" s="17" t="n"/>
      <c r="V105" s="17" t="n"/>
    </row>
    <row r="106">
      <c r="A106" s="17" t="n"/>
      <c r="B106" s="18">
        <f>IF($D106="","",TEXT(TODAY(),"dd/mm/yyyy"))</f>
        <v/>
      </c>
      <c r="C106" s="18">
        <f>IF($D106="","",TEXT(NOW(),"hh:mm"))</f>
        <v/>
      </c>
      <c r="D106" s="19" t="n"/>
      <c r="E106" s="18">
        <f>IF($D106="","",IFERROR(VLOOKUP($D106,ARTICLES!$A$5:$S$2243,3,FALSE),"reference inconnue"))</f>
        <v/>
      </c>
      <c r="F106" s="19" t="n"/>
      <c r="G106" s="19" t="n"/>
      <c r="H106" s="19" t="n"/>
      <c r="I106" s="19" t="n"/>
      <c r="J106" s="18">
        <f>IF(I106="","",I106-H106)</f>
        <v/>
      </c>
      <c r="K106" s="18">
        <f>IF($D106="","",IFERROR(VLOOKUP($D106,ARTICLES!$A$5:$S$2243,9,FALSE),0))</f>
        <v/>
      </c>
      <c r="L106" s="18">
        <f>IF(H106="","",IF(J106=0,"✓ CONFORME",IF(AND(K106&gt;0,ABS(J106)&lt;=H106*K106/100),"✓ DANS LA TOLERANCE","✕ HORS TOLERANCE")))</f>
        <v/>
      </c>
      <c r="M106" s="19" t="n"/>
      <c r="N106" s="19" t="n"/>
      <c r="O106" s="17" t="inlineStr">
        <is>
          <t>BROUILLON</t>
        </is>
      </c>
      <c r="P106" s="17" t="n"/>
      <c r="Q106" s="17" t="n"/>
      <c r="R106" s="17" t="n"/>
      <c r="S106" s="17" t="n"/>
      <c r="T106" s="17" t="n"/>
      <c r="U106" s="17" t="n"/>
      <c r="V106" s="17" t="n"/>
    </row>
    <row r="107">
      <c r="A107" s="17" t="n"/>
      <c r="B107" s="18">
        <f>IF($D107="","",TEXT(TODAY(),"dd/mm/yyyy"))</f>
        <v/>
      </c>
      <c r="C107" s="18">
        <f>IF($D107="","",TEXT(NOW(),"hh:mm"))</f>
        <v/>
      </c>
      <c r="D107" s="19" t="n"/>
      <c r="E107" s="18">
        <f>IF($D107="","",IFERROR(VLOOKUP($D107,ARTICLES!$A$5:$S$2243,3,FALSE),"reference inconnue"))</f>
        <v/>
      </c>
      <c r="F107" s="19" t="n"/>
      <c r="G107" s="19" t="n"/>
      <c r="H107" s="19" t="n"/>
      <c r="I107" s="19" t="n"/>
      <c r="J107" s="18">
        <f>IF(I107="","",I107-H107)</f>
        <v/>
      </c>
      <c r="K107" s="18">
        <f>IF($D107="","",IFERROR(VLOOKUP($D107,ARTICLES!$A$5:$S$2243,9,FALSE),0))</f>
        <v/>
      </c>
      <c r="L107" s="18">
        <f>IF(H107="","",IF(J107=0,"✓ CONFORME",IF(AND(K107&gt;0,ABS(J107)&lt;=H107*K107/100),"✓ DANS LA TOLERANCE","✕ HORS TOLERANCE")))</f>
        <v/>
      </c>
      <c r="M107" s="19" t="n"/>
      <c r="N107" s="19" t="n"/>
      <c r="O107" s="17" t="inlineStr">
        <is>
          <t>BROUILLON</t>
        </is>
      </c>
      <c r="P107" s="17" t="n"/>
      <c r="Q107" s="17" t="n"/>
      <c r="R107" s="17" t="n"/>
      <c r="S107" s="17" t="n"/>
      <c r="T107" s="17" t="n"/>
      <c r="U107" s="17" t="n"/>
      <c r="V107" s="17" t="n"/>
    </row>
    <row r="108">
      <c r="A108" s="17" t="n"/>
      <c r="B108" s="18">
        <f>IF($D108="","",TEXT(TODAY(),"dd/mm/yyyy"))</f>
        <v/>
      </c>
      <c r="C108" s="18">
        <f>IF($D108="","",TEXT(NOW(),"hh:mm"))</f>
        <v/>
      </c>
      <c r="D108" s="19" t="n"/>
      <c r="E108" s="18">
        <f>IF($D108="","",IFERROR(VLOOKUP($D108,ARTICLES!$A$5:$S$2243,3,FALSE),"reference inconnue"))</f>
        <v/>
      </c>
      <c r="F108" s="19" t="n"/>
      <c r="G108" s="19" t="n"/>
      <c r="H108" s="19" t="n"/>
      <c r="I108" s="19" t="n"/>
      <c r="J108" s="18">
        <f>IF(I108="","",I108-H108)</f>
        <v/>
      </c>
      <c r="K108" s="18">
        <f>IF($D108="","",IFERROR(VLOOKUP($D108,ARTICLES!$A$5:$S$2243,9,FALSE),0))</f>
        <v/>
      </c>
      <c r="L108" s="18">
        <f>IF(H108="","",IF(J108=0,"✓ CONFORME",IF(AND(K108&gt;0,ABS(J108)&lt;=H108*K108/100),"✓ DANS LA TOLERANCE","✕ HORS TOLERANCE")))</f>
        <v/>
      </c>
      <c r="M108" s="19" t="n"/>
      <c r="N108" s="19" t="n"/>
      <c r="O108" s="17" t="inlineStr">
        <is>
          <t>BROUILLON</t>
        </is>
      </c>
      <c r="P108" s="17" t="n"/>
      <c r="Q108" s="17" t="n"/>
      <c r="R108" s="17" t="n"/>
      <c r="S108" s="17" t="n"/>
      <c r="T108" s="17" t="n"/>
      <c r="U108" s="17" t="n"/>
      <c r="V108" s="17" t="n"/>
    </row>
    <row r="109">
      <c r="A109" s="17" t="n"/>
      <c r="B109" s="18">
        <f>IF($D109="","",TEXT(TODAY(),"dd/mm/yyyy"))</f>
        <v/>
      </c>
      <c r="C109" s="18">
        <f>IF($D109="","",TEXT(NOW(),"hh:mm"))</f>
        <v/>
      </c>
      <c r="D109" s="19" t="n"/>
      <c r="E109" s="18">
        <f>IF($D109="","",IFERROR(VLOOKUP($D109,ARTICLES!$A$5:$S$2243,3,FALSE),"reference inconnue"))</f>
        <v/>
      </c>
      <c r="F109" s="19" t="n"/>
      <c r="G109" s="19" t="n"/>
      <c r="H109" s="19" t="n"/>
      <c r="I109" s="19" t="n"/>
      <c r="J109" s="18">
        <f>IF(I109="","",I109-H109)</f>
        <v/>
      </c>
      <c r="K109" s="18">
        <f>IF($D109="","",IFERROR(VLOOKUP($D109,ARTICLES!$A$5:$S$2243,9,FALSE),0))</f>
        <v/>
      </c>
      <c r="L109" s="18">
        <f>IF(H109="","",IF(J109=0,"✓ CONFORME",IF(AND(K109&gt;0,ABS(J109)&lt;=H109*K109/100),"✓ DANS LA TOLERANCE","✕ HORS TOLERANCE")))</f>
        <v/>
      </c>
      <c r="M109" s="19" t="n"/>
      <c r="N109" s="19" t="n"/>
      <c r="O109" s="17" t="inlineStr">
        <is>
          <t>BROUILLON</t>
        </is>
      </c>
      <c r="P109" s="17" t="n"/>
      <c r="Q109" s="17" t="n"/>
      <c r="R109" s="17" t="n"/>
      <c r="S109" s="17" t="n"/>
      <c r="T109" s="17" t="n"/>
      <c r="U109" s="17" t="n"/>
      <c r="V109" s="17" t="n"/>
    </row>
    <row r="110">
      <c r="A110" s="17" t="n"/>
      <c r="B110" s="18">
        <f>IF($D110="","",TEXT(TODAY(),"dd/mm/yyyy"))</f>
        <v/>
      </c>
      <c r="C110" s="18">
        <f>IF($D110="","",TEXT(NOW(),"hh:mm"))</f>
        <v/>
      </c>
      <c r="D110" s="19" t="n"/>
      <c r="E110" s="18">
        <f>IF($D110="","",IFERROR(VLOOKUP($D110,ARTICLES!$A$5:$S$2243,3,FALSE),"reference inconnue"))</f>
        <v/>
      </c>
      <c r="F110" s="19" t="n"/>
      <c r="G110" s="19" t="n"/>
      <c r="H110" s="19" t="n"/>
      <c r="I110" s="19" t="n"/>
      <c r="J110" s="18">
        <f>IF(I110="","",I110-H110)</f>
        <v/>
      </c>
      <c r="K110" s="18">
        <f>IF($D110="","",IFERROR(VLOOKUP($D110,ARTICLES!$A$5:$S$2243,9,FALSE),0))</f>
        <v/>
      </c>
      <c r="L110" s="18">
        <f>IF(H110="","",IF(J110=0,"✓ CONFORME",IF(AND(K110&gt;0,ABS(J110)&lt;=H110*K110/100),"✓ DANS LA TOLERANCE","✕ HORS TOLERANCE")))</f>
        <v/>
      </c>
      <c r="M110" s="19" t="n"/>
      <c r="N110" s="19" t="n"/>
      <c r="O110" s="17" t="inlineStr">
        <is>
          <t>BROUILLON</t>
        </is>
      </c>
      <c r="P110" s="17" t="n"/>
      <c r="Q110" s="17" t="n"/>
      <c r="R110" s="17" t="n"/>
      <c r="S110" s="17" t="n"/>
      <c r="T110" s="17" t="n"/>
      <c r="U110" s="17" t="n"/>
      <c r="V110" s="17" t="n"/>
    </row>
    <row r="111">
      <c r="A111" s="17" t="n"/>
      <c r="B111" s="18">
        <f>IF($D111="","",TEXT(TODAY(),"dd/mm/yyyy"))</f>
        <v/>
      </c>
      <c r="C111" s="18">
        <f>IF($D111="","",TEXT(NOW(),"hh:mm"))</f>
        <v/>
      </c>
      <c r="D111" s="19" t="n"/>
      <c r="E111" s="18">
        <f>IF($D111="","",IFERROR(VLOOKUP($D111,ARTICLES!$A$5:$S$2243,3,FALSE),"reference inconnue"))</f>
        <v/>
      </c>
      <c r="F111" s="19" t="n"/>
      <c r="G111" s="19" t="n"/>
      <c r="H111" s="19" t="n"/>
      <c r="I111" s="19" t="n"/>
      <c r="J111" s="18">
        <f>IF(I111="","",I111-H111)</f>
        <v/>
      </c>
      <c r="K111" s="18">
        <f>IF($D111="","",IFERROR(VLOOKUP($D111,ARTICLES!$A$5:$S$2243,9,FALSE),0))</f>
        <v/>
      </c>
      <c r="L111" s="18">
        <f>IF(H111="","",IF(J111=0,"✓ CONFORME",IF(AND(K111&gt;0,ABS(J111)&lt;=H111*K111/100),"✓ DANS LA TOLERANCE","✕ HORS TOLERANCE")))</f>
        <v/>
      </c>
      <c r="M111" s="19" t="n"/>
      <c r="N111" s="19" t="n"/>
      <c r="O111" s="17" t="inlineStr">
        <is>
          <t>BROUILLON</t>
        </is>
      </c>
      <c r="P111" s="17" t="n"/>
      <c r="Q111" s="17" t="n"/>
      <c r="R111" s="17" t="n"/>
      <c r="S111" s="17" t="n"/>
      <c r="T111" s="17" t="n"/>
      <c r="U111" s="17" t="n"/>
      <c r="V111" s="17" t="n"/>
    </row>
    <row r="112">
      <c r="A112" s="17" t="n"/>
      <c r="B112" s="18">
        <f>IF($D112="","",TEXT(TODAY(),"dd/mm/yyyy"))</f>
        <v/>
      </c>
      <c r="C112" s="18">
        <f>IF($D112="","",TEXT(NOW(),"hh:mm"))</f>
        <v/>
      </c>
      <c r="D112" s="19" t="n"/>
      <c r="E112" s="18">
        <f>IF($D112="","",IFERROR(VLOOKUP($D112,ARTICLES!$A$5:$S$2243,3,FALSE),"reference inconnue"))</f>
        <v/>
      </c>
      <c r="F112" s="19" t="n"/>
      <c r="G112" s="19" t="n"/>
      <c r="H112" s="19" t="n"/>
      <c r="I112" s="19" t="n"/>
      <c r="J112" s="18">
        <f>IF(I112="","",I112-H112)</f>
        <v/>
      </c>
      <c r="K112" s="18">
        <f>IF($D112="","",IFERROR(VLOOKUP($D112,ARTICLES!$A$5:$S$2243,9,FALSE),0))</f>
        <v/>
      </c>
      <c r="L112" s="18">
        <f>IF(H112="","",IF(J112=0,"✓ CONFORME",IF(AND(K112&gt;0,ABS(J112)&lt;=H112*K112/100),"✓ DANS LA TOLERANCE","✕ HORS TOLERANCE")))</f>
        <v/>
      </c>
      <c r="M112" s="19" t="n"/>
      <c r="N112" s="19" t="n"/>
      <c r="O112" s="17" t="inlineStr">
        <is>
          <t>BROUILLON</t>
        </is>
      </c>
      <c r="P112" s="17" t="n"/>
      <c r="Q112" s="17" t="n"/>
      <c r="R112" s="17" t="n"/>
      <c r="S112" s="17" t="n"/>
      <c r="T112" s="17" t="n"/>
      <c r="U112" s="17" t="n"/>
      <c r="V112" s="17" t="n"/>
    </row>
    <row r="113">
      <c r="A113" s="17" t="n"/>
      <c r="B113" s="18">
        <f>IF($D113="","",TEXT(TODAY(),"dd/mm/yyyy"))</f>
        <v/>
      </c>
      <c r="C113" s="18">
        <f>IF($D113="","",TEXT(NOW(),"hh:mm"))</f>
        <v/>
      </c>
      <c r="D113" s="19" t="n"/>
      <c r="E113" s="18">
        <f>IF($D113="","",IFERROR(VLOOKUP($D113,ARTICLES!$A$5:$S$2243,3,FALSE),"reference inconnue"))</f>
        <v/>
      </c>
      <c r="F113" s="19" t="n"/>
      <c r="G113" s="19" t="n"/>
      <c r="H113" s="19" t="n"/>
      <c r="I113" s="19" t="n"/>
      <c r="J113" s="18">
        <f>IF(I113="","",I113-H113)</f>
        <v/>
      </c>
      <c r="K113" s="18">
        <f>IF($D113="","",IFERROR(VLOOKUP($D113,ARTICLES!$A$5:$S$2243,9,FALSE),0))</f>
        <v/>
      </c>
      <c r="L113" s="18">
        <f>IF(H113="","",IF(J113=0,"✓ CONFORME",IF(AND(K113&gt;0,ABS(J113)&lt;=H113*K113/100),"✓ DANS LA TOLERANCE","✕ HORS TOLERANCE")))</f>
        <v/>
      </c>
      <c r="M113" s="19" t="n"/>
      <c r="N113" s="19" t="n"/>
      <c r="O113" s="17" t="inlineStr">
        <is>
          <t>BROUILLON</t>
        </is>
      </c>
      <c r="P113" s="17" t="n"/>
      <c r="Q113" s="17" t="n"/>
      <c r="R113" s="17" t="n"/>
      <c r="S113" s="17" t="n"/>
      <c r="T113" s="17" t="n"/>
      <c r="U113" s="17" t="n"/>
      <c r="V113" s="17" t="n"/>
    </row>
    <row r="114">
      <c r="A114" s="17" t="n"/>
      <c r="B114" s="18">
        <f>IF($D114="","",TEXT(TODAY(),"dd/mm/yyyy"))</f>
        <v/>
      </c>
      <c r="C114" s="18">
        <f>IF($D114="","",TEXT(NOW(),"hh:mm"))</f>
        <v/>
      </c>
      <c r="D114" s="19" t="n"/>
      <c r="E114" s="18">
        <f>IF($D114="","",IFERROR(VLOOKUP($D114,ARTICLES!$A$5:$S$2243,3,FALSE),"reference inconnue"))</f>
        <v/>
      </c>
      <c r="F114" s="19" t="n"/>
      <c r="G114" s="19" t="n"/>
      <c r="H114" s="19" t="n"/>
      <c r="I114" s="19" t="n"/>
      <c r="J114" s="18">
        <f>IF(I114="","",I114-H114)</f>
        <v/>
      </c>
      <c r="K114" s="18">
        <f>IF($D114="","",IFERROR(VLOOKUP($D114,ARTICLES!$A$5:$S$2243,9,FALSE),0))</f>
        <v/>
      </c>
      <c r="L114" s="18">
        <f>IF(H114="","",IF(J114=0,"✓ CONFORME",IF(AND(K114&gt;0,ABS(J114)&lt;=H114*K114/100),"✓ DANS LA TOLERANCE","✕ HORS TOLERANCE")))</f>
        <v/>
      </c>
      <c r="M114" s="19" t="n"/>
      <c r="N114" s="19" t="n"/>
      <c r="O114" s="17" t="inlineStr">
        <is>
          <t>BROUILLON</t>
        </is>
      </c>
      <c r="P114" s="17" t="n"/>
      <c r="Q114" s="17" t="n"/>
      <c r="R114" s="17" t="n"/>
      <c r="S114" s="17" t="n"/>
      <c r="T114" s="17" t="n"/>
      <c r="U114" s="17" t="n"/>
      <c r="V114" s="17" t="n"/>
    </row>
    <row r="115">
      <c r="A115" s="17" t="n"/>
      <c r="B115" s="18">
        <f>IF($D115="","",TEXT(TODAY(),"dd/mm/yyyy"))</f>
        <v/>
      </c>
      <c r="C115" s="18">
        <f>IF($D115="","",TEXT(NOW(),"hh:mm"))</f>
        <v/>
      </c>
      <c r="D115" s="19" t="n"/>
      <c r="E115" s="18">
        <f>IF($D115="","",IFERROR(VLOOKUP($D115,ARTICLES!$A$5:$S$2243,3,FALSE),"reference inconnue"))</f>
        <v/>
      </c>
      <c r="F115" s="19" t="n"/>
      <c r="G115" s="19" t="n"/>
      <c r="H115" s="19" t="n"/>
      <c r="I115" s="19" t="n"/>
      <c r="J115" s="18">
        <f>IF(I115="","",I115-H115)</f>
        <v/>
      </c>
      <c r="K115" s="18">
        <f>IF($D115="","",IFERROR(VLOOKUP($D115,ARTICLES!$A$5:$S$2243,9,FALSE),0))</f>
        <v/>
      </c>
      <c r="L115" s="18">
        <f>IF(H115="","",IF(J115=0,"✓ CONFORME",IF(AND(K115&gt;0,ABS(J115)&lt;=H115*K115/100),"✓ DANS LA TOLERANCE","✕ HORS TOLERANCE")))</f>
        <v/>
      </c>
      <c r="M115" s="19" t="n"/>
      <c r="N115" s="19" t="n"/>
      <c r="O115" s="17" t="inlineStr">
        <is>
          <t>BROUILLON</t>
        </is>
      </c>
      <c r="P115" s="17" t="n"/>
      <c r="Q115" s="17" t="n"/>
      <c r="R115" s="17" t="n"/>
      <c r="S115" s="17" t="n"/>
      <c r="T115" s="17" t="n"/>
      <c r="U115" s="17" t="n"/>
      <c r="V115" s="17" t="n"/>
    </row>
    <row r="116">
      <c r="A116" s="17" t="n"/>
      <c r="B116" s="18">
        <f>IF($D116="","",TEXT(TODAY(),"dd/mm/yyyy"))</f>
        <v/>
      </c>
      <c r="C116" s="18">
        <f>IF($D116="","",TEXT(NOW(),"hh:mm"))</f>
        <v/>
      </c>
      <c r="D116" s="19" t="n"/>
      <c r="E116" s="18">
        <f>IF($D116="","",IFERROR(VLOOKUP($D116,ARTICLES!$A$5:$S$2243,3,FALSE),"reference inconnue"))</f>
        <v/>
      </c>
      <c r="F116" s="19" t="n"/>
      <c r="G116" s="19" t="n"/>
      <c r="H116" s="19" t="n"/>
      <c r="I116" s="19" t="n"/>
      <c r="J116" s="18">
        <f>IF(I116="","",I116-H116)</f>
        <v/>
      </c>
      <c r="K116" s="18">
        <f>IF($D116="","",IFERROR(VLOOKUP($D116,ARTICLES!$A$5:$S$2243,9,FALSE),0))</f>
        <v/>
      </c>
      <c r="L116" s="18">
        <f>IF(H116="","",IF(J116=0,"✓ CONFORME",IF(AND(K116&gt;0,ABS(J116)&lt;=H116*K116/100),"✓ DANS LA TOLERANCE","✕ HORS TOLERANCE")))</f>
        <v/>
      </c>
      <c r="M116" s="19" t="n"/>
      <c r="N116" s="19" t="n"/>
      <c r="O116" s="17" t="inlineStr">
        <is>
          <t>BROUILLON</t>
        </is>
      </c>
      <c r="P116" s="17" t="n"/>
      <c r="Q116" s="17" t="n"/>
      <c r="R116" s="17" t="n"/>
      <c r="S116" s="17" t="n"/>
      <c r="T116" s="17" t="n"/>
      <c r="U116" s="17" t="n"/>
      <c r="V116" s="17" t="n"/>
    </row>
    <row r="117">
      <c r="A117" s="17" t="n"/>
      <c r="B117" s="18">
        <f>IF($D117="","",TEXT(TODAY(),"dd/mm/yyyy"))</f>
        <v/>
      </c>
      <c r="C117" s="18">
        <f>IF($D117="","",TEXT(NOW(),"hh:mm"))</f>
        <v/>
      </c>
      <c r="D117" s="19" t="n"/>
      <c r="E117" s="18">
        <f>IF($D117="","",IFERROR(VLOOKUP($D117,ARTICLES!$A$5:$S$2243,3,FALSE),"reference inconnue"))</f>
        <v/>
      </c>
      <c r="F117" s="19" t="n"/>
      <c r="G117" s="19" t="n"/>
      <c r="H117" s="19" t="n"/>
      <c r="I117" s="19" t="n"/>
      <c r="J117" s="18">
        <f>IF(I117="","",I117-H117)</f>
        <v/>
      </c>
      <c r="K117" s="18">
        <f>IF($D117="","",IFERROR(VLOOKUP($D117,ARTICLES!$A$5:$S$2243,9,FALSE),0))</f>
        <v/>
      </c>
      <c r="L117" s="18">
        <f>IF(H117="","",IF(J117=0,"✓ CONFORME",IF(AND(K117&gt;0,ABS(J117)&lt;=H117*K117/100),"✓ DANS LA TOLERANCE","✕ HORS TOLERANCE")))</f>
        <v/>
      </c>
      <c r="M117" s="19" t="n"/>
      <c r="N117" s="19" t="n"/>
      <c r="O117" s="17" t="inlineStr">
        <is>
          <t>BROUILLON</t>
        </is>
      </c>
      <c r="P117" s="17" t="n"/>
      <c r="Q117" s="17" t="n"/>
      <c r="R117" s="17" t="n"/>
      <c r="S117" s="17" t="n"/>
      <c r="T117" s="17" t="n"/>
      <c r="U117" s="17" t="n"/>
      <c r="V117" s="17" t="n"/>
    </row>
    <row r="118">
      <c r="A118" s="17" t="n"/>
      <c r="B118" s="18">
        <f>IF($D118="","",TEXT(TODAY(),"dd/mm/yyyy"))</f>
        <v/>
      </c>
      <c r="C118" s="18">
        <f>IF($D118="","",TEXT(NOW(),"hh:mm"))</f>
        <v/>
      </c>
      <c r="D118" s="19" t="n"/>
      <c r="E118" s="18">
        <f>IF($D118="","",IFERROR(VLOOKUP($D118,ARTICLES!$A$5:$S$2243,3,FALSE),"reference inconnue"))</f>
        <v/>
      </c>
      <c r="F118" s="19" t="n"/>
      <c r="G118" s="19" t="n"/>
      <c r="H118" s="19" t="n"/>
      <c r="I118" s="19" t="n"/>
      <c r="J118" s="18">
        <f>IF(I118="","",I118-H118)</f>
        <v/>
      </c>
      <c r="K118" s="18">
        <f>IF($D118="","",IFERROR(VLOOKUP($D118,ARTICLES!$A$5:$S$2243,9,FALSE),0))</f>
        <v/>
      </c>
      <c r="L118" s="18">
        <f>IF(H118="","",IF(J118=0,"✓ CONFORME",IF(AND(K118&gt;0,ABS(J118)&lt;=H118*K118/100),"✓ DANS LA TOLERANCE","✕ HORS TOLERANCE")))</f>
        <v/>
      </c>
      <c r="M118" s="19" t="n"/>
      <c r="N118" s="19" t="n"/>
      <c r="O118" s="17" t="inlineStr">
        <is>
          <t>BROUILLON</t>
        </is>
      </c>
      <c r="P118" s="17" t="n"/>
      <c r="Q118" s="17" t="n"/>
      <c r="R118" s="17" t="n"/>
      <c r="S118" s="17" t="n"/>
      <c r="T118" s="17" t="n"/>
      <c r="U118" s="17" t="n"/>
      <c r="V118" s="17" t="n"/>
    </row>
    <row r="119">
      <c r="A119" s="17" t="n"/>
      <c r="B119" s="18">
        <f>IF($D119="","",TEXT(TODAY(),"dd/mm/yyyy"))</f>
        <v/>
      </c>
      <c r="C119" s="18">
        <f>IF($D119="","",TEXT(NOW(),"hh:mm"))</f>
        <v/>
      </c>
      <c r="D119" s="19" t="n"/>
      <c r="E119" s="18">
        <f>IF($D119="","",IFERROR(VLOOKUP($D119,ARTICLES!$A$5:$S$2243,3,FALSE),"reference inconnue"))</f>
        <v/>
      </c>
      <c r="F119" s="19" t="n"/>
      <c r="G119" s="19" t="n"/>
      <c r="H119" s="19" t="n"/>
      <c r="I119" s="19" t="n"/>
      <c r="J119" s="18">
        <f>IF(I119="","",I119-H119)</f>
        <v/>
      </c>
      <c r="K119" s="18">
        <f>IF($D119="","",IFERROR(VLOOKUP($D119,ARTICLES!$A$5:$S$2243,9,FALSE),0))</f>
        <v/>
      </c>
      <c r="L119" s="18">
        <f>IF(H119="","",IF(J119=0,"✓ CONFORME",IF(AND(K119&gt;0,ABS(J119)&lt;=H119*K119/100),"✓ DANS LA TOLERANCE","✕ HORS TOLERANCE")))</f>
        <v/>
      </c>
      <c r="M119" s="19" t="n"/>
      <c r="N119" s="19" t="n"/>
      <c r="O119" s="17" t="inlineStr">
        <is>
          <t>BROUILLON</t>
        </is>
      </c>
      <c r="P119" s="17" t="n"/>
      <c r="Q119" s="17" t="n"/>
      <c r="R119" s="17" t="n"/>
      <c r="S119" s="17" t="n"/>
      <c r="T119" s="17" t="n"/>
      <c r="U119" s="17" t="n"/>
      <c r="V119" s="17" t="n"/>
    </row>
    <row r="120">
      <c r="A120" s="17" t="n"/>
      <c r="B120" s="18">
        <f>IF($D120="","",TEXT(TODAY(),"dd/mm/yyyy"))</f>
        <v/>
      </c>
      <c r="C120" s="18">
        <f>IF($D120="","",TEXT(NOW(),"hh:mm"))</f>
        <v/>
      </c>
      <c r="D120" s="19" t="n"/>
      <c r="E120" s="18">
        <f>IF($D120="","",IFERROR(VLOOKUP($D120,ARTICLES!$A$5:$S$2243,3,FALSE),"reference inconnue"))</f>
        <v/>
      </c>
      <c r="F120" s="19" t="n"/>
      <c r="G120" s="19" t="n"/>
      <c r="H120" s="19" t="n"/>
      <c r="I120" s="19" t="n"/>
      <c r="J120" s="18">
        <f>IF(I120="","",I120-H120)</f>
        <v/>
      </c>
      <c r="K120" s="18">
        <f>IF($D120="","",IFERROR(VLOOKUP($D120,ARTICLES!$A$5:$S$2243,9,FALSE),0))</f>
        <v/>
      </c>
      <c r="L120" s="18">
        <f>IF(H120="","",IF(J120=0,"✓ CONFORME",IF(AND(K120&gt;0,ABS(J120)&lt;=H120*K120/100),"✓ DANS LA TOLERANCE","✕ HORS TOLERANCE")))</f>
        <v/>
      </c>
      <c r="M120" s="19" t="n"/>
      <c r="N120" s="19" t="n"/>
      <c r="O120" s="17" t="inlineStr">
        <is>
          <t>BROUILLON</t>
        </is>
      </c>
      <c r="P120" s="17" t="n"/>
      <c r="Q120" s="17" t="n"/>
      <c r="R120" s="17" t="n"/>
      <c r="S120" s="17" t="n"/>
      <c r="T120" s="17" t="n"/>
      <c r="U120" s="17" t="n"/>
      <c r="V120" s="17" t="n"/>
    </row>
    <row r="121">
      <c r="A121" s="17" t="n"/>
      <c r="B121" s="18">
        <f>IF($D121="","",TEXT(TODAY(),"dd/mm/yyyy"))</f>
        <v/>
      </c>
      <c r="C121" s="18">
        <f>IF($D121="","",TEXT(NOW(),"hh:mm"))</f>
        <v/>
      </c>
      <c r="D121" s="19" t="n"/>
      <c r="E121" s="18">
        <f>IF($D121="","",IFERROR(VLOOKUP($D121,ARTICLES!$A$5:$S$2243,3,FALSE),"reference inconnue"))</f>
        <v/>
      </c>
      <c r="F121" s="19" t="n"/>
      <c r="G121" s="19" t="n"/>
      <c r="H121" s="19" t="n"/>
      <c r="I121" s="19" t="n"/>
      <c r="J121" s="18">
        <f>IF(I121="","",I121-H121)</f>
        <v/>
      </c>
      <c r="K121" s="18">
        <f>IF($D121="","",IFERROR(VLOOKUP($D121,ARTICLES!$A$5:$S$2243,9,FALSE),0))</f>
        <v/>
      </c>
      <c r="L121" s="18">
        <f>IF(H121="","",IF(J121=0,"✓ CONFORME",IF(AND(K121&gt;0,ABS(J121)&lt;=H121*K121/100),"✓ DANS LA TOLERANCE","✕ HORS TOLERANCE")))</f>
        <v/>
      </c>
      <c r="M121" s="19" t="n"/>
      <c r="N121" s="19" t="n"/>
      <c r="O121" s="17" t="inlineStr">
        <is>
          <t>BROUILLON</t>
        </is>
      </c>
      <c r="P121" s="17" t="n"/>
      <c r="Q121" s="17" t="n"/>
      <c r="R121" s="17" t="n"/>
      <c r="S121" s="17" t="n"/>
      <c r="T121" s="17" t="n"/>
      <c r="U121" s="17" t="n"/>
      <c r="V121" s="17" t="n"/>
    </row>
    <row r="122">
      <c r="A122" s="17" t="n"/>
      <c r="B122" s="18">
        <f>IF($D122="","",TEXT(TODAY(),"dd/mm/yyyy"))</f>
        <v/>
      </c>
      <c r="C122" s="18">
        <f>IF($D122="","",TEXT(NOW(),"hh:mm"))</f>
        <v/>
      </c>
      <c r="D122" s="19" t="n"/>
      <c r="E122" s="18">
        <f>IF($D122="","",IFERROR(VLOOKUP($D122,ARTICLES!$A$5:$S$2243,3,FALSE),"reference inconnue"))</f>
        <v/>
      </c>
      <c r="F122" s="19" t="n"/>
      <c r="G122" s="19" t="n"/>
      <c r="H122" s="19" t="n"/>
      <c r="I122" s="19" t="n"/>
      <c r="J122" s="18">
        <f>IF(I122="","",I122-H122)</f>
        <v/>
      </c>
      <c r="K122" s="18">
        <f>IF($D122="","",IFERROR(VLOOKUP($D122,ARTICLES!$A$5:$S$2243,9,FALSE),0))</f>
        <v/>
      </c>
      <c r="L122" s="18">
        <f>IF(H122="","",IF(J122=0,"✓ CONFORME",IF(AND(K122&gt;0,ABS(J122)&lt;=H122*K122/100),"✓ DANS LA TOLERANCE","✕ HORS TOLERANCE")))</f>
        <v/>
      </c>
      <c r="M122" s="19" t="n"/>
      <c r="N122" s="19" t="n"/>
      <c r="O122" s="17" t="inlineStr">
        <is>
          <t>BROUILLON</t>
        </is>
      </c>
      <c r="P122" s="17" t="n"/>
      <c r="Q122" s="17" t="n"/>
      <c r="R122" s="17" t="n"/>
      <c r="S122" s="17" t="n"/>
      <c r="T122" s="17" t="n"/>
      <c r="U122" s="17" t="n"/>
      <c r="V122" s="17" t="n"/>
    </row>
    <row r="123">
      <c r="A123" s="17" t="n"/>
      <c r="B123" s="18">
        <f>IF($D123="","",TEXT(TODAY(),"dd/mm/yyyy"))</f>
        <v/>
      </c>
      <c r="C123" s="18">
        <f>IF($D123="","",TEXT(NOW(),"hh:mm"))</f>
        <v/>
      </c>
      <c r="D123" s="19" t="n"/>
      <c r="E123" s="18">
        <f>IF($D123="","",IFERROR(VLOOKUP($D123,ARTICLES!$A$5:$S$2243,3,FALSE),"reference inconnue"))</f>
        <v/>
      </c>
      <c r="F123" s="19" t="n"/>
      <c r="G123" s="19" t="n"/>
      <c r="H123" s="19" t="n"/>
      <c r="I123" s="19" t="n"/>
      <c r="J123" s="18">
        <f>IF(I123="","",I123-H123)</f>
        <v/>
      </c>
      <c r="K123" s="18">
        <f>IF($D123="","",IFERROR(VLOOKUP($D123,ARTICLES!$A$5:$S$2243,9,FALSE),0))</f>
        <v/>
      </c>
      <c r="L123" s="18">
        <f>IF(H123="","",IF(J123=0,"✓ CONFORME",IF(AND(K123&gt;0,ABS(J123)&lt;=H123*K123/100),"✓ DANS LA TOLERANCE","✕ HORS TOLERANCE")))</f>
        <v/>
      </c>
      <c r="M123" s="19" t="n"/>
      <c r="N123" s="19" t="n"/>
      <c r="O123" s="17" t="inlineStr">
        <is>
          <t>BROUILLON</t>
        </is>
      </c>
      <c r="P123" s="17" t="n"/>
      <c r="Q123" s="17" t="n"/>
      <c r="R123" s="17" t="n"/>
      <c r="S123" s="17" t="n"/>
      <c r="T123" s="17" t="n"/>
      <c r="U123" s="17" t="n"/>
      <c r="V123" s="17" t="n"/>
    </row>
    <row r="124">
      <c r="A124" s="17" t="n"/>
      <c r="B124" s="18">
        <f>IF($D124="","",TEXT(TODAY(),"dd/mm/yyyy"))</f>
        <v/>
      </c>
      <c r="C124" s="18">
        <f>IF($D124="","",TEXT(NOW(),"hh:mm"))</f>
        <v/>
      </c>
      <c r="D124" s="19" t="n"/>
      <c r="E124" s="18">
        <f>IF($D124="","",IFERROR(VLOOKUP($D124,ARTICLES!$A$5:$S$2243,3,FALSE),"reference inconnue"))</f>
        <v/>
      </c>
      <c r="F124" s="19" t="n"/>
      <c r="G124" s="19" t="n"/>
      <c r="H124" s="19" t="n"/>
      <c r="I124" s="19" t="n"/>
      <c r="J124" s="18">
        <f>IF(I124="","",I124-H124)</f>
        <v/>
      </c>
      <c r="K124" s="18">
        <f>IF($D124="","",IFERROR(VLOOKUP($D124,ARTICLES!$A$5:$S$2243,9,FALSE),0))</f>
        <v/>
      </c>
      <c r="L124" s="18">
        <f>IF(H124="","",IF(J124=0,"✓ CONFORME",IF(AND(K124&gt;0,ABS(J124)&lt;=H124*K124/100),"✓ DANS LA TOLERANCE","✕ HORS TOLERANCE")))</f>
        <v/>
      </c>
      <c r="M124" s="19" t="n"/>
      <c r="N124" s="19" t="n"/>
      <c r="O124" s="17" t="inlineStr">
        <is>
          <t>BROUILLON</t>
        </is>
      </c>
      <c r="P124" s="17" t="n"/>
      <c r="Q124" s="17" t="n"/>
      <c r="R124" s="17" t="n"/>
      <c r="S124" s="17" t="n"/>
      <c r="T124" s="17" t="n"/>
      <c r="U124" s="17" t="n"/>
      <c r="V124" s="17" t="n"/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3">
    <mergeCell ref="A2:V2"/>
    <mergeCell ref="A1:V1"/>
    <mergeCell ref="A3:V3"/>
  </mergeCells>
  <conditionalFormatting sqref="O5:O124">
    <cfRule type="cellIs" priority="1" operator="equal" dxfId="3">
      <formula>"BROUILLON"</formula>
    </cfRule>
    <cfRule type="cellIs" priority="2" operator="equal" dxfId="1">
      <formula>"EN ATTENTE DE VALIDATION"</formula>
    </cfRule>
    <cfRule type="cellIs" priority="3" operator="equal" dxfId="0">
      <formula>"VALIDE"</formula>
    </cfRule>
    <cfRule type="cellIs" priority="4" operator="equal" dxfId="2">
      <formula>"REJETE"</formula>
    </cfRule>
  </conditionalFormatting>
  <dataValidations count="8">
    <dataValidation sqref="O5:O124" showDropDown="0" showInputMessage="0" showErrorMessage="0" allowBlank="1" type="list">
      <formula1>"BROUILLON,EN ATTENTE DE VALIDATION,VALIDE,REJETE"</formula1>
    </dataValidation>
    <dataValidation sqref="D5:D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e code de la piece (WHAP-...). La designation s'affiche toute seule a cote." type="list">
      <formula1>ARTICLES!$A$5:$A$2243</formula1>
    </dataValidation>
    <dataValidation sqref="F5:F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e fournisseur qui a livre." type="list">
      <formula1>LISTES!$B$2:$B$11</formula1>
    </dataValidation>
    <dataValidation sqref="N5:N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votre matricule." type="list">
      <formula1>LISTES!$G$2:$G$25</formula1>
    </dataValidation>
    <dataValidation sqref="G5:G124" showDropDown="0" showInputMessage="1" showErrorMessage="0" allowBlank="1" promptTitle="A saisir" prompt="Numero du bon de livraison papier du fournisseur."/>
    <dataValidation sqref="H5:H124" showDropDown="0" showInputMessage="1" showErrorMessage="0" allowBlank="1" promptTitle="A saisir" prompt="Quantite annoncee sur le bon de livraison."/>
    <dataValidation sqref="I5:I124" showDropDown="0" showInputMessage="1" showErrorMessage="0" allowBlank="1" promptTitle="A saisir" prompt="Quantite reellement comptee. L'ecart se calcule tout seul."/>
    <dataValidation sqref="M5:M124" showDropDown="0" showInputMessage="1" showErrorMessage="0" allowBlank="1" promptTitle="A saisir" prompt="Facultatif."/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V124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4" customWidth="1" min="1" max="1"/>
    <col width="12" customWidth="1" min="2" max="2"/>
    <col hidden="1" width="10" customWidth="1" min="3" max="3"/>
    <col width="16" customWidth="1" min="4" max="4"/>
    <col width="16" customWidth="1" min="5" max="5"/>
    <col width="30" customWidth="1" min="6" max="6"/>
    <col width="14" customWidth="1" min="7" max="7"/>
    <col hidden="1" width="20" customWidth="1" min="8" max="8"/>
    <col width="18" customWidth="1" min="9" max="9"/>
    <col width="18" customWidth="1" min="10" max="10"/>
    <col width="22" customWidth="1" min="11" max="11"/>
    <col width="16" customWidth="1" min="12" max="12"/>
    <col width="28" customWidth="1" min="13" max="13"/>
    <col width="20" customWidth="1" min="14" max="14"/>
    <col width="24" customWidth="1" min="15" max="15"/>
    <col width="20" customWidth="1" min="16" max="16"/>
    <col width="18" customWidth="1" min="17" max="17"/>
    <col width="30" customWidth="1" min="18" max="18"/>
    <col width="14" customWidth="1" min="19" max="19"/>
    <col hidden="1" outlineLevel="1" width="18" customWidth="1" min="20" max="22"/>
  </cols>
  <sheetData>
    <row r="1" ht="22" customHeight="1">
      <c r="A1" s="1" t="inlineStr">
        <is>
          <t>INSPECTION</t>
        </is>
      </c>
    </row>
    <row r="2">
      <c r="A2" s="2" t="inlineStr">
        <is>
          <t>Controle par echantillonnage. Une inspection ne modifie jamais le stock.</t>
        </is>
      </c>
    </row>
    <row r="3" ht="15" customHeight="1">
      <c r="A3" s="13" t="inlineStr">
        <is>
          <t>SLCC - aucune synchronisation depuis l'ouverture du fichier</t>
        </is>
      </c>
    </row>
    <row r="4" ht="30" customHeight="1">
      <c r="A4" s="14" t="inlineStr">
        <is>
          <t>ID_INSPECTION</t>
        </is>
      </c>
      <c r="B4" s="15" t="inlineStr">
        <is>
          <t>DATE</t>
        </is>
      </c>
      <c r="C4" s="14" t="inlineStr">
        <is>
          <t>HEURE</t>
        </is>
      </c>
      <c r="D4" s="6" t="inlineStr">
        <is>
          <t>ID_LOT</t>
        </is>
      </c>
      <c r="E4" s="6" t="inlineStr">
        <is>
          <t>REFERENCE_PIECE</t>
        </is>
      </c>
      <c r="F4" s="14" t="inlineStr">
        <is>
          <t>DESIGNATION</t>
        </is>
      </c>
      <c r="G4" s="6" t="inlineStr">
        <is>
          <t>QUANTITE_LOT</t>
        </is>
      </c>
      <c r="H4" s="14" t="inlineStr">
        <is>
          <t>TAUX_ECHANTILLONNAGE</t>
        </is>
      </c>
      <c r="I4" s="6" t="inlineStr">
        <is>
          <t>TAILLE_ECHANTILLON</t>
        </is>
      </c>
      <c r="J4" s="6" t="inlineStr">
        <is>
          <t>QUANTITE_CONFORME</t>
        </is>
      </c>
      <c r="K4" s="6" t="inlineStr">
        <is>
          <t>QUANTITE_NON_CONFORME</t>
        </is>
      </c>
      <c r="L4" s="16" t="inlineStr">
        <is>
          <t>RESULTAT</t>
        </is>
      </c>
      <c r="M4" s="16" t="inlineStr">
        <is>
          <t>COMMENTAIRE</t>
        </is>
      </c>
      <c r="N4" s="6" t="inlineStr">
        <is>
          <t>MATRICULE_OPERATEUR</t>
        </is>
      </c>
      <c r="O4" s="14" t="inlineStr">
        <is>
          <t>STATUT</t>
        </is>
      </c>
      <c r="P4" s="14" t="inlineStr">
        <is>
          <t>MATRICULE_CHECKER</t>
        </is>
      </c>
      <c r="Q4" s="14" t="inlineStr">
        <is>
          <t>DATE_VALIDATION</t>
        </is>
      </c>
      <c r="R4" s="14" t="inlineStr">
        <is>
          <t>MOTIF_REJET</t>
        </is>
      </c>
      <c r="S4" s="14" t="inlineStr">
        <is>
          <t>ETAT_SYNC</t>
        </is>
      </c>
      <c r="T4" s="14" t="inlineStr">
        <is>
          <t>DATE_SOUMISSION</t>
        </is>
      </c>
      <c r="U4" s="14" t="inlineStr">
        <is>
          <t>ID_SYNC</t>
        </is>
      </c>
      <c r="V4" s="14" t="inlineStr">
        <is>
          <t>JETON_VALIDATION</t>
        </is>
      </c>
    </row>
    <row r="5">
      <c r="A5" s="17" t="inlineStr">
        <is>
          <t>INS-2026-214</t>
        </is>
      </c>
      <c r="B5" s="18" t="inlineStr">
        <is>
          <t>31/08/2026</t>
        </is>
      </c>
      <c r="C5" s="18" t="inlineStr">
        <is>
          <t>07:09</t>
        </is>
      </c>
      <c r="D5" s="17" t="inlineStr">
        <is>
          <t>LOT-2026-254</t>
        </is>
      </c>
      <c r="E5" s="17" t="inlineStr">
        <is>
          <t>WHAP-0151</t>
        </is>
      </c>
      <c r="F5" s="18">
        <f>IF($E5="","",IFERROR(VLOOKUP($E5,ARTICLES!$A$5:$S$2243,3,FALSE),"reference inconnue"))</f>
        <v/>
      </c>
      <c r="G5" s="17" t="n">
        <v>30</v>
      </c>
      <c r="H5" s="18">
        <f>IF(OR(G5="",G5=0,I5=""),"",ROUND(I5/G5*100,1)&amp;" %")</f>
        <v/>
      </c>
      <c r="I5" s="17" t="n">
        <v>5</v>
      </c>
      <c r="J5" s="17" t="n">
        <v>5</v>
      </c>
      <c r="K5" s="17" t="n">
        <v>0</v>
      </c>
      <c r="L5" s="17" t="inlineStr"/>
      <c r="M5" s="17" t="inlineStr">
        <is>
          <t>Cotes dans l'intervalle de tolerance</t>
        </is>
      </c>
      <c r="N5" s="17" t="inlineStr">
        <is>
          <t>QL-1052</t>
        </is>
      </c>
      <c r="O5" s="17" t="inlineStr">
        <is>
          <t>VALIDE</t>
        </is>
      </c>
      <c r="P5" s="17" t="inlineStr"/>
      <c r="Q5" s="17" t="inlineStr"/>
      <c r="R5" s="17" t="inlineStr"/>
      <c r="S5" s="17" t="inlineStr">
        <is>
          <t>SYNCHRONISE</t>
        </is>
      </c>
      <c r="T5" s="17" t="inlineStr"/>
      <c r="U5" s="17" t="inlineStr">
        <is>
          <t>INSPECTION-HISTORIQUE-001</t>
        </is>
      </c>
      <c r="V5" s="17" t="inlineStr"/>
    </row>
    <row r="6">
      <c r="A6" s="17" t="inlineStr">
        <is>
          <t>INS-2026-213</t>
        </is>
      </c>
      <c r="B6" s="18" t="inlineStr">
        <is>
          <t>31/08/2026</t>
        </is>
      </c>
      <c r="C6" s="18" t="inlineStr">
        <is>
          <t>03:09</t>
        </is>
      </c>
      <c r="D6" s="17" t="inlineStr">
        <is>
          <t>LOT-2026-253</t>
        </is>
      </c>
      <c r="E6" s="17" t="inlineStr">
        <is>
          <t>TRT-002</t>
        </is>
      </c>
      <c r="F6" s="18">
        <f>IF($E6="","",IFERROR(VLOOKUP($E6,ARTICLES!$A$5:$S$2243,3,FALSE),"reference inconnue"))</f>
        <v/>
      </c>
      <c r="G6" s="17" t="n">
        <v>360</v>
      </c>
      <c r="H6" s="18">
        <f>IF(OR(G6="",G6=0,I6=""),"",ROUND(I6/G6*100,1)&amp;" %")</f>
        <v/>
      </c>
      <c r="I6" s="17" t="n">
        <v>15</v>
      </c>
      <c r="J6" s="17" t="n">
        <v>15</v>
      </c>
      <c r="K6" s="17" t="n">
        <v>0</v>
      </c>
      <c r="L6" s="17" t="inlineStr"/>
      <c r="M6" s="17" t="inlineStr">
        <is>
          <t>Aspect de surface conforme au plan</t>
        </is>
      </c>
      <c r="N6" s="17" t="inlineStr">
        <is>
          <t>QL-1064</t>
        </is>
      </c>
      <c r="O6" s="17" t="inlineStr">
        <is>
          <t>VALIDE</t>
        </is>
      </c>
      <c r="P6" s="17" t="inlineStr"/>
      <c r="Q6" s="17" t="inlineStr"/>
      <c r="R6" s="17" t="inlineStr"/>
      <c r="S6" s="17" t="inlineStr">
        <is>
          <t>SYNCHRONISE</t>
        </is>
      </c>
      <c r="T6" s="17" t="inlineStr"/>
      <c r="U6" s="17" t="inlineStr">
        <is>
          <t>INSPECTION-HISTORIQUE-002</t>
        </is>
      </c>
      <c r="V6" s="17" t="inlineStr"/>
    </row>
    <row r="7">
      <c r="A7" s="17" t="inlineStr">
        <is>
          <t>INS-2026-212</t>
        </is>
      </c>
      <c r="B7" s="18" t="inlineStr">
        <is>
          <t>30/08/2026</t>
        </is>
      </c>
      <c r="C7" s="18" t="inlineStr">
        <is>
          <t>23:09</t>
        </is>
      </c>
      <c r="D7" s="17" t="inlineStr">
        <is>
          <t>LOT-2026-252</t>
        </is>
      </c>
      <c r="E7" s="17" t="inlineStr">
        <is>
          <t>NET-001</t>
        </is>
      </c>
      <c r="F7" s="18">
        <f>IF($E7="","",IFERROR(VLOOKUP($E7,ARTICLES!$A$5:$S$2243,3,FALSE),"reference inconnue"))</f>
        <v/>
      </c>
      <c r="G7" s="17" t="n">
        <v>600</v>
      </c>
      <c r="H7" s="18">
        <f>IF(OR(G7="",G7=0,I7=""),"",ROUND(I7/G7*100,1)&amp;" %")</f>
        <v/>
      </c>
      <c r="I7" s="17" t="n">
        <v>24</v>
      </c>
      <c r="J7" s="17" t="n">
        <v>24</v>
      </c>
      <c r="K7" s="17" t="n">
        <v>0</v>
      </c>
      <c r="L7" s="17" t="inlineStr"/>
      <c r="M7" s="17" t="inlineStr">
        <is>
          <t>Echantillon conforme, aucun defaut releve</t>
        </is>
      </c>
      <c r="N7" s="17" t="inlineStr">
        <is>
          <t>QL-1045</t>
        </is>
      </c>
      <c r="O7" s="17" t="inlineStr">
        <is>
          <t>VALIDE</t>
        </is>
      </c>
      <c r="P7" s="17" t="inlineStr"/>
      <c r="Q7" s="17" t="inlineStr"/>
      <c r="R7" s="17" t="inlineStr"/>
      <c r="S7" s="17" t="inlineStr">
        <is>
          <t>SYNCHRONISE</t>
        </is>
      </c>
      <c r="T7" s="17" t="inlineStr"/>
      <c r="U7" s="17" t="inlineStr">
        <is>
          <t>INSPECTION-HISTORIQUE-003</t>
        </is>
      </c>
      <c r="V7" s="17" t="inlineStr"/>
    </row>
    <row r="8">
      <c r="A8" s="17" t="inlineStr">
        <is>
          <t>INS-2026-211</t>
        </is>
      </c>
      <c r="B8" s="18" t="inlineStr">
        <is>
          <t>30/08/2026</t>
        </is>
      </c>
      <c r="C8" s="18" t="inlineStr">
        <is>
          <t>19:09</t>
        </is>
      </c>
      <c r="D8" s="17" t="inlineStr">
        <is>
          <t>LOT-2026-251</t>
        </is>
      </c>
      <c r="E8" s="17" t="inlineStr">
        <is>
          <t>WHAP-0057</t>
        </is>
      </c>
      <c r="F8" s="18">
        <f>IF($E8="","",IFERROR(VLOOKUP($E8,ARTICLES!$A$5:$S$2243,3,FALSE),"reference inconnue"))</f>
        <v/>
      </c>
      <c r="G8" s="17" t="n">
        <v>100</v>
      </c>
      <c r="H8" s="18">
        <f>IF(OR(G8="",G8=0,I8=""),"",ROUND(I8/G8*100,1)&amp;" %")</f>
        <v/>
      </c>
      <c r="I8" s="17" t="n">
        <v>5</v>
      </c>
      <c r="J8" s="17" t="n">
        <v>5</v>
      </c>
      <c r="K8" s="17" t="n">
        <v>0</v>
      </c>
      <c r="L8" s="17" t="inlineStr"/>
      <c r="M8" s="17" t="inlineStr">
        <is>
          <t>Echantillon conforme, aucun defaut releve</t>
        </is>
      </c>
      <c r="N8" s="17" t="inlineStr">
        <is>
          <t>QL-1052</t>
        </is>
      </c>
      <c r="O8" s="17" t="inlineStr">
        <is>
          <t>VALIDE</t>
        </is>
      </c>
      <c r="P8" s="17" t="inlineStr"/>
      <c r="Q8" s="17" t="inlineStr"/>
      <c r="R8" s="17" t="inlineStr"/>
      <c r="S8" s="17" t="inlineStr">
        <is>
          <t>SYNCHRONISE</t>
        </is>
      </c>
      <c r="T8" s="17" t="inlineStr"/>
      <c r="U8" s="17" t="inlineStr">
        <is>
          <t>INSPECTION-HISTORIQUE-004</t>
        </is>
      </c>
      <c r="V8" s="17" t="inlineStr"/>
    </row>
    <row r="9">
      <c r="A9" s="17" t="inlineStr">
        <is>
          <t>INS-2026-210</t>
        </is>
      </c>
      <c r="B9" s="18" t="inlineStr">
        <is>
          <t>30/08/2026</t>
        </is>
      </c>
      <c r="C9" s="18" t="inlineStr">
        <is>
          <t>15:09</t>
        </is>
      </c>
      <c r="D9" s="17" t="inlineStr">
        <is>
          <t>LOT-2026-250</t>
        </is>
      </c>
      <c r="E9" s="17" t="inlineStr">
        <is>
          <t>LUB-002</t>
        </is>
      </c>
      <c r="F9" s="18">
        <f>IF($E9="","",IFERROR(VLOOKUP($E9,ARTICLES!$A$5:$S$2243,3,FALSE),"reference inconnue"))</f>
        <v/>
      </c>
      <c r="G9" s="17" t="n">
        <v>300</v>
      </c>
      <c r="H9" s="18">
        <f>IF(OR(G9="",G9=0,I9=""),"",ROUND(I9/G9*100,1)&amp;" %")</f>
        <v/>
      </c>
      <c r="I9" s="17" t="n">
        <v>12</v>
      </c>
      <c r="J9" s="17" t="n">
        <v>12</v>
      </c>
      <c r="K9" s="17" t="n">
        <v>0</v>
      </c>
      <c r="L9" s="17" t="inlineStr"/>
      <c r="M9" s="17" t="inlineStr">
        <is>
          <t>Marquage fournisseur present et lisible</t>
        </is>
      </c>
      <c r="N9" s="17" t="inlineStr">
        <is>
          <t>QL-1052</t>
        </is>
      </c>
      <c r="O9" s="17" t="inlineStr">
        <is>
          <t>VALIDE</t>
        </is>
      </c>
      <c r="P9" s="17" t="inlineStr"/>
      <c r="Q9" s="17" t="inlineStr"/>
      <c r="R9" s="17" t="inlineStr"/>
      <c r="S9" s="17" t="inlineStr">
        <is>
          <t>SYNCHRONISE</t>
        </is>
      </c>
      <c r="T9" s="17" t="inlineStr"/>
      <c r="U9" s="17" t="inlineStr">
        <is>
          <t>INSPECTION-HISTORIQUE-005</t>
        </is>
      </c>
      <c r="V9" s="17" t="inlineStr"/>
    </row>
    <row r="10">
      <c r="A10" s="17" t="inlineStr">
        <is>
          <t>INS-2026-209</t>
        </is>
      </c>
      <c r="B10" s="18" t="inlineStr">
        <is>
          <t>30/08/2026</t>
        </is>
      </c>
      <c r="C10" s="18" t="inlineStr">
        <is>
          <t>07:09</t>
        </is>
      </c>
      <c r="D10" s="17" t="inlineStr">
        <is>
          <t>LOT-2026-248</t>
        </is>
      </c>
      <c r="E10" s="17" t="inlineStr">
        <is>
          <t>EPI-002</t>
        </is>
      </c>
      <c r="F10" s="18">
        <f>IF($E10="","",IFERROR(VLOOKUP($E10,ARTICLES!$A$5:$S$2243,3,FALSE),"reference inconnue"))</f>
        <v/>
      </c>
      <c r="G10" s="17" t="n">
        <v>600</v>
      </c>
      <c r="H10" s="18">
        <f>IF(OR(G10="",G10=0,I10=""),"",ROUND(I10/G10*100,1)&amp;" %")</f>
        <v/>
      </c>
      <c r="I10" s="17" t="n">
        <v>24</v>
      </c>
      <c r="J10" s="17" t="n">
        <v>24</v>
      </c>
      <c r="K10" s="17" t="n">
        <v>0</v>
      </c>
      <c r="L10" s="17" t="inlineStr"/>
      <c r="M10" s="17" t="inlineStr">
        <is>
          <t>Echantillon conforme, aucun defaut releve</t>
        </is>
      </c>
      <c r="N10" s="17" t="inlineStr">
        <is>
          <t>QL-1046</t>
        </is>
      </c>
      <c r="O10" s="17" t="inlineStr">
        <is>
          <t>VALIDE</t>
        </is>
      </c>
      <c r="P10" s="17" t="inlineStr"/>
      <c r="Q10" s="17" t="inlineStr"/>
      <c r="R10" s="17" t="inlineStr"/>
      <c r="S10" s="17" t="inlineStr">
        <is>
          <t>SYNCHRONISE</t>
        </is>
      </c>
      <c r="T10" s="17" t="inlineStr"/>
      <c r="U10" s="17" t="inlineStr">
        <is>
          <t>INSPECTION-HISTORIQUE-006</t>
        </is>
      </c>
      <c r="V10" s="17" t="inlineStr"/>
    </row>
    <row r="11">
      <c r="A11" s="17" t="inlineStr">
        <is>
          <t>INS-2026-208</t>
        </is>
      </c>
      <c r="B11" s="18" t="inlineStr">
        <is>
          <t>30/08/2026</t>
        </is>
      </c>
      <c r="C11" s="18" t="inlineStr">
        <is>
          <t>03:09</t>
        </is>
      </c>
      <c r="D11" s="17" t="inlineStr">
        <is>
          <t>LOT-2026-247</t>
        </is>
      </c>
      <c r="E11" s="17" t="inlineStr">
        <is>
          <t>WHAP-0611</t>
        </is>
      </c>
      <c r="F11" s="18">
        <f>IF($E11="","",IFERROR(VLOOKUP($E11,ARTICLES!$A$5:$S$2243,3,FALSE),"reference inconnue"))</f>
        <v/>
      </c>
      <c r="G11" s="17" t="n">
        <v>80</v>
      </c>
      <c r="H11" s="18">
        <f>IF(OR(G11="",G11=0,I11=""),"",ROUND(I11/G11*100,1)&amp;" %")</f>
        <v/>
      </c>
      <c r="I11" s="17" t="n">
        <v>5</v>
      </c>
      <c r="J11" s="17" t="n">
        <v>5</v>
      </c>
      <c r="K11" s="17" t="n">
        <v>0</v>
      </c>
      <c r="L11" s="17" t="inlineStr"/>
      <c r="M11" s="17" t="inlineStr">
        <is>
          <t>Controle visuel et dimensionnel conformes</t>
        </is>
      </c>
      <c r="N11" s="17" t="inlineStr">
        <is>
          <t>QL-1046</t>
        </is>
      </c>
      <c r="O11" s="17" t="inlineStr">
        <is>
          <t>VALIDE</t>
        </is>
      </c>
      <c r="P11" s="17" t="inlineStr"/>
      <c r="Q11" s="17" t="inlineStr"/>
      <c r="R11" s="17" t="inlineStr"/>
      <c r="S11" s="17" t="inlineStr">
        <is>
          <t>SYNCHRONISE</t>
        </is>
      </c>
      <c r="T11" s="17" t="inlineStr"/>
      <c r="U11" s="17" t="inlineStr">
        <is>
          <t>INSPECTION-HISTORIQUE-007</t>
        </is>
      </c>
      <c r="V11" s="17" t="inlineStr"/>
    </row>
    <row r="12">
      <c r="A12" s="17" t="inlineStr">
        <is>
          <t>INS-2026-207</t>
        </is>
      </c>
      <c r="B12" s="18" t="inlineStr">
        <is>
          <t>29/08/2026</t>
        </is>
      </c>
      <c r="C12" s="18" t="inlineStr">
        <is>
          <t>23:09</t>
        </is>
      </c>
      <c r="D12" s="17" t="inlineStr">
        <is>
          <t>LOT-2026-246</t>
        </is>
      </c>
      <c r="E12" s="17" t="inlineStr">
        <is>
          <t>SEC-001</t>
        </is>
      </c>
      <c r="F12" s="18">
        <f>IF($E12="","",IFERROR(VLOOKUP($E12,ARTICLES!$A$5:$S$2243,3,FALSE),"reference inconnue"))</f>
        <v/>
      </c>
      <c r="G12" s="17" t="n">
        <v>12</v>
      </c>
      <c r="H12" s="18">
        <f>IF(OR(G12="",G12=0,I12=""),"",ROUND(I12/G12*100,1)&amp;" %")</f>
        <v/>
      </c>
      <c r="I12" s="17" t="n">
        <v>5</v>
      </c>
      <c r="J12" s="17" t="n">
        <v>5</v>
      </c>
      <c r="K12" s="17" t="n">
        <v>0</v>
      </c>
      <c r="L12" s="17" t="inlineStr"/>
      <c r="M12" s="17" t="inlineStr">
        <is>
          <t>Echantillon conforme, aucun defaut releve</t>
        </is>
      </c>
      <c r="N12" s="17" t="inlineStr">
        <is>
          <t>QL-1052</t>
        </is>
      </c>
      <c r="O12" s="17" t="inlineStr">
        <is>
          <t>VALIDE</t>
        </is>
      </c>
      <c r="P12" s="17" t="inlineStr"/>
      <c r="Q12" s="17" t="inlineStr"/>
      <c r="R12" s="17" t="inlineStr"/>
      <c r="S12" s="17" t="inlineStr">
        <is>
          <t>SYNCHRONISE</t>
        </is>
      </c>
      <c r="T12" s="17" t="inlineStr"/>
      <c r="U12" s="17" t="inlineStr">
        <is>
          <t>INSPECTION-HISTORIQUE-008</t>
        </is>
      </c>
      <c r="V12" s="17" t="inlineStr"/>
    </row>
    <row r="13">
      <c r="A13" s="17" t="inlineStr">
        <is>
          <t>INS-2026-206</t>
        </is>
      </c>
      <c r="B13" s="18" t="inlineStr">
        <is>
          <t>29/08/2026</t>
        </is>
      </c>
      <c r="C13" s="18" t="inlineStr">
        <is>
          <t>19:09</t>
        </is>
      </c>
      <c r="D13" s="17" t="inlineStr">
        <is>
          <t>LOT-2026-245</t>
        </is>
      </c>
      <c r="E13" s="17" t="inlineStr">
        <is>
          <t>WHAP-0104</t>
        </is>
      </c>
      <c r="F13" s="18">
        <f>IF($E13="","",IFERROR(VLOOKUP($E13,ARTICLES!$A$5:$S$2243,3,FALSE),"reference inconnue"))</f>
        <v/>
      </c>
      <c r="G13" s="17" t="n">
        <v>100</v>
      </c>
      <c r="H13" s="18">
        <f>IF(OR(G13="",G13=0,I13=""),"",ROUND(I13/G13*100,1)&amp;" %")</f>
        <v/>
      </c>
      <c r="I13" s="17" t="n">
        <v>5</v>
      </c>
      <c r="J13" s="17" t="n">
        <v>5</v>
      </c>
      <c r="K13" s="17" t="n">
        <v>0</v>
      </c>
      <c r="L13" s="17" t="inlineStr"/>
      <c r="M13" s="17" t="inlineStr">
        <is>
          <t>Marquage fournisseur present et lisible</t>
        </is>
      </c>
      <c r="N13" s="17" t="inlineStr">
        <is>
          <t>QL-1058</t>
        </is>
      </c>
      <c r="O13" s="17" t="inlineStr">
        <is>
          <t>VALIDE</t>
        </is>
      </c>
      <c r="P13" s="17" t="inlineStr"/>
      <c r="Q13" s="17" t="inlineStr"/>
      <c r="R13" s="17" t="inlineStr"/>
      <c r="S13" s="17" t="inlineStr">
        <is>
          <t>SYNCHRONISE</t>
        </is>
      </c>
      <c r="T13" s="17" t="inlineStr"/>
      <c r="U13" s="17" t="inlineStr">
        <is>
          <t>INSPECTION-HISTORIQUE-009</t>
        </is>
      </c>
      <c r="V13" s="17" t="inlineStr"/>
    </row>
    <row r="14">
      <c r="A14" s="17" t="inlineStr">
        <is>
          <t>INS-2026-205</t>
        </is>
      </c>
      <c r="B14" s="18" t="inlineStr">
        <is>
          <t>29/08/2026</t>
        </is>
      </c>
      <c r="C14" s="18" t="inlineStr">
        <is>
          <t>11:09</t>
        </is>
      </c>
      <c r="D14" s="17" t="inlineStr">
        <is>
          <t>LOT-2026-243</t>
        </is>
      </c>
      <c r="E14" s="17" t="inlineStr">
        <is>
          <t>WHAP-0396</t>
        </is>
      </c>
      <c r="F14" s="18">
        <f>IF($E14="","",IFERROR(VLOOKUP($E14,ARTICLES!$A$5:$S$2243,3,FALSE),"reference inconnue"))</f>
        <v/>
      </c>
      <c r="G14" s="17" t="n">
        <v>120</v>
      </c>
      <c r="H14" s="18">
        <f>IF(OR(G14="",G14=0,I14=""),"",ROUND(I14/G14*100,1)&amp;" %")</f>
        <v/>
      </c>
      <c r="I14" s="17" t="n">
        <v>5</v>
      </c>
      <c r="J14" s="17" t="n">
        <v>5</v>
      </c>
      <c r="K14" s="17" t="n">
        <v>0</v>
      </c>
      <c r="L14" s="17" t="inlineStr"/>
      <c r="M14" s="17" t="inlineStr">
        <is>
          <t>Marquage fournisseur present et lisible</t>
        </is>
      </c>
      <c r="N14" s="17" t="inlineStr">
        <is>
          <t>QL-1045</t>
        </is>
      </c>
      <c r="O14" s="17" t="inlineStr">
        <is>
          <t>VALIDE</t>
        </is>
      </c>
      <c r="P14" s="17" t="inlineStr"/>
      <c r="Q14" s="17" t="inlineStr"/>
      <c r="R14" s="17" t="inlineStr"/>
      <c r="S14" s="17" t="inlineStr">
        <is>
          <t>SYNCHRONISE</t>
        </is>
      </c>
      <c r="T14" s="17" t="inlineStr"/>
      <c r="U14" s="17" t="inlineStr">
        <is>
          <t>INSPECTION-HISTORIQUE-010</t>
        </is>
      </c>
      <c r="V14" s="17" t="inlineStr"/>
    </row>
    <row r="15">
      <c r="A15" s="17" t="inlineStr">
        <is>
          <t>INS-2026-204</t>
        </is>
      </c>
      <c r="B15" s="18" t="inlineStr">
        <is>
          <t>29/08/2026</t>
        </is>
      </c>
      <c r="C15" s="18" t="inlineStr">
        <is>
          <t>03:09</t>
        </is>
      </c>
      <c r="D15" s="17" t="inlineStr">
        <is>
          <t>LOT-2026-241</t>
        </is>
      </c>
      <c r="E15" s="17" t="inlineStr">
        <is>
          <t>WHAP-0366</t>
        </is>
      </c>
      <c r="F15" s="18">
        <f>IF($E15="","",IFERROR(VLOOKUP($E15,ARTICLES!$A$5:$S$2243,3,FALSE),"reference inconnue"))</f>
        <v/>
      </c>
      <c r="G15" s="17" t="n">
        <v>480</v>
      </c>
      <c r="H15" s="18">
        <f>IF(OR(G15="",G15=0,I15=""),"",ROUND(I15/G15*100,1)&amp;" %")</f>
        <v/>
      </c>
      <c r="I15" s="17" t="n">
        <v>20</v>
      </c>
      <c r="J15" s="17" t="n">
        <v>20</v>
      </c>
      <c r="K15" s="17" t="n">
        <v>0</v>
      </c>
      <c r="L15" s="17" t="inlineStr"/>
      <c r="M15" s="17" t="inlineStr">
        <is>
          <t>Cotes dans l'intervalle de tolerance</t>
        </is>
      </c>
      <c r="N15" s="17" t="inlineStr">
        <is>
          <t>QL-1046</t>
        </is>
      </c>
      <c r="O15" s="17" t="inlineStr">
        <is>
          <t>VALIDE</t>
        </is>
      </c>
      <c r="P15" s="17" t="inlineStr"/>
      <c r="Q15" s="17" t="inlineStr"/>
      <c r="R15" s="17" t="inlineStr"/>
      <c r="S15" s="17" t="inlineStr">
        <is>
          <t>SYNCHRONISE</t>
        </is>
      </c>
      <c r="T15" s="17" t="inlineStr"/>
      <c r="U15" s="17" t="inlineStr">
        <is>
          <t>INSPECTION-HISTORIQUE-011</t>
        </is>
      </c>
      <c r="V15" s="17" t="inlineStr"/>
    </row>
    <row r="16">
      <c r="A16" s="17" t="inlineStr">
        <is>
          <t>INS-2026-203</t>
        </is>
      </c>
      <c r="B16" s="18" t="inlineStr">
        <is>
          <t>28/08/2026</t>
        </is>
      </c>
      <c r="C16" s="18" t="inlineStr">
        <is>
          <t>23:09</t>
        </is>
      </c>
      <c r="D16" s="17" t="inlineStr">
        <is>
          <t>LOT-2026-240</t>
        </is>
      </c>
      <c r="E16" s="17" t="inlineStr">
        <is>
          <t>WHAP-0629</t>
        </is>
      </c>
      <c r="F16" s="18">
        <f>IF($E16="","",IFERROR(VLOOKUP($E16,ARTICLES!$A$5:$S$2243,3,FALSE),"reference inconnue"))</f>
        <v/>
      </c>
      <c r="G16" s="17" t="n">
        <v>180</v>
      </c>
      <c r="H16" s="18">
        <f>IF(OR(G16="",G16=0,I16=""),"",ROUND(I16/G16*100,1)&amp;" %")</f>
        <v/>
      </c>
      <c r="I16" s="17" t="n">
        <v>8</v>
      </c>
      <c r="J16" s="17" t="n">
        <v>8</v>
      </c>
      <c r="K16" s="17" t="n">
        <v>0</v>
      </c>
      <c r="L16" s="17" t="inlineStr"/>
      <c r="M16" s="17" t="inlineStr">
        <is>
          <t>Controle visuel et dimensionnel conformes</t>
        </is>
      </c>
      <c r="N16" s="17" t="inlineStr">
        <is>
          <t>QL-1052</t>
        </is>
      </c>
      <c r="O16" s="17" t="inlineStr">
        <is>
          <t>VALIDE</t>
        </is>
      </c>
      <c r="P16" s="17" t="inlineStr"/>
      <c r="Q16" s="17" t="inlineStr"/>
      <c r="R16" s="17" t="inlineStr"/>
      <c r="S16" s="17" t="inlineStr">
        <is>
          <t>SYNCHRONISE</t>
        </is>
      </c>
      <c r="T16" s="17" t="inlineStr"/>
      <c r="U16" s="17" t="inlineStr">
        <is>
          <t>INSPECTION-HISTORIQUE-012</t>
        </is>
      </c>
      <c r="V16" s="17" t="inlineStr"/>
    </row>
    <row r="17">
      <c r="A17" s="17" t="inlineStr">
        <is>
          <t>INS-2026-202</t>
        </is>
      </c>
      <c r="B17" s="18" t="inlineStr">
        <is>
          <t>28/08/2026</t>
        </is>
      </c>
      <c r="C17" s="18" t="inlineStr">
        <is>
          <t>19:09</t>
        </is>
      </c>
      <c r="D17" s="17" t="inlineStr">
        <is>
          <t>LOT-2026-239</t>
        </is>
      </c>
      <c r="E17" s="17" t="inlineStr">
        <is>
          <t>WHAP-0225</t>
        </is>
      </c>
      <c r="F17" s="18">
        <f>IF($E17="","",IFERROR(VLOOKUP($E17,ARTICLES!$A$5:$S$2243,3,FALSE),"reference inconnue"))</f>
        <v/>
      </c>
      <c r="G17" s="17" t="n">
        <v>60</v>
      </c>
      <c r="H17" s="18">
        <f>IF(OR(G17="",G17=0,I17=""),"",ROUND(I17/G17*100,1)&amp;" %")</f>
        <v/>
      </c>
      <c r="I17" s="17" t="n">
        <v>5</v>
      </c>
      <c r="J17" s="17" t="n">
        <v>5</v>
      </c>
      <c r="K17" s="17" t="n">
        <v>0</v>
      </c>
      <c r="L17" s="17" t="inlineStr"/>
      <c r="M17" s="17" t="inlineStr">
        <is>
          <t>Cotes dans l'intervalle de tolerance</t>
        </is>
      </c>
      <c r="N17" s="17" t="inlineStr">
        <is>
          <t>QL-1046</t>
        </is>
      </c>
      <c r="O17" s="17" t="inlineStr">
        <is>
          <t>VALIDE</t>
        </is>
      </c>
      <c r="P17" s="17" t="inlineStr"/>
      <c r="Q17" s="17" t="inlineStr"/>
      <c r="R17" s="17" t="inlineStr"/>
      <c r="S17" s="17" t="inlineStr">
        <is>
          <t>SYNCHRONISE</t>
        </is>
      </c>
      <c r="T17" s="17" t="inlineStr"/>
      <c r="U17" s="17" t="inlineStr">
        <is>
          <t>INSPECTION-HISTORIQUE-013</t>
        </is>
      </c>
      <c r="V17" s="17" t="inlineStr"/>
    </row>
    <row r="18">
      <c r="A18" s="17" t="inlineStr">
        <is>
          <t>INS-2026-201</t>
        </is>
      </c>
      <c r="B18" s="18" t="inlineStr">
        <is>
          <t>28/08/2026</t>
        </is>
      </c>
      <c r="C18" s="18" t="inlineStr">
        <is>
          <t>15:09</t>
        </is>
      </c>
      <c r="D18" s="17" t="inlineStr">
        <is>
          <t>LOT-2026-238</t>
        </is>
      </c>
      <c r="E18" s="17" t="inlineStr">
        <is>
          <t>ACC-001</t>
        </is>
      </c>
      <c r="F18" s="18">
        <f>IF($E18="","",IFERROR(VLOOKUP($E18,ARTICLES!$A$5:$S$2243,3,FALSE),"reference inconnue"))</f>
        <v/>
      </c>
      <c r="G18" s="17" t="n">
        <v>180</v>
      </c>
      <c r="H18" s="18">
        <f>IF(OR(G18="",G18=0,I18=""),"",ROUND(I18/G18*100,1)&amp;" %")</f>
        <v/>
      </c>
      <c r="I18" s="17" t="n">
        <v>8</v>
      </c>
      <c r="J18" s="17" t="n">
        <v>8</v>
      </c>
      <c r="K18" s="17" t="n">
        <v>0</v>
      </c>
      <c r="L18" s="17" t="inlineStr"/>
      <c r="M18" s="17" t="inlineStr">
        <is>
          <t>Echantillon conforme, aucun defaut releve</t>
        </is>
      </c>
      <c r="N18" s="17" t="inlineStr">
        <is>
          <t>QL-1052</t>
        </is>
      </c>
      <c r="O18" s="17" t="inlineStr">
        <is>
          <t>VALIDE</t>
        </is>
      </c>
      <c r="P18" s="17" t="inlineStr"/>
      <c r="Q18" s="17" t="inlineStr"/>
      <c r="R18" s="17" t="inlineStr"/>
      <c r="S18" s="17" t="inlineStr">
        <is>
          <t>SYNCHRONISE</t>
        </is>
      </c>
      <c r="T18" s="17" t="inlineStr"/>
      <c r="U18" s="17" t="inlineStr">
        <is>
          <t>INSPECTION-HISTORIQUE-014</t>
        </is>
      </c>
      <c r="V18" s="17" t="inlineStr"/>
    </row>
    <row r="19">
      <c r="A19" s="17" t="inlineStr">
        <is>
          <t>INS-2026-200</t>
        </is>
      </c>
      <c r="B19" s="18" t="inlineStr">
        <is>
          <t>28/08/2026</t>
        </is>
      </c>
      <c r="C19" s="18" t="inlineStr">
        <is>
          <t>11:09</t>
        </is>
      </c>
      <c r="D19" s="17" t="inlineStr">
        <is>
          <t>LOT-2026-237</t>
        </is>
      </c>
      <c r="E19" s="17" t="inlineStr">
        <is>
          <t>WHAP-0470</t>
        </is>
      </c>
      <c r="F19" s="18">
        <f>IF($E19="","",IFERROR(VLOOKUP($E19,ARTICLES!$A$5:$S$2243,3,FALSE),"reference inconnue"))</f>
        <v/>
      </c>
      <c r="G19" s="17" t="n">
        <v>60</v>
      </c>
      <c r="H19" s="18">
        <f>IF(OR(G19="",G19=0,I19=""),"",ROUND(I19/G19*100,1)&amp;" %")</f>
        <v/>
      </c>
      <c r="I19" s="17" t="n">
        <v>5</v>
      </c>
      <c r="J19" s="17" t="n">
        <v>5</v>
      </c>
      <c r="K19" s="17" t="n">
        <v>0</v>
      </c>
      <c r="L19" s="17" t="inlineStr"/>
      <c r="M19" s="17" t="inlineStr">
        <is>
          <t>Controle visuel et dimensionnel conformes</t>
        </is>
      </c>
      <c r="N19" s="17" t="inlineStr">
        <is>
          <t>QL-1045</t>
        </is>
      </c>
      <c r="O19" s="17" t="inlineStr">
        <is>
          <t>VALIDE</t>
        </is>
      </c>
      <c r="P19" s="17" t="inlineStr"/>
      <c r="Q19" s="17" t="inlineStr"/>
      <c r="R19" s="17" t="inlineStr"/>
      <c r="S19" s="17" t="inlineStr">
        <is>
          <t>SYNCHRONISE</t>
        </is>
      </c>
      <c r="T19" s="17" t="inlineStr"/>
      <c r="U19" s="17" t="inlineStr">
        <is>
          <t>INSPECTION-HISTORIQUE-015</t>
        </is>
      </c>
      <c r="V19" s="17" t="inlineStr"/>
    </row>
    <row r="20">
      <c r="A20" s="17" t="inlineStr">
        <is>
          <t>INS-2026-199</t>
        </is>
      </c>
      <c r="B20" s="18" t="inlineStr">
        <is>
          <t>28/08/2026</t>
        </is>
      </c>
      <c r="C20" s="18" t="inlineStr">
        <is>
          <t>03:09</t>
        </is>
      </c>
      <c r="D20" s="17" t="inlineStr">
        <is>
          <t>LOT-2026-235</t>
        </is>
      </c>
      <c r="E20" s="17" t="inlineStr">
        <is>
          <t>WHAP-0153</t>
        </is>
      </c>
      <c r="F20" s="18">
        <f>IF($E20="","",IFERROR(VLOOKUP($E20,ARTICLES!$A$5:$S$2243,3,FALSE),"reference inconnue"))</f>
        <v/>
      </c>
      <c r="G20" s="17" t="n">
        <v>60</v>
      </c>
      <c r="H20" s="18">
        <f>IF(OR(G20="",G20=0,I20=""),"",ROUND(I20/G20*100,1)&amp;" %")</f>
        <v/>
      </c>
      <c r="I20" s="17" t="n">
        <v>5</v>
      </c>
      <c r="J20" s="17" t="n">
        <v>5</v>
      </c>
      <c r="K20" s="17" t="n">
        <v>0</v>
      </c>
      <c r="L20" s="17" t="inlineStr"/>
      <c r="M20" s="17" t="inlineStr">
        <is>
          <t>Marquage fournisseur present et lisible</t>
        </is>
      </c>
      <c r="N20" s="17" t="inlineStr">
        <is>
          <t>QL-1064</t>
        </is>
      </c>
      <c r="O20" s="17" t="inlineStr">
        <is>
          <t>VALIDE</t>
        </is>
      </c>
      <c r="P20" s="17" t="inlineStr"/>
      <c r="Q20" s="17" t="inlineStr"/>
      <c r="R20" s="17" t="inlineStr"/>
      <c r="S20" s="17" t="inlineStr">
        <is>
          <t>SYNCHRONISE</t>
        </is>
      </c>
      <c r="T20" s="17" t="inlineStr"/>
      <c r="U20" s="17" t="inlineStr">
        <is>
          <t>INSPECTION-HISTORIQUE-016</t>
        </is>
      </c>
      <c r="V20" s="17" t="inlineStr"/>
    </row>
    <row r="21">
      <c r="A21" s="17" t="inlineStr">
        <is>
          <t>INS-2026-198</t>
        </is>
      </c>
      <c r="B21" s="18" t="inlineStr">
        <is>
          <t>27/08/2026</t>
        </is>
      </c>
      <c r="C21" s="18" t="inlineStr">
        <is>
          <t>23:09</t>
        </is>
      </c>
      <c r="D21" s="17" t="inlineStr">
        <is>
          <t>LOT-2026-234</t>
        </is>
      </c>
      <c r="E21" s="17" t="inlineStr">
        <is>
          <t>WHAP-0418</t>
        </is>
      </c>
      <c r="F21" s="18">
        <f>IF($E21="","",IFERROR(VLOOKUP($E21,ARTICLES!$A$5:$S$2243,3,FALSE),"reference inconnue"))</f>
        <v/>
      </c>
      <c r="G21" s="17" t="n">
        <v>50</v>
      </c>
      <c r="H21" s="18">
        <f>IF(OR(G21="",G21=0,I21=""),"",ROUND(I21/G21*100,1)&amp;" %")</f>
        <v/>
      </c>
      <c r="I21" s="17" t="n">
        <v>5</v>
      </c>
      <c r="J21" s="17" t="n">
        <v>3</v>
      </c>
      <c r="K21" s="17" t="n">
        <v>2</v>
      </c>
      <c r="L21" s="17" t="inlineStr"/>
      <c r="M21" s="17" t="inlineStr">
        <is>
          <t>Bavures constatees sur le bord de coupe</t>
        </is>
      </c>
      <c r="N21" s="17" t="inlineStr">
        <is>
          <t>QL-1046</t>
        </is>
      </c>
      <c r="O21" s="17" t="inlineStr">
        <is>
          <t>VALIDE</t>
        </is>
      </c>
      <c r="P21" s="17" t="inlineStr"/>
      <c r="Q21" s="17" t="inlineStr"/>
      <c r="R21" s="17" t="inlineStr"/>
      <c r="S21" s="17" t="inlineStr">
        <is>
          <t>SYNCHRONISE</t>
        </is>
      </c>
      <c r="T21" s="17" t="inlineStr"/>
      <c r="U21" s="17" t="inlineStr">
        <is>
          <t>INSPECTION-HISTORIQUE-017</t>
        </is>
      </c>
      <c r="V21" s="17" t="inlineStr"/>
    </row>
    <row r="22">
      <c r="A22" s="17" t="inlineStr">
        <is>
          <t>INS-2026-196</t>
        </is>
      </c>
      <c r="B22" s="18" t="inlineStr">
        <is>
          <t>27/08/2026</t>
        </is>
      </c>
      <c r="C22" s="18" t="inlineStr">
        <is>
          <t>15:09</t>
        </is>
      </c>
      <c r="D22" s="17" t="inlineStr">
        <is>
          <t>LOT-2026-232</t>
        </is>
      </c>
      <c r="E22" s="17" t="inlineStr">
        <is>
          <t>EMB-002</t>
        </is>
      </c>
      <c r="F22" s="18">
        <f>IF($E22="","",IFERROR(VLOOKUP($E22,ARTICLES!$A$5:$S$2243,3,FALSE),"reference inconnue"))</f>
        <v/>
      </c>
      <c r="G22" s="17" t="n">
        <v>240</v>
      </c>
      <c r="H22" s="18">
        <f>IF(OR(G22="",G22=0,I22=""),"",ROUND(I22/G22*100,1)&amp;" %")</f>
        <v/>
      </c>
      <c r="I22" s="17" t="n">
        <v>10</v>
      </c>
      <c r="J22" s="17" t="n">
        <v>10</v>
      </c>
      <c r="K22" s="17" t="n">
        <v>0</v>
      </c>
      <c r="L22" s="17" t="inlineStr"/>
      <c r="M22" s="17" t="inlineStr">
        <is>
          <t>Aspect de surface conforme au plan</t>
        </is>
      </c>
      <c r="N22" s="17" t="inlineStr">
        <is>
          <t>QL-1058</t>
        </is>
      </c>
      <c r="O22" s="17" t="inlineStr">
        <is>
          <t>VALIDE</t>
        </is>
      </c>
      <c r="P22" s="17" t="inlineStr"/>
      <c r="Q22" s="17" t="inlineStr"/>
      <c r="R22" s="17" t="inlineStr"/>
      <c r="S22" s="17" t="inlineStr">
        <is>
          <t>SYNCHRONISE</t>
        </is>
      </c>
      <c r="T22" s="17" t="inlineStr"/>
      <c r="U22" s="17" t="inlineStr">
        <is>
          <t>INSPECTION-HISTORIQUE-018</t>
        </is>
      </c>
      <c r="V22" s="17" t="inlineStr"/>
    </row>
    <row r="23">
      <c r="A23" s="17" t="inlineStr">
        <is>
          <t>INS-2026-195</t>
        </is>
      </c>
      <c r="B23" s="18" t="inlineStr">
        <is>
          <t>27/08/2026</t>
        </is>
      </c>
      <c r="C23" s="18" t="inlineStr">
        <is>
          <t>07:09</t>
        </is>
      </c>
      <c r="D23" s="17" t="inlineStr">
        <is>
          <t>LOT-2026-230</t>
        </is>
      </c>
      <c r="E23" s="17" t="inlineStr">
        <is>
          <t>WHAP-0575</t>
        </is>
      </c>
      <c r="F23" s="18">
        <f>IF($E23="","",IFERROR(VLOOKUP($E23,ARTICLES!$A$5:$S$2243,3,FALSE),"reference inconnue"))</f>
        <v/>
      </c>
      <c r="G23" s="17" t="n">
        <v>12</v>
      </c>
      <c r="H23" s="18">
        <f>IF(OR(G23="",G23=0,I23=""),"",ROUND(I23/G23*100,1)&amp;" %")</f>
        <v/>
      </c>
      <c r="I23" s="17" t="n">
        <v>5</v>
      </c>
      <c r="J23" s="17" t="n">
        <v>5</v>
      </c>
      <c r="K23" s="17" t="n">
        <v>0</v>
      </c>
      <c r="L23" s="17" t="inlineStr"/>
      <c r="M23" s="17" t="inlineStr">
        <is>
          <t>Controle visuel et dimensionnel conformes</t>
        </is>
      </c>
      <c r="N23" s="17" t="inlineStr">
        <is>
          <t>QL-1045</t>
        </is>
      </c>
      <c r="O23" s="17" t="inlineStr">
        <is>
          <t>VALIDE</t>
        </is>
      </c>
      <c r="P23" s="17" t="inlineStr"/>
      <c r="Q23" s="17" t="inlineStr"/>
      <c r="R23" s="17" t="inlineStr"/>
      <c r="S23" s="17" t="inlineStr">
        <is>
          <t>SYNCHRONISE</t>
        </is>
      </c>
      <c r="T23" s="17" t="inlineStr"/>
      <c r="U23" s="17" t="inlineStr">
        <is>
          <t>INSPECTION-HISTORIQUE-019</t>
        </is>
      </c>
      <c r="V23" s="17" t="inlineStr"/>
    </row>
    <row r="24">
      <c r="A24" s="17" t="inlineStr">
        <is>
          <t>INS-2026-193</t>
        </is>
      </c>
      <c r="B24" s="18" t="inlineStr">
        <is>
          <t>26/08/2026</t>
        </is>
      </c>
      <c r="C24" s="18" t="inlineStr">
        <is>
          <t>23:09</t>
        </is>
      </c>
      <c r="D24" s="17" t="inlineStr">
        <is>
          <t>LOT-2026-228</t>
        </is>
      </c>
      <c r="E24" s="17" t="inlineStr">
        <is>
          <t>WHAP-0224</t>
        </is>
      </c>
      <c r="F24" s="18">
        <f>IF($E24="","",IFERROR(VLOOKUP($E24,ARTICLES!$A$5:$S$2243,3,FALSE),"reference inconnue"))</f>
        <v/>
      </c>
      <c r="G24" s="17" t="n">
        <v>12</v>
      </c>
      <c r="H24" s="18">
        <f>IF(OR(G24="",G24=0,I24=""),"",ROUND(I24/G24*100,1)&amp;" %")</f>
        <v/>
      </c>
      <c r="I24" s="17" t="n">
        <v>5</v>
      </c>
      <c r="J24" s="17" t="n">
        <v>5</v>
      </c>
      <c r="K24" s="17" t="n">
        <v>0</v>
      </c>
      <c r="L24" s="17" t="inlineStr"/>
      <c r="M24" s="17" t="inlineStr">
        <is>
          <t>Controle visuel et dimensionnel conformes</t>
        </is>
      </c>
      <c r="N24" s="17" t="inlineStr">
        <is>
          <t>QL-1046</t>
        </is>
      </c>
      <c r="O24" s="17" t="inlineStr">
        <is>
          <t>VALIDE</t>
        </is>
      </c>
      <c r="P24" s="17" t="inlineStr"/>
      <c r="Q24" s="17" t="inlineStr"/>
      <c r="R24" s="17" t="inlineStr"/>
      <c r="S24" s="17" t="inlineStr">
        <is>
          <t>SYNCHRONISE</t>
        </is>
      </c>
      <c r="T24" s="17" t="inlineStr"/>
      <c r="U24" s="17" t="inlineStr">
        <is>
          <t>INSPECTION-HISTORIQUE-020</t>
        </is>
      </c>
      <c r="V24" s="17" t="inlineStr"/>
    </row>
    <row r="25">
      <c r="A25" s="17" t="inlineStr">
        <is>
          <t>INS-2026-192</t>
        </is>
      </c>
      <c r="B25" s="18" t="inlineStr">
        <is>
          <t>26/08/2026</t>
        </is>
      </c>
      <c r="C25" s="18" t="inlineStr">
        <is>
          <t>19:09</t>
        </is>
      </c>
      <c r="D25" s="17" t="inlineStr">
        <is>
          <t>LOT-2026-227</t>
        </is>
      </c>
      <c r="E25" s="17" t="inlineStr">
        <is>
          <t>WHAP-0246</t>
        </is>
      </c>
      <c r="F25" s="18">
        <f>IF($E25="","",IFERROR(VLOOKUP($E25,ARTICLES!$A$5:$S$2243,3,FALSE),"reference inconnue"))</f>
        <v/>
      </c>
      <c r="G25" s="17" t="n">
        <v>180</v>
      </c>
      <c r="H25" s="18">
        <f>IF(OR(G25="",G25=0,I25=""),"",ROUND(I25/G25*100,1)&amp;" %")</f>
        <v/>
      </c>
      <c r="I25" s="17" t="n">
        <v>8</v>
      </c>
      <c r="J25" s="17" t="n">
        <v>8</v>
      </c>
      <c r="K25" s="17" t="n">
        <v>0</v>
      </c>
      <c r="L25" s="17" t="inlineStr"/>
      <c r="M25" s="17" t="inlineStr">
        <is>
          <t>Aspect de surface conforme au plan</t>
        </is>
      </c>
      <c r="N25" s="17" t="inlineStr">
        <is>
          <t>QL-1064</t>
        </is>
      </c>
      <c r="O25" s="17" t="inlineStr">
        <is>
          <t>VALIDE</t>
        </is>
      </c>
      <c r="P25" s="17" t="inlineStr"/>
      <c r="Q25" s="17" t="inlineStr"/>
      <c r="R25" s="17" t="inlineStr"/>
      <c r="S25" s="17" t="inlineStr">
        <is>
          <t>SYNCHRONISE</t>
        </is>
      </c>
      <c r="T25" s="17" t="inlineStr"/>
      <c r="U25" s="17" t="inlineStr">
        <is>
          <t>INSPECTION-HISTORIQUE-021</t>
        </is>
      </c>
      <c r="V25" s="17" t="inlineStr"/>
    </row>
    <row r="26">
      <c r="A26" s="17" t="inlineStr">
        <is>
          <t>INS-2026-189</t>
        </is>
      </c>
      <c r="B26" s="18" t="inlineStr">
        <is>
          <t>25/08/2026</t>
        </is>
      </c>
      <c r="C26" s="18" t="inlineStr">
        <is>
          <t>23:09</t>
        </is>
      </c>
      <c r="D26" s="17" t="inlineStr">
        <is>
          <t>LOT-2026-222</t>
        </is>
      </c>
      <c r="E26" s="17" t="inlineStr">
        <is>
          <t>WHAP-0497</t>
        </is>
      </c>
      <c r="F26" s="18">
        <f>IF($E26="","",IFERROR(VLOOKUP($E26,ARTICLES!$A$5:$S$2243,3,FALSE),"reference inconnue"))</f>
        <v/>
      </c>
      <c r="G26" s="17" t="n">
        <v>420</v>
      </c>
      <c r="H26" s="18">
        <f>IF(OR(G26="",G26=0,I26=""),"",ROUND(I26/G26*100,1)&amp;" %")</f>
        <v/>
      </c>
      <c r="I26" s="17" t="n">
        <v>17</v>
      </c>
      <c r="J26" s="17" t="n">
        <v>17</v>
      </c>
      <c r="K26" s="17" t="n">
        <v>0</v>
      </c>
      <c r="L26" s="17" t="inlineStr"/>
      <c r="M26" s="17" t="inlineStr">
        <is>
          <t>Marquage fournisseur present et lisible</t>
        </is>
      </c>
      <c r="N26" s="17" t="inlineStr">
        <is>
          <t>QL-1052</t>
        </is>
      </c>
      <c r="O26" s="17" t="inlineStr">
        <is>
          <t>VALIDE</t>
        </is>
      </c>
      <c r="P26" s="17" t="inlineStr"/>
      <c r="Q26" s="17" t="inlineStr"/>
      <c r="R26" s="17" t="inlineStr"/>
      <c r="S26" s="17" t="inlineStr">
        <is>
          <t>SYNCHRONISE</t>
        </is>
      </c>
      <c r="T26" s="17" t="inlineStr"/>
      <c r="U26" s="17" t="inlineStr">
        <is>
          <t>INSPECTION-HISTORIQUE-022</t>
        </is>
      </c>
      <c r="V26" s="17" t="inlineStr"/>
    </row>
    <row r="27">
      <c r="A27" s="17" t="inlineStr">
        <is>
          <t>INS-2026-188</t>
        </is>
      </c>
      <c r="B27" s="18" t="inlineStr">
        <is>
          <t>25/08/2026</t>
        </is>
      </c>
      <c r="C27" s="18" t="inlineStr">
        <is>
          <t>19:09</t>
        </is>
      </c>
      <c r="D27" s="17" t="inlineStr">
        <is>
          <t>LOT-2026-221</t>
        </is>
      </c>
      <c r="E27" s="17" t="inlineStr">
        <is>
          <t>WHAP-0338</t>
        </is>
      </c>
      <c r="F27" s="18">
        <f>IF($E27="","",IFERROR(VLOOKUP($E27,ARTICLES!$A$5:$S$2243,3,FALSE),"reference inconnue"))</f>
        <v/>
      </c>
      <c r="G27" s="17" t="n">
        <v>240</v>
      </c>
      <c r="H27" s="18">
        <f>IF(OR(G27="",G27=0,I27=""),"",ROUND(I27/G27*100,1)&amp;" %")</f>
        <v/>
      </c>
      <c r="I27" s="17" t="n">
        <v>10</v>
      </c>
      <c r="J27" s="17" t="n">
        <v>10</v>
      </c>
      <c r="K27" s="17" t="n">
        <v>0</v>
      </c>
      <c r="L27" s="17" t="inlineStr"/>
      <c r="M27" s="17" t="inlineStr">
        <is>
          <t>Echantillon conforme, aucun defaut releve</t>
        </is>
      </c>
      <c r="N27" s="17" t="inlineStr">
        <is>
          <t>QL-1064</t>
        </is>
      </c>
      <c r="O27" s="17" t="inlineStr">
        <is>
          <t>VALIDE</t>
        </is>
      </c>
      <c r="P27" s="17" t="inlineStr"/>
      <c r="Q27" s="17" t="inlineStr"/>
      <c r="R27" s="17" t="inlineStr"/>
      <c r="S27" s="17" t="inlineStr">
        <is>
          <t>SYNCHRONISE</t>
        </is>
      </c>
      <c r="T27" s="17" t="inlineStr"/>
      <c r="U27" s="17" t="inlineStr">
        <is>
          <t>INSPECTION-HISTORIQUE-023</t>
        </is>
      </c>
      <c r="V27" s="17" t="inlineStr"/>
    </row>
    <row r="28">
      <c r="A28" s="17" t="inlineStr">
        <is>
          <t>INS-2026-187</t>
        </is>
      </c>
      <c r="B28" s="18" t="inlineStr">
        <is>
          <t>25/08/2026</t>
        </is>
      </c>
      <c r="C28" s="18" t="inlineStr">
        <is>
          <t>11:09</t>
        </is>
      </c>
      <c r="D28" s="17" t="inlineStr">
        <is>
          <t>LOT-2026-219</t>
        </is>
      </c>
      <c r="E28" s="17" t="inlineStr">
        <is>
          <t>WHAP-0446</t>
        </is>
      </c>
      <c r="F28" s="18">
        <f>IF($E28="","",IFERROR(VLOOKUP($E28,ARTICLES!$A$5:$S$2243,3,FALSE),"reference inconnue"))</f>
        <v/>
      </c>
      <c r="G28" s="17" t="n">
        <v>40</v>
      </c>
      <c r="H28" s="18">
        <f>IF(OR(G28="",G28=0,I28=""),"",ROUND(I28/G28*100,1)&amp;" %")</f>
        <v/>
      </c>
      <c r="I28" s="17" t="n">
        <v>5</v>
      </c>
      <c r="J28" s="17" t="n">
        <v>5</v>
      </c>
      <c r="K28" s="17" t="n">
        <v>0</v>
      </c>
      <c r="L28" s="17" t="inlineStr"/>
      <c r="M28" s="17" t="inlineStr">
        <is>
          <t>Cotes dans l'intervalle de tolerance</t>
        </is>
      </c>
      <c r="N28" s="17" t="inlineStr">
        <is>
          <t>QL-1045</t>
        </is>
      </c>
      <c r="O28" s="17" t="inlineStr">
        <is>
          <t>VALIDE</t>
        </is>
      </c>
      <c r="P28" s="17" t="inlineStr"/>
      <c r="Q28" s="17" t="inlineStr"/>
      <c r="R28" s="17" t="inlineStr"/>
      <c r="S28" s="17" t="inlineStr">
        <is>
          <t>SYNCHRONISE</t>
        </is>
      </c>
      <c r="T28" s="17" t="inlineStr"/>
      <c r="U28" s="17" t="inlineStr">
        <is>
          <t>INSPECTION-HISTORIQUE-024</t>
        </is>
      </c>
      <c r="V28" s="17" t="inlineStr"/>
    </row>
    <row r="29">
      <c r="A29" s="17" t="inlineStr">
        <is>
          <t>INS-2026-186</t>
        </is>
      </c>
      <c r="B29" s="18" t="inlineStr">
        <is>
          <t>25/08/2026</t>
        </is>
      </c>
      <c r="C29" s="18" t="inlineStr">
        <is>
          <t>07:09</t>
        </is>
      </c>
      <c r="D29" s="17" t="inlineStr">
        <is>
          <t>LOT-2026-218</t>
        </is>
      </c>
      <c r="E29" s="17" t="inlineStr">
        <is>
          <t>WHAP-0551</t>
        </is>
      </c>
      <c r="F29" s="18">
        <f>IF($E29="","",IFERROR(VLOOKUP($E29,ARTICLES!$A$5:$S$2243,3,FALSE),"reference inconnue"))</f>
        <v/>
      </c>
      <c r="G29" s="17" t="n">
        <v>40</v>
      </c>
      <c r="H29" s="18">
        <f>IF(OR(G29="",G29=0,I29=""),"",ROUND(I29/G29*100,1)&amp;" %")</f>
        <v/>
      </c>
      <c r="I29" s="17" t="n">
        <v>5</v>
      </c>
      <c r="J29" s="17" t="n">
        <v>5</v>
      </c>
      <c r="K29" s="17" t="n">
        <v>0</v>
      </c>
      <c r="L29" s="17" t="inlineStr"/>
      <c r="M29" s="17" t="inlineStr">
        <is>
          <t>Marquage fournisseur present et lisible</t>
        </is>
      </c>
      <c r="N29" s="17" t="inlineStr">
        <is>
          <t>QL-1058</t>
        </is>
      </c>
      <c r="O29" s="17" t="inlineStr">
        <is>
          <t>VALIDE</t>
        </is>
      </c>
      <c r="P29" s="17" t="inlineStr"/>
      <c r="Q29" s="17" t="inlineStr"/>
      <c r="R29" s="17" t="inlineStr"/>
      <c r="S29" s="17" t="inlineStr">
        <is>
          <t>SYNCHRONISE</t>
        </is>
      </c>
      <c r="T29" s="17" t="inlineStr"/>
      <c r="U29" s="17" t="inlineStr">
        <is>
          <t>INSPECTION-HISTORIQUE-025</t>
        </is>
      </c>
      <c r="V29" s="17" t="inlineStr"/>
    </row>
    <row r="30">
      <c r="A30" s="17" t="inlineStr">
        <is>
          <t>INS-2026-185</t>
        </is>
      </c>
      <c r="B30" s="18" t="inlineStr">
        <is>
          <t>25/08/2026</t>
        </is>
      </c>
      <c r="C30" s="18" t="inlineStr">
        <is>
          <t>03:09</t>
        </is>
      </c>
      <c r="D30" s="17" t="inlineStr">
        <is>
          <t>LOT-2026-217</t>
        </is>
      </c>
      <c r="E30" s="17" t="inlineStr">
        <is>
          <t>WHAP-0199</t>
        </is>
      </c>
      <c r="F30" s="18">
        <f>IF($E30="","",IFERROR(VLOOKUP($E30,ARTICLES!$A$5:$S$2243,3,FALSE),"reference inconnue"))</f>
        <v/>
      </c>
      <c r="G30" s="17" t="n">
        <v>100</v>
      </c>
      <c r="H30" s="18">
        <f>IF(OR(G30="",G30=0,I30=""),"",ROUND(I30/G30*100,1)&amp;" %")</f>
        <v/>
      </c>
      <c r="I30" s="17" t="n">
        <v>5</v>
      </c>
      <c r="J30" s="17" t="n">
        <v>5</v>
      </c>
      <c r="K30" s="17" t="n">
        <v>0</v>
      </c>
      <c r="L30" s="17" t="inlineStr"/>
      <c r="M30" s="17" t="inlineStr">
        <is>
          <t>Aspect de surface conforme au plan</t>
        </is>
      </c>
      <c r="N30" s="17" t="inlineStr">
        <is>
          <t>QL-1046</t>
        </is>
      </c>
      <c r="O30" s="17" t="inlineStr">
        <is>
          <t>VALIDE</t>
        </is>
      </c>
      <c r="P30" s="17" t="inlineStr"/>
      <c r="Q30" s="17" t="inlineStr"/>
      <c r="R30" s="17" t="inlineStr"/>
      <c r="S30" s="17" t="inlineStr">
        <is>
          <t>SYNCHRONISE</t>
        </is>
      </c>
      <c r="T30" s="17" t="inlineStr"/>
      <c r="U30" s="17" t="inlineStr">
        <is>
          <t>INSPECTION-HISTORIQUE-026</t>
        </is>
      </c>
      <c r="V30" s="17" t="inlineStr"/>
    </row>
    <row r="31">
      <c r="A31" s="17" t="inlineStr">
        <is>
          <t>INS-2026-183</t>
        </is>
      </c>
      <c r="B31" s="18" t="inlineStr">
        <is>
          <t>24/08/2026</t>
        </is>
      </c>
      <c r="C31" s="18" t="inlineStr">
        <is>
          <t>19:09</t>
        </is>
      </c>
      <c r="D31" s="17" t="inlineStr">
        <is>
          <t>LOT-2026-215</t>
        </is>
      </c>
      <c r="E31" s="17" t="inlineStr">
        <is>
          <t>WHAP-0172</t>
        </is>
      </c>
      <c r="F31" s="18">
        <f>IF($E31="","",IFERROR(VLOOKUP($E31,ARTICLES!$A$5:$S$2243,3,FALSE),"reference inconnue"))</f>
        <v/>
      </c>
      <c r="G31" s="17" t="n">
        <v>120</v>
      </c>
      <c r="H31" s="18">
        <f>IF(OR(G31="",G31=0,I31=""),"",ROUND(I31/G31*100,1)&amp;" %")</f>
        <v/>
      </c>
      <c r="I31" s="17" t="n">
        <v>5</v>
      </c>
      <c r="J31" s="17" t="n">
        <v>5</v>
      </c>
      <c r="K31" s="17" t="n">
        <v>0</v>
      </c>
      <c r="L31" s="17" t="inlineStr"/>
      <c r="M31" s="17" t="inlineStr">
        <is>
          <t>Cotes dans l'intervalle de tolerance</t>
        </is>
      </c>
      <c r="N31" s="17" t="inlineStr">
        <is>
          <t>QL-1064</t>
        </is>
      </c>
      <c r="O31" s="17" t="inlineStr">
        <is>
          <t>VALIDE</t>
        </is>
      </c>
      <c r="P31" s="17" t="inlineStr"/>
      <c r="Q31" s="17" t="inlineStr"/>
      <c r="R31" s="17" t="inlineStr"/>
      <c r="S31" s="17" t="inlineStr">
        <is>
          <t>SYNCHRONISE</t>
        </is>
      </c>
      <c r="T31" s="17" t="inlineStr"/>
      <c r="U31" s="17" t="inlineStr">
        <is>
          <t>INSPECTION-HISTORIQUE-027</t>
        </is>
      </c>
      <c r="V31" s="17" t="inlineStr"/>
    </row>
    <row r="32">
      <c r="A32" s="17" t="inlineStr">
        <is>
          <t>INS-2026-182</t>
        </is>
      </c>
      <c r="B32" s="18" t="inlineStr">
        <is>
          <t>24/08/2026</t>
        </is>
      </c>
      <c r="C32" s="18" t="inlineStr">
        <is>
          <t>11:09</t>
        </is>
      </c>
      <c r="D32" s="17" t="inlineStr">
        <is>
          <t>LOT-2026-213</t>
        </is>
      </c>
      <c r="E32" s="17" t="inlineStr">
        <is>
          <t>WHAP-0574</t>
        </is>
      </c>
      <c r="F32" s="18">
        <f>IF($E32="","",IFERROR(VLOOKUP($E32,ARTICLES!$A$5:$S$2243,3,FALSE),"reference inconnue"))</f>
        <v/>
      </c>
      <c r="G32" s="17" t="n">
        <v>60</v>
      </c>
      <c r="H32" s="18">
        <f>IF(OR(G32="",G32=0,I32=""),"",ROUND(I32/G32*100,1)&amp;" %")</f>
        <v/>
      </c>
      <c r="I32" s="17" t="n">
        <v>5</v>
      </c>
      <c r="J32" s="17" t="n">
        <v>5</v>
      </c>
      <c r="K32" s="17" t="n">
        <v>0</v>
      </c>
      <c r="L32" s="17" t="inlineStr"/>
      <c r="M32" s="17" t="inlineStr">
        <is>
          <t>Cotes dans l'intervalle de tolerance</t>
        </is>
      </c>
      <c r="N32" s="17" t="inlineStr">
        <is>
          <t>QL-1052</t>
        </is>
      </c>
      <c r="O32" s="17" t="inlineStr">
        <is>
          <t>VALIDE</t>
        </is>
      </c>
      <c r="P32" s="17" t="inlineStr"/>
      <c r="Q32" s="17" t="inlineStr"/>
      <c r="R32" s="17" t="inlineStr"/>
      <c r="S32" s="17" t="inlineStr">
        <is>
          <t>SYNCHRONISE</t>
        </is>
      </c>
      <c r="T32" s="17" t="inlineStr"/>
      <c r="U32" s="17" t="inlineStr">
        <is>
          <t>INSPECTION-HISTORIQUE-028</t>
        </is>
      </c>
      <c r="V32" s="17" t="inlineStr"/>
    </row>
    <row r="33">
      <c r="A33" s="17" t="inlineStr">
        <is>
          <t>INS-2026-181</t>
        </is>
      </c>
      <c r="B33" s="18" t="inlineStr">
        <is>
          <t>24/08/2026</t>
        </is>
      </c>
      <c r="C33" s="18" t="inlineStr">
        <is>
          <t>07:09</t>
        </is>
      </c>
      <c r="D33" s="17" t="inlineStr">
        <is>
          <t>LOT-2026-212</t>
        </is>
      </c>
      <c r="E33" s="17" t="inlineStr">
        <is>
          <t>WHAP-0610</t>
        </is>
      </c>
      <c r="F33" s="18">
        <f>IF($E33="","",IFERROR(VLOOKUP($E33,ARTICLES!$A$5:$S$2243,3,FALSE),"reference inconnue"))</f>
        <v/>
      </c>
      <c r="G33" s="17" t="n">
        <v>40</v>
      </c>
      <c r="H33" s="18">
        <f>IF(OR(G33="",G33=0,I33=""),"",ROUND(I33/G33*100,1)&amp;" %")</f>
        <v/>
      </c>
      <c r="I33" s="17" t="n">
        <v>5</v>
      </c>
      <c r="J33" s="17" t="n">
        <v>5</v>
      </c>
      <c r="K33" s="17" t="n">
        <v>0</v>
      </c>
      <c r="L33" s="17" t="inlineStr"/>
      <c r="M33" s="17" t="inlineStr">
        <is>
          <t>Echantillon conforme, aucun defaut releve</t>
        </is>
      </c>
      <c r="N33" s="17" t="inlineStr">
        <is>
          <t>QL-1045</t>
        </is>
      </c>
      <c r="O33" s="17" t="inlineStr">
        <is>
          <t>VALIDE</t>
        </is>
      </c>
      <c r="P33" s="17" t="inlineStr"/>
      <c r="Q33" s="17" t="inlineStr"/>
      <c r="R33" s="17" t="inlineStr"/>
      <c r="S33" s="17" t="inlineStr">
        <is>
          <t>SYNCHRONISE</t>
        </is>
      </c>
      <c r="T33" s="17" t="inlineStr"/>
      <c r="U33" s="17" t="inlineStr">
        <is>
          <t>INSPECTION-HISTORIQUE-029</t>
        </is>
      </c>
      <c r="V33" s="17" t="inlineStr"/>
    </row>
    <row r="34">
      <c r="A34" s="17" t="inlineStr">
        <is>
          <t>INS-2026-180</t>
        </is>
      </c>
      <c r="B34" s="18" t="inlineStr">
        <is>
          <t>24/08/2026</t>
        </is>
      </c>
      <c r="C34" s="18" t="inlineStr">
        <is>
          <t>03:09</t>
        </is>
      </c>
      <c r="D34" s="17" t="inlineStr">
        <is>
          <t>LOT-2026-211</t>
        </is>
      </c>
      <c r="E34" s="17" t="inlineStr">
        <is>
          <t>WHAP-0200</t>
        </is>
      </c>
      <c r="F34" s="18">
        <f>IF($E34="","",IFERROR(VLOOKUP($E34,ARTICLES!$A$5:$S$2243,3,FALSE),"reference inconnue"))</f>
        <v/>
      </c>
      <c r="G34" s="17" t="n">
        <v>120</v>
      </c>
      <c r="H34" s="18">
        <f>IF(OR(G34="",G34=0,I34=""),"",ROUND(I34/G34*100,1)&amp;" %")</f>
        <v/>
      </c>
      <c r="I34" s="17" t="n">
        <v>5</v>
      </c>
      <c r="J34" s="17" t="n">
        <v>5</v>
      </c>
      <c r="K34" s="17" t="n">
        <v>0</v>
      </c>
      <c r="L34" s="17" t="inlineStr"/>
      <c r="M34" s="17" t="inlineStr">
        <is>
          <t>Aspect de surface conforme au plan</t>
        </is>
      </c>
      <c r="N34" s="17" t="inlineStr">
        <is>
          <t>QL-1058</t>
        </is>
      </c>
      <c r="O34" s="17" t="inlineStr">
        <is>
          <t>VALIDE</t>
        </is>
      </c>
      <c r="P34" s="17" t="inlineStr"/>
      <c r="Q34" s="17" t="inlineStr"/>
      <c r="R34" s="17" t="inlineStr"/>
      <c r="S34" s="17" t="inlineStr">
        <is>
          <t>SYNCHRONISE</t>
        </is>
      </c>
      <c r="T34" s="17" t="inlineStr"/>
      <c r="U34" s="17" t="inlineStr">
        <is>
          <t>INSPECTION-HISTORIQUE-030</t>
        </is>
      </c>
      <c r="V34" s="17" t="inlineStr"/>
    </row>
    <row r="35">
      <c r="A35" s="17" t="inlineStr">
        <is>
          <t>INS-2026-177</t>
        </is>
      </c>
      <c r="B35" s="18" t="inlineStr">
        <is>
          <t>23/08/2026</t>
        </is>
      </c>
      <c r="C35" s="18" t="inlineStr">
        <is>
          <t>15:09</t>
        </is>
      </c>
      <c r="D35" s="17" t="inlineStr">
        <is>
          <t>LOT-2026-208</t>
        </is>
      </c>
      <c r="E35" s="17" t="inlineStr">
        <is>
          <t>SEC-002</t>
        </is>
      </c>
      <c r="F35" s="18">
        <f>IF($E35="","",IFERROR(VLOOKUP($E35,ARTICLES!$A$5:$S$2243,3,FALSE),"reference inconnue"))</f>
        <v/>
      </c>
      <c r="G35" s="17" t="n">
        <v>60</v>
      </c>
      <c r="H35" s="18">
        <f>IF(OR(G35="",G35=0,I35=""),"",ROUND(I35/G35*100,1)&amp;" %")</f>
        <v/>
      </c>
      <c r="I35" s="17" t="n">
        <v>5</v>
      </c>
      <c r="J35" s="17" t="n">
        <v>5</v>
      </c>
      <c r="K35" s="17" t="n">
        <v>0</v>
      </c>
      <c r="L35" s="17" t="inlineStr"/>
      <c r="M35" s="17" t="inlineStr">
        <is>
          <t>Aspect de surface conforme au plan</t>
        </is>
      </c>
      <c r="N35" s="17" t="inlineStr">
        <is>
          <t>QL-1058</t>
        </is>
      </c>
      <c r="O35" s="17" t="inlineStr">
        <is>
          <t>VALIDE</t>
        </is>
      </c>
      <c r="P35" s="17" t="inlineStr"/>
      <c r="Q35" s="17" t="inlineStr"/>
      <c r="R35" s="17" t="inlineStr"/>
      <c r="S35" s="17" t="inlineStr">
        <is>
          <t>SYNCHRONISE</t>
        </is>
      </c>
      <c r="T35" s="17" t="inlineStr"/>
      <c r="U35" s="17" t="inlineStr">
        <is>
          <t>INSPECTION-HISTORIQUE-031</t>
        </is>
      </c>
      <c r="V35" s="17" t="inlineStr"/>
    </row>
    <row r="36">
      <c r="A36" s="17" t="inlineStr">
        <is>
          <t>INS-2026-176</t>
        </is>
      </c>
      <c r="B36" s="18" t="inlineStr">
        <is>
          <t>23/08/2026</t>
        </is>
      </c>
      <c r="C36" s="18" t="inlineStr">
        <is>
          <t>11:09</t>
        </is>
      </c>
      <c r="D36" s="17" t="inlineStr">
        <is>
          <t>LOT-2026-207</t>
        </is>
      </c>
      <c r="E36" s="17" t="inlineStr">
        <is>
          <t>ACC-002</t>
        </is>
      </c>
      <c r="F36" s="18">
        <f>IF($E36="","",IFERROR(VLOOKUP($E36,ARTICLES!$A$5:$S$2243,3,FALSE),"reference inconnue"))</f>
        <v/>
      </c>
      <c r="G36" s="17" t="n">
        <v>300</v>
      </c>
      <c r="H36" s="18">
        <f>IF(OR(G36="",G36=0,I36=""),"",ROUND(I36/G36*100,1)&amp;" %")</f>
        <v/>
      </c>
      <c r="I36" s="17" t="n">
        <v>12</v>
      </c>
      <c r="J36" s="17" t="n">
        <v>12</v>
      </c>
      <c r="K36" s="17" t="n">
        <v>0</v>
      </c>
      <c r="L36" s="17" t="inlineStr"/>
      <c r="M36" s="17" t="inlineStr">
        <is>
          <t>Echantillon conforme, aucun defaut releve</t>
        </is>
      </c>
      <c r="N36" s="17" t="inlineStr">
        <is>
          <t>QL-1058</t>
        </is>
      </c>
      <c r="O36" s="17" t="inlineStr">
        <is>
          <t>VALIDE</t>
        </is>
      </c>
      <c r="P36" s="17" t="inlineStr"/>
      <c r="Q36" s="17" t="inlineStr"/>
      <c r="R36" s="17" t="inlineStr"/>
      <c r="S36" s="17" t="inlineStr">
        <is>
          <t>SYNCHRONISE</t>
        </is>
      </c>
      <c r="T36" s="17" t="inlineStr"/>
      <c r="U36" s="17" t="inlineStr">
        <is>
          <t>INSPECTION-HISTORIQUE-032</t>
        </is>
      </c>
      <c r="V36" s="17" t="inlineStr"/>
    </row>
    <row r="37">
      <c r="A37" s="17" t="inlineStr">
        <is>
          <t>INS-2026-174</t>
        </is>
      </c>
      <c r="B37" s="18" t="inlineStr">
        <is>
          <t>23/08/2026</t>
        </is>
      </c>
      <c r="C37" s="18" t="inlineStr">
        <is>
          <t>03:09</t>
        </is>
      </c>
      <c r="D37" s="17" t="inlineStr">
        <is>
          <t>LOT-2026-205</t>
        </is>
      </c>
      <c r="E37" s="17" t="inlineStr">
        <is>
          <t>WHAP-0226</t>
        </is>
      </c>
      <c r="F37" s="18">
        <f>IF($E37="","",IFERROR(VLOOKUP($E37,ARTICLES!$A$5:$S$2243,3,FALSE),"reference inconnue"))</f>
        <v/>
      </c>
      <c r="G37" s="17" t="n">
        <v>30</v>
      </c>
      <c r="H37" s="18">
        <f>IF(OR(G37="",G37=0,I37=""),"",ROUND(I37/G37*100,1)&amp;" %")</f>
        <v/>
      </c>
      <c r="I37" s="17" t="n">
        <v>5</v>
      </c>
      <c r="J37" s="17" t="n">
        <v>5</v>
      </c>
      <c r="K37" s="17" t="n">
        <v>0</v>
      </c>
      <c r="L37" s="17" t="inlineStr"/>
      <c r="M37" s="17" t="inlineStr">
        <is>
          <t>Aspect de surface conforme au plan</t>
        </is>
      </c>
      <c r="N37" s="17" t="inlineStr">
        <is>
          <t>QL-1052</t>
        </is>
      </c>
      <c r="O37" s="17" t="inlineStr">
        <is>
          <t>VALIDE</t>
        </is>
      </c>
      <c r="P37" s="17" t="inlineStr"/>
      <c r="Q37" s="17" t="inlineStr"/>
      <c r="R37" s="17" t="inlineStr"/>
      <c r="S37" s="17" t="inlineStr">
        <is>
          <t>SYNCHRONISE</t>
        </is>
      </c>
      <c r="T37" s="17" t="inlineStr"/>
      <c r="U37" s="17" t="inlineStr">
        <is>
          <t>INSPECTION-HISTORIQUE-033</t>
        </is>
      </c>
      <c r="V37" s="17" t="inlineStr"/>
    </row>
    <row r="38">
      <c r="A38" s="17" t="inlineStr">
        <is>
          <t>INS-2026-173</t>
        </is>
      </c>
      <c r="B38" s="18" t="inlineStr">
        <is>
          <t>22/08/2026</t>
        </is>
      </c>
      <c r="C38" s="18" t="inlineStr">
        <is>
          <t>23:09</t>
        </is>
      </c>
      <c r="D38" s="17" t="inlineStr">
        <is>
          <t>LOT-2026-204</t>
        </is>
      </c>
      <c r="E38" s="17" t="inlineStr">
        <is>
          <t>WHAP-0081</t>
        </is>
      </c>
      <c r="F38" s="18">
        <f>IF($E38="","",IFERROR(VLOOKUP($E38,ARTICLES!$A$5:$S$2243,3,FALSE),"reference inconnue"))</f>
        <v/>
      </c>
      <c r="G38" s="17" t="n">
        <v>900</v>
      </c>
      <c r="H38" s="18">
        <f>IF(OR(G38="",G38=0,I38=""),"",ROUND(I38/G38*100,1)&amp;" %")</f>
        <v/>
      </c>
      <c r="I38" s="17" t="n">
        <v>36</v>
      </c>
      <c r="J38" s="17" t="n">
        <v>27</v>
      </c>
      <c r="K38" s="17" t="n">
        <v>9</v>
      </c>
      <c r="L38" s="17" t="inlineStr"/>
      <c r="M38" s="17" t="inlineStr">
        <is>
          <t>Corrosion naissante en fond d'emballage</t>
        </is>
      </c>
      <c r="N38" s="17" t="inlineStr">
        <is>
          <t>QL-1058</t>
        </is>
      </c>
      <c r="O38" s="17" t="inlineStr">
        <is>
          <t>VALIDE</t>
        </is>
      </c>
      <c r="P38" s="17" t="inlineStr"/>
      <c r="Q38" s="17" t="inlineStr"/>
      <c r="R38" s="17" t="inlineStr"/>
      <c r="S38" s="17" t="inlineStr">
        <is>
          <t>SYNCHRONISE</t>
        </is>
      </c>
      <c r="T38" s="17" t="inlineStr"/>
      <c r="U38" s="17" t="inlineStr">
        <is>
          <t>INSPECTION-HISTORIQUE-034</t>
        </is>
      </c>
      <c r="V38" s="17" t="inlineStr"/>
    </row>
    <row r="39">
      <c r="A39" s="17" t="inlineStr">
        <is>
          <t>INS-2026-172</t>
        </is>
      </c>
      <c r="B39" s="18" t="inlineStr">
        <is>
          <t>22/08/2026</t>
        </is>
      </c>
      <c r="C39" s="18" t="inlineStr">
        <is>
          <t>19:09</t>
        </is>
      </c>
      <c r="D39" s="17" t="inlineStr">
        <is>
          <t>LOT-2026-203</t>
        </is>
      </c>
      <c r="E39" s="17" t="inlineStr">
        <is>
          <t>WHAP-0270</t>
        </is>
      </c>
      <c r="F39" s="18">
        <f>IF($E39="","",IFERROR(VLOOKUP($E39,ARTICLES!$A$5:$S$2243,3,FALSE),"reference inconnue"))</f>
        <v/>
      </c>
      <c r="G39" s="17" t="n">
        <v>24</v>
      </c>
      <c r="H39" s="18">
        <f>IF(OR(G39="",G39=0,I39=""),"",ROUND(I39/G39*100,1)&amp;" %")</f>
        <v/>
      </c>
      <c r="I39" s="17" t="n">
        <v>5</v>
      </c>
      <c r="J39" s="17" t="n">
        <v>5</v>
      </c>
      <c r="K39" s="17" t="n">
        <v>0</v>
      </c>
      <c r="L39" s="17" t="inlineStr"/>
      <c r="M39" s="17" t="inlineStr">
        <is>
          <t>Marquage fournisseur present et lisible</t>
        </is>
      </c>
      <c r="N39" s="17" t="inlineStr">
        <is>
          <t>QL-1045</t>
        </is>
      </c>
      <c r="O39" s="17" t="inlineStr">
        <is>
          <t>VALIDE</t>
        </is>
      </c>
      <c r="P39" s="17" t="inlineStr"/>
      <c r="Q39" s="17" t="inlineStr"/>
      <c r="R39" s="17" t="inlineStr"/>
      <c r="S39" s="17" t="inlineStr">
        <is>
          <t>SYNCHRONISE</t>
        </is>
      </c>
      <c r="T39" s="17" t="inlineStr"/>
      <c r="U39" s="17" t="inlineStr">
        <is>
          <t>INSPECTION-HISTORIQUE-035</t>
        </is>
      </c>
      <c r="V39" s="17" t="inlineStr"/>
    </row>
    <row r="40">
      <c r="A40" s="17" t="inlineStr">
        <is>
          <t>INS-2026-171</t>
        </is>
      </c>
      <c r="B40" s="18" t="inlineStr">
        <is>
          <t>22/08/2026</t>
        </is>
      </c>
      <c r="C40" s="18" t="inlineStr">
        <is>
          <t>11:09</t>
        </is>
      </c>
      <c r="D40" s="17" t="inlineStr">
        <is>
          <t>LOT-2026-201</t>
        </is>
      </c>
      <c r="E40" s="17" t="inlineStr">
        <is>
          <t>NET-002</t>
        </is>
      </c>
      <c r="F40" s="18">
        <f>IF($E40="","",IFERROR(VLOOKUP($E40,ARTICLES!$A$5:$S$2243,3,FALSE),"reference inconnue"))</f>
        <v/>
      </c>
      <c r="G40" s="17" t="n">
        <v>480</v>
      </c>
      <c r="H40" s="18">
        <f>IF(OR(G40="",G40=0,I40=""),"",ROUND(I40/G40*100,1)&amp;" %")</f>
        <v/>
      </c>
      <c r="I40" s="17" t="n">
        <v>20</v>
      </c>
      <c r="J40" s="17" t="n">
        <v>20</v>
      </c>
      <c r="K40" s="17" t="n">
        <v>0</v>
      </c>
      <c r="L40" s="17" t="inlineStr"/>
      <c r="M40" s="17" t="inlineStr">
        <is>
          <t>Cotes dans l'intervalle de tolerance</t>
        </is>
      </c>
      <c r="N40" s="17" t="inlineStr">
        <is>
          <t>QL-1058</t>
        </is>
      </c>
      <c r="O40" s="17" t="inlineStr">
        <is>
          <t>VALIDE</t>
        </is>
      </c>
      <c r="P40" s="17" t="inlineStr"/>
      <c r="Q40" s="17" t="inlineStr"/>
      <c r="R40" s="17" t="inlineStr"/>
      <c r="S40" s="17" t="inlineStr">
        <is>
          <t>SYNCHRONISE</t>
        </is>
      </c>
      <c r="T40" s="17" t="inlineStr"/>
      <c r="U40" s="17" t="inlineStr">
        <is>
          <t>INSPECTION-HISTORIQUE-036</t>
        </is>
      </c>
      <c r="V40" s="17" t="inlineStr"/>
    </row>
    <row r="41">
      <c r="A41" s="17" t="inlineStr">
        <is>
          <t>INS-2026-160</t>
        </is>
      </c>
      <c r="B41" s="18" t="inlineStr">
        <is>
          <t>20/08/2026</t>
        </is>
      </c>
      <c r="C41" s="18" t="inlineStr">
        <is>
          <t>07:09</t>
        </is>
      </c>
      <c r="D41" s="17" t="inlineStr">
        <is>
          <t>LOT-2026-188</t>
        </is>
      </c>
      <c r="E41" s="17" t="inlineStr">
        <is>
          <t>WHAP-0417</t>
        </is>
      </c>
      <c r="F41" s="18">
        <f>IF($E41="","",IFERROR(VLOOKUP($E41,ARTICLES!$A$5:$S$2243,3,FALSE),"reference inconnue"))</f>
        <v/>
      </c>
      <c r="G41" s="17" t="n">
        <v>24</v>
      </c>
      <c r="H41" s="18">
        <f>IF(OR(G41="",G41=0,I41=""),"",ROUND(I41/G41*100,1)&amp;" %")</f>
        <v/>
      </c>
      <c r="I41" s="17" t="n">
        <v>5</v>
      </c>
      <c r="J41" s="17" t="n">
        <v>5</v>
      </c>
      <c r="K41" s="17" t="n">
        <v>0</v>
      </c>
      <c r="L41" s="17" t="inlineStr"/>
      <c r="M41" s="17" t="inlineStr">
        <is>
          <t>Marquage fournisseur present et lisible</t>
        </is>
      </c>
      <c r="N41" s="17" t="inlineStr">
        <is>
          <t>QL-1064</t>
        </is>
      </c>
      <c r="O41" s="17" t="inlineStr">
        <is>
          <t>VALIDE</t>
        </is>
      </c>
      <c r="P41" s="17" t="inlineStr"/>
      <c r="Q41" s="17" t="inlineStr"/>
      <c r="R41" s="17" t="inlineStr"/>
      <c r="S41" s="17" t="inlineStr">
        <is>
          <t>SYNCHRONISE</t>
        </is>
      </c>
      <c r="T41" s="17" t="inlineStr"/>
      <c r="U41" s="17" t="inlineStr">
        <is>
          <t>INSPECTION-HISTORIQUE-037</t>
        </is>
      </c>
      <c r="V41" s="17" t="inlineStr"/>
    </row>
    <row r="42">
      <c r="A42" s="17" t="inlineStr">
        <is>
          <t>INS-2026-159</t>
        </is>
      </c>
      <c r="B42" s="18" t="inlineStr">
        <is>
          <t>20/08/2026</t>
        </is>
      </c>
      <c r="C42" s="18" t="inlineStr">
        <is>
          <t>03:09</t>
        </is>
      </c>
      <c r="D42" s="17" t="inlineStr">
        <is>
          <t>LOT-2026-187</t>
        </is>
      </c>
      <c r="E42" s="17" t="inlineStr">
        <is>
          <t>ADH-003</t>
        </is>
      </c>
      <c r="F42" s="18">
        <f>IF($E42="","",IFERROR(VLOOKUP($E42,ARTICLES!$A$5:$S$2243,3,FALSE),"reference inconnue"))</f>
        <v/>
      </c>
      <c r="G42" s="17" t="n">
        <v>360</v>
      </c>
      <c r="H42" s="18">
        <f>IF(OR(G42="",G42=0,I42=""),"",ROUND(I42/G42*100,1)&amp;" %")</f>
        <v/>
      </c>
      <c r="I42" s="17" t="n">
        <v>15</v>
      </c>
      <c r="J42" s="17" t="n">
        <v>15</v>
      </c>
      <c r="K42" s="17" t="n">
        <v>0</v>
      </c>
      <c r="L42" s="17" t="inlineStr"/>
      <c r="M42" s="17" t="inlineStr">
        <is>
          <t>Marquage fournisseur present et lisible</t>
        </is>
      </c>
      <c r="N42" s="17" t="inlineStr">
        <is>
          <t>QL-1064</t>
        </is>
      </c>
      <c r="O42" s="17" t="inlineStr">
        <is>
          <t>VALIDE</t>
        </is>
      </c>
      <c r="P42" s="17" t="inlineStr"/>
      <c r="Q42" s="17" t="inlineStr"/>
      <c r="R42" s="17" t="inlineStr"/>
      <c r="S42" s="17" t="inlineStr">
        <is>
          <t>SYNCHRONISE</t>
        </is>
      </c>
      <c r="T42" s="17" t="inlineStr"/>
      <c r="U42" s="17" t="inlineStr">
        <is>
          <t>INSPECTION-HISTORIQUE-038</t>
        </is>
      </c>
      <c r="V42" s="17" t="inlineStr"/>
    </row>
    <row r="43">
      <c r="A43" s="17" t="inlineStr">
        <is>
          <t>INS-2026-158</t>
        </is>
      </c>
      <c r="B43" s="18" t="inlineStr">
        <is>
          <t>19/08/2026</t>
        </is>
      </c>
      <c r="C43" s="18" t="inlineStr">
        <is>
          <t>23:09</t>
        </is>
      </c>
      <c r="D43" s="17" t="inlineStr">
        <is>
          <t>LOT-2026-186</t>
        </is>
      </c>
      <c r="E43" s="17" t="inlineStr">
        <is>
          <t>WHAP-0271</t>
        </is>
      </c>
      <c r="F43" s="18">
        <f>IF($E43="","",IFERROR(VLOOKUP($E43,ARTICLES!$A$5:$S$2243,3,FALSE),"reference inconnue"))</f>
        <v/>
      </c>
      <c r="G43" s="17" t="n">
        <v>12</v>
      </c>
      <c r="H43" s="18">
        <f>IF(OR(G43="",G43=0,I43=""),"",ROUND(I43/G43*100,1)&amp;" %")</f>
        <v/>
      </c>
      <c r="I43" s="17" t="n">
        <v>5</v>
      </c>
      <c r="J43" s="17" t="n">
        <v>4</v>
      </c>
      <c r="K43" s="17" t="n">
        <v>1</v>
      </c>
      <c r="L43" s="17" t="inlineStr"/>
      <c r="M43" s="17" t="inlineStr">
        <is>
          <t>Cote hors tolerance sur l'echantillon</t>
        </is>
      </c>
      <c r="N43" s="17" t="inlineStr">
        <is>
          <t>QL-1058</t>
        </is>
      </c>
      <c r="O43" s="17" t="inlineStr">
        <is>
          <t>VALIDE</t>
        </is>
      </c>
      <c r="P43" s="17" t="inlineStr"/>
      <c r="Q43" s="17" t="inlineStr"/>
      <c r="R43" s="17" t="inlineStr"/>
      <c r="S43" s="17" t="inlineStr">
        <is>
          <t>SYNCHRONISE</t>
        </is>
      </c>
      <c r="T43" s="17" t="inlineStr"/>
      <c r="U43" s="17" t="inlineStr">
        <is>
          <t>INSPECTION-HISTORIQUE-039</t>
        </is>
      </c>
      <c r="V43" s="17" t="inlineStr"/>
    </row>
    <row r="44">
      <c r="A44" s="17" t="inlineStr">
        <is>
          <t>INS-2026-157</t>
        </is>
      </c>
      <c r="B44" s="18" t="inlineStr">
        <is>
          <t>19/08/2026</t>
        </is>
      </c>
      <c r="C44" s="18" t="inlineStr">
        <is>
          <t>19:09</t>
        </is>
      </c>
      <c r="D44" s="17" t="inlineStr">
        <is>
          <t>LOT-2026-185</t>
        </is>
      </c>
      <c r="E44" s="17" t="inlineStr">
        <is>
          <t>WHAP-0496</t>
        </is>
      </c>
      <c r="F44" s="18">
        <f>IF($E44="","",IFERROR(VLOOKUP($E44,ARTICLES!$A$5:$S$2243,3,FALSE),"reference inconnue"))</f>
        <v/>
      </c>
      <c r="G44" s="17" t="n">
        <v>120</v>
      </c>
      <c r="H44" s="18">
        <f>IF(OR(G44="",G44=0,I44=""),"",ROUND(I44/G44*100,1)&amp;" %")</f>
        <v/>
      </c>
      <c r="I44" s="17" t="n">
        <v>5</v>
      </c>
      <c r="J44" s="17" t="n">
        <v>5</v>
      </c>
      <c r="K44" s="17" t="n">
        <v>0</v>
      </c>
      <c r="L44" s="17" t="inlineStr"/>
      <c r="M44" s="17" t="inlineStr">
        <is>
          <t>Marquage fournisseur present et lisible</t>
        </is>
      </c>
      <c r="N44" s="17" t="inlineStr">
        <is>
          <t>QL-1046</t>
        </is>
      </c>
      <c r="O44" s="17" t="inlineStr">
        <is>
          <t>VALIDE</t>
        </is>
      </c>
      <c r="P44" s="17" t="inlineStr"/>
      <c r="Q44" s="17" t="inlineStr"/>
      <c r="R44" s="17" t="inlineStr"/>
      <c r="S44" s="17" t="inlineStr">
        <is>
          <t>SYNCHRONISE</t>
        </is>
      </c>
      <c r="T44" s="17" t="inlineStr"/>
      <c r="U44" s="17" t="inlineStr">
        <is>
          <t>INSPECTION-HISTORIQUE-040</t>
        </is>
      </c>
      <c r="V44" s="17" t="inlineStr"/>
    </row>
    <row r="45">
      <c r="A45" s="17" t="inlineStr"/>
      <c r="B45" s="18">
        <f>IF($D45="","",TEXT(TODAY(),"dd/mm/yyyy"))</f>
        <v/>
      </c>
      <c r="C45" s="18">
        <f>IF($D45="","",TEXT(NOW(),"hh:mm"))</f>
        <v/>
      </c>
      <c r="D45" s="17" t="inlineStr">
        <is>
          <t>LOT-2026-249</t>
        </is>
      </c>
      <c r="E45" s="17" t="inlineStr">
        <is>
          <t>WHAP-0418</t>
        </is>
      </c>
      <c r="F45" s="18">
        <f>IF($E45="","",IFERROR(VLOOKUP($E45,ARTICLES!$A$5:$S$2243,3,FALSE),"reference inconnue"))</f>
        <v/>
      </c>
      <c r="G45" s="17" t="n">
        <v>24</v>
      </c>
      <c r="H45" s="18">
        <f>IF(OR(G45="",G45=0,I45=""),"",ROUND(I45/G45*100,1)&amp;" %")</f>
        <v/>
      </c>
      <c r="I45" s="17" t="inlineStr"/>
      <c r="J45" s="17" t="inlineStr"/>
      <c r="K45" s="17" t="inlineStr"/>
      <c r="L45" s="17" t="inlineStr"/>
      <c r="M45" s="17" t="inlineStr"/>
      <c r="N45" s="17" t="inlineStr"/>
      <c r="O45" s="17" t="inlineStr">
        <is>
          <t>BROUILLON</t>
        </is>
      </c>
      <c r="P45" s="17" t="inlineStr"/>
      <c r="Q45" s="17" t="inlineStr"/>
      <c r="R45" s="17" t="inlineStr"/>
      <c r="S45" s="17" t="inlineStr"/>
      <c r="T45" s="17" t="inlineStr"/>
      <c r="U45" s="17" t="inlineStr"/>
      <c r="V45" s="17" t="inlineStr"/>
    </row>
    <row r="46">
      <c r="A46" s="17" t="inlineStr"/>
      <c r="B46" s="18">
        <f>IF($D46="","",TEXT(TODAY(),"dd/mm/yyyy"))</f>
        <v/>
      </c>
      <c r="C46" s="18">
        <f>IF($D46="","",TEXT(NOW(),"hh:mm"))</f>
        <v/>
      </c>
      <c r="D46" s="17" t="inlineStr">
        <is>
          <t>LOT-2026-244</t>
        </is>
      </c>
      <c r="E46" s="17" t="inlineStr">
        <is>
          <t>ADH-002</t>
        </is>
      </c>
      <c r="F46" s="18">
        <f>IF($E46="","",IFERROR(VLOOKUP($E46,ARTICLES!$A$5:$S$2243,3,FALSE),"reference inconnue"))</f>
        <v/>
      </c>
      <c r="G46" s="17" t="n">
        <v>180</v>
      </c>
      <c r="H46" s="18">
        <f>IF(OR(G46="",G46=0,I46=""),"",ROUND(I46/G46*100,1)&amp;" %")</f>
        <v/>
      </c>
      <c r="I46" s="17" t="inlineStr"/>
      <c r="J46" s="17" t="inlineStr"/>
      <c r="K46" s="17" t="inlineStr"/>
      <c r="L46" s="17" t="inlineStr"/>
      <c r="M46" s="17" t="inlineStr"/>
      <c r="N46" s="17" t="inlineStr"/>
      <c r="O46" s="17" t="inlineStr">
        <is>
          <t>BROUILLON</t>
        </is>
      </c>
      <c r="P46" s="17" t="inlineStr"/>
      <c r="Q46" s="17" t="inlineStr"/>
      <c r="R46" s="17" t="inlineStr"/>
      <c r="S46" s="17" t="inlineStr"/>
      <c r="T46" s="17" t="inlineStr"/>
      <c r="U46" s="17" t="inlineStr"/>
      <c r="V46" s="17" t="inlineStr"/>
    </row>
    <row r="47">
      <c r="A47" s="17" t="inlineStr"/>
      <c r="B47" s="18">
        <f>IF($D47="","",TEXT(TODAY(),"dd/mm/yyyy"))</f>
        <v/>
      </c>
      <c r="C47" s="18">
        <f>IF($D47="","",TEXT(NOW(),"hh:mm"))</f>
        <v/>
      </c>
      <c r="D47" s="17" t="inlineStr">
        <is>
          <t>LOT-2026-242</t>
        </is>
      </c>
      <c r="E47" s="17" t="inlineStr">
        <is>
          <t>WHAP-0552</t>
        </is>
      </c>
      <c r="F47" s="18">
        <f>IF($E47="","",IFERROR(VLOOKUP($E47,ARTICLES!$A$5:$S$2243,3,FALSE),"reference inconnue"))</f>
        <v/>
      </c>
      <c r="G47" s="17" t="n">
        <v>18</v>
      </c>
      <c r="H47" s="18">
        <f>IF(OR(G47="",G47=0,I47=""),"",ROUND(I47/G47*100,1)&amp;" %")</f>
        <v/>
      </c>
      <c r="I47" s="17" t="inlineStr"/>
      <c r="J47" s="17" t="inlineStr"/>
      <c r="K47" s="17" t="inlineStr"/>
      <c r="L47" s="17" t="inlineStr"/>
      <c r="M47" s="17" t="inlineStr"/>
      <c r="N47" s="17" t="inlineStr"/>
      <c r="O47" s="17" t="inlineStr">
        <is>
          <t>BROUILLON</t>
        </is>
      </c>
      <c r="P47" s="17" t="inlineStr"/>
      <c r="Q47" s="17" t="inlineStr"/>
      <c r="R47" s="17" t="inlineStr"/>
      <c r="S47" s="17" t="inlineStr"/>
      <c r="T47" s="17" t="inlineStr"/>
      <c r="U47" s="17" t="inlineStr"/>
      <c r="V47" s="17" t="inlineStr"/>
    </row>
    <row r="48">
      <c r="A48" s="17" t="inlineStr"/>
      <c r="B48" s="18">
        <f>IF($D48="","",TEXT(TODAY(),"dd/mm/yyyy"))</f>
        <v/>
      </c>
      <c r="C48" s="18">
        <f>IF($D48="","",TEXT(NOW(),"hh:mm"))</f>
        <v/>
      </c>
      <c r="D48" s="17" t="inlineStr">
        <is>
          <t>LOT-2026-236</t>
        </is>
      </c>
      <c r="E48" s="17" t="inlineStr">
        <is>
          <t>ADH-001</t>
        </is>
      </c>
      <c r="F48" s="18">
        <f>IF($E48="","",IFERROR(VLOOKUP($E48,ARTICLES!$A$5:$S$2243,3,FALSE),"reference inconnue"))</f>
        <v/>
      </c>
      <c r="G48" s="17" t="n">
        <v>596</v>
      </c>
      <c r="H48" s="18">
        <f>IF(OR(G48="",G48=0,I48=""),"",ROUND(I48/G48*100,1)&amp;" %")</f>
        <v/>
      </c>
      <c r="I48" s="17" t="inlineStr"/>
      <c r="J48" s="17" t="inlineStr"/>
      <c r="K48" s="17" t="inlineStr"/>
      <c r="L48" s="17" t="inlineStr"/>
      <c r="M48" s="17" t="inlineStr"/>
      <c r="N48" s="17" t="inlineStr"/>
      <c r="O48" s="17" t="inlineStr">
        <is>
          <t>BROUILLON</t>
        </is>
      </c>
      <c r="P48" s="17" t="inlineStr"/>
      <c r="Q48" s="17" t="inlineStr"/>
      <c r="R48" s="17" t="inlineStr"/>
      <c r="S48" s="17" t="inlineStr"/>
      <c r="T48" s="17" t="inlineStr"/>
      <c r="U48" s="17" t="inlineStr"/>
      <c r="V48" s="17" t="inlineStr"/>
    </row>
    <row r="49">
      <c r="A49" s="17" t="inlineStr"/>
      <c r="B49" s="18">
        <f>IF($D49="","",TEXT(TODAY(),"dd/mm/yyyy"))</f>
        <v/>
      </c>
      <c r="C49" s="18">
        <f>IF($D49="","",TEXT(NOW(),"hh:mm"))</f>
        <v/>
      </c>
      <c r="D49" s="17" t="inlineStr">
        <is>
          <t>LOT-2026-231</t>
        </is>
      </c>
      <c r="E49" s="17" t="inlineStr">
        <is>
          <t>WHAP-0574</t>
        </is>
      </c>
      <c r="F49" s="18">
        <f>IF($E49="","",IFERROR(VLOOKUP($E49,ARTICLES!$A$5:$S$2243,3,FALSE),"reference inconnue"))</f>
        <v/>
      </c>
      <c r="G49" s="17" t="n">
        <v>80</v>
      </c>
      <c r="H49" s="18">
        <f>IF(OR(G49="",G49=0,I49=""),"",ROUND(I49/G49*100,1)&amp;" %")</f>
        <v/>
      </c>
      <c r="I49" s="17" t="inlineStr"/>
      <c r="J49" s="17" t="inlineStr"/>
      <c r="K49" s="17" t="inlineStr"/>
      <c r="L49" s="17" t="inlineStr"/>
      <c r="M49" s="17" t="inlineStr"/>
      <c r="N49" s="17" t="inlineStr"/>
      <c r="O49" s="17" t="inlineStr">
        <is>
          <t>BROUILLON</t>
        </is>
      </c>
      <c r="P49" s="17" t="inlineStr"/>
      <c r="Q49" s="17" t="inlineStr"/>
      <c r="R49" s="17" t="inlineStr"/>
      <c r="S49" s="17" t="inlineStr"/>
      <c r="T49" s="17" t="inlineStr"/>
      <c r="U49" s="17" t="inlineStr"/>
      <c r="V49" s="17" t="inlineStr"/>
    </row>
    <row r="50">
      <c r="A50" s="17" t="inlineStr"/>
      <c r="B50" s="18">
        <f>IF($D50="","",TEXT(TODAY(),"dd/mm/yyyy"))</f>
        <v/>
      </c>
      <c r="C50" s="18">
        <f>IF($D50="","",TEXT(NOW(),"hh:mm"))</f>
        <v/>
      </c>
      <c r="D50" s="17" t="inlineStr">
        <is>
          <t>LOT-2026-226</t>
        </is>
      </c>
      <c r="E50" s="17" t="inlineStr">
        <is>
          <t>WHAP-0171</t>
        </is>
      </c>
      <c r="F50" s="18">
        <f>IF($E50="","",IFERROR(VLOOKUP($E50,ARTICLES!$A$5:$S$2243,3,FALSE),"reference inconnue"))</f>
        <v/>
      </c>
      <c r="G50" s="17" t="n">
        <v>120</v>
      </c>
      <c r="H50" s="18">
        <f>IF(OR(G50="",G50=0,I50=""),"",ROUND(I50/G50*100,1)&amp;" %")</f>
        <v/>
      </c>
      <c r="I50" s="17" t="inlineStr"/>
      <c r="J50" s="17" t="inlineStr"/>
      <c r="K50" s="17" t="inlineStr"/>
      <c r="L50" s="17" t="inlineStr"/>
      <c r="M50" s="17" t="inlineStr"/>
      <c r="N50" s="17" t="inlineStr"/>
      <c r="O50" s="17" t="inlineStr">
        <is>
          <t>BROUILLON</t>
        </is>
      </c>
      <c r="P50" s="17" t="inlineStr"/>
      <c r="Q50" s="17" t="inlineStr"/>
      <c r="R50" s="17" t="inlineStr"/>
      <c r="S50" s="17" t="inlineStr"/>
      <c r="T50" s="17" t="inlineStr"/>
      <c r="U50" s="17" t="inlineStr"/>
      <c r="V50" s="17" t="inlineStr"/>
    </row>
    <row r="51">
      <c r="A51" s="17" t="inlineStr"/>
      <c r="B51" s="18">
        <f>IF($D51="","",TEXT(TODAY(),"dd/mm/yyyy"))</f>
        <v/>
      </c>
      <c r="C51" s="18">
        <f>IF($D51="","",TEXT(NOW(),"hh:mm"))</f>
        <v/>
      </c>
      <c r="D51" s="17" t="inlineStr">
        <is>
          <t>LOT-2026-220</t>
        </is>
      </c>
      <c r="E51" s="17" t="inlineStr">
        <is>
          <t>WHAP-0133</t>
        </is>
      </c>
      <c r="F51" s="18">
        <f>IF($E51="","",IFERROR(VLOOKUP($E51,ARTICLES!$A$5:$S$2243,3,FALSE),"reference inconnue"))</f>
        <v/>
      </c>
      <c r="G51" s="17" t="n">
        <v>100</v>
      </c>
      <c r="H51" s="18">
        <f>IF(OR(G51="",G51=0,I51=""),"",ROUND(I51/G51*100,1)&amp;" %")</f>
        <v/>
      </c>
      <c r="I51" s="17" t="inlineStr"/>
      <c r="J51" s="17" t="inlineStr"/>
      <c r="K51" s="17" t="inlineStr"/>
      <c r="L51" s="17" t="inlineStr"/>
      <c r="M51" s="17" t="inlineStr"/>
      <c r="N51" s="17" t="inlineStr"/>
      <c r="O51" s="17" t="inlineStr">
        <is>
          <t>BROUILLON</t>
        </is>
      </c>
      <c r="P51" s="17" t="inlineStr"/>
      <c r="Q51" s="17" t="inlineStr"/>
      <c r="R51" s="17" t="inlineStr"/>
      <c r="S51" s="17" t="inlineStr"/>
      <c r="T51" s="17" t="inlineStr"/>
      <c r="U51" s="17" t="inlineStr"/>
      <c r="V51" s="17" t="inlineStr"/>
    </row>
    <row r="52">
      <c r="A52" s="17" t="inlineStr"/>
      <c r="B52" s="18">
        <f>IF($D52="","",TEXT(TODAY(),"dd/mm/yyyy"))</f>
        <v/>
      </c>
      <c r="C52" s="18">
        <f>IF($D52="","",TEXT(NOW(),"hh:mm"))</f>
        <v/>
      </c>
      <c r="D52" s="17" t="inlineStr">
        <is>
          <t>LOT-2026-202</t>
        </is>
      </c>
      <c r="E52" s="17" t="inlineStr">
        <is>
          <t>WHAP-0001</t>
        </is>
      </c>
      <c r="F52" s="18">
        <f>IF($E52="","",IFERROR(VLOOKUP($E52,ARTICLES!$A$5:$S$2243,3,FALSE),"reference inconnue"))</f>
        <v/>
      </c>
      <c r="G52" s="17" t="n">
        <v>40</v>
      </c>
      <c r="H52" s="18">
        <f>IF(OR(G52="",G52=0,I52=""),"",ROUND(I52/G52*100,1)&amp;" %")</f>
        <v/>
      </c>
      <c r="I52" s="17" t="inlineStr"/>
      <c r="J52" s="17" t="inlineStr"/>
      <c r="K52" s="17" t="inlineStr"/>
      <c r="L52" s="17" t="inlineStr"/>
      <c r="M52" s="17" t="inlineStr"/>
      <c r="N52" s="17" t="inlineStr"/>
      <c r="O52" s="17" t="inlineStr">
        <is>
          <t>BROUILLON</t>
        </is>
      </c>
      <c r="P52" s="17" t="inlineStr"/>
      <c r="Q52" s="17" t="inlineStr"/>
      <c r="R52" s="17" t="inlineStr"/>
      <c r="S52" s="17" t="inlineStr"/>
      <c r="T52" s="17" t="inlineStr"/>
      <c r="U52" s="17" t="inlineStr"/>
      <c r="V52" s="17" t="inlineStr"/>
    </row>
    <row r="53">
      <c r="A53" s="17" t="inlineStr"/>
      <c r="B53" s="18">
        <f>IF($D53="","",TEXT(TODAY(),"dd/mm/yyyy"))</f>
        <v/>
      </c>
      <c r="C53" s="18">
        <f>IF($D53="","",TEXT(NOW(),"hh:mm"))</f>
        <v/>
      </c>
      <c r="D53" s="17" t="inlineStr">
        <is>
          <t>LOT-2026-196</t>
        </is>
      </c>
      <c r="E53" s="17" t="inlineStr">
        <is>
          <t>WHAP-0082</t>
        </is>
      </c>
      <c r="F53" s="18">
        <f>IF($E53="","",IFERROR(VLOOKUP($E53,ARTICLES!$A$5:$S$2243,3,FALSE),"reference inconnue"))</f>
        <v/>
      </c>
      <c r="G53" s="17" t="n">
        <v>237</v>
      </c>
      <c r="H53" s="18">
        <f>IF(OR(G53="",G53=0,I53=""),"",ROUND(I53/G53*100,1)&amp;" %")</f>
        <v/>
      </c>
      <c r="I53" s="17" t="inlineStr"/>
      <c r="J53" s="17" t="inlineStr"/>
      <c r="K53" s="17" t="inlineStr"/>
      <c r="L53" s="17" t="inlineStr"/>
      <c r="M53" s="17" t="inlineStr"/>
      <c r="N53" s="17" t="inlineStr"/>
      <c r="O53" s="17" t="inlineStr">
        <is>
          <t>BROUILLON</t>
        </is>
      </c>
      <c r="P53" s="17" t="inlineStr"/>
      <c r="Q53" s="17" t="inlineStr"/>
      <c r="R53" s="17" t="inlineStr"/>
      <c r="S53" s="17" t="inlineStr"/>
      <c r="T53" s="17" t="inlineStr"/>
      <c r="U53" s="17" t="inlineStr"/>
      <c r="V53" s="17" t="inlineStr"/>
    </row>
    <row r="54">
      <c r="A54" s="17" t="inlineStr"/>
      <c r="B54" s="18">
        <f>IF($D54="","",TEXT(TODAY(),"dd/mm/yyyy"))</f>
        <v/>
      </c>
      <c r="C54" s="18">
        <f>IF($D54="","",TEXT(NOW(),"hh:mm"))</f>
        <v/>
      </c>
      <c r="D54" s="17" t="inlineStr">
        <is>
          <t>LOT-2026-184</t>
        </is>
      </c>
      <c r="E54" s="17" t="inlineStr">
        <is>
          <t>WHAP-0630</t>
        </is>
      </c>
      <c r="F54" s="18">
        <f>IF($E54="","",IFERROR(VLOOKUP($E54,ARTICLES!$A$5:$S$2243,3,FALSE),"reference inconnue"))</f>
        <v/>
      </c>
      <c r="G54" s="17" t="n">
        <v>300</v>
      </c>
      <c r="H54" s="18">
        <f>IF(OR(G54="",G54=0,I54=""),"",ROUND(I54/G54*100,1)&amp;" %")</f>
        <v/>
      </c>
      <c r="I54" s="17" t="inlineStr"/>
      <c r="J54" s="17" t="inlineStr"/>
      <c r="K54" s="17" t="inlineStr"/>
      <c r="L54" s="17" t="inlineStr"/>
      <c r="M54" s="17" t="inlineStr"/>
      <c r="N54" s="17" t="inlineStr"/>
      <c r="O54" s="17" t="inlineStr">
        <is>
          <t>BROUILLON</t>
        </is>
      </c>
      <c r="P54" s="17" t="inlineStr"/>
      <c r="Q54" s="17" t="inlineStr"/>
      <c r="R54" s="17" t="inlineStr"/>
      <c r="S54" s="17" t="inlineStr"/>
      <c r="T54" s="17" t="inlineStr"/>
      <c r="U54" s="17" t="inlineStr"/>
      <c r="V54" s="17" t="inlineStr"/>
    </row>
    <row r="55">
      <c r="A55" s="17" t="n"/>
      <c r="B55" s="18">
        <f>IF($D55="","",TEXT(TODAY(),"dd/mm/yyyy"))</f>
        <v/>
      </c>
      <c r="C55" s="18">
        <f>IF($D55="","",TEXT(NOW(),"hh:mm"))</f>
        <v/>
      </c>
      <c r="D55" s="19" t="n"/>
      <c r="E55" s="19" t="n"/>
      <c r="F55" s="18">
        <f>IF($E55="","",IFERROR(VLOOKUP($E55,ARTICLES!$A$5:$S$2243,3,FALSE),"reference inconnue"))</f>
        <v/>
      </c>
      <c r="G55" s="19" t="n"/>
      <c r="H55" s="18">
        <f>IF(OR(G55="",G55=0,I55=""),"",ROUND(I55/G55*100,1)&amp;" %")</f>
        <v/>
      </c>
      <c r="I55" s="19" t="n"/>
      <c r="J55" s="19" t="n"/>
      <c r="K55" s="19" t="n"/>
      <c r="L55" s="19" t="n"/>
      <c r="M55" s="19" t="n"/>
      <c r="N55" s="19" t="n"/>
      <c r="O55" s="17" t="inlineStr">
        <is>
          <t>BROUILLON</t>
        </is>
      </c>
      <c r="P55" s="17" t="n"/>
      <c r="Q55" s="17" t="n"/>
      <c r="R55" s="17" t="n"/>
      <c r="S55" s="17" t="n"/>
      <c r="T55" s="17" t="n"/>
      <c r="U55" s="17" t="n"/>
      <c r="V55" s="17" t="n"/>
    </row>
    <row r="56">
      <c r="A56" s="17" t="n"/>
      <c r="B56" s="18">
        <f>IF($D56="","",TEXT(TODAY(),"dd/mm/yyyy"))</f>
        <v/>
      </c>
      <c r="C56" s="18">
        <f>IF($D56="","",TEXT(NOW(),"hh:mm"))</f>
        <v/>
      </c>
      <c r="D56" s="19" t="n"/>
      <c r="E56" s="19" t="n"/>
      <c r="F56" s="18">
        <f>IF($E56="","",IFERROR(VLOOKUP($E56,ARTICLES!$A$5:$S$2243,3,FALSE),"reference inconnue"))</f>
        <v/>
      </c>
      <c r="G56" s="19" t="n"/>
      <c r="H56" s="18">
        <f>IF(OR(G56="",G56=0,I56=""),"",ROUND(I56/G56*100,1)&amp;" %")</f>
        <v/>
      </c>
      <c r="I56" s="19" t="n"/>
      <c r="J56" s="19" t="n"/>
      <c r="K56" s="19" t="n"/>
      <c r="L56" s="19" t="n"/>
      <c r="M56" s="19" t="n"/>
      <c r="N56" s="19" t="n"/>
      <c r="O56" s="17" t="inlineStr">
        <is>
          <t>BROUILLON</t>
        </is>
      </c>
      <c r="P56" s="17" t="n"/>
      <c r="Q56" s="17" t="n"/>
      <c r="R56" s="17" t="n"/>
      <c r="S56" s="17" t="n"/>
      <c r="T56" s="17" t="n"/>
      <c r="U56" s="17" t="n"/>
      <c r="V56" s="17" t="n"/>
    </row>
    <row r="57">
      <c r="A57" s="17" t="n"/>
      <c r="B57" s="18">
        <f>IF($D57="","",TEXT(TODAY(),"dd/mm/yyyy"))</f>
        <v/>
      </c>
      <c r="C57" s="18">
        <f>IF($D57="","",TEXT(NOW(),"hh:mm"))</f>
        <v/>
      </c>
      <c r="D57" s="19" t="n"/>
      <c r="E57" s="19" t="n"/>
      <c r="F57" s="18">
        <f>IF($E57="","",IFERROR(VLOOKUP($E57,ARTICLES!$A$5:$S$2243,3,FALSE),"reference inconnue"))</f>
        <v/>
      </c>
      <c r="G57" s="19" t="n"/>
      <c r="H57" s="18">
        <f>IF(OR(G57="",G57=0,I57=""),"",ROUND(I57/G57*100,1)&amp;" %")</f>
        <v/>
      </c>
      <c r="I57" s="19" t="n"/>
      <c r="J57" s="19" t="n"/>
      <c r="K57" s="19" t="n"/>
      <c r="L57" s="19" t="n"/>
      <c r="M57" s="19" t="n"/>
      <c r="N57" s="19" t="n"/>
      <c r="O57" s="17" t="inlineStr">
        <is>
          <t>BROUILLON</t>
        </is>
      </c>
      <c r="P57" s="17" t="n"/>
      <c r="Q57" s="17" t="n"/>
      <c r="R57" s="17" t="n"/>
      <c r="S57" s="17" t="n"/>
      <c r="T57" s="17" t="n"/>
      <c r="U57" s="17" t="n"/>
      <c r="V57" s="17" t="n"/>
    </row>
    <row r="58">
      <c r="A58" s="17" t="n"/>
      <c r="B58" s="18">
        <f>IF($D58="","",TEXT(TODAY(),"dd/mm/yyyy"))</f>
        <v/>
      </c>
      <c r="C58" s="18">
        <f>IF($D58="","",TEXT(NOW(),"hh:mm"))</f>
        <v/>
      </c>
      <c r="D58" s="19" t="n"/>
      <c r="E58" s="19" t="n"/>
      <c r="F58" s="18">
        <f>IF($E58="","",IFERROR(VLOOKUP($E58,ARTICLES!$A$5:$S$2243,3,FALSE),"reference inconnue"))</f>
        <v/>
      </c>
      <c r="G58" s="19" t="n"/>
      <c r="H58" s="18">
        <f>IF(OR(G58="",G58=0,I58=""),"",ROUND(I58/G58*100,1)&amp;" %")</f>
        <v/>
      </c>
      <c r="I58" s="19" t="n"/>
      <c r="J58" s="19" t="n"/>
      <c r="K58" s="19" t="n"/>
      <c r="L58" s="19" t="n"/>
      <c r="M58" s="19" t="n"/>
      <c r="N58" s="19" t="n"/>
      <c r="O58" s="17" t="inlineStr">
        <is>
          <t>BROUILLON</t>
        </is>
      </c>
      <c r="P58" s="17" t="n"/>
      <c r="Q58" s="17" t="n"/>
      <c r="R58" s="17" t="n"/>
      <c r="S58" s="17" t="n"/>
      <c r="T58" s="17" t="n"/>
      <c r="U58" s="17" t="n"/>
      <c r="V58" s="17" t="n"/>
    </row>
    <row r="59">
      <c r="A59" s="17" t="n"/>
      <c r="B59" s="18">
        <f>IF($D59="","",TEXT(TODAY(),"dd/mm/yyyy"))</f>
        <v/>
      </c>
      <c r="C59" s="18">
        <f>IF($D59="","",TEXT(NOW(),"hh:mm"))</f>
        <v/>
      </c>
      <c r="D59" s="19" t="n"/>
      <c r="E59" s="19" t="n"/>
      <c r="F59" s="18">
        <f>IF($E59="","",IFERROR(VLOOKUP($E59,ARTICLES!$A$5:$S$2243,3,FALSE),"reference inconnue"))</f>
        <v/>
      </c>
      <c r="G59" s="19" t="n"/>
      <c r="H59" s="18">
        <f>IF(OR(G59="",G59=0,I59=""),"",ROUND(I59/G59*100,1)&amp;" %")</f>
        <v/>
      </c>
      <c r="I59" s="19" t="n"/>
      <c r="J59" s="19" t="n"/>
      <c r="K59" s="19" t="n"/>
      <c r="L59" s="19" t="n"/>
      <c r="M59" s="19" t="n"/>
      <c r="N59" s="19" t="n"/>
      <c r="O59" s="17" t="inlineStr">
        <is>
          <t>BROUILLON</t>
        </is>
      </c>
      <c r="P59" s="17" t="n"/>
      <c r="Q59" s="17" t="n"/>
      <c r="R59" s="17" t="n"/>
      <c r="S59" s="17" t="n"/>
      <c r="T59" s="17" t="n"/>
      <c r="U59" s="17" t="n"/>
      <c r="V59" s="17" t="n"/>
    </row>
    <row r="60">
      <c r="A60" s="17" t="n"/>
      <c r="B60" s="18">
        <f>IF($D60="","",TEXT(TODAY(),"dd/mm/yyyy"))</f>
        <v/>
      </c>
      <c r="C60" s="18">
        <f>IF($D60="","",TEXT(NOW(),"hh:mm"))</f>
        <v/>
      </c>
      <c r="D60" s="19" t="n"/>
      <c r="E60" s="19" t="n"/>
      <c r="F60" s="18">
        <f>IF($E60="","",IFERROR(VLOOKUP($E60,ARTICLES!$A$5:$S$2243,3,FALSE),"reference inconnue"))</f>
        <v/>
      </c>
      <c r="G60" s="19" t="n"/>
      <c r="H60" s="18">
        <f>IF(OR(G60="",G60=0,I60=""),"",ROUND(I60/G60*100,1)&amp;" %")</f>
        <v/>
      </c>
      <c r="I60" s="19" t="n"/>
      <c r="J60" s="19" t="n"/>
      <c r="K60" s="19" t="n"/>
      <c r="L60" s="19" t="n"/>
      <c r="M60" s="19" t="n"/>
      <c r="N60" s="19" t="n"/>
      <c r="O60" s="17" t="inlineStr">
        <is>
          <t>BROUILLON</t>
        </is>
      </c>
      <c r="P60" s="17" t="n"/>
      <c r="Q60" s="17" t="n"/>
      <c r="R60" s="17" t="n"/>
      <c r="S60" s="17" t="n"/>
      <c r="T60" s="17" t="n"/>
      <c r="U60" s="17" t="n"/>
      <c r="V60" s="17" t="n"/>
    </row>
    <row r="61">
      <c r="A61" s="17" t="n"/>
      <c r="B61" s="18">
        <f>IF($D61="","",TEXT(TODAY(),"dd/mm/yyyy"))</f>
        <v/>
      </c>
      <c r="C61" s="18">
        <f>IF($D61="","",TEXT(NOW(),"hh:mm"))</f>
        <v/>
      </c>
      <c r="D61" s="19" t="n"/>
      <c r="E61" s="19" t="n"/>
      <c r="F61" s="18">
        <f>IF($E61="","",IFERROR(VLOOKUP($E61,ARTICLES!$A$5:$S$2243,3,FALSE),"reference inconnue"))</f>
        <v/>
      </c>
      <c r="G61" s="19" t="n"/>
      <c r="H61" s="18">
        <f>IF(OR(G61="",G61=0,I61=""),"",ROUND(I61/G61*100,1)&amp;" %")</f>
        <v/>
      </c>
      <c r="I61" s="19" t="n"/>
      <c r="J61" s="19" t="n"/>
      <c r="K61" s="19" t="n"/>
      <c r="L61" s="19" t="n"/>
      <c r="M61" s="19" t="n"/>
      <c r="N61" s="19" t="n"/>
      <c r="O61" s="17" t="inlineStr">
        <is>
          <t>BROUILLON</t>
        </is>
      </c>
      <c r="P61" s="17" t="n"/>
      <c r="Q61" s="17" t="n"/>
      <c r="R61" s="17" t="n"/>
      <c r="S61" s="17" t="n"/>
      <c r="T61" s="17" t="n"/>
      <c r="U61" s="17" t="n"/>
      <c r="V61" s="17" t="n"/>
    </row>
    <row r="62">
      <c r="A62" s="17" t="n"/>
      <c r="B62" s="18">
        <f>IF($D62="","",TEXT(TODAY(),"dd/mm/yyyy"))</f>
        <v/>
      </c>
      <c r="C62" s="18">
        <f>IF($D62="","",TEXT(NOW(),"hh:mm"))</f>
        <v/>
      </c>
      <c r="D62" s="19" t="n"/>
      <c r="E62" s="19" t="n"/>
      <c r="F62" s="18">
        <f>IF($E62="","",IFERROR(VLOOKUP($E62,ARTICLES!$A$5:$S$2243,3,FALSE),"reference inconnue"))</f>
        <v/>
      </c>
      <c r="G62" s="19" t="n"/>
      <c r="H62" s="18">
        <f>IF(OR(G62="",G62=0,I62=""),"",ROUND(I62/G62*100,1)&amp;" %")</f>
        <v/>
      </c>
      <c r="I62" s="19" t="n"/>
      <c r="J62" s="19" t="n"/>
      <c r="K62" s="19" t="n"/>
      <c r="L62" s="19" t="n"/>
      <c r="M62" s="19" t="n"/>
      <c r="N62" s="19" t="n"/>
      <c r="O62" s="17" t="inlineStr">
        <is>
          <t>BROUILLON</t>
        </is>
      </c>
      <c r="P62" s="17" t="n"/>
      <c r="Q62" s="17" t="n"/>
      <c r="R62" s="17" t="n"/>
      <c r="S62" s="17" t="n"/>
      <c r="T62" s="17" t="n"/>
      <c r="U62" s="17" t="n"/>
      <c r="V62" s="17" t="n"/>
    </row>
    <row r="63">
      <c r="A63" s="17" t="n"/>
      <c r="B63" s="18">
        <f>IF($D63="","",TEXT(TODAY(),"dd/mm/yyyy"))</f>
        <v/>
      </c>
      <c r="C63" s="18">
        <f>IF($D63="","",TEXT(NOW(),"hh:mm"))</f>
        <v/>
      </c>
      <c r="D63" s="19" t="n"/>
      <c r="E63" s="19" t="n"/>
      <c r="F63" s="18">
        <f>IF($E63="","",IFERROR(VLOOKUP($E63,ARTICLES!$A$5:$S$2243,3,FALSE),"reference inconnue"))</f>
        <v/>
      </c>
      <c r="G63" s="19" t="n"/>
      <c r="H63" s="18">
        <f>IF(OR(G63="",G63=0,I63=""),"",ROUND(I63/G63*100,1)&amp;" %")</f>
        <v/>
      </c>
      <c r="I63" s="19" t="n"/>
      <c r="J63" s="19" t="n"/>
      <c r="K63" s="19" t="n"/>
      <c r="L63" s="19" t="n"/>
      <c r="M63" s="19" t="n"/>
      <c r="N63" s="19" t="n"/>
      <c r="O63" s="17" t="inlineStr">
        <is>
          <t>BROUILLON</t>
        </is>
      </c>
      <c r="P63" s="17" t="n"/>
      <c r="Q63" s="17" t="n"/>
      <c r="R63" s="17" t="n"/>
      <c r="S63" s="17" t="n"/>
      <c r="T63" s="17" t="n"/>
      <c r="U63" s="17" t="n"/>
      <c r="V63" s="17" t="n"/>
    </row>
    <row r="64">
      <c r="A64" s="17" t="n"/>
      <c r="B64" s="18">
        <f>IF($D64="","",TEXT(TODAY(),"dd/mm/yyyy"))</f>
        <v/>
      </c>
      <c r="C64" s="18">
        <f>IF($D64="","",TEXT(NOW(),"hh:mm"))</f>
        <v/>
      </c>
      <c r="D64" s="19" t="n"/>
      <c r="E64" s="19" t="n"/>
      <c r="F64" s="18">
        <f>IF($E64="","",IFERROR(VLOOKUP($E64,ARTICLES!$A$5:$S$2243,3,FALSE),"reference inconnue"))</f>
        <v/>
      </c>
      <c r="G64" s="19" t="n"/>
      <c r="H64" s="18">
        <f>IF(OR(G64="",G64=0,I64=""),"",ROUND(I64/G64*100,1)&amp;" %")</f>
        <v/>
      </c>
      <c r="I64" s="19" t="n"/>
      <c r="J64" s="19" t="n"/>
      <c r="K64" s="19" t="n"/>
      <c r="L64" s="19" t="n"/>
      <c r="M64" s="19" t="n"/>
      <c r="N64" s="19" t="n"/>
      <c r="O64" s="17" t="inlineStr">
        <is>
          <t>BROUILLON</t>
        </is>
      </c>
      <c r="P64" s="17" t="n"/>
      <c r="Q64" s="17" t="n"/>
      <c r="R64" s="17" t="n"/>
      <c r="S64" s="17" t="n"/>
      <c r="T64" s="17" t="n"/>
      <c r="U64" s="17" t="n"/>
      <c r="V64" s="17" t="n"/>
    </row>
    <row r="65">
      <c r="A65" s="17" t="n"/>
      <c r="B65" s="18">
        <f>IF($D65="","",TEXT(TODAY(),"dd/mm/yyyy"))</f>
        <v/>
      </c>
      <c r="C65" s="18">
        <f>IF($D65="","",TEXT(NOW(),"hh:mm"))</f>
        <v/>
      </c>
      <c r="D65" s="19" t="n"/>
      <c r="E65" s="19" t="n"/>
      <c r="F65" s="18">
        <f>IF($E65="","",IFERROR(VLOOKUP($E65,ARTICLES!$A$5:$S$2243,3,FALSE),"reference inconnue"))</f>
        <v/>
      </c>
      <c r="G65" s="19" t="n"/>
      <c r="H65" s="18">
        <f>IF(OR(G65="",G65=0,I65=""),"",ROUND(I65/G65*100,1)&amp;" %")</f>
        <v/>
      </c>
      <c r="I65" s="19" t="n"/>
      <c r="J65" s="19" t="n"/>
      <c r="K65" s="19" t="n"/>
      <c r="L65" s="19" t="n"/>
      <c r="M65" s="19" t="n"/>
      <c r="N65" s="19" t="n"/>
      <c r="O65" s="17" t="inlineStr">
        <is>
          <t>BROUILLON</t>
        </is>
      </c>
      <c r="P65" s="17" t="n"/>
      <c r="Q65" s="17" t="n"/>
      <c r="R65" s="17" t="n"/>
      <c r="S65" s="17" t="n"/>
      <c r="T65" s="17" t="n"/>
      <c r="U65" s="17" t="n"/>
      <c r="V65" s="17" t="n"/>
    </row>
    <row r="66">
      <c r="A66" s="17" t="n"/>
      <c r="B66" s="18">
        <f>IF($D66="","",TEXT(TODAY(),"dd/mm/yyyy"))</f>
        <v/>
      </c>
      <c r="C66" s="18">
        <f>IF($D66="","",TEXT(NOW(),"hh:mm"))</f>
        <v/>
      </c>
      <c r="D66" s="19" t="n"/>
      <c r="E66" s="19" t="n"/>
      <c r="F66" s="18">
        <f>IF($E66="","",IFERROR(VLOOKUP($E66,ARTICLES!$A$5:$S$2243,3,FALSE),"reference inconnue"))</f>
        <v/>
      </c>
      <c r="G66" s="19" t="n"/>
      <c r="H66" s="18">
        <f>IF(OR(G66="",G66=0,I66=""),"",ROUND(I66/G66*100,1)&amp;" %")</f>
        <v/>
      </c>
      <c r="I66" s="19" t="n"/>
      <c r="J66" s="19" t="n"/>
      <c r="K66" s="19" t="n"/>
      <c r="L66" s="19" t="n"/>
      <c r="M66" s="19" t="n"/>
      <c r="N66" s="19" t="n"/>
      <c r="O66" s="17" t="inlineStr">
        <is>
          <t>BROUILLON</t>
        </is>
      </c>
      <c r="P66" s="17" t="n"/>
      <c r="Q66" s="17" t="n"/>
      <c r="R66" s="17" t="n"/>
      <c r="S66" s="17" t="n"/>
      <c r="T66" s="17" t="n"/>
      <c r="U66" s="17" t="n"/>
      <c r="V66" s="17" t="n"/>
    </row>
    <row r="67">
      <c r="A67" s="17" t="n"/>
      <c r="B67" s="18">
        <f>IF($D67="","",TEXT(TODAY(),"dd/mm/yyyy"))</f>
        <v/>
      </c>
      <c r="C67" s="18">
        <f>IF($D67="","",TEXT(NOW(),"hh:mm"))</f>
        <v/>
      </c>
      <c r="D67" s="19" t="n"/>
      <c r="E67" s="19" t="n"/>
      <c r="F67" s="18">
        <f>IF($E67="","",IFERROR(VLOOKUP($E67,ARTICLES!$A$5:$S$2243,3,FALSE),"reference inconnue"))</f>
        <v/>
      </c>
      <c r="G67" s="19" t="n"/>
      <c r="H67" s="18">
        <f>IF(OR(G67="",G67=0,I67=""),"",ROUND(I67/G67*100,1)&amp;" %")</f>
        <v/>
      </c>
      <c r="I67" s="19" t="n"/>
      <c r="J67" s="19" t="n"/>
      <c r="K67" s="19" t="n"/>
      <c r="L67" s="19" t="n"/>
      <c r="M67" s="19" t="n"/>
      <c r="N67" s="19" t="n"/>
      <c r="O67" s="17" t="inlineStr">
        <is>
          <t>BROUILLON</t>
        </is>
      </c>
      <c r="P67" s="17" t="n"/>
      <c r="Q67" s="17" t="n"/>
      <c r="R67" s="17" t="n"/>
      <c r="S67" s="17" t="n"/>
      <c r="T67" s="17" t="n"/>
      <c r="U67" s="17" t="n"/>
      <c r="V67" s="17" t="n"/>
    </row>
    <row r="68">
      <c r="A68" s="17" t="n"/>
      <c r="B68" s="18">
        <f>IF($D68="","",TEXT(TODAY(),"dd/mm/yyyy"))</f>
        <v/>
      </c>
      <c r="C68" s="18">
        <f>IF($D68="","",TEXT(NOW(),"hh:mm"))</f>
        <v/>
      </c>
      <c r="D68" s="19" t="n"/>
      <c r="E68" s="19" t="n"/>
      <c r="F68" s="18">
        <f>IF($E68="","",IFERROR(VLOOKUP($E68,ARTICLES!$A$5:$S$2243,3,FALSE),"reference inconnue"))</f>
        <v/>
      </c>
      <c r="G68" s="19" t="n"/>
      <c r="H68" s="18">
        <f>IF(OR(G68="",G68=0,I68=""),"",ROUND(I68/G68*100,1)&amp;" %")</f>
        <v/>
      </c>
      <c r="I68" s="19" t="n"/>
      <c r="J68" s="19" t="n"/>
      <c r="K68" s="19" t="n"/>
      <c r="L68" s="19" t="n"/>
      <c r="M68" s="19" t="n"/>
      <c r="N68" s="19" t="n"/>
      <c r="O68" s="17" t="inlineStr">
        <is>
          <t>BROUILLON</t>
        </is>
      </c>
      <c r="P68" s="17" t="n"/>
      <c r="Q68" s="17" t="n"/>
      <c r="R68" s="17" t="n"/>
      <c r="S68" s="17" t="n"/>
      <c r="T68" s="17" t="n"/>
      <c r="U68" s="17" t="n"/>
      <c r="V68" s="17" t="n"/>
    </row>
    <row r="69">
      <c r="A69" s="17" t="n"/>
      <c r="B69" s="18">
        <f>IF($D69="","",TEXT(TODAY(),"dd/mm/yyyy"))</f>
        <v/>
      </c>
      <c r="C69" s="18">
        <f>IF($D69="","",TEXT(NOW(),"hh:mm"))</f>
        <v/>
      </c>
      <c r="D69" s="19" t="n"/>
      <c r="E69" s="19" t="n"/>
      <c r="F69" s="18">
        <f>IF($E69="","",IFERROR(VLOOKUP($E69,ARTICLES!$A$5:$S$2243,3,FALSE),"reference inconnue"))</f>
        <v/>
      </c>
      <c r="G69" s="19" t="n"/>
      <c r="H69" s="18">
        <f>IF(OR(G69="",G69=0,I69=""),"",ROUND(I69/G69*100,1)&amp;" %")</f>
        <v/>
      </c>
      <c r="I69" s="19" t="n"/>
      <c r="J69" s="19" t="n"/>
      <c r="K69" s="19" t="n"/>
      <c r="L69" s="19" t="n"/>
      <c r="M69" s="19" t="n"/>
      <c r="N69" s="19" t="n"/>
      <c r="O69" s="17" t="inlineStr">
        <is>
          <t>BROUILLON</t>
        </is>
      </c>
      <c r="P69" s="17" t="n"/>
      <c r="Q69" s="17" t="n"/>
      <c r="R69" s="17" t="n"/>
      <c r="S69" s="17" t="n"/>
      <c r="T69" s="17" t="n"/>
      <c r="U69" s="17" t="n"/>
      <c r="V69" s="17" t="n"/>
    </row>
    <row r="70">
      <c r="A70" s="17" t="n"/>
      <c r="B70" s="18">
        <f>IF($D70="","",TEXT(TODAY(),"dd/mm/yyyy"))</f>
        <v/>
      </c>
      <c r="C70" s="18">
        <f>IF($D70="","",TEXT(NOW(),"hh:mm"))</f>
        <v/>
      </c>
      <c r="D70" s="19" t="n"/>
      <c r="E70" s="19" t="n"/>
      <c r="F70" s="18">
        <f>IF($E70="","",IFERROR(VLOOKUP($E70,ARTICLES!$A$5:$S$2243,3,FALSE),"reference inconnue"))</f>
        <v/>
      </c>
      <c r="G70" s="19" t="n"/>
      <c r="H70" s="18">
        <f>IF(OR(G70="",G70=0,I70=""),"",ROUND(I70/G70*100,1)&amp;" %")</f>
        <v/>
      </c>
      <c r="I70" s="19" t="n"/>
      <c r="J70" s="19" t="n"/>
      <c r="K70" s="19" t="n"/>
      <c r="L70" s="19" t="n"/>
      <c r="M70" s="19" t="n"/>
      <c r="N70" s="19" t="n"/>
      <c r="O70" s="17" t="inlineStr">
        <is>
          <t>BROUILLON</t>
        </is>
      </c>
      <c r="P70" s="17" t="n"/>
      <c r="Q70" s="17" t="n"/>
      <c r="R70" s="17" t="n"/>
      <c r="S70" s="17" t="n"/>
      <c r="T70" s="17" t="n"/>
      <c r="U70" s="17" t="n"/>
      <c r="V70" s="17" t="n"/>
    </row>
    <row r="71">
      <c r="A71" s="17" t="n"/>
      <c r="B71" s="18">
        <f>IF($D71="","",TEXT(TODAY(),"dd/mm/yyyy"))</f>
        <v/>
      </c>
      <c r="C71" s="18">
        <f>IF($D71="","",TEXT(NOW(),"hh:mm"))</f>
        <v/>
      </c>
      <c r="D71" s="19" t="n"/>
      <c r="E71" s="19" t="n"/>
      <c r="F71" s="18">
        <f>IF($E71="","",IFERROR(VLOOKUP($E71,ARTICLES!$A$5:$S$2243,3,FALSE),"reference inconnue"))</f>
        <v/>
      </c>
      <c r="G71" s="19" t="n"/>
      <c r="H71" s="18">
        <f>IF(OR(G71="",G71=0,I71=""),"",ROUND(I71/G71*100,1)&amp;" %")</f>
        <v/>
      </c>
      <c r="I71" s="19" t="n"/>
      <c r="J71" s="19" t="n"/>
      <c r="K71" s="19" t="n"/>
      <c r="L71" s="19" t="n"/>
      <c r="M71" s="19" t="n"/>
      <c r="N71" s="19" t="n"/>
      <c r="O71" s="17" t="inlineStr">
        <is>
          <t>BROUILLON</t>
        </is>
      </c>
      <c r="P71" s="17" t="n"/>
      <c r="Q71" s="17" t="n"/>
      <c r="R71" s="17" t="n"/>
      <c r="S71" s="17" t="n"/>
      <c r="T71" s="17" t="n"/>
      <c r="U71" s="17" t="n"/>
      <c r="V71" s="17" t="n"/>
    </row>
    <row r="72">
      <c r="A72" s="17" t="n"/>
      <c r="B72" s="18">
        <f>IF($D72="","",TEXT(TODAY(),"dd/mm/yyyy"))</f>
        <v/>
      </c>
      <c r="C72" s="18">
        <f>IF($D72="","",TEXT(NOW(),"hh:mm"))</f>
        <v/>
      </c>
      <c r="D72" s="19" t="n"/>
      <c r="E72" s="19" t="n"/>
      <c r="F72" s="18">
        <f>IF($E72="","",IFERROR(VLOOKUP($E72,ARTICLES!$A$5:$S$2243,3,FALSE),"reference inconnue"))</f>
        <v/>
      </c>
      <c r="G72" s="19" t="n"/>
      <c r="H72" s="18">
        <f>IF(OR(G72="",G72=0,I72=""),"",ROUND(I72/G72*100,1)&amp;" %")</f>
        <v/>
      </c>
      <c r="I72" s="19" t="n"/>
      <c r="J72" s="19" t="n"/>
      <c r="K72" s="19" t="n"/>
      <c r="L72" s="19" t="n"/>
      <c r="M72" s="19" t="n"/>
      <c r="N72" s="19" t="n"/>
      <c r="O72" s="17" t="inlineStr">
        <is>
          <t>BROUILLON</t>
        </is>
      </c>
      <c r="P72" s="17" t="n"/>
      <c r="Q72" s="17" t="n"/>
      <c r="R72" s="17" t="n"/>
      <c r="S72" s="17" t="n"/>
      <c r="T72" s="17" t="n"/>
      <c r="U72" s="17" t="n"/>
      <c r="V72" s="17" t="n"/>
    </row>
    <row r="73">
      <c r="A73" s="17" t="n"/>
      <c r="B73" s="18">
        <f>IF($D73="","",TEXT(TODAY(),"dd/mm/yyyy"))</f>
        <v/>
      </c>
      <c r="C73" s="18">
        <f>IF($D73="","",TEXT(NOW(),"hh:mm"))</f>
        <v/>
      </c>
      <c r="D73" s="19" t="n"/>
      <c r="E73" s="19" t="n"/>
      <c r="F73" s="18">
        <f>IF($E73="","",IFERROR(VLOOKUP($E73,ARTICLES!$A$5:$S$2243,3,FALSE),"reference inconnue"))</f>
        <v/>
      </c>
      <c r="G73" s="19" t="n"/>
      <c r="H73" s="18">
        <f>IF(OR(G73="",G73=0,I73=""),"",ROUND(I73/G73*100,1)&amp;" %")</f>
        <v/>
      </c>
      <c r="I73" s="19" t="n"/>
      <c r="J73" s="19" t="n"/>
      <c r="K73" s="19" t="n"/>
      <c r="L73" s="19" t="n"/>
      <c r="M73" s="19" t="n"/>
      <c r="N73" s="19" t="n"/>
      <c r="O73" s="17" t="inlineStr">
        <is>
          <t>BROUILLON</t>
        </is>
      </c>
      <c r="P73" s="17" t="n"/>
      <c r="Q73" s="17" t="n"/>
      <c r="R73" s="17" t="n"/>
      <c r="S73" s="17" t="n"/>
      <c r="T73" s="17" t="n"/>
      <c r="U73" s="17" t="n"/>
      <c r="V73" s="17" t="n"/>
    </row>
    <row r="74">
      <c r="A74" s="17" t="n"/>
      <c r="B74" s="18">
        <f>IF($D74="","",TEXT(TODAY(),"dd/mm/yyyy"))</f>
        <v/>
      </c>
      <c r="C74" s="18">
        <f>IF($D74="","",TEXT(NOW(),"hh:mm"))</f>
        <v/>
      </c>
      <c r="D74" s="19" t="n"/>
      <c r="E74" s="19" t="n"/>
      <c r="F74" s="18">
        <f>IF($E74="","",IFERROR(VLOOKUP($E74,ARTICLES!$A$5:$S$2243,3,FALSE),"reference inconnue"))</f>
        <v/>
      </c>
      <c r="G74" s="19" t="n"/>
      <c r="H74" s="18">
        <f>IF(OR(G74="",G74=0,I74=""),"",ROUND(I74/G74*100,1)&amp;" %")</f>
        <v/>
      </c>
      <c r="I74" s="19" t="n"/>
      <c r="J74" s="19" t="n"/>
      <c r="K74" s="19" t="n"/>
      <c r="L74" s="19" t="n"/>
      <c r="M74" s="19" t="n"/>
      <c r="N74" s="19" t="n"/>
      <c r="O74" s="17" t="inlineStr">
        <is>
          <t>BROUILLON</t>
        </is>
      </c>
      <c r="P74" s="17" t="n"/>
      <c r="Q74" s="17" t="n"/>
      <c r="R74" s="17" t="n"/>
      <c r="S74" s="17" t="n"/>
      <c r="T74" s="17" t="n"/>
      <c r="U74" s="17" t="n"/>
      <c r="V74" s="17" t="n"/>
    </row>
    <row r="75">
      <c r="A75" s="17" t="n"/>
      <c r="B75" s="18">
        <f>IF($D75="","",TEXT(TODAY(),"dd/mm/yyyy"))</f>
        <v/>
      </c>
      <c r="C75" s="18">
        <f>IF($D75="","",TEXT(NOW(),"hh:mm"))</f>
        <v/>
      </c>
      <c r="D75" s="19" t="n"/>
      <c r="E75" s="19" t="n"/>
      <c r="F75" s="18">
        <f>IF($E75="","",IFERROR(VLOOKUP($E75,ARTICLES!$A$5:$S$2243,3,FALSE),"reference inconnue"))</f>
        <v/>
      </c>
      <c r="G75" s="19" t="n"/>
      <c r="H75" s="18">
        <f>IF(OR(G75="",G75=0,I75=""),"",ROUND(I75/G75*100,1)&amp;" %")</f>
        <v/>
      </c>
      <c r="I75" s="19" t="n"/>
      <c r="J75" s="19" t="n"/>
      <c r="K75" s="19" t="n"/>
      <c r="L75" s="19" t="n"/>
      <c r="M75" s="19" t="n"/>
      <c r="N75" s="19" t="n"/>
      <c r="O75" s="17" t="inlineStr">
        <is>
          <t>BROUILLON</t>
        </is>
      </c>
      <c r="P75" s="17" t="n"/>
      <c r="Q75" s="17" t="n"/>
      <c r="R75" s="17" t="n"/>
      <c r="S75" s="17" t="n"/>
      <c r="T75" s="17" t="n"/>
      <c r="U75" s="17" t="n"/>
      <c r="V75" s="17" t="n"/>
    </row>
    <row r="76">
      <c r="A76" s="17" t="n"/>
      <c r="B76" s="18">
        <f>IF($D76="","",TEXT(TODAY(),"dd/mm/yyyy"))</f>
        <v/>
      </c>
      <c r="C76" s="18">
        <f>IF($D76="","",TEXT(NOW(),"hh:mm"))</f>
        <v/>
      </c>
      <c r="D76" s="19" t="n"/>
      <c r="E76" s="19" t="n"/>
      <c r="F76" s="18">
        <f>IF($E76="","",IFERROR(VLOOKUP($E76,ARTICLES!$A$5:$S$2243,3,FALSE),"reference inconnue"))</f>
        <v/>
      </c>
      <c r="G76" s="19" t="n"/>
      <c r="H76" s="18">
        <f>IF(OR(G76="",G76=0,I76=""),"",ROUND(I76/G76*100,1)&amp;" %")</f>
        <v/>
      </c>
      <c r="I76" s="19" t="n"/>
      <c r="J76" s="19" t="n"/>
      <c r="K76" s="19" t="n"/>
      <c r="L76" s="19" t="n"/>
      <c r="M76" s="19" t="n"/>
      <c r="N76" s="19" t="n"/>
      <c r="O76" s="17" t="inlineStr">
        <is>
          <t>BROUILLON</t>
        </is>
      </c>
      <c r="P76" s="17" t="n"/>
      <c r="Q76" s="17" t="n"/>
      <c r="R76" s="17" t="n"/>
      <c r="S76" s="17" t="n"/>
      <c r="T76" s="17" t="n"/>
      <c r="U76" s="17" t="n"/>
      <c r="V76" s="17" t="n"/>
    </row>
    <row r="77">
      <c r="A77" s="17" t="n"/>
      <c r="B77" s="18">
        <f>IF($D77="","",TEXT(TODAY(),"dd/mm/yyyy"))</f>
        <v/>
      </c>
      <c r="C77" s="18">
        <f>IF($D77="","",TEXT(NOW(),"hh:mm"))</f>
        <v/>
      </c>
      <c r="D77" s="19" t="n"/>
      <c r="E77" s="19" t="n"/>
      <c r="F77" s="18">
        <f>IF($E77="","",IFERROR(VLOOKUP($E77,ARTICLES!$A$5:$S$2243,3,FALSE),"reference inconnue"))</f>
        <v/>
      </c>
      <c r="G77" s="19" t="n"/>
      <c r="H77" s="18">
        <f>IF(OR(G77="",G77=0,I77=""),"",ROUND(I77/G77*100,1)&amp;" %")</f>
        <v/>
      </c>
      <c r="I77" s="19" t="n"/>
      <c r="J77" s="19" t="n"/>
      <c r="K77" s="19" t="n"/>
      <c r="L77" s="19" t="n"/>
      <c r="M77" s="19" t="n"/>
      <c r="N77" s="19" t="n"/>
      <c r="O77" s="17" t="inlineStr">
        <is>
          <t>BROUILLON</t>
        </is>
      </c>
      <c r="P77" s="17" t="n"/>
      <c r="Q77" s="17" t="n"/>
      <c r="R77" s="17" t="n"/>
      <c r="S77" s="17" t="n"/>
      <c r="T77" s="17" t="n"/>
      <c r="U77" s="17" t="n"/>
      <c r="V77" s="17" t="n"/>
    </row>
    <row r="78">
      <c r="A78" s="17" t="n"/>
      <c r="B78" s="18">
        <f>IF($D78="","",TEXT(TODAY(),"dd/mm/yyyy"))</f>
        <v/>
      </c>
      <c r="C78" s="18">
        <f>IF($D78="","",TEXT(NOW(),"hh:mm"))</f>
        <v/>
      </c>
      <c r="D78" s="19" t="n"/>
      <c r="E78" s="19" t="n"/>
      <c r="F78" s="18">
        <f>IF($E78="","",IFERROR(VLOOKUP($E78,ARTICLES!$A$5:$S$2243,3,FALSE),"reference inconnue"))</f>
        <v/>
      </c>
      <c r="G78" s="19" t="n"/>
      <c r="H78" s="18">
        <f>IF(OR(G78="",G78=0,I78=""),"",ROUND(I78/G78*100,1)&amp;" %")</f>
        <v/>
      </c>
      <c r="I78" s="19" t="n"/>
      <c r="J78" s="19" t="n"/>
      <c r="K78" s="19" t="n"/>
      <c r="L78" s="19" t="n"/>
      <c r="M78" s="19" t="n"/>
      <c r="N78" s="19" t="n"/>
      <c r="O78" s="17" t="inlineStr">
        <is>
          <t>BROUILLON</t>
        </is>
      </c>
      <c r="P78" s="17" t="n"/>
      <c r="Q78" s="17" t="n"/>
      <c r="R78" s="17" t="n"/>
      <c r="S78" s="17" t="n"/>
      <c r="T78" s="17" t="n"/>
      <c r="U78" s="17" t="n"/>
      <c r="V78" s="17" t="n"/>
    </row>
    <row r="79">
      <c r="A79" s="17" t="n"/>
      <c r="B79" s="18">
        <f>IF($D79="","",TEXT(TODAY(),"dd/mm/yyyy"))</f>
        <v/>
      </c>
      <c r="C79" s="18">
        <f>IF($D79="","",TEXT(NOW(),"hh:mm"))</f>
        <v/>
      </c>
      <c r="D79" s="19" t="n"/>
      <c r="E79" s="19" t="n"/>
      <c r="F79" s="18">
        <f>IF($E79="","",IFERROR(VLOOKUP($E79,ARTICLES!$A$5:$S$2243,3,FALSE),"reference inconnue"))</f>
        <v/>
      </c>
      <c r="G79" s="19" t="n"/>
      <c r="H79" s="18">
        <f>IF(OR(G79="",G79=0,I79=""),"",ROUND(I79/G79*100,1)&amp;" %")</f>
        <v/>
      </c>
      <c r="I79" s="19" t="n"/>
      <c r="J79" s="19" t="n"/>
      <c r="K79" s="19" t="n"/>
      <c r="L79" s="19" t="n"/>
      <c r="M79" s="19" t="n"/>
      <c r="N79" s="19" t="n"/>
      <c r="O79" s="17" t="inlineStr">
        <is>
          <t>BROUILLON</t>
        </is>
      </c>
      <c r="P79" s="17" t="n"/>
      <c r="Q79" s="17" t="n"/>
      <c r="R79" s="17" t="n"/>
      <c r="S79" s="17" t="n"/>
      <c r="T79" s="17" t="n"/>
      <c r="U79" s="17" t="n"/>
      <c r="V79" s="17" t="n"/>
    </row>
    <row r="80">
      <c r="A80" s="17" t="n"/>
      <c r="B80" s="18">
        <f>IF($D80="","",TEXT(TODAY(),"dd/mm/yyyy"))</f>
        <v/>
      </c>
      <c r="C80" s="18">
        <f>IF($D80="","",TEXT(NOW(),"hh:mm"))</f>
        <v/>
      </c>
      <c r="D80" s="19" t="n"/>
      <c r="E80" s="19" t="n"/>
      <c r="F80" s="18">
        <f>IF($E80="","",IFERROR(VLOOKUP($E80,ARTICLES!$A$5:$S$2243,3,FALSE),"reference inconnue"))</f>
        <v/>
      </c>
      <c r="G80" s="19" t="n"/>
      <c r="H80" s="18">
        <f>IF(OR(G80="",G80=0,I80=""),"",ROUND(I80/G80*100,1)&amp;" %")</f>
        <v/>
      </c>
      <c r="I80" s="19" t="n"/>
      <c r="J80" s="19" t="n"/>
      <c r="K80" s="19" t="n"/>
      <c r="L80" s="19" t="n"/>
      <c r="M80" s="19" t="n"/>
      <c r="N80" s="19" t="n"/>
      <c r="O80" s="17" t="inlineStr">
        <is>
          <t>BROUILLON</t>
        </is>
      </c>
      <c r="P80" s="17" t="n"/>
      <c r="Q80" s="17" t="n"/>
      <c r="R80" s="17" t="n"/>
      <c r="S80" s="17" t="n"/>
      <c r="T80" s="17" t="n"/>
      <c r="U80" s="17" t="n"/>
      <c r="V80" s="17" t="n"/>
    </row>
    <row r="81">
      <c r="A81" s="17" t="n"/>
      <c r="B81" s="18">
        <f>IF($D81="","",TEXT(TODAY(),"dd/mm/yyyy"))</f>
        <v/>
      </c>
      <c r="C81" s="18">
        <f>IF($D81="","",TEXT(NOW(),"hh:mm"))</f>
        <v/>
      </c>
      <c r="D81" s="19" t="n"/>
      <c r="E81" s="19" t="n"/>
      <c r="F81" s="18">
        <f>IF($E81="","",IFERROR(VLOOKUP($E81,ARTICLES!$A$5:$S$2243,3,FALSE),"reference inconnue"))</f>
        <v/>
      </c>
      <c r="G81" s="19" t="n"/>
      <c r="H81" s="18">
        <f>IF(OR(G81="",G81=0,I81=""),"",ROUND(I81/G81*100,1)&amp;" %")</f>
        <v/>
      </c>
      <c r="I81" s="19" t="n"/>
      <c r="J81" s="19" t="n"/>
      <c r="K81" s="19" t="n"/>
      <c r="L81" s="19" t="n"/>
      <c r="M81" s="19" t="n"/>
      <c r="N81" s="19" t="n"/>
      <c r="O81" s="17" t="inlineStr">
        <is>
          <t>BROUILLON</t>
        </is>
      </c>
      <c r="P81" s="17" t="n"/>
      <c r="Q81" s="17" t="n"/>
      <c r="R81" s="17" t="n"/>
      <c r="S81" s="17" t="n"/>
      <c r="T81" s="17" t="n"/>
      <c r="U81" s="17" t="n"/>
      <c r="V81" s="17" t="n"/>
    </row>
    <row r="82">
      <c r="A82" s="17" t="n"/>
      <c r="B82" s="18">
        <f>IF($D82="","",TEXT(TODAY(),"dd/mm/yyyy"))</f>
        <v/>
      </c>
      <c r="C82" s="18">
        <f>IF($D82="","",TEXT(NOW(),"hh:mm"))</f>
        <v/>
      </c>
      <c r="D82" s="19" t="n"/>
      <c r="E82" s="19" t="n"/>
      <c r="F82" s="18">
        <f>IF($E82="","",IFERROR(VLOOKUP($E82,ARTICLES!$A$5:$S$2243,3,FALSE),"reference inconnue"))</f>
        <v/>
      </c>
      <c r="G82" s="19" t="n"/>
      <c r="H82" s="18">
        <f>IF(OR(G82="",G82=0,I82=""),"",ROUND(I82/G82*100,1)&amp;" %")</f>
        <v/>
      </c>
      <c r="I82" s="19" t="n"/>
      <c r="J82" s="19" t="n"/>
      <c r="K82" s="19" t="n"/>
      <c r="L82" s="19" t="n"/>
      <c r="M82" s="19" t="n"/>
      <c r="N82" s="19" t="n"/>
      <c r="O82" s="17" t="inlineStr">
        <is>
          <t>BROUILLON</t>
        </is>
      </c>
      <c r="P82" s="17" t="n"/>
      <c r="Q82" s="17" t="n"/>
      <c r="R82" s="17" t="n"/>
      <c r="S82" s="17" t="n"/>
      <c r="T82" s="17" t="n"/>
      <c r="U82" s="17" t="n"/>
      <c r="V82" s="17" t="n"/>
    </row>
    <row r="83">
      <c r="A83" s="17" t="n"/>
      <c r="B83" s="18">
        <f>IF($D83="","",TEXT(TODAY(),"dd/mm/yyyy"))</f>
        <v/>
      </c>
      <c r="C83" s="18">
        <f>IF($D83="","",TEXT(NOW(),"hh:mm"))</f>
        <v/>
      </c>
      <c r="D83" s="19" t="n"/>
      <c r="E83" s="19" t="n"/>
      <c r="F83" s="18">
        <f>IF($E83="","",IFERROR(VLOOKUP($E83,ARTICLES!$A$5:$S$2243,3,FALSE),"reference inconnue"))</f>
        <v/>
      </c>
      <c r="G83" s="19" t="n"/>
      <c r="H83" s="18">
        <f>IF(OR(G83="",G83=0,I83=""),"",ROUND(I83/G83*100,1)&amp;" %")</f>
        <v/>
      </c>
      <c r="I83" s="19" t="n"/>
      <c r="J83" s="19" t="n"/>
      <c r="K83" s="19" t="n"/>
      <c r="L83" s="19" t="n"/>
      <c r="M83" s="19" t="n"/>
      <c r="N83" s="19" t="n"/>
      <c r="O83" s="17" t="inlineStr">
        <is>
          <t>BROUILLON</t>
        </is>
      </c>
      <c r="P83" s="17" t="n"/>
      <c r="Q83" s="17" t="n"/>
      <c r="R83" s="17" t="n"/>
      <c r="S83" s="17" t="n"/>
      <c r="T83" s="17" t="n"/>
      <c r="U83" s="17" t="n"/>
      <c r="V83" s="17" t="n"/>
    </row>
    <row r="84">
      <c r="A84" s="17" t="n"/>
      <c r="B84" s="18">
        <f>IF($D84="","",TEXT(TODAY(),"dd/mm/yyyy"))</f>
        <v/>
      </c>
      <c r="C84" s="18">
        <f>IF($D84="","",TEXT(NOW(),"hh:mm"))</f>
        <v/>
      </c>
      <c r="D84" s="19" t="n"/>
      <c r="E84" s="19" t="n"/>
      <c r="F84" s="18">
        <f>IF($E84="","",IFERROR(VLOOKUP($E84,ARTICLES!$A$5:$S$2243,3,FALSE),"reference inconnue"))</f>
        <v/>
      </c>
      <c r="G84" s="19" t="n"/>
      <c r="H84" s="18">
        <f>IF(OR(G84="",G84=0,I84=""),"",ROUND(I84/G84*100,1)&amp;" %")</f>
        <v/>
      </c>
      <c r="I84" s="19" t="n"/>
      <c r="J84" s="19" t="n"/>
      <c r="K84" s="19" t="n"/>
      <c r="L84" s="19" t="n"/>
      <c r="M84" s="19" t="n"/>
      <c r="N84" s="19" t="n"/>
      <c r="O84" s="17" t="inlineStr">
        <is>
          <t>BROUILLON</t>
        </is>
      </c>
      <c r="P84" s="17" t="n"/>
      <c r="Q84" s="17" t="n"/>
      <c r="R84" s="17" t="n"/>
      <c r="S84" s="17" t="n"/>
      <c r="T84" s="17" t="n"/>
      <c r="U84" s="17" t="n"/>
      <c r="V84" s="17" t="n"/>
    </row>
    <row r="85">
      <c r="A85" s="17" t="n"/>
      <c r="B85" s="18">
        <f>IF($D85="","",TEXT(TODAY(),"dd/mm/yyyy"))</f>
        <v/>
      </c>
      <c r="C85" s="18">
        <f>IF($D85="","",TEXT(NOW(),"hh:mm"))</f>
        <v/>
      </c>
      <c r="D85" s="19" t="n"/>
      <c r="E85" s="19" t="n"/>
      <c r="F85" s="18">
        <f>IF($E85="","",IFERROR(VLOOKUP($E85,ARTICLES!$A$5:$S$2243,3,FALSE),"reference inconnue"))</f>
        <v/>
      </c>
      <c r="G85" s="19" t="n"/>
      <c r="H85" s="18">
        <f>IF(OR(G85="",G85=0,I85=""),"",ROUND(I85/G85*100,1)&amp;" %")</f>
        <v/>
      </c>
      <c r="I85" s="19" t="n"/>
      <c r="J85" s="19" t="n"/>
      <c r="K85" s="19" t="n"/>
      <c r="L85" s="19" t="n"/>
      <c r="M85" s="19" t="n"/>
      <c r="N85" s="19" t="n"/>
      <c r="O85" s="17" t="inlineStr">
        <is>
          <t>BROUILLON</t>
        </is>
      </c>
      <c r="P85" s="17" t="n"/>
      <c r="Q85" s="17" t="n"/>
      <c r="R85" s="17" t="n"/>
      <c r="S85" s="17" t="n"/>
      <c r="T85" s="17" t="n"/>
      <c r="U85" s="17" t="n"/>
      <c r="V85" s="17" t="n"/>
    </row>
    <row r="86">
      <c r="A86" s="17" t="n"/>
      <c r="B86" s="18">
        <f>IF($D86="","",TEXT(TODAY(),"dd/mm/yyyy"))</f>
        <v/>
      </c>
      <c r="C86" s="18">
        <f>IF($D86="","",TEXT(NOW(),"hh:mm"))</f>
        <v/>
      </c>
      <c r="D86" s="19" t="n"/>
      <c r="E86" s="19" t="n"/>
      <c r="F86" s="18">
        <f>IF($E86="","",IFERROR(VLOOKUP($E86,ARTICLES!$A$5:$S$2243,3,FALSE),"reference inconnue"))</f>
        <v/>
      </c>
      <c r="G86" s="19" t="n"/>
      <c r="H86" s="18">
        <f>IF(OR(G86="",G86=0,I86=""),"",ROUND(I86/G86*100,1)&amp;" %")</f>
        <v/>
      </c>
      <c r="I86" s="19" t="n"/>
      <c r="J86" s="19" t="n"/>
      <c r="K86" s="19" t="n"/>
      <c r="L86" s="19" t="n"/>
      <c r="M86" s="19" t="n"/>
      <c r="N86" s="19" t="n"/>
      <c r="O86" s="17" t="inlineStr">
        <is>
          <t>BROUILLON</t>
        </is>
      </c>
      <c r="P86" s="17" t="n"/>
      <c r="Q86" s="17" t="n"/>
      <c r="R86" s="17" t="n"/>
      <c r="S86" s="17" t="n"/>
      <c r="T86" s="17" t="n"/>
      <c r="U86" s="17" t="n"/>
      <c r="V86" s="17" t="n"/>
    </row>
    <row r="87">
      <c r="A87" s="17" t="n"/>
      <c r="B87" s="18">
        <f>IF($D87="","",TEXT(TODAY(),"dd/mm/yyyy"))</f>
        <v/>
      </c>
      <c r="C87" s="18">
        <f>IF($D87="","",TEXT(NOW(),"hh:mm"))</f>
        <v/>
      </c>
      <c r="D87" s="19" t="n"/>
      <c r="E87" s="19" t="n"/>
      <c r="F87" s="18">
        <f>IF($E87="","",IFERROR(VLOOKUP($E87,ARTICLES!$A$5:$S$2243,3,FALSE),"reference inconnue"))</f>
        <v/>
      </c>
      <c r="G87" s="19" t="n"/>
      <c r="H87" s="18">
        <f>IF(OR(G87="",G87=0,I87=""),"",ROUND(I87/G87*100,1)&amp;" %")</f>
        <v/>
      </c>
      <c r="I87" s="19" t="n"/>
      <c r="J87" s="19" t="n"/>
      <c r="K87" s="19" t="n"/>
      <c r="L87" s="19" t="n"/>
      <c r="M87" s="19" t="n"/>
      <c r="N87" s="19" t="n"/>
      <c r="O87" s="17" t="inlineStr">
        <is>
          <t>BROUILLON</t>
        </is>
      </c>
      <c r="P87" s="17" t="n"/>
      <c r="Q87" s="17" t="n"/>
      <c r="R87" s="17" t="n"/>
      <c r="S87" s="17" t="n"/>
      <c r="T87" s="17" t="n"/>
      <c r="U87" s="17" t="n"/>
      <c r="V87" s="17" t="n"/>
    </row>
    <row r="88">
      <c r="A88" s="17" t="n"/>
      <c r="B88" s="18">
        <f>IF($D88="","",TEXT(TODAY(),"dd/mm/yyyy"))</f>
        <v/>
      </c>
      <c r="C88" s="18">
        <f>IF($D88="","",TEXT(NOW(),"hh:mm"))</f>
        <v/>
      </c>
      <c r="D88" s="19" t="n"/>
      <c r="E88" s="19" t="n"/>
      <c r="F88" s="18">
        <f>IF($E88="","",IFERROR(VLOOKUP($E88,ARTICLES!$A$5:$S$2243,3,FALSE),"reference inconnue"))</f>
        <v/>
      </c>
      <c r="G88" s="19" t="n"/>
      <c r="H88" s="18">
        <f>IF(OR(G88="",G88=0,I88=""),"",ROUND(I88/G88*100,1)&amp;" %")</f>
        <v/>
      </c>
      <c r="I88" s="19" t="n"/>
      <c r="J88" s="19" t="n"/>
      <c r="K88" s="19" t="n"/>
      <c r="L88" s="19" t="n"/>
      <c r="M88" s="19" t="n"/>
      <c r="N88" s="19" t="n"/>
      <c r="O88" s="17" t="inlineStr">
        <is>
          <t>BROUILLON</t>
        </is>
      </c>
      <c r="P88" s="17" t="n"/>
      <c r="Q88" s="17" t="n"/>
      <c r="R88" s="17" t="n"/>
      <c r="S88" s="17" t="n"/>
      <c r="T88" s="17" t="n"/>
      <c r="U88" s="17" t="n"/>
      <c r="V88" s="17" t="n"/>
    </row>
    <row r="89">
      <c r="A89" s="17" t="n"/>
      <c r="B89" s="18">
        <f>IF($D89="","",TEXT(TODAY(),"dd/mm/yyyy"))</f>
        <v/>
      </c>
      <c r="C89" s="18">
        <f>IF($D89="","",TEXT(NOW(),"hh:mm"))</f>
        <v/>
      </c>
      <c r="D89" s="19" t="n"/>
      <c r="E89" s="19" t="n"/>
      <c r="F89" s="18">
        <f>IF($E89="","",IFERROR(VLOOKUP($E89,ARTICLES!$A$5:$S$2243,3,FALSE),"reference inconnue"))</f>
        <v/>
      </c>
      <c r="G89" s="19" t="n"/>
      <c r="H89" s="18">
        <f>IF(OR(G89="",G89=0,I89=""),"",ROUND(I89/G89*100,1)&amp;" %")</f>
        <v/>
      </c>
      <c r="I89" s="19" t="n"/>
      <c r="J89" s="19" t="n"/>
      <c r="K89" s="19" t="n"/>
      <c r="L89" s="19" t="n"/>
      <c r="M89" s="19" t="n"/>
      <c r="N89" s="19" t="n"/>
      <c r="O89" s="17" t="inlineStr">
        <is>
          <t>BROUILLON</t>
        </is>
      </c>
      <c r="P89" s="17" t="n"/>
      <c r="Q89" s="17" t="n"/>
      <c r="R89" s="17" t="n"/>
      <c r="S89" s="17" t="n"/>
      <c r="T89" s="17" t="n"/>
      <c r="U89" s="17" t="n"/>
      <c r="V89" s="17" t="n"/>
    </row>
    <row r="90">
      <c r="A90" s="17" t="n"/>
      <c r="B90" s="18">
        <f>IF($D90="","",TEXT(TODAY(),"dd/mm/yyyy"))</f>
        <v/>
      </c>
      <c r="C90" s="18">
        <f>IF($D90="","",TEXT(NOW(),"hh:mm"))</f>
        <v/>
      </c>
      <c r="D90" s="19" t="n"/>
      <c r="E90" s="19" t="n"/>
      <c r="F90" s="18">
        <f>IF($E90="","",IFERROR(VLOOKUP($E90,ARTICLES!$A$5:$S$2243,3,FALSE),"reference inconnue"))</f>
        <v/>
      </c>
      <c r="G90" s="19" t="n"/>
      <c r="H90" s="18">
        <f>IF(OR(G90="",G90=0,I90=""),"",ROUND(I90/G90*100,1)&amp;" %")</f>
        <v/>
      </c>
      <c r="I90" s="19" t="n"/>
      <c r="J90" s="19" t="n"/>
      <c r="K90" s="19" t="n"/>
      <c r="L90" s="19" t="n"/>
      <c r="M90" s="19" t="n"/>
      <c r="N90" s="19" t="n"/>
      <c r="O90" s="17" t="inlineStr">
        <is>
          <t>BROUILLON</t>
        </is>
      </c>
      <c r="P90" s="17" t="n"/>
      <c r="Q90" s="17" t="n"/>
      <c r="R90" s="17" t="n"/>
      <c r="S90" s="17" t="n"/>
      <c r="T90" s="17" t="n"/>
      <c r="U90" s="17" t="n"/>
      <c r="V90" s="17" t="n"/>
    </row>
    <row r="91">
      <c r="A91" s="17" t="n"/>
      <c r="B91" s="18">
        <f>IF($D91="","",TEXT(TODAY(),"dd/mm/yyyy"))</f>
        <v/>
      </c>
      <c r="C91" s="18">
        <f>IF($D91="","",TEXT(NOW(),"hh:mm"))</f>
        <v/>
      </c>
      <c r="D91" s="19" t="n"/>
      <c r="E91" s="19" t="n"/>
      <c r="F91" s="18">
        <f>IF($E91="","",IFERROR(VLOOKUP($E91,ARTICLES!$A$5:$S$2243,3,FALSE),"reference inconnue"))</f>
        <v/>
      </c>
      <c r="G91" s="19" t="n"/>
      <c r="H91" s="18">
        <f>IF(OR(G91="",G91=0,I91=""),"",ROUND(I91/G91*100,1)&amp;" %")</f>
        <v/>
      </c>
      <c r="I91" s="19" t="n"/>
      <c r="J91" s="19" t="n"/>
      <c r="K91" s="19" t="n"/>
      <c r="L91" s="19" t="n"/>
      <c r="M91" s="19" t="n"/>
      <c r="N91" s="19" t="n"/>
      <c r="O91" s="17" t="inlineStr">
        <is>
          <t>BROUILLON</t>
        </is>
      </c>
      <c r="P91" s="17" t="n"/>
      <c r="Q91" s="17" t="n"/>
      <c r="R91" s="17" t="n"/>
      <c r="S91" s="17" t="n"/>
      <c r="T91" s="17" t="n"/>
      <c r="U91" s="17" t="n"/>
      <c r="V91" s="17" t="n"/>
    </row>
    <row r="92">
      <c r="A92" s="17" t="n"/>
      <c r="B92" s="18">
        <f>IF($D92="","",TEXT(TODAY(),"dd/mm/yyyy"))</f>
        <v/>
      </c>
      <c r="C92" s="18">
        <f>IF($D92="","",TEXT(NOW(),"hh:mm"))</f>
        <v/>
      </c>
      <c r="D92" s="19" t="n"/>
      <c r="E92" s="19" t="n"/>
      <c r="F92" s="18">
        <f>IF($E92="","",IFERROR(VLOOKUP($E92,ARTICLES!$A$5:$S$2243,3,FALSE),"reference inconnue"))</f>
        <v/>
      </c>
      <c r="G92" s="19" t="n"/>
      <c r="H92" s="18">
        <f>IF(OR(G92="",G92=0,I92=""),"",ROUND(I92/G92*100,1)&amp;" %")</f>
        <v/>
      </c>
      <c r="I92" s="19" t="n"/>
      <c r="J92" s="19" t="n"/>
      <c r="K92" s="19" t="n"/>
      <c r="L92" s="19" t="n"/>
      <c r="M92" s="19" t="n"/>
      <c r="N92" s="19" t="n"/>
      <c r="O92" s="17" t="inlineStr">
        <is>
          <t>BROUILLON</t>
        </is>
      </c>
      <c r="P92" s="17" t="n"/>
      <c r="Q92" s="17" t="n"/>
      <c r="R92" s="17" t="n"/>
      <c r="S92" s="17" t="n"/>
      <c r="T92" s="17" t="n"/>
      <c r="U92" s="17" t="n"/>
      <c r="V92" s="17" t="n"/>
    </row>
    <row r="93">
      <c r="A93" s="17" t="n"/>
      <c r="B93" s="18">
        <f>IF($D93="","",TEXT(TODAY(),"dd/mm/yyyy"))</f>
        <v/>
      </c>
      <c r="C93" s="18">
        <f>IF($D93="","",TEXT(NOW(),"hh:mm"))</f>
        <v/>
      </c>
      <c r="D93" s="19" t="n"/>
      <c r="E93" s="19" t="n"/>
      <c r="F93" s="18">
        <f>IF($E93="","",IFERROR(VLOOKUP($E93,ARTICLES!$A$5:$S$2243,3,FALSE),"reference inconnue"))</f>
        <v/>
      </c>
      <c r="G93" s="19" t="n"/>
      <c r="H93" s="18">
        <f>IF(OR(G93="",G93=0,I93=""),"",ROUND(I93/G93*100,1)&amp;" %")</f>
        <v/>
      </c>
      <c r="I93" s="19" t="n"/>
      <c r="J93" s="19" t="n"/>
      <c r="K93" s="19" t="n"/>
      <c r="L93" s="19" t="n"/>
      <c r="M93" s="19" t="n"/>
      <c r="N93" s="19" t="n"/>
      <c r="O93" s="17" t="inlineStr">
        <is>
          <t>BROUILLON</t>
        </is>
      </c>
      <c r="P93" s="17" t="n"/>
      <c r="Q93" s="17" t="n"/>
      <c r="R93" s="17" t="n"/>
      <c r="S93" s="17" t="n"/>
      <c r="T93" s="17" t="n"/>
      <c r="U93" s="17" t="n"/>
      <c r="V93" s="17" t="n"/>
    </row>
    <row r="94">
      <c r="A94" s="17" t="n"/>
      <c r="B94" s="18">
        <f>IF($D94="","",TEXT(TODAY(),"dd/mm/yyyy"))</f>
        <v/>
      </c>
      <c r="C94" s="18">
        <f>IF($D94="","",TEXT(NOW(),"hh:mm"))</f>
        <v/>
      </c>
      <c r="D94" s="19" t="n"/>
      <c r="E94" s="19" t="n"/>
      <c r="F94" s="18">
        <f>IF($E94="","",IFERROR(VLOOKUP($E94,ARTICLES!$A$5:$S$2243,3,FALSE),"reference inconnue"))</f>
        <v/>
      </c>
      <c r="G94" s="19" t="n"/>
      <c r="H94" s="18">
        <f>IF(OR(G94="",G94=0,I94=""),"",ROUND(I94/G94*100,1)&amp;" %")</f>
        <v/>
      </c>
      <c r="I94" s="19" t="n"/>
      <c r="J94" s="19" t="n"/>
      <c r="K94" s="19" t="n"/>
      <c r="L94" s="19" t="n"/>
      <c r="M94" s="19" t="n"/>
      <c r="N94" s="19" t="n"/>
      <c r="O94" s="17" t="inlineStr">
        <is>
          <t>BROUILLON</t>
        </is>
      </c>
      <c r="P94" s="17" t="n"/>
      <c r="Q94" s="17" t="n"/>
      <c r="R94" s="17" t="n"/>
      <c r="S94" s="17" t="n"/>
      <c r="T94" s="17" t="n"/>
      <c r="U94" s="17" t="n"/>
      <c r="V94" s="17" t="n"/>
    </row>
    <row r="95">
      <c r="A95" s="17" t="n"/>
      <c r="B95" s="18">
        <f>IF($D95="","",TEXT(TODAY(),"dd/mm/yyyy"))</f>
        <v/>
      </c>
      <c r="C95" s="18">
        <f>IF($D95="","",TEXT(NOW(),"hh:mm"))</f>
        <v/>
      </c>
      <c r="D95" s="19" t="n"/>
      <c r="E95" s="19" t="n"/>
      <c r="F95" s="18">
        <f>IF($E95="","",IFERROR(VLOOKUP($E95,ARTICLES!$A$5:$S$2243,3,FALSE),"reference inconnue"))</f>
        <v/>
      </c>
      <c r="G95" s="19" t="n"/>
      <c r="H95" s="18">
        <f>IF(OR(G95="",G95=0,I95=""),"",ROUND(I95/G95*100,1)&amp;" %")</f>
        <v/>
      </c>
      <c r="I95" s="19" t="n"/>
      <c r="J95" s="19" t="n"/>
      <c r="K95" s="19" t="n"/>
      <c r="L95" s="19" t="n"/>
      <c r="M95" s="19" t="n"/>
      <c r="N95" s="19" t="n"/>
      <c r="O95" s="17" t="inlineStr">
        <is>
          <t>BROUILLON</t>
        </is>
      </c>
      <c r="P95" s="17" t="n"/>
      <c r="Q95" s="17" t="n"/>
      <c r="R95" s="17" t="n"/>
      <c r="S95" s="17" t="n"/>
      <c r="T95" s="17" t="n"/>
      <c r="U95" s="17" t="n"/>
      <c r="V95" s="17" t="n"/>
    </row>
    <row r="96">
      <c r="A96" s="17" t="n"/>
      <c r="B96" s="18">
        <f>IF($D96="","",TEXT(TODAY(),"dd/mm/yyyy"))</f>
        <v/>
      </c>
      <c r="C96" s="18">
        <f>IF($D96="","",TEXT(NOW(),"hh:mm"))</f>
        <v/>
      </c>
      <c r="D96" s="19" t="n"/>
      <c r="E96" s="19" t="n"/>
      <c r="F96" s="18">
        <f>IF($E96="","",IFERROR(VLOOKUP($E96,ARTICLES!$A$5:$S$2243,3,FALSE),"reference inconnue"))</f>
        <v/>
      </c>
      <c r="G96" s="19" t="n"/>
      <c r="H96" s="18">
        <f>IF(OR(G96="",G96=0,I96=""),"",ROUND(I96/G96*100,1)&amp;" %")</f>
        <v/>
      </c>
      <c r="I96" s="19" t="n"/>
      <c r="J96" s="19" t="n"/>
      <c r="K96" s="19" t="n"/>
      <c r="L96" s="19" t="n"/>
      <c r="M96" s="19" t="n"/>
      <c r="N96" s="19" t="n"/>
      <c r="O96" s="17" t="inlineStr">
        <is>
          <t>BROUILLON</t>
        </is>
      </c>
      <c r="P96" s="17" t="n"/>
      <c r="Q96" s="17" t="n"/>
      <c r="R96" s="17" t="n"/>
      <c r="S96" s="17" t="n"/>
      <c r="T96" s="17" t="n"/>
      <c r="U96" s="17" t="n"/>
      <c r="V96" s="17" t="n"/>
    </row>
    <row r="97">
      <c r="A97" s="17" t="n"/>
      <c r="B97" s="18">
        <f>IF($D97="","",TEXT(TODAY(),"dd/mm/yyyy"))</f>
        <v/>
      </c>
      <c r="C97" s="18">
        <f>IF($D97="","",TEXT(NOW(),"hh:mm"))</f>
        <v/>
      </c>
      <c r="D97" s="19" t="n"/>
      <c r="E97" s="19" t="n"/>
      <c r="F97" s="18">
        <f>IF($E97="","",IFERROR(VLOOKUP($E97,ARTICLES!$A$5:$S$2243,3,FALSE),"reference inconnue"))</f>
        <v/>
      </c>
      <c r="G97" s="19" t="n"/>
      <c r="H97" s="18">
        <f>IF(OR(G97="",G97=0,I97=""),"",ROUND(I97/G97*100,1)&amp;" %")</f>
        <v/>
      </c>
      <c r="I97" s="19" t="n"/>
      <c r="J97" s="19" t="n"/>
      <c r="K97" s="19" t="n"/>
      <c r="L97" s="19" t="n"/>
      <c r="M97" s="19" t="n"/>
      <c r="N97" s="19" t="n"/>
      <c r="O97" s="17" t="inlineStr">
        <is>
          <t>BROUILLON</t>
        </is>
      </c>
      <c r="P97" s="17" t="n"/>
      <c r="Q97" s="17" t="n"/>
      <c r="R97" s="17" t="n"/>
      <c r="S97" s="17" t="n"/>
      <c r="T97" s="17" t="n"/>
      <c r="U97" s="17" t="n"/>
      <c r="V97" s="17" t="n"/>
    </row>
    <row r="98">
      <c r="A98" s="17" t="n"/>
      <c r="B98" s="18">
        <f>IF($D98="","",TEXT(TODAY(),"dd/mm/yyyy"))</f>
        <v/>
      </c>
      <c r="C98" s="18">
        <f>IF($D98="","",TEXT(NOW(),"hh:mm"))</f>
        <v/>
      </c>
      <c r="D98" s="19" t="n"/>
      <c r="E98" s="19" t="n"/>
      <c r="F98" s="18">
        <f>IF($E98="","",IFERROR(VLOOKUP($E98,ARTICLES!$A$5:$S$2243,3,FALSE),"reference inconnue"))</f>
        <v/>
      </c>
      <c r="G98" s="19" t="n"/>
      <c r="H98" s="18">
        <f>IF(OR(G98="",G98=0,I98=""),"",ROUND(I98/G98*100,1)&amp;" %")</f>
        <v/>
      </c>
      <c r="I98" s="19" t="n"/>
      <c r="J98" s="19" t="n"/>
      <c r="K98" s="19" t="n"/>
      <c r="L98" s="19" t="n"/>
      <c r="M98" s="19" t="n"/>
      <c r="N98" s="19" t="n"/>
      <c r="O98" s="17" t="inlineStr">
        <is>
          <t>BROUILLON</t>
        </is>
      </c>
      <c r="P98" s="17" t="n"/>
      <c r="Q98" s="17" t="n"/>
      <c r="R98" s="17" t="n"/>
      <c r="S98" s="17" t="n"/>
      <c r="T98" s="17" t="n"/>
      <c r="U98" s="17" t="n"/>
      <c r="V98" s="17" t="n"/>
    </row>
    <row r="99">
      <c r="A99" s="17" t="n"/>
      <c r="B99" s="18">
        <f>IF($D99="","",TEXT(TODAY(),"dd/mm/yyyy"))</f>
        <v/>
      </c>
      <c r="C99" s="18">
        <f>IF($D99="","",TEXT(NOW(),"hh:mm"))</f>
        <v/>
      </c>
      <c r="D99" s="19" t="n"/>
      <c r="E99" s="19" t="n"/>
      <c r="F99" s="18">
        <f>IF($E99="","",IFERROR(VLOOKUP($E99,ARTICLES!$A$5:$S$2243,3,FALSE),"reference inconnue"))</f>
        <v/>
      </c>
      <c r="G99" s="19" t="n"/>
      <c r="H99" s="18">
        <f>IF(OR(G99="",G99=0,I99=""),"",ROUND(I99/G99*100,1)&amp;" %")</f>
        <v/>
      </c>
      <c r="I99" s="19" t="n"/>
      <c r="J99" s="19" t="n"/>
      <c r="K99" s="19" t="n"/>
      <c r="L99" s="19" t="n"/>
      <c r="M99" s="19" t="n"/>
      <c r="N99" s="19" t="n"/>
      <c r="O99" s="17" t="inlineStr">
        <is>
          <t>BROUILLON</t>
        </is>
      </c>
      <c r="P99" s="17" t="n"/>
      <c r="Q99" s="17" t="n"/>
      <c r="R99" s="17" t="n"/>
      <c r="S99" s="17" t="n"/>
      <c r="T99" s="17" t="n"/>
      <c r="U99" s="17" t="n"/>
      <c r="V99" s="17" t="n"/>
    </row>
    <row r="100">
      <c r="A100" s="17" t="n"/>
      <c r="B100" s="18">
        <f>IF($D100="","",TEXT(TODAY(),"dd/mm/yyyy"))</f>
        <v/>
      </c>
      <c r="C100" s="18">
        <f>IF($D100="","",TEXT(NOW(),"hh:mm"))</f>
        <v/>
      </c>
      <c r="D100" s="19" t="n"/>
      <c r="E100" s="19" t="n"/>
      <c r="F100" s="18">
        <f>IF($E100="","",IFERROR(VLOOKUP($E100,ARTICLES!$A$5:$S$2243,3,FALSE),"reference inconnue"))</f>
        <v/>
      </c>
      <c r="G100" s="19" t="n"/>
      <c r="H100" s="18">
        <f>IF(OR(G100="",G100=0,I100=""),"",ROUND(I100/G100*100,1)&amp;" %")</f>
        <v/>
      </c>
      <c r="I100" s="19" t="n"/>
      <c r="J100" s="19" t="n"/>
      <c r="K100" s="19" t="n"/>
      <c r="L100" s="19" t="n"/>
      <c r="M100" s="19" t="n"/>
      <c r="N100" s="19" t="n"/>
      <c r="O100" s="17" t="inlineStr">
        <is>
          <t>BROUILLON</t>
        </is>
      </c>
      <c r="P100" s="17" t="n"/>
      <c r="Q100" s="17" t="n"/>
      <c r="R100" s="17" t="n"/>
      <c r="S100" s="17" t="n"/>
      <c r="T100" s="17" t="n"/>
      <c r="U100" s="17" t="n"/>
      <c r="V100" s="17" t="n"/>
    </row>
    <row r="101">
      <c r="A101" s="17" t="n"/>
      <c r="B101" s="18">
        <f>IF($D101="","",TEXT(TODAY(),"dd/mm/yyyy"))</f>
        <v/>
      </c>
      <c r="C101" s="18">
        <f>IF($D101="","",TEXT(NOW(),"hh:mm"))</f>
        <v/>
      </c>
      <c r="D101" s="19" t="n"/>
      <c r="E101" s="19" t="n"/>
      <c r="F101" s="18">
        <f>IF($E101="","",IFERROR(VLOOKUP($E101,ARTICLES!$A$5:$S$2243,3,FALSE),"reference inconnue"))</f>
        <v/>
      </c>
      <c r="G101" s="19" t="n"/>
      <c r="H101" s="18">
        <f>IF(OR(G101="",G101=0,I101=""),"",ROUND(I101/G101*100,1)&amp;" %")</f>
        <v/>
      </c>
      <c r="I101" s="19" t="n"/>
      <c r="J101" s="19" t="n"/>
      <c r="K101" s="19" t="n"/>
      <c r="L101" s="19" t="n"/>
      <c r="M101" s="19" t="n"/>
      <c r="N101" s="19" t="n"/>
      <c r="O101" s="17" t="inlineStr">
        <is>
          <t>BROUILLON</t>
        </is>
      </c>
      <c r="P101" s="17" t="n"/>
      <c r="Q101" s="17" t="n"/>
      <c r="R101" s="17" t="n"/>
      <c r="S101" s="17" t="n"/>
      <c r="T101" s="17" t="n"/>
      <c r="U101" s="17" t="n"/>
      <c r="V101" s="17" t="n"/>
    </row>
    <row r="102">
      <c r="A102" s="17" t="n"/>
      <c r="B102" s="18">
        <f>IF($D102="","",TEXT(TODAY(),"dd/mm/yyyy"))</f>
        <v/>
      </c>
      <c r="C102" s="18">
        <f>IF($D102="","",TEXT(NOW(),"hh:mm"))</f>
        <v/>
      </c>
      <c r="D102" s="19" t="n"/>
      <c r="E102" s="19" t="n"/>
      <c r="F102" s="18">
        <f>IF($E102="","",IFERROR(VLOOKUP($E102,ARTICLES!$A$5:$S$2243,3,FALSE),"reference inconnue"))</f>
        <v/>
      </c>
      <c r="G102" s="19" t="n"/>
      <c r="H102" s="18">
        <f>IF(OR(G102="",G102=0,I102=""),"",ROUND(I102/G102*100,1)&amp;" %")</f>
        <v/>
      </c>
      <c r="I102" s="19" t="n"/>
      <c r="J102" s="19" t="n"/>
      <c r="K102" s="19" t="n"/>
      <c r="L102" s="19" t="n"/>
      <c r="M102" s="19" t="n"/>
      <c r="N102" s="19" t="n"/>
      <c r="O102" s="17" t="inlineStr">
        <is>
          <t>BROUILLON</t>
        </is>
      </c>
      <c r="P102" s="17" t="n"/>
      <c r="Q102" s="17" t="n"/>
      <c r="R102" s="17" t="n"/>
      <c r="S102" s="17" t="n"/>
      <c r="T102" s="17" t="n"/>
      <c r="U102" s="17" t="n"/>
      <c r="V102" s="17" t="n"/>
    </row>
    <row r="103">
      <c r="A103" s="17" t="n"/>
      <c r="B103" s="18">
        <f>IF($D103="","",TEXT(TODAY(),"dd/mm/yyyy"))</f>
        <v/>
      </c>
      <c r="C103" s="18">
        <f>IF($D103="","",TEXT(NOW(),"hh:mm"))</f>
        <v/>
      </c>
      <c r="D103" s="19" t="n"/>
      <c r="E103" s="19" t="n"/>
      <c r="F103" s="18">
        <f>IF($E103="","",IFERROR(VLOOKUP($E103,ARTICLES!$A$5:$S$2243,3,FALSE),"reference inconnue"))</f>
        <v/>
      </c>
      <c r="G103" s="19" t="n"/>
      <c r="H103" s="18">
        <f>IF(OR(G103="",G103=0,I103=""),"",ROUND(I103/G103*100,1)&amp;" %")</f>
        <v/>
      </c>
      <c r="I103" s="19" t="n"/>
      <c r="J103" s="19" t="n"/>
      <c r="K103" s="19" t="n"/>
      <c r="L103" s="19" t="n"/>
      <c r="M103" s="19" t="n"/>
      <c r="N103" s="19" t="n"/>
      <c r="O103" s="17" t="inlineStr">
        <is>
          <t>BROUILLON</t>
        </is>
      </c>
      <c r="P103" s="17" t="n"/>
      <c r="Q103" s="17" t="n"/>
      <c r="R103" s="17" t="n"/>
      <c r="S103" s="17" t="n"/>
      <c r="T103" s="17" t="n"/>
      <c r="U103" s="17" t="n"/>
      <c r="V103" s="17" t="n"/>
    </row>
    <row r="104">
      <c r="A104" s="17" t="n"/>
      <c r="B104" s="18">
        <f>IF($D104="","",TEXT(TODAY(),"dd/mm/yyyy"))</f>
        <v/>
      </c>
      <c r="C104" s="18">
        <f>IF($D104="","",TEXT(NOW(),"hh:mm"))</f>
        <v/>
      </c>
      <c r="D104" s="19" t="n"/>
      <c r="E104" s="19" t="n"/>
      <c r="F104" s="18">
        <f>IF($E104="","",IFERROR(VLOOKUP($E104,ARTICLES!$A$5:$S$2243,3,FALSE),"reference inconnue"))</f>
        <v/>
      </c>
      <c r="G104" s="19" t="n"/>
      <c r="H104" s="18">
        <f>IF(OR(G104="",G104=0,I104=""),"",ROUND(I104/G104*100,1)&amp;" %")</f>
        <v/>
      </c>
      <c r="I104" s="19" t="n"/>
      <c r="J104" s="19" t="n"/>
      <c r="K104" s="19" t="n"/>
      <c r="L104" s="19" t="n"/>
      <c r="M104" s="19" t="n"/>
      <c r="N104" s="19" t="n"/>
      <c r="O104" s="17" t="inlineStr">
        <is>
          <t>BROUILLON</t>
        </is>
      </c>
      <c r="P104" s="17" t="n"/>
      <c r="Q104" s="17" t="n"/>
      <c r="R104" s="17" t="n"/>
      <c r="S104" s="17" t="n"/>
      <c r="T104" s="17" t="n"/>
      <c r="U104" s="17" t="n"/>
      <c r="V104" s="17" t="n"/>
    </row>
    <row r="105">
      <c r="A105" s="17" t="n"/>
      <c r="B105" s="18">
        <f>IF($D105="","",TEXT(TODAY(),"dd/mm/yyyy"))</f>
        <v/>
      </c>
      <c r="C105" s="18">
        <f>IF($D105="","",TEXT(NOW(),"hh:mm"))</f>
        <v/>
      </c>
      <c r="D105" s="19" t="n"/>
      <c r="E105" s="19" t="n"/>
      <c r="F105" s="18">
        <f>IF($E105="","",IFERROR(VLOOKUP($E105,ARTICLES!$A$5:$S$2243,3,FALSE),"reference inconnue"))</f>
        <v/>
      </c>
      <c r="G105" s="19" t="n"/>
      <c r="H105" s="18">
        <f>IF(OR(G105="",G105=0,I105=""),"",ROUND(I105/G105*100,1)&amp;" %")</f>
        <v/>
      </c>
      <c r="I105" s="19" t="n"/>
      <c r="J105" s="19" t="n"/>
      <c r="K105" s="19" t="n"/>
      <c r="L105" s="19" t="n"/>
      <c r="M105" s="19" t="n"/>
      <c r="N105" s="19" t="n"/>
      <c r="O105" s="17" t="inlineStr">
        <is>
          <t>BROUILLON</t>
        </is>
      </c>
      <c r="P105" s="17" t="n"/>
      <c r="Q105" s="17" t="n"/>
      <c r="R105" s="17" t="n"/>
      <c r="S105" s="17" t="n"/>
      <c r="T105" s="17" t="n"/>
      <c r="U105" s="17" t="n"/>
      <c r="V105" s="17" t="n"/>
    </row>
    <row r="106">
      <c r="A106" s="17" t="n"/>
      <c r="B106" s="18">
        <f>IF($D106="","",TEXT(TODAY(),"dd/mm/yyyy"))</f>
        <v/>
      </c>
      <c r="C106" s="18">
        <f>IF($D106="","",TEXT(NOW(),"hh:mm"))</f>
        <v/>
      </c>
      <c r="D106" s="19" t="n"/>
      <c r="E106" s="19" t="n"/>
      <c r="F106" s="18">
        <f>IF($E106="","",IFERROR(VLOOKUP($E106,ARTICLES!$A$5:$S$2243,3,FALSE),"reference inconnue"))</f>
        <v/>
      </c>
      <c r="G106" s="19" t="n"/>
      <c r="H106" s="18">
        <f>IF(OR(G106="",G106=0,I106=""),"",ROUND(I106/G106*100,1)&amp;" %")</f>
        <v/>
      </c>
      <c r="I106" s="19" t="n"/>
      <c r="J106" s="19" t="n"/>
      <c r="K106" s="19" t="n"/>
      <c r="L106" s="19" t="n"/>
      <c r="M106" s="19" t="n"/>
      <c r="N106" s="19" t="n"/>
      <c r="O106" s="17" t="inlineStr">
        <is>
          <t>BROUILLON</t>
        </is>
      </c>
      <c r="P106" s="17" t="n"/>
      <c r="Q106" s="17" t="n"/>
      <c r="R106" s="17" t="n"/>
      <c r="S106" s="17" t="n"/>
      <c r="T106" s="17" t="n"/>
      <c r="U106" s="17" t="n"/>
      <c r="V106" s="17" t="n"/>
    </row>
    <row r="107">
      <c r="A107" s="17" t="n"/>
      <c r="B107" s="18">
        <f>IF($D107="","",TEXT(TODAY(),"dd/mm/yyyy"))</f>
        <v/>
      </c>
      <c r="C107" s="18">
        <f>IF($D107="","",TEXT(NOW(),"hh:mm"))</f>
        <v/>
      </c>
      <c r="D107" s="19" t="n"/>
      <c r="E107" s="19" t="n"/>
      <c r="F107" s="18">
        <f>IF($E107="","",IFERROR(VLOOKUP($E107,ARTICLES!$A$5:$S$2243,3,FALSE),"reference inconnue"))</f>
        <v/>
      </c>
      <c r="G107" s="19" t="n"/>
      <c r="H107" s="18">
        <f>IF(OR(G107="",G107=0,I107=""),"",ROUND(I107/G107*100,1)&amp;" %")</f>
        <v/>
      </c>
      <c r="I107" s="19" t="n"/>
      <c r="J107" s="19" t="n"/>
      <c r="K107" s="19" t="n"/>
      <c r="L107" s="19" t="n"/>
      <c r="M107" s="19" t="n"/>
      <c r="N107" s="19" t="n"/>
      <c r="O107" s="17" t="inlineStr">
        <is>
          <t>BROUILLON</t>
        </is>
      </c>
      <c r="P107" s="17" t="n"/>
      <c r="Q107" s="17" t="n"/>
      <c r="R107" s="17" t="n"/>
      <c r="S107" s="17" t="n"/>
      <c r="T107" s="17" t="n"/>
      <c r="U107" s="17" t="n"/>
      <c r="V107" s="17" t="n"/>
    </row>
    <row r="108">
      <c r="A108" s="17" t="n"/>
      <c r="B108" s="18">
        <f>IF($D108="","",TEXT(TODAY(),"dd/mm/yyyy"))</f>
        <v/>
      </c>
      <c r="C108" s="18">
        <f>IF($D108="","",TEXT(NOW(),"hh:mm"))</f>
        <v/>
      </c>
      <c r="D108" s="19" t="n"/>
      <c r="E108" s="19" t="n"/>
      <c r="F108" s="18">
        <f>IF($E108="","",IFERROR(VLOOKUP($E108,ARTICLES!$A$5:$S$2243,3,FALSE),"reference inconnue"))</f>
        <v/>
      </c>
      <c r="G108" s="19" t="n"/>
      <c r="H108" s="18">
        <f>IF(OR(G108="",G108=0,I108=""),"",ROUND(I108/G108*100,1)&amp;" %")</f>
        <v/>
      </c>
      <c r="I108" s="19" t="n"/>
      <c r="J108" s="19" t="n"/>
      <c r="K108" s="19" t="n"/>
      <c r="L108" s="19" t="n"/>
      <c r="M108" s="19" t="n"/>
      <c r="N108" s="19" t="n"/>
      <c r="O108" s="17" t="inlineStr">
        <is>
          <t>BROUILLON</t>
        </is>
      </c>
      <c r="P108" s="17" t="n"/>
      <c r="Q108" s="17" t="n"/>
      <c r="R108" s="17" t="n"/>
      <c r="S108" s="17" t="n"/>
      <c r="T108" s="17" t="n"/>
      <c r="U108" s="17" t="n"/>
      <c r="V108" s="17" t="n"/>
    </row>
    <row r="109">
      <c r="A109" s="17" t="n"/>
      <c r="B109" s="18">
        <f>IF($D109="","",TEXT(TODAY(),"dd/mm/yyyy"))</f>
        <v/>
      </c>
      <c r="C109" s="18">
        <f>IF($D109="","",TEXT(NOW(),"hh:mm"))</f>
        <v/>
      </c>
      <c r="D109" s="19" t="n"/>
      <c r="E109" s="19" t="n"/>
      <c r="F109" s="18">
        <f>IF($E109="","",IFERROR(VLOOKUP($E109,ARTICLES!$A$5:$S$2243,3,FALSE),"reference inconnue"))</f>
        <v/>
      </c>
      <c r="G109" s="19" t="n"/>
      <c r="H109" s="18">
        <f>IF(OR(G109="",G109=0,I109=""),"",ROUND(I109/G109*100,1)&amp;" %")</f>
        <v/>
      </c>
      <c r="I109" s="19" t="n"/>
      <c r="J109" s="19" t="n"/>
      <c r="K109" s="19" t="n"/>
      <c r="L109" s="19" t="n"/>
      <c r="M109" s="19" t="n"/>
      <c r="N109" s="19" t="n"/>
      <c r="O109" s="17" t="inlineStr">
        <is>
          <t>BROUILLON</t>
        </is>
      </c>
      <c r="P109" s="17" t="n"/>
      <c r="Q109" s="17" t="n"/>
      <c r="R109" s="17" t="n"/>
      <c r="S109" s="17" t="n"/>
      <c r="T109" s="17" t="n"/>
      <c r="U109" s="17" t="n"/>
      <c r="V109" s="17" t="n"/>
    </row>
    <row r="110">
      <c r="A110" s="17" t="n"/>
      <c r="B110" s="18">
        <f>IF($D110="","",TEXT(TODAY(),"dd/mm/yyyy"))</f>
        <v/>
      </c>
      <c r="C110" s="18">
        <f>IF($D110="","",TEXT(NOW(),"hh:mm"))</f>
        <v/>
      </c>
      <c r="D110" s="19" t="n"/>
      <c r="E110" s="19" t="n"/>
      <c r="F110" s="18">
        <f>IF($E110="","",IFERROR(VLOOKUP($E110,ARTICLES!$A$5:$S$2243,3,FALSE),"reference inconnue"))</f>
        <v/>
      </c>
      <c r="G110" s="19" t="n"/>
      <c r="H110" s="18">
        <f>IF(OR(G110="",G110=0,I110=""),"",ROUND(I110/G110*100,1)&amp;" %")</f>
        <v/>
      </c>
      <c r="I110" s="19" t="n"/>
      <c r="J110" s="19" t="n"/>
      <c r="K110" s="19" t="n"/>
      <c r="L110" s="19" t="n"/>
      <c r="M110" s="19" t="n"/>
      <c r="N110" s="19" t="n"/>
      <c r="O110" s="17" t="inlineStr">
        <is>
          <t>BROUILLON</t>
        </is>
      </c>
      <c r="P110" s="17" t="n"/>
      <c r="Q110" s="17" t="n"/>
      <c r="R110" s="17" t="n"/>
      <c r="S110" s="17" t="n"/>
      <c r="T110" s="17" t="n"/>
      <c r="U110" s="17" t="n"/>
      <c r="V110" s="17" t="n"/>
    </row>
    <row r="111">
      <c r="A111" s="17" t="n"/>
      <c r="B111" s="18">
        <f>IF($D111="","",TEXT(TODAY(),"dd/mm/yyyy"))</f>
        <v/>
      </c>
      <c r="C111" s="18">
        <f>IF($D111="","",TEXT(NOW(),"hh:mm"))</f>
        <v/>
      </c>
      <c r="D111" s="19" t="n"/>
      <c r="E111" s="19" t="n"/>
      <c r="F111" s="18">
        <f>IF($E111="","",IFERROR(VLOOKUP($E111,ARTICLES!$A$5:$S$2243,3,FALSE),"reference inconnue"))</f>
        <v/>
      </c>
      <c r="G111" s="19" t="n"/>
      <c r="H111" s="18">
        <f>IF(OR(G111="",G111=0,I111=""),"",ROUND(I111/G111*100,1)&amp;" %")</f>
        <v/>
      </c>
      <c r="I111" s="19" t="n"/>
      <c r="J111" s="19" t="n"/>
      <c r="K111" s="19" t="n"/>
      <c r="L111" s="19" t="n"/>
      <c r="M111" s="19" t="n"/>
      <c r="N111" s="19" t="n"/>
      <c r="O111" s="17" t="inlineStr">
        <is>
          <t>BROUILLON</t>
        </is>
      </c>
      <c r="P111" s="17" t="n"/>
      <c r="Q111" s="17" t="n"/>
      <c r="R111" s="17" t="n"/>
      <c r="S111" s="17" t="n"/>
      <c r="T111" s="17" t="n"/>
      <c r="U111" s="17" t="n"/>
      <c r="V111" s="17" t="n"/>
    </row>
    <row r="112">
      <c r="A112" s="17" t="n"/>
      <c r="B112" s="18">
        <f>IF($D112="","",TEXT(TODAY(),"dd/mm/yyyy"))</f>
        <v/>
      </c>
      <c r="C112" s="18">
        <f>IF($D112="","",TEXT(NOW(),"hh:mm"))</f>
        <v/>
      </c>
      <c r="D112" s="19" t="n"/>
      <c r="E112" s="19" t="n"/>
      <c r="F112" s="18">
        <f>IF($E112="","",IFERROR(VLOOKUP($E112,ARTICLES!$A$5:$S$2243,3,FALSE),"reference inconnue"))</f>
        <v/>
      </c>
      <c r="G112" s="19" t="n"/>
      <c r="H112" s="18">
        <f>IF(OR(G112="",G112=0,I112=""),"",ROUND(I112/G112*100,1)&amp;" %")</f>
        <v/>
      </c>
      <c r="I112" s="19" t="n"/>
      <c r="J112" s="19" t="n"/>
      <c r="K112" s="19" t="n"/>
      <c r="L112" s="19" t="n"/>
      <c r="M112" s="19" t="n"/>
      <c r="N112" s="19" t="n"/>
      <c r="O112" s="17" t="inlineStr">
        <is>
          <t>BROUILLON</t>
        </is>
      </c>
      <c r="P112" s="17" t="n"/>
      <c r="Q112" s="17" t="n"/>
      <c r="R112" s="17" t="n"/>
      <c r="S112" s="17" t="n"/>
      <c r="T112" s="17" t="n"/>
      <c r="U112" s="17" t="n"/>
      <c r="V112" s="17" t="n"/>
    </row>
    <row r="113">
      <c r="A113" s="17" t="n"/>
      <c r="B113" s="18">
        <f>IF($D113="","",TEXT(TODAY(),"dd/mm/yyyy"))</f>
        <v/>
      </c>
      <c r="C113" s="18">
        <f>IF($D113="","",TEXT(NOW(),"hh:mm"))</f>
        <v/>
      </c>
      <c r="D113" s="19" t="n"/>
      <c r="E113" s="19" t="n"/>
      <c r="F113" s="18">
        <f>IF($E113="","",IFERROR(VLOOKUP($E113,ARTICLES!$A$5:$S$2243,3,FALSE),"reference inconnue"))</f>
        <v/>
      </c>
      <c r="G113" s="19" t="n"/>
      <c r="H113" s="18">
        <f>IF(OR(G113="",G113=0,I113=""),"",ROUND(I113/G113*100,1)&amp;" %")</f>
        <v/>
      </c>
      <c r="I113" s="19" t="n"/>
      <c r="J113" s="19" t="n"/>
      <c r="K113" s="19" t="n"/>
      <c r="L113" s="19" t="n"/>
      <c r="M113" s="19" t="n"/>
      <c r="N113" s="19" t="n"/>
      <c r="O113" s="17" t="inlineStr">
        <is>
          <t>BROUILLON</t>
        </is>
      </c>
      <c r="P113" s="17" t="n"/>
      <c r="Q113" s="17" t="n"/>
      <c r="R113" s="17" t="n"/>
      <c r="S113" s="17" t="n"/>
      <c r="T113" s="17" t="n"/>
      <c r="U113" s="17" t="n"/>
      <c r="V113" s="17" t="n"/>
    </row>
    <row r="114">
      <c r="A114" s="17" t="n"/>
      <c r="B114" s="18">
        <f>IF($D114="","",TEXT(TODAY(),"dd/mm/yyyy"))</f>
        <v/>
      </c>
      <c r="C114" s="18">
        <f>IF($D114="","",TEXT(NOW(),"hh:mm"))</f>
        <v/>
      </c>
      <c r="D114" s="19" t="n"/>
      <c r="E114" s="19" t="n"/>
      <c r="F114" s="18">
        <f>IF($E114="","",IFERROR(VLOOKUP($E114,ARTICLES!$A$5:$S$2243,3,FALSE),"reference inconnue"))</f>
        <v/>
      </c>
      <c r="G114" s="19" t="n"/>
      <c r="H114" s="18">
        <f>IF(OR(G114="",G114=0,I114=""),"",ROUND(I114/G114*100,1)&amp;" %")</f>
        <v/>
      </c>
      <c r="I114" s="19" t="n"/>
      <c r="J114" s="19" t="n"/>
      <c r="K114" s="19" t="n"/>
      <c r="L114" s="19" t="n"/>
      <c r="M114" s="19" t="n"/>
      <c r="N114" s="19" t="n"/>
      <c r="O114" s="17" t="inlineStr">
        <is>
          <t>BROUILLON</t>
        </is>
      </c>
      <c r="P114" s="17" t="n"/>
      <c r="Q114" s="17" t="n"/>
      <c r="R114" s="17" t="n"/>
      <c r="S114" s="17" t="n"/>
      <c r="T114" s="17" t="n"/>
      <c r="U114" s="17" t="n"/>
      <c r="V114" s="17" t="n"/>
    </row>
    <row r="115">
      <c r="A115" s="17" t="n"/>
      <c r="B115" s="18">
        <f>IF($D115="","",TEXT(TODAY(),"dd/mm/yyyy"))</f>
        <v/>
      </c>
      <c r="C115" s="18">
        <f>IF($D115="","",TEXT(NOW(),"hh:mm"))</f>
        <v/>
      </c>
      <c r="D115" s="19" t="n"/>
      <c r="E115" s="19" t="n"/>
      <c r="F115" s="18">
        <f>IF($E115="","",IFERROR(VLOOKUP($E115,ARTICLES!$A$5:$S$2243,3,FALSE),"reference inconnue"))</f>
        <v/>
      </c>
      <c r="G115" s="19" t="n"/>
      <c r="H115" s="18">
        <f>IF(OR(G115="",G115=0,I115=""),"",ROUND(I115/G115*100,1)&amp;" %")</f>
        <v/>
      </c>
      <c r="I115" s="19" t="n"/>
      <c r="J115" s="19" t="n"/>
      <c r="K115" s="19" t="n"/>
      <c r="L115" s="19" t="n"/>
      <c r="M115" s="19" t="n"/>
      <c r="N115" s="19" t="n"/>
      <c r="O115" s="17" t="inlineStr">
        <is>
          <t>BROUILLON</t>
        </is>
      </c>
      <c r="P115" s="17" t="n"/>
      <c r="Q115" s="17" t="n"/>
      <c r="R115" s="17" t="n"/>
      <c r="S115" s="17" t="n"/>
      <c r="T115" s="17" t="n"/>
      <c r="U115" s="17" t="n"/>
      <c r="V115" s="17" t="n"/>
    </row>
    <row r="116">
      <c r="A116" s="17" t="n"/>
      <c r="B116" s="18">
        <f>IF($D116="","",TEXT(TODAY(),"dd/mm/yyyy"))</f>
        <v/>
      </c>
      <c r="C116" s="18">
        <f>IF($D116="","",TEXT(NOW(),"hh:mm"))</f>
        <v/>
      </c>
      <c r="D116" s="19" t="n"/>
      <c r="E116" s="19" t="n"/>
      <c r="F116" s="18">
        <f>IF($E116="","",IFERROR(VLOOKUP($E116,ARTICLES!$A$5:$S$2243,3,FALSE),"reference inconnue"))</f>
        <v/>
      </c>
      <c r="G116" s="19" t="n"/>
      <c r="H116" s="18">
        <f>IF(OR(G116="",G116=0,I116=""),"",ROUND(I116/G116*100,1)&amp;" %")</f>
        <v/>
      </c>
      <c r="I116" s="19" t="n"/>
      <c r="J116" s="19" t="n"/>
      <c r="K116" s="19" t="n"/>
      <c r="L116" s="19" t="n"/>
      <c r="M116" s="19" t="n"/>
      <c r="N116" s="19" t="n"/>
      <c r="O116" s="17" t="inlineStr">
        <is>
          <t>BROUILLON</t>
        </is>
      </c>
      <c r="P116" s="17" t="n"/>
      <c r="Q116" s="17" t="n"/>
      <c r="R116" s="17" t="n"/>
      <c r="S116" s="17" t="n"/>
      <c r="T116" s="17" t="n"/>
      <c r="U116" s="17" t="n"/>
      <c r="V116" s="17" t="n"/>
    </row>
    <row r="117">
      <c r="A117" s="17" t="n"/>
      <c r="B117" s="18">
        <f>IF($D117="","",TEXT(TODAY(),"dd/mm/yyyy"))</f>
        <v/>
      </c>
      <c r="C117" s="18">
        <f>IF($D117="","",TEXT(NOW(),"hh:mm"))</f>
        <v/>
      </c>
      <c r="D117" s="19" t="n"/>
      <c r="E117" s="19" t="n"/>
      <c r="F117" s="18">
        <f>IF($E117="","",IFERROR(VLOOKUP($E117,ARTICLES!$A$5:$S$2243,3,FALSE),"reference inconnue"))</f>
        <v/>
      </c>
      <c r="G117" s="19" t="n"/>
      <c r="H117" s="18">
        <f>IF(OR(G117="",G117=0,I117=""),"",ROUND(I117/G117*100,1)&amp;" %")</f>
        <v/>
      </c>
      <c r="I117" s="19" t="n"/>
      <c r="J117" s="19" t="n"/>
      <c r="K117" s="19" t="n"/>
      <c r="L117" s="19" t="n"/>
      <c r="M117" s="19" t="n"/>
      <c r="N117" s="19" t="n"/>
      <c r="O117" s="17" t="inlineStr">
        <is>
          <t>BROUILLON</t>
        </is>
      </c>
      <c r="P117" s="17" t="n"/>
      <c r="Q117" s="17" t="n"/>
      <c r="R117" s="17" t="n"/>
      <c r="S117" s="17" t="n"/>
      <c r="T117" s="17" t="n"/>
      <c r="U117" s="17" t="n"/>
      <c r="V117" s="17" t="n"/>
    </row>
    <row r="118">
      <c r="A118" s="17" t="n"/>
      <c r="B118" s="18">
        <f>IF($D118="","",TEXT(TODAY(),"dd/mm/yyyy"))</f>
        <v/>
      </c>
      <c r="C118" s="18">
        <f>IF($D118="","",TEXT(NOW(),"hh:mm"))</f>
        <v/>
      </c>
      <c r="D118" s="19" t="n"/>
      <c r="E118" s="19" t="n"/>
      <c r="F118" s="18">
        <f>IF($E118="","",IFERROR(VLOOKUP($E118,ARTICLES!$A$5:$S$2243,3,FALSE),"reference inconnue"))</f>
        <v/>
      </c>
      <c r="G118" s="19" t="n"/>
      <c r="H118" s="18">
        <f>IF(OR(G118="",G118=0,I118=""),"",ROUND(I118/G118*100,1)&amp;" %")</f>
        <v/>
      </c>
      <c r="I118" s="19" t="n"/>
      <c r="J118" s="19" t="n"/>
      <c r="K118" s="19" t="n"/>
      <c r="L118" s="19" t="n"/>
      <c r="M118" s="19" t="n"/>
      <c r="N118" s="19" t="n"/>
      <c r="O118" s="17" t="inlineStr">
        <is>
          <t>BROUILLON</t>
        </is>
      </c>
      <c r="P118" s="17" t="n"/>
      <c r="Q118" s="17" t="n"/>
      <c r="R118" s="17" t="n"/>
      <c r="S118" s="17" t="n"/>
      <c r="T118" s="17" t="n"/>
      <c r="U118" s="17" t="n"/>
      <c r="V118" s="17" t="n"/>
    </row>
    <row r="119">
      <c r="A119" s="17" t="n"/>
      <c r="B119" s="18">
        <f>IF($D119="","",TEXT(TODAY(),"dd/mm/yyyy"))</f>
        <v/>
      </c>
      <c r="C119" s="18">
        <f>IF($D119="","",TEXT(NOW(),"hh:mm"))</f>
        <v/>
      </c>
      <c r="D119" s="19" t="n"/>
      <c r="E119" s="19" t="n"/>
      <c r="F119" s="18">
        <f>IF($E119="","",IFERROR(VLOOKUP($E119,ARTICLES!$A$5:$S$2243,3,FALSE),"reference inconnue"))</f>
        <v/>
      </c>
      <c r="G119" s="19" t="n"/>
      <c r="H119" s="18">
        <f>IF(OR(G119="",G119=0,I119=""),"",ROUND(I119/G119*100,1)&amp;" %")</f>
        <v/>
      </c>
      <c r="I119" s="19" t="n"/>
      <c r="J119" s="19" t="n"/>
      <c r="K119" s="19" t="n"/>
      <c r="L119" s="19" t="n"/>
      <c r="M119" s="19" t="n"/>
      <c r="N119" s="19" t="n"/>
      <c r="O119" s="17" t="inlineStr">
        <is>
          <t>BROUILLON</t>
        </is>
      </c>
      <c r="P119" s="17" t="n"/>
      <c r="Q119" s="17" t="n"/>
      <c r="R119" s="17" t="n"/>
      <c r="S119" s="17" t="n"/>
      <c r="T119" s="17" t="n"/>
      <c r="U119" s="17" t="n"/>
      <c r="V119" s="17" t="n"/>
    </row>
    <row r="120">
      <c r="A120" s="17" t="n"/>
      <c r="B120" s="18">
        <f>IF($D120="","",TEXT(TODAY(),"dd/mm/yyyy"))</f>
        <v/>
      </c>
      <c r="C120" s="18">
        <f>IF($D120="","",TEXT(NOW(),"hh:mm"))</f>
        <v/>
      </c>
      <c r="D120" s="19" t="n"/>
      <c r="E120" s="19" t="n"/>
      <c r="F120" s="18">
        <f>IF($E120="","",IFERROR(VLOOKUP($E120,ARTICLES!$A$5:$S$2243,3,FALSE),"reference inconnue"))</f>
        <v/>
      </c>
      <c r="G120" s="19" t="n"/>
      <c r="H120" s="18">
        <f>IF(OR(G120="",G120=0,I120=""),"",ROUND(I120/G120*100,1)&amp;" %")</f>
        <v/>
      </c>
      <c r="I120" s="19" t="n"/>
      <c r="J120" s="19" t="n"/>
      <c r="K120" s="19" t="n"/>
      <c r="L120" s="19" t="n"/>
      <c r="M120" s="19" t="n"/>
      <c r="N120" s="19" t="n"/>
      <c r="O120" s="17" t="inlineStr">
        <is>
          <t>BROUILLON</t>
        </is>
      </c>
      <c r="P120" s="17" t="n"/>
      <c r="Q120" s="17" t="n"/>
      <c r="R120" s="17" t="n"/>
      <c r="S120" s="17" t="n"/>
      <c r="T120" s="17" t="n"/>
      <c r="U120" s="17" t="n"/>
      <c r="V120" s="17" t="n"/>
    </row>
    <row r="121">
      <c r="A121" s="17" t="n"/>
      <c r="B121" s="18">
        <f>IF($D121="","",TEXT(TODAY(),"dd/mm/yyyy"))</f>
        <v/>
      </c>
      <c r="C121" s="18">
        <f>IF($D121="","",TEXT(NOW(),"hh:mm"))</f>
        <v/>
      </c>
      <c r="D121" s="19" t="n"/>
      <c r="E121" s="19" t="n"/>
      <c r="F121" s="18">
        <f>IF($E121="","",IFERROR(VLOOKUP($E121,ARTICLES!$A$5:$S$2243,3,FALSE),"reference inconnue"))</f>
        <v/>
      </c>
      <c r="G121" s="19" t="n"/>
      <c r="H121" s="18">
        <f>IF(OR(G121="",G121=0,I121=""),"",ROUND(I121/G121*100,1)&amp;" %")</f>
        <v/>
      </c>
      <c r="I121" s="19" t="n"/>
      <c r="J121" s="19" t="n"/>
      <c r="K121" s="19" t="n"/>
      <c r="L121" s="19" t="n"/>
      <c r="M121" s="19" t="n"/>
      <c r="N121" s="19" t="n"/>
      <c r="O121" s="17" t="inlineStr">
        <is>
          <t>BROUILLON</t>
        </is>
      </c>
      <c r="P121" s="17" t="n"/>
      <c r="Q121" s="17" t="n"/>
      <c r="R121" s="17" t="n"/>
      <c r="S121" s="17" t="n"/>
      <c r="T121" s="17" t="n"/>
      <c r="U121" s="17" t="n"/>
      <c r="V121" s="17" t="n"/>
    </row>
    <row r="122">
      <c r="A122" s="17" t="n"/>
      <c r="B122" s="18">
        <f>IF($D122="","",TEXT(TODAY(),"dd/mm/yyyy"))</f>
        <v/>
      </c>
      <c r="C122" s="18">
        <f>IF($D122="","",TEXT(NOW(),"hh:mm"))</f>
        <v/>
      </c>
      <c r="D122" s="19" t="n"/>
      <c r="E122" s="19" t="n"/>
      <c r="F122" s="18">
        <f>IF($E122="","",IFERROR(VLOOKUP($E122,ARTICLES!$A$5:$S$2243,3,FALSE),"reference inconnue"))</f>
        <v/>
      </c>
      <c r="G122" s="19" t="n"/>
      <c r="H122" s="18">
        <f>IF(OR(G122="",G122=0,I122=""),"",ROUND(I122/G122*100,1)&amp;" %")</f>
        <v/>
      </c>
      <c r="I122" s="19" t="n"/>
      <c r="J122" s="19" t="n"/>
      <c r="K122" s="19" t="n"/>
      <c r="L122" s="19" t="n"/>
      <c r="M122" s="19" t="n"/>
      <c r="N122" s="19" t="n"/>
      <c r="O122" s="17" t="inlineStr">
        <is>
          <t>BROUILLON</t>
        </is>
      </c>
      <c r="P122" s="17" t="n"/>
      <c r="Q122" s="17" t="n"/>
      <c r="R122" s="17" t="n"/>
      <c r="S122" s="17" t="n"/>
      <c r="T122" s="17" t="n"/>
      <c r="U122" s="17" t="n"/>
      <c r="V122" s="17" t="n"/>
    </row>
    <row r="123">
      <c r="A123" s="17" t="n"/>
      <c r="B123" s="18">
        <f>IF($D123="","",TEXT(TODAY(),"dd/mm/yyyy"))</f>
        <v/>
      </c>
      <c r="C123" s="18">
        <f>IF($D123="","",TEXT(NOW(),"hh:mm"))</f>
        <v/>
      </c>
      <c r="D123" s="19" t="n"/>
      <c r="E123" s="19" t="n"/>
      <c r="F123" s="18">
        <f>IF($E123="","",IFERROR(VLOOKUP($E123,ARTICLES!$A$5:$S$2243,3,FALSE),"reference inconnue"))</f>
        <v/>
      </c>
      <c r="G123" s="19" t="n"/>
      <c r="H123" s="18">
        <f>IF(OR(G123="",G123=0,I123=""),"",ROUND(I123/G123*100,1)&amp;" %")</f>
        <v/>
      </c>
      <c r="I123" s="19" t="n"/>
      <c r="J123" s="19" t="n"/>
      <c r="K123" s="19" t="n"/>
      <c r="L123" s="19" t="n"/>
      <c r="M123" s="19" t="n"/>
      <c r="N123" s="19" t="n"/>
      <c r="O123" s="17" t="inlineStr">
        <is>
          <t>BROUILLON</t>
        </is>
      </c>
      <c r="P123" s="17" t="n"/>
      <c r="Q123" s="17" t="n"/>
      <c r="R123" s="17" t="n"/>
      <c r="S123" s="17" t="n"/>
      <c r="T123" s="17" t="n"/>
      <c r="U123" s="17" t="n"/>
      <c r="V123" s="17" t="n"/>
    </row>
    <row r="124">
      <c r="A124" s="17" t="n"/>
      <c r="B124" s="18">
        <f>IF($D124="","",TEXT(TODAY(),"dd/mm/yyyy"))</f>
        <v/>
      </c>
      <c r="C124" s="18">
        <f>IF($D124="","",TEXT(NOW(),"hh:mm"))</f>
        <v/>
      </c>
      <c r="D124" s="19" t="n"/>
      <c r="E124" s="19" t="n"/>
      <c r="F124" s="18">
        <f>IF($E124="","",IFERROR(VLOOKUP($E124,ARTICLES!$A$5:$S$2243,3,FALSE),"reference inconnue"))</f>
        <v/>
      </c>
      <c r="G124" s="19" t="n"/>
      <c r="H124" s="18">
        <f>IF(OR(G124="",G124=0,I124=""),"",ROUND(I124/G124*100,1)&amp;" %")</f>
        <v/>
      </c>
      <c r="I124" s="19" t="n"/>
      <c r="J124" s="19" t="n"/>
      <c r="K124" s="19" t="n"/>
      <c r="L124" s="19" t="n"/>
      <c r="M124" s="19" t="n"/>
      <c r="N124" s="19" t="n"/>
      <c r="O124" s="17" t="inlineStr">
        <is>
          <t>BROUILLON</t>
        </is>
      </c>
      <c r="P124" s="17" t="n"/>
      <c r="Q124" s="17" t="n"/>
      <c r="R124" s="17" t="n"/>
      <c r="S124" s="17" t="n"/>
      <c r="T124" s="17" t="n"/>
      <c r="U124" s="17" t="n"/>
      <c r="V124" s="17" t="n"/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3">
    <mergeCell ref="A2:V2"/>
    <mergeCell ref="A1:V1"/>
    <mergeCell ref="A3:V3"/>
  </mergeCells>
  <conditionalFormatting sqref="O5:O124">
    <cfRule type="cellIs" priority="1" operator="equal" dxfId="3">
      <formula>"BROUILLON"</formula>
    </cfRule>
    <cfRule type="cellIs" priority="2" operator="equal" dxfId="1">
      <formula>"EN ATTENTE DE VALIDATION"</formula>
    </cfRule>
    <cfRule type="cellIs" priority="3" operator="equal" dxfId="0">
      <formula>"VALIDE"</formula>
    </cfRule>
    <cfRule type="cellIs" priority="4" operator="equal" dxfId="2">
      <formula>"REJETE"</formula>
    </cfRule>
  </conditionalFormatting>
  <dataValidations count="9">
    <dataValidation sqref="O5:O124" showDropDown="0" showInputMessage="0" showErrorMessage="0" allowBlank="1" type="list">
      <formula1>"BROUILLON,EN ATTENTE DE VALIDATION,VALIDE,REJETE"</formula1>
    </dataValidation>
    <dataValidation sqref="E5:E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e code de la piece (WHAP-...). La designation s'affiche toute seule a cote." type="list">
      <formula1>ARTICLES!$A$5:$A$2243</formula1>
    </dataValidation>
    <dataValidation sqref="N5:N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votre matricule." type="list">
      <formula1>LISTES!$G$2:$G$25</formula1>
    </dataValidation>
    <dataValidation sqref="D5:D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e lot. Seuls les lots concernant cette zone sont proposes." type="list">
      <formula1>LISTES!$C$2:$C$33</formula1>
    </dataValidation>
    <dataValidation sqref="G5:G124" showDropDown="0" showInputMessage="1" showErrorMessage="0" allowBlank="1" promptTitle="A saisir" prompt="Taille totale du lot."/>
    <dataValidation sqref="I5:I124" showDropDown="0" showInputMessage="1" showErrorMessage="0" allowBlank="1" promptTitle="A saisir" prompt="Nombre de pieces controlees."/>
    <dataValidation sqref="J5:J124" showDropDown="0" showInputMessage="1" showErrorMessage="0" allowBlank="1" promptTitle="A saisir" prompt="Pieces conformes dans l'echantillon."/>
    <dataValidation sqref="K5:K124" showDropDown="0" showInputMessage="1" showErrorMessage="0" allowBlank="1" promptTitle="A saisir" prompt="Pieces non conformes dans l'echantillon."/>
    <dataValidation sqref="M5:M124" showDropDown="0" showInputMessage="1" showErrorMessage="0" allowBlank="1" promptTitle="A saisir" prompt="Facultatif."/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T124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4" customWidth="1" min="1" max="1"/>
    <col width="12" customWidth="1" min="2" max="2"/>
    <col hidden="1" width="10" customWidth="1" min="3" max="3"/>
    <col width="16" customWidth="1" min="4" max="4"/>
    <col width="16" customWidth="1" min="5" max="5"/>
    <col width="30" customWidth="1" min="6" max="6"/>
    <col width="12" customWidth="1" min="7" max="7"/>
    <col width="20" customWidth="1" min="8" max="8"/>
    <col width="16" customWidth="1" min="9" max="9"/>
    <col width="18" customWidth="1" min="10" max="10"/>
    <col width="34" customWidth="1" min="11" max="11"/>
    <col width="20" customWidth="1" min="12" max="12"/>
    <col width="24" customWidth="1" min="13" max="13"/>
    <col width="20" customWidth="1" min="14" max="14"/>
    <col width="18" customWidth="1" min="15" max="15"/>
    <col width="30" customWidth="1" min="16" max="16"/>
    <col width="14" customWidth="1" min="17" max="17"/>
    <col hidden="1" outlineLevel="1" width="18" customWidth="1" min="18" max="20"/>
  </cols>
  <sheetData>
    <row r="1" ht="22" customHeight="1">
      <c r="A1" s="1" t="inlineStr">
        <is>
          <t>QUALITE</t>
        </is>
      </c>
    </row>
    <row r="2">
      <c r="A2" s="2" t="inlineStr">
        <is>
          <t>Decision qualite. Une validation qualite ne modifie jamais le stock: elle autorise le stockage.</t>
        </is>
      </c>
    </row>
    <row r="3" ht="15" customHeight="1">
      <c r="A3" s="13" t="inlineStr">
        <is>
          <t>SLCC - aucune synchronisation depuis l'ouverture du fichier</t>
        </is>
      </c>
    </row>
    <row r="4" ht="30" customHeight="1">
      <c r="A4" s="14" t="inlineStr">
        <is>
          <t>ID_QUALITE</t>
        </is>
      </c>
      <c r="B4" s="15" t="inlineStr">
        <is>
          <t>DATE</t>
        </is>
      </c>
      <c r="C4" s="14" t="inlineStr">
        <is>
          <t>HEURE</t>
        </is>
      </c>
      <c r="D4" s="6" t="inlineStr">
        <is>
          <t>ID_LOT</t>
        </is>
      </c>
      <c r="E4" s="6" t="inlineStr">
        <is>
          <t>REFERENCE_PIECE</t>
        </is>
      </c>
      <c r="F4" s="14" t="inlineStr">
        <is>
          <t>DESIGNATION</t>
        </is>
      </c>
      <c r="G4" s="6" t="inlineStr">
        <is>
          <t>QUANTITE</t>
        </is>
      </c>
      <c r="H4" s="16" t="inlineStr">
        <is>
          <t>RESULTAT_INSPECTION</t>
        </is>
      </c>
      <c r="I4" s="6" t="inlineStr">
        <is>
          <t>DECISION</t>
        </is>
      </c>
      <c r="J4" s="16" t="inlineStr">
        <is>
          <t>QUANTITE_APPROUVEE</t>
        </is>
      </c>
      <c r="K4" s="6" t="inlineStr">
        <is>
          <t>COMMENTAIRE</t>
        </is>
      </c>
      <c r="L4" s="6" t="inlineStr">
        <is>
          <t>MATRICULE_OPERATEUR</t>
        </is>
      </c>
      <c r="M4" s="14" t="inlineStr">
        <is>
          <t>STATUT</t>
        </is>
      </c>
      <c r="N4" s="14" t="inlineStr">
        <is>
          <t>MATRICULE_CHECKER</t>
        </is>
      </c>
      <c r="O4" s="14" t="inlineStr">
        <is>
          <t>DATE_VALIDATION</t>
        </is>
      </c>
      <c r="P4" s="14" t="inlineStr">
        <is>
          <t>MOTIF_REJET</t>
        </is>
      </c>
      <c r="Q4" s="14" t="inlineStr">
        <is>
          <t>ETAT_SYNC</t>
        </is>
      </c>
      <c r="R4" s="14" t="inlineStr">
        <is>
          <t>DATE_SOUMISSION</t>
        </is>
      </c>
      <c r="S4" s="14" t="inlineStr">
        <is>
          <t>ID_SYNC</t>
        </is>
      </c>
      <c r="T4" s="14" t="inlineStr">
        <is>
          <t>JETON_VALIDATION</t>
        </is>
      </c>
    </row>
    <row r="5">
      <c r="A5" s="17" t="inlineStr">
        <is>
          <t>QV-00191</t>
        </is>
      </c>
      <c r="B5" s="18" t="inlineStr">
        <is>
          <t>31/08/2026</t>
        </is>
      </c>
      <c r="C5" s="18" t="inlineStr">
        <is>
          <t>08:34</t>
        </is>
      </c>
      <c r="D5" s="17" t="inlineStr">
        <is>
          <t>LOT-2026-254</t>
        </is>
      </c>
      <c r="E5" s="17" t="inlineStr">
        <is>
          <t>WHAP-0151</t>
        </is>
      </c>
      <c r="F5" s="18">
        <f>IF($E5="","",IFERROR(VLOOKUP($E5,ARTICLES!$A$5:$S$2243,3,FALSE),"reference inconnue"))</f>
        <v/>
      </c>
      <c r="G5" s="17" t="n">
        <v>30</v>
      </c>
      <c r="H5" s="17" t="inlineStr"/>
      <c r="I5" s="17" t="inlineStr">
        <is>
          <t>APPROUVE</t>
        </is>
      </c>
      <c r="J5" s="17" t="n">
        <v>30</v>
      </c>
      <c r="K5" s="17" t="inlineStr">
        <is>
          <t>Echantillon conforme, lot libere pour stockage</t>
        </is>
      </c>
      <c r="L5" s="17" t="inlineStr">
        <is>
          <t>QM-002</t>
        </is>
      </c>
      <c r="M5" s="17" t="inlineStr">
        <is>
          <t>VALIDE</t>
        </is>
      </c>
      <c r="N5" s="17" t="inlineStr"/>
      <c r="O5" s="17" t="inlineStr"/>
      <c r="P5" s="17" t="inlineStr"/>
      <c r="Q5" s="17" t="inlineStr">
        <is>
          <t>SYNCHRONISE</t>
        </is>
      </c>
      <c r="R5" s="17" t="inlineStr"/>
      <c r="S5" s="17" t="inlineStr">
        <is>
          <t>QUALITE-HISTORIQUE-001</t>
        </is>
      </c>
      <c r="T5" s="17" t="inlineStr"/>
    </row>
    <row r="6">
      <c r="A6" s="17" t="inlineStr">
        <is>
          <t>QV-00190</t>
        </is>
      </c>
      <c r="B6" s="18" t="inlineStr">
        <is>
          <t>31/08/2026</t>
        </is>
      </c>
      <c r="C6" s="18" t="inlineStr">
        <is>
          <t>00:34</t>
        </is>
      </c>
      <c r="D6" s="17" t="inlineStr">
        <is>
          <t>LOT-2026-252</t>
        </is>
      </c>
      <c r="E6" s="17" t="inlineStr">
        <is>
          <t>NET-001</t>
        </is>
      </c>
      <c r="F6" s="18">
        <f>IF($E6="","",IFERROR(VLOOKUP($E6,ARTICLES!$A$5:$S$2243,3,FALSE),"reference inconnue"))</f>
        <v/>
      </c>
      <c r="G6" s="17" t="n">
        <v>600</v>
      </c>
      <c r="H6" s="17" t="inlineStr"/>
      <c r="I6" s="17" t="inlineStr">
        <is>
          <t>APPROUVE</t>
        </is>
      </c>
      <c r="J6" s="17" t="n">
        <v>600</v>
      </c>
      <c r="K6" s="17" t="inlineStr">
        <is>
          <t>Echantillon conforme, lot libere pour stockage</t>
        </is>
      </c>
      <c r="L6" s="17" t="inlineStr">
        <is>
          <t>QM-003</t>
        </is>
      </c>
      <c r="M6" s="17" t="inlineStr">
        <is>
          <t>VALIDE</t>
        </is>
      </c>
      <c r="N6" s="17" t="inlineStr"/>
      <c r="O6" s="17" t="inlineStr"/>
      <c r="P6" s="17" t="inlineStr"/>
      <c r="Q6" s="17" t="inlineStr">
        <is>
          <t>SYNCHRONISE</t>
        </is>
      </c>
      <c r="R6" s="17" t="inlineStr"/>
      <c r="S6" s="17" t="inlineStr">
        <is>
          <t>QUALITE-HISTORIQUE-002</t>
        </is>
      </c>
      <c r="T6" s="17" t="inlineStr"/>
    </row>
    <row r="7">
      <c r="A7" s="17" t="inlineStr">
        <is>
          <t>QV-00189</t>
        </is>
      </c>
      <c r="B7" s="18" t="inlineStr">
        <is>
          <t>30/08/2026</t>
        </is>
      </c>
      <c r="C7" s="18" t="inlineStr">
        <is>
          <t>20:34</t>
        </is>
      </c>
      <c r="D7" s="17" t="inlineStr">
        <is>
          <t>LOT-2026-251</t>
        </is>
      </c>
      <c r="E7" s="17" t="inlineStr">
        <is>
          <t>WHAP-0057</t>
        </is>
      </c>
      <c r="F7" s="18">
        <f>IF($E7="","",IFERROR(VLOOKUP($E7,ARTICLES!$A$5:$S$2243,3,FALSE),"reference inconnue"))</f>
        <v/>
      </c>
      <c r="G7" s="17" t="n">
        <v>100</v>
      </c>
      <c r="H7" s="17" t="inlineStr"/>
      <c r="I7" s="17" t="inlineStr">
        <is>
          <t>APPROUVE</t>
        </is>
      </c>
      <c r="J7" s="17" t="n">
        <v>100</v>
      </c>
      <c r="K7" s="17" t="inlineStr">
        <is>
          <t>Echantillon conforme, lot libere pour stockage</t>
        </is>
      </c>
      <c r="L7" s="17" t="inlineStr">
        <is>
          <t>QM-002</t>
        </is>
      </c>
      <c r="M7" s="17" t="inlineStr">
        <is>
          <t>VALIDE</t>
        </is>
      </c>
      <c r="N7" s="17" t="inlineStr"/>
      <c r="O7" s="17" t="inlineStr"/>
      <c r="P7" s="17" t="inlineStr"/>
      <c r="Q7" s="17" t="inlineStr">
        <is>
          <t>SYNCHRONISE</t>
        </is>
      </c>
      <c r="R7" s="17" t="inlineStr"/>
      <c r="S7" s="17" t="inlineStr">
        <is>
          <t>QUALITE-HISTORIQUE-003</t>
        </is>
      </c>
      <c r="T7" s="17" t="inlineStr"/>
    </row>
    <row r="8">
      <c r="A8" s="17" t="inlineStr">
        <is>
          <t>QV-00187</t>
        </is>
      </c>
      <c r="B8" s="18" t="inlineStr">
        <is>
          <t>30/08/2026</t>
        </is>
      </c>
      <c r="C8" s="18" t="inlineStr">
        <is>
          <t>16:34</t>
        </is>
      </c>
      <c r="D8" s="17" t="inlineStr">
        <is>
          <t>LOT-2026-250</t>
        </is>
      </c>
      <c r="E8" s="17" t="inlineStr">
        <is>
          <t>LUB-002</t>
        </is>
      </c>
      <c r="F8" s="18">
        <f>IF($E8="","",IFERROR(VLOOKUP($E8,ARTICLES!$A$5:$S$2243,3,FALSE),"reference inconnue"))</f>
        <v/>
      </c>
      <c r="G8" s="17" t="n">
        <v>300</v>
      </c>
      <c r="H8" s="17" t="inlineStr"/>
      <c r="I8" s="17" t="inlineStr">
        <is>
          <t>RED_CAGE</t>
        </is>
      </c>
      <c r="J8" s="17" t="inlineStr"/>
      <c r="K8" s="17" t="inlineStr">
        <is>
          <t>Doute sur la tracabilite fournisseur</t>
        </is>
      </c>
      <c r="L8" s="17" t="inlineStr">
        <is>
          <t>QM-002</t>
        </is>
      </c>
      <c r="M8" s="17" t="inlineStr">
        <is>
          <t>VALIDE</t>
        </is>
      </c>
      <c r="N8" s="17" t="inlineStr"/>
      <c r="O8" s="17" t="inlineStr"/>
      <c r="P8" s="17" t="inlineStr"/>
      <c r="Q8" s="17" t="inlineStr">
        <is>
          <t>SYNCHRONISE</t>
        </is>
      </c>
      <c r="R8" s="17" t="inlineStr"/>
      <c r="S8" s="17" t="inlineStr">
        <is>
          <t>QUALITE-HISTORIQUE-004</t>
        </is>
      </c>
      <c r="T8" s="17" t="inlineStr"/>
    </row>
    <row r="9">
      <c r="A9" s="17" t="inlineStr">
        <is>
          <t>QV-00188</t>
        </is>
      </c>
      <c r="B9" s="18" t="inlineStr">
        <is>
          <t>30/08/2026</t>
        </is>
      </c>
      <c r="C9" s="18" t="inlineStr">
        <is>
          <t>16:34</t>
        </is>
      </c>
      <c r="D9" s="17" t="inlineStr">
        <is>
          <t>LOT-2026-250</t>
        </is>
      </c>
      <c r="E9" s="17" t="inlineStr">
        <is>
          <t>LUB-002</t>
        </is>
      </c>
      <c r="F9" s="18">
        <f>IF($E9="","",IFERROR(VLOOKUP($E9,ARTICLES!$A$5:$S$2243,3,FALSE),"reference inconnue"))</f>
        <v/>
      </c>
      <c r="G9" s="17" t="n">
        <v>300</v>
      </c>
      <c r="H9" s="17" t="inlineStr"/>
      <c r="I9" s="17" t="inlineStr">
        <is>
          <t>REJETE</t>
        </is>
      </c>
      <c r="J9" s="17" t="inlineStr"/>
      <c r="K9" s="17" t="inlineStr">
        <is>
          <t>Lot rebute apres analyse, non recuperable</t>
        </is>
      </c>
      <c r="L9" s="17" t="inlineStr">
        <is>
          <t>QM-002</t>
        </is>
      </c>
      <c r="M9" s="17" t="inlineStr">
        <is>
          <t>VALIDE</t>
        </is>
      </c>
      <c r="N9" s="17" t="inlineStr"/>
      <c r="O9" s="17" t="inlineStr"/>
      <c r="P9" s="17" t="inlineStr"/>
      <c r="Q9" s="17" t="inlineStr">
        <is>
          <t>SYNCHRONISE</t>
        </is>
      </c>
      <c r="R9" s="17" t="inlineStr"/>
      <c r="S9" s="17" t="inlineStr">
        <is>
          <t>QUALITE-HISTORIQUE-005</t>
        </is>
      </c>
      <c r="T9" s="17" t="inlineStr"/>
    </row>
    <row r="10">
      <c r="A10" s="17" t="inlineStr">
        <is>
          <t>QV-00186</t>
        </is>
      </c>
      <c r="B10" s="18" t="inlineStr">
        <is>
          <t>30/08/2026</t>
        </is>
      </c>
      <c r="C10" s="18" t="inlineStr">
        <is>
          <t>08:34</t>
        </is>
      </c>
      <c r="D10" s="17" t="inlineStr">
        <is>
          <t>LOT-2026-248</t>
        </is>
      </c>
      <c r="E10" s="17" t="inlineStr">
        <is>
          <t>EPI-002</t>
        </is>
      </c>
      <c r="F10" s="18">
        <f>IF($E10="","",IFERROR(VLOOKUP($E10,ARTICLES!$A$5:$S$2243,3,FALSE),"reference inconnue"))</f>
        <v/>
      </c>
      <c r="G10" s="17" t="n">
        <v>600</v>
      </c>
      <c r="H10" s="17" t="inlineStr"/>
      <c r="I10" s="17" t="inlineStr">
        <is>
          <t>APPROUVE</t>
        </is>
      </c>
      <c r="J10" s="17" t="n">
        <v>600</v>
      </c>
      <c r="K10" s="17" t="inlineStr">
        <is>
          <t>Echantillon conforme, lot libere pour stockage</t>
        </is>
      </c>
      <c r="L10" s="17" t="inlineStr">
        <is>
          <t>QM-003</t>
        </is>
      </c>
      <c r="M10" s="17" t="inlineStr">
        <is>
          <t>VALIDE</t>
        </is>
      </c>
      <c r="N10" s="17" t="inlineStr"/>
      <c r="O10" s="17" t="inlineStr"/>
      <c r="P10" s="17" t="inlineStr"/>
      <c r="Q10" s="17" t="inlineStr">
        <is>
          <t>SYNCHRONISE</t>
        </is>
      </c>
      <c r="R10" s="17" t="inlineStr"/>
      <c r="S10" s="17" t="inlineStr">
        <is>
          <t>QUALITE-HISTORIQUE-006</t>
        </is>
      </c>
      <c r="T10" s="17" t="inlineStr"/>
    </row>
    <row r="11">
      <c r="A11" s="17" t="inlineStr">
        <is>
          <t>QV-00185</t>
        </is>
      </c>
      <c r="B11" s="18" t="inlineStr">
        <is>
          <t>30/08/2026</t>
        </is>
      </c>
      <c r="C11" s="18" t="inlineStr">
        <is>
          <t>04:34</t>
        </is>
      </c>
      <c r="D11" s="17" t="inlineStr">
        <is>
          <t>LOT-2026-247</t>
        </is>
      </c>
      <c r="E11" s="17" t="inlineStr">
        <is>
          <t>WHAP-0611</t>
        </is>
      </c>
      <c r="F11" s="18">
        <f>IF($E11="","",IFERROR(VLOOKUP($E11,ARTICLES!$A$5:$S$2243,3,FALSE),"reference inconnue"))</f>
        <v/>
      </c>
      <c r="G11" s="17" t="n">
        <v>80</v>
      </c>
      <c r="H11" s="17" t="inlineStr"/>
      <c r="I11" s="17" t="inlineStr">
        <is>
          <t>APPROUVE</t>
        </is>
      </c>
      <c r="J11" s="17" t="n">
        <v>80</v>
      </c>
      <c r="K11" s="17" t="inlineStr">
        <is>
          <t>Echantillon conforme, lot libere pour stockage</t>
        </is>
      </c>
      <c r="L11" s="17" t="inlineStr">
        <is>
          <t>QM-003</t>
        </is>
      </c>
      <c r="M11" s="17" t="inlineStr">
        <is>
          <t>VALIDE</t>
        </is>
      </c>
      <c r="N11" s="17" t="inlineStr"/>
      <c r="O11" s="17" t="inlineStr"/>
      <c r="P11" s="17" t="inlineStr"/>
      <c r="Q11" s="17" t="inlineStr">
        <is>
          <t>SYNCHRONISE</t>
        </is>
      </c>
      <c r="R11" s="17" t="inlineStr"/>
      <c r="S11" s="17" t="inlineStr">
        <is>
          <t>QUALITE-HISTORIQUE-007</t>
        </is>
      </c>
      <c r="T11" s="17" t="inlineStr"/>
    </row>
    <row r="12">
      <c r="A12" s="17" t="inlineStr">
        <is>
          <t>QV-00184</t>
        </is>
      </c>
      <c r="B12" s="18" t="inlineStr">
        <is>
          <t>30/08/2026</t>
        </is>
      </c>
      <c r="C12" s="18" t="inlineStr">
        <is>
          <t>00:34</t>
        </is>
      </c>
      <c r="D12" s="17" t="inlineStr">
        <is>
          <t>LOT-2026-246</t>
        </is>
      </c>
      <c r="E12" s="17" t="inlineStr">
        <is>
          <t>SEC-001</t>
        </is>
      </c>
      <c r="F12" s="18">
        <f>IF($E12="","",IFERROR(VLOOKUP($E12,ARTICLES!$A$5:$S$2243,3,FALSE),"reference inconnue"))</f>
        <v/>
      </c>
      <c r="G12" s="17" t="n">
        <v>12</v>
      </c>
      <c r="H12" s="17" t="inlineStr"/>
      <c r="I12" s="17" t="inlineStr">
        <is>
          <t>APPROUVE</t>
        </is>
      </c>
      <c r="J12" s="17" t="n">
        <v>12</v>
      </c>
      <c r="K12" s="17" t="inlineStr">
        <is>
          <t>Echantillon conforme, lot libere pour stockage</t>
        </is>
      </c>
      <c r="L12" s="17" t="inlineStr">
        <is>
          <t>QM-003</t>
        </is>
      </c>
      <c r="M12" s="17" t="inlineStr">
        <is>
          <t>VALIDE</t>
        </is>
      </c>
      <c r="N12" s="17" t="inlineStr"/>
      <c r="O12" s="17" t="inlineStr"/>
      <c r="P12" s="17" t="inlineStr"/>
      <c r="Q12" s="17" t="inlineStr">
        <is>
          <t>SYNCHRONISE</t>
        </is>
      </c>
      <c r="R12" s="17" t="inlineStr"/>
      <c r="S12" s="17" t="inlineStr">
        <is>
          <t>QUALITE-HISTORIQUE-008</t>
        </is>
      </c>
      <c r="T12" s="17" t="inlineStr"/>
    </row>
    <row r="13">
      <c r="A13" s="17" t="inlineStr">
        <is>
          <t>QV-00183</t>
        </is>
      </c>
      <c r="B13" s="18" t="inlineStr">
        <is>
          <t>29/08/2026</t>
        </is>
      </c>
      <c r="C13" s="18" t="inlineStr">
        <is>
          <t>12:34</t>
        </is>
      </c>
      <c r="D13" s="17" t="inlineStr">
        <is>
          <t>LOT-2026-243</t>
        </is>
      </c>
      <c r="E13" s="17" t="inlineStr">
        <is>
          <t>WHAP-0396</t>
        </is>
      </c>
      <c r="F13" s="18">
        <f>IF($E13="","",IFERROR(VLOOKUP($E13,ARTICLES!$A$5:$S$2243,3,FALSE),"reference inconnue"))</f>
        <v/>
      </c>
      <c r="G13" s="17" t="n">
        <v>120</v>
      </c>
      <c r="H13" s="17" t="inlineStr"/>
      <c r="I13" s="17" t="inlineStr">
        <is>
          <t>APPROUVE</t>
        </is>
      </c>
      <c r="J13" s="17" t="n">
        <v>120</v>
      </c>
      <c r="K13" s="17" t="inlineStr">
        <is>
          <t>Echantillon conforme, lot libere pour stockage</t>
        </is>
      </c>
      <c r="L13" s="17" t="inlineStr">
        <is>
          <t>QM-002</t>
        </is>
      </c>
      <c r="M13" s="17" t="inlineStr">
        <is>
          <t>VALIDE</t>
        </is>
      </c>
      <c r="N13" s="17" t="inlineStr"/>
      <c r="O13" s="17" t="inlineStr"/>
      <c r="P13" s="17" t="inlineStr"/>
      <c r="Q13" s="17" t="inlineStr">
        <is>
          <t>SYNCHRONISE</t>
        </is>
      </c>
      <c r="R13" s="17" t="inlineStr"/>
      <c r="S13" s="17" t="inlineStr">
        <is>
          <t>QUALITE-HISTORIQUE-009</t>
        </is>
      </c>
      <c r="T13" s="17" t="inlineStr"/>
    </row>
    <row r="14">
      <c r="A14" s="17" t="inlineStr">
        <is>
          <t>QV-00182</t>
        </is>
      </c>
      <c r="B14" s="18" t="inlineStr">
        <is>
          <t>29/08/2026</t>
        </is>
      </c>
      <c r="C14" s="18" t="inlineStr">
        <is>
          <t>04:34</t>
        </is>
      </c>
      <c r="D14" s="17" t="inlineStr">
        <is>
          <t>LOT-2026-241</t>
        </is>
      </c>
      <c r="E14" s="17" t="inlineStr">
        <is>
          <t>WHAP-0366</t>
        </is>
      </c>
      <c r="F14" s="18">
        <f>IF($E14="","",IFERROR(VLOOKUP($E14,ARTICLES!$A$5:$S$2243,3,FALSE),"reference inconnue"))</f>
        <v/>
      </c>
      <c r="G14" s="17" t="n">
        <v>480</v>
      </c>
      <c r="H14" s="17" t="inlineStr"/>
      <c r="I14" s="17" t="inlineStr">
        <is>
          <t>APPROUVE</t>
        </is>
      </c>
      <c r="J14" s="17" t="n">
        <v>480</v>
      </c>
      <c r="K14" s="17" t="inlineStr">
        <is>
          <t>Echantillon conforme, lot libere pour stockage</t>
        </is>
      </c>
      <c r="L14" s="17" t="inlineStr">
        <is>
          <t>QM-002</t>
        </is>
      </c>
      <c r="M14" s="17" t="inlineStr">
        <is>
          <t>VALIDE</t>
        </is>
      </c>
      <c r="N14" s="17" t="inlineStr"/>
      <c r="O14" s="17" t="inlineStr"/>
      <c r="P14" s="17" t="inlineStr"/>
      <c r="Q14" s="17" t="inlineStr">
        <is>
          <t>SYNCHRONISE</t>
        </is>
      </c>
      <c r="R14" s="17" t="inlineStr"/>
      <c r="S14" s="17" t="inlineStr">
        <is>
          <t>QUALITE-HISTORIQUE-010</t>
        </is>
      </c>
      <c r="T14" s="17" t="inlineStr"/>
    </row>
    <row r="15">
      <c r="A15" s="17" t="inlineStr">
        <is>
          <t>QV-00181</t>
        </is>
      </c>
      <c r="B15" s="18" t="inlineStr">
        <is>
          <t>29/08/2026</t>
        </is>
      </c>
      <c r="C15" s="18" t="inlineStr">
        <is>
          <t>00:34</t>
        </is>
      </c>
      <c r="D15" s="17" t="inlineStr">
        <is>
          <t>LOT-2026-240</t>
        </is>
      </c>
      <c r="E15" s="17" t="inlineStr">
        <is>
          <t>WHAP-0629</t>
        </is>
      </c>
      <c r="F15" s="18">
        <f>IF($E15="","",IFERROR(VLOOKUP($E15,ARTICLES!$A$5:$S$2243,3,FALSE),"reference inconnue"))</f>
        <v/>
      </c>
      <c r="G15" s="17" t="n">
        <v>180</v>
      </c>
      <c r="H15" s="17" t="inlineStr"/>
      <c r="I15" s="17" t="inlineStr">
        <is>
          <t>APPROUVE</t>
        </is>
      </c>
      <c r="J15" s="17" t="n">
        <v>180</v>
      </c>
      <c r="K15" s="17" t="inlineStr">
        <is>
          <t>Echantillon conforme, lot libere pour stockage</t>
        </is>
      </c>
      <c r="L15" s="17" t="inlineStr">
        <is>
          <t>QM-002</t>
        </is>
      </c>
      <c r="M15" s="17" t="inlineStr">
        <is>
          <t>VALIDE</t>
        </is>
      </c>
      <c r="N15" s="17" t="inlineStr"/>
      <c r="O15" s="17" t="inlineStr"/>
      <c r="P15" s="17" t="inlineStr"/>
      <c r="Q15" s="17" t="inlineStr">
        <is>
          <t>SYNCHRONISE</t>
        </is>
      </c>
      <c r="R15" s="17" t="inlineStr"/>
      <c r="S15" s="17" t="inlineStr">
        <is>
          <t>QUALITE-HISTORIQUE-011</t>
        </is>
      </c>
      <c r="T15" s="17" t="inlineStr"/>
    </row>
    <row r="16">
      <c r="A16" s="17" t="inlineStr">
        <is>
          <t>QV-00180</t>
        </is>
      </c>
      <c r="B16" s="18" t="inlineStr">
        <is>
          <t>28/08/2026</t>
        </is>
      </c>
      <c r="C16" s="18" t="inlineStr">
        <is>
          <t>20:34</t>
        </is>
      </c>
      <c r="D16" s="17" t="inlineStr">
        <is>
          <t>LOT-2026-239</t>
        </is>
      </c>
      <c r="E16" s="17" t="inlineStr">
        <is>
          <t>WHAP-0225</t>
        </is>
      </c>
      <c r="F16" s="18">
        <f>IF($E16="","",IFERROR(VLOOKUP($E16,ARTICLES!$A$5:$S$2243,3,FALSE),"reference inconnue"))</f>
        <v/>
      </c>
      <c r="G16" s="17" t="n">
        <v>60</v>
      </c>
      <c r="H16" s="17" t="inlineStr"/>
      <c r="I16" s="17" t="inlineStr">
        <is>
          <t>APPROUVE</t>
        </is>
      </c>
      <c r="J16" s="17" t="n">
        <v>60</v>
      </c>
      <c r="K16" s="17" t="inlineStr">
        <is>
          <t>Echantillon conforme, lot libere pour stockage</t>
        </is>
      </c>
      <c r="L16" s="17" t="inlineStr">
        <is>
          <t>QM-003</t>
        </is>
      </c>
      <c r="M16" s="17" t="inlineStr">
        <is>
          <t>VALIDE</t>
        </is>
      </c>
      <c r="N16" s="17" t="inlineStr"/>
      <c r="O16" s="17" t="inlineStr"/>
      <c r="P16" s="17" t="inlineStr"/>
      <c r="Q16" s="17" t="inlineStr">
        <is>
          <t>SYNCHRONISE</t>
        </is>
      </c>
      <c r="R16" s="17" t="inlineStr"/>
      <c r="S16" s="17" t="inlineStr">
        <is>
          <t>QUALITE-HISTORIQUE-012</t>
        </is>
      </c>
      <c r="T16" s="17" t="inlineStr"/>
    </row>
    <row r="17">
      <c r="A17" s="17" t="inlineStr">
        <is>
          <t>QV-00179</t>
        </is>
      </c>
      <c r="B17" s="18" t="inlineStr">
        <is>
          <t>28/08/2026</t>
        </is>
      </c>
      <c r="C17" s="18" t="inlineStr">
        <is>
          <t>16:34</t>
        </is>
      </c>
      <c r="D17" s="17" t="inlineStr">
        <is>
          <t>LOT-2026-238</t>
        </is>
      </c>
      <c r="E17" s="17" t="inlineStr">
        <is>
          <t>ACC-001</t>
        </is>
      </c>
      <c r="F17" s="18">
        <f>IF($E17="","",IFERROR(VLOOKUP($E17,ARTICLES!$A$5:$S$2243,3,FALSE),"reference inconnue"))</f>
        <v/>
      </c>
      <c r="G17" s="17" t="n">
        <v>180</v>
      </c>
      <c r="H17" s="17" t="inlineStr"/>
      <c r="I17" s="17" t="inlineStr">
        <is>
          <t>APPROUVE</t>
        </is>
      </c>
      <c r="J17" s="17" t="n">
        <v>180</v>
      </c>
      <c r="K17" s="17" t="inlineStr">
        <is>
          <t>Echantillon conforme, lot libere pour stockage</t>
        </is>
      </c>
      <c r="L17" s="17" t="inlineStr">
        <is>
          <t>QM-002</t>
        </is>
      </c>
      <c r="M17" s="17" t="inlineStr">
        <is>
          <t>VALIDE</t>
        </is>
      </c>
      <c r="N17" s="17" t="inlineStr"/>
      <c r="O17" s="17" t="inlineStr"/>
      <c r="P17" s="17" t="inlineStr"/>
      <c r="Q17" s="17" t="inlineStr">
        <is>
          <t>SYNCHRONISE</t>
        </is>
      </c>
      <c r="R17" s="17" t="inlineStr"/>
      <c r="S17" s="17" t="inlineStr">
        <is>
          <t>QUALITE-HISTORIQUE-013</t>
        </is>
      </c>
      <c r="T17" s="17" t="inlineStr"/>
    </row>
    <row r="18">
      <c r="A18" s="17" t="inlineStr">
        <is>
          <t>QV-00178</t>
        </is>
      </c>
      <c r="B18" s="18" t="inlineStr">
        <is>
          <t>28/08/2026</t>
        </is>
      </c>
      <c r="C18" s="18" t="inlineStr">
        <is>
          <t>12:34</t>
        </is>
      </c>
      <c r="D18" s="17" t="inlineStr">
        <is>
          <t>LOT-2026-237</t>
        </is>
      </c>
      <c r="E18" s="17" t="inlineStr">
        <is>
          <t>WHAP-0470</t>
        </is>
      </c>
      <c r="F18" s="18">
        <f>IF($E18="","",IFERROR(VLOOKUP($E18,ARTICLES!$A$5:$S$2243,3,FALSE),"reference inconnue"))</f>
        <v/>
      </c>
      <c r="G18" s="17" t="n">
        <v>60</v>
      </c>
      <c r="H18" s="17" t="inlineStr"/>
      <c r="I18" s="17" t="inlineStr">
        <is>
          <t>APPROUVE</t>
        </is>
      </c>
      <c r="J18" s="17" t="n">
        <v>60</v>
      </c>
      <c r="K18" s="17" t="inlineStr">
        <is>
          <t>Echantillon conforme, lot libere pour stockage</t>
        </is>
      </c>
      <c r="L18" s="17" t="inlineStr">
        <is>
          <t>QM-003</t>
        </is>
      </c>
      <c r="M18" s="17" t="inlineStr">
        <is>
          <t>VALIDE</t>
        </is>
      </c>
      <c r="N18" s="17" t="inlineStr"/>
      <c r="O18" s="17" t="inlineStr"/>
      <c r="P18" s="17" t="inlineStr"/>
      <c r="Q18" s="17" t="inlineStr">
        <is>
          <t>SYNCHRONISE</t>
        </is>
      </c>
      <c r="R18" s="17" t="inlineStr"/>
      <c r="S18" s="17" t="inlineStr">
        <is>
          <t>QUALITE-HISTORIQUE-014</t>
        </is>
      </c>
      <c r="T18" s="17" t="inlineStr"/>
    </row>
    <row r="19">
      <c r="A19" s="17" t="inlineStr">
        <is>
          <t>QV-00177</t>
        </is>
      </c>
      <c r="B19" s="18" t="inlineStr">
        <is>
          <t>28/08/2026</t>
        </is>
      </c>
      <c r="C19" s="18" t="inlineStr">
        <is>
          <t>04:34</t>
        </is>
      </c>
      <c r="D19" s="17" t="inlineStr">
        <is>
          <t>LOT-2026-235</t>
        </is>
      </c>
      <c r="E19" s="17" t="inlineStr">
        <is>
          <t>WHAP-0153</t>
        </is>
      </c>
      <c r="F19" s="18">
        <f>IF($E19="","",IFERROR(VLOOKUP($E19,ARTICLES!$A$5:$S$2243,3,FALSE),"reference inconnue"))</f>
        <v/>
      </c>
      <c r="G19" s="17" t="n">
        <v>60</v>
      </c>
      <c r="H19" s="17" t="inlineStr"/>
      <c r="I19" s="17" t="inlineStr">
        <is>
          <t>APPROUVE</t>
        </is>
      </c>
      <c r="J19" s="17" t="n">
        <v>60</v>
      </c>
      <c r="K19" s="17" t="inlineStr">
        <is>
          <t>Echantillon conforme, lot libere pour stockage</t>
        </is>
      </c>
      <c r="L19" s="17" t="inlineStr">
        <is>
          <t>QM-002</t>
        </is>
      </c>
      <c r="M19" s="17" t="inlineStr">
        <is>
          <t>VALIDE</t>
        </is>
      </c>
      <c r="N19" s="17" t="inlineStr"/>
      <c r="O19" s="17" t="inlineStr"/>
      <c r="P19" s="17" t="inlineStr"/>
      <c r="Q19" s="17" t="inlineStr">
        <is>
          <t>SYNCHRONISE</t>
        </is>
      </c>
      <c r="R19" s="17" t="inlineStr"/>
      <c r="S19" s="17" t="inlineStr">
        <is>
          <t>QUALITE-HISTORIQUE-015</t>
        </is>
      </c>
      <c r="T19" s="17" t="inlineStr"/>
    </row>
    <row r="20">
      <c r="A20" s="17" t="inlineStr">
        <is>
          <t>QV-00175</t>
        </is>
      </c>
      <c r="B20" s="18" t="inlineStr">
        <is>
          <t>27/08/2026</t>
        </is>
      </c>
      <c r="C20" s="18" t="inlineStr">
        <is>
          <t>16:34</t>
        </is>
      </c>
      <c r="D20" s="17" t="inlineStr">
        <is>
          <t>LOT-2026-232</t>
        </is>
      </c>
      <c r="E20" s="17" t="inlineStr">
        <is>
          <t>EMB-002</t>
        </is>
      </c>
      <c r="F20" s="18">
        <f>IF($E20="","",IFERROR(VLOOKUP($E20,ARTICLES!$A$5:$S$2243,3,FALSE),"reference inconnue"))</f>
        <v/>
      </c>
      <c r="G20" s="17" t="n">
        <v>240</v>
      </c>
      <c r="H20" s="17" t="inlineStr"/>
      <c r="I20" s="17" t="inlineStr">
        <is>
          <t>APPROUVE</t>
        </is>
      </c>
      <c r="J20" s="17" t="n">
        <v>240</v>
      </c>
      <c r="K20" s="17" t="inlineStr">
        <is>
          <t>Echantillon conforme, lot libere pour stockage</t>
        </is>
      </c>
      <c r="L20" s="17" t="inlineStr">
        <is>
          <t>QM-002</t>
        </is>
      </c>
      <c r="M20" s="17" t="inlineStr">
        <is>
          <t>VALIDE</t>
        </is>
      </c>
      <c r="N20" s="17" t="inlineStr"/>
      <c r="O20" s="17" t="inlineStr"/>
      <c r="P20" s="17" t="inlineStr"/>
      <c r="Q20" s="17" t="inlineStr">
        <is>
          <t>SYNCHRONISE</t>
        </is>
      </c>
      <c r="R20" s="17" t="inlineStr"/>
      <c r="S20" s="17" t="inlineStr">
        <is>
          <t>QUALITE-HISTORIQUE-016</t>
        </is>
      </c>
      <c r="T20" s="17" t="inlineStr"/>
    </row>
    <row r="21">
      <c r="A21" s="17" t="inlineStr">
        <is>
          <t>QV-00174</t>
        </is>
      </c>
      <c r="B21" s="18" t="inlineStr">
        <is>
          <t>27/08/2026</t>
        </is>
      </c>
      <c r="C21" s="18" t="inlineStr">
        <is>
          <t>08:34</t>
        </is>
      </c>
      <c r="D21" s="17" t="inlineStr">
        <is>
          <t>LOT-2026-230</t>
        </is>
      </c>
      <c r="E21" s="17" t="inlineStr">
        <is>
          <t>WHAP-0575</t>
        </is>
      </c>
      <c r="F21" s="18">
        <f>IF($E21="","",IFERROR(VLOOKUP($E21,ARTICLES!$A$5:$S$2243,3,FALSE),"reference inconnue"))</f>
        <v/>
      </c>
      <c r="G21" s="17" t="n">
        <v>12</v>
      </c>
      <c r="H21" s="17" t="inlineStr"/>
      <c r="I21" s="17" t="inlineStr">
        <is>
          <t>APPROUVE</t>
        </is>
      </c>
      <c r="J21" s="17" t="n">
        <v>12</v>
      </c>
      <c r="K21" s="17" t="inlineStr">
        <is>
          <t>Echantillon conforme, lot libere pour stockage</t>
        </is>
      </c>
      <c r="L21" s="17" t="inlineStr">
        <is>
          <t>QM-002</t>
        </is>
      </c>
      <c r="M21" s="17" t="inlineStr">
        <is>
          <t>VALIDE</t>
        </is>
      </c>
      <c r="N21" s="17" t="inlineStr"/>
      <c r="O21" s="17" t="inlineStr"/>
      <c r="P21" s="17" t="inlineStr"/>
      <c r="Q21" s="17" t="inlineStr">
        <is>
          <t>SYNCHRONISE</t>
        </is>
      </c>
      <c r="R21" s="17" t="inlineStr"/>
      <c r="S21" s="17" t="inlineStr">
        <is>
          <t>QUALITE-HISTORIQUE-017</t>
        </is>
      </c>
      <c r="T21" s="17" t="inlineStr"/>
    </row>
    <row r="22">
      <c r="A22" s="17" t="inlineStr">
        <is>
          <t>QV-00172</t>
        </is>
      </c>
      <c r="B22" s="18" t="inlineStr">
        <is>
          <t>27/08/2026</t>
        </is>
      </c>
      <c r="C22" s="18" t="inlineStr">
        <is>
          <t>00:34</t>
        </is>
      </c>
      <c r="D22" s="17" t="inlineStr">
        <is>
          <t>LOT-2026-228</t>
        </is>
      </c>
      <c r="E22" s="17" t="inlineStr">
        <is>
          <t>WHAP-0224</t>
        </is>
      </c>
      <c r="F22" s="18">
        <f>IF($E22="","",IFERROR(VLOOKUP($E22,ARTICLES!$A$5:$S$2243,3,FALSE),"reference inconnue"))</f>
        <v/>
      </c>
      <c r="G22" s="17" t="n">
        <v>12</v>
      </c>
      <c r="H22" s="17" t="inlineStr"/>
      <c r="I22" s="17" t="inlineStr">
        <is>
          <t>APPROUVE</t>
        </is>
      </c>
      <c r="J22" s="17" t="n">
        <v>12</v>
      </c>
      <c r="K22" s="17" t="inlineStr">
        <is>
          <t>Echantillon conforme, lot libere pour stockage</t>
        </is>
      </c>
      <c r="L22" s="17" t="inlineStr">
        <is>
          <t>QM-002</t>
        </is>
      </c>
      <c r="M22" s="17" t="inlineStr">
        <is>
          <t>VALIDE</t>
        </is>
      </c>
      <c r="N22" s="17" t="inlineStr"/>
      <c r="O22" s="17" t="inlineStr"/>
      <c r="P22" s="17" t="inlineStr"/>
      <c r="Q22" s="17" t="inlineStr">
        <is>
          <t>SYNCHRONISE</t>
        </is>
      </c>
      <c r="R22" s="17" t="inlineStr"/>
      <c r="S22" s="17" t="inlineStr">
        <is>
          <t>QUALITE-HISTORIQUE-018</t>
        </is>
      </c>
      <c r="T22" s="17" t="inlineStr"/>
    </row>
    <row r="23">
      <c r="A23" s="17" t="inlineStr">
        <is>
          <t>QV-00171</t>
        </is>
      </c>
      <c r="B23" s="18" t="inlineStr">
        <is>
          <t>26/08/2026</t>
        </is>
      </c>
      <c r="C23" s="18" t="inlineStr">
        <is>
          <t>20:34</t>
        </is>
      </c>
      <c r="D23" s="17" t="inlineStr">
        <is>
          <t>LOT-2026-227</t>
        </is>
      </c>
      <c r="E23" s="17" t="inlineStr">
        <is>
          <t>WHAP-0246</t>
        </is>
      </c>
      <c r="F23" s="18">
        <f>IF($E23="","",IFERROR(VLOOKUP($E23,ARTICLES!$A$5:$S$2243,3,FALSE),"reference inconnue"))</f>
        <v/>
      </c>
      <c r="G23" s="17" t="n">
        <v>180</v>
      </c>
      <c r="H23" s="17" t="inlineStr"/>
      <c r="I23" s="17" t="inlineStr">
        <is>
          <t>APPROUVE</t>
        </is>
      </c>
      <c r="J23" s="17" t="n">
        <v>180</v>
      </c>
      <c r="K23" s="17" t="inlineStr">
        <is>
          <t>Echantillon conforme, lot libere pour stockage</t>
        </is>
      </c>
      <c r="L23" s="17" t="inlineStr">
        <is>
          <t>QM-002</t>
        </is>
      </c>
      <c r="M23" s="17" t="inlineStr">
        <is>
          <t>VALIDE</t>
        </is>
      </c>
      <c r="N23" s="17" t="inlineStr"/>
      <c r="O23" s="17" t="inlineStr"/>
      <c r="P23" s="17" t="inlineStr"/>
      <c r="Q23" s="17" t="inlineStr">
        <is>
          <t>SYNCHRONISE</t>
        </is>
      </c>
      <c r="R23" s="17" t="inlineStr"/>
      <c r="S23" s="17" t="inlineStr">
        <is>
          <t>QUALITE-HISTORIQUE-019</t>
        </is>
      </c>
      <c r="T23" s="17" t="inlineStr"/>
    </row>
    <row r="24">
      <c r="A24" s="17" t="inlineStr">
        <is>
          <t>QV-00169</t>
        </is>
      </c>
      <c r="B24" s="18" t="inlineStr">
        <is>
          <t>26/08/2026</t>
        </is>
      </c>
      <c r="C24" s="18" t="inlineStr">
        <is>
          <t>12:34</t>
        </is>
      </c>
      <c r="D24" s="17" t="inlineStr">
        <is>
          <t>LOT-2026-225</t>
        </is>
      </c>
      <c r="E24" s="17" t="inlineStr">
        <is>
          <t>WHAP-0104</t>
        </is>
      </c>
      <c r="F24" s="18">
        <f>IF($E24="","",IFERROR(VLOOKUP($E24,ARTICLES!$A$5:$S$2243,3,FALSE),"reference inconnue"))</f>
        <v/>
      </c>
      <c r="G24" s="17" t="n">
        <v>40</v>
      </c>
      <c r="H24" s="17" t="inlineStr"/>
      <c r="I24" s="17" t="inlineStr">
        <is>
          <t>RED_CAGE</t>
        </is>
      </c>
      <c r="J24" s="17" t="inlineStr"/>
      <c r="K24" s="17" t="inlineStr">
        <is>
          <t>Doute sur la tracabilite fournisseur</t>
        </is>
      </c>
      <c r="L24" s="17" t="inlineStr">
        <is>
          <t>QM-003</t>
        </is>
      </c>
      <c r="M24" s="17" t="inlineStr">
        <is>
          <t>VALIDE</t>
        </is>
      </c>
      <c r="N24" s="17" t="inlineStr"/>
      <c r="O24" s="17" t="inlineStr"/>
      <c r="P24" s="17" t="inlineStr"/>
      <c r="Q24" s="17" t="inlineStr">
        <is>
          <t>SYNCHRONISE</t>
        </is>
      </c>
      <c r="R24" s="17" t="inlineStr"/>
      <c r="S24" s="17" t="inlineStr">
        <is>
          <t>QUALITE-HISTORIQUE-020</t>
        </is>
      </c>
      <c r="T24" s="17" t="inlineStr"/>
    </row>
    <row r="25">
      <c r="A25" s="17" t="inlineStr">
        <is>
          <t>QV-00170</t>
        </is>
      </c>
      <c r="B25" s="18" t="inlineStr">
        <is>
          <t>26/08/2026</t>
        </is>
      </c>
      <c r="C25" s="18" t="inlineStr">
        <is>
          <t>12:34</t>
        </is>
      </c>
      <c r="D25" s="17" t="inlineStr">
        <is>
          <t>LOT-2026-225</t>
        </is>
      </c>
      <c r="E25" s="17" t="inlineStr">
        <is>
          <t>WHAP-0104</t>
        </is>
      </c>
      <c r="F25" s="18">
        <f>IF($E25="","",IFERROR(VLOOKUP($E25,ARTICLES!$A$5:$S$2243,3,FALSE),"reference inconnue"))</f>
        <v/>
      </c>
      <c r="G25" s="17" t="n">
        <v>40</v>
      </c>
      <c r="H25" s="17" t="inlineStr"/>
      <c r="I25" s="17" t="inlineStr">
        <is>
          <t>REJETE</t>
        </is>
      </c>
      <c r="J25" s="17" t="inlineStr"/>
      <c r="K25" s="17" t="inlineStr">
        <is>
          <t>Lot rebute apres analyse, non recuperable</t>
        </is>
      </c>
      <c r="L25" s="17" t="inlineStr">
        <is>
          <t>QM-003</t>
        </is>
      </c>
      <c r="M25" s="17" t="inlineStr">
        <is>
          <t>VALIDE</t>
        </is>
      </c>
      <c r="N25" s="17" t="inlineStr"/>
      <c r="O25" s="17" t="inlineStr"/>
      <c r="P25" s="17" t="inlineStr"/>
      <c r="Q25" s="17" t="inlineStr">
        <is>
          <t>SYNCHRONISE</t>
        </is>
      </c>
      <c r="R25" s="17" t="inlineStr"/>
      <c r="S25" s="17" t="inlineStr">
        <is>
          <t>QUALITE-HISTORIQUE-021</t>
        </is>
      </c>
      <c r="T25" s="17" t="inlineStr"/>
    </row>
    <row r="26">
      <c r="A26" s="17" t="inlineStr">
        <is>
          <t>QV-00167</t>
        </is>
      </c>
      <c r="B26" s="18" t="inlineStr">
        <is>
          <t>26/08/2026</t>
        </is>
      </c>
      <c r="C26" s="18" t="inlineStr">
        <is>
          <t>04:34</t>
        </is>
      </c>
      <c r="D26" s="17" t="inlineStr">
        <is>
          <t>LOT-2026-223</t>
        </is>
      </c>
      <c r="E26" s="17" t="inlineStr">
        <is>
          <t>EMB-002</t>
        </is>
      </c>
      <c r="F26" s="18">
        <f>IF($E26="","",IFERROR(VLOOKUP($E26,ARTICLES!$A$5:$S$2243,3,FALSE),"reference inconnue"))</f>
        <v/>
      </c>
      <c r="G26" s="17" t="n">
        <v>420</v>
      </c>
      <c r="H26" s="17" t="inlineStr"/>
      <c r="I26" s="17" t="inlineStr">
        <is>
          <t>RED_CAGE</t>
        </is>
      </c>
      <c r="J26" s="17" t="inlineStr"/>
      <c r="K26" s="17" t="inlineStr">
        <is>
          <t>Doute sur la tracabilite fournisseur</t>
        </is>
      </c>
      <c r="L26" s="17" t="inlineStr">
        <is>
          <t>QM-003</t>
        </is>
      </c>
      <c r="M26" s="17" t="inlineStr">
        <is>
          <t>VALIDE</t>
        </is>
      </c>
      <c r="N26" s="17" t="inlineStr"/>
      <c r="O26" s="17" t="inlineStr"/>
      <c r="P26" s="17" t="inlineStr"/>
      <c r="Q26" s="17" t="inlineStr">
        <is>
          <t>SYNCHRONISE</t>
        </is>
      </c>
      <c r="R26" s="17" t="inlineStr"/>
      <c r="S26" s="17" t="inlineStr">
        <is>
          <t>QUALITE-HISTORIQUE-022</t>
        </is>
      </c>
      <c r="T26" s="17" t="inlineStr"/>
    </row>
    <row r="27">
      <c r="A27" s="17" t="inlineStr">
        <is>
          <t>QV-00168</t>
        </is>
      </c>
      <c r="B27" s="18" t="inlineStr">
        <is>
          <t>26/08/2026</t>
        </is>
      </c>
      <c r="C27" s="18" t="inlineStr">
        <is>
          <t>04:34</t>
        </is>
      </c>
      <c r="D27" s="17" t="inlineStr">
        <is>
          <t>LOT-2026-223</t>
        </is>
      </c>
      <c r="E27" s="17" t="inlineStr">
        <is>
          <t>EMB-002</t>
        </is>
      </c>
      <c r="F27" s="18">
        <f>IF($E27="","",IFERROR(VLOOKUP($E27,ARTICLES!$A$5:$S$2243,3,FALSE),"reference inconnue"))</f>
        <v/>
      </c>
      <c r="G27" s="17" t="n">
        <v>420</v>
      </c>
      <c r="H27" s="17" t="inlineStr"/>
      <c r="I27" s="17" t="inlineStr">
        <is>
          <t>REJETE</t>
        </is>
      </c>
      <c r="J27" s="17" t="inlineStr"/>
      <c r="K27" s="17" t="inlineStr">
        <is>
          <t>Lot rebute apres analyse, non recuperable</t>
        </is>
      </c>
      <c r="L27" s="17" t="inlineStr">
        <is>
          <t>QM-003</t>
        </is>
      </c>
      <c r="M27" s="17" t="inlineStr">
        <is>
          <t>VALIDE</t>
        </is>
      </c>
      <c r="N27" s="17" t="inlineStr"/>
      <c r="O27" s="17" t="inlineStr"/>
      <c r="P27" s="17" t="inlineStr"/>
      <c r="Q27" s="17" t="inlineStr">
        <is>
          <t>SYNCHRONISE</t>
        </is>
      </c>
      <c r="R27" s="17" t="inlineStr"/>
      <c r="S27" s="17" t="inlineStr">
        <is>
          <t>QUALITE-HISTORIQUE-023</t>
        </is>
      </c>
      <c r="T27" s="17" t="inlineStr"/>
    </row>
    <row r="28">
      <c r="A28" s="17" t="inlineStr">
        <is>
          <t>QV-00166</t>
        </is>
      </c>
      <c r="B28" s="18" t="inlineStr">
        <is>
          <t>25/08/2026</t>
        </is>
      </c>
      <c r="C28" s="18" t="inlineStr">
        <is>
          <t>20:34</t>
        </is>
      </c>
      <c r="D28" s="17" t="inlineStr">
        <is>
          <t>LOT-2026-221</t>
        </is>
      </c>
      <c r="E28" s="17" t="inlineStr">
        <is>
          <t>WHAP-0338</t>
        </is>
      </c>
      <c r="F28" s="18">
        <f>IF($E28="","",IFERROR(VLOOKUP($E28,ARTICLES!$A$5:$S$2243,3,FALSE),"reference inconnue"))</f>
        <v/>
      </c>
      <c r="G28" s="17" t="n">
        <v>240</v>
      </c>
      <c r="H28" s="17" t="inlineStr"/>
      <c r="I28" s="17" t="inlineStr">
        <is>
          <t>APPROUVE</t>
        </is>
      </c>
      <c r="J28" s="17" t="n">
        <v>240</v>
      </c>
      <c r="K28" s="17" t="inlineStr">
        <is>
          <t>Echantillon conforme, lot libere pour stockage</t>
        </is>
      </c>
      <c r="L28" s="17" t="inlineStr">
        <is>
          <t>QM-002</t>
        </is>
      </c>
      <c r="M28" s="17" t="inlineStr">
        <is>
          <t>VALIDE</t>
        </is>
      </c>
      <c r="N28" s="17" t="inlineStr"/>
      <c r="O28" s="17" t="inlineStr"/>
      <c r="P28" s="17" t="inlineStr"/>
      <c r="Q28" s="17" t="inlineStr">
        <is>
          <t>SYNCHRONISE</t>
        </is>
      </c>
      <c r="R28" s="17" t="inlineStr"/>
      <c r="S28" s="17" t="inlineStr">
        <is>
          <t>QUALITE-HISTORIQUE-024</t>
        </is>
      </c>
      <c r="T28" s="17" t="inlineStr"/>
    </row>
    <row r="29">
      <c r="A29" s="17" t="inlineStr">
        <is>
          <t>QV-00165</t>
        </is>
      </c>
      <c r="B29" s="18" t="inlineStr">
        <is>
          <t>25/08/2026</t>
        </is>
      </c>
      <c r="C29" s="18" t="inlineStr">
        <is>
          <t>12:34</t>
        </is>
      </c>
      <c r="D29" s="17" t="inlineStr">
        <is>
          <t>LOT-2026-219</t>
        </is>
      </c>
      <c r="E29" s="17" t="inlineStr">
        <is>
          <t>WHAP-0446</t>
        </is>
      </c>
      <c r="F29" s="18">
        <f>IF($E29="","",IFERROR(VLOOKUP($E29,ARTICLES!$A$5:$S$2243,3,FALSE),"reference inconnue"))</f>
        <v/>
      </c>
      <c r="G29" s="17" t="n">
        <v>40</v>
      </c>
      <c r="H29" s="17" t="inlineStr"/>
      <c r="I29" s="17" t="inlineStr">
        <is>
          <t>APPROUVE</t>
        </is>
      </c>
      <c r="J29" s="17" t="n">
        <v>40</v>
      </c>
      <c r="K29" s="17" t="inlineStr">
        <is>
          <t>Echantillon conforme, lot libere pour stockage</t>
        </is>
      </c>
      <c r="L29" s="17" t="inlineStr">
        <is>
          <t>QM-002</t>
        </is>
      </c>
      <c r="M29" s="17" t="inlineStr">
        <is>
          <t>VALIDE</t>
        </is>
      </c>
      <c r="N29" s="17" t="inlineStr"/>
      <c r="O29" s="17" t="inlineStr"/>
      <c r="P29" s="17" t="inlineStr"/>
      <c r="Q29" s="17" t="inlineStr">
        <is>
          <t>SYNCHRONISE</t>
        </is>
      </c>
      <c r="R29" s="17" t="inlineStr"/>
      <c r="S29" s="17" t="inlineStr">
        <is>
          <t>QUALITE-HISTORIQUE-025</t>
        </is>
      </c>
      <c r="T29" s="17" t="inlineStr"/>
    </row>
    <row r="30">
      <c r="A30" s="17" t="inlineStr">
        <is>
          <t>QV-00164</t>
        </is>
      </c>
      <c r="B30" s="18" t="inlineStr">
        <is>
          <t>25/08/2026</t>
        </is>
      </c>
      <c r="C30" s="18" t="inlineStr">
        <is>
          <t>08:34</t>
        </is>
      </c>
      <c r="D30" s="17" t="inlineStr">
        <is>
          <t>LOT-2026-218</t>
        </is>
      </c>
      <c r="E30" s="17" t="inlineStr">
        <is>
          <t>WHAP-0551</t>
        </is>
      </c>
      <c r="F30" s="18">
        <f>IF($E30="","",IFERROR(VLOOKUP($E30,ARTICLES!$A$5:$S$2243,3,FALSE),"reference inconnue"))</f>
        <v/>
      </c>
      <c r="G30" s="17" t="n">
        <v>40</v>
      </c>
      <c r="H30" s="17" t="inlineStr"/>
      <c r="I30" s="17" t="inlineStr">
        <is>
          <t>APPROUVE</t>
        </is>
      </c>
      <c r="J30" s="17" t="n">
        <v>40</v>
      </c>
      <c r="K30" s="17" t="inlineStr">
        <is>
          <t>Echantillon conforme, lot libere pour stockage</t>
        </is>
      </c>
      <c r="L30" s="17" t="inlineStr">
        <is>
          <t>QM-003</t>
        </is>
      </c>
      <c r="M30" s="17" t="inlineStr">
        <is>
          <t>VALIDE</t>
        </is>
      </c>
      <c r="N30" s="17" t="inlineStr"/>
      <c r="O30" s="17" t="inlineStr"/>
      <c r="P30" s="17" t="inlineStr"/>
      <c r="Q30" s="17" t="inlineStr">
        <is>
          <t>SYNCHRONISE</t>
        </is>
      </c>
      <c r="R30" s="17" t="inlineStr"/>
      <c r="S30" s="17" t="inlineStr">
        <is>
          <t>QUALITE-HISTORIQUE-026</t>
        </is>
      </c>
      <c r="T30" s="17" t="inlineStr"/>
    </row>
    <row r="31">
      <c r="A31" s="17" t="inlineStr">
        <is>
          <t>QV-00163</t>
        </is>
      </c>
      <c r="B31" s="18" t="inlineStr">
        <is>
          <t>25/08/2026</t>
        </is>
      </c>
      <c r="C31" s="18" t="inlineStr">
        <is>
          <t>04:34</t>
        </is>
      </c>
      <c r="D31" s="17" t="inlineStr">
        <is>
          <t>LOT-2026-217</t>
        </is>
      </c>
      <c r="E31" s="17" t="inlineStr">
        <is>
          <t>WHAP-0199</t>
        </is>
      </c>
      <c r="F31" s="18">
        <f>IF($E31="","",IFERROR(VLOOKUP($E31,ARTICLES!$A$5:$S$2243,3,FALSE),"reference inconnue"))</f>
        <v/>
      </c>
      <c r="G31" s="17" t="n">
        <v>100</v>
      </c>
      <c r="H31" s="17" t="inlineStr"/>
      <c r="I31" s="17" t="inlineStr">
        <is>
          <t>APPROUVE</t>
        </is>
      </c>
      <c r="J31" s="17" t="n">
        <v>100</v>
      </c>
      <c r="K31" s="17" t="inlineStr">
        <is>
          <t>Echantillon conforme, lot libere pour stockage</t>
        </is>
      </c>
      <c r="L31" s="17" t="inlineStr">
        <is>
          <t>QM-002</t>
        </is>
      </c>
      <c r="M31" s="17" t="inlineStr">
        <is>
          <t>VALIDE</t>
        </is>
      </c>
      <c r="N31" s="17" t="inlineStr"/>
      <c r="O31" s="17" t="inlineStr"/>
      <c r="P31" s="17" t="inlineStr"/>
      <c r="Q31" s="17" t="inlineStr">
        <is>
          <t>SYNCHRONISE</t>
        </is>
      </c>
      <c r="R31" s="17" t="inlineStr"/>
      <c r="S31" s="17" t="inlineStr">
        <is>
          <t>QUALITE-HISTORIQUE-027</t>
        </is>
      </c>
      <c r="T31" s="17" t="inlineStr"/>
    </row>
    <row r="32">
      <c r="A32" s="17" t="inlineStr">
        <is>
          <t>QV-00161</t>
        </is>
      </c>
      <c r="B32" s="18" t="inlineStr">
        <is>
          <t>24/08/2026</t>
        </is>
      </c>
      <c r="C32" s="18" t="inlineStr">
        <is>
          <t>20:34</t>
        </is>
      </c>
      <c r="D32" s="17" t="inlineStr">
        <is>
          <t>LOT-2026-215</t>
        </is>
      </c>
      <c r="E32" s="17" t="inlineStr">
        <is>
          <t>WHAP-0172</t>
        </is>
      </c>
      <c r="F32" s="18">
        <f>IF($E32="","",IFERROR(VLOOKUP($E32,ARTICLES!$A$5:$S$2243,3,FALSE),"reference inconnue"))</f>
        <v/>
      </c>
      <c r="G32" s="17" t="n">
        <v>120</v>
      </c>
      <c r="H32" s="17" t="inlineStr"/>
      <c r="I32" s="17" t="inlineStr">
        <is>
          <t>APPROUVE</t>
        </is>
      </c>
      <c r="J32" s="17" t="n">
        <v>120</v>
      </c>
      <c r="K32" s="17" t="inlineStr">
        <is>
          <t>Echantillon conforme, lot libere pour stockage</t>
        </is>
      </c>
      <c r="L32" s="17" t="inlineStr">
        <is>
          <t>QM-002</t>
        </is>
      </c>
      <c r="M32" s="17" t="inlineStr">
        <is>
          <t>VALIDE</t>
        </is>
      </c>
      <c r="N32" s="17" t="inlineStr"/>
      <c r="O32" s="17" t="inlineStr"/>
      <c r="P32" s="17" t="inlineStr"/>
      <c r="Q32" s="17" t="inlineStr">
        <is>
          <t>SYNCHRONISE</t>
        </is>
      </c>
      <c r="R32" s="17" t="inlineStr"/>
      <c r="S32" s="17" t="inlineStr">
        <is>
          <t>QUALITE-HISTORIQUE-028</t>
        </is>
      </c>
      <c r="T32" s="17" t="inlineStr"/>
    </row>
    <row r="33">
      <c r="A33" s="17" t="inlineStr">
        <is>
          <t>QV-00159</t>
        </is>
      </c>
      <c r="B33" s="18" t="inlineStr">
        <is>
          <t>24/08/2026</t>
        </is>
      </c>
      <c r="C33" s="18" t="inlineStr">
        <is>
          <t>12:34</t>
        </is>
      </c>
      <c r="D33" s="17" t="inlineStr">
        <is>
          <t>LOT-2026-213</t>
        </is>
      </c>
      <c r="E33" s="17" t="inlineStr">
        <is>
          <t>WHAP-0574</t>
        </is>
      </c>
      <c r="F33" s="18">
        <f>IF($E33="","",IFERROR(VLOOKUP($E33,ARTICLES!$A$5:$S$2243,3,FALSE),"reference inconnue"))</f>
        <v/>
      </c>
      <c r="G33" s="17" t="n">
        <v>60</v>
      </c>
      <c r="H33" s="17" t="inlineStr"/>
      <c r="I33" s="17" t="inlineStr">
        <is>
          <t>RED_CAGE</t>
        </is>
      </c>
      <c r="J33" s="17" t="inlineStr"/>
      <c r="K33" s="17" t="inlineStr">
        <is>
          <t>Doute sur la tracabilite fournisseur</t>
        </is>
      </c>
      <c r="L33" s="17" t="inlineStr">
        <is>
          <t>QM-002</t>
        </is>
      </c>
      <c r="M33" s="17" t="inlineStr">
        <is>
          <t>VALIDE</t>
        </is>
      </c>
      <c r="N33" s="17" t="inlineStr"/>
      <c r="O33" s="17" t="inlineStr"/>
      <c r="P33" s="17" t="inlineStr"/>
      <c r="Q33" s="17" t="inlineStr">
        <is>
          <t>SYNCHRONISE</t>
        </is>
      </c>
      <c r="R33" s="17" t="inlineStr"/>
      <c r="S33" s="17" t="inlineStr">
        <is>
          <t>QUALITE-HISTORIQUE-029</t>
        </is>
      </c>
      <c r="T33" s="17" t="inlineStr"/>
    </row>
    <row r="34">
      <c r="A34" s="17" t="inlineStr">
        <is>
          <t>QV-00160</t>
        </is>
      </c>
      <c r="B34" s="18" t="inlineStr">
        <is>
          <t>24/08/2026</t>
        </is>
      </c>
      <c r="C34" s="18" t="inlineStr">
        <is>
          <t>12:34</t>
        </is>
      </c>
      <c r="D34" s="17" t="inlineStr">
        <is>
          <t>LOT-2026-213</t>
        </is>
      </c>
      <c r="E34" s="17" t="inlineStr">
        <is>
          <t>WHAP-0574</t>
        </is>
      </c>
      <c r="F34" s="18">
        <f>IF($E34="","",IFERROR(VLOOKUP($E34,ARTICLES!$A$5:$S$2243,3,FALSE),"reference inconnue"))</f>
        <v/>
      </c>
      <c r="G34" s="17" t="n">
        <v>60</v>
      </c>
      <c r="H34" s="17" t="inlineStr"/>
      <c r="I34" s="17" t="inlineStr">
        <is>
          <t>REJETE</t>
        </is>
      </c>
      <c r="J34" s="17" t="inlineStr"/>
      <c r="K34" s="17" t="inlineStr">
        <is>
          <t>Lot rebute apres analyse, non recuperable</t>
        </is>
      </c>
      <c r="L34" s="17" t="inlineStr">
        <is>
          <t>QM-002</t>
        </is>
      </c>
      <c r="M34" s="17" t="inlineStr">
        <is>
          <t>VALIDE</t>
        </is>
      </c>
      <c r="N34" s="17" t="inlineStr"/>
      <c r="O34" s="17" t="inlineStr"/>
      <c r="P34" s="17" t="inlineStr"/>
      <c r="Q34" s="17" t="inlineStr">
        <is>
          <t>SYNCHRONISE</t>
        </is>
      </c>
      <c r="R34" s="17" t="inlineStr"/>
      <c r="S34" s="17" t="inlineStr">
        <is>
          <t>QUALITE-HISTORIQUE-030</t>
        </is>
      </c>
      <c r="T34" s="17" t="inlineStr"/>
    </row>
    <row r="35">
      <c r="A35" s="17" t="inlineStr">
        <is>
          <t>QV-00158</t>
        </is>
      </c>
      <c r="B35" s="18" t="inlineStr">
        <is>
          <t>24/08/2026</t>
        </is>
      </c>
      <c r="C35" s="18" t="inlineStr">
        <is>
          <t>08:34</t>
        </is>
      </c>
      <c r="D35" s="17" t="inlineStr">
        <is>
          <t>LOT-2026-212</t>
        </is>
      </c>
      <c r="E35" s="17" t="inlineStr">
        <is>
          <t>WHAP-0610</t>
        </is>
      </c>
      <c r="F35" s="18">
        <f>IF($E35="","",IFERROR(VLOOKUP($E35,ARTICLES!$A$5:$S$2243,3,FALSE),"reference inconnue"))</f>
        <v/>
      </c>
      <c r="G35" s="17" t="n">
        <v>40</v>
      </c>
      <c r="H35" s="17" t="inlineStr"/>
      <c r="I35" s="17" t="inlineStr">
        <is>
          <t>APPROUVE</t>
        </is>
      </c>
      <c r="J35" s="17" t="n">
        <v>40</v>
      </c>
      <c r="K35" s="17" t="inlineStr">
        <is>
          <t>Echantillon conforme, lot libere pour stockage</t>
        </is>
      </c>
      <c r="L35" s="17" t="inlineStr">
        <is>
          <t>QM-003</t>
        </is>
      </c>
      <c r="M35" s="17" t="inlineStr">
        <is>
          <t>VALIDE</t>
        </is>
      </c>
      <c r="N35" s="17" t="inlineStr"/>
      <c r="O35" s="17" t="inlineStr"/>
      <c r="P35" s="17" t="inlineStr"/>
      <c r="Q35" s="17" t="inlineStr">
        <is>
          <t>SYNCHRONISE</t>
        </is>
      </c>
      <c r="R35" s="17" t="inlineStr"/>
      <c r="S35" s="17" t="inlineStr">
        <is>
          <t>QUALITE-HISTORIQUE-031</t>
        </is>
      </c>
      <c r="T35" s="17" t="inlineStr"/>
    </row>
    <row r="36">
      <c r="A36" s="17" t="inlineStr">
        <is>
          <t>QV-00157</t>
        </is>
      </c>
      <c r="B36" s="18" t="inlineStr">
        <is>
          <t>24/08/2026</t>
        </is>
      </c>
      <c r="C36" s="18" t="inlineStr">
        <is>
          <t>04:34</t>
        </is>
      </c>
      <c r="D36" s="17" t="inlineStr">
        <is>
          <t>LOT-2026-211</t>
        </is>
      </c>
      <c r="E36" s="17" t="inlineStr">
        <is>
          <t>WHAP-0200</t>
        </is>
      </c>
      <c r="F36" s="18">
        <f>IF($E36="","",IFERROR(VLOOKUP($E36,ARTICLES!$A$5:$S$2243,3,FALSE),"reference inconnue"))</f>
        <v/>
      </c>
      <c r="G36" s="17" t="n">
        <v>120</v>
      </c>
      <c r="H36" s="17" t="inlineStr"/>
      <c r="I36" s="17" t="inlineStr">
        <is>
          <t>APPROUVE</t>
        </is>
      </c>
      <c r="J36" s="17" t="n">
        <v>120</v>
      </c>
      <c r="K36" s="17" t="inlineStr">
        <is>
          <t>Echantillon conforme, lot libere pour stockage</t>
        </is>
      </c>
      <c r="L36" s="17" t="inlineStr">
        <is>
          <t>QM-002</t>
        </is>
      </c>
      <c r="M36" s="17" t="inlineStr">
        <is>
          <t>VALIDE</t>
        </is>
      </c>
      <c r="N36" s="17" t="inlineStr"/>
      <c r="O36" s="17" t="inlineStr"/>
      <c r="P36" s="17" t="inlineStr"/>
      <c r="Q36" s="17" t="inlineStr">
        <is>
          <t>SYNCHRONISE</t>
        </is>
      </c>
      <c r="R36" s="17" t="inlineStr"/>
      <c r="S36" s="17" t="inlineStr">
        <is>
          <t>QUALITE-HISTORIQUE-032</t>
        </is>
      </c>
      <c r="T36" s="17" t="inlineStr"/>
    </row>
    <row r="37">
      <c r="A37" s="17" t="inlineStr">
        <is>
          <t>QV-00155</t>
        </is>
      </c>
      <c r="B37" s="18" t="inlineStr">
        <is>
          <t>23/08/2026</t>
        </is>
      </c>
      <c r="C37" s="18" t="inlineStr">
        <is>
          <t>16:34</t>
        </is>
      </c>
      <c r="D37" s="17" t="inlineStr">
        <is>
          <t>LOT-2026-208</t>
        </is>
      </c>
      <c r="E37" s="17" t="inlineStr">
        <is>
          <t>SEC-002</t>
        </is>
      </c>
      <c r="F37" s="18">
        <f>IF($E37="","",IFERROR(VLOOKUP($E37,ARTICLES!$A$5:$S$2243,3,FALSE),"reference inconnue"))</f>
        <v/>
      </c>
      <c r="G37" s="17" t="n">
        <v>60</v>
      </c>
      <c r="H37" s="17" t="inlineStr"/>
      <c r="I37" s="17" t="inlineStr">
        <is>
          <t>APPROUVE</t>
        </is>
      </c>
      <c r="J37" s="17" t="n">
        <v>60</v>
      </c>
      <c r="K37" s="17" t="inlineStr">
        <is>
          <t>Echantillon conforme, lot libere pour stockage</t>
        </is>
      </c>
      <c r="L37" s="17" t="inlineStr">
        <is>
          <t>QM-002</t>
        </is>
      </c>
      <c r="M37" s="17" t="inlineStr">
        <is>
          <t>VALIDE</t>
        </is>
      </c>
      <c r="N37" s="17" t="inlineStr"/>
      <c r="O37" s="17" t="inlineStr"/>
      <c r="P37" s="17" t="inlineStr"/>
      <c r="Q37" s="17" t="inlineStr">
        <is>
          <t>SYNCHRONISE</t>
        </is>
      </c>
      <c r="R37" s="17" t="inlineStr"/>
      <c r="S37" s="17" t="inlineStr">
        <is>
          <t>QUALITE-HISTORIQUE-033</t>
        </is>
      </c>
      <c r="T37" s="17" t="inlineStr"/>
    </row>
    <row r="38">
      <c r="A38" s="17" t="inlineStr">
        <is>
          <t>QV-00154</t>
        </is>
      </c>
      <c r="B38" s="18" t="inlineStr">
        <is>
          <t>23/08/2026</t>
        </is>
      </c>
      <c r="C38" s="18" t="inlineStr">
        <is>
          <t>12:34</t>
        </is>
      </c>
      <c r="D38" s="17" t="inlineStr">
        <is>
          <t>LOT-2026-207</t>
        </is>
      </c>
      <c r="E38" s="17" t="inlineStr">
        <is>
          <t>ACC-002</t>
        </is>
      </c>
      <c r="F38" s="18">
        <f>IF($E38="","",IFERROR(VLOOKUP($E38,ARTICLES!$A$5:$S$2243,3,FALSE),"reference inconnue"))</f>
        <v/>
      </c>
      <c r="G38" s="17" t="n">
        <v>300</v>
      </c>
      <c r="H38" s="17" t="inlineStr"/>
      <c r="I38" s="17" t="inlineStr">
        <is>
          <t>APPROUVE</t>
        </is>
      </c>
      <c r="J38" s="17" t="n">
        <v>300</v>
      </c>
      <c r="K38" s="17" t="inlineStr">
        <is>
          <t>Echantillon conforme, lot libere pour stockage</t>
        </is>
      </c>
      <c r="L38" s="17" t="inlineStr">
        <is>
          <t>QM-003</t>
        </is>
      </c>
      <c r="M38" s="17" t="inlineStr">
        <is>
          <t>VALIDE</t>
        </is>
      </c>
      <c r="N38" s="17" t="inlineStr"/>
      <c r="O38" s="17" t="inlineStr"/>
      <c r="P38" s="17" t="inlineStr"/>
      <c r="Q38" s="17" t="inlineStr">
        <is>
          <t>SYNCHRONISE</t>
        </is>
      </c>
      <c r="R38" s="17" t="inlineStr"/>
      <c r="S38" s="17" t="inlineStr">
        <is>
          <t>QUALITE-HISTORIQUE-034</t>
        </is>
      </c>
      <c r="T38" s="17" t="inlineStr"/>
    </row>
    <row r="39">
      <c r="A39" s="17" t="inlineStr">
        <is>
          <t>QV-00153</t>
        </is>
      </c>
      <c r="B39" s="18" t="inlineStr">
        <is>
          <t>23/08/2026</t>
        </is>
      </c>
      <c r="C39" s="18" t="inlineStr">
        <is>
          <t>08:34</t>
        </is>
      </c>
      <c r="D39" s="17" t="inlineStr">
        <is>
          <t>LOT-2026-206</t>
        </is>
      </c>
      <c r="E39" s="17" t="inlineStr">
        <is>
          <t>WHAP-0574</t>
        </is>
      </c>
      <c r="F39" s="18">
        <f>IF($E39="","",IFERROR(VLOOKUP($E39,ARTICLES!$A$5:$S$2243,3,FALSE),"reference inconnue"))</f>
        <v/>
      </c>
      <c r="G39" s="17" t="n">
        <v>50</v>
      </c>
      <c r="H39" s="17" t="inlineStr"/>
      <c r="I39" s="17" t="inlineStr">
        <is>
          <t>APPROUVE</t>
        </is>
      </c>
      <c r="J39" s="17" t="n">
        <v>50</v>
      </c>
      <c r="K39" s="17" t="inlineStr">
        <is>
          <t>Echantillon conforme, lot libere pour stockage</t>
        </is>
      </c>
      <c r="L39" s="17" t="inlineStr">
        <is>
          <t>QM-003</t>
        </is>
      </c>
      <c r="M39" s="17" t="inlineStr">
        <is>
          <t>VALIDE</t>
        </is>
      </c>
      <c r="N39" s="17" t="inlineStr"/>
      <c r="O39" s="17" t="inlineStr"/>
      <c r="P39" s="17" t="inlineStr"/>
      <c r="Q39" s="17" t="inlineStr">
        <is>
          <t>SYNCHRONISE</t>
        </is>
      </c>
      <c r="R39" s="17" t="inlineStr"/>
      <c r="S39" s="17" t="inlineStr">
        <is>
          <t>QUALITE-HISTORIQUE-035</t>
        </is>
      </c>
      <c r="T39" s="17" t="inlineStr"/>
    </row>
    <row r="40">
      <c r="A40" s="17" t="inlineStr">
        <is>
          <t>QV-00152</t>
        </is>
      </c>
      <c r="B40" s="18" t="inlineStr">
        <is>
          <t>23/08/2026</t>
        </is>
      </c>
      <c r="C40" s="18" t="inlineStr">
        <is>
          <t>04:34</t>
        </is>
      </c>
      <c r="D40" s="17" t="inlineStr">
        <is>
          <t>LOT-2026-205</t>
        </is>
      </c>
      <c r="E40" s="17" t="inlineStr">
        <is>
          <t>WHAP-0226</t>
        </is>
      </c>
      <c r="F40" s="18">
        <f>IF($E40="","",IFERROR(VLOOKUP($E40,ARTICLES!$A$5:$S$2243,3,FALSE),"reference inconnue"))</f>
        <v/>
      </c>
      <c r="G40" s="17" t="n">
        <v>30</v>
      </c>
      <c r="H40" s="17" t="inlineStr"/>
      <c r="I40" s="17" t="inlineStr">
        <is>
          <t>APPROUVE</t>
        </is>
      </c>
      <c r="J40" s="17" t="n">
        <v>30</v>
      </c>
      <c r="K40" s="17" t="inlineStr">
        <is>
          <t>Echantillon conforme, lot libere pour stockage</t>
        </is>
      </c>
      <c r="L40" s="17" t="inlineStr">
        <is>
          <t>QM-003</t>
        </is>
      </c>
      <c r="M40" s="17" t="inlineStr">
        <is>
          <t>VALIDE</t>
        </is>
      </c>
      <c r="N40" s="17" t="inlineStr"/>
      <c r="O40" s="17" t="inlineStr"/>
      <c r="P40" s="17" t="inlineStr"/>
      <c r="Q40" s="17" t="inlineStr">
        <is>
          <t>SYNCHRONISE</t>
        </is>
      </c>
      <c r="R40" s="17" t="inlineStr"/>
      <c r="S40" s="17" t="inlineStr">
        <is>
          <t>QUALITE-HISTORIQUE-036</t>
        </is>
      </c>
      <c r="T40" s="17" t="inlineStr"/>
    </row>
    <row r="41">
      <c r="A41" s="17" t="inlineStr">
        <is>
          <t>QV-00151</t>
        </is>
      </c>
      <c r="B41" s="18" t="inlineStr">
        <is>
          <t>22/08/2026</t>
        </is>
      </c>
      <c r="C41" s="18" t="inlineStr">
        <is>
          <t>20:34</t>
        </is>
      </c>
      <c r="D41" s="17" t="inlineStr">
        <is>
          <t>LOT-2026-203</t>
        </is>
      </c>
      <c r="E41" s="17" t="inlineStr">
        <is>
          <t>WHAP-0270</t>
        </is>
      </c>
      <c r="F41" s="18">
        <f>IF($E41="","",IFERROR(VLOOKUP($E41,ARTICLES!$A$5:$S$2243,3,FALSE),"reference inconnue"))</f>
        <v/>
      </c>
      <c r="G41" s="17" t="n">
        <v>24</v>
      </c>
      <c r="H41" s="17" t="inlineStr"/>
      <c r="I41" s="17" t="inlineStr">
        <is>
          <t>APPROUVE</t>
        </is>
      </c>
      <c r="J41" s="17" t="n">
        <v>24</v>
      </c>
      <c r="K41" s="17" t="inlineStr">
        <is>
          <t>Echantillon conforme, lot libere pour stockage</t>
        </is>
      </c>
      <c r="L41" s="17" t="inlineStr">
        <is>
          <t>QM-003</t>
        </is>
      </c>
      <c r="M41" s="17" t="inlineStr">
        <is>
          <t>VALIDE</t>
        </is>
      </c>
      <c r="N41" s="17" t="inlineStr"/>
      <c r="O41" s="17" t="inlineStr"/>
      <c r="P41" s="17" t="inlineStr"/>
      <c r="Q41" s="17" t="inlineStr">
        <is>
          <t>SYNCHRONISE</t>
        </is>
      </c>
      <c r="R41" s="17" t="inlineStr"/>
      <c r="S41" s="17" t="inlineStr">
        <is>
          <t>QUALITE-HISTORIQUE-037</t>
        </is>
      </c>
      <c r="T41" s="17" t="inlineStr"/>
    </row>
    <row r="42">
      <c r="A42" s="17" t="inlineStr">
        <is>
          <t>QV-00150</t>
        </is>
      </c>
      <c r="B42" s="18" t="inlineStr">
        <is>
          <t>22/08/2026</t>
        </is>
      </c>
      <c r="C42" s="18" t="inlineStr">
        <is>
          <t>12:34</t>
        </is>
      </c>
      <c r="D42" s="17" t="inlineStr">
        <is>
          <t>LOT-2026-201</t>
        </is>
      </c>
      <c r="E42" s="17" t="inlineStr">
        <is>
          <t>NET-002</t>
        </is>
      </c>
      <c r="F42" s="18">
        <f>IF($E42="","",IFERROR(VLOOKUP($E42,ARTICLES!$A$5:$S$2243,3,FALSE),"reference inconnue"))</f>
        <v/>
      </c>
      <c r="G42" s="17" t="n">
        <v>480</v>
      </c>
      <c r="H42" s="17" t="inlineStr"/>
      <c r="I42" s="17" t="inlineStr">
        <is>
          <t>APPROUVE</t>
        </is>
      </c>
      <c r="J42" s="17" t="n">
        <v>480</v>
      </c>
      <c r="K42" s="17" t="inlineStr">
        <is>
          <t>Echantillon conforme, lot libere pour stockage</t>
        </is>
      </c>
      <c r="L42" s="17" t="inlineStr">
        <is>
          <t>QM-002</t>
        </is>
      </c>
      <c r="M42" s="17" t="inlineStr">
        <is>
          <t>VALIDE</t>
        </is>
      </c>
      <c r="N42" s="17" t="inlineStr"/>
      <c r="O42" s="17" t="inlineStr"/>
      <c r="P42" s="17" t="inlineStr"/>
      <c r="Q42" s="17" t="inlineStr">
        <is>
          <t>SYNCHRONISE</t>
        </is>
      </c>
      <c r="R42" s="17" t="inlineStr"/>
      <c r="S42" s="17" t="inlineStr">
        <is>
          <t>QUALITE-HISTORIQUE-038</t>
        </is>
      </c>
      <c r="T42" s="17" t="inlineStr"/>
    </row>
    <row r="43">
      <c r="A43" s="17" t="inlineStr">
        <is>
          <t>QV-00149</t>
        </is>
      </c>
      <c r="B43" s="18" t="inlineStr">
        <is>
          <t>22/08/2026</t>
        </is>
      </c>
      <c r="C43" s="18" t="inlineStr">
        <is>
          <t>08:34</t>
        </is>
      </c>
      <c r="D43" s="17" t="inlineStr">
        <is>
          <t>LOT-2026-200</t>
        </is>
      </c>
      <c r="E43" s="17" t="inlineStr">
        <is>
          <t>WHAP-0497</t>
        </is>
      </c>
      <c r="F43" s="18">
        <f>IF($E43="","",IFERROR(VLOOKUP($E43,ARTICLES!$A$5:$S$2243,3,FALSE),"reference inconnue"))</f>
        <v/>
      </c>
      <c r="G43" s="17" t="n">
        <v>600</v>
      </c>
      <c r="H43" s="17" t="inlineStr"/>
      <c r="I43" s="17" t="inlineStr">
        <is>
          <t>APPROUVE</t>
        </is>
      </c>
      <c r="J43" s="17" t="n">
        <v>600</v>
      </c>
      <c r="K43" s="17" t="inlineStr">
        <is>
          <t>Echantillon conforme, lot libere pour stockage</t>
        </is>
      </c>
      <c r="L43" s="17" t="inlineStr">
        <is>
          <t>QM-002</t>
        </is>
      </c>
      <c r="M43" s="17" t="inlineStr">
        <is>
          <t>VALIDE</t>
        </is>
      </c>
      <c r="N43" s="17" t="inlineStr"/>
      <c r="O43" s="17" t="inlineStr"/>
      <c r="P43" s="17" t="inlineStr"/>
      <c r="Q43" s="17" t="inlineStr">
        <is>
          <t>SYNCHRONISE</t>
        </is>
      </c>
      <c r="R43" s="17" t="inlineStr"/>
      <c r="S43" s="17" t="inlineStr">
        <is>
          <t>QUALITE-HISTORIQUE-039</t>
        </is>
      </c>
      <c r="T43" s="17" t="inlineStr"/>
    </row>
    <row r="44">
      <c r="A44" s="17" t="inlineStr">
        <is>
          <t>QV-00147</t>
        </is>
      </c>
      <c r="B44" s="18" t="inlineStr">
        <is>
          <t>22/08/2026</t>
        </is>
      </c>
      <c r="C44" s="18" t="inlineStr">
        <is>
          <t>04:34</t>
        </is>
      </c>
      <c r="D44" s="17" t="inlineStr">
        <is>
          <t>LOT-2026-199</t>
        </is>
      </c>
      <c r="E44" s="17" t="inlineStr">
        <is>
          <t>WHAP-0396</t>
        </is>
      </c>
      <c r="F44" s="18">
        <f>IF($E44="","",IFERROR(VLOOKUP($E44,ARTICLES!$A$5:$S$2243,3,FALSE),"reference inconnue"))</f>
        <v/>
      </c>
      <c r="G44" s="17" t="n">
        <v>480</v>
      </c>
      <c r="H44" s="17" t="inlineStr"/>
      <c r="I44" s="17" t="inlineStr">
        <is>
          <t>RED_CAGE</t>
        </is>
      </c>
      <c r="J44" s="17" t="inlineStr"/>
      <c r="K44" s="17" t="inlineStr">
        <is>
          <t>Doute sur la tracabilite fournisseur</t>
        </is>
      </c>
      <c r="L44" s="17" t="inlineStr">
        <is>
          <t>QM-002</t>
        </is>
      </c>
      <c r="M44" s="17" t="inlineStr">
        <is>
          <t>VALIDE</t>
        </is>
      </c>
      <c r="N44" s="17" t="inlineStr"/>
      <c r="O44" s="17" t="inlineStr"/>
      <c r="P44" s="17" t="inlineStr"/>
      <c r="Q44" s="17" t="inlineStr">
        <is>
          <t>SYNCHRONISE</t>
        </is>
      </c>
      <c r="R44" s="17" t="inlineStr"/>
      <c r="S44" s="17" t="inlineStr">
        <is>
          <t>QUALITE-HISTORIQUE-040</t>
        </is>
      </c>
      <c r="T44" s="17" t="inlineStr"/>
    </row>
    <row r="45">
      <c r="A45" s="17" t="inlineStr"/>
      <c r="B45" s="18">
        <f>IF($D45="","",TEXT(TODAY(),"dd/mm/yyyy"))</f>
        <v/>
      </c>
      <c r="C45" s="18">
        <f>IF($D45="","",TEXT(NOW(),"hh:mm"))</f>
        <v/>
      </c>
      <c r="D45" s="17" t="inlineStr">
        <is>
          <t>LOT-2026-253</t>
        </is>
      </c>
      <c r="E45" s="17" t="inlineStr">
        <is>
          <t>TRT-002</t>
        </is>
      </c>
      <c r="F45" s="18">
        <f>IF($E45="","",IFERROR(VLOOKUP($E45,ARTICLES!$A$5:$S$2243,3,FALSE),"reference inconnue"))</f>
        <v/>
      </c>
      <c r="G45" s="17" t="n">
        <v>360</v>
      </c>
      <c r="H45" s="17" t="inlineStr"/>
      <c r="I45" s="17" t="inlineStr"/>
      <c r="J45" s="17" t="inlineStr"/>
      <c r="K45" s="17" t="inlineStr"/>
      <c r="L45" s="17" t="inlineStr"/>
      <c r="M45" s="17" t="inlineStr">
        <is>
          <t>BROUILLON</t>
        </is>
      </c>
      <c r="N45" s="17" t="inlineStr"/>
      <c r="O45" s="17" t="inlineStr"/>
      <c r="P45" s="17" t="inlineStr"/>
      <c r="Q45" s="17" t="inlineStr"/>
      <c r="R45" s="17" t="inlineStr"/>
      <c r="S45" s="17" t="inlineStr"/>
      <c r="T45" s="17" t="inlineStr"/>
    </row>
    <row r="46">
      <c r="A46" s="17" t="inlineStr"/>
      <c r="B46" s="18">
        <f>IF($D46="","",TEXT(TODAY(),"dd/mm/yyyy"))</f>
        <v/>
      </c>
      <c r="C46" s="18">
        <f>IF($D46="","",TEXT(NOW(),"hh:mm"))</f>
        <v/>
      </c>
      <c r="D46" s="17" t="inlineStr">
        <is>
          <t>LOT-2026-245</t>
        </is>
      </c>
      <c r="E46" s="17" t="inlineStr">
        <is>
          <t>WHAP-0104</t>
        </is>
      </c>
      <c r="F46" s="18">
        <f>IF($E46="","",IFERROR(VLOOKUP($E46,ARTICLES!$A$5:$S$2243,3,FALSE),"reference inconnue"))</f>
        <v/>
      </c>
      <c r="G46" s="17" t="n">
        <v>100</v>
      </c>
      <c r="H46" s="17" t="inlineStr"/>
      <c r="I46" s="17" t="inlineStr"/>
      <c r="J46" s="17" t="inlineStr"/>
      <c r="K46" s="17" t="inlineStr"/>
      <c r="L46" s="17" t="inlineStr"/>
      <c r="M46" s="17" t="inlineStr">
        <is>
          <t>BROUILLON</t>
        </is>
      </c>
      <c r="N46" s="17" t="inlineStr"/>
      <c r="O46" s="17" t="inlineStr"/>
      <c r="P46" s="17" t="inlineStr"/>
      <c r="Q46" s="17" t="inlineStr"/>
      <c r="R46" s="17" t="inlineStr"/>
      <c r="S46" s="17" t="inlineStr"/>
      <c r="T46" s="17" t="inlineStr"/>
    </row>
    <row r="47">
      <c r="A47" s="17" t="inlineStr"/>
      <c r="B47" s="18">
        <f>IF($D47="","",TEXT(TODAY(),"dd/mm/yyyy"))</f>
        <v/>
      </c>
      <c r="C47" s="18">
        <f>IF($D47="","",TEXT(NOW(),"hh:mm"))</f>
        <v/>
      </c>
      <c r="D47" s="17" t="inlineStr">
        <is>
          <t>LOT-2026-222</t>
        </is>
      </c>
      <c r="E47" s="17" t="inlineStr">
        <is>
          <t>WHAP-0497</t>
        </is>
      </c>
      <c r="F47" s="18">
        <f>IF($E47="","",IFERROR(VLOOKUP($E47,ARTICLES!$A$5:$S$2243,3,FALSE),"reference inconnue"))</f>
        <v/>
      </c>
      <c r="G47" s="17" t="n">
        <v>420</v>
      </c>
      <c r="H47" s="17" t="inlineStr"/>
      <c r="I47" s="17" t="inlineStr"/>
      <c r="J47" s="17" t="inlineStr"/>
      <c r="K47" s="17" t="inlineStr"/>
      <c r="L47" s="17" t="inlineStr"/>
      <c r="M47" s="17" t="inlineStr">
        <is>
          <t>BROUILLON</t>
        </is>
      </c>
      <c r="N47" s="17" t="inlineStr"/>
      <c r="O47" s="17" t="inlineStr"/>
      <c r="P47" s="17" t="inlineStr"/>
      <c r="Q47" s="17" t="inlineStr"/>
      <c r="R47" s="17" t="inlineStr"/>
      <c r="S47" s="17" t="inlineStr"/>
      <c r="T47" s="17" t="inlineStr"/>
    </row>
    <row r="48">
      <c r="A48" s="17" t="inlineStr"/>
      <c r="B48" s="18">
        <f>IF($D48="","",TEXT(TODAY(),"dd/mm/yyyy"))</f>
        <v/>
      </c>
      <c r="C48" s="18">
        <f>IF($D48="","",TEXT(NOW(),"hh:mm"))</f>
        <v/>
      </c>
      <c r="D48" s="17" t="inlineStr">
        <is>
          <t>LOT-2026-185</t>
        </is>
      </c>
      <c r="E48" s="17" t="inlineStr">
        <is>
          <t>WHAP-0496</t>
        </is>
      </c>
      <c r="F48" s="18">
        <f>IF($E48="","",IFERROR(VLOOKUP($E48,ARTICLES!$A$5:$S$2243,3,FALSE),"reference inconnue"))</f>
        <v/>
      </c>
      <c r="G48" s="17" t="n">
        <v>120</v>
      </c>
      <c r="H48" s="17" t="inlineStr"/>
      <c r="I48" s="17" t="inlineStr"/>
      <c r="J48" s="17" t="inlineStr"/>
      <c r="K48" s="17" t="inlineStr"/>
      <c r="L48" s="17" t="inlineStr"/>
      <c r="M48" s="17" t="inlineStr">
        <is>
          <t>BROUILLON</t>
        </is>
      </c>
      <c r="N48" s="17" t="inlineStr"/>
      <c r="O48" s="17" t="inlineStr"/>
      <c r="P48" s="17" t="inlineStr"/>
      <c r="Q48" s="17" t="inlineStr"/>
      <c r="R48" s="17" t="inlineStr"/>
      <c r="S48" s="17" t="inlineStr"/>
      <c r="T48" s="17" t="inlineStr"/>
    </row>
    <row r="49">
      <c r="A49" s="17" t="inlineStr"/>
      <c r="B49" s="18">
        <f>IF($D49="","",TEXT(TODAY(),"dd/mm/yyyy"))</f>
        <v/>
      </c>
      <c r="C49" s="18">
        <f>IF($D49="","",TEXT(NOW(),"hh:mm"))</f>
        <v/>
      </c>
      <c r="D49" s="17" t="inlineStr">
        <is>
          <t>LOT-2026-139</t>
        </is>
      </c>
      <c r="E49" s="17" t="inlineStr">
        <is>
          <t>WHAP-0224</t>
        </is>
      </c>
      <c r="F49" s="18">
        <f>IF($E49="","",IFERROR(VLOOKUP($E49,ARTICLES!$A$5:$S$2243,3,FALSE),"reference inconnue"))</f>
        <v/>
      </c>
      <c r="G49" s="17" t="n">
        <v>100</v>
      </c>
      <c r="H49" s="17" t="inlineStr"/>
      <c r="I49" s="17" t="inlineStr"/>
      <c r="J49" s="17" t="inlineStr"/>
      <c r="K49" s="17" t="inlineStr"/>
      <c r="L49" s="17" t="inlineStr"/>
      <c r="M49" s="17" t="inlineStr">
        <is>
          <t>BROUILLON</t>
        </is>
      </c>
      <c r="N49" s="17" t="inlineStr"/>
      <c r="O49" s="17" t="inlineStr"/>
      <c r="P49" s="17" t="inlineStr"/>
      <c r="Q49" s="17" t="inlineStr"/>
      <c r="R49" s="17" t="inlineStr"/>
      <c r="S49" s="17" t="inlineStr"/>
      <c r="T49" s="17" t="inlineStr"/>
    </row>
    <row r="50">
      <c r="A50" s="17" t="inlineStr"/>
      <c r="B50" s="18">
        <f>IF($D50="","",TEXT(TODAY(),"dd/mm/yyyy"))</f>
        <v/>
      </c>
      <c r="C50" s="18">
        <f>IF($D50="","",TEXT(NOW(),"hh:mm"))</f>
        <v/>
      </c>
      <c r="D50" s="17" t="inlineStr">
        <is>
          <t>LOT-2026-130</t>
        </is>
      </c>
      <c r="E50" s="17" t="inlineStr">
        <is>
          <t>TRT-002</t>
        </is>
      </c>
      <c r="F50" s="18">
        <f>IF($E50="","",IFERROR(VLOOKUP($E50,ARTICLES!$A$5:$S$2243,3,FALSE),"reference inconnue"))</f>
        <v/>
      </c>
      <c r="G50" s="17" t="n">
        <v>240</v>
      </c>
      <c r="H50" s="17" t="inlineStr"/>
      <c r="I50" s="17" t="inlineStr"/>
      <c r="J50" s="17" t="inlineStr"/>
      <c r="K50" s="17" t="inlineStr"/>
      <c r="L50" s="17" t="inlineStr"/>
      <c r="M50" s="17" t="inlineStr">
        <is>
          <t>BROUILLON</t>
        </is>
      </c>
      <c r="N50" s="17" t="inlineStr"/>
      <c r="O50" s="17" t="inlineStr"/>
      <c r="P50" s="17" t="inlineStr"/>
      <c r="Q50" s="17" t="inlineStr"/>
      <c r="R50" s="17" t="inlineStr"/>
      <c r="S50" s="17" t="inlineStr"/>
      <c r="T50" s="17" t="inlineStr"/>
    </row>
    <row r="51">
      <c r="A51" s="17" t="inlineStr"/>
      <c r="B51" s="18">
        <f>IF($D51="","",TEXT(TODAY(),"dd/mm/yyyy"))</f>
        <v/>
      </c>
      <c r="C51" s="18">
        <f>IF($D51="","",TEXT(NOW(),"hh:mm"))</f>
        <v/>
      </c>
      <c r="D51" s="17" t="inlineStr">
        <is>
          <t>LOT-2026-119</t>
        </is>
      </c>
      <c r="E51" s="17" t="inlineStr">
        <is>
          <t>WHAP-0133</t>
        </is>
      </c>
      <c r="F51" s="18">
        <f>IF($E51="","",IFERROR(VLOOKUP($E51,ARTICLES!$A$5:$S$2243,3,FALSE),"reference inconnue"))</f>
        <v/>
      </c>
      <c r="G51" s="17" t="n">
        <v>60</v>
      </c>
      <c r="H51" s="17" t="inlineStr"/>
      <c r="I51" s="17" t="inlineStr"/>
      <c r="J51" s="17" t="inlineStr"/>
      <c r="K51" s="17" t="inlineStr"/>
      <c r="L51" s="17" t="inlineStr"/>
      <c r="M51" s="17" t="inlineStr">
        <is>
          <t>BROUILLON</t>
        </is>
      </c>
      <c r="N51" s="17" t="inlineStr"/>
      <c r="O51" s="17" t="inlineStr"/>
      <c r="P51" s="17" t="inlineStr"/>
      <c r="Q51" s="17" t="inlineStr"/>
      <c r="R51" s="17" t="inlineStr"/>
      <c r="S51" s="17" t="inlineStr"/>
      <c r="T51" s="17" t="inlineStr"/>
    </row>
    <row r="52">
      <c r="A52" s="17" t="inlineStr"/>
      <c r="B52" s="18">
        <f>IF($D52="","",TEXT(TODAY(),"dd/mm/yyyy"))</f>
        <v/>
      </c>
      <c r="C52" s="18">
        <f>IF($D52="","",TEXT(NOW(),"hh:mm"))</f>
        <v/>
      </c>
      <c r="D52" s="17" t="inlineStr">
        <is>
          <t>LOT-2026-064</t>
        </is>
      </c>
      <c r="E52" s="17" t="inlineStr">
        <is>
          <t>SEC-001</t>
        </is>
      </c>
      <c r="F52" s="18">
        <f>IF($E52="","",IFERROR(VLOOKUP($E52,ARTICLES!$A$5:$S$2243,3,FALSE),"reference inconnue"))</f>
        <v/>
      </c>
      <c r="G52" s="17" t="n">
        <v>24</v>
      </c>
      <c r="H52" s="17" t="inlineStr"/>
      <c r="I52" s="17" t="inlineStr"/>
      <c r="J52" s="17" t="inlineStr"/>
      <c r="K52" s="17" t="inlineStr"/>
      <c r="L52" s="17" t="inlineStr"/>
      <c r="M52" s="17" t="inlineStr">
        <is>
          <t>BROUILLON</t>
        </is>
      </c>
      <c r="N52" s="17" t="inlineStr"/>
      <c r="O52" s="17" t="inlineStr"/>
      <c r="P52" s="17" t="inlineStr"/>
      <c r="Q52" s="17" t="inlineStr"/>
      <c r="R52" s="17" t="inlineStr"/>
      <c r="S52" s="17" t="inlineStr"/>
      <c r="T52" s="17" t="inlineStr"/>
    </row>
    <row r="53">
      <c r="A53" s="17" t="inlineStr"/>
      <c r="B53" s="18">
        <f>IF($D53="","",TEXT(TODAY(),"dd/mm/yyyy"))</f>
        <v/>
      </c>
      <c r="C53" s="18">
        <f>IF($D53="","",TEXT(NOW(),"hh:mm"))</f>
        <v/>
      </c>
      <c r="D53" s="17" t="inlineStr">
        <is>
          <t>LOT-2026-041</t>
        </is>
      </c>
      <c r="E53" s="17" t="inlineStr">
        <is>
          <t>WHAP-0338</t>
        </is>
      </c>
      <c r="F53" s="18">
        <f>IF($E53="","",IFERROR(VLOOKUP($E53,ARTICLES!$A$5:$S$2243,3,FALSE),"reference inconnue"))</f>
        <v/>
      </c>
      <c r="G53" s="17" t="n">
        <v>420</v>
      </c>
      <c r="H53" s="17" t="inlineStr"/>
      <c r="I53" s="17" t="inlineStr"/>
      <c r="J53" s="17" t="inlineStr"/>
      <c r="K53" s="17" t="inlineStr"/>
      <c r="L53" s="17" t="inlineStr"/>
      <c r="M53" s="17" t="inlineStr">
        <is>
          <t>BROUILLON</t>
        </is>
      </c>
      <c r="N53" s="17" t="inlineStr"/>
      <c r="O53" s="17" t="inlineStr"/>
      <c r="P53" s="17" t="inlineStr"/>
      <c r="Q53" s="17" t="inlineStr"/>
      <c r="R53" s="17" t="inlineStr"/>
      <c r="S53" s="17" t="inlineStr"/>
      <c r="T53" s="17" t="inlineStr"/>
    </row>
    <row r="54">
      <c r="A54" s="17" t="inlineStr"/>
      <c r="B54" s="18">
        <f>IF($D54="","",TEXT(TODAY(),"dd/mm/yyyy"))</f>
        <v/>
      </c>
      <c r="C54" s="18">
        <f>IF($D54="","",TEXT(NOW(),"hh:mm"))</f>
        <v/>
      </c>
      <c r="D54" s="17" t="inlineStr">
        <is>
          <t>LOT-2026-037</t>
        </is>
      </c>
      <c r="E54" s="17" t="inlineStr">
        <is>
          <t>EMB-003</t>
        </is>
      </c>
      <c r="F54" s="18">
        <f>IF($E54="","",IFERROR(VLOOKUP($E54,ARTICLES!$A$5:$S$2243,3,FALSE),"reference inconnue"))</f>
        <v/>
      </c>
      <c r="G54" s="17" t="n">
        <v>240</v>
      </c>
      <c r="H54" s="17" t="inlineStr"/>
      <c r="I54" s="17" t="inlineStr"/>
      <c r="J54" s="17" t="inlineStr"/>
      <c r="K54" s="17" t="inlineStr"/>
      <c r="L54" s="17" t="inlineStr"/>
      <c r="M54" s="17" t="inlineStr">
        <is>
          <t>BROUILLON</t>
        </is>
      </c>
      <c r="N54" s="17" t="inlineStr"/>
      <c r="O54" s="17" t="inlineStr"/>
      <c r="P54" s="17" t="inlineStr"/>
      <c r="Q54" s="17" t="inlineStr"/>
      <c r="R54" s="17" t="inlineStr"/>
      <c r="S54" s="17" t="inlineStr"/>
      <c r="T54" s="17" t="inlineStr"/>
    </row>
    <row r="55">
      <c r="A55" s="17" t="n"/>
      <c r="B55" s="18">
        <f>IF($D55="","",TEXT(TODAY(),"dd/mm/yyyy"))</f>
        <v/>
      </c>
      <c r="C55" s="18">
        <f>IF($D55="","",TEXT(NOW(),"hh:mm"))</f>
        <v/>
      </c>
      <c r="D55" s="19" t="n"/>
      <c r="E55" s="19" t="n"/>
      <c r="F55" s="18">
        <f>IF($E55="","",IFERROR(VLOOKUP($E55,ARTICLES!$A$5:$S$2243,3,FALSE),"reference inconnue"))</f>
        <v/>
      </c>
      <c r="G55" s="19" t="n"/>
      <c r="H55" s="19" t="n"/>
      <c r="I55" s="19" t="n"/>
      <c r="J55" s="19" t="n"/>
      <c r="K55" s="19" t="n"/>
      <c r="L55" s="19" t="n"/>
      <c r="M55" s="17" t="inlineStr">
        <is>
          <t>BROUILLON</t>
        </is>
      </c>
      <c r="N55" s="17" t="n"/>
      <c r="O55" s="17" t="n"/>
      <c r="P55" s="17" t="n"/>
      <c r="Q55" s="17" t="n"/>
      <c r="R55" s="17" t="n"/>
      <c r="S55" s="17" t="n"/>
      <c r="T55" s="17" t="n"/>
    </row>
    <row r="56">
      <c r="A56" s="17" t="n"/>
      <c r="B56" s="18">
        <f>IF($D56="","",TEXT(TODAY(),"dd/mm/yyyy"))</f>
        <v/>
      </c>
      <c r="C56" s="18">
        <f>IF($D56="","",TEXT(NOW(),"hh:mm"))</f>
        <v/>
      </c>
      <c r="D56" s="19" t="n"/>
      <c r="E56" s="19" t="n"/>
      <c r="F56" s="18">
        <f>IF($E56="","",IFERROR(VLOOKUP($E56,ARTICLES!$A$5:$S$2243,3,FALSE),"reference inconnue"))</f>
        <v/>
      </c>
      <c r="G56" s="19" t="n"/>
      <c r="H56" s="19" t="n"/>
      <c r="I56" s="19" t="n"/>
      <c r="J56" s="19" t="n"/>
      <c r="K56" s="19" t="n"/>
      <c r="L56" s="19" t="n"/>
      <c r="M56" s="17" t="inlineStr">
        <is>
          <t>BROUILLON</t>
        </is>
      </c>
      <c r="N56" s="17" t="n"/>
      <c r="O56" s="17" t="n"/>
      <c r="P56" s="17" t="n"/>
      <c r="Q56" s="17" t="n"/>
      <c r="R56" s="17" t="n"/>
      <c r="S56" s="17" t="n"/>
      <c r="T56" s="17" t="n"/>
    </row>
    <row r="57">
      <c r="A57" s="17" t="n"/>
      <c r="B57" s="18">
        <f>IF($D57="","",TEXT(TODAY(),"dd/mm/yyyy"))</f>
        <v/>
      </c>
      <c r="C57" s="18">
        <f>IF($D57="","",TEXT(NOW(),"hh:mm"))</f>
        <v/>
      </c>
      <c r="D57" s="19" t="n"/>
      <c r="E57" s="19" t="n"/>
      <c r="F57" s="18">
        <f>IF($E57="","",IFERROR(VLOOKUP($E57,ARTICLES!$A$5:$S$2243,3,FALSE),"reference inconnue"))</f>
        <v/>
      </c>
      <c r="G57" s="19" t="n"/>
      <c r="H57" s="19" t="n"/>
      <c r="I57" s="19" t="n"/>
      <c r="J57" s="19" t="n"/>
      <c r="K57" s="19" t="n"/>
      <c r="L57" s="19" t="n"/>
      <c r="M57" s="17" t="inlineStr">
        <is>
          <t>BROUILLON</t>
        </is>
      </c>
      <c r="N57" s="17" t="n"/>
      <c r="O57" s="17" t="n"/>
      <c r="P57" s="17" t="n"/>
      <c r="Q57" s="17" t="n"/>
      <c r="R57" s="17" t="n"/>
      <c r="S57" s="17" t="n"/>
      <c r="T57" s="17" t="n"/>
    </row>
    <row r="58">
      <c r="A58" s="17" t="n"/>
      <c r="B58" s="18">
        <f>IF($D58="","",TEXT(TODAY(),"dd/mm/yyyy"))</f>
        <v/>
      </c>
      <c r="C58" s="18">
        <f>IF($D58="","",TEXT(NOW(),"hh:mm"))</f>
        <v/>
      </c>
      <c r="D58" s="19" t="n"/>
      <c r="E58" s="19" t="n"/>
      <c r="F58" s="18">
        <f>IF($E58="","",IFERROR(VLOOKUP($E58,ARTICLES!$A$5:$S$2243,3,FALSE),"reference inconnue"))</f>
        <v/>
      </c>
      <c r="G58" s="19" t="n"/>
      <c r="H58" s="19" t="n"/>
      <c r="I58" s="19" t="n"/>
      <c r="J58" s="19" t="n"/>
      <c r="K58" s="19" t="n"/>
      <c r="L58" s="19" t="n"/>
      <c r="M58" s="17" t="inlineStr">
        <is>
          <t>BROUILLON</t>
        </is>
      </c>
      <c r="N58" s="17" t="n"/>
      <c r="O58" s="17" t="n"/>
      <c r="P58" s="17" t="n"/>
      <c r="Q58" s="17" t="n"/>
      <c r="R58" s="17" t="n"/>
      <c r="S58" s="17" t="n"/>
      <c r="T58" s="17" t="n"/>
    </row>
    <row r="59">
      <c r="A59" s="17" t="n"/>
      <c r="B59" s="18">
        <f>IF($D59="","",TEXT(TODAY(),"dd/mm/yyyy"))</f>
        <v/>
      </c>
      <c r="C59" s="18">
        <f>IF($D59="","",TEXT(NOW(),"hh:mm"))</f>
        <v/>
      </c>
      <c r="D59" s="19" t="n"/>
      <c r="E59" s="19" t="n"/>
      <c r="F59" s="18">
        <f>IF($E59="","",IFERROR(VLOOKUP($E59,ARTICLES!$A$5:$S$2243,3,FALSE),"reference inconnue"))</f>
        <v/>
      </c>
      <c r="G59" s="19" t="n"/>
      <c r="H59" s="19" t="n"/>
      <c r="I59" s="19" t="n"/>
      <c r="J59" s="19" t="n"/>
      <c r="K59" s="19" t="n"/>
      <c r="L59" s="19" t="n"/>
      <c r="M59" s="17" t="inlineStr">
        <is>
          <t>BROUILLON</t>
        </is>
      </c>
      <c r="N59" s="17" t="n"/>
      <c r="O59" s="17" t="n"/>
      <c r="P59" s="17" t="n"/>
      <c r="Q59" s="17" t="n"/>
      <c r="R59" s="17" t="n"/>
      <c r="S59" s="17" t="n"/>
      <c r="T59" s="17" t="n"/>
    </row>
    <row r="60">
      <c r="A60" s="17" t="n"/>
      <c r="B60" s="18">
        <f>IF($D60="","",TEXT(TODAY(),"dd/mm/yyyy"))</f>
        <v/>
      </c>
      <c r="C60" s="18">
        <f>IF($D60="","",TEXT(NOW(),"hh:mm"))</f>
        <v/>
      </c>
      <c r="D60" s="19" t="n"/>
      <c r="E60" s="19" t="n"/>
      <c r="F60" s="18">
        <f>IF($E60="","",IFERROR(VLOOKUP($E60,ARTICLES!$A$5:$S$2243,3,FALSE),"reference inconnue"))</f>
        <v/>
      </c>
      <c r="G60" s="19" t="n"/>
      <c r="H60" s="19" t="n"/>
      <c r="I60" s="19" t="n"/>
      <c r="J60" s="19" t="n"/>
      <c r="K60" s="19" t="n"/>
      <c r="L60" s="19" t="n"/>
      <c r="M60" s="17" t="inlineStr">
        <is>
          <t>BROUILLON</t>
        </is>
      </c>
      <c r="N60" s="17" t="n"/>
      <c r="O60" s="17" t="n"/>
      <c r="P60" s="17" t="n"/>
      <c r="Q60" s="17" t="n"/>
      <c r="R60" s="17" t="n"/>
      <c r="S60" s="17" t="n"/>
      <c r="T60" s="17" t="n"/>
    </row>
    <row r="61">
      <c r="A61" s="17" t="n"/>
      <c r="B61" s="18">
        <f>IF($D61="","",TEXT(TODAY(),"dd/mm/yyyy"))</f>
        <v/>
      </c>
      <c r="C61" s="18">
        <f>IF($D61="","",TEXT(NOW(),"hh:mm"))</f>
        <v/>
      </c>
      <c r="D61" s="19" t="n"/>
      <c r="E61" s="19" t="n"/>
      <c r="F61" s="18">
        <f>IF($E61="","",IFERROR(VLOOKUP($E61,ARTICLES!$A$5:$S$2243,3,FALSE),"reference inconnue"))</f>
        <v/>
      </c>
      <c r="G61" s="19" t="n"/>
      <c r="H61" s="19" t="n"/>
      <c r="I61" s="19" t="n"/>
      <c r="J61" s="19" t="n"/>
      <c r="K61" s="19" t="n"/>
      <c r="L61" s="19" t="n"/>
      <c r="M61" s="17" t="inlineStr">
        <is>
          <t>BROUILLON</t>
        </is>
      </c>
      <c r="N61" s="17" t="n"/>
      <c r="O61" s="17" t="n"/>
      <c r="P61" s="17" t="n"/>
      <c r="Q61" s="17" t="n"/>
      <c r="R61" s="17" t="n"/>
      <c r="S61" s="17" t="n"/>
      <c r="T61" s="17" t="n"/>
    </row>
    <row r="62">
      <c r="A62" s="17" t="n"/>
      <c r="B62" s="18">
        <f>IF($D62="","",TEXT(TODAY(),"dd/mm/yyyy"))</f>
        <v/>
      </c>
      <c r="C62" s="18">
        <f>IF($D62="","",TEXT(NOW(),"hh:mm"))</f>
        <v/>
      </c>
      <c r="D62" s="19" t="n"/>
      <c r="E62" s="19" t="n"/>
      <c r="F62" s="18">
        <f>IF($E62="","",IFERROR(VLOOKUP($E62,ARTICLES!$A$5:$S$2243,3,FALSE),"reference inconnue"))</f>
        <v/>
      </c>
      <c r="G62" s="19" t="n"/>
      <c r="H62" s="19" t="n"/>
      <c r="I62" s="19" t="n"/>
      <c r="J62" s="19" t="n"/>
      <c r="K62" s="19" t="n"/>
      <c r="L62" s="19" t="n"/>
      <c r="M62" s="17" t="inlineStr">
        <is>
          <t>BROUILLON</t>
        </is>
      </c>
      <c r="N62" s="17" t="n"/>
      <c r="O62" s="17" t="n"/>
      <c r="P62" s="17" t="n"/>
      <c r="Q62" s="17" t="n"/>
      <c r="R62" s="17" t="n"/>
      <c r="S62" s="17" t="n"/>
      <c r="T62" s="17" t="n"/>
    </row>
    <row r="63">
      <c r="A63" s="17" t="n"/>
      <c r="B63" s="18">
        <f>IF($D63="","",TEXT(TODAY(),"dd/mm/yyyy"))</f>
        <v/>
      </c>
      <c r="C63" s="18">
        <f>IF($D63="","",TEXT(NOW(),"hh:mm"))</f>
        <v/>
      </c>
      <c r="D63" s="19" t="n"/>
      <c r="E63" s="19" t="n"/>
      <c r="F63" s="18">
        <f>IF($E63="","",IFERROR(VLOOKUP($E63,ARTICLES!$A$5:$S$2243,3,FALSE),"reference inconnue"))</f>
        <v/>
      </c>
      <c r="G63" s="19" t="n"/>
      <c r="H63" s="19" t="n"/>
      <c r="I63" s="19" t="n"/>
      <c r="J63" s="19" t="n"/>
      <c r="K63" s="19" t="n"/>
      <c r="L63" s="19" t="n"/>
      <c r="M63" s="17" t="inlineStr">
        <is>
          <t>BROUILLON</t>
        </is>
      </c>
      <c r="N63" s="17" t="n"/>
      <c r="O63" s="17" t="n"/>
      <c r="P63" s="17" t="n"/>
      <c r="Q63" s="17" t="n"/>
      <c r="R63" s="17" t="n"/>
      <c r="S63" s="17" t="n"/>
      <c r="T63" s="17" t="n"/>
    </row>
    <row r="64">
      <c r="A64" s="17" t="n"/>
      <c r="B64" s="18">
        <f>IF($D64="","",TEXT(TODAY(),"dd/mm/yyyy"))</f>
        <v/>
      </c>
      <c r="C64" s="18">
        <f>IF($D64="","",TEXT(NOW(),"hh:mm"))</f>
        <v/>
      </c>
      <c r="D64" s="19" t="n"/>
      <c r="E64" s="19" t="n"/>
      <c r="F64" s="18">
        <f>IF($E64="","",IFERROR(VLOOKUP($E64,ARTICLES!$A$5:$S$2243,3,FALSE),"reference inconnue"))</f>
        <v/>
      </c>
      <c r="G64" s="19" t="n"/>
      <c r="H64" s="19" t="n"/>
      <c r="I64" s="19" t="n"/>
      <c r="J64" s="19" t="n"/>
      <c r="K64" s="19" t="n"/>
      <c r="L64" s="19" t="n"/>
      <c r="M64" s="17" t="inlineStr">
        <is>
          <t>BROUILLON</t>
        </is>
      </c>
      <c r="N64" s="17" t="n"/>
      <c r="O64" s="17" t="n"/>
      <c r="P64" s="17" t="n"/>
      <c r="Q64" s="17" t="n"/>
      <c r="R64" s="17" t="n"/>
      <c r="S64" s="17" t="n"/>
      <c r="T64" s="17" t="n"/>
    </row>
    <row r="65">
      <c r="A65" s="17" t="n"/>
      <c r="B65" s="18">
        <f>IF($D65="","",TEXT(TODAY(),"dd/mm/yyyy"))</f>
        <v/>
      </c>
      <c r="C65" s="18">
        <f>IF($D65="","",TEXT(NOW(),"hh:mm"))</f>
        <v/>
      </c>
      <c r="D65" s="19" t="n"/>
      <c r="E65" s="19" t="n"/>
      <c r="F65" s="18">
        <f>IF($E65="","",IFERROR(VLOOKUP($E65,ARTICLES!$A$5:$S$2243,3,FALSE),"reference inconnue"))</f>
        <v/>
      </c>
      <c r="G65" s="19" t="n"/>
      <c r="H65" s="19" t="n"/>
      <c r="I65" s="19" t="n"/>
      <c r="J65" s="19" t="n"/>
      <c r="K65" s="19" t="n"/>
      <c r="L65" s="19" t="n"/>
      <c r="M65" s="17" t="inlineStr">
        <is>
          <t>BROUILLON</t>
        </is>
      </c>
      <c r="N65" s="17" t="n"/>
      <c r="O65" s="17" t="n"/>
      <c r="P65" s="17" t="n"/>
      <c r="Q65" s="17" t="n"/>
      <c r="R65" s="17" t="n"/>
      <c r="S65" s="17" t="n"/>
      <c r="T65" s="17" t="n"/>
    </row>
    <row r="66">
      <c r="A66" s="17" t="n"/>
      <c r="B66" s="18">
        <f>IF($D66="","",TEXT(TODAY(),"dd/mm/yyyy"))</f>
        <v/>
      </c>
      <c r="C66" s="18">
        <f>IF($D66="","",TEXT(NOW(),"hh:mm"))</f>
        <v/>
      </c>
      <c r="D66" s="19" t="n"/>
      <c r="E66" s="19" t="n"/>
      <c r="F66" s="18">
        <f>IF($E66="","",IFERROR(VLOOKUP($E66,ARTICLES!$A$5:$S$2243,3,FALSE),"reference inconnue"))</f>
        <v/>
      </c>
      <c r="G66" s="19" t="n"/>
      <c r="H66" s="19" t="n"/>
      <c r="I66" s="19" t="n"/>
      <c r="J66" s="19" t="n"/>
      <c r="K66" s="19" t="n"/>
      <c r="L66" s="19" t="n"/>
      <c r="M66" s="17" t="inlineStr">
        <is>
          <t>BROUILLON</t>
        </is>
      </c>
      <c r="N66" s="17" t="n"/>
      <c r="O66" s="17" t="n"/>
      <c r="P66" s="17" t="n"/>
      <c r="Q66" s="17" t="n"/>
      <c r="R66" s="17" t="n"/>
      <c r="S66" s="17" t="n"/>
      <c r="T66" s="17" t="n"/>
    </row>
    <row r="67">
      <c r="A67" s="17" t="n"/>
      <c r="B67" s="18">
        <f>IF($D67="","",TEXT(TODAY(),"dd/mm/yyyy"))</f>
        <v/>
      </c>
      <c r="C67" s="18">
        <f>IF($D67="","",TEXT(NOW(),"hh:mm"))</f>
        <v/>
      </c>
      <c r="D67" s="19" t="n"/>
      <c r="E67" s="19" t="n"/>
      <c r="F67" s="18">
        <f>IF($E67="","",IFERROR(VLOOKUP($E67,ARTICLES!$A$5:$S$2243,3,FALSE),"reference inconnue"))</f>
        <v/>
      </c>
      <c r="G67" s="19" t="n"/>
      <c r="H67" s="19" t="n"/>
      <c r="I67" s="19" t="n"/>
      <c r="J67" s="19" t="n"/>
      <c r="K67" s="19" t="n"/>
      <c r="L67" s="19" t="n"/>
      <c r="M67" s="17" t="inlineStr">
        <is>
          <t>BROUILLON</t>
        </is>
      </c>
      <c r="N67" s="17" t="n"/>
      <c r="O67" s="17" t="n"/>
      <c r="P67" s="17" t="n"/>
      <c r="Q67" s="17" t="n"/>
      <c r="R67" s="17" t="n"/>
      <c r="S67" s="17" t="n"/>
      <c r="T67" s="17" t="n"/>
    </row>
    <row r="68">
      <c r="A68" s="17" t="n"/>
      <c r="B68" s="18">
        <f>IF($D68="","",TEXT(TODAY(),"dd/mm/yyyy"))</f>
        <v/>
      </c>
      <c r="C68" s="18">
        <f>IF($D68="","",TEXT(NOW(),"hh:mm"))</f>
        <v/>
      </c>
      <c r="D68" s="19" t="n"/>
      <c r="E68" s="19" t="n"/>
      <c r="F68" s="18">
        <f>IF($E68="","",IFERROR(VLOOKUP($E68,ARTICLES!$A$5:$S$2243,3,FALSE),"reference inconnue"))</f>
        <v/>
      </c>
      <c r="G68" s="19" t="n"/>
      <c r="H68" s="19" t="n"/>
      <c r="I68" s="19" t="n"/>
      <c r="J68" s="19" t="n"/>
      <c r="K68" s="19" t="n"/>
      <c r="L68" s="19" t="n"/>
      <c r="M68" s="17" t="inlineStr">
        <is>
          <t>BROUILLON</t>
        </is>
      </c>
      <c r="N68" s="17" t="n"/>
      <c r="O68" s="17" t="n"/>
      <c r="P68" s="17" t="n"/>
      <c r="Q68" s="17" t="n"/>
      <c r="R68" s="17" t="n"/>
      <c r="S68" s="17" t="n"/>
      <c r="T68" s="17" t="n"/>
    </row>
    <row r="69">
      <c r="A69" s="17" t="n"/>
      <c r="B69" s="18">
        <f>IF($D69="","",TEXT(TODAY(),"dd/mm/yyyy"))</f>
        <v/>
      </c>
      <c r="C69" s="18">
        <f>IF($D69="","",TEXT(NOW(),"hh:mm"))</f>
        <v/>
      </c>
      <c r="D69" s="19" t="n"/>
      <c r="E69" s="19" t="n"/>
      <c r="F69" s="18">
        <f>IF($E69="","",IFERROR(VLOOKUP($E69,ARTICLES!$A$5:$S$2243,3,FALSE),"reference inconnue"))</f>
        <v/>
      </c>
      <c r="G69" s="19" t="n"/>
      <c r="H69" s="19" t="n"/>
      <c r="I69" s="19" t="n"/>
      <c r="J69" s="19" t="n"/>
      <c r="K69" s="19" t="n"/>
      <c r="L69" s="19" t="n"/>
      <c r="M69" s="17" t="inlineStr">
        <is>
          <t>BROUILLON</t>
        </is>
      </c>
      <c r="N69" s="17" t="n"/>
      <c r="O69" s="17" t="n"/>
      <c r="P69" s="17" t="n"/>
      <c r="Q69" s="17" t="n"/>
      <c r="R69" s="17" t="n"/>
      <c r="S69" s="17" t="n"/>
      <c r="T69" s="17" t="n"/>
    </row>
    <row r="70">
      <c r="A70" s="17" t="n"/>
      <c r="B70" s="18">
        <f>IF($D70="","",TEXT(TODAY(),"dd/mm/yyyy"))</f>
        <v/>
      </c>
      <c r="C70" s="18">
        <f>IF($D70="","",TEXT(NOW(),"hh:mm"))</f>
        <v/>
      </c>
      <c r="D70" s="19" t="n"/>
      <c r="E70" s="19" t="n"/>
      <c r="F70" s="18">
        <f>IF($E70="","",IFERROR(VLOOKUP($E70,ARTICLES!$A$5:$S$2243,3,FALSE),"reference inconnue"))</f>
        <v/>
      </c>
      <c r="G70" s="19" t="n"/>
      <c r="H70" s="19" t="n"/>
      <c r="I70" s="19" t="n"/>
      <c r="J70" s="19" t="n"/>
      <c r="K70" s="19" t="n"/>
      <c r="L70" s="19" t="n"/>
      <c r="M70" s="17" t="inlineStr">
        <is>
          <t>BROUILLON</t>
        </is>
      </c>
      <c r="N70" s="17" t="n"/>
      <c r="O70" s="17" t="n"/>
      <c r="P70" s="17" t="n"/>
      <c r="Q70" s="17" t="n"/>
      <c r="R70" s="17" t="n"/>
      <c r="S70" s="17" t="n"/>
      <c r="T70" s="17" t="n"/>
    </row>
    <row r="71">
      <c r="A71" s="17" t="n"/>
      <c r="B71" s="18">
        <f>IF($D71="","",TEXT(TODAY(),"dd/mm/yyyy"))</f>
        <v/>
      </c>
      <c r="C71" s="18">
        <f>IF($D71="","",TEXT(NOW(),"hh:mm"))</f>
        <v/>
      </c>
      <c r="D71" s="19" t="n"/>
      <c r="E71" s="19" t="n"/>
      <c r="F71" s="18">
        <f>IF($E71="","",IFERROR(VLOOKUP($E71,ARTICLES!$A$5:$S$2243,3,FALSE),"reference inconnue"))</f>
        <v/>
      </c>
      <c r="G71" s="19" t="n"/>
      <c r="H71" s="19" t="n"/>
      <c r="I71" s="19" t="n"/>
      <c r="J71" s="19" t="n"/>
      <c r="K71" s="19" t="n"/>
      <c r="L71" s="19" t="n"/>
      <c r="M71" s="17" t="inlineStr">
        <is>
          <t>BROUILLON</t>
        </is>
      </c>
      <c r="N71" s="17" t="n"/>
      <c r="O71" s="17" t="n"/>
      <c r="P71" s="17" t="n"/>
      <c r="Q71" s="17" t="n"/>
      <c r="R71" s="17" t="n"/>
      <c r="S71" s="17" t="n"/>
      <c r="T71" s="17" t="n"/>
    </row>
    <row r="72">
      <c r="A72" s="17" t="n"/>
      <c r="B72" s="18">
        <f>IF($D72="","",TEXT(TODAY(),"dd/mm/yyyy"))</f>
        <v/>
      </c>
      <c r="C72" s="18">
        <f>IF($D72="","",TEXT(NOW(),"hh:mm"))</f>
        <v/>
      </c>
      <c r="D72" s="19" t="n"/>
      <c r="E72" s="19" t="n"/>
      <c r="F72" s="18">
        <f>IF($E72="","",IFERROR(VLOOKUP($E72,ARTICLES!$A$5:$S$2243,3,FALSE),"reference inconnue"))</f>
        <v/>
      </c>
      <c r="G72" s="19" t="n"/>
      <c r="H72" s="19" t="n"/>
      <c r="I72" s="19" t="n"/>
      <c r="J72" s="19" t="n"/>
      <c r="K72" s="19" t="n"/>
      <c r="L72" s="19" t="n"/>
      <c r="M72" s="17" t="inlineStr">
        <is>
          <t>BROUILLON</t>
        </is>
      </c>
      <c r="N72" s="17" t="n"/>
      <c r="O72" s="17" t="n"/>
      <c r="P72" s="17" t="n"/>
      <c r="Q72" s="17" t="n"/>
      <c r="R72" s="17" t="n"/>
      <c r="S72" s="17" t="n"/>
      <c r="T72" s="17" t="n"/>
    </row>
    <row r="73">
      <c r="A73" s="17" t="n"/>
      <c r="B73" s="18">
        <f>IF($D73="","",TEXT(TODAY(),"dd/mm/yyyy"))</f>
        <v/>
      </c>
      <c r="C73" s="18">
        <f>IF($D73="","",TEXT(NOW(),"hh:mm"))</f>
        <v/>
      </c>
      <c r="D73" s="19" t="n"/>
      <c r="E73" s="19" t="n"/>
      <c r="F73" s="18">
        <f>IF($E73="","",IFERROR(VLOOKUP($E73,ARTICLES!$A$5:$S$2243,3,FALSE),"reference inconnue"))</f>
        <v/>
      </c>
      <c r="G73" s="19" t="n"/>
      <c r="H73" s="19" t="n"/>
      <c r="I73" s="19" t="n"/>
      <c r="J73" s="19" t="n"/>
      <c r="K73" s="19" t="n"/>
      <c r="L73" s="19" t="n"/>
      <c r="M73" s="17" t="inlineStr">
        <is>
          <t>BROUILLON</t>
        </is>
      </c>
      <c r="N73" s="17" t="n"/>
      <c r="O73" s="17" t="n"/>
      <c r="P73" s="17" t="n"/>
      <c r="Q73" s="17" t="n"/>
      <c r="R73" s="17" t="n"/>
      <c r="S73" s="17" t="n"/>
      <c r="T73" s="17" t="n"/>
    </row>
    <row r="74">
      <c r="A74" s="17" t="n"/>
      <c r="B74" s="18">
        <f>IF($D74="","",TEXT(TODAY(),"dd/mm/yyyy"))</f>
        <v/>
      </c>
      <c r="C74" s="18">
        <f>IF($D74="","",TEXT(NOW(),"hh:mm"))</f>
        <v/>
      </c>
      <c r="D74" s="19" t="n"/>
      <c r="E74" s="19" t="n"/>
      <c r="F74" s="18">
        <f>IF($E74="","",IFERROR(VLOOKUP($E74,ARTICLES!$A$5:$S$2243,3,FALSE),"reference inconnue"))</f>
        <v/>
      </c>
      <c r="G74" s="19" t="n"/>
      <c r="H74" s="19" t="n"/>
      <c r="I74" s="19" t="n"/>
      <c r="J74" s="19" t="n"/>
      <c r="K74" s="19" t="n"/>
      <c r="L74" s="19" t="n"/>
      <c r="M74" s="17" t="inlineStr">
        <is>
          <t>BROUILLON</t>
        </is>
      </c>
      <c r="N74" s="17" t="n"/>
      <c r="O74" s="17" t="n"/>
      <c r="P74" s="17" t="n"/>
      <c r="Q74" s="17" t="n"/>
      <c r="R74" s="17" t="n"/>
      <c r="S74" s="17" t="n"/>
      <c r="T74" s="17" t="n"/>
    </row>
    <row r="75">
      <c r="A75" s="17" t="n"/>
      <c r="B75" s="18">
        <f>IF($D75="","",TEXT(TODAY(),"dd/mm/yyyy"))</f>
        <v/>
      </c>
      <c r="C75" s="18">
        <f>IF($D75="","",TEXT(NOW(),"hh:mm"))</f>
        <v/>
      </c>
      <c r="D75" s="19" t="n"/>
      <c r="E75" s="19" t="n"/>
      <c r="F75" s="18">
        <f>IF($E75="","",IFERROR(VLOOKUP($E75,ARTICLES!$A$5:$S$2243,3,FALSE),"reference inconnue"))</f>
        <v/>
      </c>
      <c r="G75" s="19" t="n"/>
      <c r="H75" s="19" t="n"/>
      <c r="I75" s="19" t="n"/>
      <c r="J75" s="19" t="n"/>
      <c r="K75" s="19" t="n"/>
      <c r="L75" s="19" t="n"/>
      <c r="M75" s="17" t="inlineStr">
        <is>
          <t>BROUILLON</t>
        </is>
      </c>
      <c r="N75" s="17" t="n"/>
      <c r="O75" s="17" t="n"/>
      <c r="P75" s="17" t="n"/>
      <c r="Q75" s="17" t="n"/>
      <c r="R75" s="17" t="n"/>
      <c r="S75" s="17" t="n"/>
      <c r="T75" s="17" t="n"/>
    </row>
    <row r="76">
      <c r="A76" s="17" t="n"/>
      <c r="B76" s="18">
        <f>IF($D76="","",TEXT(TODAY(),"dd/mm/yyyy"))</f>
        <v/>
      </c>
      <c r="C76" s="18">
        <f>IF($D76="","",TEXT(NOW(),"hh:mm"))</f>
        <v/>
      </c>
      <c r="D76" s="19" t="n"/>
      <c r="E76" s="19" t="n"/>
      <c r="F76" s="18">
        <f>IF($E76="","",IFERROR(VLOOKUP($E76,ARTICLES!$A$5:$S$2243,3,FALSE),"reference inconnue"))</f>
        <v/>
      </c>
      <c r="G76" s="19" t="n"/>
      <c r="H76" s="19" t="n"/>
      <c r="I76" s="19" t="n"/>
      <c r="J76" s="19" t="n"/>
      <c r="K76" s="19" t="n"/>
      <c r="L76" s="19" t="n"/>
      <c r="M76" s="17" t="inlineStr">
        <is>
          <t>BROUILLON</t>
        </is>
      </c>
      <c r="N76" s="17" t="n"/>
      <c r="O76" s="17" t="n"/>
      <c r="P76" s="17" t="n"/>
      <c r="Q76" s="17" t="n"/>
      <c r="R76" s="17" t="n"/>
      <c r="S76" s="17" t="n"/>
      <c r="T76" s="17" t="n"/>
    </row>
    <row r="77">
      <c r="A77" s="17" t="n"/>
      <c r="B77" s="18">
        <f>IF($D77="","",TEXT(TODAY(),"dd/mm/yyyy"))</f>
        <v/>
      </c>
      <c r="C77" s="18">
        <f>IF($D77="","",TEXT(NOW(),"hh:mm"))</f>
        <v/>
      </c>
      <c r="D77" s="19" t="n"/>
      <c r="E77" s="19" t="n"/>
      <c r="F77" s="18">
        <f>IF($E77="","",IFERROR(VLOOKUP($E77,ARTICLES!$A$5:$S$2243,3,FALSE),"reference inconnue"))</f>
        <v/>
      </c>
      <c r="G77" s="19" t="n"/>
      <c r="H77" s="19" t="n"/>
      <c r="I77" s="19" t="n"/>
      <c r="J77" s="19" t="n"/>
      <c r="K77" s="19" t="n"/>
      <c r="L77" s="19" t="n"/>
      <c r="M77" s="17" t="inlineStr">
        <is>
          <t>BROUILLON</t>
        </is>
      </c>
      <c r="N77" s="17" t="n"/>
      <c r="O77" s="17" t="n"/>
      <c r="P77" s="17" t="n"/>
      <c r="Q77" s="17" t="n"/>
      <c r="R77" s="17" t="n"/>
      <c r="S77" s="17" t="n"/>
      <c r="T77" s="17" t="n"/>
    </row>
    <row r="78">
      <c r="A78" s="17" t="n"/>
      <c r="B78" s="18">
        <f>IF($D78="","",TEXT(TODAY(),"dd/mm/yyyy"))</f>
        <v/>
      </c>
      <c r="C78" s="18">
        <f>IF($D78="","",TEXT(NOW(),"hh:mm"))</f>
        <v/>
      </c>
      <c r="D78" s="19" t="n"/>
      <c r="E78" s="19" t="n"/>
      <c r="F78" s="18">
        <f>IF($E78="","",IFERROR(VLOOKUP($E78,ARTICLES!$A$5:$S$2243,3,FALSE),"reference inconnue"))</f>
        <v/>
      </c>
      <c r="G78" s="19" t="n"/>
      <c r="H78" s="19" t="n"/>
      <c r="I78" s="19" t="n"/>
      <c r="J78" s="19" t="n"/>
      <c r="K78" s="19" t="n"/>
      <c r="L78" s="19" t="n"/>
      <c r="M78" s="17" t="inlineStr">
        <is>
          <t>BROUILLON</t>
        </is>
      </c>
      <c r="N78" s="17" t="n"/>
      <c r="O78" s="17" t="n"/>
      <c r="P78" s="17" t="n"/>
      <c r="Q78" s="17" t="n"/>
      <c r="R78" s="17" t="n"/>
      <c r="S78" s="17" t="n"/>
      <c r="T78" s="17" t="n"/>
    </row>
    <row r="79">
      <c r="A79" s="17" t="n"/>
      <c r="B79" s="18">
        <f>IF($D79="","",TEXT(TODAY(),"dd/mm/yyyy"))</f>
        <v/>
      </c>
      <c r="C79" s="18">
        <f>IF($D79="","",TEXT(NOW(),"hh:mm"))</f>
        <v/>
      </c>
      <c r="D79" s="19" t="n"/>
      <c r="E79" s="19" t="n"/>
      <c r="F79" s="18">
        <f>IF($E79="","",IFERROR(VLOOKUP($E79,ARTICLES!$A$5:$S$2243,3,FALSE),"reference inconnue"))</f>
        <v/>
      </c>
      <c r="G79" s="19" t="n"/>
      <c r="H79" s="19" t="n"/>
      <c r="I79" s="19" t="n"/>
      <c r="J79" s="19" t="n"/>
      <c r="K79" s="19" t="n"/>
      <c r="L79" s="19" t="n"/>
      <c r="M79" s="17" t="inlineStr">
        <is>
          <t>BROUILLON</t>
        </is>
      </c>
      <c r="N79" s="17" t="n"/>
      <c r="O79" s="17" t="n"/>
      <c r="P79" s="17" t="n"/>
      <c r="Q79" s="17" t="n"/>
      <c r="R79" s="17" t="n"/>
      <c r="S79" s="17" t="n"/>
      <c r="T79" s="17" t="n"/>
    </row>
    <row r="80">
      <c r="A80" s="17" t="n"/>
      <c r="B80" s="18">
        <f>IF($D80="","",TEXT(TODAY(),"dd/mm/yyyy"))</f>
        <v/>
      </c>
      <c r="C80" s="18">
        <f>IF($D80="","",TEXT(NOW(),"hh:mm"))</f>
        <v/>
      </c>
      <c r="D80" s="19" t="n"/>
      <c r="E80" s="19" t="n"/>
      <c r="F80" s="18">
        <f>IF($E80="","",IFERROR(VLOOKUP($E80,ARTICLES!$A$5:$S$2243,3,FALSE),"reference inconnue"))</f>
        <v/>
      </c>
      <c r="G80" s="19" t="n"/>
      <c r="H80" s="19" t="n"/>
      <c r="I80" s="19" t="n"/>
      <c r="J80" s="19" t="n"/>
      <c r="K80" s="19" t="n"/>
      <c r="L80" s="19" t="n"/>
      <c r="M80" s="17" t="inlineStr">
        <is>
          <t>BROUILLON</t>
        </is>
      </c>
      <c r="N80" s="17" t="n"/>
      <c r="O80" s="17" t="n"/>
      <c r="P80" s="17" t="n"/>
      <c r="Q80" s="17" t="n"/>
      <c r="R80" s="17" t="n"/>
      <c r="S80" s="17" t="n"/>
      <c r="T80" s="17" t="n"/>
    </row>
    <row r="81">
      <c r="A81" s="17" t="n"/>
      <c r="B81" s="18">
        <f>IF($D81="","",TEXT(TODAY(),"dd/mm/yyyy"))</f>
        <v/>
      </c>
      <c r="C81" s="18">
        <f>IF($D81="","",TEXT(NOW(),"hh:mm"))</f>
        <v/>
      </c>
      <c r="D81" s="19" t="n"/>
      <c r="E81" s="19" t="n"/>
      <c r="F81" s="18">
        <f>IF($E81="","",IFERROR(VLOOKUP($E81,ARTICLES!$A$5:$S$2243,3,FALSE),"reference inconnue"))</f>
        <v/>
      </c>
      <c r="G81" s="19" t="n"/>
      <c r="H81" s="19" t="n"/>
      <c r="I81" s="19" t="n"/>
      <c r="J81" s="19" t="n"/>
      <c r="K81" s="19" t="n"/>
      <c r="L81" s="19" t="n"/>
      <c r="M81" s="17" t="inlineStr">
        <is>
          <t>BROUILLON</t>
        </is>
      </c>
      <c r="N81" s="17" t="n"/>
      <c r="O81" s="17" t="n"/>
      <c r="P81" s="17" t="n"/>
      <c r="Q81" s="17" t="n"/>
      <c r="R81" s="17" t="n"/>
      <c r="S81" s="17" t="n"/>
      <c r="T81" s="17" t="n"/>
    </row>
    <row r="82">
      <c r="A82" s="17" t="n"/>
      <c r="B82" s="18">
        <f>IF($D82="","",TEXT(TODAY(),"dd/mm/yyyy"))</f>
        <v/>
      </c>
      <c r="C82" s="18">
        <f>IF($D82="","",TEXT(NOW(),"hh:mm"))</f>
        <v/>
      </c>
      <c r="D82" s="19" t="n"/>
      <c r="E82" s="19" t="n"/>
      <c r="F82" s="18">
        <f>IF($E82="","",IFERROR(VLOOKUP($E82,ARTICLES!$A$5:$S$2243,3,FALSE),"reference inconnue"))</f>
        <v/>
      </c>
      <c r="G82" s="19" t="n"/>
      <c r="H82" s="19" t="n"/>
      <c r="I82" s="19" t="n"/>
      <c r="J82" s="19" t="n"/>
      <c r="K82" s="19" t="n"/>
      <c r="L82" s="19" t="n"/>
      <c r="M82" s="17" t="inlineStr">
        <is>
          <t>BROUILLON</t>
        </is>
      </c>
      <c r="N82" s="17" t="n"/>
      <c r="O82" s="17" t="n"/>
      <c r="P82" s="17" t="n"/>
      <c r="Q82" s="17" t="n"/>
      <c r="R82" s="17" t="n"/>
      <c r="S82" s="17" t="n"/>
      <c r="T82" s="17" t="n"/>
    </row>
    <row r="83">
      <c r="A83" s="17" t="n"/>
      <c r="B83" s="18">
        <f>IF($D83="","",TEXT(TODAY(),"dd/mm/yyyy"))</f>
        <v/>
      </c>
      <c r="C83" s="18">
        <f>IF($D83="","",TEXT(NOW(),"hh:mm"))</f>
        <v/>
      </c>
      <c r="D83" s="19" t="n"/>
      <c r="E83" s="19" t="n"/>
      <c r="F83" s="18">
        <f>IF($E83="","",IFERROR(VLOOKUP($E83,ARTICLES!$A$5:$S$2243,3,FALSE),"reference inconnue"))</f>
        <v/>
      </c>
      <c r="G83" s="19" t="n"/>
      <c r="H83" s="19" t="n"/>
      <c r="I83" s="19" t="n"/>
      <c r="J83" s="19" t="n"/>
      <c r="K83" s="19" t="n"/>
      <c r="L83" s="19" t="n"/>
      <c r="M83" s="17" t="inlineStr">
        <is>
          <t>BROUILLON</t>
        </is>
      </c>
      <c r="N83" s="17" t="n"/>
      <c r="O83" s="17" t="n"/>
      <c r="P83" s="17" t="n"/>
      <c r="Q83" s="17" t="n"/>
      <c r="R83" s="17" t="n"/>
      <c r="S83" s="17" t="n"/>
      <c r="T83" s="17" t="n"/>
    </row>
    <row r="84">
      <c r="A84" s="17" t="n"/>
      <c r="B84" s="18">
        <f>IF($D84="","",TEXT(TODAY(),"dd/mm/yyyy"))</f>
        <v/>
      </c>
      <c r="C84" s="18">
        <f>IF($D84="","",TEXT(NOW(),"hh:mm"))</f>
        <v/>
      </c>
      <c r="D84" s="19" t="n"/>
      <c r="E84" s="19" t="n"/>
      <c r="F84" s="18">
        <f>IF($E84="","",IFERROR(VLOOKUP($E84,ARTICLES!$A$5:$S$2243,3,FALSE),"reference inconnue"))</f>
        <v/>
      </c>
      <c r="G84" s="19" t="n"/>
      <c r="H84" s="19" t="n"/>
      <c r="I84" s="19" t="n"/>
      <c r="J84" s="19" t="n"/>
      <c r="K84" s="19" t="n"/>
      <c r="L84" s="19" t="n"/>
      <c r="M84" s="17" t="inlineStr">
        <is>
          <t>BROUILLON</t>
        </is>
      </c>
      <c r="N84" s="17" t="n"/>
      <c r="O84" s="17" t="n"/>
      <c r="P84" s="17" t="n"/>
      <c r="Q84" s="17" t="n"/>
      <c r="R84" s="17" t="n"/>
      <c r="S84" s="17" t="n"/>
      <c r="T84" s="17" t="n"/>
    </row>
    <row r="85">
      <c r="A85" s="17" t="n"/>
      <c r="B85" s="18">
        <f>IF($D85="","",TEXT(TODAY(),"dd/mm/yyyy"))</f>
        <v/>
      </c>
      <c r="C85" s="18">
        <f>IF($D85="","",TEXT(NOW(),"hh:mm"))</f>
        <v/>
      </c>
      <c r="D85" s="19" t="n"/>
      <c r="E85" s="19" t="n"/>
      <c r="F85" s="18">
        <f>IF($E85="","",IFERROR(VLOOKUP($E85,ARTICLES!$A$5:$S$2243,3,FALSE),"reference inconnue"))</f>
        <v/>
      </c>
      <c r="G85" s="19" t="n"/>
      <c r="H85" s="19" t="n"/>
      <c r="I85" s="19" t="n"/>
      <c r="J85" s="19" t="n"/>
      <c r="K85" s="19" t="n"/>
      <c r="L85" s="19" t="n"/>
      <c r="M85" s="17" t="inlineStr">
        <is>
          <t>BROUILLON</t>
        </is>
      </c>
      <c r="N85" s="17" t="n"/>
      <c r="O85" s="17" t="n"/>
      <c r="P85" s="17" t="n"/>
      <c r="Q85" s="17" t="n"/>
      <c r="R85" s="17" t="n"/>
      <c r="S85" s="17" t="n"/>
      <c r="T85" s="17" t="n"/>
    </row>
    <row r="86">
      <c r="A86" s="17" t="n"/>
      <c r="B86" s="18">
        <f>IF($D86="","",TEXT(TODAY(),"dd/mm/yyyy"))</f>
        <v/>
      </c>
      <c r="C86" s="18">
        <f>IF($D86="","",TEXT(NOW(),"hh:mm"))</f>
        <v/>
      </c>
      <c r="D86" s="19" t="n"/>
      <c r="E86" s="19" t="n"/>
      <c r="F86" s="18">
        <f>IF($E86="","",IFERROR(VLOOKUP($E86,ARTICLES!$A$5:$S$2243,3,FALSE),"reference inconnue"))</f>
        <v/>
      </c>
      <c r="G86" s="19" t="n"/>
      <c r="H86" s="19" t="n"/>
      <c r="I86" s="19" t="n"/>
      <c r="J86" s="19" t="n"/>
      <c r="K86" s="19" t="n"/>
      <c r="L86" s="19" t="n"/>
      <c r="M86" s="17" t="inlineStr">
        <is>
          <t>BROUILLON</t>
        </is>
      </c>
      <c r="N86" s="17" t="n"/>
      <c r="O86" s="17" t="n"/>
      <c r="P86" s="17" t="n"/>
      <c r="Q86" s="17" t="n"/>
      <c r="R86" s="17" t="n"/>
      <c r="S86" s="17" t="n"/>
      <c r="T86" s="17" t="n"/>
    </row>
    <row r="87">
      <c r="A87" s="17" t="n"/>
      <c r="B87" s="18">
        <f>IF($D87="","",TEXT(TODAY(),"dd/mm/yyyy"))</f>
        <v/>
      </c>
      <c r="C87" s="18">
        <f>IF($D87="","",TEXT(NOW(),"hh:mm"))</f>
        <v/>
      </c>
      <c r="D87" s="19" t="n"/>
      <c r="E87" s="19" t="n"/>
      <c r="F87" s="18">
        <f>IF($E87="","",IFERROR(VLOOKUP($E87,ARTICLES!$A$5:$S$2243,3,FALSE),"reference inconnue"))</f>
        <v/>
      </c>
      <c r="G87" s="19" t="n"/>
      <c r="H87" s="19" t="n"/>
      <c r="I87" s="19" t="n"/>
      <c r="J87" s="19" t="n"/>
      <c r="K87" s="19" t="n"/>
      <c r="L87" s="19" t="n"/>
      <c r="M87" s="17" t="inlineStr">
        <is>
          <t>BROUILLON</t>
        </is>
      </c>
      <c r="N87" s="17" t="n"/>
      <c r="O87" s="17" t="n"/>
      <c r="P87" s="17" t="n"/>
      <c r="Q87" s="17" t="n"/>
      <c r="R87" s="17" t="n"/>
      <c r="S87" s="17" t="n"/>
      <c r="T87" s="17" t="n"/>
    </row>
    <row r="88">
      <c r="A88" s="17" t="n"/>
      <c r="B88" s="18">
        <f>IF($D88="","",TEXT(TODAY(),"dd/mm/yyyy"))</f>
        <v/>
      </c>
      <c r="C88" s="18">
        <f>IF($D88="","",TEXT(NOW(),"hh:mm"))</f>
        <v/>
      </c>
      <c r="D88" s="19" t="n"/>
      <c r="E88" s="19" t="n"/>
      <c r="F88" s="18">
        <f>IF($E88="","",IFERROR(VLOOKUP($E88,ARTICLES!$A$5:$S$2243,3,FALSE),"reference inconnue"))</f>
        <v/>
      </c>
      <c r="G88" s="19" t="n"/>
      <c r="H88" s="19" t="n"/>
      <c r="I88" s="19" t="n"/>
      <c r="J88" s="19" t="n"/>
      <c r="K88" s="19" t="n"/>
      <c r="L88" s="19" t="n"/>
      <c r="M88" s="17" t="inlineStr">
        <is>
          <t>BROUILLON</t>
        </is>
      </c>
      <c r="N88" s="17" t="n"/>
      <c r="O88" s="17" t="n"/>
      <c r="P88" s="17" t="n"/>
      <c r="Q88" s="17" t="n"/>
      <c r="R88" s="17" t="n"/>
      <c r="S88" s="17" t="n"/>
      <c r="T88" s="17" t="n"/>
    </row>
    <row r="89">
      <c r="A89" s="17" t="n"/>
      <c r="B89" s="18">
        <f>IF($D89="","",TEXT(TODAY(),"dd/mm/yyyy"))</f>
        <v/>
      </c>
      <c r="C89" s="18">
        <f>IF($D89="","",TEXT(NOW(),"hh:mm"))</f>
        <v/>
      </c>
      <c r="D89" s="19" t="n"/>
      <c r="E89" s="19" t="n"/>
      <c r="F89" s="18">
        <f>IF($E89="","",IFERROR(VLOOKUP($E89,ARTICLES!$A$5:$S$2243,3,FALSE),"reference inconnue"))</f>
        <v/>
      </c>
      <c r="G89" s="19" t="n"/>
      <c r="H89" s="19" t="n"/>
      <c r="I89" s="19" t="n"/>
      <c r="J89" s="19" t="n"/>
      <c r="K89" s="19" t="n"/>
      <c r="L89" s="19" t="n"/>
      <c r="M89" s="17" t="inlineStr">
        <is>
          <t>BROUILLON</t>
        </is>
      </c>
      <c r="N89" s="17" t="n"/>
      <c r="O89" s="17" t="n"/>
      <c r="P89" s="17" t="n"/>
      <c r="Q89" s="17" t="n"/>
      <c r="R89" s="17" t="n"/>
      <c r="S89" s="17" t="n"/>
      <c r="T89" s="17" t="n"/>
    </row>
    <row r="90">
      <c r="A90" s="17" t="n"/>
      <c r="B90" s="18">
        <f>IF($D90="","",TEXT(TODAY(),"dd/mm/yyyy"))</f>
        <v/>
      </c>
      <c r="C90" s="18">
        <f>IF($D90="","",TEXT(NOW(),"hh:mm"))</f>
        <v/>
      </c>
      <c r="D90" s="19" t="n"/>
      <c r="E90" s="19" t="n"/>
      <c r="F90" s="18">
        <f>IF($E90="","",IFERROR(VLOOKUP($E90,ARTICLES!$A$5:$S$2243,3,FALSE),"reference inconnue"))</f>
        <v/>
      </c>
      <c r="G90" s="19" t="n"/>
      <c r="H90" s="19" t="n"/>
      <c r="I90" s="19" t="n"/>
      <c r="J90" s="19" t="n"/>
      <c r="K90" s="19" t="n"/>
      <c r="L90" s="19" t="n"/>
      <c r="M90" s="17" t="inlineStr">
        <is>
          <t>BROUILLON</t>
        </is>
      </c>
      <c r="N90" s="17" t="n"/>
      <c r="O90" s="17" t="n"/>
      <c r="P90" s="17" t="n"/>
      <c r="Q90" s="17" t="n"/>
      <c r="R90" s="17" t="n"/>
      <c r="S90" s="17" t="n"/>
      <c r="T90" s="17" t="n"/>
    </row>
    <row r="91">
      <c r="A91" s="17" t="n"/>
      <c r="B91" s="18">
        <f>IF($D91="","",TEXT(TODAY(),"dd/mm/yyyy"))</f>
        <v/>
      </c>
      <c r="C91" s="18">
        <f>IF($D91="","",TEXT(NOW(),"hh:mm"))</f>
        <v/>
      </c>
      <c r="D91" s="19" t="n"/>
      <c r="E91" s="19" t="n"/>
      <c r="F91" s="18">
        <f>IF($E91="","",IFERROR(VLOOKUP($E91,ARTICLES!$A$5:$S$2243,3,FALSE),"reference inconnue"))</f>
        <v/>
      </c>
      <c r="G91" s="19" t="n"/>
      <c r="H91" s="19" t="n"/>
      <c r="I91" s="19" t="n"/>
      <c r="J91" s="19" t="n"/>
      <c r="K91" s="19" t="n"/>
      <c r="L91" s="19" t="n"/>
      <c r="M91" s="17" t="inlineStr">
        <is>
          <t>BROUILLON</t>
        </is>
      </c>
      <c r="N91" s="17" t="n"/>
      <c r="O91" s="17" t="n"/>
      <c r="P91" s="17" t="n"/>
      <c r="Q91" s="17" t="n"/>
      <c r="R91" s="17" t="n"/>
      <c r="S91" s="17" t="n"/>
      <c r="T91" s="17" t="n"/>
    </row>
    <row r="92">
      <c r="A92" s="17" t="n"/>
      <c r="B92" s="18">
        <f>IF($D92="","",TEXT(TODAY(),"dd/mm/yyyy"))</f>
        <v/>
      </c>
      <c r="C92" s="18">
        <f>IF($D92="","",TEXT(NOW(),"hh:mm"))</f>
        <v/>
      </c>
      <c r="D92" s="19" t="n"/>
      <c r="E92" s="19" t="n"/>
      <c r="F92" s="18">
        <f>IF($E92="","",IFERROR(VLOOKUP($E92,ARTICLES!$A$5:$S$2243,3,FALSE),"reference inconnue"))</f>
        <v/>
      </c>
      <c r="G92" s="19" t="n"/>
      <c r="H92" s="19" t="n"/>
      <c r="I92" s="19" t="n"/>
      <c r="J92" s="19" t="n"/>
      <c r="K92" s="19" t="n"/>
      <c r="L92" s="19" t="n"/>
      <c r="M92" s="17" t="inlineStr">
        <is>
          <t>BROUILLON</t>
        </is>
      </c>
      <c r="N92" s="17" t="n"/>
      <c r="O92" s="17" t="n"/>
      <c r="P92" s="17" t="n"/>
      <c r="Q92" s="17" t="n"/>
      <c r="R92" s="17" t="n"/>
      <c r="S92" s="17" t="n"/>
      <c r="T92" s="17" t="n"/>
    </row>
    <row r="93">
      <c r="A93" s="17" t="n"/>
      <c r="B93" s="18">
        <f>IF($D93="","",TEXT(TODAY(),"dd/mm/yyyy"))</f>
        <v/>
      </c>
      <c r="C93" s="18">
        <f>IF($D93="","",TEXT(NOW(),"hh:mm"))</f>
        <v/>
      </c>
      <c r="D93" s="19" t="n"/>
      <c r="E93" s="19" t="n"/>
      <c r="F93" s="18">
        <f>IF($E93="","",IFERROR(VLOOKUP($E93,ARTICLES!$A$5:$S$2243,3,FALSE),"reference inconnue"))</f>
        <v/>
      </c>
      <c r="G93" s="19" t="n"/>
      <c r="H93" s="19" t="n"/>
      <c r="I93" s="19" t="n"/>
      <c r="J93" s="19" t="n"/>
      <c r="K93" s="19" t="n"/>
      <c r="L93" s="19" t="n"/>
      <c r="M93" s="17" t="inlineStr">
        <is>
          <t>BROUILLON</t>
        </is>
      </c>
      <c r="N93" s="17" t="n"/>
      <c r="O93" s="17" t="n"/>
      <c r="P93" s="17" t="n"/>
      <c r="Q93" s="17" t="n"/>
      <c r="R93" s="17" t="n"/>
      <c r="S93" s="17" t="n"/>
      <c r="T93" s="17" t="n"/>
    </row>
    <row r="94">
      <c r="A94" s="17" t="n"/>
      <c r="B94" s="18">
        <f>IF($D94="","",TEXT(TODAY(),"dd/mm/yyyy"))</f>
        <v/>
      </c>
      <c r="C94" s="18">
        <f>IF($D94="","",TEXT(NOW(),"hh:mm"))</f>
        <v/>
      </c>
      <c r="D94" s="19" t="n"/>
      <c r="E94" s="19" t="n"/>
      <c r="F94" s="18">
        <f>IF($E94="","",IFERROR(VLOOKUP($E94,ARTICLES!$A$5:$S$2243,3,FALSE),"reference inconnue"))</f>
        <v/>
      </c>
      <c r="G94" s="19" t="n"/>
      <c r="H94" s="19" t="n"/>
      <c r="I94" s="19" t="n"/>
      <c r="J94" s="19" t="n"/>
      <c r="K94" s="19" t="n"/>
      <c r="L94" s="19" t="n"/>
      <c r="M94" s="17" t="inlineStr">
        <is>
          <t>BROUILLON</t>
        </is>
      </c>
      <c r="N94" s="17" t="n"/>
      <c r="O94" s="17" t="n"/>
      <c r="P94" s="17" t="n"/>
      <c r="Q94" s="17" t="n"/>
      <c r="R94" s="17" t="n"/>
      <c r="S94" s="17" t="n"/>
      <c r="T94" s="17" t="n"/>
    </row>
    <row r="95">
      <c r="A95" s="17" t="n"/>
      <c r="B95" s="18">
        <f>IF($D95="","",TEXT(TODAY(),"dd/mm/yyyy"))</f>
        <v/>
      </c>
      <c r="C95" s="18">
        <f>IF($D95="","",TEXT(NOW(),"hh:mm"))</f>
        <v/>
      </c>
      <c r="D95" s="19" t="n"/>
      <c r="E95" s="19" t="n"/>
      <c r="F95" s="18">
        <f>IF($E95="","",IFERROR(VLOOKUP($E95,ARTICLES!$A$5:$S$2243,3,FALSE),"reference inconnue"))</f>
        <v/>
      </c>
      <c r="G95" s="19" t="n"/>
      <c r="H95" s="19" t="n"/>
      <c r="I95" s="19" t="n"/>
      <c r="J95" s="19" t="n"/>
      <c r="K95" s="19" t="n"/>
      <c r="L95" s="19" t="n"/>
      <c r="M95" s="17" t="inlineStr">
        <is>
          <t>BROUILLON</t>
        </is>
      </c>
      <c r="N95" s="17" t="n"/>
      <c r="O95" s="17" t="n"/>
      <c r="P95" s="17" t="n"/>
      <c r="Q95" s="17" t="n"/>
      <c r="R95" s="17" t="n"/>
      <c r="S95" s="17" t="n"/>
      <c r="T95" s="17" t="n"/>
    </row>
    <row r="96">
      <c r="A96" s="17" t="n"/>
      <c r="B96" s="18">
        <f>IF($D96="","",TEXT(TODAY(),"dd/mm/yyyy"))</f>
        <v/>
      </c>
      <c r="C96" s="18">
        <f>IF($D96="","",TEXT(NOW(),"hh:mm"))</f>
        <v/>
      </c>
      <c r="D96" s="19" t="n"/>
      <c r="E96" s="19" t="n"/>
      <c r="F96" s="18">
        <f>IF($E96="","",IFERROR(VLOOKUP($E96,ARTICLES!$A$5:$S$2243,3,FALSE),"reference inconnue"))</f>
        <v/>
      </c>
      <c r="G96" s="19" t="n"/>
      <c r="H96" s="19" t="n"/>
      <c r="I96" s="19" t="n"/>
      <c r="J96" s="19" t="n"/>
      <c r="K96" s="19" t="n"/>
      <c r="L96" s="19" t="n"/>
      <c r="M96" s="17" t="inlineStr">
        <is>
          <t>BROUILLON</t>
        </is>
      </c>
      <c r="N96" s="17" t="n"/>
      <c r="O96" s="17" t="n"/>
      <c r="P96" s="17" t="n"/>
      <c r="Q96" s="17" t="n"/>
      <c r="R96" s="17" t="n"/>
      <c r="S96" s="17" t="n"/>
      <c r="T96" s="17" t="n"/>
    </row>
    <row r="97">
      <c r="A97" s="17" t="n"/>
      <c r="B97" s="18">
        <f>IF($D97="","",TEXT(TODAY(),"dd/mm/yyyy"))</f>
        <v/>
      </c>
      <c r="C97" s="18">
        <f>IF($D97="","",TEXT(NOW(),"hh:mm"))</f>
        <v/>
      </c>
      <c r="D97" s="19" t="n"/>
      <c r="E97" s="19" t="n"/>
      <c r="F97" s="18">
        <f>IF($E97="","",IFERROR(VLOOKUP($E97,ARTICLES!$A$5:$S$2243,3,FALSE),"reference inconnue"))</f>
        <v/>
      </c>
      <c r="G97" s="19" t="n"/>
      <c r="H97" s="19" t="n"/>
      <c r="I97" s="19" t="n"/>
      <c r="J97" s="19" t="n"/>
      <c r="K97" s="19" t="n"/>
      <c r="L97" s="19" t="n"/>
      <c r="M97" s="17" t="inlineStr">
        <is>
          <t>BROUILLON</t>
        </is>
      </c>
      <c r="N97" s="17" t="n"/>
      <c r="O97" s="17" t="n"/>
      <c r="P97" s="17" t="n"/>
      <c r="Q97" s="17" t="n"/>
      <c r="R97" s="17" t="n"/>
      <c r="S97" s="17" t="n"/>
      <c r="T97" s="17" t="n"/>
    </row>
    <row r="98">
      <c r="A98" s="17" t="n"/>
      <c r="B98" s="18">
        <f>IF($D98="","",TEXT(TODAY(),"dd/mm/yyyy"))</f>
        <v/>
      </c>
      <c r="C98" s="18">
        <f>IF($D98="","",TEXT(NOW(),"hh:mm"))</f>
        <v/>
      </c>
      <c r="D98" s="19" t="n"/>
      <c r="E98" s="19" t="n"/>
      <c r="F98" s="18">
        <f>IF($E98="","",IFERROR(VLOOKUP($E98,ARTICLES!$A$5:$S$2243,3,FALSE),"reference inconnue"))</f>
        <v/>
      </c>
      <c r="G98" s="19" t="n"/>
      <c r="H98" s="19" t="n"/>
      <c r="I98" s="19" t="n"/>
      <c r="J98" s="19" t="n"/>
      <c r="K98" s="19" t="n"/>
      <c r="L98" s="19" t="n"/>
      <c r="M98" s="17" t="inlineStr">
        <is>
          <t>BROUILLON</t>
        </is>
      </c>
      <c r="N98" s="17" t="n"/>
      <c r="O98" s="17" t="n"/>
      <c r="P98" s="17" t="n"/>
      <c r="Q98" s="17" t="n"/>
      <c r="R98" s="17" t="n"/>
      <c r="S98" s="17" t="n"/>
      <c r="T98" s="17" t="n"/>
    </row>
    <row r="99">
      <c r="A99" s="17" t="n"/>
      <c r="B99" s="18">
        <f>IF($D99="","",TEXT(TODAY(),"dd/mm/yyyy"))</f>
        <v/>
      </c>
      <c r="C99" s="18">
        <f>IF($D99="","",TEXT(NOW(),"hh:mm"))</f>
        <v/>
      </c>
      <c r="D99" s="19" t="n"/>
      <c r="E99" s="19" t="n"/>
      <c r="F99" s="18">
        <f>IF($E99="","",IFERROR(VLOOKUP($E99,ARTICLES!$A$5:$S$2243,3,FALSE),"reference inconnue"))</f>
        <v/>
      </c>
      <c r="G99" s="19" t="n"/>
      <c r="H99" s="19" t="n"/>
      <c r="I99" s="19" t="n"/>
      <c r="J99" s="19" t="n"/>
      <c r="K99" s="19" t="n"/>
      <c r="L99" s="19" t="n"/>
      <c r="M99" s="17" t="inlineStr">
        <is>
          <t>BROUILLON</t>
        </is>
      </c>
      <c r="N99" s="17" t="n"/>
      <c r="O99" s="17" t="n"/>
      <c r="P99" s="17" t="n"/>
      <c r="Q99" s="17" t="n"/>
      <c r="R99" s="17" t="n"/>
      <c r="S99" s="17" t="n"/>
      <c r="T99" s="17" t="n"/>
    </row>
    <row r="100">
      <c r="A100" s="17" t="n"/>
      <c r="B100" s="18">
        <f>IF($D100="","",TEXT(TODAY(),"dd/mm/yyyy"))</f>
        <v/>
      </c>
      <c r="C100" s="18">
        <f>IF($D100="","",TEXT(NOW(),"hh:mm"))</f>
        <v/>
      </c>
      <c r="D100" s="19" t="n"/>
      <c r="E100" s="19" t="n"/>
      <c r="F100" s="18">
        <f>IF($E100="","",IFERROR(VLOOKUP($E100,ARTICLES!$A$5:$S$2243,3,FALSE),"reference inconnue"))</f>
        <v/>
      </c>
      <c r="G100" s="19" t="n"/>
      <c r="H100" s="19" t="n"/>
      <c r="I100" s="19" t="n"/>
      <c r="J100" s="19" t="n"/>
      <c r="K100" s="19" t="n"/>
      <c r="L100" s="19" t="n"/>
      <c r="M100" s="17" t="inlineStr">
        <is>
          <t>BROUILLON</t>
        </is>
      </c>
      <c r="N100" s="17" t="n"/>
      <c r="O100" s="17" t="n"/>
      <c r="P100" s="17" t="n"/>
      <c r="Q100" s="17" t="n"/>
      <c r="R100" s="17" t="n"/>
      <c r="S100" s="17" t="n"/>
      <c r="T100" s="17" t="n"/>
    </row>
    <row r="101">
      <c r="A101" s="17" t="n"/>
      <c r="B101" s="18">
        <f>IF($D101="","",TEXT(TODAY(),"dd/mm/yyyy"))</f>
        <v/>
      </c>
      <c r="C101" s="18">
        <f>IF($D101="","",TEXT(NOW(),"hh:mm"))</f>
        <v/>
      </c>
      <c r="D101" s="19" t="n"/>
      <c r="E101" s="19" t="n"/>
      <c r="F101" s="18">
        <f>IF($E101="","",IFERROR(VLOOKUP($E101,ARTICLES!$A$5:$S$2243,3,FALSE),"reference inconnue"))</f>
        <v/>
      </c>
      <c r="G101" s="19" t="n"/>
      <c r="H101" s="19" t="n"/>
      <c r="I101" s="19" t="n"/>
      <c r="J101" s="19" t="n"/>
      <c r="K101" s="19" t="n"/>
      <c r="L101" s="19" t="n"/>
      <c r="M101" s="17" t="inlineStr">
        <is>
          <t>BROUILLON</t>
        </is>
      </c>
      <c r="N101" s="17" t="n"/>
      <c r="O101" s="17" t="n"/>
      <c r="P101" s="17" t="n"/>
      <c r="Q101" s="17" t="n"/>
      <c r="R101" s="17" t="n"/>
      <c r="S101" s="17" t="n"/>
      <c r="T101" s="17" t="n"/>
    </row>
    <row r="102">
      <c r="A102" s="17" t="n"/>
      <c r="B102" s="18">
        <f>IF($D102="","",TEXT(TODAY(),"dd/mm/yyyy"))</f>
        <v/>
      </c>
      <c r="C102" s="18">
        <f>IF($D102="","",TEXT(NOW(),"hh:mm"))</f>
        <v/>
      </c>
      <c r="D102" s="19" t="n"/>
      <c r="E102" s="19" t="n"/>
      <c r="F102" s="18">
        <f>IF($E102="","",IFERROR(VLOOKUP($E102,ARTICLES!$A$5:$S$2243,3,FALSE),"reference inconnue"))</f>
        <v/>
      </c>
      <c r="G102" s="19" t="n"/>
      <c r="H102" s="19" t="n"/>
      <c r="I102" s="19" t="n"/>
      <c r="J102" s="19" t="n"/>
      <c r="K102" s="19" t="n"/>
      <c r="L102" s="19" t="n"/>
      <c r="M102" s="17" t="inlineStr">
        <is>
          <t>BROUILLON</t>
        </is>
      </c>
      <c r="N102" s="17" t="n"/>
      <c r="O102" s="17" t="n"/>
      <c r="P102" s="17" t="n"/>
      <c r="Q102" s="17" t="n"/>
      <c r="R102" s="17" t="n"/>
      <c r="S102" s="17" t="n"/>
      <c r="T102" s="17" t="n"/>
    </row>
    <row r="103">
      <c r="A103" s="17" t="n"/>
      <c r="B103" s="18">
        <f>IF($D103="","",TEXT(TODAY(),"dd/mm/yyyy"))</f>
        <v/>
      </c>
      <c r="C103" s="18">
        <f>IF($D103="","",TEXT(NOW(),"hh:mm"))</f>
        <v/>
      </c>
      <c r="D103" s="19" t="n"/>
      <c r="E103" s="19" t="n"/>
      <c r="F103" s="18">
        <f>IF($E103="","",IFERROR(VLOOKUP($E103,ARTICLES!$A$5:$S$2243,3,FALSE),"reference inconnue"))</f>
        <v/>
      </c>
      <c r="G103" s="19" t="n"/>
      <c r="H103" s="19" t="n"/>
      <c r="I103" s="19" t="n"/>
      <c r="J103" s="19" t="n"/>
      <c r="K103" s="19" t="n"/>
      <c r="L103" s="19" t="n"/>
      <c r="M103" s="17" t="inlineStr">
        <is>
          <t>BROUILLON</t>
        </is>
      </c>
      <c r="N103" s="17" t="n"/>
      <c r="O103" s="17" t="n"/>
      <c r="P103" s="17" t="n"/>
      <c r="Q103" s="17" t="n"/>
      <c r="R103" s="17" t="n"/>
      <c r="S103" s="17" t="n"/>
      <c r="T103" s="17" t="n"/>
    </row>
    <row r="104">
      <c r="A104" s="17" t="n"/>
      <c r="B104" s="18">
        <f>IF($D104="","",TEXT(TODAY(),"dd/mm/yyyy"))</f>
        <v/>
      </c>
      <c r="C104" s="18">
        <f>IF($D104="","",TEXT(NOW(),"hh:mm"))</f>
        <v/>
      </c>
      <c r="D104" s="19" t="n"/>
      <c r="E104" s="19" t="n"/>
      <c r="F104" s="18">
        <f>IF($E104="","",IFERROR(VLOOKUP($E104,ARTICLES!$A$5:$S$2243,3,FALSE),"reference inconnue"))</f>
        <v/>
      </c>
      <c r="G104" s="19" t="n"/>
      <c r="H104" s="19" t="n"/>
      <c r="I104" s="19" t="n"/>
      <c r="J104" s="19" t="n"/>
      <c r="K104" s="19" t="n"/>
      <c r="L104" s="19" t="n"/>
      <c r="M104" s="17" t="inlineStr">
        <is>
          <t>BROUILLON</t>
        </is>
      </c>
      <c r="N104" s="17" t="n"/>
      <c r="O104" s="17" t="n"/>
      <c r="P104" s="17" t="n"/>
      <c r="Q104" s="17" t="n"/>
      <c r="R104" s="17" t="n"/>
      <c r="S104" s="17" t="n"/>
      <c r="T104" s="17" t="n"/>
    </row>
    <row r="105">
      <c r="A105" s="17" t="n"/>
      <c r="B105" s="18">
        <f>IF($D105="","",TEXT(TODAY(),"dd/mm/yyyy"))</f>
        <v/>
      </c>
      <c r="C105" s="18">
        <f>IF($D105="","",TEXT(NOW(),"hh:mm"))</f>
        <v/>
      </c>
      <c r="D105" s="19" t="n"/>
      <c r="E105" s="19" t="n"/>
      <c r="F105" s="18">
        <f>IF($E105="","",IFERROR(VLOOKUP($E105,ARTICLES!$A$5:$S$2243,3,FALSE),"reference inconnue"))</f>
        <v/>
      </c>
      <c r="G105" s="19" t="n"/>
      <c r="H105" s="19" t="n"/>
      <c r="I105" s="19" t="n"/>
      <c r="J105" s="19" t="n"/>
      <c r="K105" s="19" t="n"/>
      <c r="L105" s="19" t="n"/>
      <c r="M105" s="17" t="inlineStr">
        <is>
          <t>BROUILLON</t>
        </is>
      </c>
      <c r="N105" s="17" t="n"/>
      <c r="O105" s="17" t="n"/>
      <c r="P105" s="17" t="n"/>
      <c r="Q105" s="17" t="n"/>
      <c r="R105" s="17" t="n"/>
      <c r="S105" s="17" t="n"/>
      <c r="T105" s="17" t="n"/>
    </row>
    <row r="106">
      <c r="A106" s="17" t="n"/>
      <c r="B106" s="18">
        <f>IF($D106="","",TEXT(TODAY(),"dd/mm/yyyy"))</f>
        <v/>
      </c>
      <c r="C106" s="18">
        <f>IF($D106="","",TEXT(NOW(),"hh:mm"))</f>
        <v/>
      </c>
      <c r="D106" s="19" t="n"/>
      <c r="E106" s="19" t="n"/>
      <c r="F106" s="18">
        <f>IF($E106="","",IFERROR(VLOOKUP($E106,ARTICLES!$A$5:$S$2243,3,FALSE),"reference inconnue"))</f>
        <v/>
      </c>
      <c r="G106" s="19" t="n"/>
      <c r="H106" s="19" t="n"/>
      <c r="I106" s="19" t="n"/>
      <c r="J106" s="19" t="n"/>
      <c r="K106" s="19" t="n"/>
      <c r="L106" s="19" t="n"/>
      <c r="M106" s="17" t="inlineStr">
        <is>
          <t>BROUILLON</t>
        </is>
      </c>
      <c r="N106" s="17" t="n"/>
      <c r="O106" s="17" t="n"/>
      <c r="P106" s="17" t="n"/>
      <c r="Q106" s="17" t="n"/>
      <c r="R106" s="17" t="n"/>
      <c r="S106" s="17" t="n"/>
      <c r="T106" s="17" t="n"/>
    </row>
    <row r="107">
      <c r="A107" s="17" t="n"/>
      <c r="B107" s="18">
        <f>IF($D107="","",TEXT(TODAY(),"dd/mm/yyyy"))</f>
        <v/>
      </c>
      <c r="C107" s="18">
        <f>IF($D107="","",TEXT(NOW(),"hh:mm"))</f>
        <v/>
      </c>
      <c r="D107" s="19" t="n"/>
      <c r="E107" s="19" t="n"/>
      <c r="F107" s="18">
        <f>IF($E107="","",IFERROR(VLOOKUP($E107,ARTICLES!$A$5:$S$2243,3,FALSE),"reference inconnue"))</f>
        <v/>
      </c>
      <c r="G107" s="19" t="n"/>
      <c r="H107" s="19" t="n"/>
      <c r="I107" s="19" t="n"/>
      <c r="J107" s="19" t="n"/>
      <c r="K107" s="19" t="n"/>
      <c r="L107" s="19" t="n"/>
      <c r="M107" s="17" t="inlineStr">
        <is>
          <t>BROUILLON</t>
        </is>
      </c>
      <c r="N107" s="17" t="n"/>
      <c r="O107" s="17" t="n"/>
      <c r="P107" s="17" t="n"/>
      <c r="Q107" s="17" t="n"/>
      <c r="R107" s="17" t="n"/>
      <c r="S107" s="17" t="n"/>
      <c r="T107" s="17" t="n"/>
    </row>
    <row r="108">
      <c r="A108" s="17" t="n"/>
      <c r="B108" s="18">
        <f>IF($D108="","",TEXT(TODAY(),"dd/mm/yyyy"))</f>
        <v/>
      </c>
      <c r="C108" s="18">
        <f>IF($D108="","",TEXT(NOW(),"hh:mm"))</f>
        <v/>
      </c>
      <c r="D108" s="19" t="n"/>
      <c r="E108" s="19" t="n"/>
      <c r="F108" s="18">
        <f>IF($E108="","",IFERROR(VLOOKUP($E108,ARTICLES!$A$5:$S$2243,3,FALSE),"reference inconnue"))</f>
        <v/>
      </c>
      <c r="G108" s="19" t="n"/>
      <c r="H108" s="19" t="n"/>
      <c r="I108" s="19" t="n"/>
      <c r="J108" s="19" t="n"/>
      <c r="K108" s="19" t="n"/>
      <c r="L108" s="19" t="n"/>
      <c r="M108" s="17" t="inlineStr">
        <is>
          <t>BROUILLON</t>
        </is>
      </c>
      <c r="N108" s="17" t="n"/>
      <c r="O108" s="17" t="n"/>
      <c r="P108" s="17" t="n"/>
      <c r="Q108" s="17" t="n"/>
      <c r="R108" s="17" t="n"/>
      <c r="S108" s="17" t="n"/>
      <c r="T108" s="17" t="n"/>
    </row>
    <row r="109">
      <c r="A109" s="17" t="n"/>
      <c r="B109" s="18">
        <f>IF($D109="","",TEXT(TODAY(),"dd/mm/yyyy"))</f>
        <v/>
      </c>
      <c r="C109" s="18">
        <f>IF($D109="","",TEXT(NOW(),"hh:mm"))</f>
        <v/>
      </c>
      <c r="D109" s="19" t="n"/>
      <c r="E109" s="19" t="n"/>
      <c r="F109" s="18">
        <f>IF($E109="","",IFERROR(VLOOKUP($E109,ARTICLES!$A$5:$S$2243,3,FALSE),"reference inconnue"))</f>
        <v/>
      </c>
      <c r="G109" s="19" t="n"/>
      <c r="H109" s="19" t="n"/>
      <c r="I109" s="19" t="n"/>
      <c r="J109" s="19" t="n"/>
      <c r="K109" s="19" t="n"/>
      <c r="L109" s="19" t="n"/>
      <c r="M109" s="17" t="inlineStr">
        <is>
          <t>BROUILLON</t>
        </is>
      </c>
      <c r="N109" s="17" t="n"/>
      <c r="O109" s="17" t="n"/>
      <c r="P109" s="17" t="n"/>
      <c r="Q109" s="17" t="n"/>
      <c r="R109" s="17" t="n"/>
      <c r="S109" s="17" t="n"/>
      <c r="T109" s="17" t="n"/>
    </row>
    <row r="110">
      <c r="A110" s="17" t="n"/>
      <c r="B110" s="18">
        <f>IF($D110="","",TEXT(TODAY(),"dd/mm/yyyy"))</f>
        <v/>
      </c>
      <c r="C110" s="18">
        <f>IF($D110="","",TEXT(NOW(),"hh:mm"))</f>
        <v/>
      </c>
      <c r="D110" s="19" t="n"/>
      <c r="E110" s="19" t="n"/>
      <c r="F110" s="18">
        <f>IF($E110="","",IFERROR(VLOOKUP($E110,ARTICLES!$A$5:$S$2243,3,FALSE),"reference inconnue"))</f>
        <v/>
      </c>
      <c r="G110" s="19" t="n"/>
      <c r="H110" s="19" t="n"/>
      <c r="I110" s="19" t="n"/>
      <c r="J110" s="19" t="n"/>
      <c r="K110" s="19" t="n"/>
      <c r="L110" s="19" t="n"/>
      <c r="M110" s="17" t="inlineStr">
        <is>
          <t>BROUILLON</t>
        </is>
      </c>
      <c r="N110" s="17" t="n"/>
      <c r="O110" s="17" t="n"/>
      <c r="P110" s="17" t="n"/>
      <c r="Q110" s="17" t="n"/>
      <c r="R110" s="17" t="n"/>
      <c r="S110" s="17" t="n"/>
      <c r="T110" s="17" t="n"/>
    </row>
    <row r="111">
      <c r="A111" s="17" t="n"/>
      <c r="B111" s="18">
        <f>IF($D111="","",TEXT(TODAY(),"dd/mm/yyyy"))</f>
        <v/>
      </c>
      <c r="C111" s="18">
        <f>IF($D111="","",TEXT(NOW(),"hh:mm"))</f>
        <v/>
      </c>
      <c r="D111" s="19" t="n"/>
      <c r="E111" s="19" t="n"/>
      <c r="F111" s="18">
        <f>IF($E111="","",IFERROR(VLOOKUP($E111,ARTICLES!$A$5:$S$2243,3,FALSE),"reference inconnue"))</f>
        <v/>
      </c>
      <c r="G111" s="19" t="n"/>
      <c r="H111" s="19" t="n"/>
      <c r="I111" s="19" t="n"/>
      <c r="J111" s="19" t="n"/>
      <c r="K111" s="19" t="n"/>
      <c r="L111" s="19" t="n"/>
      <c r="M111" s="17" t="inlineStr">
        <is>
          <t>BROUILLON</t>
        </is>
      </c>
      <c r="N111" s="17" t="n"/>
      <c r="O111" s="17" t="n"/>
      <c r="P111" s="17" t="n"/>
      <c r="Q111" s="17" t="n"/>
      <c r="R111" s="17" t="n"/>
      <c r="S111" s="17" t="n"/>
      <c r="T111" s="17" t="n"/>
    </row>
    <row r="112">
      <c r="A112" s="17" t="n"/>
      <c r="B112" s="18">
        <f>IF($D112="","",TEXT(TODAY(),"dd/mm/yyyy"))</f>
        <v/>
      </c>
      <c r="C112" s="18">
        <f>IF($D112="","",TEXT(NOW(),"hh:mm"))</f>
        <v/>
      </c>
      <c r="D112" s="19" t="n"/>
      <c r="E112" s="19" t="n"/>
      <c r="F112" s="18">
        <f>IF($E112="","",IFERROR(VLOOKUP($E112,ARTICLES!$A$5:$S$2243,3,FALSE),"reference inconnue"))</f>
        <v/>
      </c>
      <c r="G112" s="19" t="n"/>
      <c r="H112" s="19" t="n"/>
      <c r="I112" s="19" t="n"/>
      <c r="J112" s="19" t="n"/>
      <c r="K112" s="19" t="n"/>
      <c r="L112" s="19" t="n"/>
      <c r="M112" s="17" t="inlineStr">
        <is>
          <t>BROUILLON</t>
        </is>
      </c>
      <c r="N112" s="17" t="n"/>
      <c r="O112" s="17" t="n"/>
      <c r="P112" s="17" t="n"/>
      <c r="Q112" s="17" t="n"/>
      <c r="R112" s="17" t="n"/>
      <c r="S112" s="17" t="n"/>
      <c r="T112" s="17" t="n"/>
    </row>
    <row r="113">
      <c r="A113" s="17" t="n"/>
      <c r="B113" s="18">
        <f>IF($D113="","",TEXT(TODAY(),"dd/mm/yyyy"))</f>
        <v/>
      </c>
      <c r="C113" s="18">
        <f>IF($D113="","",TEXT(NOW(),"hh:mm"))</f>
        <v/>
      </c>
      <c r="D113" s="19" t="n"/>
      <c r="E113" s="19" t="n"/>
      <c r="F113" s="18">
        <f>IF($E113="","",IFERROR(VLOOKUP($E113,ARTICLES!$A$5:$S$2243,3,FALSE),"reference inconnue"))</f>
        <v/>
      </c>
      <c r="G113" s="19" t="n"/>
      <c r="H113" s="19" t="n"/>
      <c r="I113" s="19" t="n"/>
      <c r="J113" s="19" t="n"/>
      <c r="K113" s="19" t="n"/>
      <c r="L113" s="19" t="n"/>
      <c r="M113" s="17" t="inlineStr">
        <is>
          <t>BROUILLON</t>
        </is>
      </c>
      <c r="N113" s="17" t="n"/>
      <c r="O113" s="17" t="n"/>
      <c r="P113" s="17" t="n"/>
      <c r="Q113" s="17" t="n"/>
      <c r="R113" s="17" t="n"/>
      <c r="S113" s="17" t="n"/>
      <c r="T113" s="17" t="n"/>
    </row>
    <row r="114">
      <c r="A114" s="17" t="n"/>
      <c r="B114" s="18">
        <f>IF($D114="","",TEXT(TODAY(),"dd/mm/yyyy"))</f>
        <v/>
      </c>
      <c r="C114" s="18">
        <f>IF($D114="","",TEXT(NOW(),"hh:mm"))</f>
        <v/>
      </c>
      <c r="D114" s="19" t="n"/>
      <c r="E114" s="19" t="n"/>
      <c r="F114" s="18">
        <f>IF($E114="","",IFERROR(VLOOKUP($E114,ARTICLES!$A$5:$S$2243,3,FALSE),"reference inconnue"))</f>
        <v/>
      </c>
      <c r="G114" s="19" t="n"/>
      <c r="H114" s="19" t="n"/>
      <c r="I114" s="19" t="n"/>
      <c r="J114" s="19" t="n"/>
      <c r="K114" s="19" t="n"/>
      <c r="L114" s="19" t="n"/>
      <c r="M114" s="17" t="inlineStr">
        <is>
          <t>BROUILLON</t>
        </is>
      </c>
      <c r="N114" s="17" t="n"/>
      <c r="O114" s="17" t="n"/>
      <c r="P114" s="17" t="n"/>
      <c r="Q114" s="17" t="n"/>
      <c r="R114" s="17" t="n"/>
      <c r="S114" s="17" t="n"/>
      <c r="T114" s="17" t="n"/>
    </row>
    <row r="115">
      <c r="A115" s="17" t="n"/>
      <c r="B115" s="18">
        <f>IF($D115="","",TEXT(TODAY(),"dd/mm/yyyy"))</f>
        <v/>
      </c>
      <c r="C115" s="18">
        <f>IF($D115="","",TEXT(NOW(),"hh:mm"))</f>
        <v/>
      </c>
      <c r="D115" s="19" t="n"/>
      <c r="E115" s="19" t="n"/>
      <c r="F115" s="18">
        <f>IF($E115="","",IFERROR(VLOOKUP($E115,ARTICLES!$A$5:$S$2243,3,FALSE),"reference inconnue"))</f>
        <v/>
      </c>
      <c r="G115" s="19" t="n"/>
      <c r="H115" s="19" t="n"/>
      <c r="I115" s="19" t="n"/>
      <c r="J115" s="19" t="n"/>
      <c r="K115" s="19" t="n"/>
      <c r="L115" s="19" t="n"/>
      <c r="M115" s="17" t="inlineStr">
        <is>
          <t>BROUILLON</t>
        </is>
      </c>
      <c r="N115" s="17" t="n"/>
      <c r="O115" s="17" t="n"/>
      <c r="P115" s="17" t="n"/>
      <c r="Q115" s="17" t="n"/>
      <c r="R115" s="17" t="n"/>
      <c r="S115" s="17" t="n"/>
      <c r="T115" s="17" t="n"/>
    </row>
    <row r="116">
      <c r="A116" s="17" t="n"/>
      <c r="B116" s="18">
        <f>IF($D116="","",TEXT(TODAY(),"dd/mm/yyyy"))</f>
        <v/>
      </c>
      <c r="C116" s="18">
        <f>IF($D116="","",TEXT(NOW(),"hh:mm"))</f>
        <v/>
      </c>
      <c r="D116" s="19" t="n"/>
      <c r="E116" s="19" t="n"/>
      <c r="F116" s="18">
        <f>IF($E116="","",IFERROR(VLOOKUP($E116,ARTICLES!$A$5:$S$2243,3,FALSE),"reference inconnue"))</f>
        <v/>
      </c>
      <c r="G116" s="19" t="n"/>
      <c r="H116" s="19" t="n"/>
      <c r="I116" s="19" t="n"/>
      <c r="J116" s="19" t="n"/>
      <c r="K116" s="19" t="n"/>
      <c r="L116" s="19" t="n"/>
      <c r="M116" s="17" t="inlineStr">
        <is>
          <t>BROUILLON</t>
        </is>
      </c>
      <c r="N116" s="17" t="n"/>
      <c r="O116" s="17" t="n"/>
      <c r="P116" s="17" t="n"/>
      <c r="Q116" s="17" t="n"/>
      <c r="R116" s="17" t="n"/>
      <c r="S116" s="17" t="n"/>
      <c r="T116" s="17" t="n"/>
    </row>
    <row r="117">
      <c r="A117" s="17" t="n"/>
      <c r="B117" s="18">
        <f>IF($D117="","",TEXT(TODAY(),"dd/mm/yyyy"))</f>
        <v/>
      </c>
      <c r="C117" s="18">
        <f>IF($D117="","",TEXT(NOW(),"hh:mm"))</f>
        <v/>
      </c>
      <c r="D117" s="19" t="n"/>
      <c r="E117" s="19" t="n"/>
      <c r="F117" s="18">
        <f>IF($E117="","",IFERROR(VLOOKUP($E117,ARTICLES!$A$5:$S$2243,3,FALSE),"reference inconnue"))</f>
        <v/>
      </c>
      <c r="G117" s="19" t="n"/>
      <c r="H117" s="19" t="n"/>
      <c r="I117" s="19" t="n"/>
      <c r="J117" s="19" t="n"/>
      <c r="K117" s="19" t="n"/>
      <c r="L117" s="19" t="n"/>
      <c r="M117" s="17" t="inlineStr">
        <is>
          <t>BROUILLON</t>
        </is>
      </c>
      <c r="N117" s="17" t="n"/>
      <c r="O117" s="17" t="n"/>
      <c r="P117" s="17" t="n"/>
      <c r="Q117" s="17" t="n"/>
      <c r="R117" s="17" t="n"/>
      <c r="S117" s="17" t="n"/>
      <c r="T117" s="17" t="n"/>
    </row>
    <row r="118">
      <c r="A118" s="17" t="n"/>
      <c r="B118" s="18">
        <f>IF($D118="","",TEXT(TODAY(),"dd/mm/yyyy"))</f>
        <v/>
      </c>
      <c r="C118" s="18">
        <f>IF($D118="","",TEXT(NOW(),"hh:mm"))</f>
        <v/>
      </c>
      <c r="D118" s="19" t="n"/>
      <c r="E118" s="19" t="n"/>
      <c r="F118" s="18">
        <f>IF($E118="","",IFERROR(VLOOKUP($E118,ARTICLES!$A$5:$S$2243,3,FALSE),"reference inconnue"))</f>
        <v/>
      </c>
      <c r="G118" s="19" t="n"/>
      <c r="H118" s="19" t="n"/>
      <c r="I118" s="19" t="n"/>
      <c r="J118" s="19" t="n"/>
      <c r="K118" s="19" t="n"/>
      <c r="L118" s="19" t="n"/>
      <c r="M118" s="17" t="inlineStr">
        <is>
          <t>BROUILLON</t>
        </is>
      </c>
      <c r="N118" s="17" t="n"/>
      <c r="O118" s="17" t="n"/>
      <c r="P118" s="17" t="n"/>
      <c r="Q118" s="17" t="n"/>
      <c r="R118" s="17" t="n"/>
      <c r="S118" s="17" t="n"/>
      <c r="T118" s="17" t="n"/>
    </row>
    <row r="119">
      <c r="A119" s="17" t="n"/>
      <c r="B119" s="18">
        <f>IF($D119="","",TEXT(TODAY(),"dd/mm/yyyy"))</f>
        <v/>
      </c>
      <c r="C119" s="18">
        <f>IF($D119="","",TEXT(NOW(),"hh:mm"))</f>
        <v/>
      </c>
      <c r="D119" s="19" t="n"/>
      <c r="E119" s="19" t="n"/>
      <c r="F119" s="18">
        <f>IF($E119="","",IFERROR(VLOOKUP($E119,ARTICLES!$A$5:$S$2243,3,FALSE),"reference inconnue"))</f>
        <v/>
      </c>
      <c r="G119" s="19" t="n"/>
      <c r="H119" s="19" t="n"/>
      <c r="I119" s="19" t="n"/>
      <c r="J119" s="19" t="n"/>
      <c r="K119" s="19" t="n"/>
      <c r="L119" s="19" t="n"/>
      <c r="M119" s="17" t="inlineStr">
        <is>
          <t>BROUILLON</t>
        </is>
      </c>
      <c r="N119" s="17" t="n"/>
      <c r="O119" s="17" t="n"/>
      <c r="P119" s="17" t="n"/>
      <c r="Q119" s="17" t="n"/>
      <c r="R119" s="17" t="n"/>
      <c r="S119" s="17" t="n"/>
      <c r="T119" s="17" t="n"/>
    </row>
    <row r="120">
      <c r="A120" s="17" t="n"/>
      <c r="B120" s="18">
        <f>IF($D120="","",TEXT(TODAY(),"dd/mm/yyyy"))</f>
        <v/>
      </c>
      <c r="C120" s="18">
        <f>IF($D120="","",TEXT(NOW(),"hh:mm"))</f>
        <v/>
      </c>
      <c r="D120" s="19" t="n"/>
      <c r="E120" s="19" t="n"/>
      <c r="F120" s="18">
        <f>IF($E120="","",IFERROR(VLOOKUP($E120,ARTICLES!$A$5:$S$2243,3,FALSE),"reference inconnue"))</f>
        <v/>
      </c>
      <c r="G120" s="19" t="n"/>
      <c r="H120" s="19" t="n"/>
      <c r="I120" s="19" t="n"/>
      <c r="J120" s="19" t="n"/>
      <c r="K120" s="19" t="n"/>
      <c r="L120" s="19" t="n"/>
      <c r="M120" s="17" t="inlineStr">
        <is>
          <t>BROUILLON</t>
        </is>
      </c>
      <c r="N120" s="17" t="n"/>
      <c r="O120" s="17" t="n"/>
      <c r="P120" s="17" t="n"/>
      <c r="Q120" s="17" t="n"/>
      <c r="R120" s="17" t="n"/>
      <c r="S120" s="17" t="n"/>
      <c r="T120" s="17" t="n"/>
    </row>
    <row r="121">
      <c r="A121" s="17" t="n"/>
      <c r="B121" s="18">
        <f>IF($D121="","",TEXT(TODAY(),"dd/mm/yyyy"))</f>
        <v/>
      </c>
      <c r="C121" s="18">
        <f>IF($D121="","",TEXT(NOW(),"hh:mm"))</f>
        <v/>
      </c>
      <c r="D121" s="19" t="n"/>
      <c r="E121" s="19" t="n"/>
      <c r="F121" s="18">
        <f>IF($E121="","",IFERROR(VLOOKUP($E121,ARTICLES!$A$5:$S$2243,3,FALSE),"reference inconnue"))</f>
        <v/>
      </c>
      <c r="G121" s="19" t="n"/>
      <c r="H121" s="19" t="n"/>
      <c r="I121" s="19" t="n"/>
      <c r="J121" s="19" t="n"/>
      <c r="K121" s="19" t="n"/>
      <c r="L121" s="19" t="n"/>
      <c r="M121" s="17" t="inlineStr">
        <is>
          <t>BROUILLON</t>
        </is>
      </c>
      <c r="N121" s="17" t="n"/>
      <c r="O121" s="17" t="n"/>
      <c r="P121" s="17" t="n"/>
      <c r="Q121" s="17" t="n"/>
      <c r="R121" s="17" t="n"/>
      <c r="S121" s="17" t="n"/>
      <c r="T121" s="17" t="n"/>
    </row>
    <row r="122">
      <c r="A122" s="17" t="n"/>
      <c r="B122" s="18">
        <f>IF($D122="","",TEXT(TODAY(),"dd/mm/yyyy"))</f>
        <v/>
      </c>
      <c r="C122" s="18">
        <f>IF($D122="","",TEXT(NOW(),"hh:mm"))</f>
        <v/>
      </c>
      <c r="D122" s="19" t="n"/>
      <c r="E122" s="19" t="n"/>
      <c r="F122" s="18">
        <f>IF($E122="","",IFERROR(VLOOKUP($E122,ARTICLES!$A$5:$S$2243,3,FALSE),"reference inconnue"))</f>
        <v/>
      </c>
      <c r="G122" s="19" t="n"/>
      <c r="H122" s="19" t="n"/>
      <c r="I122" s="19" t="n"/>
      <c r="J122" s="19" t="n"/>
      <c r="K122" s="19" t="n"/>
      <c r="L122" s="19" t="n"/>
      <c r="M122" s="17" t="inlineStr">
        <is>
          <t>BROUILLON</t>
        </is>
      </c>
      <c r="N122" s="17" t="n"/>
      <c r="O122" s="17" t="n"/>
      <c r="P122" s="17" t="n"/>
      <c r="Q122" s="17" t="n"/>
      <c r="R122" s="17" t="n"/>
      <c r="S122" s="17" t="n"/>
      <c r="T122" s="17" t="n"/>
    </row>
    <row r="123">
      <c r="A123" s="17" t="n"/>
      <c r="B123" s="18">
        <f>IF($D123="","",TEXT(TODAY(),"dd/mm/yyyy"))</f>
        <v/>
      </c>
      <c r="C123" s="18">
        <f>IF($D123="","",TEXT(NOW(),"hh:mm"))</f>
        <v/>
      </c>
      <c r="D123" s="19" t="n"/>
      <c r="E123" s="19" t="n"/>
      <c r="F123" s="18">
        <f>IF($E123="","",IFERROR(VLOOKUP($E123,ARTICLES!$A$5:$S$2243,3,FALSE),"reference inconnue"))</f>
        <v/>
      </c>
      <c r="G123" s="19" t="n"/>
      <c r="H123" s="19" t="n"/>
      <c r="I123" s="19" t="n"/>
      <c r="J123" s="19" t="n"/>
      <c r="K123" s="19" t="n"/>
      <c r="L123" s="19" t="n"/>
      <c r="M123" s="17" t="inlineStr">
        <is>
          <t>BROUILLON</t>
        </is>
      </c>
      <c r="N123" s="17" t="n"/>
      <c r="O123" s="17" t="n"/>
      <c r="P123" s="17" t="n"/>
      <c r="Q123" s="17" t="n"/>
      <c r="R123" s="17" t="n"/>
      <c r="S123" s="17" t="n"/>
      <c r="T123" s="17" t="n"/>
    </row>
    <row r="124">
      <c r="A124" s="17" t="n"/>
      <c r="B124" s="18">
        <f>IF($D124="","",TEXT(TODAY(),"dd/mm/yyyy"))</f>
        <v/>
      </c>
      <c r="C124" s="18">
        <f>IF($D124="","",TEXT(NOW(),"hh:mm"))</f>
        <v/>
      </c>
      <c r="D124" s="19" t="n"/>
      <c r="E124" s="19" t="n"/>
      <c r="F124" s="18">
        <f>IF($E124="","",IFERROR(VLOOKUP($E124,ARTICLES!$A$5:$S$2243,3,FALSE),"reference inconnue"))</f>
        <v/>
      </c>
      <c r="G124" s="19" t="n"/>
      <c r="H124" s="19" t="n"/>
      <c r="I124" s="19" t="n"/>
      <c r="J124" s="19" t="n"/>
      <c r="K124" s="19" t="n"/>
      <c r="L124" s="19" t="n"/>
      <c r="M124" s="17" t="inlineStr">
        <is>
          <t>BROUILLON</t>
        </is>
      </c>
      <c r="N124" s="17" t="n"/>
      <c r="O124" s="17" t="n"/>
      <c r="P124" s="17" t="n"/>
      <c r="Q124" s="17" t="n"/>
      <c r="R124" s="17" t="n"/>
      <c r="S124" s="17" t="n"/>
      <c r="T124" s="17" t="n"/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3">
    <mergeCell ref="A1:T1"/>
    <mergeCell ref="A3:T3"/>
    <mergeCell ref="A2:T2"/>
  </mergeCells>
  <conditionalFormatting sqref="M5:M124">
    <cfRule type="cellIs" priority="1" operator="equal" dxfId="3">
      <formula>"BROUILLON"</formula>
    </cfRule>
    <cfRule type="cellIs" priority="2" operator="equal" dxfId="1">
      <formula>"EN ATTENTE DE VALIDATION"</formula>
    </cfRule>
    <cfRule type="cellIs" priority="3" operator="equal" dxfId="0">
      <formula>"VALIDE"</formula>
    </cfRule>
    <cfRule type="cellIs" priority="4" operator="equal" dxfId="2">
      <formula>"REJETE"</formula>
    </cfRule>
  </conditionalFormatting>
  <dataValidations count="8">
    <dataValidation sqref="M5:M124" showDropDown="0" showInputMessage="0" showErrorMessage="0" allowBlank="1" type="list">
      <formula1>"BROUILLON,EN ATTENTE DE VALIDATION,VALIDE,REJETE"</formula1>
    </dataValidation>
    <dataValidation sqref="E5:E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e code de la piece (WHAP-...). La designation s'affiche toute seule a cote." type="list">
      <formula1>ARTICLES!$A$5:$A$2243</formula1>
    </dataValidation>
    <dataValidation sqref="L5:L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votre matricule." type="list">
      <formula1>LISTES!$G$2:$G$25</formula1>
    </dataValidation>
    <dataValidation sqref="D5:D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e lot. Seuls les lots concernant cette zone sont proposes." type="list">
      <formula1>LISTES!$D$2:$D$22</formula1>
    </dataValidation>
    <dataValidation sqref="I5:I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a decision. Elle sera rejouee par SLCC a la synchronisation." type="list">
      <formula1>"APPROUVE,REJETE,RED_CAGE"</formula1>
    </dataValidation>
    <dataValidation sqref="G5:G124" showDropDown="0" showInputMessage="1" showErrorMessage="0" allowBlank="1" promptTitle="A saisir" prompt="Quantite concernee par cette ligne."/>
    <dataValidation sqref="J5:J124" showDropDown="0" showInputMessage="1" showErrorMessage="0" allowBlank="1" promptTitle="A saisir" prompt="Laissez vide pour approuver la totalite."/>
    <dataValidation sqref="K5:K124" showDropDown="0" showInputMessage="1" showErrorMessage="0" allowBlank="1" promptTitle="A saisir" prompt="Facultatif."/>
  </dataValidations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U124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4" customWidth="1" min="1" max="1"/>
    <col width="12" customWidth="1" min="2" max="2"/>
    <col width="16" customWidth="1" min="3" max="3"/>
    <col width="16" customWidth="1" min="4" max="4"/>
    <col width="30" customWidth="1" min="5" max="5"/>
    <col width="12" customWidth="1" min="6" max="6"/>
    <col width="30" customWidth="1" min="7" max="7"/>
    <col width="16" customWidth="1" min="8" max="8"/>
    <col width="16" customWidth="1" min="9" max="9"/>
    <col width="32" customWidth="1" min="10" max="10"/>
    <col width="20" customWidth="1" min="11" max="11"/>
    <col width="16" customWidth="1" min="12" max="12"/>
    <col width="20" customWidth="1" min="13" max="13"/>
    <col width="24" customWidth="1" min="14" max="14"/>
    <col width="20" customWidth="1" min="15" max="15"/>
    <col width="18" customWidth="1" min="16" max="16"/>
    <col width="30" customWidth="1" min="17" max="17"/>
    <col width="14" customWidth="1" min="18" max="18"/>
    <col hidden="1" outlineLevel="1" width="18" customWidth="1" min="19" max="21"/>
  </cols>
  <sheetData>
    <row r="1" ht="22" customHeight="1">
      <c r="A1" s="1" t="inlineStr">
        <is>
          <t>RED_CAGE</t>
        </is>
      </c>
    </row>
    <row r="2">
      <c r="A2" s="2" t="inlineStr">
        <is>
          <t>Lots en quarantaine. Aucune sortie du Red Cage sans decision ni justification, et une decision non validee ne libere rien dans SLCC.</t>
        </is>
      </c>
    </row>
    <row r="3" ht="15" customHeight="1">
      <c r="A3" s="13" t="inlineStr">
        <is>
          <t>SLCC - aucune synchronisation depuis l'ouverture du fichier</t>
        </is>
      </c>
    </row>
    <row r="4" ht="30" customHeight="1">
      <c r="A4" s="14" t="inlineStr">
        <is>
          <t>ID_RED_CAGE</t>
        </is>
      </c>
      <c r="B4" s="15" t="inlineStr">
        <is>
          <t>DATE</t>
        </is>
      </c>
      <c r="C4" s="6" t="inlineStr">
        <is>
          <t>ID_LOT</t>
        </is>
      </c>
      <c r="D4" s="6" t="inlineStr">
        <is>
          <t>REFERENCE_PIECE</t>
        </is>
      </c>
      <c r="E4" s="14" t="inlineStr">
        <is>
          <t>DESIGNATION</t>
        </is>
      </c>
      <c r="F4" s="6" t="inlineStr">
        <is>
          <t>QUANTITE</t>
        </is>
      </c>
      <c r="G4" s="6" t="inlineStr">
        <is>
          <t>MOTIF</t>
        </is>
      </c>
      <c r="H4" s="6" t="inlineStr">
        <is>
          <t>ORIGINE</t>
        </is>
      </c>
      <c r="I4" s="16" t="inlineStr">
        <is>
          <t>DECISION</t>
        </is>
      </c>
      <c r="J4" s="16" t="inlineStr">
        <is>
          <t>JUSTIFICATION</t>
        </is>
      </c>
      <c r="K4" s="16" t="inlineStr">
        <is>
          <t>MATRICULE_RESPONSABLE</t>
        </is>
      </c>
      <c r="L4" s="16" t="inlineStr">
        <is>
          <t>DATE_DECISION</t>
        </is>
      </c>
      <c r="M4" s="6" t="inlineStr">
        <is>
          <t>MATRICULE_OPERATEUR</t>
        </is>
      </c>
      <c r="N4" s="14" t="inlineStr">
        <is>
          <t>STATUT</t>
        </is>
      </c>
      <c r="O4" s="14" t="inlineStr">
        <is>
          <t>MATRICULE_CHECKER</t>
        </is>
      </c>
      <c r="P4" s="14" t="inlineStr">
        <is>
          <t>DATE_VALIDATION</t>
        </is>
      </c>
      <c r="Q4" s="14" t="inlineStr">
        <is>
          <t>MOTIF_REJET</t>
        </is>
      </c>
      <c r="R4" s="14" t="inlineStr">
        <is>
          <t>ETAT_SYNC</t>
        </is>
      </c>
      <c r="S4" s="14" t="inlineStr">
        <is>
          <t>DATE_SOUMISSION</t>
        </is>
      </c>
      <c r="T4" s="14" t="inlineStr">
        <is>
          <t>ID_SYNC</t>
        </is>
      </c>
      <c r="U4" s="14" t="inlineStr">
        <is>
          <t>JETON_VALIDATION</t>
        </is>
      </c>
    </row>
    <row r="5">
      <c r="A5" s="17" t="inlineStr">
        <is>
          <t>RC-00234</t>
        </is>
      </c>
      <c r="B5" s="18" t="inlineStr">
        <is>
          <t>27/08/2026</t>
        </is>
      </c>
      <c r="C5" s="17" t="inlineStr">
        <is>
          <t>LOT-2026-234</t>
        </is>
      </c>
      <c r="D5" s="17" t="inlineStr">
        <is>
          <t>WHAP-0418</t>
        </is>
      </c>
      <c r="E5" s="18">
        <f>IF($D5="","",IFERROR(VLOOKUP($D5,ARTICLES!$A$5:$S$2243,3,FALSE),"reference inconnue"))</f>
        <v/>
      </c>
      <c r="F5" s="17" t="n">
        <v>50</v>
      </c>
      <c r="G5" s="17" t="inlineStr">
        <is>
          <t>Non conform on inspection INS-2026-198: 2/5 defects = 40.00% (threshold 2%)</t>
        </is>
      </c>
      <c r="H5" s="17" t="inlineStr">
        <is>
          <t>INSPECTION</t>
        </is>
      </c>
      <c r="I5" s="17" t="inlineStr"/>
      <c r="J5" s="17" t="inlineStr"/>
      <c r="K5" s="17" t="inlineStr"/>
      <c r="L5" s="17" t="inlineStr"/>
      <c r="M5" s="17" t="inlineStr"/>
      <c r="N5" s="17" t="inlineStr">
        <is>
          <t>VALIDE</t>
        </is>
      </c>
      <c r="O5" s="17" t="inlineStr"/>
      <c r="P5" s="17" t="inlineStr"/>
      <c r="Q5" s="17" t="inlineStr"/>
      <c r="R5" s="17" t="inlineStr">
        <is>
          <t>SYNCHRONISE</t>
        </is>
      </c>
      <c r="S5" s="17" t="inlineStr"/>
      <c r="T5" s="17" t="inlineStr">
        <is>
          <t>RED_CAGE-HISTORIQUE-001</t>
        </is>
      </c>
      <c r="U5" s="17" t="inlineStr"/>
    </row>
    <row r="6">
      <c r="A6" s="17" t="inlineStr">
        <is>
          <t>RC-00224</t>
        </is>
      </c>
      <c r="B6" s="18" t="inlineStr">
        <is>
          <t>26/08/2026</t>
        </is>
      </c>
      <c r="C6" s="17" t="inlineStr">
        <is>
          <t>LOT-2026-224</t>
        </is>
      </c>
      <c r="D6" s="17" t="inlineStr">
        <is>
          <t>WHAP-0447</t>
        </is>
      </c>
      <c r="E6" s="18">
        <f>IF($D6="","",IFERROR(VLOOKUP($D6,ARTICLES!$A$5:$S$2243,3,FALSE),"reference inconnue"))</f>
        <v/>
      </c>
      <c r="F6" s="17" t="n">
        <v>15</v>
      </c>
      <c r="G6" s="17" t="inlineStr">
        <is>
          <t>Reception gap of -3 units on WHAP-0447 (expected 18, received 15); exact quantity required (large part) exceeded.</t>
        </is>
      </c>
      <c r="H6" s="17" t="inlineStr">
        <is>
          <t>INSPECTION</t>
        </is>
      </c>
      <c r="I6" s="17" t="inlineStr"/>
      <c r="J6" s="17" t="inlineStr"/>
      <c r="K6" s="17" t="inlineStr"/>
      <c r="L6" s="17" t="inlineStr"/>
      <c r="M6" s="17" t="inlineStr"/>
      <c r="N6" s="17" t="inlineStr">
        <is>
          <t>VALIDE</t>
        </is>
      </c>
      <c r="O6" s="17" t="inlineStr"/>
      <c r="P6" s="17" t="inlineStr"/>
      <c r="Q6" s="17" t="inlineStr"/>
      <c r="R6" s="17" t="inlineStr">
        <is>
          <t>SYNCHRONISE</t>
        </is>
      </c>
      <c r="S6" s="17" t="inlineStr"/>
      <c r="T6" s="17" t="inlineStr">
        <is>
          <t>RED_CAGE-HISTORIQUE-002</t>
        </is>
      </c>
      <c r="U6" s="17" t="inlineStr"/>
    </row>
    <row r="7">
      <c r="A7" s="17" t="inlineStr">
        <is>
          <t>RC-00214</t>
        </is>
      </c>
      <c r="B7" s="18" t="inlineStr">
        <is>
          <t>24/08/2026</t>
        </is>
      </c>
      <c r="C7" s="17" t="inlineStr">
        <is>
          <t>LOT-2026-214</t>
        </is>
      </c>
      <c r="D7" s="17" t="inlineStr">
        <is>
          <t>WHAP-0592</t>
        </is>
      </c>
      <c r="E7" s="18">
        <f>IF($D7="","",IFERROR(VLOOKUP($D7,ARTICLES!$A$5:$S$2243,3,FALSE),"reference inconnue"))</f>
        <v/>
      </c>
      <c r="F7" s="17" t="n">
        <v>84</v>
      </c>
      <c r="G7" s="17" t="inlineStr">
        <is>
          <t>Reception gap of +4 units on WHAP-0592 (expected 80, received 84); exact quantity required (large part) exceeded.</t>
        </is>
      </c>
      <c r="H7" s="17" t="inlineStr">
        <is>
          <t>INSPECTION</t>
        </is>
      </c>
      <c r="I7" s="17" t="inlineStr"/>
      <c r="J7" s="17" t="inlineStr"/>
      <c r="K7" s="17" t="inlineStr"/>
      <c r="L7" s="17" t="inlineStr"/>
      <c r="M7" s="17" t="inlineStr"/>
      <c r="N7" s="17" t="inlineStr">
        <is>
          <t>VALIDE</t>
        </is>
      </c>
      <c r="O7" s="17" t="inlineStr"/>
      <c r="P7" s="17" t="inlineStr"/>
      <c r="Q7" s="17" t="inlineStr"/>
      <c r="R7" s="17" t="inlineStr">
        <is>
          <t>SYNCHRONISE</t>
        </is>
      </c>
      <c r="S7" s="17" t="inlineStr"/>
      <c r="T7" s="17" t="inlineStr">
        <is>
          <t>RED_CAGE-HISTORIQUE-003</t>
        </is>
      </c>
      <c r="U7" s="17" t="inlineStr"/>
    </row>
    <row r="8">
      <c r="A8" s="17" t="inlineStr">
        <is>
          <t>RC-00210</t>
        </is>
      </c>
      <c r="B8" s="18" t="inlineStr">
        <is>
          <t>23/08/2026</t>
        </is>
      </c>
      <c r="C8" s="17" t="inlineStr">
        <is>
          <t>LOT-2026-210</t>
        </is>
      </c>
      <c r="D8" s="17" t="inlineStr">
        <is>
          <t>WHAP-0575</t>
        </is>
      </c>
      <c r="E8" s="18">
        <f>IF($D8="","",IFERROR(VLOOKUP($D8,ARTICLES!$A$5:$S$2243,3,FALSE),"reference inconnue"))</f>
        <v/>
      </c>
      <c r="F8" s="17" t="n">
        <v>50</v>
      </c>
      <c r="G8" s="17" t="inlineStr">
        <is>
          <t>Non conform on inspection INS-2026-179: 2/5 defects = 40.00% (threshold 2%)</t>
        </is>
      </c>
      <c r="H8" s="17" t="inlineStr">
        <is>
          <t>INSPECTION</t>
        </is>
      </c>
      <c r="I8" s="17" t="inlineStr"/>
      <c r="J8" s="17" t="inlineStr"/>
      <c r="K8" s="17" t="inlineStr"/>
      <c r="L8" s="17" t="inlineStr"/>
      <c r="M8" s="17" t="inlineStr"/>
      <c r="N8" s="17" t="inlineStr">
        <is>
          <t>VALIDE</t>
        </is>
      </c>
      <c r="O8" s="17" t="inlineStr"/>
      <c r="P8" s="17" t="inlineStr"/>
      <c r="Q8" s="17" t="inlineStr"/>
      <c r="R8" s="17" t="inlineStr">
        <is>
          <t>SYNCHRONISE</t>
        </is>
      </c>
      <c r="S8" s="17" t="inlineStr"/>
      <c r="T8" s="17" t="inlineStr">
        <is>
          <t>RED_CAGE-HISTORIQUE-004</t>
        </is>
      </c>
      <c r="U8" s="17" t="inlineStr"/>
    </row>
    <row r="9">
      <c r="A9" s="17" t="inlineStr">
        <is>
          <t>RC-00204</t>
        </is>
      </c>
      <c r="B9" s="18" t="inlineStr">
        <is>
          <t>22/08/2026</t>
        </is>
      </c>
      <c r="C9" s="17" t="inlineStr">
        <is>
          <t>LOT-2026-204</t>
        </is>
      </c>
      <c r="D9" s="17" t="inlineStr">
        <is>
          <t>WHAP-0081</t>
        </is>
      </c>
      <c r="E9" s="18">
        <f>IF($D9="","",IFERROR(VLOOKUP($D9,ARTICLES!$A$5:$S$2243,3,FALSE),"reference inconnue"))</f>
        <v/>
      </c>
      <c r="F9" s="17" t="n">
        <v>900</v>
      </c>
      <c r="G9" s="17" t="inlineStr">
        <is>
          <t>Non conform on inspection INS-2026-173: 9/36 defects = 25.00% (threshold 2%)</t>
        </is>
      </c>
      <c r="H9" s="17" t="inlineStr">
        <is>
          <t>INSPECTION</t>
        </is>
      </c>
      <c r="I9" s="17" t="inlineStr"/>
      <c r="J9" s="17" t="inlineStr"/>
      <c r="K9" s="17" t="inlineStr"/>
      <c r="L9" s="17" t="inlineStr"/>
      <c r="M9" s="17" t="inlineStr"/>
      <c r="N9" s="17" t="inlineStr">
        <is>
          <t>VALIDE</t>
        </is>
      </c>
      <c r="O9" s="17" t="inlineStr"/>
      <c r="P9" s="17" t="inlineStr"/>
      <c r="Q9" s="17" t="inlineStr"/>
      <c r="R9" s="17" t="inlineStr">
        <is>
          <t>SYNCHRONISE</t>
        </is>
      </c>
      <c r="S9" s="17" t="inlineStr"/>
      <c r="T9" s="17" t="inlineStr">
        <is>
          <t>RED_CAGE-HISTORIQUE-005</t>
        </is>
      </c>
      <c r="U9" s="17" t="inlineStr"/>
    </row>
    <row r="10">
      <c r="A10" s="17" t="inlineStr">
        <is>
          <t>RC-00193</t>
        </is>
      </c>
      <c r="B10" s="18" t="inlineStr">
        <is>
          <t>21/08/2026</t>
        </is>
      </c>
      <c r="C10" s="17" t="inlineStr">
        <is>
          <t>LOT-2026-193</t>
        </is>
      </c>
      <c r="D10" s="17" t="inlineStr">
        <is>
          <t>WHAP-0551</t>
        </is>
      </c>
      <c r="E10" s="18">
        <f>IF($D10="","",IFERROR(VLOOKUP($D10,ARTICLES!$A$5:$S$2243,3,FALSE),"reference inconnue"))</f>
        <v/>
      </c>
      <c r="F10" s="17" t="n">
        <v>60</v>
      </c>
      <c r="G10" s="17" t="inlineStr">
        <is>
          <t>Non conform on inspection INS-2026-165: 1/5 defects = 20.00% (threshold 2%)</t>
        </is>
      </c>
      <c r="H10" s="17" t="inlineStr">
        <is>
          <t>INSPECTION</t>
        </is>
      </c>
      <c r="I10" s="17" t="inlineStr"/>
      <c r="J10" s="17" t="inlineStr"/>
      <c r="K10" s="17" t="inlineStr"/>
      <c r="L10" s="17" t="inlineStr"/>
      <c r="M10" s="17" t="inlineStr"/>
      <c r="N10" s="17" t="inlineStr">
        <is>
          <t>VALIDE</t>
        </is>
      </c>
      <c r="O10" s="17" t="inlineStr"/>
      <c r="P10" s="17" t="inlineStr"/>
      <c r="Q10" s="17" t="inlineStr"/>
      <c r="R10" s="17" t="inlineStr">
        <is>
          <t>SYNCHRONISE</t>
        </is>
      </c>
      <c r="S10" s="17" t="inlineStr"/>
      <c r="T10" s="17" t="inlineStr">
        <is>
          <t>RED_CAGE-HISTORIQUE-006</t>
        </is>
      </c>
      <c r="U10" s="17" t="inlineStr"/>
    </row>
    <row r="11">
      <c r="A11" s="17" t="inlineStr">
        <is>
          <t>RC-00186</t>
        </is>
      </c>
      <c r="B11" s="18" t="inlineStr">
        <is>
          <t>19/08/2026</t>
        </is>
      </c>
      <c r="C11" s="17" t="inlineStr">
        <is>
          <t>LOT-2026-186</t>
        </is>
      </c>
      <c r="D11" s="17" t="inlineStr">
        <is>
          <t>WHAP-0271</t>
        </is>
      </c>
      <c r="E11" s="18">
        <f>IF($D11="","",IFERROR(VLOOKUP($D11,ARTICLES!$A$5:$S$2243,3,FALSE),"reference inconnue"))</f>
        <v/>
      </c>
      <c r="F11" s="17" t="n">
        <v>12</v>
      </c>
      <c r="G11" s="17" t="inlineStr">
        <is>
          <t>Non conform on inspection INS-2026-158: 1/5 defects = 20.00% (threshold 2%)</t>
        </is>
      </c>
      <c r="H11" s="17" t="inlineStr">
        <is>
          <t>INSPECTION</t>
        </is>
      </c>
      <c r="I11" s="17" t="inlineStr"/>
      <c r="J11" s="17" t="inlineStr"/>
      <c r="K11" s="17" t="inlineStr"/>
      <c r="L11" s="17" t="inlineStr"/>
      <c r="M11" s="17" t="inlineStr"/>
      <c r="N11" s="17" t="inlineStr">
        <is>
          <t>VALIDE</t>
        </is>
      </c>
      <c r="O11" s="17" t="inlineStr"/>
      <c r="P11" s="17" t="inlineStr"/>
      <c r="Q11" s="17" t="inlineStr"/>
      <c r="R11" s="17" t="inlineStr">
        <is>
          <t>SYNCHRONISE</t>
        </is>
      </c>
      <c r="S11" s="17" t="inlineStr"/>
      <c r="T11" s="17" t="inlineStr">
        <is>
          <t>RED_CAGE-HISTORIQUE-007</t>
        </is>
      </c>
      <c r="U11" s="17" t="inlineStr"/>
    </row>
    <row r="12">
      <c r="A12" s="17" t="inlineStr">
        <is>
          <t>RC-00170</t>
        </is>
      </c>
      <c r="B12" s="18" t="inlineStr">
        <is>
          <t>17/08/2026</t>
        </is>
      </c>
      <c r="C12" s="17" t="inlineStr">
        <is>
          <t>LOT-2026-170</t>
        </is>
      </c>
      <c r="D12" s="17" t="inlineStr">
        <is>
          <t>WHAP-0471</t>
        </is>
      </c>
      <c r="E12" s="18">
        <f>IF($D12="","",IFERROR(VLOOKUP($D12,ARTICLES!$A$5:$S$2243,3,FALSE),"reference inconnue"))</f>
        <v/>
      </c>
      <c r="F12" s="17" t="n">
        <v>24</v>
      </c>
      <c r="G12" s="17" t="inlineStr">
        <is>
          <t>Non conform on inspection INS-2026-146: 1/5 defects = 20.00% (threshold 2%)</t>
        </is>
      </c>
      <c r="H12" s="17" t="inlineStr">
        <is>
          <t>INSPECTION</t>
        </is>
      </c>
      <c r="I12" s="17" t="inlineStr"/>
      <c r="J12" s="17" t="inlineStr"/>
      <c r="K12" s="17" t="inlineStr"/>
      <c r="L12" s="17" t="inlineStr"/>
      <c r="M12" s="17" t="inlineStr"/>
      <c r="N12" s="17" t="inlineStr">
        <is>
          <t>VALIDE</t>
        </is>
      </c>
      <c r="O12" s="17" t="inlineStr"/>
      <c r="P12" s="17" t="inlineStr"/>
      <c r="Q12" s="17" t="inlineStr"/>
      <c r="R12" s="17" t="inlineStr">
        <is>
          <t>SYNCHRONISE</t>
        </is>
      </c>
      <c r="S12" s="17" t="inlineStr"/>
      <c r="T12" s="17" t="inlineStr">
        <is>
          <t>RED_CAGE-HISTORIQUE-008</t>
        </is>
      </c>
      <c r="U12" s="17" t="inlineStr"/>
    </row>
    <row r="13">
      <c r="A13" s="17" t="inlineStr">
        <is>
          <t>RC-00152</t>
        </is>
      </c>
      <c r="B13" s="18" t="inlineStr">
        <is>
          <t>14/08/2026</t>
        </is>
      </c>
      <c r="C13" s="17" t="inlineStr">
        <is>
          <t>LOT-2026-152</t>
        </is>
      </c>
      <c r="D13" s="17" t="inlineStr">
        <is>
          <t>WHAP-0610</t>
        </is>
      </c>
      <c r="E13" s="18">
        <f>IF($D13="","",IFERROR(VLOOKUP($D13,ARTICLES!$A$5:$S$2243,3,FALSE),"reference inconnue"))</f>
        <v/>
      </c>
      <c r="F13" s="17" t="n">
        <v>40</v>
      </c>
      <c r="G13" s="17" t="inlineStr">
        <is>
          <t>Non conform on inspection INS-2026-129: 2/5 defects = 40.00% (threshold 2%)</t>
        </is>
      </c>
      <c r="H13" s="17" t="inlineStr">
        <is>
          <t>INSPECTION</t>
        </is>
      </c>
      <c r="I13" s="17" t="inlineStr"/>
      <c r="J13" s="17" t="inlineStr"/>
      <c r="K13" s="17" t="inlineStr"/>
      <c r="L13" s="17" t="inlineStr"/>
      <c r="M13" s="17" t="inlineStr"/>
      <c r="N13" s="17" t="inlineStr">
        <is>
          <t>VALIDE</t>
        </is>
      </c>
      <c r="O13" s="17" t="inlineStr"/>
      <c r="P13" s="17" t="inlineStr"/>
      <c r="Q13" s="17" t="inlineStr"/>
      <c r="R13" s="17" t="inlineStr">
        <is>
          <t>SYNCHRONISE</t>
        </is>
      </c>
      <c r="S13" s="17" t="inlineStr"/>
      <c r="T13" s="17" t="inlineStr">
        <is>
          <t>RED_CAGE-HISTORIQUE-009</t>
        </is>
      </c>
      <c r="U13" s="17" t="inlineStr"/>
    </row>
    <row r="14">
      <c r="A14" s="17" t="inlineStr">
        <is>
          <t>RC-00151</t>
        </is>
      </c>
      <c r="B14" s="18" t="inlineStr">
        <is>
          <t>14/08/2026</t>
        </is>
      </c>
      <c r="C14" s="17" t="inlineStr">
        <is>
          <t>LOT-2026-151</t>
        </is>
      </c>
      <c r="D14" s="17" t="inlineStr">
        <is>
          <t>WHAP-0270</t>
        </is>
      </c>
      <c r="E14" s="18">
        <f>IF($D14="","",IFERROR(VLOOKUP($D14,ARTICLES!$A$5:$S$2243,3,FALSE),"reference inconnue"))</f>
        <v/>
      </c>
      <c r="F14" s="17" t="n">
        <v>120</v>
      </c>
      <c r="G14" s="17" t="inlineStr">
        <is>
          <t>Non conform on inspection INS-2026-128: 1/5 defects = 20.00% (threshold 2%)</t>
        </is>
      </c>
      <c r="H14" s="17" t="inlineStr">
        <is>
          <t>INSPECTION</t>
        </is>
      </c>
      <c r="I14" s="17" t="inlineStr"/>
      <c r="J14" s="17" t="inlineStr"/>
      <c r="K14" s="17" t="inlineStr"/>
      <c r="L14" s="17" t="inlineStr"/>
      <c r="M14" s="17" t="inlineStr"/>
      <c r="N14" s="17" t="inlineStr">
        <is>
          <t>VALIDE</t>
        </is>
      </c>
      <c r="O14" s="17" t="inlineStr"/>
      <c r="P14" s="17" t="inlineStr"/>
      <c r="Q14" s="17" t="inlineStr"/>
      <c r="R14" s="17" t="inlineStr">
        <is>
          <t>SYNCHRONISE</t>
        </is>
      </c>
      <c r="S14" s="17" t="inlineStr"/>
      <c r="T14" s="17" t="inlineStr">
        <is>
          <t>RED_CAGE-HISTORIQUE-010</t>
        </is>
      </c>
      <c r="U14" s="17" t="inlineStr"/>
    </row>
    <row r="15">
      <c r="A15" s="17" t="inlineStr">
        <is>
          <t>RC-00109</t>
        </is>
      </c>
      <c r="B15" s="18" t="inlineStr">
        <is>
          <t>07/08/2026</t>
        </is>
      </c>
      <c r="C15" s="17" t="inlineStr">
        <is>
          <t>LOT-2026-109</t>
        </is>
      </c>
      <c r="D15" s="17" t="inlineStr">
        <is>
          <t>EMB-003</t>
        </is>
      </c>
      <c r="E15" s="18">
        <f>IF($D15="","",IFERROR(VLOOKUP($D15,ARTICLES!$A$5:$S$2243,3,FALSE),"reference inconnue"))</f>
        <v/>
      </c>
      <c r="F15" s="17" t="n">
        <v>900</v>
      </c>
      <c r="G15" s="17" t="inlineStr">
        <is>
          <t>Non conform on inspection INS-2026-089: 5/36 defects = 13.89% (threshold 2%)</t>
        </is>
      </c>
      <c r="H15" s="17" t="inlineStr">
        <is>
          <t>INSPECTION</t>
        </is>
      </c>
      <c r="I15" s="17" t="inlineStr"/>
      <c r="J15" s="17" t="inlineStr"/>
      <c r="K15" s="17" t="inlineStr"/>
      <c r="L15" s="17" t="inlineStr"/>
      <c r="M15" s="17" t="inlineStr"/>
      <c r="N15" s="17" t="inlineStr">
        <is>
          <t>VALIDE</t>
        </is>
      </c>
      <c r="O15" s="17" t="inlineStr"/>
      <c r="P15" s="17" t="inlineStr"/>
      <c r="Q15" s="17" t="inlineStr"/>
      <c r="R15" s="17" t="inlineStr">
        <is>
          <t>SYNCHRONISE</t>
        </is>
      </c>
      <c r="S15" s="17" t="inlineStr"/>
      <c r="T15" s="17" t="inlineStr">
        <is>
          <t>RED_CAGE-HISTORIQUE-011</t>
        </is>
      </c>
      <c r="U15" s="17" t="inlineStr"/>
    </row>
    <row r="16">
      <c r="A16" s="17" t="inlineStr">
        <is>
          <t>RC-00105</t>
        </is>
      </c>
      <c r="B16" s="18" t="inlineStr">
        <is>
          <t>06/08/2026</t>
        </is>
      </c>
      <c r="C16" s="17" t="inlineStr">
        <is>
          <t>LOT-2026-105</t>
        </is>
      </c>
      <c r="D16" s="17" t="inlineStr">
        <is>
          <t>WHAP-0082</t>
        </is>
      </c>
      <c r="E16" s="18">
        <f>IF($D16="","",IFERROR(VLOOKUP($D16,ARTICLES!$A$5:$S$2243,3,FALSE),"reference inconnue"))</f>
        <v/>
      </c>
      <c r="F16" s="17" t="n">
        <v>180</v>
      </c>
      <c r="G16" s="17" t="inlineStr">
        <is>
          <t>Non conform on inspection INS-2026-085: 1/8 defects = 12.50% (threshold 2%)</t>
        </is>
      </c>
      <c r="H16" s="17" t="inlineStr">
        <is>
          <t>INSPECTION</t>
        </is>
      </c>
      <c r="I16" s="17" t="inlineStr"/>
      <c r="J16" s="17" t="inlineStr"/>
      <c r="K16" s="17" t="inlineStr"/>
      <c r="L16" s="17" t="inlineStr"/>
      <c r="M16" s="17" t="inlineStr"/>
      <c r="N16" s="17" t="inlineStr">
        <is>
          <t>VALIDE</t>
        </is>
      </c>
      <c r="O16" s="17" t="inlineStr"/>
      <c r="P16" s="17" t="inlineStr"/>
      <c r="Q16" s="17" t="inlineStr"/>
      <c r="R16" s="17" t="inlineStr">
        <is>
          <t>SYNCHRONISE</t>
        </is>
      </c>
      <c r="S16" s="17" t="inlineStr"/>
      <c r="T16" s="17" t="inlineStr">
        <is>
          <t>RED_CAGE-HISTORIQUE-012</t>
        </is>
      </c>
      <c r="U16" s="17" t="inlineStr"/>
    </row>
    <row r="17">
      <c r="A17" s="17" t="inlineStr">
        <is>
          <t>RC-00094</t>
        </is>
      </c>
      <c r="B17" s="18" t="inlineStr">
        <is>
          <t>04/08/2026</t>
        </is>
      </c>
      <c r="C17" s="17" t="inlineStr">
        <is>
          <t>LOT-2026-094</t>
        </is>
      </c>
      <c r="D17" s="17" t="inlineStr">
        <is>
          <t>WHAP-0521</t>
        </is>
      </c>
      <c r="E17" s="18">
        <f>IF($D17="","",IFERROR(VLOOKUP($D17,ARTICLES!$A$5:$S$2243,3,FALSE),"reference inconnue"))</f>
        <v/>
      </c>
      <c r="F17" s="17" t="n">
        <v>97</v>
      </c>
      <c r="G17" s="17" t="inlineStr">
        <is>
          <t>Reception gap of -3 units on WHAP-0521 (expected 100, received 97); exact quantity required (large part) exceeded.</t>
        </is>
      </c>
      <c r="H17" s="17" t="inlineStr">
        <is>
          <t>INSPECTION</t>
        </is>
      </c>
      <c r="I17" s="17" t="inlineStr"/>
      <c r="J17" s="17" t="inlineStr"/>
      <c r="K17" s="17" t="inlineStr"/>
      <c r="L17" s="17" t="inlineStr"/>
      <c r="M17" s="17" t="inlineStr"/>
      <c r="N17" s="17" t="inlineStr">
        <is>
          <t>VALIDE</t>
        </is>
      </c>
      <c r="O17" s="17" t="inlineStr"/>
      <c r="P17" s="17" t="inlineStr"/>
      <c r="Q17" s="17" t="inlineStr"/>
      <c r="R17" s="17" t="inlineStr">
        <is>
          <t>SYNCHRONISE</t>
        </is>
      </c>
      <c r="S17" s="17" t="inlineStr"/>
      <c r="T17" s="17" t="inlineStr">
        <is>
          <t>RED_CAGE-HISTORIQUE-013</t>
        </is>
      </c>
      <c r="U17" s="17" t="inlineStr"/>
    </row>
    <row r="18">
      <c r="A18" s="17" t="inlineStr">
        <is>
          <t>RC-00091</t>
        </is>
      </c>
      <c r="B18" s="18" t="inlineStr">
        <is>
          <t>04/08/2026</t>
        </is>
      </c>
      <c r="C18" s="17" t="inlineStr">
        <is>
          <t>LOT-2026-091</t>
        </is>
      </c>
      <c r="D18" s="17" t="inlineStr">
        <is>
          <t>WHAP-0630</t>
        </is>
      </c>
      <c r="E18" s="18">
        <f>IF($D18="","",IFERROR(VLOOKUP($D18,ARTICLES!$A$5:$S$2243,3,FALSE),"reference inconnue"))</f>
        <v/>
      </c>
      <c r="F18" s="17" t="n">
        <v>120</v>
      </c>
      <c r="G18" s="17" t="inlineStr">
        <is>
          <t>Non conform on inspection INS-2026-074: 2/5 defects = 40.00% (threshold 2%)</t>
        </is>
      </c>
      <c r="H18" s="17" t="inlineStr">
        <is>
          <t>INSPECTION</t>
        </is>
      </c>
      <c r="I18" s="17" t="inlineStr"/>
      <c r="J18" s="17" t="inlineStr"/>
      <c r="K18" s="17" t="inlineStr"/>
      <c r="L18" s="17" t="inlineStr"/>
      <c r="M18" s="17" t="inlineStr"/>
      <c r="N18" s="17" t="inlineStr">
        <is>
          <t>VALIDE</t>
        </is>
      </c>
      <c r="O18" s="17" t="inlineStr"/>
      <c r="P18" s="17" t="inlineStr"/>
      <c r="Q18" s="17" t="inlineStr"/>
      <c r="R18" s="17" t="inlineStr">
        <is>
          <t>SYNCHRONISE</t>
        </is>
      </c>
      <c r="S18" s="17" t="inlineStr"/>
      <c r="T18" s="17" t="inlineStr">
        <is>
          <t>RED_CAGE-HISTORIQUE-014</t>
        </is>
      </c>
      <c r="U18" s="17" t="inlineStr"/>
    </row>
    <row r="19">
      <c r="A19" s="17" t="inlineStr">
        <is>
          <t>RC-00088</t>
        </is>
      </c>
      <c r="B19" s="18" t="inlineStr">
        <is>
          <t>03/08/2026</t>
        </is>
      </c>
      <c r="C19" s="17" t="inlineStr">
        <is>
          <t>LOT-2026-088</t>
        </is>
      </c>
      <c r="D19" s="17" t="inlineStr">
        <is>
          <t>SEC-002</t>
        </is>
      </c>
      <c r="E19" s="18">
        <f>IF($D19="","",IFERROR(VLOOKUP($D19,ARTICLES!$A$5:$S$2243,3,FALSE),"reference inconnue"))</f>
        <v/>
      </c>
      <c r="F19" s="17" t="n">
        <v>50</v>
      </c>
      <c r="G19" s="17" t="inlineStr">
        <is>
          <t>Non conform on inspection INS-2026-071: 1/5 defects = 20.00% (threshold 2%)</t>
        </is>
      </c>
      <c r="H19" s="17" t="inlineStr">
        <is>
          <t>INSPECTION</t>
        </is>
      </c>
      <c r="I19" s="17" t="inlineStr"/>
      <c r="J19" s="17" t="inlineStr"/>
      <c r="K19" s="17" t="inlineStr"/>
      <c r="L19" s="17" t="inlineStr"/>
      <c r="M19" s="17" t="inlineStr"/>
      <c r="N19" s="17" t="inlineStr">
        <is>
          <t>VALIDE</t>
        </is>
      </c>
      <c r="O19" s="17" t="inlineStr"/>
      <c r="P19" s="17" t="inlineStr"/>
      <c r="Q19" s="17" t="inlineStr"/>
      <c r="R19" s="17" t="inlineStr">
        <is>
          <t>SYNCHRONISE</t>
        </is>
      </c>
      <c r="S19" s="17" t="inlineStr"/>
      <c r="T19" s="17" t="inlineStr">
        <is>
          <t>RED_CAGE-HISTORIQUE-015</t>
        </is>
      </c>
      <c r="U19" s="17" t="inlineStr"/>
    </row>
    <row r="20">
      <c r="A20" s="17" t="inlineStr">
        <is>
          <t>RC-00087</t>
        </is>
      </c>
      <c r="B20" s="18" t="inlineStr">
        <is>
          <t>03/08/2026</t>
        </is>
      </c>
      <c r="C20" s="17" t="inlineStr">
        <is>
          <t>LOT-2026-087</t>
        </is>
      </c>
      <c r="D20" s="17" t="inlineStr">
        <is>
          <t>WHAP-0172</t>
        </is>
      </c>
      <c r="E20" s="18">
        <f>IF($D20="","",IFERROR(VLOOKUP($D20,ARTICLES!$A$5:$S$2243,3,FALSE),"reference inconnue"))</f>
        <v/>
      </c>
      <c r="F20" s="17" t="n">
        <v>50</v>
      </c>
      <c r="G20" s="17" t="inlineStr">
        <is>
          <t>Non conform on inspection INS-2026-070: 1/5 defects = 20.00% (threshold 2%)</t>
        </is>
      </c>
      <c r="H20" s="17" t="inlineStr">
        <is>
          <t>INSPECTION</t>
        </is>
      </c>
      <c r="I20" s="17" t="inlineStr"/>
      <c r="J20" s="17" t="inlineStr"/>
      <c r="K20" s="17" t="inlineStr"/>
      <c r="L20" s="17" t="inlineStr"/>
      <c r="M20" s="17" t="inlineStr"/>
      <c r="N20" s="17" t="inlineStr">
        <is>
          <t>VALIDE</t>
        </is>
      </c>
      <c r="O20" s="17" t="inlineStr"/>
      <c r="P20" s="17" t="inlineStr"/>
      <c r="Q20" s="17" t="inlineStr"/>
      <c r="R20" s="17" t="inlineStr">
        <is>
          <t>SYNCHRONISE</t>
        </is>
      </c>
      <c r="S20" s="17" t="inlineStr"/>
      <c r="T20" s="17" t="inlineStr">
        <is>
          <t>RED_CAGE-HISTORIQUE-016</t>
        </is>
      </c>
      <c r="U20" s="17" t="inlineStr"/>
    </row>
    <row r="21">
      <c r="A21" s="17" t="inlineStr">
        <is>
          <t>RC-00078</t>
        </is>
      </c>
      <c r="B21" s="18" t="inlineStr">
        <is>
          <t>01/08/2026</t>
        </is>
      </c>
      <c r="C21" s="17" t="inlineStr">
        <is>
          <t>LOT-2026-078</t>
        </is>
      </c>
      <c r="D21" s="17" t="inlineStr">
        <is>
          <t>WHAP-0171</t>
        </is>
      </c>
      <c r="E21" s="18">
        <f>IF($D21="","",IFERROR(VLOOKUP($D21,ARTICLES!$A$5:$S$2243,3,FALSE),"reference inconnue"))</f>
        <v/>
      </c>
      <c r="F21" s="17" t="n">
        <v>24</v>
      </c>
      <c r="G21" s="17" t="inlineStr">
        <is>
          <t>Reception gap of +6 units on WHAP-0171 (expected 18, received 24); exact quantity required (large part) exceeded.</t>
        </is>
      </c>
      <c r="H21" s="17" t="inlineStr">
        <is>
          <t>INSPECTION</t>
        </is>
      </c>
      <c r="I21" s="17" t="inlineStr"/>
      <c r="J21" s="17" t="inlineStr"/>
      <c r="K21" s="17" t="inlineStr"/>
      <c r="L21" s="17" t="inlineStr"/>
      <c r="M21" s="17" t="inlineStr"/>
      <c r="N21" s="17" t="inlineStr">
        <is>
          <t>VALIDE</t>
        </is>
      </c>
      <c r="O21" s="17" t="inlineStr"/>
      <c r="P21" s="17" t="inlineStr"/>
      <c r="Q21" s="17" t="inlineStr"/>
      <c r="R21" s="17" t="inlineStr">
        <is>
          <t>SYNCHRONISE</t>
        </is>
      </c>
      <c r="S21" s="17" t="inlineStr"/>
      <c r="T21" s="17" t="inlineStr">
        <is>
          <t>RED_CAGE-HISTORIQUE-017</t>
        </is>
      </c>
      <c r="U21" s="17" t="inlineStr"/>
    </row>
    <row r="22">
      <c r="A22" s="17" t="inlineStr">
        <is>
          <t>RC-00074</t>
        </is>
      </c>
      <c r="B22" s="18" t="inlineStr">
        <is>
          <t>01/08/2026</t>
        </is>
      </c>
      <c r="C22" s="17" t="inlineStr">
        <is>
          <t>LOT-2026-074</t>
        </is>
      </c>
      <c r="D22" s="17" t="inlineStr">
        <is>
          <t>SEC-001</t>
        </is>
      </c>
      <c r="E22" s="18">
        <f>IF($D22="","",IFERROR(VLOOKUP($D22,ARTICLES!$A$5:$S$2243,3,FALSE),"reference inconnue"))</f>
        <v/>
      </c>
      <c r="F22" s="17" t="n">
        <v>66</v>
      </c>
      <c r="G22" s="17" t="inlineStr">
        <is>
          <t>Reception gap of +6 units on SEC-001 (expected 60, received 66); exact quantity required (large part) exceeded.</t>
        </is>
      </c>
      <c r="H22" s="17" t="inlineStr">
        <is>
          <t>INSPECTION</t>
        </is>
      </c>
      <c r="I22" s="17" t="inlineStr"/>
      <c r="J22" s="17" t="inlineStr"/>
      <c r="K22" s="17" t="inlineStr"/>
      <c r="L22" s="17" t="inlineStr"/>
      <c r="M22" s="17" t="inlineStr"/>
      <c r="N22" s="17" t="inlineStr">
        <is>
          <t>VALIDE</t>
        </is>
      </c>
      <c r="O22" s="17" t="inlineStr"/>
      <c r="P22" s="17" t="inlineStr"/>
      <c r="Q22" s="17" t="inlineStr"/>
      <c r="R22" s="17" t="inlineStr">
        <is>
          <t>SYNCHRONISE</t>
        </is>
      </c>
      <c r="S22" s="17" t="inlineStr"/>
      <c r="T22" s="17" t="inlineStr">
        <is>
          <t>RED_CAGE-HISTORIQUE-018</t>
        </is>
      </c>
      <c r="U22" s="17" t="inlineStr"/>
    </row>
    <row r="23">
      <c r="A23" s="17" t="inlineStr">
        <is>
          <t>RC-00035</t>
        </is>
      </c>
      <c r="B23" s="18" t="inlineStr">
        <is>
          <t>25/07/2026</t>
        </is>
      </c>
      <c r="C23" s="17" t="inlineStr">
        <is>
          <t>LOT-2026-035</t>
        </is>
      </c>
      <c r="D23" s="17" t="inlineStr">
        <is>
          <t>WHAP-0132</t>
        </is>
      </c>
      <c r="E23" s="18">
        <f>IF($D23="","",IFERROR(VLOOKUP($D23,ARTICLES!$A$5:$S$2243,3,FALSE),"reference inconnue"))</f>
        <v/>
      </c>
      <c r="F23" s="17" t="n">
        <v>30</v>
      </c>
      <c r="G23" s="17" t="inlineStr">
        <is>
          <t>Non conform on inspection INS-2026-026: 2/5 defects = 40.00% (threshold 2%)</t>
        </is>
      </c>
      <c r="H23" s="17" t="inlineStr">
        <is>
          <t>INSPECTION</t>
        </is>
      </c>
      <c r="I23" s="17" t="inlineStr"/>
      <c r="J23" s="17" t="inlineStr"/>
      <c r="K23" s="17" t="inlineStr"/>
      <c r="L23" s="17" t="inlineStr"/>
      <c r="M23" s="17" t="inlineStr"/>
      <c r="N23" s="17" t="inlineStr">
        <is>
          <t>VALIDE</t>
        </is>
      </c>
      <c r="O23" s="17" t="inlineStr"/>
      <c r="P23" s="17" t="inlineStr"/>
      <c r="Q23" s="17" t="inlineStr"/>
      <c r="R23" s="17" t="inlineStr">
        <is>
          <t>SYNCHRONISE</t>
        </is>
      </c>
      <c r="S23" s="17" t="inlineStr"/>
      <c r="T23" s="17" t="inlineStr">
        <is>
          <t>RED_CAGE-HISTORIQUE-019</t>
        </is>
      </c>
      <c r="U23" s="17" t="inlineStr"/>
    </row>
    <row r="24">
      <c r="A24" s="17" t="inlineStr">
        <is>
          <t>RC-00029</t>
        </is>
      </c>
      <c r="B24" s="18" t="inlineStr">
        <is>
          <t>24/07/2026</t>
        </is>
      </c>
      <c r="C24" s="17" t="inlineStr">
        <is>
          <t>LOT-2026-029</t>
        </is>
      </c>
      <c r="D24" s="17" t="inlineStr">
        <is>
          <t>WHAP-0246</t>
        </is>
      </c>
      <c r="E24" s="18">
        <f>IF($D24="","",IFERROR(VLOOKUP($D24,ARTICLES!$A$5:$S$2243,3,FALSE),"reference inconnue"))</f>
        <v/>
      </c>
      <c r="F24" s="17" t="n">
        <v>180</v>
      </c>
      <c r="G24" s="17" t="inlineStr">
        <is>
          <t>Non conform on inspection INS-2026-021: 3/8 defects = 37.50% (threshold 2%)</t>
        </is>
      </c>
      <c r="H24" s="17" t="inlineStr">
        <is>
          <t>INSPECTION</t>
        </is>
      </c>
      <c r="I24" s="17" t="inlineStr"/>
      <c r="J24" s="17" t="inlineStr"/>
      <c r="K24" s="17" t="inlineStr"/>
      <c r="L24" s="17" t="inlineStr"/>
      <c r="M24" s="17" t="inlineStr"/>
      <c r="N24" s="17" t="inlineStr">
        <is>
          <t>VALIDE</t>
        </is>
      </c>
      <c r="O24" s="17" t="inlineStr"/>
      <c r="P24" s="17" t="inlineStr"/>
      <c r="Q24" s="17" t="inlineStr"/>
      <c r="R24" s="17" t="inlineStr">
        <is>
          <t>SYNCHRONISE</t>
        </is>
      </c>
      <c r="S24" s="17" t="inlineStr"/>
      <c r="T24" s="17" t="inlineStr">
        <is>
          <t>RED_CAGE-HISTORIQUE-020</t>
        </is>
      </c>
      <c r="U24" s="17" t="inlineStr"/>
    </row>
    <row r="25">
      <c r="A25" s="17" t="inlineStr">
        <is>
          <t>RC-00019</t>
        </is>
      </c>
      <c r="B25" s="18" t="inlineStr">
        <is>
          <t>23/07/2026</t>
        </is>
      </c>
      <c r="C25" s="17" t="inlineStr">
        <is>
          <t>LOT-2026-019</t>
        </is>
      </c>
      <c r="D25" s="17" t="inlineStr">
        <is>
          <t>WHAP-0446</t>
        </is>
      </c>
      <c r="E25" s="18">
        <f>IF($D25="","",IFERROR(VLOOKUP($D25,ARTICLES!$A$5:$S$2243,3,FALSE),"reference inconnue"))</f>
        <v/>
      </c>
      <c r="F25" s="17" t="n">
        <v>9</v>
      </c>
      <c r="G25" s="17" t="inlineStr">
        <is>
          <t>Reception gap of -3 units on WHAP-0446 (expected 12, received 9); exact quantity required (large part) exceeded.</t>
        </is>
      </c>
      <c r="H25" s="17" t="inlineStr">
        <is>
          <t>INSPECTION</t>
        </is>
      </c>
      <c r="I25" s="17" t="inlineStr"/>
      <c r="J25" s="17" t="inlineStr"/>
      <c r="K25" s="17" t="inlineStr"/>
      <c r="L25" s="17" t="inlineStr"/>
      <c r="M25" s="17" t="inlineStr"/>
      <c r="N25" s="17" t="inlineStr">
        <is>
          <t>VALIDE</t>
        </is>
      </c>
      <c r="O25" s="17" t="inlineStr"/>
      <c r="P25" s="17" t="inlineStr"/>
      <c r="Q25" s="17" t="inlineStr"/>
      <c r="R25" s="17" t="inlineStr">
        <is>
          <t>SYNCHRONISE</t>
        </is>
      </c>
      <c r="S25" s="17" t="inlineStr"/>
      <c r="T25" s="17" t="inlineStr">
        <is>
          <t>RED_CAGE-HISTORIQUE-021</t>
        </is>
      </c>
      <c r="U25" s="17" t="inlineStr"/>
    </row>
    <row r="26">
      <c r="A26" s="17" t="inlineStr">
        <is>
          <t>RC-00014</t>
        </is>
      </c>
      <c r="B26" s="18" t="inlineStr">
        <is>
          <t>22/07/2026</t>
        </is>
      </c>
      <c r="C26" s="17" t="inlineStr">
        <is>
          <t>LOT-2026-014</t>
        </is>
      </c>
      <c r="D26" s="17" t="inlineStr">
        <is>
          <t>WHAP-0002</t>
        </is>
      </c>
      <c r="E26" s="18">
        <f>IF($D26="","",IFERROR(VLOOKUP($D26,ARTICLES!$A$5:$S$2243,3,FALSE),"reference inconnue"))</f>
        <v/>
      </c>
      <c r="F26" s="17" t="n">
        <v>94</v>
      </c>
      <c r="G26" s="17" t="inlineStr">
        <is>
          <t>Reception gap of -6 units on WHAP-0002 (expected 100, received 94); exact quantity required (large part) exceeded.</t>
        </is>
      </c>
      <c r="H26" s="17" t="inlineStr">
        <is>
          <t>INSPECTION</t>
        </is>
      </c>
      <c r="I26" s="17" t="inlineStr"/>
      <c r="J26" s="17" t="inlineStr"/>
      <c r="K26" s="17" t="inlineStr"/>
      <c r="L26" s="17" t="inlineStr"/>
      <c r="M26" s="17" t="inlineStr"/>
      <c r="N26" s="17" t="inlineStr">
        <is>
          <t>VALIDE</t>
        </is>
      </c>
      <c r="O26" s="17" t="inlineStr"/>
      <c r="P26" s="17" t="inlineStr"/>
      <c r="Q26" s="17" t="inlineStr"/>
      <c r="R26" s="17" t="inlineStr">
        <is>
          <t>SYNCHRONISE</t>
        </is>
      </c>
      <c r="S26" s="17" t="inlineStr"/>
      <c r="T26" s="17" t="inlineStr">
        <is>
          <t>RED_CAGE-HISTORIQUE-022</t>
        </is>
      </c>
      <c r="U26" s="17" t="inlineStr"/>
    </row>
    <row r="27">
      <c r="A27" s="17" t="inlineStr">
        <is>
          <t>RC-00198</t>
        </is>
      </c>
      <c r="B27" s="18" t="inlineStr">
        <is>
          <t>21/08/2026</t>
        </is>
      </c>
      <c r="C27" s="17" t="inlineStr">
        <is>
          <t>LOT-2026-198</t>
        </is>
      </c>
      <c r="D27" s="17" t="inlineStr">
        <is>
          <t>WHAP-0418</t>
        </is>
      </c>
      <c r="E27" s="18">
        <f>IF($D27="","",IFERROR(VLOOKUP($D27,ARTICLES!$A$5:$S$2243,3,FALSE),"reference inconnue"))</f>
        <v/>
      </c>
      <c r="F27" s="17" t="n">
        <v>66</v>
      </c>
      <c r="G27" s="17" t="inlineStr">
        <is>
          <t>Reception gap of +6 units on WHAP-0418 (expected 60, received 66); exact quantity required (large part) exceeded.</t>
        </is>
      </c>
      <c r="H27" s="17" t="inlineStr">
        <is>
          <t>INSPECTION</t>
        </is>
      </c>
      <c r="I27" s="17" t="inlineStr"/>
      <c r="J27" s="17" t="inlineStr"/>
      <c r="K27" s="17" t="inlineStr"/>
      <c r="L27" s="17" t="inlineStr"/>
      <c r="M27" s="17" t="inlineStr"/>
      <c r="N27" s="17" t="inlineStr">
        <is>
          <t>VALIDE</t>
        </is>
      </c>
      <c r="O27" s="17" t="inlineStr"/>
      <c r="P27" s="17" t="inlineStr"/>
      <c r="Q27" s="17" t="inlineStr"/>
      <c r="R27" s="17" t="inlineStr">
        <is>
          <t>SYNCHRONISE</t>
        </is>
      </c>
      <c r="S27" s="17" t="inlineStr"/>
      <c r="T27" s="17" t="inlineStr">
        <is>
          <t>RED_CAGE-HISTORIQUE-023</t>
        </is>
      </c>
      <c r="U27" s="17" t="inlineStr"/>
    </row>
    <row r="28">
      <c r="A28" s="17" t="inlineStr">
        <is>
          <t>RC-00138</t>
        </is>
      </c>
      <c r="B28" s="18" t="inlineStr">
        <is>
          <t>11/08/2026</t>
        </is>
      </c>
      <c r="C28" s="17" t="inlineStr">
        <is>
          <t>LOT-2026-138</t>
        </is>
      </c>
      <c r="D28" s="17" t="inlineStr">
        <is>
          <t>WHAP-0081</t>
        </is>
      </c>
      <c r="E28" s="18">
        <f>IF($D28="","",IFERROR(VLOOKUP($D28,ARTICLES!$A$5:$S$2243,3,FALSE),"reference inconnue"))</f>
        <v/>
      </c>
      <c r="F28" s="17" t="n">
        <v>420</v>
      </c>
      <c r="G28" s="17" t="inlineStr">
        <is>
          <t>Non conform on inspection INS-2026-115: 2/17 defects = 11.76% (threshold 2%)</t>
        </is>
      </c>
      <c r="H28" s="17" t="inlineStr">
        <is>
          <t>INSPECTION</t>
        </is>
      </c>
      <c r="I28" s="17" t="inlineStr"/>
      <c r="J28" s="17" t="inlineStr"/>
      <c r="K28" s="17" t="inlineStr"/>
      <c r="L28" s="17" t="inlineStr"/>
      <c r="M28" s="17" t="inlineStr"/>
      <c r="N28" s="17" t="inlineStr">
        <is>
          <t>VALIDE</t>
        </is>
      </c>
      <c r="O28" s="17" t="inlineStr"/>
      <c r="P28" s="17" t="inlineStr"/>
      <c r="Q28" s="17" t="inlineStr"/>
      <c r="R28" s="17" t="inlineStr">
        <is>
          <t>SYNCHRONISE</t>
        </is>
      </c>
      <c r="S28" s="17" t="inlineStr"/>
      <c r="T28" s="17" t="inlineStr">
        <is>
          <t>RED_CAGE-HISTORIQUE-024</t>
        </is>
      </c>
      <c r="U28" s="17" t="inlineStr"/>
    </row>
    <row r="29">
      <c r="A29" s="17" t="inlineStr">
        <is>
          <t>RC-00081</t>
        </is>
      </c>
      <c r="B29" s="18" t="inlineStr">
        <is>
          <t>02/08/2026</t>
        </is>
      </c>
      <c r="C29" s="17" t="inlineStr">
        <is>
          <t>LOT-2026-081</t>
        </is>
      </c>
      <c r="D29" s="17" t="inlineStr">
        <is>
          <t>WHAP-0447</t>
        </is>
      </c>
      <c r="E29" s="18">
        <f>IF($D29="","",IFERROR(VLOOKUP($D29,ARTICLES!$A$5:$S$2243,3,FALSE),"reference inconnue"))</f>
        <v/>
      </c>
      <c r="F29" s="17" t="n">
        <v>18</v>
      </c>
      <c r="G29" s="17" t="inlineStr">
        <is>
          <t>Non conform on inspection INS-2026-065: 1/5 defects = 20.00% (threshold 2%)</t>
        </is>
      </c>
      <c r="H29" s="17" t="inlineStr">
        <is>
          <t>INSPECTION</t>
        </is>
      </c>
      <c r="I29" s="17" t="inlineStr"/>
      <c r="J29" s="17" t="inlineStr"/>
      <c r="K29" s="17" t="inlineStr"/>
      <c r="L29" s="17" t="inlineStr"/>
      <c r="M29" s="17" t="inlineStr"/>
      <c r="N29" s="17" t="inlineStr">
        <is>
          <t>VALIDE</t>
        </is>
      </c>
      <c r="O29" s="17" t="inlineStr"/>
      <c r="P29" s="17" t="inlineStr"/>
      <c r="Q29" s="17" t="inlineStr"/>
      <c r="R29" s="17" t="inlineStr">
        <is>
          <t>SYNCHRONISE</t>
        </is>
      </c>
      <c r="S29" s="17" t="inlineStr"/>
      <c r="T29" s="17" t="inlineStr">
        <is>
          <t>RED_CAGE-HISTORIQUE-025</t>
        </is>
      </c>
      <c r="U29" s="17" t="inlineStr"/>
    </row>
    <row r="30">
      <c r="A30" s="17" t="inlineStr">
        <is>
          <t>RC-00073</t>
        </is>
      </c>
      <c r="B30" s="18" t="inlineStr">
        <is>
          <t>01/08/2026</t>
        </is>
      </c>
      <c r="C30" s="17" t="inlineStr">
        <is>
          <t>LOT-2026-073</t>
        </is>
      </c>
      <c r="D30" s="17" t="inlineStr">
        <is>
          <t>WHAP-0172</t>
        </is>
      </c>
      <c r="E30" s="18">
        <f>IF($D30="","",IFERROR(VLOOKUP($D30,ARTICLES!$A$5:$S$2243,3,FALSE),"reference inconnue"))</f>
        <v/>
      </c>
      <c r="F30" s="17" t="n">
        <v>40</v>
      </c>
      <c r="G30" s="17" t="inlineStr">
        <is>
          <t>Non conform on inspection INS-2026-059: 1/5 defects = 20.00% (threshold 2%)</t>
        </is>
      </c>
      <c r="H30" s="17" t="inlineStr">
        <is>
          <t>INSPECTION</t>
        </is>
      </c>
      <c r="I30" s="17" t="inlineStr"/>
      <c r="J30" s="17" t="inlineStr"/>
      <c r="K30" s="17" t="inlineStr"/>
      <c r="L30" s="17" t="inlineStr"/>
      <c r="M30" s="17" t="inlineStr"/>
      <c r="N30" s="17" t="inlineStr">
        <is>
          <t>VALIDE</t>
        </is>
      </c>
      <c r="O30" s="17" t="inlineStr"/>
      <c r="P30" s="17" t="inlineStr"/>
      <c r="Q30" s="17" t="inlineStr"/>
      <c r="R30" s="17" t="inlineStr">
        <is>
          <t>SYNCHRONISE</t>
        </is>
      </c>
      <c r="S30" s="17" t="inlineStr"/>
      <c r="T30" s="17" t="inlineStr">
        <is>
          <t>RED_CAGE-HISTORIQUE-026</t>
        </is>
      </c>
      <c r="U30" s="17" t="inlineStr"/>
    </row>
    <row r="31">
      <c r="A31" s="17" t="inlineStr">
        <is>
          <t>RC-00021</t>
        </is>
      </c>
      <c r="B31" s="18" t="inlineStr">
        <is>
          <t>23/07/2026</t>
        </is>
      </c>
      <c r="C31" s="17" t="inlineStr">
        <is>
          <t>LOT-2026-021</t>
        </is>
      </c>
      <c r="D31" s="17" t="inlineStr">
        <is>
          <t>WHAP-0418</t>
        </is>
      </c>
      <c r="E31" s="18">
        <f>IF($D31="","",IFERROR(VLOOKUP($D31,ARTICLES!$A$5:$S$2243,3,FALSE),"reference inconnue"))</f>
        <v/>
      </c>
      <c r="F31" s="17" t="n">
        <v>30</v>
      </c>
      <c r="G31" s="17" t="inlineStr">
        <is>
          <t>Non conform on inspection INS-2026-016: 1/5 defects = 20.00% (threshold 2%)</t>
        </is>
      </c>
      <c r="H31" s="17" t="inlineStr">
        <is>
          <t>INSPECTION</t>
        </is>
      </c>
      <c r="I31" s="17" t="inlineStr"/>
      <c r="J31" s="17" t="inlineStr"/>
      <c r="K31" s="17" t="inlineStr"/>
      <c r="L31" s="17" t="inlineStr"/>
      <c r="M31" s="17" t="inlineStr"/>
      <c r="N31" s="17" t="inlineStr">
        <is>
          <t>VALIDE</t>
        </is>
      </c>
      <c r="O31" s="17" t="inlineStr"/>
      <c r="P31" s="17" t="inlineStr"/>
      <c r="Q31" s="17" t="inlineStr"/>
      <c r="R31" s="17" t="inlineStr">
        <is>
          <t>SYNCHRONISE</t>
        </is>
      </c>
      <c r="S31" s="17" t="inlineStr"/>
      <c r="T31" s="17" t="inlineStr">
        <is>
          <t>RED_CAGE-HISTORIQUE-027</t>
        </is>
      </c>
      <c r="U31" s="17" t="inlineStr"/>
    </row>
    <row r="32">
      <c r="A32" s="17" t="inlineStr">
        <is>
          <t>RC-00013</t>
        </is>
      </c>
      <c r="B32" s="18" t="inlineStr">
        <is>
          <t>22/07/2026</t>
        </is>
      </c>
      <c r="C32" s="17" t="inlineStr">
        <is>
          <t>LOT-2026-013</t>
        </is>
      </c>
      <c r="D32" s="17" t="inlineStr">
        <is>
          <t>WHAP-0081</t>
        </is>
      </c>
      <c r="E32" s="18">
        <f>IF($D32="","",IFERROR(VLOOKUP($D32,ARTICLES!$A$5:$S$2243,3,FALSE),"reference inconnue"))</f>
        <v/>
      </c>
      <c r="F32" s="17" t="n">
        <v>140</v>
      </c>
      <c r="G32" s="17" t="inlineStr">
        <is>
          <t>Non conform on inspection INS-2026-011: 3/10 defects = 30.00% (threshold 2%)</t>
        </is>
      </c>
      <c r="H32" s="17" t="inlineStr">
        <is>
          <t>INSPECTION</t>
        </is>
      </c>
      <c r="I32" s="17" t="inlineStr"/>
      <c r="J32" s="17" t="inlineStr"/>
      <c r="K32" s="17" t="inlineStr"/>
      <c r="L32" s="17" t="inlineStr"/>
      <c r="M32" s="17" t="inlineStr"/>
      <c r="N32" s="17" t="inlineStr">
        <is>
          <t>VALIDE</t>
        </is>
      </c>
      <c r="O32" s="17" t="inlineStr"/>
      <c r="P32" s="17" t="inlineStr"/>
      <c r="Q32" s="17" t="inlineStr"/>
      <c r="R32" s="17" t="inlineStr">
        <is>
          <t>SYNCHRONISE</t>
        </is>
      </c>
      <c r="S32" s="17" t="inlineStr"/>
      <c r="T32" s="17" t="inlineStr">
        <is>
          <t>RED_CAGE-HISTORIQUE-028</t>
        </is>
      </c>
      <c r="U32" s="17" t="inlineStr"/>
    </row>
    <row r="33">
      <c r="A33" s="17" t="n"/>
      <c r="B33" s="18">
        <f>IF($C33="","",TEXT(TODAY(),"dd/mm/yyyy"))</f>
        <v/>
      </c>
      <c r="C33" s="19" t="n"/>
      <c r="D33" s="19" t="n"/>
      <c r="E33" s="18">
        <f>IF($D33="","",IFERROR(VLOOKUP($D33,ARTICLES!$A$5:$S$2243,3,FALSE),"reference inconnue"))</f>
        <v/>
      </c>
      <c r="F33" s="19" t="n"/>
      <c r="G33" s="19" t="n"/>
      <c r="H33" s="19" t="n"/>
      <c r="I33" s="19" t="n"/>
      <c r="J33" s="19" t="n"/>
      <c r="K33" s="19" t="n"/>
      <c r="L33" s="19" t="n"/>
      <c r="M33" s="19" t="n"/>
      <c r="N33" s="17" t="inlineStr">
        <is>
          <t>BROUILLON</t>
        </is>
      </c>
      <c r="O33" s="17" t="n"/>
      <c r="P33" s="17" t="n"/>
      <c r="Q33" s="17" t="n"/>
      <c r="R33" s="17" t="n"/>
      <c r="S33" s="17" t="n"/>
      <c r="T33" s="17" t="n"/>
      <c r="U33" s="17" t="n"/>
    </row>
    <row r="34">
      <c r="A34" s="17" t="n"/>
      <c r="B34" s="18">
        <f>IF($C34="","",TEXT(TODAY(),"dd/mm/yyyy"))</f>
        <v/>
      </c>
      <c r="C34" s="19" t="n"/>
      <c r="D34" s="19" t="n"/>
      <c r="E34" s="18">
        <f>IF($D34="","",IFERROR(VLOOKUP($D34,ARTICLES!$A$5:$S$2243,3,FALSE),"reference inconnue"))</f>
        <v/>
      </c>
      <c r="F34" s="19" t="n"/>
      <c r="G34" s="19" t="n"/>
      <c r="H34" s="19" t="n"/>
      <c r="I34" s="19" t="n"/>
      <c r="J34" s="19" t="n"/>
      <c r="K34" s="19" t="n"/>
      <c r="L34" s="19" t="n"/>
      <c r="M34" s="19" t="n"/>
      <c r="N34" s="17" t="inlineStr">
        <is>
          <t>BROUILLON</t>
        </is>
      </c>
      <c r="O34" s="17" t="n"/>
      <c r="P34" s="17" t="n"/>
      <c r="Q34" s="17" t="n"/>
      <c r="R34" s="17" t="n"/>
      <c r="S34" s="17" t="n"/>
      <c r="T34" s="17" t="n"/>
      <c r="U34" s="17" t="n"/>
    </row>
    <row r="35">
      <c r="A35" s="17" t="n"/>
      <c r="B35" s="18">
        <f>IF($C35="","",TEXT(TODAY(),"dd/mm/yyyy"))</f>
        <v/>
      </c>
      <c r="C35" s="19" t="n"/>
      <c r="D35" s="19" t="n"/>
      <c r="E35" s="18">
        <f>IF($D35="","",IFERROR(VLOOKUP($D35,ARTICLES!$A$5:$S$2243,3,FALSE),"reference inconnue"))</f>
        <v/>
      </c>
      <c r="F35" s="19" t="n"/>
      <c r="G35" s="19" t="n"/>
      <c r="H35" s="19" t="n"/>
      <c r="I35" s="19" t="n"/>
      <c r="J35" s="19" t="n"/>
      <c r="K35" s="19" t="n"/>
      <c r="L35" s="19" t="n"/>
      <c r="M35" s="19" t="n"/>
      <c r="N35" s="17" t="inlineStr">
        <is>
          <t>BROUILLON</t>
        </is>
      </c>
      <c r="O35" s="17" t="n"/>
      <c r="P35" s="17" t="n"/>
      <c r="Q35" s="17" t="n"/>
      <c r="R35" s="17" t="n"/>
      <c r="S35" s="17" t="n"/>
      <c r="T35" s="17" t="n"/>
      <c r="U35" s="17" t="n"/>
    </row>
    <row r="36">
      <c r="A36" s="17" t="n"/>
      <c r="B36" s="18">
        <f>IF($C36="","",TEXT(TODAY(),"dd/mm/yyyy"))</f>
        <v/>
      </c>
      <c r="C36" s="19" t="n"/>
      <c r="D36" s="19" t="n"/>
      <c r="E36" s="18">
        <f>IF($D36="","",IFERROR(VLOOKUP($D36,ARTICLES!$A$5:$S$2243,3,FALSE),"reference inconnue"))</f>
        <v/>
      </c>
      <c r="F36" s="19" t="n"/>
      <c r="G36" s="19" t="n"/>
      <c r="H36" s="19" t="n"/>
      <c r="I36" s="19" t="n"/>
      <c r="J36" s="19" t="n"/>
      <c r="K36" s="19" t="n"/>
      <c r="L36" s="19" t="n"/>
      <c r="M36" s="19" t="n"/>
      <c r="N36" s="17" t="inlineStr">
        <is>
          <t>BROUILLON</t>
        </is>
      </c>
      <c r="O36" s="17" t="n"/>
      <c r="P36" s="17" t="n"/>
      <c r="Q36" s="17" t="n"/>
      <c r="R36" s="17" t="n"/>
      <c r="S36" s="17" t="n"/>
      <c r="T36" s="17" t="n"/>
      <c r="U36" s="17" t="n"/>
    </row>
    <row r="37">
      <c r="A37" s="17" t="n"/>
      <c r="B37" s="18">
        <f>IF($C37="","",TEXT(TODAY(),"dd/mm/yyyy"))</f>
        <v/>
      </c>
      <c r="C37" s="19" t="n"/>
      <c r="D37" s="19" t="n"/>
      <c r="E37" s="18">
        <f>IF($D37="","",IFERROR(VLOOKUP($D37,ARTICLES!$A$5:$S$2243,3,FALSE),"reference inconnue"))</f>
        <v/>
      </c>
      <c r="F37" s="19" t="n"/>
      <c r="G37" s="19" t="n"/>
      <c r="H37" s="19" t="n"/>
      <c r="I37" s="19" t="n"/>
      <c r="J37" s="19" t="n"/>
      <c r="K37" s="19" t="n"/>
      <c r="L37" s="19" t="n"/>
      <c r="M37" s="19" t="n"/>
      <c r="N37" s="17" t="inlineStr">
        <is>
          <t>BROUILLON</t>
        </is>
      </c>
      <c r="O37" s="17" t="n"/>
      <c r="P37" s="17" t="n"/>
      <c r="Q37" s="17" t="n"/>
      <c r="R37" s="17" t="n"/>
      <c r="S37" s="17" t="n"/>
      <c r="T37" s="17" t="n"/>
      <c r="U37" s="17" t="n"/>
    </row>
    <row r="38">
      <c r="A38" s="17" t="n"/>
      <c r="B38" s="18">
        <f>IF($C38="","",TEXT(TODAY(),"dd/mm/yyyy"))</f>
        <v/>
      </c>
      <c r="C38" s="19" t="n"/>
      <c r="D38" s="19" t="n"/>
      <c r="E38" s="18">
        <f>IF($D38="","",IFERROR(VLOOKUP($D38,ARTICLES!$A$5:$S$2243,3,FALSE),"reference inconnue"))</f>
        <v/>
      </c>
      <c r="F38" s="19" t="n"/>
      <c r="G38" s="19" t="n"/>
      <c r="H38" s="19" t="n"/>
      <c r="I38" s="19" t="n"/>
      <c r="J38" s="19" t="n"/>
      <c r="K38" s="19" t="n"/>
      <c r="L38" s="19" t="n"/>
      <c r="M38" s="19" t="n"/>
      <c r="N38" s="17" t="inlineStr">
        <is>
          <t>BROUILLON</t>
        </is>
      </c>
      <c r="O38" s="17" t="n"/>
      <c r="P38" s="17" t="n"/>
      <c r="Q38" s="17" t="n"/>
      <c r="R38" s="17" t="n"/>
      <c r="S38" s="17" t="n"/>
      <c r="T38" s="17" t="n"/>
      <c r="U38" s="17" t="n"/>
    </row>
    <row r="39">
      <c r="A39" s="17" t="n"/>
      <c r="B39" s="18">
        <f>IF($C39="","",TEXT(TODAY(),"dd/mm/yyyy"))</f>
        <v/>
      </c>
      <c r="C39" s="19" t="n"/>
      <c r="D39" s="19" t="n"/>
      <c r="E39" s="18">
        <f>IF($D39="","",IFERROR(VLOOKUP($D39,ARTICLES!$A$5:$S$2243,3,FALSE),"reference inconnue"))</f>
        <v/>
      </c>
      <c r="F39" s="19" t="n"/>
      <c r="G39" s="19" t="n"/>
      <c r="H39" s="19" t="n"/>
      <c r="I39" s="19" t="n"/>
      <c r="J39" s="19" t="n"/>
      <c r="K39" s="19" t="n"/>
      <c r="L39" s="19" t="n"/>
      <c r="M39" s="19" t="n"/>
      <c r="N39" s="17" t="inlineStr">
        <is>
          <t>BROUILLON</t>
        </is>
      </c>
      <c r="O39" s="17" t="n"/>
      <c r="P39" s="17" t="n"/>
      <c r="Q39" s="17" t="n"/>
      <c r="R39" s="17" t="n"/>
      <c r="S39" s="17" t="n"/>
      <c r="T39" s="17" t="n"/>
      <c r="U39" s="17" t="n"/>
    </row>
    <row r="40">
      <c r="A40" s="17" t="n"/>
      <c r="B40" s="18">
        <f>IF($C40="","",TEXT(TODAY(),"dd/mm/yyyy"))</f>
        <v/>
      </c>
      <c r="C40" s="19" t="n"/>
      <c r="D40" s="19" t="n"/>
      <c r="E40" s="18">
        <f>IF($D40="","",IFERROR(VLOOKUP($D40,ARTICLES!$A$5:$S$2243,3,FALSE),"reference inconnue"))</f>
        <v/>
      </c>
      <c r="F40" s="19" t="n"/>
      <c r="G40" s="19" t="n"/>
      <c r="H40" s="19" t="n"/>
      <c r="I40" s="19" t="n"/>
      <c r="J40" s="19" t="n"/>
      <c r="K40" s="19" t="n"/>
      <c r="L40" s="19" t="n"/>
      <c r="M40" s="19" t="n"/>
      <c r="N40" s="17" t="inlineStr">
        <is>
          <t>BROUILLON</t>
        </is>
      </c>
      <c r="O40" s="17" t="n"/>
      <c r="P40" s="17" t="n"/>
      <c r="Q40" s="17" t="n"/>
      <c r="R40" s="17" t="n"/>
      <c r="S40" s="17" t="n"/>
      <c r="T40" s="17" t="n"/>
      <c r="U40" s="17" t="n"/>
    </row>
    <row r="41">
      <c r="A41" s="17" t="n"/>
      <c r="B41" s="18">
        <f>IF($C41="","",TEXT(TODAY(),"dd/mm/yyyy"))</f>
        <v/>
      </c>
      <c r="C41" s="19" t="n"/>
      <c r="D41" s="19" t="n"/>
      <c r="E41" s="18">
        <f>IF($D41="","",IFERROR(VLOOKUP($D41,ARTICLES!$A$5:$S$2243,3,FALSE),"reference inconnue"))</f>
        <v/>
      </c>
      <c r="F41" s="19" t="n"/>
      <c r="G41" s="19" t="n"/>
      <c r="H41" s="19" t="n"/>
      <c r="I41" s="19" t="n"/>
      <c r="J41" s="19" t="n"/>
      <c r="K41" s="19" t="n"/>
      <c r="L41" s="19" t="n"/>
      <c r="M41" s="19" t="n"/>
      <c r="N41" s="17" t="inlineStr">
        <is>
          <t>BROUILLON</t>
        </is>
      </c>
      <c r="O41" s="17" t="n"/>
      <c r="P41" s="17" t="n"/>
      <c r="Q41" s="17" t="n"/>
      <c r="R41" s="17" t="n"/>
      <c r="S41" s="17" t="n"/>
      <c r="T41" s="17" t="n"/>
      <c r="U41" s="17" t="n"/>
    </row>
    <row r="42">
      <c r="A42" s="17" t="n"/>
      <c r="B42" s="18">
        <f>IF($C42="","",TEXT(TODAY(),"dd/mm/yyyy"))</f>
        <v/>
      </c>
      <c r="C42" s="19" t="n"/>
      <c r="D42" s="19" t="n"/>
      <c r="E42" s="18">
        <f>IF($D42="","",IFERROR(VLOOKUP($D42,ARTICLES!$A$5:$S$2243,3,FALSE),"reference inconnue"))</f>
        <v/>
      </c>
      <c r="F42" s="19" t="n"/>
      <c r="G42" s="19" t="n"/>
      <c r="H42" s="19" t="n"/>
      <c r="I42" s="19" t="n"/>
      <c r="J42" s="19" t="n"/>
      <c r="K42" s="19" t="n"/>
      <c r="L42" s="19" t="n"/>
      <c r="M42" s="19" t="n"/>
      <c r="N42" s="17" t="inlineStr">
        <is>
          <t>BROUILLON</t>
        </is>
      </c>
      <c r="O42" s="17" t="n"/>
      <c r="P42" s="17" t="n"/>
      <c r="Q42" s="17" t="n"/>
      <c r="R42" s="17" t="n"/>
      <c r="S42" s="17" t="n"/>
      <c r="T42" s="17" t="n"/>
      <c r="U42" s="17" t="n"/>
    </row>
    <row r="43">
      <c r="A43" s="17" t="n"/>
      <c r="B43" s="18">
        <f>IF($C43="","",TEXT(TODAY(),"dd/mm/yyyy"))</f>
        <v/>
      </c>
      <c r="C43" s="19" t="n"/>
      <c r="D43" s="19" t="n"/>
      <c r="E43" s="18">
        <f>IF($D43="","",IFERROR(VLOOKUP($D43,ARTICLES!$A$5:$S$2243,3,FALSE),"reference inconnue"))</f>
        <v/>
      </c>
      <c r="F43" s="19" t="n"/>
      <c r="G43" s="19" t="n"/>
      <c r="H43" s="19" t="n"/>
      <c r="I43" s="19" t="n"/>
      <c r="J43" s="19" t="n"/>
      <c r="K43" s="19" t="n"/>
      <c r="L43" s="19" t="n"/>
      <c r="M43" s="19" t="n"/>
      <c r="N43" s="17" t="inlineStr">
        <is>
          <t>BROUILLON</t>
        </is>
      </c>
      <c r="O43" s="17" t="n"/>
      <c r="P43" s="17" t="n"/>
      <c r="Q43" s="17" t="n"/>
      <c r="R43" s="17" t="n"/>
      <c r="S43" s="17" t="n"/>
      <c r="T43" s="17" t="n"/>
      <c r="U43" s="17" t="n"/>
    </row>
    <row r="44">
      <c r="A44" s="17" t="n"/>
      <c r="B44" s="18">
        <f>IF($C44="","",TEXT(TODAY(),"dd/mm/yyyy"))</f>
        <v/>
      </c>
      <c r="C44" s="19" t="n"/>
      <c r="D44" s="19" t="n"/>
      <c r="E44" s="18">
        <f>IF($D44="","",IFERROR(VLOOKUP($D44,ARTICLES!$A$5:$S$2243,3,FALSE),"reference inconnue"))</f>
        <v/>
      </c>
      <c r="F44" s="19" t="n"/>
      <c r="G44" s="19" t="n"/>
      <c r="H44" s="19" t="n"/>
      <c r="I44" s="19" t="n"/>
      <c r="J44" s="19" t="n"/>
      <c r="K44" s="19" t="n"/>
      <c r="L44" s="19" t="n"/>
      <c r="M44" s="19" t="n"/>
      <c r="N44" s="17" t="inlineStr">
        <is>
          <t>BROUILLON</t>
        </is>
      </c>
      <c r="O44" s="17" t="n"/>
      <c r="P44" s="17" t="n"/>
      <c r="Q44" s="17" t="n"/>
      <c r="R44" s="17" t="n"/>
      <c r="S44" s="17" t="n"/>
      <c r="T44" s="17" t="n"/>
      <c r="U44" s="17" t="n"/>
    </row>
    <row r="45">
      <c r="A45" s="17" t="n"/>
      <c r="B45" s="18">
        <f>IF($C45="","",TEXT(TODAY(),"dd/mm/yyyy"))</f>
        <v/>
      </c>
      <c r="C45" s="19" t="n"/>
      <c r="D45" s="19" t="n"/>
      <c r="E45" s="18">
        <f>IF($D45="","",IFERROR(VLOOKUP($D45,ARTICLES!$A$5:$S$2243,3,FALSE),"reference inconnue"))</f>
        <v/>
      </c>
      <c r="F45" s="19" t="n"/>
      <c r="G45" s="19" t="n"/>
      <c r="H45" s="19" t="n"/>
      <c r="I45" s="19" t="n"/>
      <c r="J45" s="19" t="n"/>
      <c r="K45" s="19" t="n"/>
      <c r="L45" s="19" t="n"/>
      <c r="M45" s="19" t="n"/>
      <c r="N45" s="17" t="inlineStr">
        <is>
          <t>BROUILLON</t>
        </is>
      </c>
      <c r="O45" s="17" t="n"/>
      <c r="P45" s="17" t="n"/>
      <c r="Q45" s="17" t="n"/>
      <c r="R45" s="17" t="n"/>
      <c r="S45" s="17" t="n"/>
      <c r="T45" s="17" t="n"/>
      <c r="U45" s="17" t="n"/>
    </row>
    <row r="46">
      <c r="A46" s="17" t="n"/>
      <c r="B46" s="18">
        <f>IF($C46="","",TEXT(TODAY(),"dd/mm/yyyy"))</f>
        <v/>
      </c>
      <c r="C46" s="19" t="n"/>
      <c r="D46" s="19" t="n"/>
      <c r="E46" s="18">
        <f>IF($D46="","",IFERROR(VLOOKUP($D46,ARTICLES!$A$5:$S$2243,3,FALSE),"reference inconnue"))</f>
        <v/>
      </c>
      <c r="F46" s="19" t="n"/>
      <c r="G46" s="19" t="n"/>
      <c r="H46" s="19" t="n"/>
      <c r="I46" s="19" t="n"/>
      <c r="J46" s="19" t="n"/>
      <c r="K46" s="19" t="n"/>
      <c r="L46" s="19" t="n"/>
      <c r="M46" s="19" t="n"/>
      <c r="N46" s="17" t="inlineStr">
        <is>
          <t>BROUILLON</t>
        </is>
      </c>
      <c r="O46" s="17" t="n"/>
      <c r="P46" s="17" t="n"/>
      <c r="Q46" s="17" t="n"/>
      <c r="R46" s="17" t="n"/>
      <c r="S46" s="17" t="n"/>
      <c r="T46" s="17" t="n"/>
      <c r="U46" s="17" t="n"/>
    </row>
    <row r="47">
      <c r="A47" s="17" t="n"/>
      <c r="B47" s="18">
        <f>IF($C47="","",TEXT(TODAY(),"dd/mm/yyyy"))</f>
        <v/>
      </c>
      <c r="C47" s="19" t="n"/>
      <c r="D47" s="19" t="n"/>
      <c r="E47" s="18">
        <f>IF($D47="","",IFERROR(VLOOKUP($D47,ARTICLES!$A$5:$S$2243,3,FALSE),"reference inconnue"))</f>
        <v/>
      </c>
      <c r="F47" s="19" t="n"/>
      <c r="G47" s="19" t="n"/>
      <c r="H47" s="19" t="n"/>
      <c r="I47" s="19" t="n"/>
      <c r="J47" s="19" t="n"/>
      <c r="K47" s="19" t="n"/>
      <c r="L47" s="19" t="n"/>
      <c r="M47" s="19" t="n"/>
      <c r="N47" s="17" t="inlineStr">
        <is>
          <t>BROUILLON</t>
        </is>
      </c>
      <c r="O47" s="17" t="n"/>
      <c r="P47" s="17" t="n"/>
      <c r="Q47" s="17" t="n"/>
      <c r="R47" s="17" t="n"/>
      <c r="S47" s="17" t="n"/>
      <c r="T47" s="17" t="n"/>
      <c r="U47" s="17" t="n"/>
    </row>
    <row r="48">
      <c r="A48" s="17" t="n"/>
      <c r="B48" s="18">
        <f>IF($C48="","",TEXT(TODAY(),"dd/mm/yyyy"))</f>
        <v/>
      </c>
      <c r="C48" s="19" t="n"/>
      <c r="D48" s="19" t="n"/>
      <c r="E48" s="18">
        <f>IF($D48="","",IFERROR(VLOOKUP($D48,ARTICLES!$A$5:$S$2243,3,FALSE),"reference inconnue"))</f>
        <v/>
      </c>
      <c r="F48" s="19" t="n"/>
      <c r="G48" s="19" t="n"/>
      <c r="H48" s="19" t="n"/>
      <c r="I48" s="19" t="n"/>
      <c r="J48" s="19" t="n"/>
      <c r="K48" s="19" t="n"/>
      <c r="L48" s="19" t="n"/>
      <c r="M48" s="19" t="n"/>
      <c r="N48" s="17" t="inlineStr">
        <is>
          <t>BROUILLON</t>
        </is>
      </c>
      <c r="O48" s="17" t="n"/>
      <c r="P48" s="17" t="n"/>
      <c r="Q48" s="17" t="n"/>
      <c r="R48" s="17" t="n"/>
      <c r="S48" s="17" t="n"/>
      <c r="T48" s="17" t="n"/>
      <c r="U48" s="17" t="n"/>
    </row>
    <row r="49">
      <c r="A49" s="17" t="n"/>
      <c r="B49" s="18">
        <f>IF($C49="","",TEXT(TODAY(),"dd/mm/yyyy"))</f>
        <v/>
      </c>
      <c r="C49" s="19" t="n"/>
      <c r="D49" s="19" t="n"/>
      <c r="E49" s="18">
        <f>IF($D49="","",IFERROR(VLOOKUP($D49,ARTICLES!$A$5:$S$2243,3,FALSE),"reference inconnue"))</f>
        <v/>
      </c>
      <c r="F49" s="19" t="n"/>
      <c r="G49" s="19" t="n"/>
      <c r="H49" s="19" t="n"/>
      <c r="I49" s="19" t="n"/>
      <c r="J49" s="19" t="n"/>
      <c r="K49" s="19" t="n"/>
      <c r="L49" s="19" t="n"/>
      <c r="M49" s="19" t="n"/>
      <c r="N49" s="17" t="inlineStr">
        <is>
          <t>BROUILLON</t>
        </is>
      </c>
      <c r="O49" s="17" t="n"/>
      <c r="P49" s="17" t="n"/>
      <c r="Q49" s="17" t="n"/>
      <c r="R49" s="17" t="n"/>
      <c r="S49" s="17" t="n"/>
      <c r="T49" s="17" t="n"/>
      <c r="U49" s="17" t="n"/>
    </row>
    <row r="50">
      <c r="A50" s="17" t="n"/>
      <c r="B50" s="18">
        <f>IF($C50="","",TEXT(TODAY(),"dd/mm/yyyy"))</f>
        <v/>
      </c>
      <c r="C50" s="19" t="n"/>
      <c r="D50" s="19" t="n"/>
      <c r="E50" s="18">
        <f>IF($D50="","",IFERROR(VLOOKUP($D50,ARTICLES!$A$5:$S$2243,3,FALSE),"reference inconnue"))</f>
        <v/>
      </c>
      <c r="F50" s="19" t="n"/>
      <c r="G50" s="19" t="n"/>
      <c r="H50" s="19" t="n"/>
      <c r="I50" s="19" t="n"/>
      <c r="J50" s="19" t="n"/>
      <c r="K50" s="19" t="n"/>
      <c r="L50" s="19" t="n"/>
      <c r="M50" s="19" t="n"/>
      <c r="N50" s="17" t="inlineStr">
        <is>
          <t>BROUILLON</t>
        </is>
      </c>
      <c r="O50" s="17" t="n"/>
      <c r="P50" s="17" t="n"/>
      <c r="Q50" s="17" t="n"/>
      <c r="R50" s="17" t="n"/>
      <c r="S50" s="17" t="n"/>
      <c r="T50" s="17" t="n"/>
      <c r="U50" s="17" t="n"/>
    </row>
    <row r="51">
      <c r="A51" s="17" t="n"/>
      <c r="B51" s="18">
        <f>IF($C51="","",TEXT(TODAY(),"dd/mm/yyyy"))</f>
        <v/>
      </c>
      <c r="C51" s="19" t="n"/>
      <c r="D51" s="19" t="n"/>
      <c r="E51" s="18">
        <f>IF($D51="","",IFERROR(VLOOKUP($D51,ARTICLES!$A$5:$S$2243,3,FALSE),"reference inconnue"))</f>
        <v/>
      </c>
      <c r="F51" s="19" t="n"/>
      <c r="G51" s="19" t="n"/>
      <c r="H51" s="19" t="n"/>
      <c r="I51" s="19" t="n"/>
      <c r="J51" s="19" t="n"/>
      <c r="K51" s="19" t="n"/>
      <c r="L51" s="19" t="n"/>
      <c r="M51" s="19" t="n"/>
      <c r="N51" s="17" t="inlineStr">
        <is>
          <t>BROUILLON</t>
        </is>
      </c>
      <c r="O51" s="17" t="n"/>
      <c r="P51" s="17" t="n"/>
      <c r="Q51" s="17" t="n"/>
      <c r="R51" s="17" t="n"/>
      <c r="S51" s="17" t="n"/>
      <c r="T51" s="17" t="n"/>
      <c r="U51" s="17" t="n"/>
    </row>
    <row r="52">
      <c r="A52" s="17" t="n"/>
      <c r="B52" s="18">
        <f>IF($C52="","",TEXT(TODAY(),"dd/mm/yyyy"))</f>
        <v/>
      </c>
      <c r="C52" s="19" t="n"/>
      <c r="D52" s="19" t="n"/>
      <c r="E52" s="18">
        <f>IF($D52="","",IFERROR(VLOOKUP($D52,ARTICLES!$A$5:$S$2243,3,FALSE),"reference inconnue"))</f>
        <v/>
      </c>
      <c r="F52" s="19" t="n"/>
      <c r="G52" s="19" t="n"/>
      <c r="H52" s="19" t="n"/>
      <c r="I52" s="19" t="n"/>
      <c r="J52" s="19" t="n"/>
      <c r="K52" s="19" t="n"/>
      <c r="L52" s="19" t="n"/>
      <c r="M52" s="19" t="n"/>
      <c r="N52" s="17" t="inlineStr">
        <is>
          <t>BROUILLON</t>
        </is>
      </c>
      <c r="O52" s="17" t="n"/>
      <c r="P52" s="17" t="n"/>
      <c r="Q52" s="17" t="n"/>
      <c r="R52" s="17" t="n"/>
      <c r="S52" s="17" t="n"/>
      <c r="T52" s="17" t="n"/>
      <c r="U52" s="17" t="n"/>
    </row>
    <row r="53">
      <c r="A53" s="17" t="n"/>
      <c r="B53" s="18">
        <f>IF($C53="","",TEXT(TODAY(),"dd/mm/yyyy"))</f>
        <v/>
      </c>
      <c r="C53" s="19" t="n"/>
      <c r="D53" s="19" t="n"/>
      <c r="E53" s="18">
        <f>IF($D53="","",IFERROR(VLOOKUP($D53,ARTICLES!$A$5:$S$2243,3,FALSE),"reference inconnue"))</f>
        <v/>
      </c>
      <c r="F53" s="19" t="n"/>
      <c r="G53" s="19" t="n"/>
      <c r="H53" s="19" t="n"/>
      <c r="I53" s="19" t="n"/>
      <c r="J53" s="19" t="n"/>
      <c r="K53" s="19" t="n"/>
      <c r="L53" s="19" t="n"/>
      <c r="M53" s="19" t="n"/>
      <c r="N53" s="17" t="inlineStr">
        <is>
          <t>BROUILLON</t>
        </is>
      </c>
      <c r="O53" s="17" t="n"/>
      <c r="P53" s="17" t="n"/>
      <c r="Q53" s="17" t="n"/>
      <c r="R53" s="17" t="n"/>
      <c r="S53" s="17" t="n"/>
      <c r="T53" s="17" t="n"/>
      <c r="U53" s="17" t="n"/>
    </row>
    <row r="54">
      <c r="A54" s="17" t="n"/>
      <c r="B54" s="18">
        <f>IF($C54="","",TEXT(TODAY(),"dd/mm/yyyy"))</f>
        <v/>
      </c>
      <c r="C54" s="19" t="n"/>
      <c r="D54" s="19" t="n"/>
      <c r="E54" s="18">
        <f>IF($D54="","",IFERROR(VLOOKUP($D54,ARTICLES!$A$5:$S$2243,3,FALSE),"reference inconnue"))</f>
        <v/>
      </c>
      <c r="F54" s="19" t="n"/>
      <c r="G54" s="19" t="n"/>
      <c r="H54" s="19" t="n"/>
      <c r="I54" s="19" t="n"/>
      <c r="J54" s="19" t="n"/>
      <c r="K54" s="19" t="n"/>
      <c r="L54" s="19" t="n"/>
      <c r="M54" s="19" t="n"/>
      <c r="N54" s="17" t="inlineStr">
        <is>
          <t>BROUILLON</t>
        </is>
      </c>
      <c r="O54" s="17" t="n"/>
      <c r="P54" s="17" t="n"/>
      <c r="Q54" s="17" t="n"/>
      <c r="R54" s="17" t="n"/>
      <c r="S54" s="17" t="n"/>
      <c r="T54" s="17" t="n"/>
      <c r="U54" s="17" t="n"/>
    </row>
    <row r="55">
      <c r="A55" s="17" t="n"/>
      <c r="B55" s="18">
        <f>IF($C55="","",TEXT(TODAY(),"dd/mm/yyyy"))</f>
        <v/>
      </c>
      <c r="C55" s="19" t="n"/>
      <c r="D55" s="19" t="n"/>
      <c r="E55" s="18">
        <f>IF($D55="","",IFERROR(VLOOKUP($D55,ARTICLES!$A$5:$S$2243,3,FALSE),"reference inconnue"))</f>
        <v/>
      </c>
      <c r="F55" s="19" t="n"/>
      <c r="G55" s="19" t="n"/>
      <c r="H55" s="19" t="n"/>
      <c r="I55" s="19" t="n"/>
      <c r="J55" s="19" t="n"/>
      <c r="K55" s="19" t="n"/>
      <c r="L55" s="19" t="n"/>
      <c r="M55" s="19" t="n"/>
      <c r="N55" s="17" t="inlineStr">
        <is>
          <t>BROUILLON</t>
        </is>
      </c>
      <c r="O55" s="17" t="n"/>
      <c r="P55" s="17" t="n"/>
      <c r="Q55" s="17" t="n"/>
      <c r="R55" s="17" t="n"/>
      <c r="S55" s="17" t="n"/>
      <c r="T55" s="17" t="n"/>
      <c r="U55" s="17" t="n"/>
    </row>
    <row r="56">
      <c r="A56" s="17" t="n"/>
      <c r="B56" s="18">
        <f>IF($C56="","",TEXT(TODAY(),"dd/mm/yyyy"))</f>
        <v/>
      </c>
      <c r="C56" s="19" t="n"/>
      <c r="D56" s="19" t="n"/>
      <c r="E56" s="18">
        <f>IF($D56="","",IFERROR(VLOOKUP($D56,ARTICLES!$A$5:$S$2243,3,FALSE),"reference inconnue"))</f>
        <v/>
      </c>
      <c r="F56" s="19" t="n"/>
      <c r="G56" s="19" t="n"/>
      <c r="H56" s="19" t="n"/>
      <c r="I56" s="19" t="n"/>
      <c r="J56" s="19" t="n"/>
      <c r="K56" s="19" t="n"/>
      <c r="L56" s="19" t="n"/>
      <c r="M56" s="19" t="n"/>
      <c r="N56" s="17" t="inlineStr">
        <is>
          <t>BROUILLON</t>
        </is>
      </c>
      <c r="O56" s="17" t="n"/>
      <c r="P56" s="17" t="n"/>
      <c r="Q56" s="17" t="n"/>
      <c r="R56" s="17" t="n"/>
      <c r="S56" s="17" t="n"/>
      <c r="T56" s="17" t="n"/>
      <c r="U56" s="17" t="n"/>
    </row>
    <row r="57">
      <c r="A57" s="17" t="n"/>
      <c r="B57" s="18">
        <f>IF($C57="","",TEXT(TODAY(),"dd/mm/yyyy"))</f>
        <v/>
      </c>
      <c r="C57" s="19" t="n"/>
      <c r="D57" s="19" t="n"/>
      <c r="E57" s="18">
        <f>IF($D57="","",IFERROR(VLOOKUP($D57,ARTICLES!$A$5:$S$2243,3,FALSE),"reference inconnue"))</f>
        <v/>
      </c>
      <c r="F57" s="19" t="n"/>
      <c r="G57" s="19" t="n"/>
      <c r="H57" s="19" t="n"/>
      <c r="I57" s="19" t="n"/>
      <c r="J57" s="19" t="n"/>
      <c r="K57" s="19" t="n"/>
      <c r="L57" s="19" t="n"/>
      <c r="M57" s="19" t="n"/>
      <c r="N57" s="17" t="inlineStr">
        <is>
          <t>BROUILLON</t>
        </is>
      </c>
      <c r="O57" s="17" t="n"/>
      <c r="P57" s="17" t="n"/>
      <c r="Q57" s="17" t="n"/>
      <c r="R57" s="17" t="n"/>
      <c r="S57" s="17" t="n"/>
      <c r="T57" s="17" t="n"/>
      <c r="U57" s="17" t="n"/>
    </row>
    <row r="58">
      <c r="A58" s="17" t="n"/>
      <c r="B58" s="18">
        <f>IF($C58="","",TEXT(TODAY(),"dd/mm/yyyy"))</f>
        <v/>
      </c>
      <c r="C58" s="19" t="n"/>
      <c r="D58" s="19" t="n"/>
      <c r="E58" s="18">
        <f>IF($D58="","",IFERROR(VLOOKUP($D58,ARTICLES!$A$5:$S$2243,3,FALSE),"reference inconnue"))</f>
        <v/>
      </c>
      <c r="F58" s="19" t="n"/>
      <c r="G58" s="19" t="n"/>
      <c r="H58" s="19" t="n"/>
      <c r="I58" s="19" t="n"/>
      <c r="J58" s="19" t="n"/>
      <c r="K58" s="19" t="n"/>
      <c r="L58" s="19" t="n"/>
      <c r="M58" s="19" t="n"/>
      <c r="N58" s="17" t="inlineStr">
        <is>
          <t>BROUILLON</t>
        </is>
      </c>
      <c r="O58" s="17" t="n"/>
      <c r="P58" s="17" t="n"/>
      <c r="Q58" s="17" t="n"/>
      <c r="R58" s="17" t="n"/>
      <c r="S58" s="17" t="n"/>
      <c r="T58" s="17" t="n"/>
      <c r="U58" s="17" t="n"/>
    </row>
    <row r="59">
      <c r="A59" s="17" t="n"/>
      <c r="B59" s="18">
        <f>IF($C59="","",TEXT(TODAY(),"dd/mm/yyyy"))</f>
        <v/>
      </c>
      <c r="C59" s="19" t="n"/>
      <c r="D59" s="19" t="n"/>
      <c r="E59" s="18">
        <f>IF($D59="","",IFERROR(VLOOKUP($D59,ARTICLES!$A$5:$S$2243,3,FALSE),"reference inconnue"))</f>
        <v/>
      </c>
      <c r="F59" s="19" t="n"/>
      <c r="G59" s="19" t="n"/>
      <c r="H59" s="19" t="n"/>
      <c r="I59" s="19" t="n"/>
      <c r="J59" s="19" t="n"/>
      <c r="K59" s="19" t="n"/>
      <c r="L59" s="19" t="n"/>
      <c r="M59" s="19" t="n"/>
      <c r="N59" s="17" t="inlineStr">
        <is>
          <t>BROUILLON</t>
        </is>
      </c>
      <c r="O59" s="17" t="n"/>
      <c r="P59" s="17" t="n"/>
      <c r="Q59" s="17" t="n"/>
      <c r="R59" s="17" t="n"/>
      <c r="S59" s="17" t="n"/>
      <c r="T59" s="17" t="n"/>
      <c r="U59" s="17" t="n"/>
    </row>
    <row r="60">
      <c r="A60" s="17" t="n"/>
      <c r="B60" s="18">
        <f>IF($C60="","",TEXT(TODAY(),"dd/mm/yyyy"))</f>
        <v/>
      </c>
      <c r="C60" s="19" t="n"/>
      <c r="D60" s="19" t="n"/>
      <c r="E60" s="18">
        <f>IF($D60="","",IFERROR(VLOOKUP($D60,ARTICLES!$A$5:$S$2243,3,FALSE),"reference inconnue"))</f>
        <v/>
      </c>
      <c r="F60" s="19" t="n"/>
      <c r="G60" s="19" t="n"/>
      <c r="H60" s="19" t="n"/>
      <c r="I60" s="19" t="n"/>
      <c r="J60" s="19" t="n"/>
      <c r="K60" s="19" t="n"/>
      <c r="L60" s="19" t="n"/>
      <c r="M60" s="19" t="n"/>
      <c r="N60" s="17" t="inlineStr">
        <is>
          <t>BROUILLON</t>
        </is>
      </c>
      <c r="O60" s="17" t="n"/>
      <c r="P60" s="17" t="n"/>
      <c r="Q60" s="17" t="n"/>
      <c r="R60" s="17" t="n"/>
      <c r="S60" s="17" t="n"/>
      <c r="T60" s="17" t="n"/>
      <c r="U60" s="17" t="n"/>
    </row>
    <row r="61">
      <c r="A61" s="17" t="n"/>
      <c r="B61" s="18">
        <f>IF($C61="","",TEXT(TODAY(),"dd/mm/yyyy"))</f>
        <v/>
      </c>
      <c r="C61" s="19" t="n"/>
      <c r="D61" s="19" t="n"/>
      <c r="E61" s="18">
        <f>IF($D61="","",IFERROR(VLOOKUP($D61,ARTICLES!$A$5:$S$2243,3,FALSE),"reference inconnue"))</f>
        <v/>
      </c>
      <c r="F61" s="19" t="n"/>
      <c r="G61" s="19" t="n"/>
      <c r="H61" s="19" t="n"/>
      <c r="I61" s="19" t="n"/>
      <c r="J61" s="19" t="n"/>
      <c r="K61" s="19" t="n"/>
      <c r="L61" s="19" t="n"/>
      <c r="M61" s="19" t="n"/>
      <c r="N61" s="17" t="inlineStr">
        <is>
          <t>BROUILLON</t>
        </is>
      </c>
      <c r="O61" s="17" t="n"/>
      <c r="P61" s="17" t="n"/>
      <c r="Q61" s="17" t="n"/>
      <c r="R61" s="17" t="n"/>
      <c r="S61" s="17" t="n"/>
      <c r="T61" s="17" t="n"/>
      <c r="U61" s="17" t="n"/>
    </row>
    <row r="62">
      <c r="A62" s="17" t="n"/>
      <c r="B62" s="18">
        <f>IF($C62="","",TEXT(TODAY(),"dd/mm/yyyy"))</f>
        <v/>
      </c>
      <c r="C62" s="19" t="n"/>
      <c r="D62" s="19" t="n"/>
      <c r="E62" s="18">
        <f>IF($D62="","",IFERROR(VLOOKUP($D62,ARTICLES!$A$5:$S$2243,3,FALSE),"reference inconnue"))</f>
        <v/>
      </c>
      <c r="F62" s="19" t="n"/>
      <c r="G62" s="19" t="n"/>
      <c r="H62" s="19" t="n"/>
      <c r="I62" s="19" t="n"/>
      <c r="J62" s="19" t="n"/>
      <c r="K62" s="19" t="n"/>
      <c r="L62" s="19" t="n"/>
      <c r="M62" s="19" t="n"/>
      <c r="N62" s="17" t="inlineStr">
        <is>
          <t>BROUILLON</t>
        </is>
      </c>
      <c r="O62" s="17" t="n"/>
      <c r="P62" s="17" t="n"/>
      <c r="Q62" s="17" t="n"/>
      <c r="R62" s="17" t="n"/>
      <c r="S62" s="17" t="n"/>
      <c r="T62" s="17" t="n"/>
      <c r="U62" s="17" t="n"/>
    </row>
    <row r="63">
      <c r="A63" s="17" t="n"/>
      <c r="B63" s="18">
        <f>IF($C63="","",TEXT(TODAY(),"dd/mm/yyyy"))</f>
        <v/>
      </c>
      <c r="C63" s="19" t="n"/>
      <c r="D63" s="19" t="n"/>
      <c r="E63" s="18">
        <f>IF($D63="","",IFERROR(VLOOKUP($D63,ARTICLES!$A$5:$S$2243,3,FALSE),"reference inconnue"))</f>
        <v/>
      </c>
      <c r="F63" s="19" t="n"/>
      <c r="G63" s="19" t="n"/>
      <c r="H63" s="19" t="n"/>
      <c r="I63" s="19" t="n"/>
      <c r="J63" s="19" t="n"/>
      <c r="K63" s="19" t="n"/>
      <c r="L63" s="19" t="n"/>
      <c r="M63" s="19" t="n"/>
      <c r="N63" s="17" t="inlineStr">
        <is>
          <t>BROUILLON</t>
        </is>
      </c>
      <c r="O63" s="17" t="n"/>
      <c r="P63" s="17" t="n"/>
      <c r="Q63" s="17" t="n"/>
      <c r="R63" s="17" t="n"/>
      <c r="S63" s="17" t="n"/>
      <c r="T63" s="17" t="n"/>
      <c r="U63" s="17" t="n"/>
    </row>
    <row r="64">
      <c r="A64" s="17" t="n"/>
      <c r="B64" s="18">
        <f>IF($C64="","",TEXT(TODAY(),"dd/mm/yyyy"))</f>
        <v/>
      </c>
      <c r="C64" s="19" t="n"/>
      <c r="D64" s="19" t="n"/>
      <c r="E64" s="18">
        <f>IF($D64="","",IFERROR(VLOOKUP($D64,ARTICLES!$A$5:$S$2243,3,FALSE),"reference inconnue"))</f>
        <v/>
      </c>
      <c r="F64" s="19" t="n"/>
      <c r="G64" s="19" t="n"/>
      <c r="H64" s="19" t="n"/>
      <c r="I64" s="19" t="n"/>
      <c r="J64" s="19" t="n"/>
      <c r="K64" s="19" t="n"/>
      <c r="L64" s="19" t="n"/>
      <c r="M64" s="19" t="n"/>
      <c r="N64" s="17" t="inlineStr">
        <is>
          <t>BROUILLON</t>
        </is>
      </c>
      <c r="O64" s="17" t="n"/>
      <c r="P64" s="17" t="n"/>
      <c r="Q64" s="17" t="n"/>
      <c r="R64" s="17" t="n"/>
      <c r="S64" s="17" t="n"/>
      <c r="T64" s="17" t="n"/>
      <c r="U64" s="17" t="n"/>
    </row>
    <row r="65">
      <c r="A65" s="17" t="n"/>
      <c r="B65" s="18">
        <f>IF($C65="","",TEXT(TODAY(),"dd/mm/yyyy"))</f>
        <v/>
      </c>
      <c r="C65" s="19" t="n"/>
      <c r="D65" s="19" t="n"/>
      <c r="E65" s="18">
        <f>IF($D65="","",IFERROR(VLOOKUP($D65,ARTICLES!$A$5:$S$2243,3,FALSE),"reference inconnue"))</f>
        <v/>
      </c>
      <c r="F65" s="19" t="n"/>
      <c r="G65" s="19" t="n"/>
      <c r="H65" s="19" t="n"/>
      <c r="I65" s="19" t="n"/>
      <c r="J65" s="19" t="n"/>
      <c r="K65" s="19" t="n"/>
      <c r="L65" s="19" t="n"/>
      <c r="M65" s="19" t="n"/>
      <c r="N65" s="17" t="inlineStr">
        <is>
          <t>BROUILLON</t>
        </is>
      </c>
      <c r="O65" s="17" t="n"/>
      <c r="P65" s="17" t="n"/>
      <c r="Q65" s="17" t="n"/>
      <c r="R65" s="17" t="n"/>
      <c r="S65" s="17" t="n"/>
      <c r="T65" s="17" t="n"/>
      <c r="U65" s="17" t="n"/>
    </row>
    <row r="66">
      <c r="A66" s="17" t="n"/>
      <c r="B66" s="18">
        <f>IF($C66="","",TEXT(TODAY(),"dd/mm/yyyy"))</f>
        <v/>
      </c>
      <c r="C66" s="19" t="n"/>
      <c r="D66" s="19" t="n"/>
      <c r="E66" s="18">
        <f>IF($D66="","",IFERROR(VLOOKUP($D66,ARTICLES!$A$5:$S$2243,3,FALSE),"reference inconnue"))</f>
        <v/>
      </c>
      <c r="F66" s="19" t="n"/>
      <c r="G66" s="19" t="n"/>
      <c r="H66" s="19" t="n"/>
      <c r="I66" s="19" t="n"/>
      <c r="J66" s="19" t="n"/>
      <c r="K66" s="19" t="n"/>
      <c r="L66" s="19" t="n"/>
      <c r="M66" s="19" t="n"/>
      <c r="N66" s="17" t="inlineStr">
        <is>
          <t>BROUILLON</t>
        </is>
      </c>
      <c r="O66" s="17" t="n"/>
      <c r="P66" s="17" t="n"/>
      <c r="Q66" s="17" t="n"/>
      <c r="R66" s="17" t="n"/>
      <c r="S66" s="17" t="n"/>
      <c r="T66" s="17" t="n"/>
      <c r="U66" s="17" t="n"/>
    </row>
    <row r="67">
      <c r="A67" s="17" t="n"/>
      <c r="B67" s="18">
        <f>IF($C67="","",TEXT(TODAY(),"dd/mm/yyyy"))</f>
        <v/>
      </c>
      <c r="C67" s="19" t="n"/>
      <c r="D67" s="19" t="n"/>
      <c r="E67" s="18">
        <f>IF($D67="","",IFERROR(VLOOKUP($D67,ARTICLES!$A$5:$S$2243,3,FALSE),"reference inconnue"))</f>
        <v/>
      </c>
      <c r="F67" s="19" t="n"/>
      <c r="G67" s="19" t="n"/>
      <c r="H67" s="19" t="n"/>
      <c r="I67" s="19" t="n"/>
      <c r="J67" s="19" t="n"/>
      <c r="K67" s="19" t="n"/>
      <c r="L67" s="19" t="n"/>
      <c r="M67" s="19" t="n"/>
      <c r="N67" s="17" t="inlineStr">
        <is>
          <t>BROUILLON</t>
        </is>
      </c>
      <c r="O67" s="17" t="n"/>
      <c r="P67" s="17" t="n"/>
      <c r="Q67" s="17" t="n"/>
      <c r="R67" s="17" t="n"/>
      <c r="S67" s="17" t="n"/>
      <c r="T67" s="17" t="n"/>
      <c r="U67" s="17" t="n"/>
    </row>
    <row r="68">
      <c r="A68" s="17" t="n"/>
      <c r="B68" s="18">
        <f>IF($C68="","",TEXT(TODAY(),"dd/mm/yyyy"))</f>
        <v/>
      </c>
      <c r="C68" s="19" t="n"/>
      <c r="D68" s="19" t="n"/>
      <c r="E68" s="18">
        <f>IF($D68="","",IFERROR(VLOOKUP($D68,ARTICLES!$A$5:$S$2243,3,FALSE),"reference inconnue"))</f>
        <v/>
      </c>
      <c r="F68" s="19" t="n"/>
      <c r="G68" s="19" t="n"/>
      <c r="H68" s="19" t="n"/>
      <c r="I68" s="19" t="n"/>
      <c r="J68" s="19" t="n"/>
      <c r="K68" s="19" t="n"/>
      <c r="L68" s="19" t="n"/>
      <c r="M68" s="19" t="n"/>
      <c r="N68" s="17" t="inlineStr">
        <is>
          <t>BROUILLON</t>
        </is>
      </c>
      <c r="O68" s="17" t="n"/>
      <c r="P68" s="17" t="n"/>
      <c r="Q68" s="17" t="n"/>
      <c r="R68" s="17" t="n"/>
      <c r="S68" s="17" t="n"/>
      <c r="T68" s="17" t="n"/>
      <c r="U68" s="17" t="n"/>
    </row>
    <row r="69">
      <c r="A69" s="17" t="n"/>
      <c r="B69" s="18">
        <f>IF($C69="","",TEXT(TODAY(),"dd/mm/yyyy"))</f>
        <v/>
      </c>
      <c r="C69" s="19" t="n"/>
      <c r="D69" s="19" t="n"/>
      <c r="E69" s="18">
        <f>IF($D69="","",IFERROR(VLOOKUP($D69,ARTICLES!$A$5:$S$2243,3,FALSE),"reference inconnue"))</f>
        <v/>
      </c>
      <c r="F69" s="19" t="n"/>
      <c r="G69" s="19" t="n"/>
      <c r="H69" s="19" t="n"/>
      <c r="I69" s="19" t="n"/>
      <c r="J69" s="19" t="n"/>
      <c r="K69" s="19" t="n"/>
      <c r="L69" s="19" t="n"/>
      <c r="M69" s="19" t="n"/>
      <c r="N69" s="17" t="inlineStr">
        <is>
          <t>BROUILLON</t>
        </is>
      </c>
      <c r="O69" s="17" t="n"/>
      <c r="P69" s="17" t="n"/>
      <c r="Q69" s="17" t="n"/>
      <c r="R69" s="17" t="n"/>
      <c r="S69" s="17" t="n"/>
      <c r="T69" s="17" t="n"/>
      <c r="U69" s="17" t="n"/>
    </row>
    <row r="70">
      <c r="A70" s="17" t="n"/>
      <c r="B70" s="18">
        <f>IF($C70="","",TEXT(TODAY(),"dd/mm/yyyy"))</f>
        <v/>
      </c>
      <c r="C70" s="19" t="n"/>
      <c r="D70" s="19" t="n"/>
      <c r="E70" s="18">
        <f>IF($D70="","",IFERROR(VLOOKUP($D70,ARTICLES!$A$5:$S$2243,3,FALSE),"reference inconnue"))</f>
        <v/>
      </c>
      <c r="F70" s="19" t="n"/>
      <c r="G70" s="19" t="n"/>
      <c r="H70" s="19" t="n"/>
      <c r="I70" s="19" t="n"/>
      <c r="J70" s="19" t="n"/>
      <c r="K70" s="19" t="n"/>
      <c r="L70" s="19" t="n"/>
      <c r="M70" s="19" t="n"/>
      <c r="N70" s="17" t="inlineStr">
        <is>
          <t>BROUILLON</t>
        </is>
      </c>
      <c r="O70" s="17" t="n"/>
      <c r="P70" s="17" t="n"/>
      <c r="Q70" s="17" t="n"/>
      <c r="R70" s="17" t="n"/>
      <c r="S70" s="17" t="n"/>
      <c r="T70" s="17" t="n"/>
      <c r="U70" s="17" t="n"/>
    </row>
    <row r="71">
      <c r="A71" s="17" t="n"/>
      <c r="B71" s="18">
        <f>IF($C71="","",TEXT(TODAY(),"dd/mm/yyyy"))</f>
        <v/>
      </c>
      <c r="C71" s="19" t="n"/>
      <c r="D71" s="19" t="n"/>
      <c r="E71" s="18">
        <f>IF($D71="","",IFERROR(VLOOKUP($D71,ARTICLES!$A$5:$S$2243,3,FALSE),"reference inconnue"))</f>
        <v/>
      </c>
      <c r="F71" s="19" t="n"/>
      <c r="G71" s="19" t="n"/>
      <c r="H71" s="19" t="n"/>
      <c r="I71" s="19" t="n"/>
      <c r="J71" s="19" t="n"/>
      <c r="K71" s="19" t="n"/>
      <c r="L71" s="19" t="n"/>
      <c r="M71" s="19" t="n"/>
      <c r="N71" s="17" t="inlineStr">
        <is>
          <t>BROUILLON</t>
        </is>
      </c>
      <c r="O71" s="17" t="n"/>
      <c r="P71" s="17" t="n"/>
      <c r="Q71" s="17" t="n"/>
      <c r="R71" s="17" t="n"/>
      <c r="S71" s="17" t="n"/>
      <c r="T71" s="17" t="n"/>
      <c r="U71" s="17" t="n"/>
    </row>
    <row r="72">
      <c r="A72" s="17" t="n"/>
      <c r="B72" s="18">
        <f>IF($C72="","",TEXT(TODAY(),"dd/mm/yyyy"))</f>
        <v/>
      </c>
      <c r="C72" s="19" t="n"/>
      <c r="D72" s="19" t="n"/>
      <c r="E72" s="18">
        <f>IF($D72="","",IFERROR(VLOOKUP($D72,ARTICLES!$A$5:$S$2243,3,FALSE),"reference inconnue"))</f>
        <v/>
      </c>
      <c r="F72" s="19" t="n"/>
      <c r="G72" s="19" t="n"/>
      <c r="H72" s="19" t="n"/>
      <c r="I72" s="19" t="n"/>
      <c r="J72" s="19" t="n"/>
      <c r="K72" s="19" t="n"/>
      <c r="L72" s="19" t="n"/>
      <c r="M72" s="19" t="n"/>
      <c r="N72" s="17" t="inlineStr">
        <is>
          <t>BROUILLON</t>
        </is>
      </c>
      <c r="O72" s="17" t="n"/>
      <c r="P72" s="17" t="n"/>
      <c r="Q72" s="17" t="n"/>
      <c r="R72" s="17" t="n"/>
      <c r="S72" s="17" t="n"/>
      <c r="T72" s="17" t="n"/>
      <c r="U72" s="17" t="n"/>
    </row>
    <row r="73">
      <c r="A73" s="17" t="n"/>
      <c r="B73" s="18">
        <f>IF($C73="","",TEXT(TODAY(),"dd/mm/yyyy"))</f>
        <v/>
      </c>
      <c r="C73" s="19" t="n"/>
      <c r="D73" s="19" t="n"/>
      <c r="E73" s="18">
        <f>IF($D73="","",IFERROR(VLOOKUP($D73,ARTICLES!$A$5:$S$2243,3,FALSE),"reference inconnue"))</f>
        <v/>
      </c>
      <c r="F73" s="19" t="n"/>
      <c r="G73" s="19" t="n"/>
      <c r="H73" s="19" t="n"/>
      <c r="I73" s="19" t="n"/>
      <c r="J73" s="19" t="n"/>
      <c r="K73" s="19" t="n"/>
      <c r="L73" s="19" t="n"/>
      <c r="M73" s="19" t="n"/>
      <c r="N73" s="17" t="inlineStr">
        <is>
          <t>BROUILLON</t>
        </is>
      </c>
      <c r="O73" s="17" t="n"/>
      <c r="P73" s="17" t="n"/>
      <c r="Q73" s="17" t="n"/>
      <c r="R73" s="17" t="n"/>
      <c r="S73" s="17" t="n"/>
      <c r="T73" s="17" t="n"/>
      <c r="U73" s="17" t="n"/>
    </row>
    <row r="74">
      <c r="A74" s="17" t="n"/>
      <c r="B74" s="18">
        <f>IF($C74="","",TEXT(TODAY(),"dd/mm/yyyy"))</f>
        <v/>
      </c>
      <c r="C74" s="19" t="n"/>
      <c r="D74" s="19" t="n"/>
      <c r="E74" s="18">
        <f>IF($D74="","",IFERROR(VLOOKUP($D74,ARTICLES!$A$5:$S$2243,3,FALSE),"reference inconnue"))</f>
        <v/>
      </c>
      <c r="F74" s="19" t="n"/>
      <c r="G74" s="19" t="n"/>
      <c r="H74" s="19" t="n"/>
      <c r="I74" s="19" t="n"/>
      <c r="J74" s="19" t="n"/>
      <c r="K74" s="19" t="n"/>
      <c r="L74" s="19" t="n"/>
      <c r="M74" s="19" t="n"/>
      <c r="N74" s="17" t="inlineStr">
        <is>
          <t>BROUILLON</t>
        </is>
      </c>
      <c r="O74" s="17" t="n"/>
      <c r="P74" s="17" t="n"/>
      <c r="Q74" s="17" t="n"/>
      <c r="R74" s="17" t="n"/>
      <c r="S74" s="17" t="n"/>
      <c r="T74" s="17" t="n"/>
      <c r="U74" s="17" t="n"/>
    </row>
    <row r="75">
      <c r="A75" s="17" t="n"/>
      <c r="B75" s="18">
        <f>IF($C75="","",TEXT(TODAY(),"dd/mm/yyyy"))</f>
        <v/>
      </c>
      <c r="C75" s="19" t="n"/>
      <c r="D75" s="19" t="n"/>
      <c r="E75" s="18">
        <f>IF($D75="","",IFERROR(VLOOKUP($D75,ARTICLES!$A$5:$S$2243,3,FALSE),"reference inconnue"))</f>
        <v/>
      </c>
      <c r="F75" s="19" t="n"/>
      <c r="G75" s="19" t="n"/>
      <c r="H75" s="19" t="n"/>
      <c r="I75" s="19" t="n"/>
      <c r="J75" s="19" t="n"/>
      <c r="K75" s="19" t="n"/>
      <c r="L75" s="19" t="n"/>
      <c r="M75" s="19" t="n"/>
      <c r="N75" s="17" t="inlineStr">
        <is>
          <t>BROUILLON</t>
        </is>
      </c>
      <c r="O75" s="17" t="n"/>
      <c r="P75" s="17" t="n"/>
      <c r="Q75" s="17" t="n"/>
      <c r="R75" s="17" t="n"/>
      <c r="S75" s="17" t="n"/>
      <c r="T75" s="17" t="n"/>
      <c r="U75" s="17" t="n"/>
    </row>
    <row r="76">
      <c r="A76" s="17" t="n"/>
      <c r="B76" s="18">
        <f>IF($C76="","",TEXT(TODAY(),"dd/mm/yyyy"))</f>
        <v/>
      </c>
      <c r="C76" s="19" t="n"/>
      <c r="D76" s="19" t="n"/>
      <c r="E76" s="18">
        <f>IF($D76="","",IFERROR(VLOOKUP($D76,ARTICLES!$A$5:$S$2243,3,FALSE),"reference inconnue"))</f>
        <v/>
      </c>
      <c r="F76" s="19" t="n"/>
      <c r="G76" s="19" t="n"/>
      <c r="H76" s="19" t="n"/>
      <c r="I76" s="19" t="n"/>
      <c r="J76" s="19" t="n"/>
      <c r="K76" s="19" t="n"/>
      <c r="L76" s="19" t="n"/>
      <c r="M76" s="19" t="n"/>
      <c r="N76" s="17" t="inlineStr">
        <is>
          <t>BROUILLON</t>
        </is>
      </c>
      <c r="O76" s="17" t="n"/>
      <c r="P76" s="17" t="n"/>
      <c r="Q76" s="17" t="n"/>
      <c r="R76" s="17" t="n"/>
      <c r="S76" s="17" t="n"/>
      <c r="T76" s="17" t="n"/>
      <c r="U76" s="17" t="n"/>
    </row>
    <row r="77">
      <c r="A77" s="17" t="n"/>
      <c r="B77" s="18">
        <f>IF($C77="","",TEXT(TODAY(),"dd/mm/yyyy"))</f>
        <v/>
      </c>
      <c r="C77" s="19" t="n"/>
      <c r="D77" s="19" t="n"/>
      <c r="E77" s="18">
        <f>IF($D77="","",IFERROR(VLOOKUP($D77,ARTICLES!$A$5:$S$2243,3,FALSE),"reference inconnue"))</f>
        <v/>
      </c>
      <c r="F77" s="19" t="n"/>
      <c r="G77" s="19" t="n"/>
      <c r="H77" s="19" t="n"/>
      <c r="I77" s="19" t="n"/>
      <c r="J77" s="19" t="n"/>
      <c r="K77" s="19" t="n"/>
      <c r="L77" s="19" t="n"/>
      <c r="M77" s="19" t="n"/>
      <c r="N77" s="17" t="inlineStr">
        <is>
          <t>BROUILLON</t>
        </is>
      </c>
      <c r="O77" s="17" t="n"/>
      <c r="P77" s="17" t="n"/>
      <c r="Q77" s="17" t="n"/>
      <c r="R77" s="17" t="n"/>
      <c r="S77" s="17" t="n"/>
      <c r="T77" s="17" t="n"/>
      <c r="U77" s="17" t="n"/>
    </row>
    <row r="78">
      <c r="A78" s="17" t="n"/>
      <c r="B78" s="18">
        <f>IF($C78="","",TEXT(TODAY(),"dd/mm/yyyy"))</f>
        <v/>
      </c>
      <c r="C78" s="19" t="n"/>
      <c r="D78" s="19" t="n"/>
      <c r="E78" s="18">
        <f>IF($D78="","",IFERROR(VLOOKUP($D78,ARTICLES!$A$5:$S$2243,3,FALSE),"reference inconnue"))</f>
        <v/>
      </c>
      <c r="F78" s="19" t="n"/>
      <c r="G78" s="19" t="n"/>
      <c r="H78" s="19" t="n"/>
      <c r="I78" s="19" t="n"/>
      <c r="J78" s="19" t="n"/>
      <c r="K78" s="19" t="n"/>
      <c r="L78" s="19" t="n"/>
      <c r="M78" s="19" t="n"/>
      <c r="N78" s="17" t="inlineStr">
        <is>
          <t>BROUILLON</t>
        </is>
      </c>
      <c r="O78" s="17" t="n"/>
      <c r="P78" s="17" t="n"/>
      <c r="Q78" s="17" t="n"/>
      <c r="R78" s="17" t="n"/>
      <c r="S78" s="17" t="n"/>
      <c r="T78" s="17" t="n"/>
      <c r="U78" s="17" t="n"/>
    </row>
    <row r="79">
      <c r="A79" s="17" t="n"/>
      <c r="B79" s="18">
        <f>IF($C79="","",TEXT(TODAY(),"dd/mm/yyyy"))</f>
        <v/>
      </c>
      <c r="C79" s="19" t="n"/>
      <c r="D79" s="19" t="n"/>
      <c r="E79" s="18">
        <f>IF($D79="","",IFERROR(VLOOKUP($D79,ARTICLES!$A$5:$S$2243,3,FALSE),"reference inconnue"))</f>
        <v/>
      </c>
      <c r="F79" s="19" t="n"/>
      <c r="G79" s="19" t="n"/>
      <c r="H79" s="19" t="n"/>
      <c r="I79" s="19" t="n"/>
      <c r="J79" s="19" t="n"/>
      <c r="K79" s="19" t="n"/>
      <c r="L79" s="19" t="n"/>
      <c r="M79" s="19" t="n"/>
      <c r="N79" s="17" t="inlineStr">
        <is>
          <t>BROUILLON</t>
        </is>
      </c>
      <c r="O79" s="17" t="n"/>
      <c r="P79" s="17" t="n"/>
      <c r="Q79" s="17" t="n"/>
      <c r="R79" s="17" t="n"/>
      <c r="S79" s="17" t="n"/>
      <c r="T79" s="17" t="n"/>
      <c r="U79" s="17" t="n"/>
    </row>
    <row r="80">
      <c r="A80" s="17" t="n"/>
      <c r="B80" s="18">
        <f>IF($C80="","",TEXT(TODAY(),"dd/mm/yyyy"))</f>
        <v/>
      </c>
      <c r="C80" s="19" t="n"/>
      <c r="D80" s="19" t="n"/>
      <c r="E80" s="18">
        <f>IF($D80="","",IFERROR(VLOOKUP($D80,ARTICLES!$A$5:$S$2243,3,FALSE),"reference inconnue"))</f>
        <v/>
      </c>
      <c r="F80" s="19" t="n"/>
      <c r="G80" s="19" t="n"/>
      <c r="H80" s="19" t="n"/>
      <c r="I80" s="19" t="n"/>
      <c r="J80" s="19" t="n"/>
      <c r="K80" s="19" t="n"/>
      <c r="L80" s="19" t="n"/>
      <c r="M80" s="19" t="n"/>
      <c r="N80" s="17" t="inlineStr">
        <is>
          <t>BROUILLON</t>
        </is>
      </c>
      <c r="O80" s="17" t="n"/>
      <c r="P80" s="17" t="n"/>
      <c r="Q80" s="17" t="n"/>
      <c r="R80" s="17" t="n"/>
      <c r="S80" s="17" t="n"/>
      <c r="T80" s="17" t="n"/>
      <c r="U80" s="17" t="n"/>
    </row>
    <row r="81">
      <c r="A81" s="17" t="n"/>
      <c r="B81" s="18">
        <f>IF($C81="","",TEXT(TODAY(),"dd/mm/yyyy"))</f>
        <v/>
      </c>
      <c r="C81" s="19" t="n"/>
      <c r="D81" s="19" t="n"/>
      <c r="E81" s="18">
        <f>IF($D81="","",IFERROR(VLOOKUP($D81,ARTICLES!$A$5:$S$2243,3,FALSE),"reference inconnue"))</f>
        <v/>
      </c>
      <c r="F81" s="19" t="n"/>
      <c r="G81" s="19" t="n"/>
      <c r="H81" s="19" t="n"/>
      <c r="I81" s="19" t="n"/>
      <c r="J81" s="19" t="n"/>
      <c r="K81" s="19" t="n"/>
      <c r="L81" s="19" t="n"/>
      <c r="M81" s="19" t="n"/>
      <c r="N81" s="17" t="inlineStr">
        <is>
          <t>BROUILLON</t>
        </is>
      </c>
      <c r="O81" s="17" t="n"/>
      <c r="P81" s="17" t="n"/>
      <c r="Q81" s="17" t="n"/>
      <c r="R81" s="17" t="n"/>
      <c r="S81" s="17" t="n"/>
      <c r="T81" s="17" t="n"/>
      <c r="U81" s="17" t="n"/>
    </row>
    <row r="82">
      <c r="A82" s="17" t="n"/>
      <c r="B82" s="18">
        <f>IF($C82="","",TEXT(TODAY(),"dd/mm/yyyy"))</f>
        <v/>
      </c>
      <c r="C82" s="19" t="n"/>
      <c r="D82" s="19" t="n"/>
      <c r="E82" s="18">
        <f>IF($D82="","",IFERROR(VLOOKUP($D82,ARTICLES!$A$5:$S$2243,3,FALSE),"reference inconnue"))</f>
        <v/>
      </c>
      <c r="F82" s="19" t="n"/>
      <c r="G82" s="19" t="n"/>
      <c r="H82" s="19" t="n"/>
      <c r="I82" s="19" t="n"/>
      <c r="J82" s="19" t="n"/>
      <c r="K82" s="19" t="n"/>
      <c r="L82" s="19" t="n"/>
      <c r="M82" s="19" t="n"/>
      <c r="N82" s="17" t="inlineStr">
        <is>
          <t>BROUILLON</t>
        </is>
      </c>
      <c r="O82" s="17" t="n"/>
      <c r="P82" s="17" t="n"/>
      <c r="Q82" s="17" t="n"/>
      <c r="R82" s="17" t="n"/>
      <c r="S82" s="17" t="n"/>
      <c r="T82" s="17" t="n"/>
      <c r="U82" s="17" t="n"/>
    </row>
    <row r="83">
      <c r="A83" s="17" t="n"/>
      <c r="B83" s="18">
        <f>IF($C83="","",TEXT(TODAY(),"dd/mm/yyyy"))</f>
        <v/>
      </c>
      <c r="C83" s="19" t="n"/>
      <c r="D83" s="19" t="n"/>
      <c r="E83" s="18">
        <f>IF($D83="","",IFERROR(VLOOKUP($D83,ARTICLES!$A$5:$S$2243,3,FALSE),"reference inconnue"))</f>
        <v/>
      </c>
      <c r="F83" s="19" t="n"/>
      <c r="G83" s="19" t="n"/>
      <c r="H83" s="19" t="n"/>
      <c r="I83" s="19" t="n"/>
      <c r="J83" s="19" t="n"/>
      <c r="K83" s="19" t="n"/>
      <c r="L83" s="19" t="n"/>
      <c r="M83" s="19" t="n"/>
      <c r="N83" s="17" t="inlineStr">
        <is>
          <t>BROUILLON</t>
        </is>
      </c>
      <c r="O83" s="17" t="n"/>
      <c r="P83" s="17" t="n"/>
      <c r="Q83" s="17" t="n"/>
      <c r="R83" s="17" t="n"/>
      <c r="S83" s="17" t="n"/>
      <c r="T83" s="17" t="n"/>
      <c r="U83" s="17" t="n"/>
    </row>
    <row r="84">
      <c r="A84" s="17" t="n"/>
      <c r="B84" s="18">
        <f>IF($C84="","",TEXT(TODAY(),"dd/mm/yyyy"))</f>
        <v/>
      </c>
      <c r="C84" s="19" t="n"/>
      <c r="D84" s="19" t="n"/>
      <c r="E84" s="18">
        <f>IF($D84="","",IFERROR(VLOOKUP($D84,ARTICLES!$A$5:$S$2243,3,FALSE),"reference inconnue"))</f>
        <v/>
      </c>
      <c r="F84" s="19" t="n"/>
      <c r="G84" s="19" t="n"/>
      <c r="H84" s="19" t="n"/>
      <c r="I84" s="19" t="n"/>
      <c r="J84" s="19" t="n"/>
      <c r="K84" s="19" t="n"/>
      <c r="L84" s="19" t="n"/>
      <c r="M84" s="19" t="n"/>
      <c r="N84" s="17" t="inlineStr">
        <is>
          <t>BROUILLON</t>
        </is>
      </c>
      <c r="O84" s="17" t="n"/>
      <c r="P84" s="17" t="n"/>
      <c r="Q84" s="17" t="n"/>
      <c r="R84" s="17" t="n"/>
      <c r="S84" s="17" t="n"/>
      <c r="T84" s="17" t="n"/>
      <c r="U84" s="17" t="n"/>
    </row>
    <row r="85">
      <c r="A85" s="17" t="n"/>
      <c r="B85" s="18">
        <f>IF($C85="","",TEXT(TODAY(),"dd/mm/yyyy"))</f>
        <v/>
      </c>
      <c r="C85" s="19" t="n"/>
      <c r="D85" s="19" t="n"/>
      <c r="E85" s="18">
        <f>IF($D85="","",IFERROR(VLOOKUP($D85,ARTICLES!$A$5:$S$2243,3,FALSE),"reference inconnue"))</f>
        <v/>
      </c>
      <c r="F85" s="19" t="n"/>
      <c r="G85" s="19" t="n"/>
      <c r="H85" s="19" t="n"/>
      <c r="I85" s="19" t="n"/>
      <c r="J85" s="19" t="n"/>
      <c r="K85" s="19" t="n"/>
      <c r="L85" s="19" t="n"/>
      <c r="M85" s="19" t="n"/>
      <c r="N85" s="17" t="inlineStr">
        <is>
          <t>BROUILLON</t>
        </is>
      </c>
      <c r="O85" s="17" t="n"/>
      <c r="P85" s="17" t="n"/>
      <c r="Q85" s="17" t="n"/>
      <c r="R85" s="17" t="n"/>
      <c r="S85" s="17" t="n"/>
      <c r="T85" s="17" t="n"/>
      <c r="U85" s="17" t="n"/>
    </row>
    <row r="86">
      <c r="A86" s="17" t="n"/>
      <c r="B86" s="18">
        <f>IF($C86="","",TEXT(TODAY(),"dd/mm/yyyy"))</f>
        <v/>
      </c>
      <c r="C86" s="19" t="n"/>
      <c r="D86" s="19" t="n"/>
      <c r="E86" s="18">
        <f>IF($D86="","",IFERROR(VLOOKUP($D86,ARTICLES!$A$5:$S$2243,3,FALSE),"reference inconnue"))</f>
        <v/>
      </c>
      <c r="F86" s="19" t="n"/>
      <c r="G86" s="19" t="n"/>
      <c r="H86" s="19" t="n"/>
      <c r="I86" s="19" t="n"/>
      <c r="J86" s="19" t="n"/>
      <c r="K86" s="19" t="n"/>
      <c r="L86" s="19" t="n"/>
      <c r="M86" s="19" t="n"/>
      <c r="N86" s="17" t="inlineStr">
        <is>
          <t>BROUILLON</t>
        </is>
      </c>
      <c r="O86" s="17" t="n"/>
      <c r="P86" s="17" t="n"/>
      <c r="Q86" s="17" t="n"/>
      <c r="R86" s="17" t="n"/>
      <c r="S86" s="17" t="n"/>
      <c r="T86" s="17" t="n"/>
      <c r="U86" s="17" t="n"/>
    </row>
    <row r="87">
      <c r="A87" s="17" t="n"/>
      <c r="B87" s="18">
        <f>IF($C87="","",TEXT(TODAY(),"dd/mm/yyyy"))</f>
        <v/>
      </c>
      <c r="C87" s="19" t="n"/>
      <c r="D87" s="19" t="n"/>
      <c r="E87" s="18">
        <f>IF($D87="","",IFERROR(VLOOKUP($D87,ARTICLES!$A$5:$S$2243,3,FALSE),"reference inconnue"))</f>
        <v/>
      </c>
      <c r="F87" s="19" t="n"/>
      <c r="G87" s="19" t="n"/>
      <c r="H87" s="19" t="n"/>
      <c r="I87" s="19" t="n"/>
      <c r="J87" s="19" t="n"/>
      <c r="K87" s="19" t="n"/>
      <c r="L87" s="19" t="n"/>
      <c r="M87" s="19" t="n"/>
      <c r="N87" s="17" t="inlineStr">
        <is>
          <t>BROUILLON</t>
        </is>
      </c>
      <c r="O87" s="17" t="n"/>
      <c r="P87" s="17" t="n"/>
      <c r="Q87" s="17" t="n"/>
      <c r="R87" s="17" t="n"/>
      <c r="S87" s="17" t="n"/>
      <c r="T87" s="17" t="n"/>
      <c r="U87" s="17" t="n"/>
    </row>
    <row r="88">
      <c r="A88" s="17" t="n"/>
      <c r="B88" s="18">
        <f>IF($C88="","",TEXT(TODAY(),"dd/mm/yyyy"))</f>
        <v/>
      </c>
      <c r="C88" s="19" t="n"/>
      <c r="D88" s="19" t="n"/>
      <c r="E88" s="18">
        <f>IF($D88="","",IFERROR(VLOOKUP($D88,ARTICLES!$A$5:$S$2243,3,FALSE),"reference inconnue"))</f>
        <v/>
      </c>
      <c r="F88" s="19" t="n"/>
      <c r="G88" s="19" t="n"/>
      <c r="H88" s="19" t="n"/>
      <c r="I88" s="19" t="n"/>
      <c r="J88" s="19" t="n"/>
      <c r="K88" s="19" t="n"/>
      <c r="L88" s="19" t="n"/>
      <c r="M88" s="19" t="n"/>
      <c r="N88" s="17" t="inlineStr">
        <is>
          <t>BROUILLON</t>
        </is>
      </c>
      <c r="O88" s="17" t="n"/>
      <c r="P88" s="17" t="n"/>
      <c r="Q88" s="17" t="n"/>
      <c r="R88" s="17" t="n"/>
      <c r="S88" s="17" t="n"/>
      <c r="T88" s="17" t="n"/>
      <c r="U88" s="17" t="n"/>
    </row>
    <row r="89">
      <c r="A89" s="17" t="n"/>
      <c r="B89" s="18">
        <f>IF($C89="","",TEXT(TODAY(),"dd/mm/yyyy"))</f>
        <v/>
      </c>
      <c r="C89" s="19" t="n"/>
      <c r="D89" s="19" t="n"/>
      <c r="E89" s="18">
        <f>IF($D89="","",IFERROR(VLOOKUP($D89,ARTICLES!$A$5:$S$2243,3,FALSE),"reference inconnue"))</f>
        <v/>
      </c>
      <c r="F89" s="19" t="n"/>
      <c r="G89" s="19" t="n"/>
      <c r="H89" s="19" t="n"/>
      <c r="I89" s="19" t="n"/>
      <c r="J89" s="19" t="n"/>
      <c r="K89" s="19" t="n"/>
      <c r="L89" s="19" t="n"/>
      <c r="M89" s="19" t="n"/>
      <c r="N89" s="17" t="inlineStr">
        <is>
          <t>BROUILLON</t>
        </is>
      </c>
      <c r="O89" s="17" t="n"/>
      <c r="P89" s="17" t="n"/>
      <c r="Q89" s="17" t="n"/>
      <c r="R89" s="17" t="n"/>
      <c r="S89" s="17" t="n"/>
      <c r="T89" s="17" t="n"/>
      <c r="U89" s="17" t="n"/>
    </row>
    <row r="90">
      <c r="A90" s="17" t="n"/>
      <c r="B90" s="18">
        <f>IF($C90="","",TEXT(TODAY(),"dd/mm/yyyy"))</f>
        <v/>
      </c>
      <c r="C90" s="19" t="n"/>
      <c r="D90" s="19" t="n"/>
      <c r="E90" s="18">
        <f>IF($D90="","",IFERROR(VLOOKUP($D90,ARTICLES!$A$5:$S$2243,3,FALSE),"reference inconnue"))</f>
        <v/>
      </c>
      <c r="F90" s="19" t="n"/>
      <c r="G90" s="19" t="n"/>
      <c r="H90" s="19" t="n"/>
      <c r="I90" s="19" t="n"/>
      <c r="J90" s="19" t="n"/>
      <c r="K90" s="19" t="n"/>
      <c r="L90" s="19" t="n"/>
      <c r="M90" s="19" t="n"/>
      <c r="N90" s="17" t="inlineStr">
        <is>
          <t>BROUILLON</t>
        </is>
      </c>
      <c r="O90" s="17" t="n"/>
      <c r="P90" s="17" t="n"/>
      <c r="Q90" s="17" t="n"/>
      <c r="R90" s="17" t="n"/>
      <c r="S90" s="17" t="n"/>
      <c r="T90" s="17" t="n"/>
      <c r="U90" s="17" t="n"/>
    </row>
    <row r="91">
      <c r="A91" s="17" t="n"/>
      <c r="B91" s="18">
        <f>IF($C91="","",TEXT(TODAY(),"dd/mm/yyyy"))</f>
        <v/>
      </c>
      <c r="C91" s="19" t="n"/>
      <c r="D91" s="19" t="n"/>
      <c r="E91" s="18">
        <f>IF($D91="","",IFERROR(VLOOKUP($D91,ARTICLES!$A$5:$S$2243,3,FALSE),"reference inconnue"))</f>
        <v/>
      </c>
      <c r="F91" s="19" t="n"/>
      <c r="G91" s="19" t="n"/>
      <c r="H91" s="19" t="n"/>
      <c r="I91" s="19" t="n"/>
      <c r="J91" s="19" t="n"/>
      <c r="K91" s="19" t="n"/>
      <c r="L91" s="19" t="n"/>
      <c r="M91" s="19" t="n"/>
      <c r="N91" s="17" t="inlineStr">
        <is>
          <t>BROUILLON</t>
        </is>
      </c>
      <c r="O91" s="17" t="n"/>
      <c r="P91" s="17" t="n"/>
      <c r="Q91" s="17" t="n"/>
      <c r="R91" s="17" t="n"/>
      <c r="S91" s="17" t="n"/>
      <c r="T91" s="17" t="n"/>
      <c r="U91" s="17" t="n"/>
    </row>
    <row r="92">
      <c r="A92" s="17" t="n"/>
      <c r="B92" s="18">
        <f>IF($C92="","",TEXT(TODAY(),"dd/mm/yyyy"))</f>
        <v/>
      </c>
      <c r="C92" s="19" t="n"/>
      <c r="D92" s="19" t="n"/>
      <c r="E92" s="18">
        <f>IF($D92="","",IFERROR(VLOOKUP($D92,ARTICLES!$A$5:$S$2243,3,FALSE),"reference inconnue"))</f>
        <v/>
      </c>
      <c r="F92" s="19" t="n"/>
      <c r="G92" s="19" t="n"/>
      <c r="H92" s="19" t="n"/>
      <c r="I92" s="19" t="n"/>
      <c r="J92" s="19" t="n"/>
      <c r="K92" s="19" t="n"/>
      <c r="L92" s="19" t="n"/>
      <c r="M92" s="19" t="n"/>
      <c r="N92" s="17" t="inlineStr">
        <is>
          <t>BROUILLON</t>
        </is>
      </c>
      <c r="O92" s="17" t="n"/>
      <c r="P92" s="17" t="n"/>
      <c r="Q92" s="17" t="n"/>
      <c r="R92" s="17" t="n"/>
      <c r="S92" s="17" t="n"/>
      <c r="T92" s="17" t="n"/>
      <c r="U92" s="17" t="n"/>
    </row>
    <row r="93">
      <c r="A93" s="17" t="n"/>
      <c r="B93" s="18">
        <f>IF($C93="","",TEXT(TODAY(),"dd/mm/yyyy"))</f>
        <v/>
      </c>
      <c r="C93" s="19" t="n"/>
      <c r="D93" s="19" t="n"/>
      <c r="E93" s="18">
        <f>IF($D93="","",IFERROR(VLOOKUP($D93,ARTICLES!$A$5:$S$2243,3,FALSE),"reference inconnue"))</f>
        <v/>
      </c>
      <c r="F93" s="19" t="n"/>
      <c r="G93" s="19" t="n"/>
      <c r="H93" s="19" t="n"/>
      <c r="I93" s="19" t="n"/>
      <c r="J93" s="19" t="n"/>
      <c r="K93" s="19" t="n"/>
      <c r="L93" s="19" t="n"/>
      <c r="M93" s="19" t="n"/>
      <c r="N93" s="17" t="inlineStr">
        <is>
          <t>BROUILLON</t>
        </is>
      </c>
      <c r="O93" s="17" t="n"/>
      <c r="P93" s="17" t="n"/>
      <c r="Q93" s="17" t="n"/>
      <c r="R93" s="17" t="n"/>
      <c r="S93" s="17" t="n"/>
      <c r="T93" s="17" t="n"/>
      <c r="U93" s="17" t="n"/>
    </row>
    <row r="94">
      <c r="A94" s="17" t="n"/>
      <c r="B94" s="18">
        <f>IF($C94="","",TEXT(TODAY(),"dd/mm/yyyy"))</f>
        <v/>
      </c>
      <c r="C94" s="19" t="n"/>
      <c r="D94" s="19" t="n"/>
      <c r="E94" s="18">
        <f>IF($D94="","",IFERROR(VLOOKUP($D94,ARTICLES!$A$5:$S$2243,3,FALSE),"reference inconnue"))</f>
        <v/>
      </c>
      <c r="F94" s="19" t="n"/>
      <c r="G94" s="19" t="n"/>
      <c r="H94" s="19" t="n"/>
      <c r="I94" s="19" t="n"/>
      <c r="J94" s="19" t="n"/>
      <c r="K94" s="19" t="n"/>
      <c r="L94" s="19" t="n"/>
      <c r="M94" s="19" t="n"/>
      <c r="N94" s="17" t="inlineStr">
        <is>
          <t>BROUILLON</t>
        </is>
      </c>
      <c r="O94" s="17" t="n"/>
      <c r="P94" s="17" t="n"/>
      <c r="Q94" s="17" t="n"/>
      <c r="R94" s="17" t="n"/>
      <c r="S94" s="17" t="n"/>
      <c r="T94" s="17" t="n"/>
      <c r="U94" s="17" t="n"/>
    </row>
    <row r="95">
      <c r="A95" s="17" t="n"/>
      <c r="B95" s="18">
        <f>IF($C95="","",TEXT(TODAY(),"dd/mm/yyyy"))</f>
        <v/>
      </c>
      <c r="C95" s="19" t="n"/>
      <c r="D95" s="19" t="n"/>
      <c r="E95" s="18">
        <f>IF($D95="","",IFERROR(VLOOKUP($D95,ARTICLES!$A$5:$S$2243,3,FALSE),"reference inconnue"))</f>
        <v/>
      </c>
      <c r="F95" s="19" t="n"/>
      <c r="G95" s="19" t="n"/>
      <c r="H95" s="19" t="n"/>
      <c r="I95" s="19" t="n"/>
      <c r="J95" s="19" t="n"/>
      <c r="K95" s="19" t="n"/>
      <c r="L95" s="19" t="n"/>
      <c r="M95" s="19" t="n"/>
      <c r="N95" s="17" t="inlineStr">
        <is>
          <t>BROUILLON</t>
        </is>
      </c>
      <c r="O95" s="17" t="n"/>
      <c r="P95" s="17" t="n"/>
      <c r="Q95" s="17" t="n"/>
      <c r="R95" s="17" t="n"/>
      <c r="S95" s="17" t="n"/>
      <c r="T95" s="17" t="n"/>
      <c r="U95" s="17" t="n"/>
    </row>
    <row r="96">
      <c r="A96" s="17" t="n"/>
      <c r="B96" s="18">
        <f>IF($C96="","",TEXT(TODAY(),"dd/mm/yyyy"))</f>
        <v/>
      </c>
      <c r="C96" s="19" t="n"/>
      <c r="D96" s="19" t="n"/>
      <c r="E96" s="18">
        <f>IF($D96="","",IFERROR(VLOOKUP($D96,ARTICLES!$A$5:$S$2243,3,FALSE),"reference inconnue"))</f>
        <v/>
      </c>
      <c r="F96" s="19" t="n"/>
      <c r="G96" s="19" t="n"/>
      <c r="H96" s="19" t="n"/>
      <c r="I96" s="19" t="n"/>
      <c r="J96" s="19" t="n"/>
      <c r="K96" s="19" t="n"/>
      <c r="L96" s="19" t="n"/>
      <c r="M96" s="19" t="n"/>
      <c r="N96" s="17" t="inlineStr">
        <is>
          <t>BROUILLON</t>
        </is>
      </c>
      <c r="O96" s="17" t="n"/>
      <c r="P96" s="17" t="n"/>
      <c r="Q96" s="17" t="n"/>
      <c r="R96" s="17" t="n"/>
      <c r="S96" s="17" t="n"/>
      <c r="T96" s="17" t="n"/>
      <c r="U96" s="17" t="n"/>
    </row>
    <row r="97">
      <c r="A97" s="17" t="n"/>
      <c r="B97" s="18">
        <f>IF($C97="","",TEXT(TODAY(),"dd/mm/yyyy"))</f>
        <v/>
      </c>
      <c r="C97" s="19" t="n"/>
      <c r="D97" s="19" t="n"/>
      <c r="E97" s="18">
        <f>IF($D97="","",IFERROR(VLOOKUP($D97,ARTICLES!$A$5:$S$2243,3,FALSE),"reference inconnue"))</f>
        <v/>
      </c>
      <c r="F97" s="19" t="n"/>
      <c r="G97" s="19" t="n"/>
      <c r="H97" s="19" t="n"/>
      <c r="I97" s="19" t="n"/>
      <c r="J97" s="19" t="n"/>
      <c r="K97" s="19" t="n"/>
      <c r="L97" s="19" t="n"/>
      <c r="M97" s="19" t="n"/>
      <c r="N97" s="17" t="inlineStr">
        <is>
          <t>BROUILLON</t>
        </is>
      </c>
      <c r="O97" s="17" t="n"/>
      <c r="P97" s="17" t="n"/>
      <c r="Q97" s="17" t="n"/>
      <c r="R97" s="17" t="n"/>
      <c r="S97" s="17" t="n"/>
      <c r="T97" s="17" t="n"/>
      <c r="U97" s="17" t="n"/>
    </row>
    <row r="98">
      <c r="A98" s="17" t="n"/>
      <c r="B98" s="18">
        <f>IF($C98="","",TEXT(TODAY(),"dd/mm/yyyy"))</f>
        <v/>
      </c>
      <c r="C98" s="19" t="n"/>
      <c r="D98" s="19" t="n"/>
      <c r="E98" s="18">
        <f>IF($D98="","",IFERROR(VLOOKUP($D98,ARTICLES!$A$5:$S$2243,3,FALSE),"reference inconnue"))</f>
        <v/>
      </c>
      <c r="F98" s="19" t="n"/>
      <c r="G98" s="19" t="n"/>
      <c r="H98" s="19" t="n"/>
      <c r="I98" s="19" t="n"/>
      <c r="J98" s="19" t="n"/>
      <c r="K98" s="19" t="n"/>
      <c r="L98" s="19" t="n"/>
      <c r="M98" s="19" t="n"/>
      <c r="N98" s="17" t="inlineStr">
        <is>
          <t>BROUILLON</t>
        </is>
      </c>
      <c r="O98" s="17" t="n"/>
      <c r="P98" s="17" t="n"/>
      <c r="Q98" s="17" t="n"/>
      <c r="R98" s="17" t="n"/>
      <c r="S98" s="17" t="n"/>
      <c r="T98" s="17" t="n"/>
      <c r="U98" s="17" t="n"/>
    </row>
    <row r="99">
      <c r="A99" s="17" t="n"/>
      <c r="B99" s="18">
        <f>IF($C99="","",TEXT(TODAY(),"dd/mm/yyyy"))</f>
        <v/>
      </c>
      <c r="C99" s="19" t="n"/>
      <c r="D99" s="19" t="n"/>
      <c r="E99" s="18">
        <f>IF($D99="","",IFERROR(VLOOKUP($D99,ARTICLES!$A$5:$S$2243,3,FALSE),"reference inconnue"))</f>
        <v/>
      </c>
      <c r="F99" s="19" t="n"/>
      <c r="G99" s="19" t="n"/>
      <c r="H99" s="19" t="n"/>
      <c r="I99" s="19" t="n"/>
      <c r="J99" s="19" t="n"/>
      <c r="K99" s="19" t="n"/>
      <c r="L99" s="19" t="n"/>
      <c r="M99" s="19" t="n"/>
      <c r="N99" s="17" t="inlineStr">
        <is>
          <t>BROUILLON</t>
        </is>
      </c>
      <c r="O99" s="17" t="n"/>
      <c r="P99" s="17" t="n"/>
      <c r="Q99" s="17" t="n"/>
      <c r="R99" s="17" t="n"/>
      <c r="S99" s="17" t="n"/>
      <c r="T99" s="17" t="n"/>
      <c r="U99" s="17" t="n"/>
    </row>
    <row r="100">
      <c r="A100" s="17" t="n"/>
      <c r="B100" s="18">
        <f>IF($C100="","",TEXT(TODAY(),"dd/mm/yyyy"))</f>
        <v/>
      </c>
      <c r="C100" s="19" t="n"/>
      <c r="D100" s="19" t="n"/>
      <c r="E100" s="18">
        <f>IF($D100="","",IFERROR(VLOOKUP($D100,ARTICLES!$A$5:$S$2243,3,FALSE),"reference inconnue"))</f>
        <v/>
      </c>
      <c r="F100" s="19" t="n"/>
      <c r="G100" s="19" t="n"/>
      <c r="H100" s="19" t="n"/>
      <c r="I100" s="19" t="n"/>
      <c r="J100" s="19" t="n"/>
      <c r="K100" s="19" t="n"/>
      <c r="L100" s="19" t="n"/>
      <c r="M100" s="19" t="n"/>
      <c r="N100" s="17" t="inlineStr">
        <is>
          <t>BROUILLON</t>
        </is>
      </c>
      <c r="O100" s="17" t="n"/>
      <c r="P100" s="17" t="n"/>
      <c r="Q100" s="17" t="n"/>
      <c r="R100" s="17" t="n"/>
      <c r="S100" s="17" t="n"/>
      <c r="T100" s="17" t="n"/>
      <c r="U100" s="17" t="n"/>
    </row>
    <row r="101">
      <c r="A101" s="17" t="n"/>
      <c r="B101" s="18">
        <f>IF($C101="","",TEXT(TODAY(),"dd/mm/yyyy"))</f>
        <v/>
      </c>
      <c r="C101" s="19" t="n"/>
      <c r="D101" s="19" t="n"/>
      <c r="E101" s="18">
        <f>IF($D101="","",IFERROR(VLOOKUP($D101,ARTICLES!$A$5:$S$2243,3,FALSE),"reference inconnue"))</f>
        <v/>
      </c>
      <c r="F101" s="19" t="n"/>
      <c r="G101" s="19" t="n"/>
      <c r="H101" s="19" t="n"/>
      <c r="I101" s="19" t="n"/>
      <c r="J101" s="19" t="n"/>
      <c r="K101" s="19" t="n"/>
      <c r="L101" s="19" t="n"/>
      <c r="M101" s="19" t="n"/>
      <c r="N101" s="17" t="inlineStr">
        <is>
          <t>BROUILLON</t>
        </is>
      </c>
      <c r="O101" s="17" t="n"/>
      <c r="P101" s="17" t="n"/>
      <c r="Q101" s="17" t="n"/>
      <c r="R101" s="17" t="n"/>
      <c r="S101" s="17" t="n"/>
      <c r="T101" s="17" t="n"/>
      <c r="U101" s="17" t="n"/>
    </row>
    <row r="102">
      <c r="A102" s="17" t="n"/>
      <c r="B102" s="18">
        <f>IF($C102="","",TEXT(TODAY(),"dd/mm/yyyy"))</f>
        <v/>
      </c>
      <c r="C102" s="19" t="n"/>
      <c r="D102" s="19" t="n"/>
      <c r="E102" s="18">
        <f>IF($D102="","",IFERROR(VLOOKUP($D102,ARTICLES!$A$5:$S$2243,3,FALSE),"reference inconnue"))</f>
        <v/>
      </c>
      <c r="F102" s="19" t="n"/>
      <c r="G102" s="19" t="n"/>
      <c r="H102" s="19" t="n"/>
      <c r="I102" s="19" t="n"/>
      <c r="J102" s="19" t="n"/>
      <c r="K102" s="19" t="n"/>
      <c r="L102" s="19" t="n"/>
      <c r="M102" s="19" t="n"/>
      <c r="N102" s="17" t="inlineStr">
        <is>
          <t>BROUILLON</t>
        </is>
      </c>
      <c r="O102" s="17" t="n"/>
      <c r="P102" s="17" t="n"/>
      <c r="Q102" s="17" t="n"/>
      <c r="R102" s="17" t="n"/>
      <c r="S102" s="17" t="n"/>
      <c r="T102" s="17" t="n"/>
      <c r="U102" s="17" t="n"/>
    </row>
    <row r="103">
      <c r="A103" s="17" t="n"/>
      <c r="B103" s="18">
        <f>IF($C103="","",TEXT(TODAY(),"dd/mm/yyyy"))</f>
        <v/>
      </c>
      <c r="C103" s="19" t="n"/>
      <c r="D103" s="19" t="n"/>
      <c r="E103" s="18">
        <f>IF($D103="","",IFERROR(VLOOKUP($D103,ARTICLES!$A$5:$S$2243,3,FALSE),"reference inconnue"))</f>
        <v/>
      </c>
      <c r="F103" s="19" t="n"/>
      <c r="G103" s="19" t="n"/>
      <c r="H103" s="19" t="n"/>
      <c r="I103" s="19" t="n"/>
      <c r="J103" s="19" t="n"/>
      <c r="K103" s="19" t="n"/>
      <c r="L103" s="19" t="n"/>
      <c r="M103" s="19" t="n"/>
      <c r="N103" s="17" t="inlineStr">
        <is>
          <t>BROUILLON</t>
        </is>
      </c>
      <c r="O103" s="17" t="n"/>
      <c r="P103" s="17" t="n"/>
      <c r="Q103" s="17" t="n"/>
      <c r="R103" s="17" t="n"/>
      <c r="S103" s="17" t="n"/>
      <c r="T103" s="17" t="n"/>
      <c r="U103" s="17" t="n"/>
    </row>
    <row r="104">
      <c r="A104" s="17" t="n"/>
      <c r="B104" s="18">
        <f>IF($C104="","",TEXT(TODAY(),"dd/mm/yyyy"))</f>
        <v/>
      </c>
      <c r="C104" s="19" t="n"/>
      <c r="D104" s="19" t="n"/>
      <c r="E104" s="18">
        <f>IF($D104="","",IFERROR(VLOOKUP($D104,ARTICLES!$A$5:$S$2243,3,FALSE),"reference inconnue"))</f>
        <v/>
      </c>
      <c r="F104" s="19" t="n"/>
      <c r="G104" s="19" t="n"/>
      <c r="H104" s="19" t="n"/>
      <c r="I104" s="19" t="n"/>
      <c r="J104" s="19" t="n"/>
      <c r="K104" s="19" t="n"/>
      <c r="L104" s="19" t="n"/>
      <c r="M104" s="19" t="n"/>
      <c r="N104" s="17" t="inlineStr">
        <is>
          <t>BROUILLON</t>
        </is>
      </c>
      <c r="O104" s="17" t="n"/>
      <c r="P104" s="17" t="n"/>
      <c r="Q104" s="17" t="n"/>
      <c r="R104" s="17" t="n"/>
      <c r="S104" s="17" t="n"/>
      <c r="T104" s="17" t="n"/>
      <c r="U104" s="17" t="n"/>
    </row>
    <row r="105">
      <c r="A105" s="17" t="n"/>
      <c r="B105" s="18">
        <f>IF($C105="","",TEXT(TODAY(),"dd/mm/yyyy"))</f>
        <v/>
      </c>
      <c r="C105" s="19" t="n"/>
      <c r="D105" s="19" t="n"/>
      <c r="E105" s="18">
        <f>IF($D105="","",IFERROR(VLOOKUP($D105,ARTICLES!$A$5:$S$2243,3,FALSE),"reference inconnue"))</f>
        <v/>
      </c>
      <c r="F105" s="19" t="n"/>
      <c r="G105" s="19" t="n"/>
      <c r="H105" s="19" t="n"/>
      <c r="I105" s="19" t="n"/>
      <c r="J105" s="19" t="n"/>
      <c r="K105" s="19" t="n"/>
      <c r="L105" s="19" t="n"/>
      <c r="M105" s="19" t="n"/>
      <c r="N105" s="17" t="inlineStr">
        <is>
          <t>BROUILLON</t>
        </is>
      </c>
      <c r="O105" s="17" t="n"/>
      <c r="P105" s="17" t="n"/>
      <c r="Q105" s="17" t="n"/>
      <c r="R105" s="17" t="n"/>
      <c r="S105" s="17" t="n"/>
      <c r="T105" s="17" t="n"/>
      <c r="U105" s="17" t="n"/>
    </row>
    <row r="106">
      <c r="A106" s="17" t="n"/>
      <c r="B106" s="18">
        <f>IF($C106="","",TEXT(TODAY(),"dd/mm/yyyy"))</f>
        <v/>
      </c>
      <c r="C106" s="19" t="n"/>
      <c r="D106" s="19" t="n"/>
      <c r="E106" s="18">
        <f>IF($D106="","",IFERROR(VLOOKUP($D106,ARTICLES!$A$5:$S$2243,3,FALSE),"reference inconnue"))</f>
        <v/>
      </c>
      <c r="F106" s="19" t="n"/>
      <c r="G106" s="19" t="n"/>
      <c r="H106" s="19" t="n"/>
      <c r="I106" s="19" t="n"/>
      <c r="J106" s="19" t="n"/>
      <c r="K106" s="19" t="n"/>
      <c r="L106" s="19" t="n"/>
      <c r="M106" s="19" t="n"/>
      <c r="N106" s="17" t="inlineStr">
        <is>
          <t>BROUILLON</t>
        </is>
      </c>
      <c r="O106" s="17" t="n"/>
      <c r="P106" s="17" t="n"/>
      <c r="Q106" s="17" t="n"/>
      <c r="R106" s="17" t="n"/>
      <c r="S106" s="17" t="n"/>
      <c r="T106" s="17" t="n"/>
      <c r="U106" s="17" t="n"/>
    </row>
    <row r="107">
      <c r="A107" s="17" t="n"/>
      <c r="B107" s="18">
        <f>IF($C107="","",TEXT(TODAY(),"dd/mm/yyyy"))</f>
        <v/>
      </c>
      <c r="C107" s="19" t="n"/>
      <c r="D107" s="19" t="n"/>
      <c r="E107" s="18">
        <f>IF($D107="","",IFERROR(VLOOKUP($D107,ARTICLES!$A$5:$S$2243,3,FALSE),"reference inconnue"))</f>
        <v/>
      </c>
      <c r="F107" s="19" t="n"/>
      <c r="G107" s="19" t="n"/>
      <c r="H107" s="19" t="n"/>
      <c r="I107" s="19" t="n"/>
      <c r="J107" s="19" t="n"/>
      <c r="K107" s="19" t="n"/>
      <c r="L107" s="19" t="n"/>
      <c r="M107" s="19" t="n"/>
      <c r="N107" s="17" t="inlineStr">
        <is>
          <t>BROUILLON</t>
        </is>
      </c>
      <c r="O107" s="17" t="n"/>
      <c r="P107" s="17" t="n"/>
      <c r="Q107" s="17" t="n"/>
      <c r="R107" s="17" t="n"/>
      <c r="S107" s="17" t="n"/>
      <c r="T107" s="17" t="n"/>
      <c r="U107" s="17" t="n"/>
    </row>
    <row r="108">
      <c r="A108" s="17" t="n"/>
      <c r="B108" s="18">
        <f>IF($C108="","",TEXT(TODAY(),"dd/mm/yyyy"))</f>
        <v/>
      </c>
      <c r="C108" s="19" t="n"/>
      <c r="D108" s="19" t="n"/>
      <c r="E108" s="18">
        <f>IF($D108="","",IFERROR(VLOOKUP($D108,ARTICLES!$A$5:$S$2243,3,FALSE),"reference inconnue"))</f>
        <v/>
      </c>
      <c r="F108" s="19" t="n"/>
      <c r="G108" s="19" t="n"/>
      <c r="H108" s="19" t="n"/>
      <c r="I108" s="19" t="n"/>
      <c r="J108" s="19" t="n"/>
      <c r="K108" s="19" t="n"/>
      <c r="L108" s="19" t="n"/>
      <c r="M108" s="19" t="n"/>
      <c r="N108" s="17" t="inlineStr">
        <is>
          <t>BROUILLON</t>
        </is>
      </c>
      <c r="O108" s="17" t="n"/>
      <c r="P108" s="17" t="n"/>
      <c r="Q108" s="17" t="n"/>
      <c r="R108" s="17" t="n"/>
      <c r="S108" s="17" t="n"/>
      <c r="T108" s="17" t="n"/>
      <c r="U108" s="17" t="n"/>
    </row>
    <row r="109">
      <c r="A109" s="17" t="n"/>
      <c r="B109" s="18">
        <f>IF($C109="","",TEXT(TODAY(),"dd/mm/yyyy"))</f>
        <v/>
      </c>
      <c r="C109" s="19" t="n"/>
      <c r="D109" s="19" t="n"/>
      <c r="E109" s="18">
        <f>IF($D109="","",IFERROR(VLOOKUP($D109,ARTICLES!$A$5:$S$2243,3,FALSE),"reference inconnue"))</f>
        <v/>
      </c>
      <c r="F109" s="19" t="n"/>
      <c r="G109" s="19" t="n"/>
      <c r="H109" s="19" t="n"/>
      <c r="I109" s="19" t="n"/>
      <c r="J109" s="19" t="n"/>
      <c r="K109" s="19" t="n"/>
      <c r="L109" s="19" t="n"/>
      <c r="M109" s="19" t="n"/>
      <c r="N109" s="17" t="inlineStr">
        <is>
          <t>BROUILLON</t>
        </is>
      </c>
      <c r="O109" s="17" t="n"/>
      <c r="P109" s="17" t="n"/>
      <c r="Q109" s="17" t="n"/>
      <c r="R109" s="17" t="n"/>
      <c r="S109" s="17" t="n"/>
      <c r="T109" s="17" t="n"/>
      <c r="U109" s="17" t="n"/>
    </row>
    <row r="110">
      <c r="A110" s="17" t="n"/>
      <c r="B110" s="18">
        <f>IF($C110="","",TEXT(TODAY(),"dd/mm/yyyy"))</f>
        <v/>
      </c>
      <c r="C110" s="19" t="n"/>
      <c r="D110" s="19" t="n"/>
      <c r="E110" s="18">
        <f>IF($D110="","",IFERROR(VLOOKUP($D110,ARTICLES!$A$5:$S$2243,3,FALSE),"reference inconnue"))</f>
        <v/>
      </c>
      <c r="F110" s="19" t="n"/>
      <c r="G110" s="19" t="n"/>
      <c r="H110" s="19" t="n"/>
      <c r="I110" s="19" t="n"/>
      <c r="J110" s="19" t="n"/>
      <c r="K110" s="19" t="n"/>
      <c r="L110" s="19" t="n"/>
      <c r="M110" s="19" t="n"/>
      <c r="N110" s="17" t="inlineStr">
        <is>
          <t>BROUILLON</t>
        </is>
      </c>
      <c r="O110" s="17" t="n"/>
      <c r="P110" s="17" t="n"/>
      <c r="Q110" s="17" t="n"/>
      <c r="R110" s="17" t="n"/>
      <c r="S110" s="17" t="n"/>
      <c r="T110" s="17" t="n"/>
      <c r="U110" s="17" t="n"/>
    </row>
    <row r="111">
      <c r="A111" s="17" t="n"/>
      <c r="B111" s="18">
        <f>IF($C111="","",TEXT(TODAY(),"dd/mm/yyyy"))</f>
        <v/>
      </c>
      <c r="C111" s="19" t="n"/>
      <c r="D111" s="19" t="n"/>
      <c r="E111" s="18">
        <f>IF($D111="","",IFERROR(VLOOKUP($D111,ARTICLES!$A$5:$S$2243,3,FALSE),"reference inconnue"))</f>
        <v/>
      </c>
      <c r="F111" s="19" t="n"/>
      <c r="G111" s="19" t="n"/>
      <c r="H111" s="19" t="n"/>
      <c r="I111" s="19" t="n"/>
      <c r="J111" s="19" t="n"/>
      <c r="K111" s="19" t="n"/>
      <c r="L111" s="19" t="n"/>
      <c r="M111" s="19" t="n"/>
      <c r="N111" s="17" t="inlineStr">
        <is>
          <t>BROUILLON</t>
        </is>
      </c>
      <c r="O111" s="17" t="n"/>
      <c r="P111" s="17" t="n"/>
      <c r="Q111" s="17" t="n"/>
      <c r="R111" s="17" t="n"/>
      <c r="S111" s="17" t="n"/>
      <c r="T111" s="17" t="n"/>
      <c r="U111" s="17" t="n"/>
    </row>
    <row r="112">
      <c r="A112" s="17" t="n"/>
      <c r="B112" s="18">
        <f>IF($C112="","",TEXT(TODAY(),"dd/mm/yyyy"))</f>
        <v/>
      </c>
      <c r="C112" s="19" t="n"/>
      <c r="D112" s="19" t="n"/>
      <c r="E112" s="18">
        <f>IF($D112="","",IFERROR(VLOOKUP($D112,ARTICLES!$A$5:$S$2243,3,FALSE),"reference inconnue"))</f>
        <v/>
      </c>
      <c r="F112" s="19" t="n"/>
      <c r="G112" s="19" t="n"/>
      <c r="H112" s="19" t="n"/>
      <c r="I112" s="19" t="n"/>
      <c r="J112" s="19" t="n"/>
      <c r="K112" s="19" t="n"/>
      <c r="L112" s="19" t="n"/>
      <c r="M112" s="19" t="n"/>
      <c r="N112" s="17" t="inlineStr">
        <is>
          <t>BROUILLON</t>
        </is>
      </c>
      <c r="O112" s="17" t="n"/>
      <c r="P112" s="17" t="n"/>
      <c r="Q112" s="17" t="n"/>
      <c r="R112" s="17" t="n"/>
      <c r="S112" s="17" t="n"/>
      <c r="T112" s="17" t="n"/>
      <c r="U112" s="17" t="n"/>
    </row>
    <row r="113">
      <c r="A113" s="17" t="n"/>
      <c r="B113" s="18">
        <f>IF($C113="","",TEXT(TODAY(),"dd/mm/yyyy"))</f>
        <v/>
      </c>
      <c r="C113" s="19" t="n"/>
      <c r="D113" s="19" t="n"/>
      <c r="E113" s="18">
        <f>IF($D113="","",IFERROR(VLOOKUP($D113,ARTICLES!$A$5:$S$2243,3,FALSE),"reference inconnue"))</f>
        <v/>
      </c>
      <c r="F113" s="19" t="n"/>
      <c r="G113" s="19" t="n"/>
      <c r="H113" s="19" t="n"/>
      <c r="I113" s="19" t="n"/>
      <c r="J113" s="19" t="n"/>
      <c r="K113" s="19" t="n"/>
      <c r="L113" s="19" t="n"/>
      <c r="M113" s="19" t="n"/>
      <c r="N113" s="17" t="inlineStr">
        <is>
          <t>BROUILLON</t>
        </is>
      </c>
      <c r="O113" s="17" t="n"/>
      <c r="P113" s="17" t="n"/>
      <c r="Q113" s="17" t="n"/>
      <c r="R113" s="17" t="n"/>
      <c r="S113" s="17" t="n"/>
      <c r="T113" s="17" t="n"/>
      <c r="U113" s="17" t="n"/>
    </row>
    <row r="114">
      <c r="A114" s="17" t="n"/>
      <c r="B114" s="18">
        <f>IF($C114="","",TEXT(TODAY(),"dd/mm/yyyy"))</f>
        <v/>
      </c>
      <c r="C114" s="19" t="n"/>
      <c r="D114" s="19" t="n"/>
      <c r="E114" s="18">
        <f>IF($D114="","",IFERROR(VLOOKUP($D114,ARTICLES!$A$5:$S$2243,3,FALSE),"reference inconnue"))</f>
        <v/>
      </c>
      <c r="F114" s="19" t="n"/>
      <c r="G114" s="19" t="n"/>
      <c r="H114" s="19" t="n"/>
      <c r="I114" s="19" t="n"/>
      <c r="J114" s="19" t="n"/>
      <c r="K114" s="19" t="n"/>
      <c r="L114" s="19" t="n"/>
      <c r="M114" s="19" t="n"/>
      <c r="N114" s="17" t="inlineStr">
        <is>
          <t>BROUILLON</t>
        </is>
      </c>
      <c r="O114" s="17" t="n"/>
      <c r="P114" s="17" t="n"/>
      <c r="Q114" s="17" t="n"/>
      <c r="R114" s="17" t="n"/>
      <c r="S114" s="17" t="n"/>
      <c r="T114" s="17" t="n"/>
      <c r="U114" s="17" t="n"/>
    </row>
    <row r="115">
      <c r="A115" s="17" t="n"/>
      <c r="B115" s="18">
        <f>IF($C115="","",TEXT(TODAY(),"dd/mm/yyyy"))</f>
        <v/>
      </c>
      <c r="C115" s="19" t="n"/>
      <c r="D115" s="19" t="n"/>
      <c r="E115" s="18">
        <f>IF($D115="","",IFERROR(VLOOKUP($D115,ARTICLES!$A$5:$S$2243,3,FALSE),"reference inconnue"))</f>
        <v/>
      </c>
      <c r="F115" s="19" t="n"/>
      <c r="G115" s="19" t="n"/>
      <c r="H115" s="19" t="n"/>
      <c r="I115" s="19" t="n"/>
      <c r="J115" s="19" t="n"/>
      <c r="K115" s="19" t="n"/>
      <c r="L115" s="19" t="n"/>
      <c r="M115" s="19" t="n"/>
      <c r="N115" s="17" t="inlineStr">
        <is>
          <t>BROUILLON</t>
        </is>
      </c>
      <c r="O115" s="17" t="n"/>
      <c r="P115" s="17" t="n"/>
      <c r="Q115" s="17" t="n"/>
      <c r="R115" s="17" t="n"/>
      <c r="S115" s="17" t="n"/>
      <c r="T115" s="17" t="n"/>
      <c r="U115" s="17" t="n"/>
    </row>
    <row r="116">
      <c r="A116" s="17" t="n"/>
      <c r="B116" s="18">
        <f>IF($C116="","",TEXT(TODAY(),"dd/mm/yyyy"))</f>
        <v/>
      </c>
      <c r="C116" s="19" t="n"/>
      <c r="D116" s="19" t="n"/>
      <c r="E116" s="18">
        <f>IF($D116="","",IFERROR(VLOOKUP($D116,ARTICLES!$A$5:$S$2243,3,FALSE),"reference inconnue"))</f>
        <v/>
      </c>
      <c r="F116" s="19" t="n"/>
      <c r="G116" s="19" t="n"/>
      <c r="H116" s="19" t="n"/>
      <c r="I116" s="19" t="n"/>
      <c r="J116" s="19" t="n"/>
      <c r="K116" s="19" t="n"/>
      <c r="L116" s="19" t="n"/>
      <c r="M116" s="19" t="n"/>
      <c r="N116" s="17" t="inlineStr">
        <is>
          <t>BROUILLON</t>
        </is>
      </c>
      <c r="O116" s="17" t="n"/>
      <c r="P116" s="17" t="n"/>
      <c r="Q116" s="17" t="n"/>
      <c r="R116" s="17" t="n"/>
      <c r="S116" s="17" t="n"/>
      <c r="T116" s="17" t="n"/>
      <c r="U116" s="17" t="n"/>
    </row>
    <row r="117">
      <c r="A117" s="17" t="n"/>
      <c r="B117" s="18">
        <f>IF($C117="","",TEXT(TODAY(),"dd/mm/yyyy"))</f>
        <v/>
      </c>
      <c r="C117" s="19" t="n"/>
      <c r="D117" s="19" t="n"/>
      <c r="E117" s="18">
        <f>IF($D117="","",IFERROR(VLOOKUP($D117,ARTICLES!$A$5:$S$2243,3,FALSE),"reference inconnue"))</f>
        <v/>
      </c>
      <c r="F117" s="19" t="n"/>
      <c r="G117" s="19" t="n"/>
      <c r="H117" s="19" t="n"/>
      <c r="I117" s="19" t="n"/>
      <c r="J117" s="19" t="n"/>
      <c r="K117" s="19" t="n"/>
      <c r="L117" s="19" t="n"/>
      <c r="M117" s="19" t="n"/>
      <c r="N117" s="17" t="inlineStr">
        <is>
          <t>BROUILLON</t>
        </is>
      </c>
      <c r="O117" s="17" t="n"/>
      <c r="P117" s="17" t="n"/>
      <c r="Q117" s="17" t="n"/>
      <c r="R117" s="17" t="n"/>
      <c r="S117" s="17" t="n"/>
      <c r="T117" s="17" t="n"/>
      <c r="U117" s="17" t="n"/>
    </row>
    <row r="118">
      <c r="A118" s="17" t="n"/>
      <c r="B118" s="18">
        <f>IF($C118="","",TEXT(TODAY(),"dd/mm/yyyy"))</f>
        <v/>
      </c>
      <c r="C118" s="19" t="n"/>
      <c r="D118" s="19" t="n"/>
      <c r="E118" s="18">
        <f>IF($D118="","",IFERROR(VLOOKUP($D118,ARTICLES!$A$5:$S$2243,3,FALSE),"reference inconnue"))</f>
        <v/>
      </c>
      <c r="F118" s="19" t="n"/>
      <c r="G118" s="19" t="n"/>
      <c r="H118" s="19" t="n"/>
      <c r="I118" s="19" t="n"/>
      <c r="J118" s="19" t="n"/>
      <c r="K118" s="19" t="n"/>
      <c r="L118" s="19" t="n"/>
      <c r="M118" s="19" t="n"/>
      <c r="N118" s="17" t="inlineStr">
        <is>
          <t>BROUILLON</t>
        </is>
      </c>
      <c r="O118" s="17" t="n"/>
      <c r="P118" s="17" t="n"/>
      <c r="Q118" s="17" t="n"/>
      <c r="R118" s="17" t="n"/>
      <c r="S118" s="17" t="n"/>
      <c r="T118" s="17" t="n"/>
      <c r="U118" s="17" t="n"/>
    </row>
    <row r="119">
      <c r="A119" s="17" t="n"/>
      <c r="B119" s="18">
        <f>IF($C119="","",TEXT(TODAY(),"dd/mm/yyyy"))</f>
        <v/>
      </c>
      <c r="C119" s="19" t="n"/>
      <c r="D119" s="19" t="n"/>
      <c r="E119" s="18">
        <f>IF($D119="","",IFERROR(VLOOKUP($D119,ARTICLES!$A$5:$S$2243,3,FALSE),"reference inconnue"))</f>
        <v/>
      </c>
      <c r="F119" s="19" t="n"/>
      <c r="G119" s="19" t="n"/>
      <c r="H119" s="19" t="n"/>
      <c r="I119" s="19" t="n"/>
      <c r="J119" s="19" t="n"/>
      <c r="K119" s="19" t="n"/>
      <c r="L119" s="19" t="n"/>
      <c r="M119" s="19" t="n"/>
      <c r="N119" s="17" t="inlineStr">
        <is>
          <t>BROUILLON</t>
        </is>
      </c>
      <c r="O119" s="17" t="n"/>
      <c r="P119" s="17" t="n"/>
      <c r="Q119" s="17" t="n"/>
      <c r="R119" s="17" t="n"/>
      <c r="S119" s="17" t="n"/>
      <c r="T119" s="17" t="n"/>
      <c r="U119" s="17" t="n"/>
    </row>
    <row r="120">
      <c r="A120" s="17" t="n"/>
      <c r="B120" s="18">
        <f>IF($C120="","",TEXT(TODAY(),"dd/mm/yyyy"))</f>
        <v/>
      </c>
      <c r="C120" s="19" t="n"/>
      <c r="D120" s="19" t="n"/>
      <c r="E120" s="18">
        <f>IF($D120="","",IFERROR(VLOOKUP($D120,ARTICLES!$A$5:$S$2243,3,FALSE),"reference inconnue"))</f>
        <v/>
      </c>
      <c r="F120" s="19" t="n"/>
      <c r="G120" s="19" t="n"/>
      <c r="H120" s="19" t="n"/>
      <c r="I120" s="19" t="n"/>
      <c r="J120" s="19" t="n"/>
      <c r="K120" s="19" t="n"/>
      <c r="L120" s="19" t="n"/>
      <c r="M120" s="19" t="n"/>
      <c r="N120" s="17" t="inlineStr">
        <is>
          <t>BROUILLON</t>
        </is>
      </c>
      <c r="O120" s="17" t="n"/>
      <c r="P120" s="17" t="n"/>
      <c r="Q120" s="17" t="n"/>
      <c r="R120" s="17" t="n"/>
      <c r="S120" s="17" t="n"/>
      <c r="T120" s="17" t="n"/>
      <c r="U120" s="17" t="n"/>
    </row>
    <row r="121">
      <c r="A121" s="17" t="n"/>
      <c r="B121" s="18">
        <f>IF($C121="","",TEXT(TODAY(),"dd/mm/yyyy"))</f>
        <v/>
      </c>
      <c r="C121" s="19" t="n"/>
      <c r="D121" s="19" t="n"/>
      <c r="E121" s="18">
        <f>IF($D121="","",IFERROR(VLOOKUP($D121,ARTICLES!$A$5:$S$2243,3,FALSE),"reference inconnue"))</f>
        <v/>
      </c>
      <c r="F121" s="19" t="n"/>
      <c r="G121" s="19" t="n"/>
      <c r="H121" s="19" t="n"/>
      <c r="I121" s="19" t="n"/>
      <c r="J121" s="19" t="n"/>
      <c r="K121" s="19" t="n"/>
      <c r="L121" s="19" t="n"/>
      <c r="M121" s="19" t="n"/>
      <c r="N121" s="17" t="inlineStr">
        <is>
          <t>BROUILLON</t>
        </is>
      </c>
      <c r="O121" s="17" t="n"/>
      <c r="P121" s="17" t="n"/>
      <c r="Q121" s="17" t="n"/>
      <c r="R121" s="17" t="n"/>
      <c r="S121" s="17" t="n"/>
      <c r="T121" s="17" t="n"/>
      <c r="U121" s="17" t="n"/>
    </row>
    <row r="122">
      <c r="A122" s="17" t="n"/>
      <c r="B122" s="18">
        <f>IF($C122="","",TEXT(TODAY(),"dd/mm/yyyy"))</f>
        <v/>
      </c>
      <c r="C122" s="19" t="n"/>
      <c r="D122" s="19" t="n"/>
      <c r="E122" s="18">
        <f>IF($D122="","",IFERROR(VLOOKUP($D122,ARTICLES!$A$5:$S$2243,3,FALSE),"reference inconnue"))</f>
        <v/>
      </c>
      <c r="F122" s="19" t="n"/>
      <c r="G122" s="19" t="n"/>
      <c r="H122" s="19" t="n"/>
      <c r="I122" s="19" t="n"/>
      <c r="J122" s="19" t="n"/>
      <c r="K122" s="19" t="n"/>
      <c r="L122" s="19" t="n"/>
      <c r="M122" s="19" t="n"/>
      <c r="N122" s="17" t="inlineStr">
        <is>
          <t>BROUILLON</t>
        </is>
      </c>
      <c r="O122" s="17" t="n"/>
      <c r="P122" s="17" t="n"/>
      <c r="Q122" s="17" t="n"/>
      <c r="R122" s="17" t="n"/>
      <c r="S122" s="17" t="n"/>
      <c r="T122" s="17" t="n"/>
      <c r="U122" s="17" t="n"/>
    </row>
    <row r="123">
      <c r="A123" s="17" t="n"/>
      <c r="B123" s="18">
        <f>IF($C123="","",TEXT(TODAY(),"dd/mm/yyyy"))</f>
        <v/>
      </c>
      <c r="C123" s="19" t="n"/>
      <c r="D123" s="19" t="n"/>
      <c r="E123" s="18">
        <f>IF($D123="","",IFERROR(VLOOKUP($D123,ARTICLES!$A$5:$S$2243,3,FALSE),"reference inconnue"))</f>
        <v/>
      </c>
      <c r="F123" s="19" t="n"/>
      <c r="G123" s="19" t="n"/>
      <c r="H123" s="19" t="n"/>
      <c r="I123" s="19" t="n"/>
      <c r="J123" s="19" t="n"/>
      <c r="K123" s="19" t="n"/>
      <c r="L123" s="19" t="n"/>
      <c r="M123" s="19" t="n"/>
      <c r="N123" s="17" t="inlineStr">
        <is>
          <t>BROUILLON</t>
        </is>
      </c>
      <c r="O123" s="17" t="n"/>
      <c r="P123" s="17" t="n"/>
      <c r="Q123" s="17" t="n"/>
      <c r="R123" s="17" t="n"/>
      <c r="S123" s="17" t="n"/>
      <c r="T123" s="17" t="n"/>
      <c r="U123" s="17" t="n"/>
    </row>
    <row r="124">
      <c r="A124" s="17" t="n"/>
      <c r="B124" s="18">
        <f>IF($C124="","",TEXT(TODAY(),"dd/mm/yyyy"))</f>
        <v/>
      </c>
      <c r="C124" s="19" t="n"/>
      <c r="D124" s="19" t="n"/>
      <c r="E124" s="18">
        <f>IF($D124="","",IFERROR(VLOOKUP($D124,ARTICLES!$A$5:$S$2243,3,FALSE),"reference inconnue"))</f>
        <v/>
      </c>
      <c r="F124" s="19" t="n"/>
      <c r="G124" s="19" t="n"/>
      <c r="H124" s="19" t="n"/>
      <c r="I124" s="19" t="n"/>
      <c r="J124" s="19" t="n"/>
      <c r="K124" s="19" t="n"/>
      <c r="L124" s="19" t="n"/>
      <c r="M124" s="19" t="n"/>
      <c r="N124" s="17" t="inlineStr">
        <is>
          <t>BROUILLON</t>
        </is>
      </c>
      <c r="O124" s="17" t="n"/>
      <c r="P124" s="17" t="n"/>
      <c r="Q124" s="17" t="n"/>
      <c r="R124" s="17" t="n"/>
      <c r="S124" s="17" t="n"/>
      <c r="T124" s="17" t="n"/>
      <c r="U124" s="17" t="n"/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3">
    <mergeCell ref="A1:U1"/>
    <mergeCell ref="A3:U3"/>
    <mergeCell ref="A2:U2"/>
  </mergeCells>
  <conditionalFormatting sqref="N5:N124">
    <cfRule type="cellIs" priority="1" operator="equal" dxfId="3">
      <formula>"BROUILLON"</formula>
    </cfRule>
    <cfRule type="cellIs" priority="2" operator="equal" dxfId="1">
      <formula>"EN ATTENTE DE VALIDATION"</formula>
    </cfRule>
    <cfRule type="cellIs" priority="3" operator="equal" dxfId="0">
      <formula>"VALIDE"</formula>
    </cfRule>
    <cfRule type="cellIs" priority="4" operator="equal" dxfId="2">
      <formula>"REJETE"</formula>
    </cfRule>
  </conditionalFormatting>
  <dataValidations count="9">
    <dataValidation sqref="N5:N124" showDropDown="0" showInputMessage="0" showErrorMessage="0" allowBlank="1" type="list">
      <formula1>"BROUILLON,EN ATTENTE DE VALIDATION,VALIDE,REJETE"</formula1>
    </dataValidation>
    <dataValidation sqref="D5:D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e code de la piece (WHAP-...). La designation s'affiche toute seule a cote." type="list">
      <formula1>ARTICLES!$A$5:$A$2243</formula1>
    </dataValidation>
    <dataValidation sqref="M5:M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votre matricule." type="list">
      <formula1>LISTES!$G$2:$G$25</formula1>
    </dataValidation>
    <dataValidation sqref="C5:C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e lot. Seuls les lots concernant cette zone sont proposes." type="list">
      <formula1>LISTES!$E$2:$E$29</formula1>
    </dataValidation>
    <dataValidation sqref="I5:I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a decision. Elle sera rejouee par SLCC a la synchronisation." type="list">
      <formula1>"LIBERE,REBUT"</formula1>
    </dataValidation>
    <dataValidation sqref="H5:H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'etape qui a place le lot en quarantaine." type="list">
      <formula1>"INSPECTION,QUALITE,PRODUCTION,MAGASIN"</formula1>
    </dataValidation>
    <dataValidation sqref="F5:F124" showDropDown="0" showInputMessage="1" showErrorMessage="0" allowBlank="1" promptTitle="A saisir" prompt="Quantite concernee par cette ligne."/>
    <dataValidation sqref="G5:G124" showDropDown="0" showInputMessage="1" showErrorMessage="0" allowBlank="1" promptTitle="A saisir" prompt="Pourquoi ce lot est en quarantaine."/>
    <dataValidation sqref="J5:J124" showDropDown="0" showInputMessage="1" showErrorMessage="0" allowBlank="1" promptTitle="A saisir" prompt="Obligatoire: pourquoi le lot sort du Red Cage."/>
  </dataValidations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T124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4" customWidth="1" min="1" max="1"/>
    <col width="12" customWidth="1" min="2" max="2"/>
    <col hidden="1" width="10" customWidth="1" min="3" max="3"/>
    <col width="16" customWidth="1" min="4" max="4"/>
    <col width="16" customWidth="1" min="5" max="5"/>
    <col width="30" customWidth="1" min="6" max="6"/>
    <col width="12" customWidth="1" min="7" max="7"/>
    <col width="14" customWidth="1" min="8" max="8"/>
    <col width="20" customWidth="1" min="9" max="9"/>
    <col width="18" customWidth="1" min="10" max="10"/>
    <col width="26" customWidth="1" min="11" max="11"/>
    <col width="20" customWidth="1" min="12" max="12"/>
    <col width="24" customWidth="1" min="13" max="13"/>
    <col width="20" customWidth="1" min="14" max="14"/>
    <col width="18" customWidth="1" min="15" max="15"/>
    <col width="30" customWidth="1" min="16" max="16"/>
    <col width="14" customWidth="1" min="17" max="17"/>
    <col hidden="1" outlineLevel="1" width="18" customWidth="1" min="18" max="20"/>
  </cols>
  <sheetData>
    <row r="1" ht="22" customHeight="1">
      <c r="A1" s="1" t="inlineStr">
        <is>
          <t>WAREHOUSE</t>
        </is>
      </c>
    </row>
    <row r="2">
      <c r="A2" s="2" t="inlineStr">
        <is>
          <t>Confirmation de stockage. C'est la seule operation qui augmente le stock.</t>
        </is>
      </c>
    </row>
    <row r="3" ht="15" customHeight="1">
      <c r="A3" s="13" t="inlineStr">
        <is>
          <t>SLCC - aucune synchronisation depuis l'ouverture du fichier</t>
        </is>
      </c>
    </row>
    <row r="4" ht="30" customHeight="1">
      <c r="A4" s="14" t="inlineStr">
        <is>
          <t>ID_STOCKAGE</t>
        </is>
      </c>
      <c r="B4" s="15" t="inlineStr">
        <is>
          <t>DATE</t>
        </is>
      </c>
      <c r="C4" s="14" t="inlineStr">
        <is>
          <t>HEURE</t>
        </is>
      </c>
      <c r="D4" s="6" t="inlineStr">
        <is>
          <t>ID_LOT</t>
        </is>
      </c>
      <c r="E4" s="6" t="inlineStr">
        <is>
          <t>REFERENCE_PIECE</t>
        </is>
      </c>
      <c r="F4" s="14" t="inlineStr">
        <is>
          <t>DESIGNATION</t>
        </is>
      </c>
      <c r="G4" s="6" t="inlineStr">
        <is>
          <t>QUANTITE</t>
        </is>
      </c>
      <c r="H4" s="6" t="inlineStr">
        <is>
          <t>EMPLACEMENT</t>
        </is>
      </c>
      <c r="I4" s="14" t="inlineStr">
        <is>
          <t>EMPLACEMENT_PRINCIPAL</t>
        </is>
      </c>
      <c r="J4" s="16" t="inlineStr">
        <is>
          <t>TYPE_EMPLACEMENT</t>
        </is>
      </c>
      <c r="K4" s="16" t="inlineStr">
        <is>
          <t>COMMENTAIRE</t>
        </is>
      </c>
      <c r="L4" s="6" t="inlineStr">
        <is>
          <t>MATRICULE_OPERATEUR</t>
        </is>
      </c>
      <c r="M4" s="14" t="inlineStr">
        <is>
          <t>STATUT</t>
        </is>
      </c>
      <c r="N4" s="14" t="inlineStr">
        <is>
          <t>MATRICULE_CHECKER</t>
        </is>
      </c>
      <c r="O4" s="14" t="inlineStr">
        <is>
          <t>DATE_VALIDATION</t>
        </is>
      </c>
      <c r="P4" s="14" t="inlineStr">
        <is>
          <t>MOTIF_REJET</t>
        </is>
      </c>
      <c r="Q4" s="14" t="inlineStr">
        <is>
          <t>ETAT_SYNC</t>
        </is>
      </c>
      <c r="R4" s="14" t="inlineStr">
        <is>
          <t>DATE_SOUMISSION</t>
        </is>
      </c>
      <c r="S4" s="14" t="inlineStr">
        <is>
          <t>ID_SYNC</t>
        </is>
      </c>
      <c r="T4" s="14" t="inlineStr">
        <is>
          <t>JETON_VALIDATION</t>
        </is>
      </c>
    </row>
    <row r="5">
      <c r="A5" s="17" t="inlineStr">
        <is>
          <t>MOV-2026-00160</t>
        </is>
      </c>
      <c r="B5" s="18" t="inlineStr">
        <is>
          <t>31/08/2026</t>
        </is>
      </c>
      <c r="C5" s="18" t="inlineStr">
        <is>
          <t>09:34</t>
        </is>
      </c>
      <c r="D5" s="17" t="inlineStr">
        <is>
          <t>LOT-2026-254</t>
        </is>
      </c>
      <c r="E5" s="17" t="inlineStr">
        <is>
          <t>WHAP-0151</t>
        </is>
      </c>
      <c r="F5" s="18">
        <f>IF($E5="","",IFERROR(VLOOKUP($E5,ARTICLES!$A$5:$S$2243,3,FALSE),"reference inconnue"))</f>
        <v/>
      </c>
      <c r="G5" s="17" t="n">
        <v>30</v>
      </c>
      <c r="H5" s="17" t="inlineStr">
        <is>
          <t>C-02-03</t>
        </is>
      </c>
      <c r="I5" s="18">
        <f>IF($E5="","",IFERROR(VLOOKUP($E5,ARTICLES!$A$5:$S$2243,10,FALSE),""))</f>
        <v/>
      </c>
      <c r="J5" s="17" t="inlineStr"/>
      <c r="K5" s="17" t="inlineStr">
        <is>
          <t>Storage confirmed for LOT-2026-254 at C-02-03</t>
        </is>
      </c>
      <c r="L5" s="17" t="inlineStr">
        <is>
          <t>WH-024</t>
        </is>
      </c>
      <c r="M5" s="17" t="inlineStr">
        <is>
          <t>VALIDE</t>
        </is>
      </c>
      <c r="N5" s="17" t="inlineStr"/>
      <c r="O5" s="17" t="inlineStr"/>
      <c r="P5" s="17" t="inlineStr"/>
      <c r="Q5" s="17" t="inlineStr">
        <is>
          <t>SYNCHRONISE</t>
        </is>
      </c>
      <c r="R5" s="17" t="inlineStr"/>
      <c r="S5" s="17" t="inlineStr">
        <is>
          <t>WAREHOUSE-HISTORIQUE-001</t>
        </is>
      </c>
      <c r="T5" s="17" t="inlineStr"/>
    </row>
    <row r="6">
      <c r="A6" s="17" t="inlineStr">
        <is>
          <t>MOV-2026-00159</t>
        </is>
      </c>
      <c r="B6" s="18" t="inlineStr">
        <is>
          <t>30/08/2026</t>
        </is>
      </c>
      <c r="C6" s="18" t="inlineStr">
        <is>
          <t>21:34</t>
        </is>
      </c>
      <c r="D6" s="17" t="inlineStr">
        <is>
          <t>LOT-2026-251</t>
        </is>
      </c>
      <c r="E6" s="17" t="inlineStr">
        <is>
          <t>WHAP-0057</t>
        </is>
      </c>
      <c r="F6" s="18">
        <f>IF($E6="","",IFERROR(VLOOKUP($E6,ARTICLES!$A$5:$S$2243,3,FALSE),"reference inconnue"))</f>
        <v/>
      </c>
      <c r="G6" s="17" t="n">
        <v>100</v>
      </c>
      <c r="H6" s="17" t="inlineStr">
        <is>
          <t>F-06-03</t>
        </is>
      </c>
      <c r="I6" s="18">
        <f>IF($E6="","",IFERROR(VLOOKUP($E6,ARTICLES!$A$5:$S$2243,10,FALSE),""))</f>
        <v/>
      </c>
      <c r="J6" s="17" t="inlineStr"/>
      <c r="K6" s="17" t="inlineStr">
        <is>
          <t>Storage confirmed for LOT-2026-251 at F-06-03</t>
        </is>
      </c>
      <c r="L6" s="17" t="inlineStr">
        <is>
          <t>WH-019</t>
        </is>
      </c>
      <c r="M6" s="17" t="inlineStr">
        <is>
          <t>VALIDE</t>
        </is>
      </c>
      <c r="N6" s="17" t="inlineStr"/>
      <c r="O6" s="17" t="inlineStr"/>
      <c r="P6" s="17" t="inlineStr"/>
      <c r="Q6" s="17" t="inlineStr">
        <is>
          <t>SYNCHRONISE</t>
        </is>
      </c>
      <c r="R6" s="17" t="inlineStr"/>
      <c r="S6" s="17" t="inlineStr">
        <is>
          <t>WAREHOUSE-HISTORIQUE-002</t>
        </is>
      </c>
      <c r="T6" s="17" t="inlineStr"/>
    </row>
    <row r="7">
      <c r="A7" s="17" t="inlineStr">
        <is>
          <t>MOV-2026-00158</t>
        </is>
      </c>
      <c r="B7" s="18" t="inlineStr">
        <is>
          <t>30/08/2026</t>
        </is>
      </c>
      <c r="C7" s="18" t="inlineStr">
        <is>
          <t>09:34</t>
        </is>
      </c>
      <c r="D7" s="17" t="inlineStr">
        <is>
          <t>LOT-2026-248</t>
        </is>
      </c>
      <c r="E7" s="17" t="inlineStr">
        <is>
          <t>EPI-002</t>
        </is>
      </c>
      <c r="F7" s="18">
        <f>IF($E7="","",IFERROR(VLOOKUP($E7,ARTICLES!$A$5:$S$2243,3,FALSE),"reference inconnue"))</f>
        <v/>
      </c>
      <c r="G7" s="17" t="n">
        <v>600</v>
      </c>
      <c r="H7" s="17" t="inlineStr">
        <is>
          <t>E-01-04</t>
        </is>
      </c>
      <c r="I7" s="18">
        <f>IF($E7="","",IFERROR(VLOOKUP($E7,ARTICLES!$A$5:$S$2243,10,FALSE),""))</f>
        <v/>
      </c>
      <c r="J7" s="17" t="inlineStr"/>
      <c r="K7" s="17" t="inlineStr">
        <is>
          <t>Storage confirmed for LOT-2026-248 at E-01-04</t>
        </is>
      </c>
      <c r="L7" s="17" t="inlineStr">
        <is>
          <t>WH-024</t>
        </is>
      </c>
      <c r="M7" s="17" t="inlineStr">
        <is>
          <t>VALIDE</t>
        </is>
      </c>
      <c r="N7" s="17" t="inlineStr"/>
      <c r="O7" s="17" t="inlineStr"/>
      <c r="P7" s="17" t="inlineStr"/>
      <c r="Q7" s="17" t="inlineStr">
        <is>
          <t>SYNCHRONISE</t>
        </is>
      </c>
      <c r="R7" s="17" t="inlineStr"/>
      <c r="S7" s="17" t="inlineStr">
        <is>
          <t>WAREHOUSE-HISTORIQUE-003</t>
        </is>
      </c>
      <c r="T7" s="17" t="inlineStr"/>
    </row>
    <row r="8">
      <c r="A8" s="17" t="inlineStr">
        <is>
          <t>MOV-2026-00157</t>
        </is>
      </c>
      <c r="B8" s="18" t="inlineStr">
        <is>
          <t>30/08/2026</t>
        </is>
      </c>
      <c r="C8" s="18" t="inlineStr">
        <is>
          <t>05:34</t>
        </is>
      </c>
      <c r="D8" s="17" t="inlineStr">
        <is>
          <t>LOT-2026-247</t>
        </is>
      </c>
      <c r="E8" s="17" t="inlineStr">
        <is>
          <t>WHAP-0611</t>
        </is>
      </c>
      <c r="F8" s="18">
        <f>IF($E8="","",IFERROR(VLOOKUP($E8,ARTICLES!$A$5:$S$2243,3,FALSE),"reference inconnue"))</f>
        <v/>
      </c>
      <c r="G8" s="17" t="n">
        <v>80</v>
      </c>
      <c r="H8" s="17" t="inlineStr">
        <is>
          <t>F-05-03</t>
        </is>
      </c>
      <c r="I8" s="18">
        <f>IF($E8="","",IFERROR(VLOOKUP($E8,ARTICLES!$A$5:$S$2243,10,FALSE),""))</f>
        <v/>
      </c>
      <c r="J8" s="17" t="inlineStr"/>
      <c r="K8" s="17" t="inlineStr">
        <is>
          <t>Storage confirmed for LOT-2026-247 at F-05-03</t>
        </is>
      </c>
      <c r="L8" s="17" t="inlineStr">
        <is>
          <t>WH-019</t>
        </is>
      </c>
      <c r="M8" s="17" t="inlineStr">
        <is>
          <t>VALIDE</t>
        </is>
      </c>
      <c r="N8" s="17" t="inlineStr"/>
      <c r="O8" s="17" t="inlineStr"/>
      <c r="P8" s="17" t="inlineStr"/>
      <c r="Q8" s="17" t="inlineStr">
        <is>
          <t>SYNCHRONISE</t>
        </is>
      </c>
      <c r="R8" s="17" t="inlineStr"/>
      <c r="S8" s="17" t="inlineStr">
        <is>
          <t>WAREHOUSE-HISTORIQUE-004</t>
        </is>
      </c>
      <c r="T8" s="17" t="inlineStr"/>
    </row>
    <row r="9">
      <c r="A9" s="17" t="inlineStr">
        <is>
          <t>MOV-2026-00156</t>
        </is>
      </c>
      <c r="B9" s="18" t="inlineStr">
        <is>
          <t>30/08/2026</t>
        </is>
      </c>
      <c r="C9" s="18" t="inlineStr">
        <is>
          <t>01:34</t>
        </is>
      </c>
      <c r="D9" s="17" t="inlineStr">
        <is>
          <t>LOT-2026-246</t>
        </is>
      </c>
      <c r="E9" s="17" t="inlineStr">
        <is>
          <t>SEC-001</t>
        </is>
      </c>
      <c r="F9" s="18">
        <f>IF($E9="","",IFERROR(VLOOKUP($E9,ARTICLES!$A$5:$S$2243,3,FALSE),"reference inconnue"))</f>
        <v/>
      </c>
      <c r="G9" s="17" t="n">
        <v>12</v>
      </c>
      <c r="H9" s="17" t="inlineStr">
        <is>
          <t>F-04-01</t>
        </is>
      </c>
      <c r="I9" s="18">
        <f>IF($E9="","",IFERROR(VLOOKUP($E9,ARTICLES!$A$5:$S$2243,10,FALSE),""))</f>
        <v/>
      </c>
      <c r="J9" s="17" t="inlineStr"/>
      <c r="K9" s="17" t="inlineStr">
        <is>
          <t>Storage confirmed for LOT-2026-246 at F-04-01</t>
        </is>
      </c>
      <c r="L9" s="17" t="inlineStr">
        <is>
          <t>WH-024</t>
        </is>
      </c>
      <c r="M9" s="17" t="inlineStr">
        <is>
          <t>VALIDE</t>
        </is>
      </c>
      <c r="N9" s="17" t="inlineStr"/>
      <c r="O9" s="17" t="inlineStr"/>
      <c r="P9" s="17" t="inlineStr"/>
      <c r="Q9" s="17" t="inlineStr">
        <is>
          <t>SYNCHRONISE</t>
        </is>
      </c>
      <c r="R9" s="17" t="inlineStr"/>
      <c r="S9" s="17" t="inlineStr">
        <is>
          <t>WAREHOUSE-HISTORIQUE-005</t>
        </is>
      </c>
      <c r="T9" s="17" t="inlineStr"/>
    </row>
    <row r="10">
      <c r="A10" s="17" t="inlineStr">
        <is>
          <t>MOV-2026-00155</t>
        </is>
      </c>
      <c r="B10" s="18" t="inlineStr">
        <is>
          <t>29/08/2026</t>
        </is>
      </c>
      <c r="C10" s="18" t="inlineStr">
        <is>
          <t>13:34</t>
        </is>
      </c>
      <c r="D10" s="17" t="inlineStr">
        <is>
          <t>LOT-2026-243</t>
        </is>
      </c>
      <c r="E10" s="17" t="inlineStr">
        <is>
          <t>WHAP-0396</t>
        </is>
      </c>
      <c r="F10" s="18">
        <f>IF($E10="","",IFERROR(VLOOKUP($E10,ARTICLES!$A$5:$S$2243,3,FALSE),"reference inconnue"))</f>
        <v/>
      </c>
      <c r="G10" s="17" t="n">
        <v>120</v>
      </c>
      <c r="H10" s="17" t="inlineStr">
        <is>
          <t>B-01-03</t>
        </is>
      </c>
      <c r="I10" s="18">
        <f>IF($E10="","",IFERROR(VLOOKUP($E10,ARTICLES!$A$5:$S$2243,10,FALSE),""))</f>
        <v/>
      </c>
      <c r="J10" s="17" t="inlineStr"/>
      <c r="K10" s="17" t="inlineStr">
        <is>
          <t>Storage confirmed for LOT-2026-243 at B-01-03</t>
        </is>
      </c>
      <c r="L10" s="17" t="inlineStr">
        <is>
          <t>WH-019</t>
        </is>
      </c>
      <c r="M10" s="17" t="inlineStr">
        <is>
          <t>VALIDE</t>
        </is>
      </c>
      <c r="N10" s="17" t="inlineStr"/>
      <c r="O10" s="17" t="inlineStr"/>
      <c r="P10" s="17" t="inlineStr"/>
      <c r="Q10" s="17" t="inlineStr">
        <is>
          <t>SYNCHRONISE</t>
        </is>
      </c>
      <c r="R10" s="17" t="inlineStr"/>
      <c r="S10" s="17" t="inlineStr">
        <is>
          <t>WAREHOUSE-HISTORIQUE-006</t>
        </is>
      </c>
      <c r="T10" s="17" t="inlineStr"/>
    </row>
    <row r="11">
      <c r="A11" s="17" t="inlineStr">
        <is>
          <t>MOV-2026-00154</t>
        </is>
      </c>
      <c r="B11" s="18" t="inlineStr">
        <is>
          <t>29/08/2026</t>
        </is>
      </c>
      <c r="C11" s="18" t="inlineStr">
        <is>
          <t>01:34</t>
        </is>
      </c>
      <c r="D11" s="17" t="inlineStr">
        <is>
          <t>LOT-2026-240</t>
        </is>
      </c>
      <c r="E11" s="17" t="inlineStr">
        <is>
          <t>WHAP-0629</t>
        </is>
      </c>
      <c r="F11" s="18">
        <f>IF($E11="","",IFERROR(VLOOKUP($E11,ARTICLES!$A$5:$S$2243,3,FALSE),"reference inconnue"))</f>
        <v/>
      </c>
      <c r="G11" s="17" t="n">
        <v>180</v>
      </c>
      <c r="H11" s="17" t="inlineStr">
        <is>
          <t>C-05-04</t>
        </is>
      </c>
      <c r="I11" s="18">
        <f>IF($E11="","",IFERROR(VLOOKUP($E11,ARTICLES!$A$5:$S$2243,10,FALSE),""))</f>
        <v/>
      </c>
      <c r="J11" s="17" t="inlineStr"/>
      <c r="K11" s="17" t="inlineStr">
        <is>
          <t>Storage confirmed for LOT-2026-240 at C-05-04</t>
        </is>
      </c>
      <c r="L11" s="17" t="inlineStr">
        <is>
          <t>WH-019</t>
        </is>
      </c>
      <c r="M11" s="17" t="inlineStr">
        <is>
          <t>VALIDE</t>
        </is>
      </c>
      <c r="N11" s="17" t="inlineStr"/>
      <c r="O11" s="17" t="inlineStr"/>
      <c r="P11" s="17" t="inlineStr"/>
      <c r="Q11" s="17" t="inlineStr">
        <is>
          <t>SYNCHRONISE</t>
        </is>
      </c>
      <c r="R11" s="17" t="inlineStr"/>
      <c r="S11" s="17" t="inlineStr">
        <is>
          <t>WAREHOUSE-HISTORIQUE-007</t>
        </is>
      </c>
      <c r="T11" s="17" t="inlineStr"/>
    </row>
    <row r="12">
      <c r="A12" s="17" t="inlineStr">
        <is>
          <t>MOV-2026-00153</t>
        </is>
      </c>
      <c r="B12" s="18" t="inlineStr">
        <is>
          <t>28/08/2026</t>
        </is>
      </c>
      <c r="C12" s="18" t="inlineStr">
        <is>
          <t>21:34</t>
        </is>
      </c>
      <c r="D12" s="17" t="inlineStr">
        <is>
          <t>LOT-2026-239</t>
        </is>
      </c>
      <c r="E12" s="17" t="inlineStr">
        <is>
          <t>WHAP-0225</t>
        </is>
      </c>
      <c r="F12" s="18">
        <f>IF($E12="","",IFERROR(VLOOKUP($E12,ARTICLES!$A$5:$S$2243,3,FALSE),"reference inconnue"))</f>
        <v/>
      </c>
      <c r="G12" s="17" t="n">
        <v>60</v>
      </c>
      <c r="H12" s="17" t="inlineStr">
        <is>
          <t>C-06-02</t>
        </is>
      </c>
      <c r="I12" s="18">
        <f>IF($E12="","",IFERROR(VLOOKUP($E12,ARTICLES!$A$5:$S$2243,10,FALSE),""))</f>
        <v/>
      </c>
      <c r="J12" s="17" t="inlineStr"/>
      <c r="K12" s="17" t="inlineStr">
        <is>
          <t>Storage confirmed for LOT-2026-239 at C-06-02</t>
        </is>
      </c>
      <c r="L12" s="17" t="inlineStr">
        <is>
          <t>WH-012</t>
        </is>
      </c>
      <c r="M12" s="17" t="inlineStr">
        <is>
          <t>VALIDE</t>
        </is>
      </c>
      <c r="N12" s="17" t="inlineStr"/>
      <c r="O12" s="17" t="inlineStr"/>
      <c r="P12" s="17" t="inlineStr"/>
      <c r="Q12" s="17" t="inlineStr">
        <is>
          <t>SYNCHRONISE</t>
        </is>
      </c>
      <c r="R12" s="17" t="inlineStr"/>
      <c r="S12" s="17" t="inlineStr">
        <is>
          <t>WAREHOUSE-HISTORIQUE-008</t>
        </is>
      </c>
      <c r="T12" s="17" t="inlineStr"/>
    </row>
    <row r="13">
      <c r="A13" s="17" t="inlineStr">
        <is>
          <t>MOV-2026-00152</t>
        </is>
      </c>
      <c r="B13" s="18" t="inlineStr">
        <is>
          <t>28/08/2026</t>
        </is>
      </c>
      <c r="C13" s="18" t="inlineStr">
        <is>
          <t>17:34</t>
        </is>
      </c>
      <c r="D13" s="17" t="inlineStr">
        <is>
          <t>LOT-2026-238</t>
        </is>
      </c>
      <c r="E13" s="17" t="inlineStr">
        <is>
          <t>ACC-001</t>
        </is>
      </c>
      <c r="F13" s="18">
        <f>IF($E13="","",IFERROR(VLOOKUP($E13,ARTICLES!$A$5:$S$2243,3,FALSE),"reference inconnue"))</f>
        <v/>
      </c>
      <c r="G13" s="17" t="n">
        <v>180</v>
      </c>
      <c r="H13" s="17" t="inlineStr">
        <is>
          <t>C-03-04</t>
        </is>
      </c>
      <c r="I13" s="18">
        <f>IF($E13="","",IFERROR(VLOOKUP($E13,ARTICLES!$A$5:$S$2243,10,FALSE),""))</f>
        <v/>
      </c>
      <c r="J13" s="17" t="inlineStr"/>
      <c r="K13" s="17" t="inlineStr">
        <is>
          <t>Storage confirmed for LOT-2026-238 at C-03-04</t>
        </is>
      </c>
      <c r="L13" s="17" t="inlineStr">
        <is>
          <t>WH-019</t>
        </is>
      </c>
      <c r="M13" s="17" t="inlineStr">
        <is>
          <t>VALIDE</t>
        </is>
      </c>
      <c r="N13" s="17" t="inlineStr"/>
      <c r="O13" s="17" t="inlineStr"/>
      <c r="P13" s="17" t="inlineStr"/>
      <c r="Q13" s="17" t="inlineStr">
        <is>
          <t>SYNCHRONISE</t>
        </is>
      </c>
      <c r="R13" s="17" t="inlineStr"/>
      <c r="S13" s="17" t="inlineStr">
        <is>
          <t>WAREHOUSE-HISTORIQUE-009</t>
        </is>
      </c>
      <c r="T13" s="17" t="inlineStr"/>
    </row>
    <row r="14">
      <c r="A14" s="17" t="inlineStr">
        <is>
          <t>MOV-2026-00151</t>
        </is>
      </c>
      <c r="B14" s="18" t="inlineStr">
        <is>
          <t>28/08/2026</t>
        </is>
      </c>
      <c r="C14" s="18" t="inlineStr">
        <is>
          <t>13:34</t>
        </is>
      </c>
      <c r="D14" s="17" t="inlineStr">
        <is>
          <t>LOT-2026-237</t>
        </is>
      </c>
      <c r="E14" s="17" t="inlineStr">
        <is>
          <t>WHAP-0470</t>
        </is>
      </c>
      <c r="F14" s="18">
        <f>IF($E14="","",IFERROR(VLOOKUP($E14,ARTICLES!$A$5:$S$2243,3,FALSE),"reference inconnue"))</f>
        <v/>
      </c>
      <c r="G14" s="17" t="n">
        <v>60</v>
      </c>
      <c r="H14" s="17" t="inlineStr">
        <is>
          <t>D-04-04</t>
        </is>
      </c>
      <c r="I14" s="18">
        <f>IF($E14="","",IFERROR(VLOOKUP($E14,ARTICLES!$A$5:$S$2243,10,FALSE),""))</f>
        <v/>
      </c>
      <c r="J14" s="17" t="inlineStr"/>
      <c r="K14" s="17" t="inlineStr">
        <is>
          <t>Storage confirmed for LOT-2026-237 at D-04-04</t>
        </is>
      </c>
      <c r="L14" s="17" t="inlineStr">
        <is>
          <t>WH-008</t>
        </is>
      </c>
      <c r="M14" s="17" t="inlineStr">
        <is>
          <t>VALIDE</t>
        </is>
      </c>
      <c r="N14" s="17" t="inlineStr"/>
      <c r="O14" s="17" t="inlineStr"/>
      <c r="P14" s="17" t="inlineStr"/>
      <c r="Q14" s="17" t="inlineStr">
        <is>
          <t>SYNCHRONISE</t>
        </is>
      </c>
      <c r="R14" s="17" t="inlineStr"/>
      <c r="S14" s="17" t="inlineStr">
        <is>
          <t>WAREHOUSE-HISTORIQUE-010</t>
        </is>
      </c>
      <c r="T14" s="17" t="inlineStr"/>
    </row>
    <row r="15">
      <c r="A15" s="17" t="inlineStr">
        <is>
          <t>MOV-2026-00150</t>
        </is>
      </c>
      <c r="B15" s="18" t="inlineStr">
        <is>
          <t>28/08/2026</t>
        </is>
      </c>
      <c r="C15" s="18" t="inlineStr">
        <is>
          <t>05:34</t>
        </is>
      </c>
      <c r="D15" s="17" t="inlineStr">
        <is>
          <t>LOT-2026-235</t>
        </is>
      </c>
      <c r="E15" s="17" t="inlineStr">
        <is>
          <t>WHAP-0153</t>
        </is>
      </c>
      <c r="F15" s="18">
        <f>IF($E15="","",IFERROR(VLOOKUP($E15,ARTICLES!$A$5:$S$2243,3,FALSE),"reference inconnue"))</f>
        <v/>
      </c>
      <c r="G15" s="17" t="n">
        <v>60</v>
      </c>
      <c r="H15" s="17" t="inlineStr">
        <is>
          <t>F-02-01</t>
        </is>
      </c>
      <c r="I15" s="18">
        <f>IF($E15="","",IFERROR(VLOOKUP($E15,ARTICLES!$A$5:$S$2243,10,FALSE),""))</f>
        <v/>
      </c>
      <c r="J15" s="17" t="inlineStr"/>
      <c r="K15" s="17" t="inlineStr">
        <is>
          <t>Storage confirmed for LOT-2026-235 at F-02-01</t>
        </is>
      </c>
      <c r="L15" s="17" t="inlineStr">
        <is>
          <t>WH-024</t>
        </is>
      </c>
      <c r="M15" s="17" t="inlineStr">
        <is>
          <t>VALIDE</t>
        </is>
      </c>
      <c r="N15" s="17" t="inlineStr"/>
      <c r="O15" s="17" t="inlineStr"/>
      <c r="P15" s="17" t="inlineStr"/>
      <c r="Q15" s="17" t="inlineStr">
        <is>
          <t>SYNCHRONISE</t>
        </is>
      </c>
      <c r="R15" s="17" t="inlineStr"/>
      <c r="S15" s="17" t="inlineStr">
        <is>
          <t>WAREHOUSE-HISTORIQUE-011</t>
        </is>
      </c>
      <c r="T15" s="17" t="inlineStr"/>
    </row>
    <row r="16">
      <c r="A16" s="17" t="inlineStr">
        <is>
          <t>MOV-2026-00148</t>
        </is>
      </c>
      <c r="B16" s="18" t="inlineStr">
        <is>
          <t>27/08/2026</t>
        </is>
      </c>
      <c r="C16" s="18" t="inlineStr">
        <is>
          <t>17:34</t>
        </is>
      </c>
      <c r="D16" s="17" t="inlineStr">
        <is>
          <t>LOT-2026-232</t>
        </is>
      </c>
      <c r="E16" s="17" t="inlineStr">
        <is>
          <t>EMB-002</t>
        </is>
      </c>
      <c r="F16" s="18">
        <f>IF($E16="","",IFERROR(VLOOKUP($E16,ARTICLES!$A$5:$S$2243,3,FALSE),"reference inconnue"))</f>
        <v/>
      </c>
      <c r="G16" s="17" t="n">
        <v>240</v>
      </c>
      <c r="H16" s="17" t="inlineStr">
        <is>
          <t>E-03-03</t>
        </is>
      </c>
      <c r="I16" s="18">
        <f>IF($E16="","",IFERROR(VLOOKUP($E16,ARTICLES!$A$5:$S$2243,10,FALSE),""))</f>
        <v/>
      </c>
      <c r="J16" s="17" t="inlineStr"/>
      <c r="K16" s="17" t="inlineStr">
        <is>
          <t>Storage confirmed for LOT-2026-232 at E-03-03</t>
        </is>
      </c>
      <c r="L16" s="17" t="inlineStr">
        <is>
          <t>WH-024</t>
        </is>
      </c>
      <c r="M16" s="17" t="inlineStr">
        <is>
          <t>VALIDE</t>
        </is>
      </c>
      <c r="N16" s="17" t="inlineStr"/>
      <c r="O16" s="17" t="inlineStr"/>
      <c r="P16" s="17" t="inlineStr"/>
      <c r="Q16" s="17" t="inlineStr">
        <is>
          <t>SYNCHRONISE</t>
        </is>
      </c>
      <c r="R16" s="17" t="inlineStr"/>
      <c r="S16" s="17" t="inlineStr">
        <is>
          <t>WAREHOUSE-HISTORIQUE-012</t>
        </is>
      </c>
      <c r="T16" s="17" t="inlineStr"/>
    </row>
    <row r="17">
      <c r="A17" s="17" t="inlineStr">
        <is>
          <t>MOV-2026-00147</t>
        </is>
      </c>
      <c r="B17" s="18" t="inlineStr">
        <is>
          <t>27/08/2026</t>
        </is>
      </c>
      <c r="C17" s="18" t="inlineStr">
        <is>
          <t>09:34</t>
        </is>
      </c>
      <c r="D17" s="17" t="inlineStr">
        <is>
          <t>LOT-2026-230</t>
        </is>
      </c>
      <c r="E17" s="17" t="inlineStr">
        <is>
          <t>WHAP-0575</t>
        </is>
      </c>
      <c r="F17" s="18">
        <f>IF($E17="","",IFERROR(VLOOKUP($E17,ARTICLES!$A$5:$S$2243,3,FALSE),"reference inconnue"))</f>
        <v/>
      </c>
      <c r="G17" s="17" t="n">
        <v>12</v>
      </c>
      <c r="H17" s="17" t="inlineStr">
        <is>
          <t>B-04-03</t>
        </is>
      </c>
      <c r="I17" s="18">
        <f>IF($E17="","",IFERROR(VLOOKUP($E17,ARTICLES!$A$5:$S$2243,10,FALSE),""))</f>
        <v/>
      </c>
      <c r="J17" s="17" t="inlineStr"/>
      <c r="K17" s="17" t="inlineStr">
        <is>
          <t>Storage confirmed for LOT-2026-230 at B-04-03</t>
        </is>
      </c>
      <c r="L17" s="17" t="inlineStr">
        <is>
          <t>WH-008</t>
        </is>
      </c>
      <c r="M17" s="17" t="inlineStr">
        <is>
          <t>VALIDE</t>
        </is>
      </c>
      <c r="N17" s="17" t="inlineStr"/>
      <c r="O17" s="17" t="inlineStr"/>
      <c r="P17" s="17" t="inlineStr"/>
      <c r="Q17" s="17" t="inlineStr">
        <is>
          <t>SYNCHRONISE</t>
        </is>
      </c>
      <c r="R17" s="17" t="inlineStr"/>
      <c r="S17" s="17" t="inlineStr">
        <is>
          <t>WAREHOUSE-HISTORIQUE-013</t>
        </is>
      </c>
      <c r="T17" s="17" t="inlineStr"/>
    </row>
    <row r="18">
      <c r="A18" s="17" t="inlineStr">
        <is>
          <t>MOV-2026-00146</t>
        </is>
      </c>
      <c r="B18" s="18" t="inlineStr">
        <is>
          <t>27/08/2026</t>
        </is>
      </c>
      <c r="C18" s="18" t="inlineStr">
        <is>
          <t>05:34</t>
        </is>
      </c>
      <c r="D18" s="17" t="inlineStr">
        <is>
          <t>LOT-2026-229</t>
        </is>
      </c>
      <c r="E18" s="17" t="inlineStr">
        <is>
          <t>WHAP-0366</t>
        </is>
      </c>
      <c r="F18" s="18">
        <f>IF($E18="","",IFERROR(VLOOKUP($E18,ARTICLES!$A$5:$S$2243,3,FALSE),"reference inconnue"))</f>
        <v/>
      </c>
      <c r="G18" s="17" t="n">
        <v>420</v>
      </c>
      <c r="H18" s="17" t="inlineStr">
        <is>
          <t>B-02-04</t>
        </is>
      </c>
      <c r="I18" s="18">
        <f>IF($E18="","",IFERROR(VLOOKUP($E18,ARTICLES!$A$5:$S$2243,10,FALSE),""))</f>
        <v/>
      </c>
      <c r="J18" s="17" t="inlineStr"/>
      <c r="K18" s="17" t="inlineStr">
        <is>
          <t>Storage confirmed for LOT-2026-229 at B-02-04</t>
        </is>
      </c>
      <c r="L18" s="17" t="inlineStr">
        <is>
          <t>WH-008</t>
        </is>
      </c>
      <c r="M18" s="17" t="inlineStr">
        <is>
          <t>VALIDE</t>
        </is>
      </c>
      <c r="N18" s="17" t="inlineStr"/>
      <c r="O18" s="17" t="inlineStr"/>
      <c r="P18" s="17" t="inlineStr"/>
      <c r="Q18" s="17" t="inlineStr">
        <is>
          <t>SYNCHRONISE</t>
        </is>
      </c>
      <c r="R18" s="17" t="inlineStr"/>
      <c r="S18" s="17" t="inlineStr">
        <is>
          <t>WAREHOUSE-HISTORIQUE-014</t>
        </is>
      </c>
      <c r="T18" s="17" t="inlineStr"/>
    </row>
    <row r="19">
      <c r="A19" s="17" t="inlineStr">
        <is>
          <t>MOV-2026-00145</t>
        </is>
      </c>
      <c r="B19" s="18" t="inlineStr">
        <is>
          <t>27/08/2026</t>
        </is>
      </c>
      <c r="C19" s="18" t="inlineStr">
        <is>
          <t>01:34</t>
        </is>
      </c>
      <c r="D19" s="17" t="inlineStr">
        <is>
          <t>LOT-2026-228</t>
        </is>
      </c>
      <c r="E19" s="17" t="inlineStr">
        <is>
          <t>WHAP-0224</t>
        </is>
      </c>
      <c r="F19" s="18">
        <f>IF($E19="","",IFERROR(VLOOKUP($E19,ARTICLES!$A$5:$S$2243,3,FALSE),"reference inconnue"))</f>
        <v/>
      </c>
      <c r="G19" s="17" t="n">
        <v>12</v>
      </c>
      <c r="H19" s="17" t="inlineStr">
        <is>
          <t>F-02-03</t>
        </is>
      </c>
      <c r="I19" s="18">
        <f>IF($E19="","",IFERROR(VLOOKUP($E19,ARTICLES!$A$5:$S$2243,10,FALSE),""))</f>
        <v/>
      </c>
      <c r="J19" s="17" t="inlineStr"/>
      <c r="K19" s="17" t="inlineStr">
        <is>
          <t>Storage confirmed for LOT-2026-228 at F-02-03</t>
        </is>
      </c>
      <c r="L19" s="17" t="inlineStr">
        <is>
          <t>WH-019</t>
        </is>
      </c>
      <c r="M19" s="17" t="inlineStr">
        <is>
          <t>VALIDE</t>
        </is>
      </c>
      <c r="N19" s="17" t="inlineStr"/>
      <c r="O19" s="17" t="inlineStr"/>
      <c r="P19" s="17" t="inlineStr"/>
      <c r="Q19" s="17" t="inlineStr">
        <is>
          <t>SYNCHRONISE</t>
        </is>
      </c>
      <c r="R19" s="17" t="inlineStr"/>
      <c r="S19" s="17" t="inlineStr">
        <is>
          <t>WAREHOUSE-HISTORIQUE-015</t>
        </is>
      </c>
      <c r="T19" s="17" t="inlineStr"/>
    </row>
    <row r="20">
      <c r="A20" s="17" t="inlineStr">
        <is>
          <t>MOV-2026-00144</t>
        </is>
      </c>
      <c r="B20" s="18" t="inlineStr">
        <is>
          <t>26/08/2026</t>
        </is>
      </c>
      <c r="C20" s="18" t="inlineStr">
        <is>
          <t>21:34</t>
        </is>
      </c>
      <c r="D20" s="17" t="inlineStr">
        <is>
          <t>LOT-2026-227</t>
        </is>
      </c>
      <c r="E20" s="17" t="inlineStr">
        <is>
          <t>WHAP-0246</t>
        </is>
      </c>
      <c r="F20" s="18">
        <f>IF($E20="","",IFERROR(VLOOKUP($E20,ARTICLES!$A$5:$S$2243,3,FALSE),"reference inconnue"))</f>
        <v/>
      </c>
      <c r="G20" s="17" t="n">
        <v>180</v>
      </c>
      <c r="H20" s="17" t="inlineStr">
        <is>
          <t>F-06-03</t>
        </is>
      </c>
      <c r="I20" s="18">
        <f>IF($E20="","",IFERROR(VLOOKUP($E20,ARTICLES!$A$5:$S$2243,10,FALSE),""))</f>
        <v/>
      </c>
      <c r="J20" s="17" t="inlineStr"/>
      <c r="K20" s="17" t="inlineStr">
        <is>
          <t>Storage confirmed for LOT-2026-227 at F-06-03</t>
        </is>
      </c>
      <c r="L20" s="17" t="inlineStr">
        <is>
          <t>WH-019</t>
        </is>
      </c>
      <c r="M20" s="17" t="inlineStr">
        <is>
          <t>VALIDE</t>
        </is>
      </c>
      <c r="N20" s="17" t="inlineStr"/>
      <c r="O20" s="17" t="inlineStr"/>
      <c r="P20" s="17" t="inlineStr"/>
      <c r="Q20" s="17" t="inlineStr">
        <is>
          <t>SYNCHRONISE</t>
        </is>
      </c>
      <c r="R20" s="17" t="inlineStr"/>
      <c r="S20" s="17" t="inlineStr">
        <is>
          <t>WAREHOUSE-HISTORIQUE-016</t>
        </is>
      </c>
      <c r="T20" s="17" t="inlineStr"/>
    </row>
    <row r="21">
      <c r="A21" s="17" t="inlineStr">
        <is>
          <t>MOV-2026-00143</t>
        </is>
      </c>
      <c r="B21" s="18" t="inlineStr">
        <is>
          <t>25/08/2026</t>
        </is>
      </c>
      <c r="C21" s="18" t="inlineStr">
        <is>
          <t>21:34</t>
        </is>
      </c>
      <c r="D21" s="17" t="inlineStr">
        <is>
          <t>LOT-2026-221</t>
        </is>
      </c>
      <c r="E21" s="17" t="inlineStr">
        <is>
          <t>WHAP-0338</t>
        </is>
      </c>
      <c r="F21" s="18">
        <f>IF($E21="","",IFERROR(VLOOKUP($E21,ARTICLES!$A$5:$S$2243,3,FALSE),"reference inconnue"))</f>
        <v/>
      </c>
      <c r="G21" s="17" t="n">
        <v>240</v>
      </c>
      <c r="H21" s="17" t="inlineStr">
        <is>
          <t>A-01-01</t>
        </is>
      </c>
      <c r="I21" s="18">
        <f>IF($E21="","",IFERROR(VLOOKUP($E21,ARTICLES!$A$5:$S$2243,10,FALSE),""))</f>
        <v/>
      </c>
      <c r="J21" s="17" t="inlineStr"/>
      <c r="K21" s="17" t="inlineStr">
        <is>
          <t>Storage confirmed for LOT-2026-221 at A-01-01</t>
        </is>
      </c>
      <c r="L21" s="17" t="inlineStr">
        <is>
          <t>WH-008</t>
        </is>
      </c>
      <c r="M21" s="17" t="inlineStr">
        <is>
          <t>VALIDE</t>
        </is>
      </c>
      <c r="N21" s="17" t="inlineStr"/>
      <c r="O21" s="17" t="inlineStr"/>
      <c r="P21" s="17" t="inlineStr"/>
      <c r="Q21" s="17" t="inlineStr">
        <is>
          <t>SYNCHRONISE</t>
        </is>
      </c>
      <c r="R21" s="17" t="inlineStr"/>
      <c r="S21" s="17" t="inlineStr">
        <is>
          <t>WAREHOUSE-HISTORIQUE-017</t>
        </is>
      </c>
      <c r="T21" s="17" t="inlineStr"/>
    </row>
    <row r="22">
      <c r="A22" s="17" t="inlineStr">
        <is>
          <t>MOV-2026-00142</t>
        </is>
      </c>
      <c r="B22" s="18" t="inlineStr">
        <is>
          <t>25/08/2026</t>
        </is>
      </c>
      <c r="C22" s="18" t="inlineStr">
        <is>
          <t>13:34</t>
        </is>
      </c>
      <c r="D22" s="17" t="inlineStr">
        <is>
          <t>LOT-2026-219</t>
        </is>
      </c>
      <c r="E22" s="17" t="inlineStr">
        <is>
          <t>WHAP-0446</t>
        </is>
      </c>
      <c r="F22" s="18">
        <f>IF($E22="","",IFERROR(VLOOKUP($E22,ARTICLES!$A$5:$S$2243,3,FALSE),"reference inconnue"))</f>
        <v/>
      </c>
      <c r="G22" s="17" t="n">
        <v>40</v>
      </c>
      <c r="H22" s="17" t="inlineStr">
        <is>
          <t>C-02-04</t>
        </is>
      </c>
      <c r="I22" s="18">
        <f>IF($E22="","",IFERROR(VLOOKUP($E22,ARTICLES!$A$5:$S$2243,10,FALSE),""))</f>
        <v/>
      </c>
      <c r="J22" s="17" t="inlineStr"/>
      <c r="K22" s="17" t="inlineStr">
        <is>
          <t>Storage confirmed for LOT-2026-219 at C-02-04</t>
        </is>
      </c>
      <c r="L22" s="17" t="inlineStr">
        <is>
          <t>WH-024</t>
        </is>
      </c>
      <c r="M22" s="17" t="inlineStr">
        <is>
          <t>VALIDE</t>
        </is>
      </c>
      <c r="N22" s="17" t="inlineStr"/>
      <c r="O22" s="17" t="inlineStr"/>
      <c r="P22" s="17" t="inlineStr"/>
      <c r="Q22" s="17" t="inlineStr">
        <is>
          <t>SYNCHRONISE</t>
        </is>
      </c>
      <c r="R22" s="17" t="inlineStr"/>
      <c r="S22" s="17" t="inlineStr">
        <is>
          <t>WAREHOUSE-HISTORIQUE-018</t>
        </is>
      </c>
      <c r="T22" s="17" t="inlineStr"/>
    </row>
    <row r="23">
      <c r="A23" s="17" t="inlineStr">
        <is>
          <t>MOV-2026-00141</t>
        </is>
      </c>
      <c r="B23" s="18" t="inlineStr">
        <is>
          <t>25/08/2026</t>
        </is>
      </c>
      <c r="C23" s="18" t="inlineStr">
        <is>
          <t>09:34</t>
        </is>
      </c>
      <c r="D23" s="17" t="inlineStr">
        <is>
          <t>LOT-2026-218</t>
        </is>
      </c>
      <c r="E23" s="17" t="inlineStr">
        <is>
          <t>WHAP-0551</t>
        </is>
      </c>
      <c r="F23" s="18">
        <f>IF($E23="","",IFERROR(VLOOKUP($E23,ARTICLES!$A$5:$S$2243,3,FALSE),"reference inconnue"))</f>
        <v/>
      </c>
      <c r="G23" s="17" t="n">
        <v>40</v>
      </c>
      <c r="H23" s="17" t="inlineStr">
        <is>
          <t>F-02-01</t>
        </is>
      </c>
      <c r="I23" s="18">
        <f>IF($E23="","",IFERROR(VLOOKUP($E23,ARTICLES!$A$5:$S$2243,10,FALSE),""))</f>
        <v/>
      </c>
      <c r="J23" s="17" t="inlineStr"/>
      <c r="K23" s="17" t="inlineStr">
        <is>
          <t>Storage confirmed for LOT-2026-218 at F-02-01</t>
        </is>
      </c>
      <c r="L23" s="17" t="inlineStr">
        <is>
          <t>WH-019</t>
        </is>
      </c>
      <c r="M23" s="17" t="inlineStr">
        <is>
          <t>VALIDE</t>
        </is>
      </c>
      <c r="N23" s="17" t="inlineStr"/>
      <c r="O23" s="17" t="inlineStr"/>
      <c r="P23" s="17" t="inlineStr"/>
      <c r="Q23" s="17" t="inlineStr">
        <is>
          <t>SYNCHRONISE</t>
        </is>
      </c>
      <c r="R23" s="17" t="inlineStr"/>
      <c r="S23" s="17" t="inlineStr">
        <is>
          <t>WAREHOUSE-HISTORIQUE-019</t>
        </is>
      </c>
      <c r="T23" s="17" t="inlineStr"/>
    </row>
    <row r="24">
      <c r="A24" s="17" t="inlineStr">
        <is>
          <t>MOV-2026-00140</t>
        </is>
      </c>
      <c r="B24" s="18" t="inlineStr">
        <is>
          <t>25/08/2026</t>
        </is>
      </c>
      <c r="C24" s="18" t="inlineStr">
        <is>
          <t>05:34</t>
        </is>
      </c>
      <c r="D24" s="17" t="inlineStr">
        <is>
          <t>LOT-2026-217</t>
        </is>
      </c>
      <c r="E24" s="17" t="inlineStr">
        <is>
          <t>WHAP-0199</t>
        </is>
      </c>
      <c r="F24" s="18">
        <f>IF($E24="","",IFERROR(VLOOKUP($E24,ARTICLES!$A$5:$S$2243,3,FALSE),"reference inconnue"))</f>
        <v/>
      </c>
      <c r="G24" s="17" t="n">
        <v>100</v>
      </c>
      <c r="H24" s="17" t="inlineStr">
        <is>
          <t>A-02-04</t>
        </is>
      </c>
      <c r="I24" s="18">
        <f>IF($E24="","",IFERROR(VLOOKUP($E24,ARTICLES!$A$5:$S$2243,10,FALSE),""))</f>
        <v/>
      </c>
      <c r="J24" s="17" t="inlineStr"/>
      <c r="K24" s="17" t="inlineStr">
        <is>
          <t>Storage confirmed for LOT-2026-217 at A-02-04</t>
        </is>
      </c>
      <c r="L24" s="17" t="inlineStr">
        <is>
          <t>WH-012</t>
        </is>
      </c>
      <c r="M24" s="17" t="inlineStr">
        <is>
          <t>VALIDE</t>
        </is>
      </c>
      <c r="N24" s="17" t="inlineStr"/>
      <c r="O24" s="17" t="inlineStr"/>
      <c r="P24" s="17" t="inlineStr"/>
      <c r="Q24" s="17" t="inlineStr">
        <is>
          <t>SYNCHRONISE</t>
        </is>
      </c>
      <c r="R24" s="17" t="inlineStr"/>
      <c r="S24" s="17" t="inlineStr">
        <is>
          <t>WAREHOUSE-HISTORIQUE-020</t>
        </is>
      </c>
      <c r="T24" s="17" t="inlineStr"/>
    </row>
    <row r="25">
      <c r="A25" s="17" t="inlineStr">
        <is>
          <t>MOV-2026-00138</t>
        </is>
      </c>
      <c r="B25" s="18" t="inlineStr">
        <is>
          <t>24/08/2026</t>
        </is>
      </c>
      <c r="C25" s="18" t="inlineStr">
        <is>
          <t>21:34</t>
        </is>
      </c>
      <c r="D25" s="17" t="inlineStr">
        <is>
          <t>LOT-2026-215</t>
        </is>
      </c>
      <c r="E25" s="17" t="inlineStr">
        <is>
          <t>WHAP-0172</t>
        </is>
      </c>
      <c r="F25" s="18">
        <f>IF($E25="","",IFERROR(VLOOKUP($E25,ARTICLES!$A$5:$S$2243,3,FALSE),"reference inconnue"))</f>
        <v/>
      </c>
      <c r="G25" s="17" t="n">
        <v>120</v>
      </c>
      <c r="H25" s="17" t="inlineStr">
        <is>
          <t>F-02-04</t>
        </is>
      </c>
      <c r="I25" s="18">
        <f>IF($E25="","",IFERROR(VLOOKUP($E25,ARTICLES!$A$5:$S$2243,10,FALSE),""))</f>
        <v/>
      </c>
      <c r="J25" s="17" t="inlineStr"/>
      <c r="K25" s="17" t="inlineStr">
        <is>
          <t>Storage confirmed for LOT-2026-215 at F-02-04</t>
        </is>
      </c>
      <c r="L25" s="17" t="inlineStr">
        <is>
          <t>WH-019</t>
        </is>
      </c>
      <c r="M25" s="17" t="inlineStr">
        <is>
          <t>VALIDE</t>
        </is>
      </c>
      <c r="N25" s="17" t="inlineStr"/>
      <c r="O25" s="17" t="inlineStr"/>
      <c r="P25" s="17" t="inlineStr"/>
      <c r="Q25" s="17" t="inlineStr">
        <is>
          <t>SYNCHRONISE</t>
        </is>
      </c>
      <c r="R25" s="17" t="inlineStr"/>
      <c r="S25" s="17" t="inlineStr">
        <is>
          <t>WAREHOUSE-HISTORIQUE-021</t>
        </is>
      </c>
      <c r="T25" s="17" t="inlineStr"/>
    </row>
    <row r="26">
      <c r="A26" s="17" t="inlineStr">
        <is>
          <t>MOV-2026-00137</t>
        </is>
      </c>
      <c r="B26" s="18" t="inlineStr">
        <is>
          <t>24/08/2026</t>
        </is>
      </c>
      <c r="C26" s="18" t="inlineStr">
        <is>
          <t>05:34</t>
        </is>
      </c>
      <c r="D26" s="17" t="inlineStr">
        <is>
          <t>LOT-2026-211</t>
        </is>
      </c>
      <c r="E26" s="17" t="inlineStr">
        <is>
          <t>WHAP-0200</t>
        </is>
      </c>
      <c r="F26" s="18">
        <f>IF($E26="","",IFERROR(VLOOKUP($E26,ARTICLES!$A$5:$S$2243,3,FALSE),"reference inconnue"))</f>
        <v/>
      </c>
      <c r="G26" s="17" t="n">
        <v>120</v>
      </c>
      <c r="H26" s="17" t="inlineStr">
        <is>
          <t>B-06-01</t>
        </is>
      </c>
      <c r="I26" s="18">
        <f>IF($E26="","",IFERROR(VLOOKUP($E26,ARTICLES!$A$5:$S$2243,10,FALSE),""))</f>
        <v/>
      </c>
      <c r="J26" s="17" t="inlineStr"/>
      <c r="K26" s="17" t="inlineStr">
        <is>
          <t>Storage confirmed for LOT-2026-211 at B-06-01</t>
        </is>
      </c>
      <c r="L26" s="17" t="inlineStr">
        <is>
          <t>WH-024</t>
        </is>
      </c>
      <c r="M26" s="17" t="inlineStr">
        <is>
          <t>VALIDE</t>
        </is>
      </c>
      <c r="N26" s="17" t="inlineStr"/>
      <c r="O26" s="17" t="inlineStr"/>
      <c r="P26" s="17" t="inlineStr"/>
      <c r="Q26" s="17" t="inlineStr">
        <is>
          <t>SYNCHRONISE</t>
        </is>
      </c>
      <c r="R26" s="17" t="inlineStr"/>
      <c r="S26" s="17" t="inlineStr">
        <is>
          <t>WAREHOUSE-HISTORIQUE-022</t>
        </is>
      </c>
      <c r="T26" s="17" t="inlineStr"/>
    </row>
    <row r="27">
      <c r="A27" s="17" t="inlineStr">
        <is>
          <t>MOV-2026-00135</t>
        </is>
      </c>
      <c r="B27" s="18" t="inlineStr">
        <is>
          <t>23/08/2026</t>
        </is>
      </c>
      <c r="C27" s="18" t="inlineStr">
        <is>
          <t>17:34</t>
        </is>
      </c>
      <c r="D27" s="17" t="inlineStr">
        <is>
          <t>LOT-2026-208</t>
        </is>
      </c>
      <c r="E27" s="17" t="inlineStr">
        <is>
          <t>SEC-002</t>
        </is>
      </c>
      <c r="F27" s="18">
        <f>IF($E27="","",IFERROR(VLOOKUP($E27,ARTICLES!$A$5:$S$2243,3,FALSE),"reference inconnue"))</f>
        <v/>
      </c>
      <c r="G27" s="17" t="n">
        <v>60</v>
      </c>
      <c r="H27" s="17" t="inlineStr">
        <is>
          <t>D-03-02</t>
        </is>
      </c>
      <c r="I27" s="18">
        <f>IF($E27="","",IFERROR(VLOOKUP($E27,ARTICLES!$A$5:$S$2243,10,FALSE),""))</f>
        <v/>
      </c>
      <c r="J27" s="17" t="inlineStr"/>
      <c r="K27" s="17" t="inlineStr">
        <is>
          <t>Storage confirmed for LOT-2026-208 at D-03-02</t>
        </is>
      </c>
      <c r="L27" s="17" t="inlineStr">
        <is>
          <t>WH-019</t>
        </is>
      </c>
      <c r="M27" s="17" t="inlineStr">
        <is>
          <t>VALIDE</t>
        </is>
      </c>
      <c r="N27" s="17" t="inlineStr"/>
      <c r="O27" s="17" t="inlineStr"/>
      <c r="P27" s="17" t="inlineStr"/>
      <c r="Q27" s="17" t="inlineStr">
        <is>
          <t>SYNCHRONISE</t>
        </is>
      </c>
      <c r="R27" s="17" t="inlineStr"/>
      <c r="S27" s="17" t="inlineStr">
        <is>
          <t>WAREHOUSE-HISTORIQUE-023</t>
        </is>
      </c>
      <c r="T27" s="17" t="inlineStr"/>
    </row>
    <row r="28">
      <c r="A28" s="17" t="inlineStr">
        <is>
          <t>MOV-2026-00134</t>
        </is>
      </c>
      <c r="B28" s="18" t="inlineStr">
        <is>
          <t>23/08/2026</t>
        </is>
      </c>
      <c r="C28" s="18" t="inlineStr">
        <is>
          <t>13:34</t>
        </is>
      </c>
      <c r="D28" s="17" t="inlineStr">
        <is>
          <t>LOT-2026-207</t>
        </is>
      </c>
      <c r="E28" s="17" t="inlineStr">
        <is>
          <t>ACC-002</t>
        </is>
      </c>
      <c r="F28" s="18">
        <f>IF($E28="","",IFERROR(VLOOKUP($E28,ARTICLES!$A$5:$S$2243,3,FALSE),"reference inconnue"))</f>
        <v/>
      </c>
      <c r="G28" s="17" t="n">
        <v>300</v>
      </c>
      <c r="H28" s="17" t="inlineStr">
        <is>
          <t>D-04-01</t>
        </is>
      </c>
      <c r="I28" s="18">
        <f>IF($E28="","",IFERROR(VLOOKUP($E28,ARTICLES!$A$5:$S$2243,10,FALSE),""))</f>
        <v/>
      </c>
      <c r="J28" s="17" t="inlineStr"/>
      <c r="K28" s="17" t="inlineStr">
        <is>
          <t>Storage confirmed for LOT-2026-207 at D-04-01</t>
        </is>
      </c>
      <c r="L28" s="17" t="inlineStr">
        <is>
          <t>WH-012</t>
        </is>
      </c>
      <c r="M28" s="17" t="inlineStr">
        <is>
          <t>VALIDE</t>
        </is>
      </c>
      <c r="N28" s="17" t="inlineStr"/>
      <c r="O28" s="17" t="inlineStr"/>
      <c r="P28" s="17" t="inlineStr"/>
      <c r="Q28" s="17" t="inlineStr">
        <is>
          <t>SYNCHRONISE</t>
        </is>
      </c>
      <c r="R28" s="17" t="inlineStr"/>
      <c r="S28" s="17" t="inlineStr">
        <is>
          <t>WAREHOUSE-HISTORIQUE-024</t>
        </is>
      </c>
      <c r="T28" s="17" t="inlineStr"/>
    </row>
    <row r="29">
      <c r="A29" s="17" t="inlineStr">
        <is>
          <t>MOV-2026-00133</t>
        </is>
      </c>
      <c r="B29" s="18" t="inlineStr">
        <is>
          <t>23/08/2026</t>
        </is>
      </c>
      <c r="C29" s="18" t="inlineStr">
        <is>
          <t>09:34</t>
        </is>
      </c>
      <c r="D29" s="17" t="inlineStr">
        <is>
          <t>LOT-2026-206</t>
        </is>
      </c>
      <c r="E29" s="17" t="inlineStr">
        <is>
          <t>WHAP-0574</t>
        </is>
      </c>
      <c r="F29" s="18">
        <f>IF($E29="","",IFERROR(VLOOKUP($E29,ARTICLES!$A$5:$S$2243,3,FALSE),"reference inconnue"))</f>
        <v/>
      </c>
      <c r="G29" s="17" t="n">
        <v>50</v>
      </c>
      <c r="H29" s="17" t="inlineStr">
        <is>
          <t>F-04-03</t>
        </is>
      </c>
      <c r="I29" s="18">
        <f>IF($E29="","",IFERROR(VLOOKUP($E29,ARTICLES!$A$5:$S$2243,10,FALSE),""))</f>
        <v/>
      </c>
      <c r="J29" s="17" t="inlineStr"/>
      <c r="K29" s="17" t="inlineStr">
        <is>
          <t>Storage confirmed for LOT-2026-206 at F-04-03</t>
        </is>
      </c>
      <c r="L29" s="17" t="inlineStr">
        <is>
          <t>WH-008</t>
        </is>
      </c>
      <c r="M29" s="17" t="inlineStr">
        <is>
          <t>VALIDE</t>
        </is>
      </c>
      <c r="N29" s="17" t="inlineStr"/>
      <c r="O29" s="17" t="inlineStr"/>
      <c r="P29" s="17" t="inlineStr"/>
      <c r="Q29" s="17" t="inlineStr">
        <is>
          <t>SYNCHRONISE</t>
        </is>
      </c>
      <c r="R29" s="17" t="inlineStr"/>
      <c r="S29" s="17" t="inlineStr">
        <is>
          <t>WAREHOUSE-HISTORIQUE-025</t>
        </is>
      </c>
      <c r="T29" s="17" t="inlineStr"/>
    </row>
    <row r="30">
      <c r="A30" s="17" t="inlineStr">
        <is>
          <t>MOV-2026-00132</t>
        </is>
      </c>
      <c r="B30" s="18" t="inlineStr">
        <is>
          <t>23/08/2026</t>
        </is>
      </c>
      <c r="C30" s="18" t="inlineStr">
        <is>
          <t>05:34</t>
        </is>
      </c>
      <c r="D30" s="17" t="inlineStr">
        <is>
          <t>LOT-2026-205</t>
        </is>
      </c>
      <c r="E30" s="17" t="inlineStr">
        <is>
          <t>WHAP-0226</t>
        </is>
      </c>
      <c r="F30" s="18">
        <f>IF($E30="","",IFERROR(VLOOKUP($E30,ARTICLES!$A$5:$S$2243,3,FALSE),"reference inconnue"))</f>
        <v/>
      </c>
      <c r="G30" s="17" t="n">
        <v>30</v>
      </c>
      <c r="H30" s="17" t="inlineStr">
        <is>
          <t>D-02-02</t>
        </is>
      </c>
      <c r="I30" s="18">
        <f>IF($E30="","",IFERROR(VLOOKUP($E30,ARTICLES!$A$5:$S$2243,10,FALSE),""))</f>
        <v/>
      </c>
      <c r="J30" s="17" t="inlineStr"/>
      <c r="K30" s="17" t="inlineStr">
        <is>
          <t>Storage confirmed for LOT-2026-205 at D-02-02</t>
        </is>
      </c>
      <c r="L30" s="17" t="inlineStr">
        <is>
          <t>WH-008</t>
        </is>
      </c>
      <c r="M30" s="17" t="inlineStr">
        <is>
          <t>VALIDE</t>
        </is>
      </c>
      <c r="N30" s="17" t="inlineStr"/>
      <c r="O30" s="17" t="inlineStr"/>
      <c r="P30" s="17" t="inlineStr"/>
      <c r="Q30" s="17" t="inlineStr">
        <is>
          <t>SYNCHRONISE</t>
        </is>
      </c>
      <c r="R30" s="17" t="inlineStr"/>
      <c r="S30" s="17" t="inlineStr">
        <is>
          <t>WAREHOUSE-HISTORIQUE-026</t>
        </is>
      </c>
      <c r="T30" s="17" t="inlineStr"/>
    </row>
    <row r="31">
      <c r="A31" s="17" t="inlineStr">
        <is>
          <t>MOV-2026-00131</t>
        </is>
      </c>
      <c r="B31" s="18" t="inlineStr">
        <is>
          <t>22/08/2026</t>
        </is>
      </c>
      <c r="C31" s="18" t="inlineStr">
        <is>
          <t>21:34</t>
        </is>
      </c>
      <c r="D31" s="17" t="inlineStr">
        <is>
          <t>LOT-2026-203</t>
        </is>
      </c>
      <c r="E31" s="17" t="inlineStr">
        <is>
          <t>WHAP-0270</t>
        </is>
      </c>
      <c r="F31" s="18">
        <f>IF($E31="","",IFERROR(VLOOKUP($E31,ARTICLES!$A$5:$S$2243,3,FALSE),"reference inconnue"))</f>
        <v/>
      </c>
      <c r="G31" s="17" t="n">
        <v>24</v>
      </c>
      <c r="H31" s="17" t="inlineStr">
        <is>
          <t>B-01-01</t>
        </is>
      </c>
      <c r="I31" s="18">
        <f>IF($E31="","",IFERROR(VLOOKUP($E31,ARTICLES!$A$5:$S$2243,10,FALSE),""))</f>
        <v/>
      </c>
      <c r="J31" s="17" t="inlineStr"/>
      <c r="K31" s="17" t="inlineStr">
        <is>
          <t>Storage confirmed for LOT-2026-203 at B-01-01</t>
        </is>
      </c>
      <c r="L31" s="17" t="inlineStr">
        <is>
          <t>WH-024</t>
        </is>
      </c>
      <c r="M31" s="17" t="inlineStr">
        <is>
          <t>VALIDE</t>
        </is>
      </c>
      <c r="N31" s="17" t="inlineStr"/>
      <c r="O31" s="17" t="inlineStr"/>
      <c r="P31" s="17" t="inlineStr"/>
      <c r="Q31" s="17" t="inlineStr">
        <is>
          <t>SYNCHRONISE</t>
        </is>
      </c>
      <c r="R31" s="17" t="inlineStr"/>
      <c r="S31" s="17" t="inlineStr">
        <is>
          <t>WAREHOUSE-HISTORIQUE-027</t>
        </is>
      </c>
      <c r="T31" s="17" t="inlineStr"/>
    </row>
    <row r="32">
      <c r="A32" s="17" t="inlineStr">
        <is>
          <t>MOV-2026-00130</t>
        </is>
      </c>
      <c r="B32" s="18" t="inlineStr">
        <is>
          <t>22/08/2026</t>
        </is>
      </c>
      <c r="C32" s="18" t="inlineStr">
        <is>
          <t>13:34</t>
        </is>
      </c>
      <c r="D32" s="17" t="inlineStr">
        <is>
          <t>LOT-2026-201</t>
        </is>
      </c>
      <c r="E32" s="17" t="inlineStr">
        <is>
          <t>NET-002</t>
        </is>
      </c>
      <c r="F32" s="18">
        <f>IF($E32="","",IFERROR(VLOOKUP($E32,ARTICLES!$A$5:$S$2243,3,FALSE),"reference inconnue"))</f>
        <v/>
      </c>
      <c r="G32" s="17" t="n">
        <v>480</v>
      </c>
      <c r="H32" s="17" t="inlineStr">
        <is>
          <t>C-03-03</t>
        </is>
      </c>
      <c r="I32" s="18">
        <f>IF($E32="","",IFERROR(VLOOKUP($E32,ARTICLES!$A$5:$S$2243,10,FALSE),""))</f>
        <v/>
      </c>
      <c r="J32" s="17" t="inlineStr"/>
      <c r="K32" s="17" t="inlineStr">
        <is>
          <t>Storage confirmed for LOT-2026-201 at C-03-03</t>
        </is>
      </c>
      <c r="L32" s="17" t="inlineStr">
        <is>
          <t>WH-019</t>
        </is>
      </c>
      <c r="M32" s="17" t="inlineStr">
        <is>
          <t>VALIDE</t>
        </is>
      </c>
      <c r="N32" s="17" t="inlineStr"/>
      <c r="O32" s="17" t="inlineStr"/>
      <c r="P32" s="17" t="inlineStr"/>
      <c r="Q32" s="17" t="inlineStr">
        <is>
          <t>SYNCHRONISE</t>
        </is>
      </c>
      <c r="R32" s="17" t="inlineStr"/>
      <c r="S32" s="17" t="inlineStr">
        <is>
          <t>WAREHOUSE-HISTORIQUE-028</t>
        </is>
      </c>
      <c r="T32" s="17" t="inlineStr"/>
    </row>
    <row r="33">
      <c r="A33" s="17" t="inlineStr">
        <is>
          <t>MOV-2026-00129</t>
        </is>
      </c>
      <c r="B33" s="18" t="inlineStr">
        <is>
          <t>22/08/2026</t>
        </is>
      </c>
      <c r="C33" s="18" t="inlineStr">
        <is>
          <t>09:34</t>
        </is>
      </c>
      <c r="D33" s="17" t="inlineStr">
        <is>
          <t>LOT-2026-200</t>
        </is>
      </c>
      <c r="E33" s="17" t="inlineStr">
        <is>
          <t>WHAP-0497</t>
        </is>
      </c>
      <c r="F33" s="18">
        <f>IF($E33="","",IFERROR(VLOOKUP($E33,ARTICLES!$A$5:$S$2243,3,FALSE),"reference inconnue"))</f>
        <v/>
      </c>
      <c r="G33" s="17" t="n">
        <v>600</v>
      </c>
      <c r="H33" s="17" t="inlineStr">
        <is>
          <t>C-06-04</t>
        </is>
      </c>
      <c r="I33" s="18">
        <f>IF($E33="","",IFERROR(VLOOKUP($E33,ARTICLES!$A$5:$S$2243,10,FALSE),""))</f>
        <v/>
      </c>
      <c r="J33" s="17" t="inlineStr"/>
      <c r="K33" s="17" t="inlineStr">
        <is>
          <t>Storage confirmed for LOT-2026-200 at C-06-04</t>
        </is>
      </c>
      <c r="L33" s="17" t="inlineStr">
        <is>
          <t>WH-024</t>
        </is>
      </c>
      <c r="M33" s="17" t="inlineStr">
        <is>
          <t>VALIDE</t>
        </is>
      </c>
      <c r="N33" s="17" t="inlineStr"/>
      <c r="O33" s="17" t="inlineStr"/>
      <c r="P33" s="17" t="inlineStr"/>
      <c r="Q33" s="17" t="inlineStr">
        <is>
          <t>SYNCHRONISE</t>
        </is>
      </c>
      <c r="R33" s="17" t="inlineStr"/>
      <c r="S33" s="17" t="inlineStr">
        <is>
          <t>WAREHOUSE-HISTORIQUE-029</t>
        </is>
      </c>
      <c r="T33" s="17" t="inlineStr"/>
    </row>
    <row r="34">
      <c r="A34" s="17" t="inlineStr">
        <is>
          <t>MOV-2026-00125</t>
        </is>
      </c>
      <c r="B34" s="18" t="inlineStr">
        <is>
          <t>20/08/2026</t>
        </is>
      </c>
      <c r="C34" s="18" t="inlineStr">
        <is>
          <t>21:34</t>
        </is>
      </c>
      <c r="D34" s="17" t="inlineStr">
        <is>
          <t>LOT-2026-191</t>
        </is>
      </c>
      <c r="E34" s="17" t="inlineStr">
        <is>
          <t>WHAP-0418</t>
        </is>
      </c>
      <c r="F34" s="18">
        <f>IF($E34="","",IFERROR(VLOOKUP($E34,ARTICLES!$A$5:$S$2243,3,FALSE),"reference inconnue"))</f>
        <v/>
      </c>
      <c r="G34" s="17" t="n">
        <v>60</v>
      </c>
      <c r="H34" s="17" t="inlineStr">
        <is>
          <t>E-05-02</t>
        </is>
      </c>
      <c r="I34" s="18">
        <f>IF($E34="","",IFERROR(VLOOKUP($E34,ARTICLES!$A$5:$S$2243,10,FALSE),""))</f>
        <v/>
      </c>
      <c r="J34" s="17" t="inlineStr"/>
      <c r="K34" s="17" t="inlineStr">
        <is>
          <t>Storage confirmed for LOT-2026-191 at E-05-02</t>
        </is>
      </c>
      <c r="L34" s="17" t="inlineStr">
        <is>
          <t>WH-024</t>
        </is>
      </c>
      <c r="M34" s="17" t="inlineStr">
        <is>
          <t>VALIDE</t>
        </is>
      </c>
      <c r="N34" s="17" t="inlineStr"/>
      <c r="O34" s="17" t="inlineStr"/>
      <c r="P34" s="17" t="inlineStr"/>
      <c r="Q34" s="17" t="inlineStr">
        <is>
          <t>SYNCHRONISE</t>
        </is>
      </c>
      <c r="R34" s="17" t="inlineStr"/>
      <c r="S34" s="17" t="inlineStr">
        <is>
          <t>WAREHOUSE-HISTORIQUE-030</t>
        </is>
      </c>
      <c r="T34" s="17" t="inlineStr"/>
    </row>
    <row r="35">
      <c r="A35" s="17" t="inlineStr">
        <is>
          <t>MOV-2026-00123</t>
        </is>
      </c>
      <c r="B35" s="18" t="inlineStr">
        <is>
          <t>20/08/2026</t>
        </is>
      </c>
      <c r="C35" s="18" t="inlineStr">
        <is>
          <t>09:34</t>
        </is>
      </c>
      <c r="D35" s="17" t="inlineStr">
        <is>
          <t>LOT-2026-188</t>
        </is>
      </c>
      <c r="E35" s="17" t="inlineStr">
        <is>
          <t>WHAP-0417</t>
        </is>
      </c>
      <c r="F35" s="18">
        <f>IF($E35="","",IFERROR(VLOOKUP($E35,ARTICLES!$A$5:$S$2243,3,FALSE),"reference inconnue"))</f>
        <v/>
      </c>
      <c r="G35" s="17" t="n">
        <v>24</v>
      </c>
      <c r="H35" s="17" t="inlineStr">
        <is>
          <t>C-01-02</t>
        </is>
      </c>
      <c r="I35" s="18">
        <f>IF($E35="","",IFERROR(VLOOKUP($E35,ARTICLES!$A$5:$S$2243,10,FALSE),""))</f>
        <v/>
      </c>
      <c r="J35" s="17" t="inlineStr"/>
      <c r="K35" s="17" t="inlineStr">
        <is>
          <t>Storage confirmed for LOT-2026-188 at C-01-02</t>
        </is>
      </c>
      <c r="L35" s="17" t="inlineStr">
        <is>
          <t>WH-019</t>
        </is>
      </c>
      <c r="M35" s="17" t="inlineStr">
        <is>
          <t>VALIDE</t>
        </is>
      </c>
      <c r="N35" s="17" t="inlineStr"/>
      <c r="O35" s="17" t="inlineStr"/>
      <c r="P35" s="17" t="inlineStr"/>
      <c r="Q35" s="17" t="inlineStr">
        <is>
          <t>SYNCHRONISE</t>
        </is>
      </c>
      <c r="R35" s="17" t="inlineStr"/>
      <c r="S35" s="17" t="inlineStr">
        <is>
          <t>WAREHOUSE-HISTORIQUE-031</t>
        </is>
      </c>
      <c r="T35" s="17" t="inlineStr"/>
    </row>
    <row r="36">
      <c r="A36" s="17" t="inlineStr">
        <is>
          <t>MOV-2026-00122</t>
        </is>
      </c>
      <c r="B36" s="18" t="inlineStr">
        <is>
          <t>19/08/2026</t>
        </is>
      </c>
      <c r="C36" s="18" t="inlineStr">
        <is>
          <t>09:34</t>
        </is>
      </c>
      <c r="D36" s="17" t="inlineStr">
        <is>
          <t>LOT-2026-182</t>
        </is>
      </c>
      <c r="E36" s="17" t="inlineStr">
        <is>
          <t>WHAP-0296</t>
        </is>
      </c>
      <c r="F36" s="18">
        <f>IF($E36="","",IFERROR(VLOOKUP($E36,ARTICLES!$A$5:$S$2243,3,FALSE),"reference inconnue"))</f>
        <v/>
      </c>
      <c r="G36" s="17" t="n">
        <v>420</v>
      </c>
      <c r="H36" s="17" t="inlineStr">
        <is>
          <t>E-05-01</t>
        </is>
      </c>
      <c r="I36" s="18">
        <f>IF($E36="","",IFERROR(VLOOKUP($E36,ARTICLES!$A$5:$S$2243,10,FALSE),""))</f>
        <v/>
      </c>
      <c r="J36" s="17" t="inlineStr"/>
      <c r="K36" s="17" t="inlineStr">
        <is>
          <t>Storage confirmed for LOT-2026-182 at E-05-01</t>
        </is>
      </c>
      <c r="L36" s="17" t="inlineStr">
        <is>
          <t>WH-012</t>
        </is>
      </c>
      <c r="M36" s="17" t="inlineStr">
        <is>
          <t>VALIDE</t>
        </is>
      </c>
      <c r="N36" s="17" t="inlineStr"/>
      <c r="O36" s="17" t="inlineStr"/>
      <c r="P36" s="17" t="inlineStr"/>
      <c r="Q36" s="17" t="inlineStr">
        <is>
          <t>SYNCHRONISE</t>
        </is>
      </c>
      <c r="R36" s="17" t="inlineStr"/>
      <c r="S36" s="17" t="inlineStr">
        <is>
          <t>WAREHOUSE-HISTORIQUE-032</t>
        </is>
      </c>
      <c r="T36" s="17" t="inlineStr"/>
    </row>
    <row r="37">
      <c r="A37" s="17" t="inlineStr">
        <is>
          <t>MOV-2026-00121</t>
        </is>
      </c>
      <c r="B37" s="18" t="inlineStr">
        <is>
          <t>18/08/2026</t>
        </is>
      </c>
      <c r="C37" s="18" t="inlineStr">
        <is>
          <t>21:34</t>
        </is>
      </c>
      <c r="D37" s="17" t="inlineStr">
        <is>
          <t>LOT-2026-179</t>
        </is>
      </c>
      <c r="E37" s="17" t="inlineStr">
        <is>
          <t>WHAP-0552</t>
        </is>
      </c>
      <c r="F37" s="18">
        <f>IF($E37="","",IFERROR(VLOOKUP($E37,ARTICLES!$A$5:$S$2243,3,FALSE),"reference inconnue"))</f>
        <v/>
      </c>
      <c r="G37" s="17" t="n">
        <v>50</v>
      </c>
      <c r="H37" s="17" t="inlineStr">
        <is>
          <t>F-06-01</t>
        </is>
      </c>
      <c r="I37" s="18">
        <f>IF($E37="","",IFERROR(VLOOKUP($E37,ARTICLES!$A$5:$S$2243,10,FALSE),""))</f>
        <v/>
      </c>
      <c r="J37" s="17" t="inlineStr"/>
      <c r="K37" s="17" t="inlineStr">
        <is>
          <t>Storage confirmed for LOT-2026-179 at F-06-01</t>
        </is>
      </c>
      <c r="L37" s="17" t="inlineStr">
        <is>
          <t>WH-024</t>
        </is>
      </c>
      <c r="M37" s="17" t="inlineStr">
        <is>
          <t>VALIDE</t>
        </is>
      </c>
      <c r="N37" s="17" t="inlineStr"/>
      <c r="O37" s="17" t="inlineStr"/>
      <c r="P37" s="17" t="inlineStr"/>
      <c r="Q37" s="17" t="inlineStr">
        <is>
          <t>SYNCHRONISE</t>
        </is>
      </c>
      <c r="R37" s="17" t="inlineStr"/>
      <c r="S37" s="17" t="inlineStr">
        <is>
          <t>WAREHOUSE-HISTORIQUE-033</t>
        </is>
      </c>
      <c r="T37" s="17" t="inlineStr"/>
    </row>
    <row r="38">
      <c r="A38" s="17" t="inlineStr">
        <is>
          <t>MOV-2026-00119</t>
        </is>
      </c>
      <c r="B38" s="18" t="inlineStr">
        <is>
          <t>18/08/2026</t>
        </is>
      </c>
      <c r="C38" s="18" t="inlineStr">
        <is>
          <t>05:34</t>
        </is>
      </c>
      <c r="D38" s="17" t="inlineStr">
        <is>
          <t>LOT-2026-175</t>
        </is>
      </c>
      <c r="E38" s="17" t="inlineStr">
        <is>
          <t>EPI-001</t>
        </is>
      </c>
      <c r="F38" s="18">
        <f>IF($E38="","",IFERROR(VLOOKUP($E38,ARTICLES!$A$5:$S$2243,3,FALSE),"reference inconnue"))</f>
        <v/>
      </c>
      <c r="G38" s="17" t="n">
        <v>240</v>
      </c>
      <c r="H38" s="17" t="inlineStr">
        <is>
          <t>E-05-01</t>
        </is>
      </c>
      <c r="I38" s="18">
        <f>IF($E38="","",IFERROR(VLOOKUP($E38,ARTICLES!$A$5:$S$2243,10,FALSE),""))</f>
        <v/>
      </c>
      <c r="J38" s="17" t="inlineStr"/>
      <c r="K38" s="17" t="inlineStr">
        <is>
          <t>Storage confirmed for LOT-2026-175 at E-05-01</t>
        </is>
      </c>
      <c r="L38" s="17" t="inlineStr">
        <is>
          <t>WH-024</t>
        </is>
      </c>
      <c r="M38" s="17" t="inlineStr">
        <is>
          <t>VALIDE</t>
        </is>
      </c>
      <c r="N38" s="17" t="inlineStr"/>
      <c r="O38" s="17" t="inlineStr"/>
      <c r="P38" s="17" t="inlineStr"/>
      <c r="Q38" s="17" t="inlineStr">
        <is>
          <t>SYNCHRONISE</t>
        </is>
      </c>
      <c r="R38" s="17" t="inlineStr"/>
      <c r="S38" s="17" t="inlineStr">
        <is>
          <t>WAREHOUSE-HISTORIQUE-034</t>
        </is>
      </c>
      <c r="T38" s="17" t="inlineStr"/>
    </row>
    <row r="39">
      <c r="A39" s="17" t="inlineStr">
        <is>
          <t>MOV-2026-00118</t>
        </is>
      </c>
      <c r="B39" s="18" t="inlineStr">
        <is>
          <t>18/08/2026</t>
        </is>
      </c>
      <c r="C39" s="18" t="inlineStr">
        <is>
          <t>01:34</t>
        </is>
      </c>
      <c r="D39" s="17" t="inlineStr">
        <is>
          <t>LOT-2026-174</t>
        </is>
      </c>
      <c r="E39" s="17" t="inlineStr">
        <is>
          <t>EMB-001</t>
        </is>
      </c>
      <c r="F39" s="18">
        <f>IF($E39="","",IFERROR(VLOOKUP($E39,ARTICLES!$A$5:$S$2243,3,FALSE),"reference inconnue"))</f>
        <v/>
      </c>
      <c r="G39" s="17" t="n">
        <v>180</v>
      </c>
      <c r="H39" s="17" t="inlineStr">
        <is>
          <t>C-04-03</t>
        </is>
      </c>
      <c r="I39" s="18">
        <f>IF($E39="","",IFERROR(VLOOKUP($E39,ARTICLES!$A$5:$S$2243,10,FALSE),""))</f>
        <v/>
      </c>
      <c r="J39" s="17" t="inlineStr"/>
      <c r="K39" s="17" t="inlineStr">
        <is>
          <t>Storage confirmed for LOT-2026-174 at C-04-03</t>
        </is>
      </c>
      <c r="L39" s="17" t="inlineStr">
        <is>
          <t>WH-008</t>
        </is>
      </c>
      <c r="M39" s="17" t="inlineStr">
        <is>
          <t>VALIDE</t>
        </is>
      </c>
      <c r="N39" s="17" t="inlineStr"/>
      <c r="O39" s="17" t="inlineStr"/>
      <c r="P39" s="17" t="inlineStr"/>
      <c r="Q39" s="17" t="inlineStr">
        <is>
          <t>SYNCHRONISE</t>
        </is>
      </c>
      <c r="R39" s="17" t="inlineStr"/>
      <c r="S39" s="17" t="inlineStr">
        <is>
          <t>WAREHOUSE-HISTORIQUE-035</t>
        </is>
      </c>
      <c r="T39" s="17" t="inlineStr"/>
    </row>
    <row r="40">
      <c r="A40" s="17" t="inlineStr">
        <is>
          <t>MOV-2026-00115</t>
        </is>
      </c>
      <c r="B40" s="18" t="inlineStr">
        <is>
          <t>17/08/2026</t>
        </is>
      </c>
      <c r="C40" s="18" t="inlineStr">
        <is>
          <t>13:34</t>
        </is>
      </c>
      <c r="D40" s="17" t="inlineStr">
        <is>
          <t>LOT-2026-171</t>
        </is>
      </c>
      <c r="E40" s="17" t="inlineStr">
        <is>
          <t>WHAP-0316</t>
        </is>
      </c>
      <c r="F40" s="18">
        <f>IF($E40="","",IFERROR(VLOOKUP($E40,ARTICLES!$A$5:$S$2243,3,FALSE),"reference inconnue"))</f>
        <v/>
      </c>
      <c r="G40" s="17" t="n">
        <v>420</v>
      </c>
      <c r="H40" s="17" t="inlineStr">
        <is>
          <t>C-04-02</t>
        </is>
      </c>
      <c r="I40" s="18">
        <f>IF($E40="","",IFERROR(VLOOKUP($E40,ARTICLES!$A$5:$S$2243,10,FALSE),""))</f>
        <v/>
      </c>
      <c r="J40" s="17" t="inlineStr"/>
      <c r="K40" s="17" t="inlineStr">
        <is>
          <t>Storage confirmed for LOT-2026-171 at C-04-02</t>
        </is>
      </c>
      <c r="L40" s="17" t="inlineStr">
        <is>
          <t>WH-019</t>
        </is>
      </c>
      <c r="M40" s="17" t="inlineStr">
        <is>
          <t>VALIDE</t>
        </is>
      </c>
      <c r="N40" s="17" t="inlineStr"/>
      <c r="O40" s="17" t="inlineStr"/>
      <c r="P40" s="17" t="inlineStr"/>
      <c r="Q40" s="17" t="inlineStr">
        <is>
          <t>SYNCHRONISE</t>
        </is>
      </c>
      <c r="R40" s="17" t="inlineStr"/>
      <c r="S40" s="17" t="inlineStr">
        <is>
          <t>WAREHOUSE-HISTORIQUE-036</t>
        </is>
      </c>
      <c r="T40" s="17" t="inlineStr"/>
    </row>
    <row r="41">
      <c r="A41" s="17" t="inlineStr">
        <is>
          <t>MOV-2026-00114</t>
        </is>
      </c>
      <c r="B41" s="18" t="inlineStr">
        <is>
          <t>17/08/2026</t>
        </is>
      </c>
      <c r="C41" s="18" t="inlineStr">
        <is>
          <t>05:34</t>
        </is>
      </c>
      <c r="D41" s="17" t="inlineStr">
        <is>
          <t>LOT-2026-169</t>
        </is>
      </c>
      <c r="E41" s="17" t="inlineStr">
        <is>
          <t>WHAP-0056</t>
        </is>
      </c>
      <c r="F41" s="18">
        <f>IF($E41="","",IFERROR(VLOOKUP($E41,ARTICLES!$A$5:$S$2243,3,FALSE),"reference inconnue"))</f>
        <v/>
      </c>
      <c r="G41" s="17" t="n">
        <v>50</v>
      </c>
      <c r="H41" s="17" t="inlineStr">
        <is>
          <t>A-02-01</t>
        </is>
      </c>
      <c r="I41" s="18">
        <f>IF($E41="","",IFERROR(VLOOKUP($E41,ARTICLES!$A$5:$S$2243,10,FALSE),""))</f>
        <v/>
      </c>
      <c r="J41" s="17" t="inlineStr"/>
      <c r="K41" s="17" t="inlineStr">
        <is>
          <t>Storage confirmed for LOT-2026-169 at A-02-01</t>
        </is>
      </c>
      <c r="L41" s="17" t="inlineStr">
        <is>
          <t>WH-019</t>
        </is>
      </c>
      <c r="M41" s="17" t="inlineStr">
        <is>
          <t>VALIDE</t>
        </is>
      </c>
      <c r="N41" s="17" t="inlineStr"/>
      <c r="O41" s="17" t="inlineStr"/>
      <c r="P41" s="17" t="inlineStr"/>
      <c r="Q41" s="17" t="inlineStr">
        <is>
          <t>SYNCHRONISE</t>
        </is>
      </c>
      <c r="R41" s="17" t="inlineStr"/>
      <c r="S41" s="17" t="inlineStr">
        <is>
          <t>WAREHOUSE-HISTORIQUE-037</t>
        </is>
      </c>
      <c r="T41" s="17" t="inlineStr"/>
    </row>
    <row r="42">
      <c r="A42" s="17" t="inlineStr">
        <is>
          <t>MOV-2026-00113</t>
        </is>
      </c>
      <c r="B42" s="18" t="inlineStr">
        <is>
          <t>17/08/2026</t>
        </is>
      </c>
      <c r="C42" s="18" t="inlineStr">
        <is>
          <t>01:34</t>
        </is>
      </c>
      <c r="D42" s="17" t="inlineStr">
        <is>
          <t>LOT-2026-168</t>
        </is>
      </c>
      <c r="E42" s="17" t="inlineStr">
        <is>
          <t>WHAP-0002</t>
        </is>
      </c>
      <c r="F42" s="18">
        <f>IF($E42="","",IFERROR(VLOOKUP($E42,ARTICLES!$A$5:$S$2243,3,FALSE),"reference inconnue"))</f>
        <v/>
      </c>
      <c r="G42" s="17" t="n">
        <v>50</v>
      </c>
      <c r="H42" s="17" t="inlineStr">
        <is>
          <t>A-02-03</t>
        </is>
      </c>
      <c r="I42" s="18">
        <f>IF($E42="","",IFERROR(VLOOKUP($E42,ARTICLES!$A$5:$S$2243,10,FALSE),""))</f>
        <v/>
      </c>
      <c r="J42" s="17" t="inlineStr"/>
      <c r="K42" s="17" t="inlineStr">
        <is>
          <t>Storage confirmed for LOT-2026-168 at A-02-03</t>
        </is>
      </c>
      <c r="L42" s="17" t="inlineStr">
        <is>
          <t>WH-012</t>
        </is>
      </c>
      <c r="M42" s="17" t="inlineStr">
        <is>
          <t>VALIDE</t>
        </is>
      </c>
      <c r="N42" s="17" t="inlineStr"/>
      <c r="O42" s="17" t="inlineStr"/>
      <c r="P42" s="17" t="inlineStr"/>
      <c r="Q42" s="17" t="inlineStr">
        <is>
          <t>SYNCHRONISE</t>
        </is>
      </c>
      <c r="R42" s="17" t="inlineStr"/>
      <c r="S42" s="17" t="inlineStr">
        <is>
          <t>WAREHOUSE-HISTORIQUE-038</t>
        </is>
      </c>
      <c r="T42" s="17" t="inlineStr"/>
    </row>
    <row r="43">
      <c r="A43" s="17" t="inlineStr">
        <is>
          <t>MOV-2026-00108</t>
        </is>
      </c>
      <c r="B43" s="18" t="inlineStr">
        <is>
          <t>16/08/2026</t>
        </is>
      </c>
      <c r="C43" s="18" t="inlineStr">
        <is>
          <t>01:34</t>
        </is>
      </c>
      <c r="D43" s="17" t="inlineStr">
        <is>
          <t>LOT-2026-162</t>
        </is>
      </c>
      <c r="E43" s="17" t="inlineStr">
        <is>
          <t>WHAP-0171</t>
        </is>
      </c>
      <c r="F43" s="18">
        <f>IF($E43="","",IFERROR(VLOOKUP($E43,ARTICLES!$A$5:$S$2243,3,FALSE),"reference inconnue"))</f>
        <v/>
      </c>
      <c r="G43" s="17" t="n">
        <v>40</v>
      </c>
      <c r="H43" s="17" t="inlineStr">
        <is>
          <t>A-02-04</t>
        </is>
      </c>
      <c r="I43" s="18">
        <f>IF($E43="","",IFERROR(VLOOKUP($E43,ARTICLES!$A$5:$S$2243,10,FALSE),""))</f>
        <v/>
      </c>
      <c r="J43" s="17" t="inlineStr"/>
      <c r="K43" s="17" t="inlineStr">
        <is>
          <t>Storage confirmed for LOT-2026-162 at A-02-04</t>
        </is>
      </c>
      <c r="L43" s="17" t="inlineStr">
        <is>
          <t>WH-024</t>
        </is>
      </c>
      <c r="M43" s="17" t="inlineStr">
        <is>
          <t>VALIDE</t>
        </is>
      </c>
      <c r="N43" s="17" t="inlineStr"/>
      <c r="O43" s="17" t="inlineStr"/>
      <c r="P43" s="17" t="inlineStr"/>
      <c r="Q43" s="17" t="inlineStr">
        <is>
          <t>SYNCHRONISE</t>
        </is>
      </c>
      <c r="R43" s="17" t="inlineStr"/>
      <c r="S43" s="17" t="inlineStr">
        <is>
          <t>WAREHOUSE-HISTORIQUE-039</t>
        </is>
      </c>
      <c r="T43" s="17" t="inlineStr"/>
    </row>
    <row r="44">
      <c r="A44" s="17" t="inlineStr">
        <is>
          <t>MOV-2026-00107</t>
        </is>
      </c>
      <c r="B44" s="18" t="inlineStr">
        <is>
          <t>15/08/2026</t>
        </is>
      </c>
      <c r="C44" s="18" t="inlineStr">
        <is>
          <t>21:34</t>
        </is>
      </c>
      <c r="D44" s="17" t="inlineStr">
        <is>
          <t>LOT-2026-161</t>
        </is>
      </c>
      <c r="E44" s="17" t="inlineStr">
        <is>
          <t>EMB-003</t>
        </is>
      </c>
      <c r="F44" s="18">
        <f>IF($E44="","",IFERROR(VLOOKUP($E44,ARTICLES!$A$5:$S$2243,3,FALSE),"reference inconnue"))</f>
        <v/>
      </c>
      <c r="G44" s="17" t="n">
        <v>120</v>
      </c>
      <c r="H44" s="17" t="inlineStr">
        <is>
          <t>E-04-03</t>
        </is>
      </c>
      <c r="I44" s="18">
        <f>IF($E44="","",IFERROR(VLOOKUP($E44,ARTICLES!$A$5:$S$2243,10,FALSE),""))</f>
        <v/>
      </c>
      <c r="J44" s="17" t="inlineStr"/>
      <c r="K44" s="17" t="inlineStr">
        <is>
          <t>Storage confirmed for LOT-2026-161 at E-04-03</t>
        </is>
      </c>
      <c r="L44" s="17" t="inlineStr">
        <is>
          <t>WH-008</t>
        </is>
      </c>
      <c r="M44" s="17" t="inlineStr">
        <is>
          <t>VALIDE</t>
        </is>
      </c>
      <c r="N44" s="17" t="inlineStr"/>
      <c r="O44" s="17" t="inlineStr"/>
      <c r="P44" s="17" t="inlineStr"/>
      <c r="Q44" s="17" t="inlineStr">
        <is>
          <t>SYNCHRONISE</t>
        </is>
      </c>
      <c r="R44" s="17" t="inlineStr"/>
      <c r="S44" s="17" t="inlineStr">
        <is>
          <t>WAREHOUSE-HISTORIQUE-040</t>
        </is>
      </c>
      <c r="T44" s="17" t="inlineStr"/>
    </row>
    <row r="45">
      <c r="A45" s="17" t="inlineStr"/>
      <c r="B45" s="18">
        <f>IF($D45="","",TEXT(TODAY(),"dd/mm/yyyy"))</f>
        <v/>
      </c>
      <c r="C45" s="18">
        <f>IF($D45="","",TEXT(NOW(),"hh:mm"))</f>
        <v/>
      </c>
      <c r="D45" s="17" t="inlineStr">
        <is>
          <t>LOT-2026-252</t>
        </is>
      </c>
      <c r="E45" s="17" t="inlineStr">
        <is>
          <t>NET-001</t>
        </is>
      </c>
      <c r="F45" s="18">
        <f>IF($E45="","",IFERROR(VLOOKUP($E45,ARTICLES!$A$5:$S$2243,3,FALSE),"reference inconnue"))</f>
        <v/>
      </c>
      <c r="G45" s="17" t="n">
        <v>600</v>
      </c>
      <c r="H45" s="17" t="inlineStr"/>
      <c r="I45" s="18">
        <f>IF($E45="","",IFERROR(VLOOKUP($E45,ARTICLES!$A$5:$S$2243,10,FALSE),""))</f>
        <v/>
      </c>
      <c r="J45" s="17" t="inlineStr"/>
      <c r="K45" s="17" t="inlineStr"/>
      <c r="L45" s="17" t="inlineStr"/>
      <c r="M45" s="17" t="inlineStr">
        <is>
          <t>BROUILLON</t>
        </is>
      </c>
      <c r="N45" s="17" t="inlineStr"/>
      <c r="O45" s="17" t="inlineStr"/>
      <c r="P45" s="17" t="inlineStr"/>
      <c r="Q45" s="17" t="inlineStr"/>
      <c r="R45" s="17" t="inlineStr"/>
      <c r="S45" s="17" t="inlineStr"/>
      <c r="T45" s="17" t="inlineStr"/>
    </row>
    <row r="46">
      <c r="A46" s="17" t="inlineStr"/>
      <c r="B46" s="18">
        <f>IF($D46="","",TEXT(TODAY(),"dd/mm/yyyy"))</f>
        <v/>
      </c>
      <c r="C46" s="18">
        <f>IF($D46="","",TEXT(NOW(),"hh:mm"))</f>
        <v/>
      </c>
      <c r="D46" s="17" t="inlineStr">
        <is>
          <t>LOT-2026-241</t>
        </is>
      </c>
      <c r="E46" s="17" t="inlineStr">
        <is>
          <t>WHAP-0366</t>
        </is>
      </c>
      <c r="F46" s="18">
        <f>IF($E46="","",IFERROR(VLOOKUP($E46,ARTICLES!$A$5:$S$2243,3,FALSE),"reference inconnue"))</f>
        <v/>
      </c>
      <c r="G46" s="17" t="n">
        <v>480</v>
      </c>
      <c r="H46" s="17" t="inlineStr"/>
      <c r="I46" s="18">
        <f>IF($E46="","",IFERROR(VLOOKUP($E46,ARTICLES!$A$5:$S$2243,10,FALSE),""))</f>
        <v/>
      </c>
      <c r="J46" s="17" t="inlineStr"/>
      <c r="K46" s="17" t="inlineStr"/>
      <c r="L46" s="17" t="inlineStr"/>
      <c r="M46" s="17" t="inlineStr">
        <is>
          <t>BROUILLON</t>
        </is>
      </c>
      <c r="N46" s="17" t="inlineStr"/>
      <c r="O46" s="17" t="inlineStr"/>
      <c r="P46" s="17" t="inlineStr"/>
      <c r="Q46" s="17" t="inlineStr"/>
      <c r="R46" s="17" t="inlineStr"/>
      <c r="S46" s="17" t="inlineStr"/>
      <c r="T46" s="17" t="inlineStr"/>
    </row>
    <row r="47">
      <c r="A47" s="17" t="inlineStr"/>
      <c r="B47" s="18">
        <f>IF($D47="","",TEXT(TODAY(),"dd/mm/yyyy"))</f>
        <v/>
      </c>
      <c r="C47" s="18">
        <f>IF($D47="","",TEXT(NOW(),"hh:mm"))</f>
        <v/>
      </c>
      <c r="D47" s="17" t="inlineStr">
        <is>
          <t>LOT-2026-212</t>
        </is>
      </c>
      <c r="E47" s="17" t="inlineStr">
        <is>
          <t>WHAP-0610</t>
        </is>
      </c>
      <c r="F47" s="18">
        <f>IF($E47="","",IFERROR(VLOOKUP($E47,ARTICLES!$A$5:$S$2243,3,FALSE),"reference inconnue"))</f>
        <v/>
      </c>
      <c r="G47" s="17" t="n">
        <v>40</v>
      </c>
      <c r="H47" s="17" t="inlineStr"/>
      <c r="I47" s="18">
        <f>IF($E47="","",IFERROR(VLOOKUP($E47,ARTICLES!$A$5:$S$2243,10,FALSE),""))</f>
        <v/>
      </c>
      <c r="J47" s="17" t="inlineStr"/>
      <c r="K47" s="17" t="inlineStr"/>
      <c r="L47" s="17" t="inlineStr"/>
      <c r="M47" s="17" t="inlineStr">
        <is>
          <t>BROUILLON</t>
        </is>
      </c>
      <c r="N47" s="17" t="inlineStr"/>
      <c r="O47" s="17" t="inlineStr"/>
      <c r="P47" s="17" t="inlineStr"/>
      <c r="Q47" s="17" t="inlineStr"/>
      <c r="R47" s="17" t="inlineStr"/>
      <c r="S47" s="17" t="inlineStr"/>
      <c r="T47" s="17" t="inlineStr"/>
    </row>
    <row r="48">
      <c r="A48" s="17" t="inlineStr"/>
      <c r="B48" s="18">
        <f>IF($D48="","",TEXT(TODAY(),"dd/mm/yyyy"))</f>
        <v/>
      </c>
      <c r="C48" s="18">
        <f>IF($D48="","",TEXT(NOW(),"hh:mm"))</f>
        <v/>
      </c>
      <c r="D48" s="17" t="inlineStr">
        <is>
          <t>LOT-2026-181</t>
        </is>
      </c>
      <c r="E48" s="17" t="inlineStr">
        <is>
          <t>WHAP-0419</t>
        </is>
      </c>
      <c r="F48" s="18">
        <f>IF($E48="","",IFERROR(VLOOKUP($E48,ARTICLES!$A$5:$S$2243,3,FALSE),"reference inconnue"))</f>
        <v/>
      </c>
      <c r="G48" s="17" t="n">
        <v>18</v>
      </c>
      <c r="H48" s="17" t="inlineStr"/>
      <c r="I48" s="18">
        <f>IF($E48="","",IFERROR(VLOOKUP($E48,ARTICLES!$A$5:$S$2243,10,FALSE),""))</f>
        <v/>
      </c>
      <c r="J48" s="17" t="inlineStr"/>
      <c r="K48" s="17" t="inlineStr"/>
      <c r="L48" s="17" t="inlineStr"/>
      <c r="M48" s="17" t="inlineStr">
        <is>
          <t>BROUILLON</t>
        </is>
      </c>
      <c r="N48" s="17" t="inlineStr"/>
      <c r="O48" s="17" t="inlineStr"/>
      <c r="P48" s="17" t="inlineStr"/>
      <c r="Q48" s="17" t="inlineStr"/>
      <c r="R48" s="17" t="inlineStr"/>
      <c r="S48" s="17" t="inlineStr"/>
      <c r="T48" s="17" t="inlineStr"/>
    </row>
    <row r="49">
      <c r="A49" s="17" t="inlineStr"/>
      <c r="B49" s="18">
        <f>IF($D49="","",TEXT(TODAY(),"dd/mm/yyyy"))</f>
        <v/>
      </c>
      <c r="C49" s="18">
        <f>IF($D49="","",TEXT(NOW(),"hh:mm"))</f>
        <v/>
      </c>
      <c r="D49" s="17" t="inlineStr">
        <is>
          <t>LOT-2026-098</t>
        </is>
      </c>
      <c r="E49" s="17" t="inlineStr">
        <is>
          <t>WHAP-0104</t>
        </is>
      </c>
      <c r="F49" s="18">
        <f>IF($E49="","",IFERROR(VLOOKUP($E49,ARTICLES!$A$5:$S$2243,3,FALSE),"reference inconnue"))</f>
        <v/>
      </c>
      <c r="G49" s="17" t="n">
        <v>120</v>
      </c>
      <c r="H49" s="17" t="inlineStr"/>
      <c r="I49" s="18">
        <f>IF($E49="","",IFERROR(VLOOKUP($E49,ARTICLES!$A$5:$S$2243,10,FALSE),""))</f>
        <v/>
      </c>
      <c r="J49" s="17" t="inlineStr"/>
      <c r="K49" s="17" t="inlineStr"/>
      <c r="L49" s="17" t="inlineStr"/>
      <c r="M49" s="17" t="inlineStr">
        <is>
          <t>BROUILLON</t>
        </is>
      </c>
      <c r="N49" s="17" t="inlineStr"/>
      <c r="O49" s="17" t="inlineStr"/>
      <c r="P49" s="17" t="inlineStr"/>
      <c r="Q49" s="17" t="inlineStr"/>
      <c r="R49" s="17" t="inlineStr"/>
      <c r="S49" s="17" t="inlineStr"/>
      <c r="T49" s="17" t="inlineStr"/>
    </row>
    <row r="50">
      <c r="A50" s="17" t="inlineStr"/>
      <c r="B50" s="18">
        <f>IF($D50="","",TEXT(TODAY(),"dd/mm/yyyy"))</f>
        <v/>
      </c>
      <c r="C50" s="18">
        <f>IF($D50="","",TEXT(NOW(),"hh:mm"))</f>
        <v/>
      </c>
      <c r="D50" s="17" t="inlineStr">
        <is>
          <t>LOT-2026-054</t>
        </is>
      </c>
      <c r="E50" s="17" t="inlineStr">
        <is>
          <t>WHAP-0338</t>
        </is>
      </c>
      <c r="F50" s="18">
        <f>IF($E50="","",IFERROR(VLOOKUP($E50,ARTICLES!$A$5:$S$2243,3,FALSE),"reference inconnue"))</f>
        <v/>
      </c>
      <c r="G50" s="17" t="n">
        <v>600</v>
      </c>
      <c r="H50" s="17" t="inlineStr"/>
      <c r="I50" s="18">
        <f>IF($E50="","",IFERROR(VLOOKUP($E50,ARTICLES!$A$5:$S$2243,10,FALSE),""))</f>
        <v/>
      </c>
      <c r="J50" s="17" t="inlineStr"/>
      <c r="K50" s="17" t="inlineStr"/>
      <c r="L50" s="17" t="inlineStr"/>
      <c r="M50" s="17" t="inlineStr">
        <is>
          <t>BROUILLON</t>
        </is>
      </c>
      <c r="N50" s="17" t="inlineStr"/>
      <c r="O50" s="17" t="inlineStr"/>
      <c r="P50" s="17" t="inlineStr"/>
      <c r="Q50" s="17" t="inlineStr"/>
      <c r="R50" s="17" t="inlineStr"/>
      <c r="S50" s="17" t="inlineStr"/>
      <c r="T50" s="17" t="inlineStr"/>
    </row>
    <row r="51">
      <c r="A51" s="17" t="inlineStr"/>
      <c r="B51" s="18">
        <f>IF($D51="","",TEXT(TODAY(),"dd/mm/yyyy"))</f>
        <v/>
      </c>
      <c r="C51" s="18">
        <f>IF($D51="","",TEXT(NOW(),"hh:mm"))</f>
        <v/>
      </c>
      <c r="D51" s="17" t="inlineStr">
        <is>
          <t>LOT-2026-050</t>
        </is>
      </c>
      <c r="E51" s="17" t="inlineStr">
        <is>
          <t>PNT-002</t>
        </is>
      </c>
      <c r="F51" s="18">
        <f>IF($E51="","",IFERROR(VLOOKUP($E51,ARTICLES!$A$5:$S$2243,3,FALSE),"reference inconnue"))</f>
        <v/>
      </c>
      <c r="G51" s="17" t="n">
        <v>300</v>
      </c>
      <c r="H51" s="17" t="inlineStr"/>
      <c r="I51" s="18">
        <f>IF($E51="","",IFERROR(VLOOKUP($E51,ARTICLES!$A$5:$S$2243,10,FALSE),""))</f>
        <v/>
      </c>
      <c r="J51" s="17" t="inlineStr"/>
      <c r="K51" s="17" t="inlineStr"/>
      <c r="L51" s="17" t="inlineStr"/>
      <c r="M51" s="17" t="inlineStr">
        <is>
          <t>BROUILLON</t>
        </is>
      </c>
      <c r="N51" s="17" t="inlineStr"/>
      <c r="O51" s="17" t="inlineStr"/>
      <c r="P51" s="17" t="inlineStr"/>
      <c r="Q51" s="17" t="inlineStr"/>
      <c r="R51" s="17" t="inlineStr"/>
      <c r="S51" s="17" t="inlineStr"/>
      <c r="T51" s="17" t="inlineStr"/>
    </row>
    <row r="52">
      <c r="A52" s="17" t="inlineStr"/>
      <c r="B52" s="18">
        <f>IF($D52="","",TEXT(TODAY(),"dd/mm/yyyy"))</f>
        <v/>
      </c>
      <c r="C52" s="18">
        <f>IF($D52="","",TEXT(NOW(),"hh:mm"))</f>
        <v/>
      </c>
      <c r="D52" s="17" t="inlineStr">
        <is>
          <t>LOT-2026-026</t>
        </is>
      </c>
      <c r="E52" s="17" t="inlineStr">
        <is>
          <t>WHAP-0082</t>
        </is>
      </c>
      <c r="F52" s="18">
        <f>IF($E52="","",IFERROR(VLOOKUP($E52,ARTICLES!$A$5:$S$2243,3,FALSE),"reference inconnue"))</f>
        <v/>
      </c>
      <c r="G52" s="17" t="n">
        <v>720</v>
      </c>
      <c r="H52" s="17" t="inlineStr"/>
      <c r="I52" s="18">
        <f>IF($E52="","",IFERROR(VLOOKUP($E52,ARTICLES!$A$5:$S$2243,10,FALSE),""))</f>
        <v/>
      </c>
      <c r="J52" s="17" t="inlineStr"/>
      <c r="K52" s="17" t="inlineStr"/>
      <c r="L52" s="17" t="inlineStr"/>
      <c r="M52" s="17" t="inlineStr">
        <is>
          <t>BROUILLON</t>
        </is>
      </c>
      <c r="N52" s="17" t="inlineStr"/>
      <c r="O52" s="17" t="inlineStr"/>
      <c r="P52" s="17" t="inlineStr"/>
      <c r="Q52" s="17" t="inlineStr"/>
      <c r="R52" s="17" t="inlineStr"/>
      <c r="S52" s="17" t="inlineStr"/>
      <c r="T52" s="17" t="inlineStr"/>
    </row>
    <row r="53">
      <c r="A53" s="17" t="inlineStr"/>
      <c r="B53" s="18">
        <f>IF($D53="","",TEXT(TODAY(),"dd/mm/yyyy"))</f>
        <v/>
      </c>
      <c r="C53" s="18">
        <f>IF($D53="","",TEXT(NOW(),"hh:mm"))</f>
        <v/>
      </c>
      <c r="D53" s="17" t="inlineStr">
        <is>
          <t>LOT-2026-012</t>
        </is>
      </c>
      <c r="E53" s="17" t="inlineStr">
        <is>
          <t>WHAP-0245</t>
        </is>
      </c>
      <c r="F53" s="18">
        <f>IF($E53="","",IFERROR(VLOOKUP($E53,ARTICLES!$A$5:$S$2243,3,FALSE),"reference inconnue"))</f>
        <v/>
      </c>
      <c r="G53" s="17" t="n">
        <v>200</v>
      </c>
      <c r="H53" s="17" t="inlineStr"/>
      <c r="I53" s="18">
        <f>IF($E53="","",IFERROR(VLOOKUP($E53,ARTICLES!$A$5:$S$2243,10,FALSE),""))</f>
        <v/>
      </c>
      <c r="J53" s="17" t="inlineStr"/>
      <c r="K53" s="17" t="inlineStr"/>
      <c r="L53" s="17" t="inlineStr"/>
      <c r="M53" s="17" t="inlineStr">
        <is>
          <t>BROUILLON</t>
        </is>
      </c>
      <c r="N53" s="17" t="inlineStr"/>
      <c r="O53" s="17" t="inlineStr"/>
      <c r="P53" s="17" t="inlineStr"/>
      <c r="Q53" s="17" t="inlineStr"/>
      <c r="R53" s="17" t="inlineStr"/>
      <c r="S53" s="17" t="inlineStr"/>
      <c r="T53" s="17" t="inlineStr"/>
    </row>
    <row r="54">
      <c r="A54" s="17" t="n"/>
      <c r="B54" s="18">
        <f>IF($D54="","",TEXT(TODAY(),"dd/mm/yyyy"))</f>
        <v/>
      </c>
      <c r="C54" s="18">
        <f>IF($D54="","",TEXT(NOW(),"hh:mm"))</f>
        <v/>
      </c>
      <c r="D54" s="19" t="n"/>
      <c r="E54" s="19" t="n"/>
      <c r="F54" s="18">
        <f>IF($E54="","",IFERROR(VLOOKUP($E54,ARTICLES!$A$5:$S$2243,3,FALSE),"reference inconnue"))</f>
        <v/>
      </c>
      <c r="G54" s="19" t="n"/>
      <c r="H54" s="19" t="n"/>
      <c r="I54" s="18">
        <f>IF($E54="","",IFERROR(VLOOKUP($E54,ARTICLES!$A$5:$S$2243,10,FALSE),""))</f>
        <v/>
      </c>
      <c r="J54" s="19" t="n"/>
      <c r="K54" s="19" t="n"/>
      <c r="L54" s="19" t="n"/>
      <c r="M54" s="17" t="inlineStr">
        <is>
          <t>BROUILLON</t>
        </is>
      </c>
      <c r="N54" s="17" t="n"/>
      <c r="O54" s="17" t="n"/>
      <c r="P54" s="17" t="n"/>
      <c r="Q54" s="17" t="n"/>
      <c r="R54" s="17" t="n"/>
      <c r="S54" s="17" t="n"/>
      <c r="T54" s="17" t="n"/>
    </row>
    <row r="55">
      <c r="A55" s="17" t="n"/>
      <c r="B55" s="18">
        <f>IF($D55="","",TEXT(TODAY(),"dd/mm/yyyy"))</f>
        <v/>
      </c>
      <c r="C55" s="18">
        <f>IF($D55="","",TEXT(NOW(),"hh:mm"))</f>
        <v/>
      </c>
      <c r="D55" s="19" t="n"/>
      <c r="E55" s="19" t="n"/>
      <c r="F55" s="18">
        <f>IF($E55="","",IFERROR(VLOOKUP($E55,ARTICLES!$A$5:$S$2243,3,FALSE),"reference inconnue"))</f>
        <v/>
      </c>
      <c r="G55" s="19" t="n"/>
      <c r="H55" s="19" t="n"/>
      <c r="I55" s="18">
        <f>IF($E55="","",IFERROR(VLOOKUP($E55,ARTICLES!$A$5:$S$2243,10,FALSE),""))</f>
        <v/>
      </c>
      <c r="J55" s="19" t="n"/>
      <c r="K55" s="19" t="n"/>
      <c r="L55" s="19" t="n"/>
      <c r="M55" s="17" t="inlineStr">
        <is>
          <t>BROUILLON</t>
        </is>
      </c>
      <c r="N55" s="17" t="n"/>
      <c r="O55" s="17" t="n"/>
      <c r="P55" s="17" t="n"/>
      <c r="Q55" s="17" t="n"/>
      <c r="R55" s="17" t="n"/>
      <c r="S55" s="17" t="n"/>
      <c r="T55" s="17" t="n"/>
    </row>
    <row r="56">
      <c r="A56" s="17" t="n"/>
      <c r="B56" s="18">
        <f>IF($D56="","",TEXT(TODAY(),"dd/mm/yyyy"))</f>
        <v/>
      </c>
      <c r="C56" s="18">
        <f>IF($D56="","",TEXT(NOW(),"hh:mm"))</f>
        <v/>
      </c>
      <c r="D56" s="19" t="n"/>
      <c r="E56" s="19" t="n"/>
      <c r="F56" s="18">
        <f>IF($E56="","",IFERROR(VLOOKUP($E56,ARTICLES!$A$5:$S$2243,3,FALSE),"reference inconnue"))</f>
        <v/>
      </c>
      <c r="G56" s="19" t="n"/>
      <c r="H56" s="19" t="n"/>
      <c r="I56" s="18">
        <f>IF($E56="","",IFERROR(VLOOKUP($E56,ARTICLES!$A$5:$S$2243,10,FALSE),""))</f>
        <v/>
      </c>
      <c r="J56" s="19" t="n"/>
      <c r="K56" s="19" t="n"/>
      <c r="L56" s="19" t="n"/>
      <c r="M56" s="17" t="inlineStr">
        <is>
          <t>BROUILLON</t>
        </is>
      </c>
      <c r="N56" s="17" t="n"/>
      <c r="O56" s="17" t="n"/>
      <c r="P56" s="17" t="n"/>
      <c r="Q56" s="17" t="n"/>
      <c r="R56" s="17" t="n"/>
      <c r="S56" s="17" t="n"/>
      <c r="T56" s="17" t="n"/>
    </row>
    <row r="57">
      <c r="A57" s="17" t="n"/>
      <c r="B57" s="18">
        <f>IF($D57="","",TEXT(TODAY(),"dd/mm/yyyy"))</f>
        <v/>
      </c>
      <c r="C57" s="18">
        <f>IF($D57="","",TEXT(NOW(),"hh:mm"))</f>
        <v/>
      </c>
      <c r="D57" s="19" t="n"/>
      <c r="E57" s="19" t="n"/>
      <c r="F57" s="18">
        <f>IF($E57="","",IFERROR(VLOOKUP($E57,ARTICLES!$A$5:$S$2243,3,FALSE),"reference inconnue"))</f>
        <v/>
      </c>
      <c r="G57" s="19" t="n"/>
      <c r="H57" s="19" t="n"/>
      <c r="I57" s="18">
        <f>IF($E57="","",IFERROR(VLOOKUP($E57,ARTICLES!$A$5:$S$2243,10,FALSE),""))</f>
        <v/>
      </c>
      <c r="J57" s="19" t="n"/>
      <c r="K57" s="19" t="n"/>
      <c r="L57" s="19" t="n"/>
      <c r="M57" s="17" t="inlineStr">
        <is>
          <t>BROUILLON</t>
        </is>
      </c>
      <c r="N57" s="17" t="n"/>
      <c r="O57" s="17" t="n"/>
      <c r="P57" s="17" t="n"/>
      <c r="Q57" s="17" t="n"/>
      <c r="R57" s="17" t="n"/>
      <c r="S57" s="17" t="n"/>
      <c r="T57" s="17" t="n"/>
    </row>
    <row r="58">
      <c r="A58" s="17" t="n"/>
      <c r="B58" s="18">
        <f>IF($D58="","",TEXT(TODAY(),"dd/mm/yyyy"))</f>
        <v/>
      </c>
      <c r="C58" s="18">
        <f>IF($D58="","",TEXT(NOW(),"hh:mm"))</f>
        <v/>
      </c>
      <c r="D58" s="19" t="n"/>
      <c r="E58" s="19" t="n"/>
      <c r="F58" s="18">
        <f>IF($E58="","",IFERROR(VLOOKUP($E58,ARTICLES!$A$5:$S$2243,3,FALSE),"reference inconnue"))</f>
        <v/>
      </c>
      <c r="G58" s="19" t="n"/>
      <c r="H58" s="19" t="n"/>
      <c r="I58" s="18">
        <f>IF($E58="","",IFERROR(VLOOKUP($E58,ARTICLES!$A$5:$S$2243,10,FALSE),""))</f>
        <v/>
      </c>
      <c r="J58" s="19" t="n"/>
      <c r="K58" s="19" t="n"/>
      <c r="L58" s="19" t="n"/>
      <c r="M58" s="17" t="inlineStr">
        <is>
          <t>BROUILLON</t>
        </is>
      </c>
      <c r="N58" s="17" t="n"/>
      <c r="O58" s="17" t="n"/>
      <c r="P58" s="17" t="n"/>
      <c r="Q58" s="17" t="n"/>
      <c r="R58" s="17" t="n"/>
      <c r="S58" s="17" t="n"/>
      <c r="T58" s="17" t="n"/>
    </row>
    <row r="59">
      <c r="A59" s="17" t="n"/>
      <c r="B59" s="18">
        <f>IF($D59="","",TEXT(TODAY(),"dd/mm/yyyy"))</f>
        <v/>
      </c>
      <c r="C59" s="18">
        <f>IF($D59="","",TEXT(NOW(),"hh:mm"))</f>
        <v/>
      </c>
      <c r="D59" s="19" t="n"/>
      <c r="E59" s="19" t="n"/>
      <c r="F59" s="18">
        <f>IF($E59="","",IFERROR(VLOOKUP($E59,ARTICLES!$A$5:$S$2243,3,FALSE),"reference inconnue"))</f>
        <v/>
      </c>
      <c r="G59" s="19" t="n"/>
      <c r="H59" s="19" t="n"/>
      <c r="I59" s="18">
        <f>IF($E59="","",IFERROR(VLOOKUP($E59,ARTICLES!$A$5:$S$2243,10,FALSE),""))</f>
        <v/>
      </c>
      <c r="J59" s="19" t="n"/>
      <c r="K59" s="19" t="n"/>
      <c r="L59" s="19" t="n"/>
      <c r="M59" s="17" t="inlineStr">
        <is>
          <t>BROUILLON</t>
        </is>
      </c>
      <c r="N59" s="17" t="n"/>
      <c r="O59" s="17" t="n"/>
      <c r="P59" s="17" t="n"/>
      <c r="Q59" s="17" t="n"/>
      <c r="R59" s="17" t="n"/>
      <c r="S59" s="17" t="n"/>
      <c r="T59" s="17" t="n"/>
    </row>
    <row r="60">
      <c r="A60" s="17" t="n"/>
      <c r="B60" s="18">
        <f>IF($D60="","",TEXT(TODAY(),"dd/mm/yyyy"))</f>
        <v/>
      </c>
      <c r="C60" s="18">
        <f>IF($D60="","",TEXT(NOW(),"hh:mm"))</f>
        <v/>
      </c>
      <c r="D60" s="19" t="n"/>
      <c r="E60" s="19" t="n"/>
      <c r="F60" s="18">
        <f>IF($E60="","",IFERROR(VLOOKUP($E60,ARTICLES!$A$5:$S$2243,3,FALSE),"reference inconnue"))</f>
        <v/>
      </c>
      <c r="G60" s="19" t="n"/>
      <c r="H60" s="19" t="n"/>
      <c r="I60" s="18">
        <f>IF($E60="","",IFERROR(VLOOKUP($E60,ARTICLES!$A$5:$S$2243,10,FALSE),""))</f>
        <v/>
      </c>
      <c r="J60" s="19" t="n"/>
      <c r="K60" s="19" t="n"/>
      <c r="L60" s="19" t="n"/>
      <c r="M60" s="17" t="inlineStr">
        <is>
          <t>BROUILLON</t>
        </is>
      </c>
      <c r="N60" s="17" t="n"/>
      <c r="O60" s="17" t="n"/>
      <c r="P60" s="17" t="n"/>
      <c r="Q60" s="17" t="n"/>
      <c r="R60" s="17" t="n"/>
      <c r="S60" s="17" t="n"/>
      <c r="T60" s="17" t="n"/>
    </row>
    <row r="61">
      <c r="A61" s="17" t="n"/>
      <c r="B61" s="18">
        <f>IF($D61="","",TEXT(TODAY(),"dd/mm/yyyy"))</f>
        <v/>
      </c>
      <c r="C61" s="18">
        <f>IF($D61="","",TEXT(NOW(),"hh:mm"))</f>
        <v/>
      </c>
      <c r="D61" s="19" t="n"/>
      <c r="E61" s="19" t="n"/>
      <c r="F61" s="18">
        <f>IF($E61="","",IFERROR(VLOOKUP($E61,ARTICLES!$A$5:$S$2243,3,FALSE),"reference inconnue"))</f>
        <v/>
      </c>
      <c r="G61" s="19" t="n"/>
      <c r="H61" s="19" t="n"/>
      <c r="I61" s="18">
        <f>IF($E61="","",IFERROR(VLOOKUP($E61,ARTICLES!$A$5:$S$2243,10,FALSE),""))</f>
        <v/>
      </c>
      <c r="J61" s="19" t="n"/>
      <c r="K61" s="19" t="n"/>
      <c r="L61" s="19" t="n"/>
      <c r="M61" s="17" t="inlineStr">
        <is>
          <t>BROUILLON</t>
        </is>
      </c>
      <c r="N61" s="17" t="n"/>
      <c r="O61" s="17" t="n"/>
      <c r="P61" s="17" t="n"/>
      <c r="Q61" s="17" t="n"/>
      <c r="R61" s="17" t="n"/>
      <c r="S61" s="17" t="n"/>
      <c r="T61" s="17" t="n"/>
    </row>
    <row r="62">
      <c r="A62" s="17" t="n"/>
      <c r="B62" s="18">
        <f>IF($D62="","",TEXT(TODAY(),"dd/mm/yyyy"))</f>
        <v/>
      </c>
      <c r="C62" s="18">
        <f>IF($D62="","",TEXT(NOW(),"hh:mm"))</f>
        <v/>
      </c>
      <c r="D62" s="19" t="n"/>
      <c r="E62" s="19" t="n"/>
      <c r="F62" s="18">
        <f>IF($E62="","",IFERROR(VLOOKUP($E62,ARTICLES!$A$5:$S$2243,3,FALSE),"reference inconnue"))</f>
        <v/>
      </c>
      <c r="G62" s="19" t="n"/>
      <c r="H62" s="19" t="n"/>
      <c r="I62" s="18">
        <f>IF($E62="","",IFERROR(VLOOKUP($E62,ARTICLES!$A$5:$S$2243,10,FALSE),""))</f>
        <v/>
      </c>
      <c r="J62" s="19" t="n"/>
      <c r="K62" s="19" t="n"/>
      <c r="L62" s="19" t="n"/>
      <c r="M62" s="17" t="inlineStr">
        <is>
          <t>BROUILLON</t>
        </is>
      </c>
      <c r="N62" s="17" t="n"/>
      <c r="O62" s="17" t="n"/>
      <c r="P62" s="17" t="n"/>
      <c r="Q62" s="17" t="n"/>
      <c r="R62" s="17" t="n"/>
      <c r="S62" s="17" t="n"/>
      <c r="T62" s="17" t="n"/>
    </row>
    <row r="63">
      <c r="A63" s="17" t="n"/>
      <c r="B63" s="18">
        <f>IF($D63="","",TEXT(TODAY(),"dd/mm/yyyy"))</f>
        <v/>
      </c>
      <c r="C63" s="18">
        <f>IF($D63="","",TEXT(NOW(),"hh:mm"))</f>
        <v/>
      </c>
      <c r="D63" s="19" t="n"/>
      <c r="E63" s="19" t="n"/>
      <c r="F63" s="18">
        <f>IF($E63="","",IFERROR(VLOOKUP($E63,ARTICLES!$A$5:$S$2243,3,FALSE),"reference inconnue"))</f>
        <v/>
      </c>
      <c r="G63" s="19" t="n"/>
      <c r="H63" s="19" t="n"/>
      <c r="I63" s="18">
        <f>IF($E63="","",IFERROR(VLOOKUP($E63,ARTICLES!$A$5:$S$2243,10,FALSE),""))</f>
        <v/>
      </c>
      <c r="J63" s="19" t="n"/>
      <c r="K63" s="19" t="n"/>
      <c r="L63" s="19" t="n"/>
      <c r="M63" s="17" t="inlineStr">
        <is>
          <t>BROUILLON</t>
        </is>
      </c>
      <c r="N63" s="17" t="n"/>
      <c r="O63" s="17" t="n"/>
      <c r="P63" s="17" t="n"/>
      <c r="Q63" s="17" t="n"/>
      <c r="R63" s="17" t="n"/>
      <c r="S63" s="17" t="n"/>
      <c r="T63" s="17" t="n"/>
    </row>
    <row r="64">
      <c r="A64" s="17" t="n"/>
      <c r="B64" s="18">
        <f>IF($D64="","",TEXT(TODAY(),"dd/mm/yyyy"))</f>
        <v/>
      </c>
      <c r="C64" s="18">
        <f>IF($D64="","",TEXT(NOW(),"hh:mm"))</f>
        <v/>
      </c>
      <c r="D64" s="19" t="n"/>
      <c r="E64" s="19" t="n"/>
      <c r="F64" s="18">
        <f>IF($E64="","",IFERROR(VLOOKUP($E64,ARTICLES!$A$5:$S$2243,3,FALSE),"reference inconnue"))</f>
        <v/>
      </c>
      <c r="G64" s="19" t="n"/>
      <c r="H64" s="19" t="n"/>
      <c r="I64" s="18">
        <f>IF($E64="","",IFERROR(VLOOKUP($E64,ARTICLES!$A$5:$S$2243,10,FALSE),""))</f>
        <v/>
      </c>
      <c r="J64" s="19" t="n"/>
      <c r="K64" s="19" t="n"/>
      <c r="L64" s="19" t="n"/>
      <c r="M64" s="17" t="inlineStr">
        <is>
          <t>BROUILLON</t>
        </is>
      </c>
      <c r="N64" s="17" t="n"/>
      <c r="O64" s="17" t="n"/>
      <c r="P64" s="17" t="n"/>
      <c r="Q64" s="17" t="n"/>
      <c r="R64" s="17" t="n"/>
      <c r="S64" s="17" t="n"/>
      <c r="T64" s="17" t="n"/>
    </row>
    <row r="65">
      <c r="A65" s="17" t="n"/>
      <c r="B65" s="18">
        <f>IF($D65="","",TEXT(TODAY(),"dd/mm/yyyy"))</f>
        <v/>
      </c>
      <c r="C65" s="18">
        <f>IF($D65="","",TEXT(NOW(),"hh:mm"))</f>
        <v/>
      </c>
      <c r="D65" s="19" t="n"/>
      <c r="E65" s="19" t="n"/>
      <c r="F65" s="18">
        <f>IF($E65="","",IFERROR(VLOOKUP($E65,ARTICLES!$A$5:$S$2243,3,FALSE),"reference inconnue"))</f>
        <v/>
      </c>
      <c r="G65" s="19" t="n"/>
      <c r="H65" s="19" t="n"/>
      <c r="I65" s="18">
        <f>IF($E65="","",IFERROR(VLOOKUP($E65,ARTICLES!$A$5:$S$2243,10,FALSE),""))</f>
        <v/>
      </c>
      <c r="J65" s="19" t="n"/>
      <c r="K65" s="19" t="n"/>
      <c r="L65" s="19" t="n"/>
      <c r="M65" s="17" t="inlineStr">
        <is>
          <t>BROUILLON</t>
        </is>
      </c>
      <c r="N65" s="17" t="n"/>
      <c r="O65" s="17" t="n"/>
      <c r="P65" s="17" t="n"/>
      <c r="Q65" s="17" t="n"/>
      <c r="R65" s="17" t="n"/>
      <c r="S65" s="17" t="n"/>
      <c r="T65" s="17" t="n"/>
    </row>
    <row r="66">
      <c r="A66" s="17" t="n"/>
      <c r="B66" s="18">
        <f>IF($D66="","",TEXT(TODAY(),"dd/mm/yyyy"))</f>
        <v/>
      </c>
      <c r="C66" s="18">
        <f>IF($D66="","",TEXT(NOW(),"hh:mm"))</f>
        <v/>
      </c>
      <c r="D66" s="19" t="n"/>
      <c r="E66" s="19" t="n"/>
      <c r="F66" s="18">
        <f>IF($E66="","",IFERROR(VLOOKUP($E66,ARTICLES!$A$5:$S$2243,3,FALSE),"reference inconnue"))</f>
        <v/>
      </c>
      <c r="G66" s="19" t="n"/>
      <c r="H66" s="19" t="n"/>
      <c r="I66" s="18">
        <f>IF($E66="","",IFERROR(VLOOKUP($E66,ARTICLES!$A$5:$S$2243,10,FALSE),""))</f>
        <v/>
      </c>
      <c r="J66" s="19" t="n"/>
      <c r="K66" s="19" t="n"/>
      <c r="L66" s="19" t="n"/>
      <c r="M66" s="17" t="inlineStr">
        <is>
          <t>BROUILLON</t>
        </is>
      </c>
      <c r="N66" s="17" t="n"/>
      <c r="O66" s="17" t="n"/>
      <c r="P66" s="17" t="n"/>
      <c r="Q66" s="17" t="n"/>
      <c r="R66" s="17" t="n"/>
      <c r="S66" s="17" t="n"/>
      <c r="T66" s="17" t="n"/>
    </row>
    <row r="67">
      <c r="A67" s="17" t="n"/>
      <c r="B67" s="18">
        <f>IF($D67="","",TEXT(TODAY(),"dd/mm/yyyy"))</f>
        <v/>
      </c>
      <c r="C67" s="18">
        <f>IF($D67="","",TEXT(NOW(),"hh:mm"))</f>
        <v/>
      </c>
      <c r="D67" s="19" t="n"/>
      <c r="E67" s="19" t="n"/>
      <c r="F67" s="18">
        <f>IF($E67="","",IFERROR(VLOOKUP($E67,ARTICLES!$A$5:$S$2243,3,FALSE),"reference inconnue"))</f>
        <v/>
      </c>
      <c r="G67" s="19" t="n"/>
      <c r="H67" s="19" t="n"/>
      <c r="I67" s="18">
        <f>IF($E67="","",IFERROR(VLOOKUP($E67,ARTICLES!$A$5:$S$2243,10,FALSE),""))</f>
        <v/>
      </c>
      <c r="J67" s="19" t="n"/>
      <c r="K67" s="19" t="n"/>
      <c r="L67" s="19" t="n"/>
      <c r="M67" s="17" t="inlineStr">
        <is>
          <t>BROUILLON</t>
        </is>
      </c>
      <c r="N67" s="17" t="n"/>
      <c r="O67" s="17" t="n"/>
      <c r="P67" s="17" t="n"/>
      <c r="Q67" s="17" t="n"/>
      <c r="R67" s="17" t="n"/>
      <c r="S67" s="17" t="n"/>
      <c r="T67" s="17" t="n"/>
    </row>
    <row r="68">
      <c r="A68" s="17" t="n"/>
      <c r="B68" s="18">
        <f>IF($D68="","",TEXT(TODAY(),"dd/mm/yyyy"))</f>
        <v/>
      </c>
      <c r="C68" s="18">
        <f>IF($D68="","",TEXT(NOW(),"hh:mm"))</f>
        <v/>
      </c>
      <c r="D68" s="19" t="n"/>
      <c r="E68" s="19" t="n"/>
      <c r="F68" s="18">
        <f>IF($E68="","",IFERROR(VLOOKUP($E68,ARTICLES!$A$5:$S$2243,3,FALSE),"reference inconnue"))</f>
        <v/>
      </c>
      <c r="G68" s="19" t="n"/>
      <c r="H68" s="19" t="n"/>
      <c r="I68" s="18">
        <f>IF($E68="","",IFERROR(VLOOKUP($E68,ARTICLES!$A$5:$S$2243,10,FALSE),""))</f>
        <v/>
      </c>
      <c r="J68" s="19" t="n"/>
      <c r="K68" s="19" t="n"/>
      <c r="L68" s="19" t="n"/>
      <c r="M68" s="17" t="inlineStr">
        <is>
          <t>BROUILLON</t>
        </is>
      </c>
      <c r="N68" s="17" t="n"/>
      <c r="O68" s="17" t="n"/>
      <c r="P68" s="17" t="n"/>
      <c r="Q68" s="17" t="n"/>
      <c r="R68" s="17" t="n"/>
      <c r="S68" s="17" t="n"/>
      <c r="T68" s="17" t="n"/>
    </row>
    <row r="69">
      <c r="A69" s="17" t="n"/>
      <c r="B69" s="18">
        <f>IF($D69="","",TEXT(TODAY(),"dd/mm/yyyy"))</f>
        <v/>
      </c>
      <c r="C69" s="18">
        <f>IF($D69="","",TEXT(NOW(),"hh:mm"))</f>
        <v/>
      </c>
      <c r="D69" s="19" t="n"/>
      <c r="E69" s="19" t="n"/>
      <c r="F69" s="18">
        <f>IF($E69="","",IFERROR(VLOOKUP($E69,ARTICLES!$A$5:$S$2243,3,FALSE),"reference inconnue"))</f>
        <v/>
      </c>
      <c r="G69" s="19" t="n"/>
      <c r="H69" s="19" t="n"/>
      <c r="I69" s="18">
        <f>IF($E69="","",IFERROR(VLOOKUP($E69,ARTICLES!$A$5:$S$2243,10,FALSE),""))</f>
        <v/>
      </c>
      <c r="J69" s="19" t="n"/>
      <c r="K69" s="19" t="n"/>
      <c r="L69" s="19" t="n"/>
      <c r="M69" s="17" t="inlineStr">
        <is>
          <t>BROUILLON</t>
        </is>
      </c>
      <c r="N69" s="17" t="n"/>
      <c r="O69" s="17" t="n"/>
      <c r="P69" s="17" t="n"/>
      <c r="Q69" s="17" t="n"/>
      <c r="R69" s="17" t="n"/>
      <c r="S69" s="17" t="n"/>
      <c r="T69" s="17" t="n"/>
    </row>
    <row r="70">
      <c r="A70" s="17" t="n"/>
      <c r="B70" s="18">
        <f>IF($D70="","",TEXT(TODAY(),"dd/mm/yyyy"))</f>
        <v/>
      </c>
      <c r="C70" s="18">
        <f>IF($D70="","",TEXT(NOW(),"hh:mm"))</f>
        <v/>
      </c>
      <c r="D70" s="19" t="n"/>
      <c r="E70" s="19" t="n"/>
      <c r="F70" s="18">
        <f>IF($E70="","",IFERROR(VLOOKUP($E70,ARTICLES!$A$5:$S$2243,3,FALSE),"reference inconnue"))</f>
        <v/>
      </c>
      <c r="G70" s="19" t="n"/>
      <c r="H70" s="19" t="n"/>
      <c r="I70" s="18">
        <f>IF($E70="","",IFERROR(VLOOKUP($E70,ARTICLES!$A$5:$S$2243,10,FALSE),""))</f>
        <v/>
      </c>
      <c r="J70" s="19" t="n"/>
      <c r="K70" s="19" t="n"/>
      <c r="L70" s="19" t="n"/>
      <c r="M70" s="17" t="inlineStr">
        <is>
          <t>BROUILLON</t>
        </is>
      </c>
      <c r="N70" s="17" t="n"/>
      <c r="O70" s="17" t="n"/>
      <c r="P70" s="17" t="n"/>
      <c r="Q70" s="17" t="n"/>
      <c r="R70" s="17" t="n"/>
      <c r="S70" s="17" t="n"/>
      <c r="T70" s="17" t="n"/>
    </row>
    <row r="71">
      <c r="A71" s="17" t="n"/>
      <c r="B71" s="18">
        <f>IF($D71="","",TEXT(TODAY(),"dd/mm/yyyy"))</f>
        <v/>
      </c>
      <c r="C71" s="18">
        <f>IF($D71="","",TEXT(NOW(),"hh:mm"))</f>
        <v/>
      </c>
      <c r="D71" s="19" t="n"/>
      <c r="E71" s="19" t="n"/>
      <c r="F71" s="18">
        <f>IF($E71="","",IFERROR(VLOOKUP($E71,ARTICLES!$A$5:$S$2243,3,FALSE),"reference inconnue"))</f>
        <v/>
      </c>
      <c r="G71" s="19" t="n"/>
      <c r="H71" s="19" t="n"/>
      <c r="I71" s="18">
        <f>IF($E71="","",IFERROR(VLOOKUP($E71,ARTICLES!$A$5:$S$2243,10,FALSE),""))</f>
        <v/>
      </c>
      <c r="J71" s="19" t="n"/>
      <c r="K71" s="19" t="n"/>
      <c r="L71" s="19" t="n"/>
      <c r="M71" s="17" t="inlineStr">
        <is>
          <t>BROUILLON</t>
        </is>
      </c>
      <c r="N71" s="17" t="n"/>
      <c r="O71" s="17" t="n"/>
      <c r="P71" s="17" t="n"/>
      <c r="Q71" s="17" t="n"/>
      <c r="R71" s="17" t="n"/>
      <c r="S71" s="17" t="n"/>
      <c r="T71" s="17" t="n"/>
    </row>
    <row r="72">
      <c r="A72" s="17" t="n"/>
      <c r="B72" s="18">
        <f>IF($D72="","",TEXT(TODAY(),"dd/mm/yyyy"))</f>
        <v/>
      </c>
      <c r="C72" s="18">
        <f>IF($D72="","",TEXT(NOW(),"hh:mm"))</f>
        <v/>
      </c>
      <c r="D72" s="19" t="n"/>
      <c r="E72" s="19" t="n"/>
      <c r="F72" s="18">
        <f>IF($E72="","",IFERROR(VLOOKUP($E72,ARTICLES!$A$5:$S$2243,3,FALSE),"reference inconnue"))</f>
        <v/>
      </c>
      <c r="G72" s="19" t="n"/>
      <c r="H72" s="19" t="n"/>
      <c r="I72" s="18">
        <f>IF($E72="","",IFERROR(VLOOKUP($E72,ARTICLES!$A$5:$S$2243,10,FALSE),""))</f>
        <v/>
      </c>
      <c r="J72" s="19" t="n"/>
      <c r="K72" s="19" t="n"/>
      <c r="L72" s="19" t="n"/>
      <c r="M72" s="17" t="inlineStr">
        <is>
          <t>BROUILLON</t>
        </is>
      </c>
      <c r="N72" s="17" t="n"/>
      <c r="O72" s="17" t="n"/>
      <c r="P72" s="17" t="n"/>
      <c r="Q72" s="17" t="n"/>
      <c r="R72" s="17" t="n"/>
      <c r="S72" s="17" t="n"/>
      <c r="T72" s="17" t="n"/>
    </row>
    <row r="73">
      <c r="A73" s="17" t="n"/>
      <c r="B73" s="18">
        <f>IF($D73="","",TEXT(TODAY(),"dd/mm/yyyy"))</f>
        <v/>
      </c>
      <c r="C73" s="18">
        <f>IF($D73="","",TEXT(NOW(),"hh:mm"))</f>
        <v/>
      </c>
      <c r="D73" s="19" t="n"/>
      <c r="E73" s="19" t="n"/>
      <c r="F73" s="18">
        <f>IF($E73="","",IFERROR(VLOOKUP($E73,ARTICLES!$A$5:$S$2243,3,FALSE),"reference inconnue"))</f>
        <v/>
      </c>
      <c r="G73" s="19" t="n"/>
      <c r="H73" s="19" t="n"/>
      <c r="I73" s="18">
        <f>IF($E73="","",IFERROR(VLOOKUP($E73,ARTICLES!$A$5:$S$2243,10,FALSE),""))</f>
        <v/>
      </c>
      <c r="J73" s="19" t="n"/>
      <c r="K73" s="19" t="n"/>
      <c r="L73" s="19" t="n"/>
      <c r="M73" s="17" t="inlineStr">
        <is>
          <t>BROUILLON</t>
        </is>
      </c>
      <c r="N73" s="17" t="n"/>
      <c r="O73" s="17" t="n"/>
      <c r="P73" s="17" t="n"/>
      <c r="Q73" s="17" t="n"/>
      <c r="R73" s="17" t="n"/>
      <c r="S73" s="17" t="n"/>
      <c r="T73" s="17" t="n"/>
    </row>
    <row r="74">
      <c r="A74" s="17" t="n"/>
      <c r="B74" s="18">
        <f>IF($D74="","",TEXT(TODAY(),"dd/mm/yyyy"))</f>
        <v/>
      </c>
      <c r="C74" s="18">
        <f>IF($D74="","",TEXT(NOW(),"hh:mm"))</f>
        <v/>
      </c>
      <c r="D74" s="19" t="n"/>
      <c r="E74" s="19" t="n"/>
      <c r="F74" s="18">
        <f>IF($E74="","",IFERROR(VLOOKUP($E74,ARTICLES!$A$5:$S$2243,3,FALSE),"reference inconnue"))</f>
        <v/>
      </c>
      <c r="G74" s="19" t="n"/>
      <c r="H74" s="19" t="n"/>
      <c r="I74" s="18">
        <f>IF($E74="","",IFERROR(VLOOKUP($E74,ARTICLES!$A$5:$S$2243,10,FALSE),""))</f>
        <v/>
      </c>
      <c r="J74" s="19" t="n"/>
      <c r="K74" s="19" t="n"/>
      <c r="L74" s="19" t="n"/>
      <c r="M74" s="17" t="inlineStr">
        <is>
          <t>BROUILLON</t>
        </is>
      </c>
      <c r="N74" s="17" t="n"/>
      <c r="O74" s="17" t="n"/>
      <c r="P74" s="17" t="n"/>
      <c r="Q74" s="17" t="n"/>
      <c r="R74" s="17" t="n"/>
      <c r="S74" s="17" t="n"/>
      <c r="T74" s="17" t="n"/>
    </row>
    <row r="75">
      <c r="A75" s="17" t="n"/>
      <c r="B75" s="18">
        <f>IF($D75="","",TEXT(TODAY(),"dd/mm/yyyy"))</f>
        <v/>
      </c>
      <c r="C75" s="18">
        <f>IF($D75="","",TEXT(NOW(),"hh:mm"))</f>
        <v/>
      </c>
      <c r="D75" s="19" t="n"/>
      <c r="E75" s="19" t="n"/>
      <c r="F75" s="18">
        <f>IF($E75="","",IFERROR(VLOOKUP($E75,ARTICLES!$A$5:$S$2243,3,FALSE),"reference inconnue"))</f>
        <v/>
      </c>
      <c r="G75" s="19" t="n"/>
      <c r="H75" s="19" t="n"/>
      <c r="I75" s="18">
        <f>IF($E75="","",IFERROR(VLOOKUP($E75,ARTICLES!$A$5:$S$2243,10,FALSE),""))</f>
        <v/>
      </c>
      <c r="J75" s="19" t="n"/>
      <c r="K75" s="19" t="n"/>
      <c r="L75" s="19" t="n"/>
      <c r="M75" s="17" t="inlineStr">
        <is>
          <t>BROUILLON</t>
        </is>
      </c>
      <c r="N75" s="17" t="n"/>
      <c r="O75" s="17" t="n"/>
      <c r="P75" s="17" t="n"/>
      <c r="Q75" s="17" t="n"/>
      <c r="R75" s="17" t="n"/>
      <c r="S75" s="17" t="n"/>
      <c r="T75" s="17" t="n"/>
    </row>
    <row r="76">
      <c r="A76" s="17" t="n"/>
      <c r="B76" s="18">
        <f>IF($D76="","",TEXT(TODAY(),"dd/mm/yyyy"))</f>
        <v/>
      </c>
      <c r="C76" s="18">
        <f>IF($D76="","",TEXT(NOW(),"hh:mm"))</f>
        <v/>
      </c>
      <c r="D76" s="19" t="n"/>
      <c r="E76" s="19" t="n"/>
      <c r="F76" s="18">
        <f>IF($E76="","",IFERROR(VLOOKUP($E76,ARTICLES!$A$5:$S$2243,3,FALSE),"reference inconnue"))</f>
        <v/>
      </c>
      <c r="G76" s="19" t="n"/>
      <c r="H76" s="19" t="n"/>
      <c r="I76" s="18">
        <f>IF($E76="","",IFERROR(VLOOKUP($E76,ARTICLES!$A$5:$S$2243,10,FALSE),""))</f>
        <v/>
      </c>
      <c r="J76" s="19" t="n"/>
      <c r="K76" s="19" t="n"/>
      <c r="L76" s="19" t="n"/>
      <c r="M76" s="17" t="inlineStr">
        <is>
          <t>BROUILLON</t>
        </is>
      </c>
      <c r="N76" s="17" t="n"/>
      <c r="O76" s="17" t="n"/>
      <c r="P76" s="17" t="n"/>
      <c r="Q76" s="17" t="n"/>
      <c r="R76" s="17" t="n"/>
      <c r="S76" s="17" t="n"/>
      <c r="T76" s="17" t="n"/>
    </row>
    <row r="77">
      <c r="A77" s="17" t="n"/>
      <c r="B77" s="18">
        <f>IF($D77="","",TEXT(TODAY(),"dd/mm/yyyy"))</f>
        <v/>
      </c>
      <c r="C77" s="18">
        <f>IF($D77="","",TEXT(NOW(),"hh:mm"))</f>
        <v/>
      </c>
      <c r="D77" s="19" t="n"/>
      <c r="E77" s="19" t="n"/>
      <c r="F77" s="18">
        <f>IF($E77="","",IFERROR(VLOOKUP($E77,ARTICLES!$A$5:$S$2243,3,FALSE),"reference inconnue"))</f>
        <v/>
      </c>
      <c r="G77" s="19" t="n"/>
      <c r="H77" s="19" t="n"/>
      <c r="I77" s="18">
        <f>IF($E77="","",IFERROR(VLOOKUP($E77,ARTICLES!$A$5:$S$2243,10,FALSE),""))</f>
        <v/>
      </c>
      <c r="J77" s="19" t="n"/>
      <c r="K77" s="19" t="n"/>
      <c r="L77" s="19" t="n"/>
      <c r="M77" s="17" t="inlineStr">
        <is>
          <t>BROUILLON</t>
        </is>
      </c>
      <c r="N77" s="17" t="n"/>
      <c r="O77" s="17" t="n"/>
      <c r="P77" s="17" t="n"/>
      <c r="Q77" s="17" t="n"/>
      <c r="R77" s="17" t="n"/>
      <c r="S77" s="17" t="n"/>
      <c r="T77" s="17" t="n"/>
    </row>
    <row r="78">
      <c r="A78" s="17" t="n"/>
      <c r="B78" s="18">
        <f>IF($D78="","",TEXT(TODAY(),"dd/mm/yyyy"))</f>
        <v/>
      </c>
      <c r="C78" s="18">
        <f>IF($D78="","",TEXT(NOW(),"hh:mm"))</f>
        <v/>
      </c>
      <c r="D78" s="19" t="n"/>
      <c r="E78" s="19" t="n"/>
      <c r="F78" s="18">
        <f>IF($E78="","",IFERROR(VLOOKUP($E78,ARTICLES!$A$5:$S$2243,3,FALSE),"reference inconnue"))</f>
        <v/>
      </c>
      <c r="G78" s="19" t="n"/>
      <c r="H78" s="19" t="n"/>
      <c r="I78" s="18">
        <f>IF($E78="","",IFERROR(VLOOKUP($E78,ARTICLES!$A$5:$S$2243,10,FALSE),""))</f>
        <v/>
      </c>
      <c r="J78" s="19" t="n"/>
      <c r="K78" s="19" t="n"/>
      <c r="L78" s="19" t="n"/>
      <c r="M78" s="17" t="inlineStr">
        <is>
          <t>BROUILLON</t>
        </is>
      </c>
      <c r="N78" s="17" t="n"/>
      <c r="O78" s="17" t="n"/>
      <c r="P78" s="17" t="n"/>
      <c r="Q78" s="17" t="n"/>
      <c r="R78" s="17" t="n"/>
      <c r="S78" s="17" t="n"/>
      <c r="T78" s="17" t="n"/>
    </row>
    <row r="79">
      <c r="A79" s="17" t="n"/>
      <c r="B79" s="18">
        <f>IF($D79="","",TEXT(TODAY(),"dd/mm/yyyy"))</f>
        <v/>
      </c>
      <c r="C79" s="18">
        <f>IF($D79="","",TEXT(NOW(),"hh:mm"))</f>
        <v/>
      </c>
      <c r="D79" s="19" t="n"/>
      <c r="E79" s="19" t="n"/>
      <c r="F79" s="18">
        <f>IF($E79="","",IFERROR(VLOOKUP($E79,ARTICLES!$A$5:$S$2243,3,FALSE),"reference inconnue"))</f>
        <v/>
      </c>
      <c r="G79" s="19" t="n"/>
      <c r="H79" s="19" t="n"/>
      <c r="I79" s="18">
        <f>IF($E79="","",IFERROR(VLOOKUP($E79,ARTICLES!$A$5:$S$2243,10,FALSE),""))</f>
        <v/>
      </c>
      <c r="J79" s="19" t="n"/>
      <c r="K79" s="19" t="n"/>
      <c r="L79" s="19" t="n"/>
      <c r="M79" s="17" t="inlineStr">
        <is>
          <t>BROUILLON</t>
        </is>
      </c>
      <c r="N79" s="17" t="n"/>
      <c r="O79" s="17" t="n"/>
      <c r="P79" s="17" t="n"/>
      <c r="Q79" s="17" t="n"/>
      <c r="R79" s="17" t="n"/>
      <c r="S79" s="17" t="n"/>
      <c r="T79" s="17" t="n"/>
    </row>
    <row r="80">
      <c r="A80" s="17" t="n"/>
      <c r="B80" s="18">
        <f>IF($D80="","",TEXT(TODAY(),"dd/mm/yyyy"))</f>
        <v/>
      </c>
      <c r="C80" s="18">
        <f>IF($D80="","",TEXT(NOW(),"hh:mm"))</f>
        <v/>
      </c>
      <c r="D80" s="19" t="n"/>
      <c r="E80" s="19" t="n"/>
      <c r="F80" s="18">
        <f>IF($E80="","",IFERROR(VLOOKUP($E80,ARTICLES!$A$5:$S$2243,3,FALSE),"reference inconnue"))</f>
        <v/>
      </c>
      <c r="G80" s="19" t="n"/>
      <c r="H80" s="19" t="n"/>
      <c r="I80" s="18">
        <f>IF($E80="","",IFERROR(VLOOKUP($E80,ARTICLES!$A$5:$S$2243,10,FALSE),""))</f>
        <v/>
      </c>
      <c r="J80" s="19" t="n"/>
      <c r="K80" s="19" t="n"/>
      <c r="L80" s="19" t="n"/>
      <c r="M80" s="17" t="inlineStr">
        <is>
          <t>BROUILLON</t>
        </is>
      </c>
      <c r="N80" s="17" t="n"/>
      <c r="O80" s="17" t="n"/>
      <c r="P80" s="17" t="n"/>
      <c r="Q80" s="17" t="n"/>
      <c r="R80" s="17" t="n"/>
      <c r="S80" s="17" t="n"/>
      <c r="T80" s="17" t="n"/>
    </row>
    <row r="81">
      <c r="A81" s="17" t="n"/>
      <c r="B81" s="18">
        <f>IF($D81="","",TEXT(TODAY(),"dd/mm/yyyy"))</f>
        <v/>
      </c>
      <c r="C81" s="18">
        <f>IF($D81="","",TEXT(NOW(),"hh:mm"))</f>
        <v/>
      </c>
      <c r="D81" s="19" t="n"/>
      <c r="E81" s="19" t="n"/>
      <c r="F81" s="18">
        <f>IF($E81="","",IFERROR(VLOOKUP($E81,ARTICLES!$A$5:$S$2243,3,FALSE),"reference inconnue"))</f>
        <v/>
      </c>
      <c r="G81" s="19" t="n"/>
      <c r="H81" s="19" t="n"/>
      <c r="I81" s="18">
        <f>IF($E81="","",IFERROR(VLOOKUP($E81,ARTICLES!$A$5:$S$2243,10,FALSE),""))</f>
        <v/>
      </c>
      <c r="J81" s="19" t="n"/>
      <c r="K81" s="19" t="n"/>
      <c r="L81" s="19" t="n"/>
      <c r="M81" s="17" t="inlineStr">
        <is>
          <t>BROUILLON</t>
        </is>
      </c>
      <c r="N81" s="17" t="n"/>
      <c r="O81" s="17" t="n"/>
      <c r="P81" s="17" t="n"/>
      <c r="Q81" s="17" t="n"/>
      <c r="R81" s="17" t="n"/>
      <c r="S81" s="17" t="n"/>
      <c r="T81" s="17" t="n"/>
    </row>
    <row r="82">
      <c r="A82" s="17" t="n"/>
      <c r="B82" s="18">
        <f>IF($D82="","",TEXT(TODAY(),"dd/mm/yyyy"))</f>
        <v/>
      </c>
      <c r="C82" s="18">
        <f>IF($D82="","",TEXT(NOW(),"hh:mm"))</f>
        <v/>
      </c>
      <c r="D82" s="19" t="n"/>
      <c r="E82" s="19" t="n"/>
      <c r="F82" s="18">
        <f>IF($E82="","",IFERROR(VLOOKUP($E82,ARTICLES!$A$5:$S$2243,3,FALSE),"reference inconnue"))</f>
        <v/>
      </c>
      <c r="G82" s="19" t="n"/>
      <c r="H82" s="19" t="n"/>
      <c r="I82" s="18">
        <f>IF($E82="","",IFERROR(VLOOKUP($E82,ARTICLES!$A$5:$S$2243,10,FALSE),""))</f>
        <v/>
      </c>
      <c r="J82" s="19" t="n"/>
      <c r="K82" s="19" t="n"/>
      <c r="L82" s="19" t="n"/>
      <c r="M82" s="17" t="inlineStr">
        <is>
          <t>BROUILLON</t>
        </is>
      </c>
      <c r="N82" s="17" t="n"/>
      <c r="O82" s="17" t="n"/>
      <c r="P82" s="17" t="n"/>
      <c r="Q82" s="17" t="n"/>
      <c r="R82" s="17" t="n"/>
      <c r="S82" s="17" t="n"/>
      <c r="T82" s="17" t="n"/>
    </row>
    <row r="83">
      <c r="A83" s="17" t="n"/>
      <c r="B83" s="18">
        <f>IF($D83="","",TEXT(TODAY(),"dd/mm/yyyy"))</f>
        <v/>
      </c>
      <c r="C83" s="18">
        <f>IF($D83="","",TEXT(NOW(),"hh:mm"))</f>
        <v/>
      </c>
      <c r="D83" s="19" t="n"/>
      <c r="E83" s="19" t="n"/>
      <c r="F83" s="18">
        <f>IF($E83="","",IFERROR(VLOOKUP($E83,ARTICLES!$A$5:$S$2243,3,FALSE),"reference inconnue"))</f>
        <v/>
      </c>
      <c r="G83" s="19" t="n"/>
      <c r="H83" s="19" t="n"/>
      <c r="I83" s="18">
        <f>IF($E83="","",IFERROR(VLOOKUP($E83,ARTICLES!$A$5:$S$2243,10,FALSE),""))</f>
        <v/>
      </c>
      <c r="J83" s="19" t="n"/>
      <c r="K83" s="19" t="n"/>
      <c r="L83" s="19" t="n"/>
      <c r="M83" s="17" t="inlineStr">
        <is>
          <t>BROUILLON</t>
        </is>
      </c>
      <c r="N83" s="17" t="n"/>
      <c r="O83" s="17" t="n"/>
      <c r="P83" s="17" t="n"/>
      <c r="Q83" s="17" t="n"/>
      <c r="R83" s="17" t="n"/>
      <c r="S83" s="17" t="n"/>
      <c r="T83" s="17" t="n"/>
    </row>
    <row r="84">
      <c r="A84" s="17" t="n"/>
      <c r="B84" s="18">
        <f>IF($D84="","",TEXT(TODAY(),"dd/mm/yyyy"))</f>
        <v/>
      </c>
      <c r="C84" s="18">
        <f>IF($D84="","",TEXT(NOW(),"hh:mm"))</f>
        <v/>
      </c>
      <c r="D84" s="19" t="n"/>
      <c r="E84" s="19" t="n"/>
      <c r="F84" s="18">
        <f>IF($E84="","",IFERROR(VLOOKUP($E84,ARTICLES!$A$5:$S$2243,3,FALSE),"reference inconnue"))</f>
        <v/>
      </c>
      <c r="G84" s="19" t="n"/>
      <c r="H84" s="19" t="n"/>
      <c r="I84" s="18">
        <f>IF($E84="","",IFERROR(VLOOKUP($E84,ARTICLES!$A$5:$S$2243,10,FALSE),""))</f>
        <v/>
      </c>
      <c r="J84" s="19" t="n"/>
      <c r="K84" s="19" t="n"/>
      <c r="L84" s="19" t="n"/>
      <c r="M84" s="17" t="inlineStr">
        <is>
          <t>BROUILLON</t>
        </is>
      </c>
      <c r="N84" s="17" t="n"/>
      <c r="O84" s="17" t="n"/>
      <c r="P84" s="17" t="n"/>
      <c r="Q84" s="17" t="n"/>
      <c r="R84" s="17" t="n"/>
      <c r="S84" s="17" t="n"/>
      <c r="T84" s="17" t="n"/>
    </row>
    <row r="85">
      <c r="A85" s="17" t="n"/>
      <c r="B85" s="18">
        <f>IF($D85="","",TEXT(TODAY(),"dd/mm/yyyy"))</f>
        <v/>
      </c>
      <c r="C85" s="18">
        <f>IF($D85="","",TEXT(NOW(),"hh:mm"))</f>
        <v/>
      </c>
      <c r="D85" s="19" t="n"/>
      <c r="E85" s="19" t="n"/>
      <c r="F85" s="18">
        <f>IF($E85="","",IFERROR(VLOOKUP($E85,ARTICLES!$A$5:$S$2243,3,FALSE),"reference inconnue"))</f>
        <v/>
      </c>
      <c r="G85" s="19" t="n"/>
      <c r="H85" s="19" t="n"/>
      <c r="I85" s="18">
        <f>IF($E85="","",IFERROR(VLOOKUP($E85,ARTICLES!$A$5:$S$2243,10,FALSE),""))</f>
        <v/>
      </c>
      <c r="J85" s="19" t="n"/>
      <c r="K85" s="19" t="n"/>
      <c r="L85" s="19" t="n"/>
      <c r="M85" s="17" t="inlineStr">
        <is>
          <t>BROUILLON</t>
        </is>
      </c>
      <c r="N85" s="17" t="n"/>
      <c r="O85" s="17" t="n"/>
      <c r="P85" s="17" t="n"/>
      <c r="Q85" s="17" t="n"/>
      <c r="R85" s="17" t="n"/>
      <c r="S85" s="17" t="n"/>
      <c r="T85" s="17" t="n"/>
    </row>
    <row r="86">
      <c r="A86" s="17" t="n"/>
      <c r="B86" s="18">
        <f>IF($D86="","",TEXT(TODAY(),"dd/mm/yyyy"))</f>
        <v/>
      </c>
      <c r="C86" s="18">
        <f>IF($D86="","",TEXT(NOW(),"hh:mm"))</f>
        <v/>
      </c>
      <c r="D86" s="19" t="n"/>
      <c r="E86" s="19" t="n"/>
      <c r="F86" s="18">
        <f>IF($E86="","",IFERROR(VLOOKUP($E86,ARTICLES!$A$5:$S$2243,3,FALSE),"reference inconnue"))</f>
        <v/>
      </c>
      <c r="G86" s="19" t="n"/>
      <c r="H86" s="19" t="n"/>
      <c r="I86" s="18">
        <f>IF($E86="","",IFERROR(VLOOKUP($E86,ARTICLES!$A$5:$S$2243,10,FALSE),""))</f>
        <v/>
      </c>
      <c r="J86" s="19" t="n"/>
      <c r="K86" s="19" t="n"/>
      <c r="L86" s="19" t="n"/>
      <c r="M86" s="17" t="inlineStr">
        <is>
          <t>BROUILLON</t>
        </is>
      </c>
      <c r="N86" s="17" t="n"/>
      <c r="O86" s="17" t="n"/>
      <c r="P86" s="17" t="n"/>
      <c r="Q86" s="17" t="n"/>
      <c r="R86" s="17" t="n"/>
      <c r="S86" s="17" t="n"/>
      <c r="T86" s="17" t="n"/>
    </row>
    <row r="87">
      <c r="A87" s="17" t="n"/>
      <c r="B87" s="18">
        <f>IF($D87="","",TEXT(TODAY(),"dd/mm/yyyy"))</f>
        <v/>
      </c>
      <c r="C87" s="18">
        <f>IF($D87="","",TEXT(NOW(),"hh:mm"))</f>
        <v/>
      </c>
      <c r="D87" s="19" t="n"/>
      <c r="E87" s="19" t="n"/>
      <c r="F87" s="18">
        <f>IF($E87="","",IFERROR(VLOOKUP($E87,ARTICLES!$A$5:$S$2243,3,FALSE),"reference inconnue"))</f>
        <v/>
      </c>
      <c r="G87" s="19" t="n"/>
      <c r="H87" s="19" t="n"/>
      <c r="I87" s="18">
        <f>IF($E87="","",IFERROR(VLOOKUP($E87,ARTICLES!$A$5:$S$2243,10,FALSE),""))</f>
        <v/>
      </c>
      <c r="J87" s="19" t="n"/>
      <c r="K87" s="19" t="n"/>
      <c r="L87" s="19" t="n"/>
      <c r="M87" s="17" t="inlineStr">
        <is>
          <t>BROUILLON</t>
        </is>
      </c>
      <c r="N87" s="17" t="n"/>
      <c r="O87" s="17" t="n"/>
      <c r="P87" s="17" t="n"/>
      <c r="Q87" s="17" t="n"/>
      <c r="R87" s="17" t="n"/>
      <c r="S87" s="17" t="n"/>
      <c r="T87" s="17" t="n"/>
    </row>
    <row r="88">
      <c r="A88" s="17" t="n"/>
      <c r="B88" s="18">
        <f>IF($D88="","",TEXT(TODAY(),"dd/mm/yyyy"))</f>
        <v/>
      </c>
      <c r="C88" s="18">
        <f>IF($D88="","",TEXT(NOW(),"hh:mm"))</f>
        <v/>
      </c>
      <c r="D88" s="19" t="n"/>
      <c r="E88" s="19" t="n"/>
      <c r="F88" s="18">
        <f>IF($E88="","",IFERROR(VLOOKUP($E88,ARTICLES!$A$5:$S$2243,3,FALSE),"reference inconnue"))</f>
        <v/>
      </c>
      <c r="G88" s="19" t="n"/>
      <c r="H88" s="19" t="n"/>
      <c r="I88" s="18">
        <f>IF($E88="","",IFERROR(VLOOKUP($E88,ARTICLES!$A$5:$S$2243,10,FALSE),""))</f>
        <v/>
      </c>
      <c r="J88" s="19" t="n"/>
      <c r="K88" s="19" t="n"/>
      <c r="L88" s="19" t="n"/>
      <c r="M88" s="17" t="inlineStr">
        <is>
          <t>BROUILLON</t>
        </is>
      </c>
      <c r="N88" s="17" t="n"/>
      <c r="O88" s="17" t="n"/>
      <c r="P88" s="17" t="n"/>
      <c r="Q88" s="17" t="n"/>
      <c r="R88" s="17" t="n"/>
      <c r="S88" s="17" t="n"/>
      <c r="T88" s="17" t="n"/>
    </row>
    <row r="89">
      <c r="A89" s="17" t="n"/>
      <c r="B89" s="18">
        <f>IF($D89="","",TEXT(TODAY(),"dd/mm/yyyy"))</f>
        <v/>
      </c>
      <c r="C89" s="18">
        <f>IF($D89="","",TEXT(NOW(),"hh:mm"))</f>
        <v/>
      </c>
      <c r="D89" s="19" t="n"/>
      <c r="E89" s="19" t="n"/>
      <c r="F89" s="18">
        <f>IF($E89="","",IFERROR(VLOOKUP($E89,ARTICLES!$A$5:$S$2243,3,FALSE),"reference inconnue"))</f>
        <v/>
      </c>
      <c r="G89" s="19" t="n"/>
      <c r="H89" s="19" t="n"/>
      <c r="I89" s="18">
        <f>IF($E89="","",IFERROR(VLOOKUP($E89,ARTICLES!$A$5:$S$2243,10,FALSE),""))</f>
        <v/>
      </c>
      <c r="J89" s="19" t="n"/>
      <c r="K89" s="19" t="n"/>
      <c r="L89" s="19" t="n"/>
      <c r="M89" s="17" t="inlineStr">
        <is>
          <t>BROUILLON</t>
        </is>
      </c>
      <c r="N89" s="17" t="n"/>
      <c r="O89" s="17" t="n"/>
      <c r="P89" s="17" t="n"/>
      <c r="Q89" s="17" t="n"/>
      <c r="R89" s="17" t="n"/>
      <c r="S89" s="17" t="n"/>
      <c r="T89" s="17" t="n"/>
    </row>
    <row r="90">
      <c r="A90" s="17" t="n"/>
      <c r="B90" s="18">
        <f>IF($D90="","",TEXT(TODAY(),"dd/mm/yyyy"))</f>
        <v/>
      </c>
      <c r="C90" s="18">
        <f>IF($D90="","",TEXT(NOW(),"hh:mm"))</f>
        <v/>
      </c>
      <c r="D90" s="19" t="n"/>
      <c r="E90" s="19" t="n"/>
      <c r="F90" s="18">
        <f>IF($E90="","",IFERROR(VLOOKUP($E90,ARTICLES!$A$5:$S$2243,3,FALSE),"reference inconnue"))</f>
        <v/>
      </c>
      <c r="G90" s="19" t="n"/>
      <c r="H90" s="19" t="n"/>
      <c r="I90" s="18">
        <f>IF($E90="","",IFERROR(VLOOKUP($E90,ARTICLES!$A$5:$S$2243,10,FALSE),""))</f>
        <v/>
      </c>
      <c r="J90" s="19" t="n"/>
      <c r="K90" s="19" t="n"/>
      <c r="L90" s="19" t="n"/>
      <c r="M90" s="17" t="inlineStr">
        <is>
          <t>BROUILLON</t>
        </is>
      </c>
      <c r="N90" s="17" t="n"/>
      <c r="O90" s="17" t="n"/>
      <c r="P90" s="17" t="n"/>
      <c r="Q90" s="17" t="n"/>
      <c r="R90" s="17" t="n"/>
      <c r="S90" s="17" t="n"/>
      <c r="T90" s="17" t="n"/>
    </row>
    <row r="91">
      <c r="A91" s="17" t="n"/>
      <c r="B91" s="18">
        <f>IF($D91="","",TEXT(TODAY(),"dd/mm/yyyy"))</f>
        <v/>
      </c>
      <c r="C91" s="18">
        <f>IF($D91="","",TEXT(NOW(),"hh:mm"))</f>
        <v/>
      </c>
      <c r="D91" s="19" t="n"/>
      <c r="E91" s="19" t="n"/>
      <c r="F91" s="18">
        <f>IF($E91="","",IFERROR(VLOOKUP($E91,ARTICLES!$A$5:$S$2243,3,FALSE),"reference inconnue"))</f>
        <v/>
      </c>
      <c r="G91" s="19" t="n"/>
      <c r="H91" s="19" t="n"/>
      <c r="I91" s="18">
        <f>IF($E91="","",IFERROR(VLOOKUP($E91,ARTICLES!$A$5:$S$2243,10,FALSE),""))</f>
        <v/>
      </c>
      <c r="J91" s="19" t="n"/>
      <c r="K91" s="19" t="n"/>
      <c r="L91" s="19" t="n"/>
      <c r="M91" s="17" t="inlineStr">
        <is>
          <t>BROUILLON</t>
        </is>
      </c>
      <c r="N91" s="17" t="n"/>
      <c r="O91" s="17" t="n"/>
      <c r="P91" s="17" t="n"/>
      <c r="Q91" s="17" t="n"/>
      <c r="R91" s="17" t="n"/>
      <c r="S91" s="17" t="n"/>
      <c r="T91" s="17" t="n"/>
    </row>
    <row r="92">
      <c r="A92" s="17" t="n"/>
      <c r="B92" s="18">
        <f>IF($D92="","",TEXT(TODAY(),"dd/mm/yyyy"))</f>
        <v/>
      </c>
      <c r="C92" s="18">
        <f>IF($D92="","",TEXT(NOW(),"hh:mm"))</f>
        <v/>
      </c>
      <c r="D92" s="19" t="n"/>
      <c r="E92" s="19" t="n"/>
      <c r="F92" s="18">
        <f>IF($E92="","",IFERROR(VLOOKUP($E92,ARTICLES!$A$5:$S$2243,3,FALSE),"reference inconnue"))</f>
        <v/>
      </c>
      <c r="G92" s="19" t="n"/>
      <c r="H92" s="19" t="n"/>
      <c r="I92" s="18">
        <f>IF($E92="","",IFERROR(VLOOKUP($E92,ARTICLES!$A$5:$S$2243,10,FALSE),""))</f>
        <v/>
      </c>
      <c r="J92" s="19" t="n"/>
      <c r="K92" s="19" t="n"/>
      <c r="L92" s="19" t="n"/>
      <c r="M92" s="17" t="inlineStr">
        <is>
          <t>BROUILLON</t>
        </is>
      </c>
      <c r="N92" s="17" t="n"/>
      <c r="O92" s="17" t="n"/>
      <c r="P92" s="17" t="n"/>
      <c r="Q92" s="17" t="n"/>
      <c r="R92" s="17" t="n"/>
      <c r="S92" s="17" t="n"/>
      <c r="T92" s="17" t="n"/>
    </row>
    <row r="93">
      <c r="A93" s="17" t="n"/>
      <c r="B93" s="18">
        <f>IF($D93="","",TEXT(TODAY(),"dd/mm/yyyy"))</f>
        <v/>
      </c>
      <c r="C93" s="18">
        <f>IF($D93="","",TEXT(NOW(),"hh:mm"))</f>
        <v/>
      </c>
      <c r="D93" s="19" t="n"/>
      <c r="E93" s="19" t="n"/>
      <c r="F93" s="18">
        <f>IF($E93="","",IFERROR(VLOOKUP($E93,ARTICLES!$A$5:$S$2243,3,FALSE),"reference inconnue"))</f>
        <v/>
      </c>
      <c r="G93" s="19" t="n"/>
      <c r="H93" s="19" t="n"/>
      <c r="I93" s="18">
        <f>IF($E93="","",IFERROR(VLOOKUP($E93,ARTICLES!$A$5:$S$2243,10,FALSE),""))</f>
        <v/>
      </c>
      <c r="J93" s="19" t="n"/>
      <c r="K93" s="19" t="n"/>
      <c r="L93" s="19" t="n"/>
      <c r="M93" s="17" t="inlineStr">
        <is>
          <t>BROUILLON</t>
        </is>
      </c>
      <c r="N93" s="17" t="n"/>
      <c r="O93" s="17" t="n"/>
      <c r="P93" s="17" t="n"/>
      <c r="Q93" s="17" t="n"/>
      <c r="R93" s="17" t="n"/>
      <c r="S93" s="17" t="n"/>
      <c r="T93" s="17" t="n"/>
    </row>
    <row r="94">
      <c r="A94" s="17" t="n"/>
      <c r="B94" s="18">
        <f>IF($D94="","",TEXT(TODAY(),"dd/mm/yyyy"))</f>
        <v/>
      </c>
      <c r="C94" s="18">
        <f>IF($D94="","",TEXT(NOW(),"hh:mm"))</f>
        <v/>
      </c>
      <c r="D94" s="19" t="n"/>
      <c r="E94" s="19" t="n"/>
      <c r="F94" s="18">
        <f>IF($E94="","",IFERROR(VLOOKUP($E94,ARTICLES!$A$5:$S$2243,3,FALSE),"reference inconnue"))</f>
        <v/>
      </c>
      <c r="G94" s="19" t="n"/>
      <c r="H94" s="19" t="n"/>
      <c r="I94" s="18">
        <f>IF($E94="","",IFERROR(VLOOKUP($E94,ARTICLES!$A$5:$S$2243,10,FALSE),""))</f>
        <v/>
      </c>
      <c r="J94" s="19" t="n"/>
      <c r="K94" s="19" t="n"/>
      <c r="L94" s="19" t="n"/>
      <c r="M94" s="17" t="inlineStr">
        <is>
          <t>BROUILLON</t>
        </is>
      </c>
      <c r="N94" s="17" t="n"/>
      <c r="O94" s="17" t="n"/>
      <c r="P94" s="17" t="n"/>
      <c r="Q94" s="17" t="n"/>
      <c r="R94" s="17" t="n"/>
      <c r="S94" s="17" t="n"/>
      <c r="T94" s="17" t="n"/>
    </row>
    <row r="95">
      <c r="A95" s="17" t="n"/>
      <c r="B95" s="18">
        <f>IF($D95="","",TEXT(TODAY(),"dd/mm/yyyy"))</f>
        <v/>
      </c>
      <c r="C95" s="18">
        <f>IF($D95="","",TEXT(NOW(),"hh:mm"))</f>
        <v/>
      </c>
      <c r="D95" s="19" t="n"/>
      <c r="E95" s="19" t="n"/>
      <c r="F95" s="18">
        <f>IF($E95="","",IFERROR(VLOOKUP($E95,ARTICLES!$A$5:$S$2243,3,FALSE),"reference inconnue"))</f>
        <v/>
      </c>
      <c r="G95" s="19" t="n"/>
      <c r="H95" s="19" t="n"/>
      <c r="I95" s="18">
        <f>IF($E95="","",IFERROR(VLOOKUP($E95,ARTICLES!$A$5:$S$2243,10,FALSE),""))</f>
        <v/>
      </c>
      <c r="J95" s="19" t="n"/>
      <c r="K95" s="19" t="n"/>
      <c r="L95" s="19" t="n"/>
      <c r="M95" s="17" t="inlineStr">
        <is>
          <t>BROUILLON</t>
        </is>
      </c>
      <c r="N95" s="17" t="n"/>
      <c r="O95" s="17" t="n"/>
      <c r="P95" s="17" t="n"/>
      <c r="Q95" s="17" t="n"/>
      <c r="R95" s="17" t="n"/>
      <c r="S95" s="17" t="n"/>
      <c r="T95" s="17" t="n"/>
    </row>
    <row r="96">
      <c r="A96" s="17" t="n"/>
      <c r="B96" s="18">
        <f>IF($D96="","",TEXT(TODAY(),"dd/mm/yyyy"))</f>
        <v/>
      </c>
      <c r="C96" s="18">
        <f>IF($D96="","",TEXT(NOW(),"hh:mm"))</f>
        <v/>
      </c>
      <c r="D96" s="19" t="n"/>
      <c r="E96" s="19" t="n"/>
      <c r="F96" s="18">
        <f>IF($E96="","",IFERROR(VLOOKUP($E96,ARTICLES!$A$5:$S$2243,3,FALSE),"reference inconnue"))</f>
        <v/>
      </c>
      <c r="G96" s="19" t="n"/>
      <c r="H96" s="19" t="n"/>
      <c r="I96" s="18">
        <f>IF($E96="","",IFERROR(VLOOKUP($E96,ARTICLES!$A$5:$S$2243,10,FALSE),""))</f>
        <v/>
      </c>
      <c r="J96" s="19" t="n"/>
      <c r="K96" s="19" t="n"/>
      <c r="L96" s="19" t="n"/>
      <c r="M96" s="17" t="inlineStr">
        <is>
          <t>BROUILLON</t>
        </is>
      </c>
      <c r="N96" s="17" t="n"/>
      <c r="O96" s="17" t="n"/>
      <c r="P96" s="17" t="n"/>
      <c r="Q96" s="17" t="n"/>
      <c r="R96" s="17" t="n"/>
      <c r="S96" s="17" t="n"/>
      <c r="T96" s="17" t="n"/>
    </row>
    <row r="97">
      <c r="A97" s="17" t="n"/>
      <c r="B97" s="18">
        <f>IF($D97="","",TEXT(TODAY(),"dd/mm/yyyy"))</f>
        <v/>
      </c>
      <c r="C97" s="18">
        <f>IF($D97="","",TEXT(NOW(),"hh:mm"))</f>
        <v/>
      </c>
      <c r="D97" s="19" t="n"/>
      <c r="E97" s="19" t="n"/>
      <c r="F97" s="18">
        <f>IF($E97="","",IFERROR(VLOOKUP($E97,ARTICLES!$A$5:$S$2243,3,FALSE),"reference inconnue"))</f>
        <v/>
      </c>
      <c r="G97" s="19" t="n"/>
      <c r="H97" s="19" t="n"/>
      <c r="I97" s="18">
        <f>IF($E97="","",IFERROR(VLOOKUP($E97,ARTICLES!$A$5:$S$2243,10,FALSE),""))</f>
        <v/>
      </c>
      <c r="J97" s="19" t="n"/>
      <c r="K97" s="19" t="n"/>
      <c r="L97" s="19" t="n"/>
      <c r="M97" s="17" t="inlineStr">
        <is>
          <t>BROUILLON</t>
        </is>
      </c>
      <c r="N97" s="17" t="n"/>
      <c r="O97" s="17" t="n"/>
      <c r="P97" s="17" t="n"/>
      <c r="Q97" s="17" t="n"/>
      <c r="R97" s="17" t="n"/>
      <c r="S97" s="17" t="n"/>
      <c r="T97" s="17" t="n"/>
    </row>
    <row r="98">
      <c r="A98" s="17" t="n"/>
      <c r="B98" s="18">
        <f>IF($D98="","",TEXT(TODAY(),"dd/mm/yyyy"))</f>
        <v/>
      </c>
      <c r="C98" s="18">
        <f>IF($D98="","",TEXT(NOW(),"hh:mm"))</f>
        <v/>
      </c>
      <c r="D98" s="19" t="n"/>
      <c r="E98" s="19" t="n"/>
      <c r="F98" s="18">
        <f>IF($E98="","",IFERROR(VLOOKUP($E98,ARTICLES!$A$5:$S$2243,3,FALSE),"reference inconnue"))</f>
        <v/>
      </c>
      <c r="G98" s="19" t="n"/>
      <c r="H98" s="19" t="n"/>
      <c r="I98" s="18">
        <f>IF($E98="","",IFERROR(VLOOKUP($E98,ARTICLES!$A$5:$S$2243,10,FALSE),""))</f>
        <v/>
      </c>
      <c r="J98" s="19" t="n"/>
      <c r="K98" s="19" t="n"/>
      <c r="L98" s="19" t="n"/>
      <c r="M98" s="17" t="inlineStr">
        <is>
          <t>BROUILLON</t>
        </is>
      </c>
      <c r="N98" s="17" t="n"/>
      <c r="O98" s="17" t="n"/>
      <c r="P98" s="17" t="n"/>
      <c r="Q98" s="17" t="n"/>
      <c r="R98" s="17" t="n"/>
      <c r="S98" s="17" t="n"/>
      <c r="T98" s="17" t="n"/>
    </row>
    <row r="99">
      <c r="A99" s="17" t="n"/>
      <c r="B99" s="18">
        <f>IF($D99="","",TEXT(TODAY(),"dd/mm/yyyy"))</f>
        <v/>
      </c>
      <c r="C99" s="18">
        <f>IF($D99="","",TEXT(NOW(),"hh:mm"))</f>
        <v/>
      </c>
      <c r="D99" s="19" t="n"/>
      <c r="E99" s="19" t="n"/>
      <c r="F99" s="18">
        <f>IF($E99="","",IFERROR(VLOOKUP($E99,ARTICLES!$A$5:$S$2243,3,FALSE),"reference inconnue"))</f>
        <v/>
      </c>
      <c r="G99" s="19" t="n"/>
      <c r="H99" s="19" t="n"/>
      <c r="I99" s="18">
        <f>IF($E99="","",IFERROR(VLOOKUP($E99,ARTICLES!$A$5:$S$2243,10,FALSE),""))</f>
        <v/>
      </c>
      <c r="J99" s="19" t="n"/>
      <c r="K99" s="19" t="n"/>
      <c r="L99" s="19" t="n"/>
      <c r="M99" s="17" t="inlineStr">
        <is>
          <t>BROUILLON</t>
        </is>
      </c>
      <c r="N99" s="17" t="n"/>
      <c r="O99" s="17" t="n"/>
      <c r="P99" s="17" t="n"/>
      <c r="Q99" s="17" t="n"/>
      <c r="R99" s="17" t="n"/>
      <c r="S99" s="17" t="n"/>
      <c r="T99" s="17" t="n"/>
    </row>
    <row r="100">
      <c r="A100" s="17" t="n"/>
      <c r="B100" s="18">
        <f>IF($D100="","",TEXT(TODAY(),"dd/mm/yyyy"))</f>
        <v/>
      </c>
      <c r="C100" s="18">
        <f>IF($D100="","",TEXT(NOW(),"hh:mm"))</f>
        <v/>
      </c>
      <c r="D100" s="19" t="n"/>
      <c r="E100" s="19" t="n"/>
      <c r="F100" s="18">
        <f>IF($E100="","",IFERROR(VLOOKUP($E100,ARTICLES!$A$5:$S$2243,3,FALSE),"reference inconnue"))</f>
        <v/>
      </c>
      <c r="G100" s="19" t="n"/>
      <c r="H100" s="19" t="n"/>
      <c r="I100" s="18">
        <f>IF($E100="","",IFERROR(VLOOKUP($E100,ARTICLES!$A$5:$S$2243,10,FALSE),""))</f>
        <v/>
      </c>
      <c r="J100" s="19" t="n"/>
      <c r="K100" s="19" t="n"/>
      <c r="L100" s="19" t="n"/>
      <c r="M100" s="17" t="inlineStr">
        <is>
          <t>BROUILLON</t>
        </is>
      </c>
      <c r="N100" s="17" t="n"/>
      <c r="O100" s="17" t="n"/>
      <c r="P100" s="17" t="n"/>
      <c r="Q100" s="17" t="n"/>
      <c r="R100" s="17" t="n"/>
      <c r="S100" s="17" t="n"/>
      <c r="T100" s="17" t="n"/>
    </row>
    <row r="101">
      <c r="A101" s="17" t="n"/>
      <c r="B101" s="18">
        <f>IF($D101="","",TEXT(TODAY(),"dd/mm/yyyy"))</f>
        <v/>
      </c>
      <c r="C101" s="18">
        <f>IF($D101="","",TEXT(NOW(),"hh:mm"))</f>
        <v/>
      </c>
      <c r="D101" s="19" t="n"/>
      <c r="E101" s="19" t="n"/>
      <c r="F101" s="18">
        <f>IF($E101="","",IFERROR(VLOOKUP($E101,ARTICLES!$A$5:$S$2243,3,FALSE),"reference inconnue"))</f>
        <v/>
      </c>
      <c r="G101" s="19" t="n"/>
      <c r="H101" s="19" t="n"/>
      <c r="I101" s="18">
        <f>IF($E101="","",IFERROR(VLOOKUP($E101,ARTICLES!$A$5:$S$2243,10,FALSE),""))</f>
        <v/>
      </c>
      <c r="J101" s="19" t="n"/>
      <c r="K101" s="19" t="n"/>
      <c r="L101" s="19" t="n"/>
      <c r="M101" s="17" t="inlineStr">
        <is>
          <t>BROUILLON</t>
        </is>
      </c>
      <c r="N101" s="17" t="n"/>
      <c r="O101" s="17" t="n"/>
      <c r="P101" s="17" t="n"/>
      <c r="Q101" s="17" t="n"/>
      <c r="R101" s="17" t="n"/>
      <c r="S101" s="17" t="n"/>
      <c r="T101" s="17" t="n"/>
    </row>
    <row r="102">
      <c r="A102" s="17" t="n"/>
      <c r="B102" s="18">
        <f>IF($D102="","",TEXT(TODAY(),"dd/mm/yyyy"))</f>
        <v/>
      </c>
      <c r="C102" s="18">
        <f>IF($D102="","",TEXT(NOW(),"hh:mm"))</f>
        <v/>
      </c>
      <c r="D102" s="19" t="n"/>
      <c r="E102" s="19" t="n"/>
      <c r="F102" s="18">
        <f>IF($E102="","",IFERROR(VLOOKUP($E102,ARTICLES!$A$5:$S$2243,3,FALSE),"reference inconnue"))</f>
        <v/>
      </c>
      <c r="G102" s="19" t="n"/>
      <c r="H102" s="19" t="n"/>
      <c r="I102" s="18">
        <f>IF($E102="","",IFERROR(VLOOKUP($E102,ARTICLES!$A$5:$S$2243,10,FALSE),""))</f>
        <v/>
      </c>
      <c r="J102" s="19" t="n"/>
      <c r="K102" s="19" t="n"/>
      <c r="L102" s="19" t="n"/>
      <c r="M102" s="17" t="inlineStr">
        <is>
          <t>BROUILLON</t>
        </is>
      </c>
      <c r="N102" s="17" t="n"/>
      <c r="O102" s="17" t="n"/>
      <c r="P102" s="17" t="n"/>
      <c r="Q102" s="17" t="n"/>
      <c r="R102" s="17" t="n"/>
      <c r="S102" s="17" t="n"/>
      <c r="T102" s="17" t="n"/>
    </row>
    <row r="103">
      <c r="A103" s="17" t="n"/>
      <c r="B103" s="18">
        <f>IF($D103="","",TEXT(TODAY(),"dd/mm/yyyy"))</f>
        <v/>
      </c>
      <c r="C103" s="18">
        <f>IF($D103="","",TEXT(NOW(),"hh:mm"))</f>
        <v/>
      </c>
      <c r="D103" s="19" t="n"/>
      <c r="E103" s="19" t="n"/>
      <c r="F103" s="18">
        <f>IF($E103="","",IFERROR(VLOOKUP($E103,ARTICLES!$A$5:$S$2243,3,FALSE),"reference inconnue"))</f>
        <v/>
      </c>
      <c r="G103" s="19" t="n"/>
      <c r="H103" s="19" t="n"/>
      <c r="I103" s="18">
        <f>IF($E103="","",IFERROR(VLOOKUP($E103,ARTICLES!$A$5:$S$2243,10,FALSE),""))</f>
        <v/>
      </c>
      <c r="J103" s="19" t="n"/>
      <c r="K103" s="19" t="n"/>
      <c r="L103" s="19" t="n"/>
      <c r="M103" s="17" t="inlineStr">
        <is>
          <t>BROUILLON</t>
        </is>
      </c>
      <c r="N103" s="17" t="n"/>
      <c r="O103" s="17" t="n"/>
      <c r="P103" s="17" t="n"/>
      <c r="Q103" s="17" t="n"/>
      <c r="R103" s="17" t="n"/>
      <c r="S103" s="17" t="n"/>
      <c r="T103" s="17" t="n"/>
    </row>
    <row r="104">
      <c r="A104" s="17" t="n"/>
      <c r="B104" s="18">
        <f>IF($D104="","",TEXT(TODAY(),"dd/mm/yyyy"))</f>
        <v/>
      </c>
      <c r="C104" s="18">
        <f>IF($D104="","",TEXT(NOW(),"hh:mm"))</f>
        <v/>
      </c>
      <c r="D104" s="19" t="n"/>
      <c r="E104" s="19" t="n"/>
      <c r="F104" s="18">
        <f>IF($E104="","",IFERROR(VLOOKUP($E104,ARTICLES!$A$5:$S$2243,3,FALSE),"reference inconnue"))</f>
        <v/>
      </c>
      <c r="G104" s="19" t="n"/>
      <c r="H104" s="19" t="n"/>
      <c r="I104" s="18">
        <f>IF($E104="","",IFERROR(VLOOKUP($E104,ARTICLES!$A$5:$S$2243,10,FALSE),""))</f>
        <v/>
      </c>
      <c r="J104" s="19" t="n"/>
      <c r="K104" s="19" t="n"/>
      <c r="L104" s="19" t="n"/>
      <c r="M104" s="17" t="inlineStr">
        <is>
          <t>BROUILLON</t>
        </is>
      </c>
      <c r="N104" s="17" t="n"/>
      <c r="O104" s="17" t="n"/>
      <c r="P104" s="17" t="n"/>
      <c r="Q104" s="17" t="n"/>
      <c r="R104" s="17" t="n"/>
      <c r="S104" s="17" t="n"/>
      <c r="T104" s="17" t="n"/>
    </row>
    <row r="105">
      <c r="A105" s="17" t="n"/>
      <c r="B105" s="18">
        <f>IF($D105="","",TEXT(TODAY(),"dd/mm/yyyy"))</f>
        <v/>
      </c>
      <c r="C105" s="18">
        <f>IF($D105="","",TEXT(NOW(),"hh:mm"))</f>
        <v/>
      </c>
      <c r="D105" s="19" t="n"/>
      <c r="E105" s="19" t="n"/>
      <c r="F105" s="18">
        <f>IF($E105="","",IFERROR(VLOOKUP($E105,ARTICLES!$A$5:$S$2243,3,FALSE),"reference inconnue"))</f>
        <v/>
      </c>
      <c r="G105" s="19" t="n"/>
      <c r="H105" s="19" t="n"/>
      <c r="I105" s="18">
        <f>IF($E105="","",IFERROR(VLOOKUP($E105,ARTICLES!$A$5:$S$2243,10,FALSE),""))</f>
        <v/>
      </c>
      <c r="J105" s="19" t="n"/>
      <c r="K105" s="19" t="n"/>
      <c r="L105" s="19" t="n"/>
      <c r="M105" s="17" t="inlineStr">
        <is>
          <t>BROUILLON</t>
        </is>
      </c>
      <c r="N105" s="17" t="n"/>
      <c r="O105" s="17" t="n"/>
      <c r="P105" s="17" t="n"/>
      <c r="Q105" s="17" t="n"/>
      <c r="R105" s="17" t="n"/>
      <c r="S105" s="17" t="n"/>
      <c r="T105" s="17" t="n"/>
    </row>
    <row r="106">
      <c r="A106" s="17" t="n"/>
      <c r="B106" s="18">
        <f>IF($D106="","",TEXT(TODAY(),"dd/mm/yyyy"))</f>
        <v/>
      </c>
      <c r="C106" s="18">
        <f>IF($D106="","",TEXT(NOW(),"hh:mm"))</f>
        <v/>
      </c>
      <c r="D106" s="19" t="n"/>
      <c r="E106" s="19" t="n"/>
      <c r="F106" s="18">
        <f>IF($E106="","",IFERROR(VLOOKUP($E106,ARTICLES!$A$5:$S$2243,3,FALSE),"reference inconnue"))</f>
        <v/>
      </c>
      <c r="G106" s="19" t="n"/>
      <c r="H106" s="19" t="n"/>
      <c r="I106" s="18">
        <f>IF($E106="","",IFERROR(VLOOKUP($E106,ARTICLES!$A$5:$S$2243,10,FALSE),""))</f>
        <v/>
      </c>
      <c r="J106" s="19" t="n"/>
      <c r="K106" s="19" t="n"/>
      <c r="L106" s="19" t="n"/>
      <c r="M106" s="17" t="inlineStr">
        <is>
          <t>BROUILLON</t>
        </is>
      </c>
      <c r="N106" s="17" t="n"/>
      <c r="O106" s="17" t="n"/>
      <c r="P106" s="17" t="n"/>
      <c r="Q106" s="17" t="n"/>
      <c r="R106" s="17" t="n"/>
      <c r="S106" s="17" t="n"/>
      <c r="T106" s="17" t="n"/>
    </row>
    <row r="107">
      <c r="A107" s="17" t="n"/>
      <c r="B107" s="18">
        <f>IF($D107="","",TEXT(TODAY(),"dd/mm/yyyy"))</f>
        <v/>
      </c>
      <c r="C107" s="18">
        <f>IF($D107="","",TEXT(NOW(),"hh:mm"))</f>
        <v/>
      </c>
      <c r="D107" s="19" t="n"/>
      <c r="E107" s="19" t="n"/>
      <c r="F107" s="18">
        <f>IF($E107="","",IFERROR(VLOOKUP($E107,ARTICLES!$A$5:$S$2243,3,FALSE),"reference inconnue"))</f>
        <v/>
      </c>
      <c r="G107" s="19" t="n"/>
      <c r="H107" s="19" t="n"/>
      <c r="I107" s="18">
        <f>IF($E107="","",IFERROR(VLOOKUP($E107,ARTICLES!$A$5:$S$2243,10,FALSE),""))</f>
        <v/>
      </c>
      <c r="J107" s="19" t="n"/>
      <c r="K107" s="19" t="n"/>
      <c r="L107" s="19" t="n"/>
      <c r="M107" s="17" t="inlineStr">
        <is>
          <t>BROUILLON</t>
        </is>
      </c>
      <c r="N107" s="17" t="n"/>
      <c r="O107" s="17" t="n"/>
      <c r="P107" s="17" t="n"/>
      <c r="Q107" s="17" t="n"/>
      <c r="R107" s="17" t="n"/>
      <c r="S107" s="17" t="n"/>
      <c r="T107" s="17" t="n"/>
    </row>
    <row r="108">
      <c r="A108" s="17" t="n"/>
      <c r="B108" s="18">
        <f>IF($D108="","",TEXT(TODAY(),"dd/mm/yyyy"))</f>
        <v/>
      </c>
      <c r="C108" s="18">
        <f>IF($D108="","",TEXT(NOW(),"hh:mm"))</f>
        <v/>
      </c>
      <c r="D108" s="19" t="n"/>
      <c r="E108" s="19" t="n"/>
      <c r="F108" s="18">
        <f>IF($E108="","",IFERROR(VLOOKUP($E108,ARTICLES!$A$5:$S$2243,3,FALSE),"reference inconnue"))</f>
        <v/>
      </c>
      <c r="G108" s="19" t="n"/>
      <c r="H108" s="19" t="n"/>
      <c r="I108" s="18">
        <f>IF($E108="","",IFERROR(VLOOKUP($E108,ARTICLES!$A$5:$S$2243,10,FALSE),""))</f>
        <v/>
      </c>
      <c r="J108" s="19" t="n"/>
      <c r="K108" s="19" t="n"/>
      <c r="L108" s="19" t="n"/>
      <c r="M108" s="17" t="inlineStr">
        <is>
          <t>BROUILLON</t>
        </is>
      </c>
      <c r="N108" s="17" t="n"/>
      <c r="O108" s="17" t="n"/>
      <c r="P108" s="17" t="n"/>
      <c r="Q108" s="17" t="n"/>
      <c r="R108" s="17" t="n"/>
      <c r="S108" s="17" t="n"/>
      <c r="T108" s="17" t="n"/>
    </row>
    <row r="109">
      <c r="A109" s="17" t="n"/>
      <c r="B109" s="18">
        <f>IF($D109="","",TEXT(TODAY(),"dd/mm/yyyy"))</f>
        <v/>
      </c>
      <c r="C109" s="18">
        <f>IF($D109="","",TEXT(NOW(),"hh:mm"))</f>
        <v/>
      </c>
      <c r="D109" s="19" t="n"/>
      <c r="E109" s="19" t="n"/>
      <c r="F109" s="18">
        <f>IF($E109="","",IFERROR(VLOOKUP($E109,ARTICLES!$A$5:$S$2243,3,FALSE),"reference inconnue"))</f>
        <v/>
      </c>
      <c r="G109" s="19" t="n"/>
      <c r="H109" s="19" t="n"/>
      <c r="I109" s="18">
        <f>IF($E109="","",IFERROR(VLOOKUP($E109,ARTICLES!$A$5:$S$2243,10,FALSE),""))</f>
        <v/>
      </c>
      <c r="J109" s="19" t="n"/>
      <c r="K109" s="19" t="n"/>
      <c r="L109" s="19" t="n"/>
      <c r="M109" s="17" t="inlineStr">
        <is>
          <t>BROUILLON</t>
        </is>
      </c>
      <c r="N109" s="17" t="n"/>
      <c r="O109" s="17" t="n"/>
      <c r="P109" s="17" t="n"/>
      <c r="Q109" s="17" t="n"/>
      <c r="R109" s="17" t="n"/>
      <c r="S109" s="17" t="n"/>
      <c r="T109" s="17" t="n"/>
    </row>
    <row r="110">
      <c r="A110" s="17" t="n"/>
      <c r="B110" s="18">
        <f>IF($D110="","",TEXT(TODAY(),"dd/mm/yyyy"))</f>
        <v/>
      </c>
      <c r="C110" s="18">
        <f>IF($D110="","",TEXT(NOW(),"hh:mm"))</f>
        <v/>
      </c>
      <c r="D110" s="19" t="n"/>
      <c r="E110" s="19" t="n"/>
      <c r="F110" s="18">
        <f>IF($E110="","",IFERROR(VLOOKUP($E110,ARTICLES!$A$5:$S$2243,3,FALSE),"reference inconnue"))</f>
        <v/>
      </c>
      <c r="G110" s="19" t="n"/>
      <c r="H110" s="19" t="n"/>
      <c r="I110" s="18">
        <f>IF($E110="","",IFERROR(VLOOKUP($E110,ARTICLES!$A$5:$S$2243,10,FALSE),""))</f>
        <v/>
      </c>
      <c r="J110" s="19" t="n"/>
      <c r="K110" s="19" t="n"/>
      <c r="L110" s="19" t="n"/>
      <c r="M110" s="17" t="inlineStr">
        <is>
          <t>BROUILLON</t>
        </is>
      </c>
      <c r="N110" s="17" t="n"/>
      <c r="O110" s="17" t="n"/>
      <c r="P110" s="17" t="n"/>
      <c r="Q110" s="17" t="n"/>
      <c r="R110" s="17" t="n"/>
      <c r="S110" s="17" t="n"/>
      <c r="T110" s="17" t="n"/>
    </row>
    <row r="111">
      <c r="A111" s="17" t="n"/>
      <c r="B111" s="18">
        <f>IF($D111="","",TEXT(TODAY(),"dd/mm/yyyy"))</f>
        <v/>
      </c>
      <c r="C111" s="18">
        <f>IF($D111="","",TEXT(NOW(),"hh:mm"))</f>
        <v/>
      </c>
      <c r="D111" s="19" t="n"/>
      <c r="E111" s="19" t="n"/>
      <c r="F111" s="18">
        <f>IF($E111="","",IFERROR(VLOOKUP($E111,ARTICLES!$A$5:$S$2243,3,FALSE),"reference inconnue"))</f>
        <v/>
      </c>
      <c r="G111" s="19" t="n"/>
      <c r="H111" s="19" t="n"/>
      <c r="I111" s="18">
        <f>IF($E111="","",IFERROR(VLOOKUP($E111,ARTICLES!$A$5:$S$2243,10,FALSE),""))</f>
        <v/>
      </c>
      <c r="J111" s="19" t="n"/>
      <c r="K111" s="19" t="n"/>
      <c r="L111" s="19" t="n"/>
      <c r="M111" s="17" t="inlineStr">
        <is>
          <t>BROUILLON</t>
        </is>
      </c>
      <c r="N111" s="17" t="n"/>
      <c r="O111" s="17" t="n"/>
      <c r="P111" s="17" t="n"/>
      <c r="Q111" s="17" t="n"/>
      <c r="R111" s="17" t="n"/>
      <c r="S111" s="17" t="n"/>
      <c r="T111" s="17" t="n"/>
    </row>
    <row r="112">
      <c r="A112" s="17" t="n"/>
      <c r="B112" s="18">
        <f>IF($D112="","",TEXT(TODAY(),"dd/mm/yyyy"))</f>
        <v/>
      </c>
      <c r="C112" s="18">
        <f>IF($D112="","",TEXT(NOW(),"hh:mm"))</f>
        <v/>
      </c>
      <c r="D112" s="19" t="n"/>
      <c r="E112" s="19" t="n"/>
      <c r="F112" s="18">
        <f>IF($E112="","",IFERROR(VLOOKUP($E112,ARTICLES!$A$5:$S$2243,3,FALSE),"reference inconnue"))</f>
        <v/>
      </c>
      <c r="G112" s="19" t="n"/>
      <c r="H112" s="19" t="n"/>
      <c r="I112" s="18">
        <f>IF($E112="","",IFERROR(VLOOKUP($E112,ARTICLES!$A$5:$S$2243,10,FALSE),""))</f>
        <v/>
      </c>
      <c r="J112" s="19" t="n"/>
      <c r="K112" s="19" t="n"/>
      <c r="L112" s="19" t="n"/>
      <c r="M112" s="17" t="inlineStr">
        <is>
          <t>BROUILLON</t>
        </is>
      </c>
      <c r="N112" s="17" t="n"/>
      <c r="O112" s="17" t="n"/>
      <c r="P112" s="17" t="n"/>
      <c r="Q112" s="17" t="n"/>
      <c r="R112" s="17" t="n"/>
      <c r="S112" s="17" t="n"/>
      <c r="T112" s="17" t="n"/>
    </row>
    <row r="113">
      <c r="A113" s="17" t="n"/>
      <c r="B113" s="18">
        <f>IF($D113="","",TEXT(TODAY(),"dd/mm/yyyy"))</f>
        <v/>
      </c>
      <c r="C113" s="18">
        <f>IF($D113="","",TEXT(NOW(),"hh:mm"))</f>
        <v/>
      </c>
      <c r="D113" s="19" t="n"/>
      <c r="E113" s="19" t="n"/>
      <c r="F113" s="18">
        <f>IF($E113="","",IFERROR(VLOOKUP($E113,ARTICLES!$A$5:$S$2243,3,FALSE),"reference inconnue"))</f>
        <v/>
      </c>
      <c r="G113" s="19" t="n"/>
      <c r="H113" s="19" t="n"/>
      <c r="I113" s="18">
        <f>IF($E113="","",IFERROR(VLOOKUP($E113,ARTICLES!$A$5:$S$2243,10,FALSE),""))</f>
        <v/>
      </c>
      <c r="J113" s="19" t="n"/>
      <c r="K113" s="19" t="n"/>
      <c r="L113" s="19" t="n"/>
      <c r="M113" s="17" t="inlineStr">
        <is>
          <t>BROUILLON</t>
        </is>
      </c>
      <c r="N113" s="17" t="n"/>
      <c r="O113" s="17" t="n"/>
      <c r="P113" s="17" t="n"/>
      <c r="Q113" s="17" t="n"/>
      <c r="R113" s="17" t="n"/>
      <c r="S113" s="17" t="n"/>
      <c r="T113" s="17" t="n"/>
    </row>
    <row r="114">
      <c r="A114" s="17" t="n"/>
      <c r="B114" s="18">
        <f>IF($D114="","",TEXT(TODAY(),"dd/mm/yyyy"))</f>
        <v/>
      </c>
      <c r="C114" s="18">
        <f>IF($D114="","",TEXT(NOW(),"hh:mm"))</f>
        <v/>
      </c>
      <c r="D114" s="19" t="n"/>
      <c r="E114" s="19" t="n"/>
      <c r="F114" s="18">
        <f>IF($E114="","",IFERROR(VLOOKUP($E114,ARTICLES!$A$5:$S$2243,3,FALSE),"reference inconnue"))</f>
        <v/>
      </c>
      <c r="G114" s="19" t="n"/>
      <c r="H114" s="19" t="n"/>
      <c r="I114" s="18">
        <f>IF($E114="","",IFERROR(VLOOKUP($E114,ARTICLES!$A$5:$S$2243,10,FALSE),""))</f>
        <v/>
      </c>
      <c r="J114" s="19" t="n"/>
      <c r="K114" s="19" t="n"/>
      <c r="L114" s="19" t="n"/>
      <c r="M114" s="17" t="inlineStr">
        <is>
          <t>BROUILLON</t>
        </is>
      </c>
      <c r="N114" s="17" t="n"/>
      <c r="O114" s="17" t="n"/>
      <c r="P114" s="17" t="n"/>
      <c r="Q114" s="17" t="n"/>
      <c r="R114" s="17" t="n"/>
      <c r="S114" s="17" t="n"/>
      <c r="T114" s="17" t="n"/>
    </row>
    <row r="115">
      <c r="A115" s="17" t="n"/>
      <c r="B115" s="18">
        <f>IF($D115="","",TEXT(TODAY(),"dd/mm/yyyy"))</f>
        <v/>
      </c>
      <c r="C115" s="18">
        <f>IF($D115="","",TEXT(NOW(),"hh:mm"))</f>
        <v/>
      </c>
      <c r="D115" s="19" t="n"/>
      <c r="E115" s="19" t="n"/>
      <c r="F115" s="18">
        <f>IF($E115="","",IFERROR(VLOOKUP($E115,ARTICLES!$A$5:$S$2243,3,FALSE),"reference inconnue"))</f>
        <v/>
      </c>
      <c r="G115" s="19" t="n"/>
      <c r="H115" s="19" t="n"/>
      <c r="I115" s="18">
        <f>IF($E115="","",IFERROR(VLOOKUP($E115,ARTICLES!$A$5:$S$2243,10,FALSE),""))</f>
        <v/>
      </c>
      <c r="J115" s="19" t="n"/>
      <c r="K115" s="19" t="n"/>
      <c r="L115" s="19" t="n"/>
      <c r="M115" s="17" t="inlineStr">
        <is>
          <t>BROUILLON</t>
        </is>
      </c>
      <c r="N115" s="17" t="n"/>
      <c r="O115" s="17" t="n"/>
      <c r="P115" s="17" t="n"/>
      <c r="Q115" s="17" t="n"/>
      <c r="R115" s="17" t="n"/>
      <c r="S115" s="17" t="n"/>
      <c r="T115" s="17" t="n"/>
    </row>
    <row r="116">
      <c r="A116" s="17" t="n"/>
      <c r="B116" s="18">
        <f>IF($D116="","",TEXT(TODAY(),"dd/mm/yyyy"))</f>
        <v/>
      </c>
      <c r="C116" s="18">
        <f>IF($D116="","",TEXT(NOW(),"hh:mm"))</f>
        <v/>
      </c>
      <c r="D116" s="19" t="n"/>
      <c r="E116" s="19" t="n"/>
      <c r="F116" s="18">
        <f>IF($E116="","",IFERROR(VLOOKUP($E116,ARTICLES!$A$5:$S$2243,3,FALSE),"reference inconnue"))</f>
        <v/>
      </c>
      <c r="G116" s="19" t="n"/>
      <c r="H116" s="19" t="n"/>
      <c r="I116" s="18">
        <f>IF($E116="","",IFERROR(VLOOKUP($E116,ARTICLES!$A$5:$S$2243,10,FALSE),""))</f>
        <v/>
      </c>
      <c r="J116" s="19" t="n"/>
      <c r="K116" s="19" t="n"/>
      <c r="L116" s="19" t="n"/>
      <c r="M116" s="17" t="inlineStr">
        <is>
          <t>BROUILLON</t>
        </is>
      </c>
      <c r="N116" s="17" t="n"/>
      <c r="O116" s="17" t="n"/>
      <c r="P116" s="17" t="n"/>
      <c r="Q116" s="17" t="n"/>
      <c r="R116" s="17" t="n"/>
      <c r="S116" s="17" t="n"/>
      <c r="T116" s="17" t="n"/>
    </row>
    <row r="117">
      <c r="A117" s="17" t="n"/>
      <c r="B117" s="18">
        <f>IF($D117="","",TEXT(TODAY(),"dd/mm/yyyy"))</f>
        <v/>
      </c>
      <c r="C117" s="18">
        <f>IF($D117="","",TEXT(NOW(),"hh:mm"))</f>
        <v/>
      </c>
      <c r="D117" s="19" t="n"/>
      <c r="E117" s="19" t="n"/>
      <c r="F117" s="18">
        <f>IF($E117="","",IFERROR(VLOOKUP($E117,ARTICLES!$A$5:$S$2243,3,FALSE),"reference inconnue"))</f>
        <v/>
      </c>
      <c r="G117" s="19" t="n"/>
      <c r="H117" s="19" t="n"/>
      <c r="I117" s="18">
        <f>IF($E117="","",IFERROR(VLOOKUP($E117,ARTICLES!$A$5:$S$2243,10,FALSE),""))</f>
        <v/>
      </c>
      <c r="J117" s="19" t="n"/>
      <c r="K117" s="19" t="n"/>
      <c r="L117" s="19" t="n"/>
      <c r="M117" s="17" t="inlineStr">
        <is>
          <t>BROUILLON</t>
        </is>
      </c>
      <c r="N117" s="17" t="n"/>
      <c r="O117" s="17" t="n"/>
      <c r="P117" s="17" t="n"/>
      <c r="Q117" s="17" t="n"/>
      <c r="R117" s="17" t="n"/>
      <c r="S117" s="17" t="n"/>
      <c r="T117" s="17" t="n"/>
    </row>
    <row r="118">
      <c r="A118" s="17" t="n"/>
      <c r="B118" s="18">
        <f>IF($D118="","",TEXT(TODAY(),"dd/mm/yyyy"))</f>
        <v/>
      </c>
      <c r="C118" s="18">
        <f>IF($D118="","",TEXT(NOW(),"hh:mm"))</f>
        <v/>
      </c>
      <c r="D118" s="19" t="n"/>
      <c r="E118" s="19" t="n"/>
      <c r="F118" s="18">
        <f>IF($E118="","",IFERROR(VLOOKUP($E118,ARTICLES!$A$5:$S$2243,3,FALSE),"reference inconnue"))</f>
        <v/>
      </c>
      <c r="G118" s="19" t="n"/>
      <c r="H118" s="19" t="n"/>
      <c r="I118" s="18">
        <f>IF($E118="","",IFERROR(VLOOKUP($E118,ARTICLES!$A$5:$S$2243,10,FALSE),""))</f>
        <v/>
      </c>
      <c r="J118" s="19" t="n"/>
      <c r="K118" s="19" t="n"/>
      <c r="L118" s="19" t="n"/>
      <c r="M118" s="17" t="inlineStr">
        <is>
          <t>BROUILLON</t>
        </is>
      </c>
      <c r="N118" s="17" t="n"/>
      <c r="O118" s="17" t="n"/>
      <c r="P118" s="17" t="n"/>
      <c r="Q118" s="17" t="n"/>
      <c r="R118" s="17" t="n"/>
      <c r="S118" s="17" t="n"/>
      <c r="T118" s="17" t="n"/>
    </row>
    <row r="119">
      <c r="A119" s="17" t="n"/>
      <c r="B119" s="18">
        <f>IF($D119="","",TEXT(TODAY(),"dd/mm/yyyy"))</f>
        <v/>
      </c>
      <c r="C119" s="18">
        <f>IF($D119="","",TEXT(NOW(),"hh:mm"))</f>
        <v/>
      </c>
      <c r="D119" s="19" t="n"/>
      <c r="E119" s="19" t="n"/>
      <c r="F119" s="18">
        <f>IF($E119="","",IFERROR(VLOOKUP($E119,ARTICLES!$A$5:$S$2243,3,FALSE),"reference inconnue"))</f>
        <v/>
      </c>
      <c r="G119" s="19" t="n"/>
      <c r="H119" s="19" t="n"/>
      <c r="I119" s="18">
        <f>IF($E119="","",IFERROR(VLOOKUP($E119,ARTICLES!$A$5:$S$2243,10,FALSE),""))</f>
        <v/>
      </c>
      <c r="J119" s="19" t="n"/>
      <c r="K119" s="19" t="n"/>
      <c r="L119" s="19" t="n"/>
      <c r="M119" s="17" t="inlineStr">
        <is>
          <t>BROUILLON</t>
        </is>
      </c>
      <c r="N119" s="17" t="n"/>
      <c r="O119" s="17" t="n"/>
      <c r="P119" s="17" t="n"/>
      <c r="Q119" s="17" t="n"/>
      <c r="R119" s="17" t="n"/>
      <c r="S119" s="17" t="n"/>
      <c r="T119" s="17" t="n"/>
    </row>
    <row r="120">
      <c r="A120" s="17" t="n"/>
      <c r="B120" s="18">
        <f>IF($D120="","",TEXT(TODAY(),"dd/mm/yyyy"))</f>
        <v/>
      </c>
      <c r="C120" s="18">
        <f>IF($D120="","",TEXT(NOW(),"hh:mm"))</f>
        <v/>
      </c>
      <c r="D120" s="19" t="n"/>
      <c r="E120" s="19" t="n"/>
      <c r="F120" s="18">
        <f>IF($E120="","",IFERROR(VLOOKUP($E120,ARTICLES!$A$5:$S$2243,3,FALSE),"reference inconnue"))</f>
        <v/>
      </c>
      <c r="G120" s="19" t="n"/>
      <c r="H120" s="19" t="n"/>
      <c r="I120" s="18">
        <f>IF($E120="","",IFERROR(VLOOKUP($E120,ARTICLES!$A$5:$S$2243,10,FALSE),""))</f>
        <v/>
      </c>
      <c r="J120" s="19" t="n"/>
      <c r="K120" s="19" t="n"/>
      <c r="L120" s="19" t="n"/>
      <c r="M120" s="17" t="inlineStr">
        <is>
          <t>BROUILLON</t>
        </is>
      </c>
      <c r="N120" s="17" t="n"/>
      <c r="O120" s="17" t="n"/>
      <c r="P120" s="17" t="n"/>
      <c r="Q120" s="17" t="n"/>
      <c r="R120" s="17" t="n"/>
      <c r="S120" s="17" t="n"/>
      <c r="T120" s="17" t="n"/>
    </row>
    <row r="121">
      <c r="A121" s="17" t="n"/>
      <c r="B121" s="18">
        <f>IF($D121="","",TEXT(TODAY(),"dd/mm/yyyy"))</f>
        <v/>
      </c>
      <c r="C121" s="18">
        <f>IF($D121="","",TEXT(NOW(),"hh:mm"))</f>
        <v/>
      </c>
      <c r="D121" s="19" t="n"/>
      <c r="E121" s="19" t="n"/>
      <c r="F121" s="18">
        <f>IF($E121="","",IFERROR(VLOOKUP($E121,ARTICLES!$A$5:$S$2243,3,FALSE),"reference inconnue"))</f>
        <v/>
      </c>
      <c r="G121" s="19" t="n"/>
      <c r="H121" s="19" t="n"/>
      <c r="I121" s="18">
        <f>IF($E121="","",IFERROR(VLOOKUP($E121,ARTICLES!$A$5:$S$2243,10,FALSE),""))</f>
        <v/>
      </c>
      <c r="J121" s="19" t="n"/>
      <c r="K121" s="19" t="n"/>
      <c r="L121" s="19" t="n"/>
      <c r="M121" s="17" t="inlineStr">
        <is>
          <t>BROUILLON</t>
        </is>
      </c>
      <c r="N121" s="17" t="n"/>
      <c r="O121" s="17" t="n"/>
      <c r="P121" s="17" t="n"/>
      <c r="Q121" s="17" t="n"/>
      <c r="R121" s="17" t="n"/>
      <c r="S121" s="17" t="n"/>
      <c r="T121" s="17" t="n"/>
    </row>
    <row r="122">
      <c r="A122" s="17" t="n"/>
      <c r="B122" s="18">
        <f>IF($D122="","",TEXT(TODAY(),"dd/mm/yyyy"))</f>
        <v/>
      </c>
      <c r="C122" s="18">
        <f>IF($D122="","",TEXT(NOW(),"hh:mm"))</f>
        <v/>
      </c>
      <c r="D122" s="19" t="n"/>
      <c r="E122" s="19" t="n"/>
      <c r="F122" s="18">
        <f>IF($E122="","",IFERROR(VLOOKUP($E122,ARTICLES!$A$5:$S$2243,3,FALSE),"reference inconnue"))</f>
        <v/>
      </c>
      <c r="G122" s="19" t="n"/>
      <c r="H122" s="19" t="n"/>
      <c r="I122" s="18">
        <f>IF($E122="","",IFERROR(VLOOKUP($E122,ARTICLES!$A$5:$S$2243,10,FALSE),""))</f>
        <v/>
      </c>
      <c r="J122" s="19" t="n"/>
      <c r="K122" s="19" t="n"/>
      <c r="L122" s="19" t="n"/>
      <c r="M122" s="17" t="inlineStr">
        <is>
          <t>BROUILLON</t>
        </is>
      </c>
      <c r="N122" s="17" t="n"/>
      <c r="O122" s="17" t="n"/>
      <c r="P122" s="17" t="n"/>
      <c r="Q122" s="17" t="n"/>
      <c r="R122" s="17" t="n"/>
      <c r="S122" s="17" t="n"/>
      <c r="T122" s="17" t="n"/>
    </row>
    <row r="123">
      <c r="A123" s="17" t="n"/>
      <c r="B123" s="18">
        <f>IF($D123="","",TEXT(TODAY(),"dd/mm/yyyy"))</f>
        <v/>
      </c>
      <c r="C123" s="18">
        <f>IF($D123="","",TEXT(NOW(),"hh:mm"))</f>
        <v/>
      </c>
      <c r="D123" s="19" t="n"/>
      <c r="E123" s="19" t="n"/>
      <c r="F123" s="18">
        <f>IF($E123="","",IFERROR(VLOOKUP($E123,ARTICLES!$A$5:$S$2243,3,FALSE),"reference inconnue"))</f>
        <v/>
      </c>
      <c r="G123" s="19" t="n"/>
      <c r="H123" s="19" t="n"/>
      <c r="I123" s="18">
        <f>IF($E123="","",IFERROR(VLOOKUP($E123,ARTICLES!$A$5:$S$2243,10,FALSE),""))</f>
        <v/>
      </c>
      <c r="J123" s="19" t="n"/>
      <c r="K123" s="19" t="n"/>
      <c r="L123" s="19" t="n"/>
      <c r="M123" s="17" t="inlineStr">
        <is>
          <t>BROUILLON</t>
        </is>
      </c>
      <c r="N123" s="17" t="n"/>
      <c r="O123" s="17" t="n"/>
      <c r="P123" s="17" t="n"/>
      <c r="Q123" s="17" t="n"/>
      <c r="R123" s="17" t="n"/>
      <c r="S123" s="17" t="n"/>
      <c r="T123" s="17" t="n"/>
    </row>
    <row r="124">
      <c r="A124" s="17" t="n"/>
      <c r="B124" s="18">
        <f>IF($D124="","",TEXT(TODAY(),"dd/mm/yyyy"))</f>
        <v/>
      </c>
      <c r="C124" s="18">
        <f>IF($D124="","",TEXT(NOW(),"hh:mm"))</f>
        <v/>
      </c>
      <c r="D124" s="19" t="n"/>
      <c r="E124" s="19" t="n"/>
      <c r="F124" s="18">
        <f>IF($E124="","",IFERROR(VLOOKUP($E124,ARTICLES!$A$5:$S$2243,3,FALSE),"reference inconnue"))</f>
        <v/>
      </c>
      <c r="G124" s="19" t="n"/>
      <c r="H124" s="19" t="n"/>
      <c r="I124" s="18">
        <f>IF($E124="","",IFERROR(VLOOKUP($E124,ARTICLES!$A$5:$S$2243,10,FALSE),""))</f>
        <v/>
      </c>
      <c r="J124" s="19" t="n"/>
      <c r="K124" s="19" t="n"/>
      <c r="L124" s="19" t="n"/>
      <c r="M124" s="17" t="inlineStr">
        <is>
          <t>BROUILLON</t>
        </is>
      </c>
      <c r="N124" s="17" t="n"/>
      <c r="O124" s="17" t="n"/>
      <c r="P124" s="17" t="n"/>
      <c r="Q124" s="17" t="n"/>
      <c r="R124" s="17" t="n"/>
      <c r="S124" s="17" t="n"/>
      <c r="T124" s="17" t="n"/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3">
    <mergeCell ref="A1:T1"/>
    <mergeCell ref="A3:T3"/>
    <mergeCell ref="A2:T2"/>
  </mergeCells>
  <conditionalFormatting sqref="M5:M124">
    <cfRule type="cellIs" priority="1" operator="equal" dxfId="3">
      <formula>"BROUILLON"</formula>
    </cfRule>
    <cfRule type="cellIs" priority="2" operator="equal" dxfId="1">
      <formula>"EN ATTENTE DE VALIDATION"</formula>
    </cfRule>
    <cfRule type="cellIs" priority="3" operator="equal" dxfId="0">
      <formula>"VALIDE"</formula>
    </cfRule>
    <cfRule type="cellIs" priority="4" operator="equal" dxfId="2">
      <formula>"REJETE"</formula>
    </cfRule>
  </conditionalFormatting>
  <dataValidations count="7">
    <dataValidation sqref="M5:M124" showDropDown="0" showInputMessage="0" showErrorMessage="0" allowBlank="1" type="list">
      <formula1>"BROUILLON,EN ATTENTE DE VALIDATION,VALIDE,REJETE"</formula1>
    </dataValidation>
    <dataValidation sqref="E5:E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e code de la piece (WHAP-...). La designation s'affiche toute seule a cote." type="list">
      <formula1>ARTICLES!$A$5:$A$2243</formula1>
    </dataValidation>
    <dataValidation sqref="H5:H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'adresse de stockage. La feuille EMPLACEMENTS indique celles qui sont saturees." type="list">
      <formula1>EMPLACEMENTS!$A$5:$A$148</formula1>
    </dataValidation>
    <dataValidation sqref="L5:L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votre matricule." type="list">
      <formula1>LISTES!$G$2:$G$25</formula1>
    </dataValidation>
    <dataValidation sqref="D5:D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e lot. Seuls les lots concernant cette zone sont proposes." type="list">
      <formula1>LISTES!$F$2:$F$10</formula1>
    </dataValidation>
    <dataValidation sqref="G5:G124" showDropDown="0" showInputMessage="1" showErrorMessage="0" allowBlank="1" promptTitle="A saisir" prompt="Quantite concernee par cette ligne."/>
    <dataValidation sqref="K5:K124" showDropDown="0" showInputMessage="1" showErrorMessage="0" allowBlank="1" promptTitle="A saisir" prompt="Facultatif."/>
  </dataValidations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K5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20" customWidth="1" min="1" max="1"/>
    <col width="12" customWidth="1" min="2" max="2"/>
    <col width="10" customWidth="1" min="3" max="3"/>
    <col width="16" customWidth="1" min="4" max="4"/>
    <col width="14" customWidth="1" min="5" max="5"/>
    <col width="12" customWidth="1" min="6" max="6"/>
    <col width="12" customWidth="1" min="7" max="7"/>
    <col width="12" customWidth="1" min="8" max="8"/>
    <col width="14" customWidth="1" min="9" max="9"/>
    <col width="30" customWidth="1" min="10" max="10"/>
    <col width="14" customWidth="1" min="11" max="11"/>
  </cols>
  <sheetData>
    <row r="1" ht="22" customHeight="1">
      <c r="A1" s="1" t="inlineStr">
        <is>
          <t>MOUVEMENTS_STOCK</t>
        </is>
      </c>
    </row>
    <row r="2">
      <c r="A2" s="2" t="inlineStr">
        <is>
          <t>Lecture seule. Le stock augmente a la confirmation de stockage et diminue a la sortie confirmee: cette regle est appliquee par le serveur.</t>
        </is>
      </c>
    </row>
    <row r="3" ht="6" customHeight="1"/>
    <row r="4" ht="28" customHeight="1">
      <c r="A4" s="6" t="inlineStr">
        <is>
          <t>REFERENCE_MOUVEMENT</t>
        </is>
      </c>
      <c r="B4" s="6" t="inlineStr">
        <is>
          <t>DATE</t>
        </is>
      </c>
      <c r="C4" s="6" t="inlineStr">
        <is>
          <t>TYPE</t>
        </is>
      </c>
      <c r="D4" s="6" t="inlineStr">
        <is>
          <t>REFERENCE_PIECE</t>
        </is>
      </c>
      <c r="E4" s="6" t="inlineStr">
        <is>
          <t>EMPLACEMENT</t>
        </is>
      </c>
      <c r="F4" s="6" t="inlineStr">
        <is>
          <t>QUANTITE</t>
        </is>
      </c>
      <c r="G4" s="6" t="inlineStr">
        <is>
          <t>STOCK_AVANT</t>
        </is>
      </c>
      <c r="H4" s="6" t="inlineStr">
        <is>
          <t>STOCK_APRES</t>
        </is>
      </c>
      <c r="I4" s="6" t="inlineStr">
        <is>
          <t>MATRICULE</t>
        </is>
      </c>
      <c r="J4" s="6" t="inlineStr">
        <is>
          <t>MOTIF</t>
        </is>
      </c>
      <c r="K4" s="6" t="inlineStr">
        <is>
          <t>SOURCE</t>
        </is>
      </c>
    </row>
    <row r="5"/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2">
    <mergeCell ref="A2:K2"/>
    <mergeCell ref="A1:K1"/>
  </mergeCells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S124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4" customWidth="1" min="1" max="1"/>
    <col width="12" customWidth="1" min="2" max="2"/>
    <col width="12" customWidth="1" min="3" max="3"/>
    <col width="16" customWidth="1" min="4" max="4"/>
    <col width="30" customWidth="1" min="5" max="5"/>
    <col width="18" customWidth="1" min="6" max="6"/>
    <col width="20" customWidth="1" min="7" max="7"/>
    <col width="12" customWidth="1" min="8" max="8"/>
    <col width="10" customWidth="1" min="9" max="9"/>
    <col width="26" customWidth="1" min="10" max="10"/>
    <col width="20" customWidth="1" min="11" max="11"/>
    <col width="24" customWidth="1" min="12" max="12"/>
    <col width="20" customWidth="1" min="13" max="13"/>
    <col width="18" customWidth="1" min="14" max="14"/>
    <col width="30" customWidth="1" min="15" max="15"/>
    <col width="14" customWidth="1" min="16" max="16"/>
    <col hidden="1" outlineLevel="1" width="18" customWidth="1" min="17" max="19"/>
  </cols>
  <sheetData>
    <row r="1" ht="22" customHeight="1">
      <c r="A1" s="1" t="inlineStr">
        <is>
          <t>PRODUCTION</t>
        </is>
      </c>
    </row>
    <row r="2">
      <c r="A2" s="2" t="inlineStr">
        <is>
          <t>Demandes des lignes. Une demande ne diminue jamais le stock.</t>
        </is>
      </c>
    </row>
    <row r="3" ht="15" customHeight="1">
      <c r="A3" s="13" t="inlineStr">
        <is>
          <t>SLCC - aucune synchronisation depuis l'ouverture du fichier</t>
        </is>
      </c>
    </row>
    <row r="4" ht="30" customHeight="1">
      <c r="A4" s="16" t="inlineStr">
        <is>
          <t>ID_DEMANDE</t>
        </is>
      </c>
      <c r="B4" s="15" t="inlineStr">
        <is>
          <t>DATE</t>
        </is>
      </c>
      <c r="C4" s="6" t="inlineStr">
        <is>
          <t>STATION</t>
        </is>
      </c>
      <c r="D4" s="6" t="inlineStr">
        <is>
          <t>REFERENCE_PIECE</t>
        </is>
      </c>
      <c r="E4" s="14" t="inlineStr">
        <is>
          <t>DESIGNATION</t>
        </is>
      </c>
      <c r="F4" s="6" t="inlineStr">
        <is>
          <t>QUANTITE_DEMANDEE</t>
        </is>
      </c>
      <c r="G4" s="14" t="inlineStr">
        <is>
          <t>QUANTITE_DISPONIBLE</t>
        </is>
      </c>
      <c r="H4" s="14" t="inlineStr">
        <is>
          <t>ECART</t>
        </is>
      </c>
      <c r="I4" s="16" t="inlineStr">
        <is>
          <t>PRIORITE</t>
        </is>
      </c>
      <c r="J4" s="16" t="inlineStr">
        <is>
          <t>COMMENTAIRE</t>
        </is>
      </c>
      <c r="K4" s="6" t="inlineStr">
        <is>
          <t>MATRICULE_OPERATEUR</t>
        </is>
      </c>
      <c r="L4" s="14" t="inlineStr">
        <is>
          <t>STATUT</t>
        </is>
      </c>
      <c r="M4" s="14" t="inlineStr">
        <is>
          <t>MATRICULE_CHECKER</t>
        </is>
      </c>
      <c r="N4" s="14" t="inlineStr">
        <is>
          <t>DATE_VALIDATION</t>
        </is>
      </c>
      <c r="O4" s="14" t="inlineStr">
        <is>
          <t>MOTIF_REJET</t>
        </is>
      </c>
      <c r="P4" s="14" t="inlineStr">
        <is>
          <t>ETAT_SYNC</t>
        </is>
      </c>
      <c r="Q4" s="14" t="inlineStr">
        <is>
          <t>DATE_SOUMISSION</t>
        </is>
      </c>
      <c r="R4" s="14" t="inlineStr">
        <is>
          <t>ID_SYNC</t>
        </is>
      </c>
      <c r="S4" s="14" t="inlineStr">
        <is>
          <t>JETON_VALIDATION</t>
        </is>
      </c>
    </row>
    <row r="5">
      <c r="A5" s="17" t="inlineStr">
        <is>
          <t>PR-2026-117</t>
        </is>
      </c>
      <c r="B5" s="18" t="inlineStr">
        <is>
          <t>31/08/2026</t>
        </is>
      </c>
      <c r="C5" s="17" t="inlineStr">
        <is>
          <t>ST-04</t>
        </is>
      </c>
      <c r="D5" s="17" t="inlineStr">
        <is>
          <t>WHAP-0315</t>
        </is>
      </c>
      <c r="E5" s="18">
        <f>IF($D5="","",IFERROR(VLOOKUP($D5,ARTICLES!$A$5:$S$2243,3,FALSE),"reference inconnue"))</f>
        <v/>
      </c>
      <c r="F5" s="17" t="n">
        <v>30</v>
      </c>
      <c r="G5" s="18">
        <f>IF($D5="","",IFERROR(VLOOKUP($D5,ARTICLES!$A$5:$S$2243,12,FALSE),0))</f>
        <v/>
      </c>
      <c r="H5" s="18">
        <f>IF(F5="","",G5-F5)</f>
        <v/>
      </c>
      <c r="I5" s="17" t="n">
        <v>3</v>
      </c>
      <c r="J5" s="17" t="inlineStr"/>
      <c r="K5" s="17" t="inlineStr">
        <is>
          <t>ST-021</t>
        </is>
      </c>
      <c r="L5" s="17" t="inlineStr">
        <is>
          <t>VALIDE</t>
        </is>
      </c>
      <c r="M5" s="17" t="inlineStr"/>
      <c r="N5" s="17" t="inlineStr"/>
      <c r="O5" s="17" t="inlineStr"/>
      <c r="P5" s="17" t="inlineStr">
        <is>
          <t>SYNCHRONISE</t>
        </is>
      </c>
      <c r="Q5" s="17" t="inlineStr"/>
      <c r="R5" s="17" t="inlineStr">
        <is>
          <t>PRODUCTION-HISTORIQUE-001</t>
        </is>
      </c>
      <c r="S5" s="17" t="inlineStr"/>
    </row>
    <row r="6">
      <c r="A6" s="17" t="inlineStr">
        <is>
          <t>PR-2026-116</t>
        </is>
      </c>
      <c r="B6" s="18" t="inlineStr">
        <is>
          <t>31/08/2026</t>
        </is>
      </c>
      <c r="C6" s="17" t="inlineStr">
        <is>
          <t>ST-02</t>
        </is>
      </c>
      <c r="D6" s="17" t="inlineStr">
        <is>
          <t>WHAP-0199</t>
        </is>
      </c>
      <c r="E6" s="18">
        <f>IF($D6="","",IFERROR(VLOOKUP($D6,ARTICLES!$A$5:$S$2243,3,FALSE),"reference inconnue"))</f>
        <v/>
      </c>
      <c r="F6" s="17" t="n">
        <v>2</v>
      </c>
      <c r="G6" s="18">
        <f>IF($D6="","",IFERROR(VLOOKUP($D6,ARTICLES!$A$5:$S$2243,12,FALSE),0))</f>
        <v/>
      </c>
      <c r="H6" s="18">
        <f>IF(F6="","",G6-F6)</f>
        <v/>
      </c>
      <c r="I6" s="17" t="n">
        <v>2</v>
      </c>
      <c r="J6" s="17" t="inlineStr"/>
      <c r="K6" s="17" t="inlineStr">
        <is>
          <t>ST-012</t>
        </is>
      </c>
      <c r="L6" s="17" t="inlineStr">
        <is>
          <t>VALIDE</t>
        </is>
      </c>
      <c r="M6" s="17" t="inlineStr"/>
      <c r="N6" s="17" t="inlineStr"/>
      <c r="O6" s="17" t="inlineStr"/>
      <c r="P6" s="17" t="inlineStr">
        <is>
          <t>SYNCHRONISE</t>
        </is>
      </c>
      <c r="Q6" s="17" t="inlineStr"/>
      <c r="R6" s="17" t="inlineStr">
        <is>
          <t>PRODUCTION-HISTORIQUE-002</t>
        </is>
      </c>
      <c r="S6" s="17" t="inlineStr"/>
    </row>
    <row r="7">
      <c r="A7" s="17" t="inlineStr">
        <is>
          <t>PR-2026-115</t>
        </is>
      </c>
      <c r="B7" s="18" t="inlineStr">
        <is>
          <t>31/08/2026</t>
        </is>
      </c>
      <c r="C7" s="17" t="inlineStr">
        <is>
          <t>ST-07</t>
        </is>
      </c>
      <c r="D7" s="17" t="inlineStr">
        <is>
          <t>WHAP-0057</t>
        </is>
      </c>
      <c r="E7" s="18">
        <f>IF($D7="","",IFERROR(VLOOKUP($D7,ARTICLES!$A$5:$S$2243,3,FALSE),"reference inconnue"))</f>
        <v/>
      </c>
      <c r="F7" s="17" t="n">
        <v>2</v>
      </c>
      <c r="G7" s="18">
        <f>IF($D7="","",IFERROR(VLOOKUP($D7,ARTICLES!$A$5:$S$2243,12,FALSE),0))</f>
        <v/>
      </c>
      <c r="H7" s="18">
        <f>IF(F7="","",G7-F7)</f>
        <v/>
      </c>
      <c r="I7" s="17" t="n">
        <v>3</v>
      </c>
      <c r="J7" s="17" t="inlineStr">
        <is>
          <t>Besoin planifie semaine suivante</t>
        </is>
      </c>
      <c r="K7" s="17" t="inlineStr">
        <is>
          <t>ST-012</t>
        </is>
      </c>
      <c r="L7" s="17" t="inlineStr">
        <is>
          <t>VALIDE</t>
        </is>
      </c>
      <c r="M7" s="17" t="inlineStr"/>
      <c r="N7" s="17" t="inlineStr"/>
      <c r="O7" s="17" t="inlineStr"/>
      <c r="P7" s="17" t="inlineStr">
        <is>
          <t>SYNCHRONISE</t>
        </is>
      </c>
      <c r="Q7" s="17" t="inlineStr"/>
      <c r="R7" s="17" t="inlineStr">
        <is>
          <t>PRODUCTION-HISTORIQUE-003</t>
        </is>
      </c>
      <c r="S7" s="17" t="inlineStr"/>
    </row>
    <row r="8">
      <c r="A8" s="17" t="inlineStr">
        <is>
          <t>PR-2026-114</t>
        </is>
      </c>
      <c r="B8" s="18" t="inlineStr">
        <is>
          <t>30/08/2026</t>
        </is>
      </c>
      <c r="C8" s="17" t="inlineStr">
        <is>
          <t>ST-06</t>
        </is>
      </c>
      <c r="D8" s="17" t="inlineStr">
        <is>
          <t>WHAP-0337</t>
        </is>
      </c>
      <c r="E8" s="18">
        <f>IF($D8="","",IFERROR(VLOOKUP($D8,ARTICLES!$A$5:$S$2243,3,FALSE),"reference inconnue"))</f>
        <v/>
      </c>
      <c r="F8" s="17" t="n">
        <v>80</v>
      </c>
      <c r="G8" s="18">
        <f>IF($D8="","",IFERROR(VLOOKUP($D8,ARTICLES!$A$5:$S$2243,12,FALSE),0))</f>
        <v/>
      </c>
      <c r="H8" s="18">
        <f>IF(F8="","",G8-F8)</f>
        <v/>
      </c>
      <c r="I8" s="17" t="n">
        <v>2</v>
      </c>
      <c r="J8" s="17" t="inlineStr">
        <is>
          <t>Besoin planifie semaine suivante</t>
        </is>
      </c>
      <c r="K8" s="17" t="inlineStr">
        <is>
          <t>ST-012</t>
        </is>
      </c>
      <c r="L8" s="17" t="inlineStr">
        <is>
          <t>VALIDE</t>
        </is>
      </c>
      <c r="M8" s="17" t="inlineStr"/>
      <c r="N8" s="17" t="inlineStr"/>
      <c r="O8" s="17" t="inlineStr"/>
      <c r="P8" s="17" t="inlineStr">
        <is>
          <t>SYNCHRONISE</t>
        </is>
      </c>
      <c r="Q8" s="17" t="inlineStr"/>
      <c r="R8" s="17" t="inlineStr">
        <is>
          <t>PRODUCTION-HISTORIQUE-004</t>
        </is>
      </c>
      <c r="S8" s="17" t="inlineStr"/>
    </row>
    <row r="9">
      <c r="A9" s="17" t="inlineStr">
        <is>
          <t>PR-2026-113</t>
        </is>
      </c>
      <c r="B9" s="18" t="inlineStr">
        <is>
          <t>30/08/2026</t>
        </is>
      </c>
      <c r="C9" s="17" t="inlineStr">
        <is>
          <t>ST-08</t>
        </is>
      </c>
      <c r="D9" s="17" t="inlineStr">
        <is>
          <t>WHAP-0521</t>
        </is>
      </c>
      <c r="E9" s="18">
        <f>IF($D9="","",IFERROR(VLOOKUP($D9,ARTICLES!$A$5:$S$2243,3,FALSE),"reference inconnue"))</f>
        <v/>
      </c>
      <c r="F9" s="17" t="n">
        <v>15</v>
      </c>
      <c r="G9" s="18">
        <f>IF($D9="","",IFERROR(VLOOKUP($D9,ARTICLES!$A$5:$S$2243,12,FALSE),0))</f>
        <v/>
      </c>
      <c r="H9" s="18">
        <f>IF(F9="","",G9-F9)</f>
        <v/>
      </c>
      <c r="I9" s="17" t="n">
        <v>1</v>
      </c>
      <c r="J9" s="17" t="inlineStr">
        <is>
          <t>Besoin planifie semaine suivante</t>
        </is>
      </c>
      <c r="K9" s="17" t="inlineStr">
        <is>
          <t>ST-034</t>
        </is>
      </c>
      <c r="L9" s="17" t="inlineStr">
        <is>
          <t>VALIDE</t>
        </is>
      </c>
      <c r="M9" s="17" t="inlineStr"/>
      <c r="N9" s="17" t="inlineStr"/>
      <c r="O9" s="17" t="inlineStr"/>
      <c r="P9" s="17" t="inlineStr">
        <is>
          <t>SYNCHRONISE</t>
        </is>
      </c>
      <c r="Q9" s="17" t="inlineStr"/>
      <c r="R9" s="17" t="inlineStr">
        <is>
          <t>PRODUCTION-HISTORIQUE-005</t>
        </is>
      </c>
      <c r="S9" s="17" t="inlineStr"/>
    </row>
    <row r="10">
      <c r="A10" s="17" t="inlineStr">
        <is>
          <t>PR-2026-112</t>
        </is>
      </c>
      <c r="B10" s="18" t="inlineStr">
        <is>
          <t>30/08/2026</t>
        </is>
      </c>
      <c r="C10" s="17" t="inlineStr">
        <is>
          <t>ST-02</t>
        </is>
      </c>
      <c r="D10" s="17" t="inlineStr">
        <is>
          <t>ACC-001</t>
        </is>
      </c>
      <c r="E10" s="18">
        <f>IF($D10="","",IFERROR(VLOOKUP($D10,ARTICLES!$A$5:$S$2243,3,FALSE),"reference inconnue"))</f>
        <v/>
      </c>
      <c r="F10" s="17" t="n">
        <v>150</v>
      </c>
      <c r="G10" s="18">
        <f>IF($D10="","",IFERROR(VLOOKUP($D10,ARTICLES!$A$5:$S$2243,12,FALSE),0))</f>
        <v/>
      </c>
      <c r="H10" s="18">
        <f>IF(F10="","",G10-F10)</f>
        <v/>
      </c>
      <c r="I10" s="17" t="n">
        <v>2</v>
      </c>
      <c r="J10" s="17" t="inlineStr"/>
      <c r="K10" s="17" t="inlineStr">
        <is>
          <t>ST-034</t>
        </is>
      </c>
      <c r="L10" s="17" t="inlineStr">
        <is>
          <t>VALIDE</t>
        </is>
      </c>
      <c r="M10" s="17" t="inlineStr"/>
      <c r="N10" s="17" t="inlineStr"/>
      <c r="O10" s="17" t="inlineStr"/>
      <c r="P10" s="17" t="inlineStr">
        <is>
          <t>SYNCHRONISE</t>
        </is>
      </c>
      <c r="Q10" s="17" t="inlineStr"/>
      <c r="R10" s="17" t="inlineStr">
        <is>
          <t>PRODUCTION-HISTORIQUE-006</t>
        </is>
      </c>
      <c r="S10" s="17" t="inlineStr"/>
    </row>
    <row r="11">
      <c r="A11" s="17" t="inlineStr">
        <is>
          <t>PR-2026-111</t>
        </is>
      </c>
      <c r="B11" s="18" t="inlineStr">
        <is>
          <t>30/08/2026</t>
        </is>
      </c>
      <c r="C11" s="17" t="inlineStr">
        <is>
          <t>ST-04</t>
        </is>
      </c>
      <c r="D11" s="17" t="inlineStr">
        <is>
          <t>PNT-001</t>
        </is>
      </c>
      <c r="E11" s="18">
        <f>IF($D11="","",IFERROR(VLOOKUP($D11,ARTICLES!$A$5:$S$2243,3,FALSE),"reference inconnue"))</f>
        <v/>
      </c>
      <c r="F11" s="17" t="n">
        <v>100</v>
      </c>
      <c r="G11" s="18">
        <f>IF($D11="","",IFERROR(VLOOKUP($D11,ARTICLES!$A$5:$S$2243,12,FALSE),0))</f>
        <v/>
      </c>
      <c r="H11" s="18">
        <f>IF(F11="","",G11-F11)</f>
        <v/>
      </c>
      <c r="I11" s="17" t="n">
        <v>1</v>
      </c>
      <c r="J11" s="17" t="inlineStr"/>
      <c r="K11" s="17" t="inlineStr">
        <is>
          <t>ST-021</t>
        </is>
      </c>
      <c r="L11" s="17" t="inlineStr">
        <is>
          <t>VALIDE</t>
        </is>
      </c>
      <c r="M11" s="17" t="inlineStr"/>
      <c r="N11" s="17" t="inlineStr"/>
      <c r="O11" s="17" t="inlineStr"/>
      <c r="P11" s="17" t="inlineStr">
        <is>
          <t>SYNCHRONISE</t>
        </is>
      </c>
      <c r="Q11" s="17" t="inlineStr"/>
      <c r="R11" s="17" t="inlineStr">
        <is>
          <t>PRODUCTION-HISTORIQUE-007</t>
        </is>
      </c>
      <c r="S11" s="17" t="inlineStr"/>
    </row>
    <row r="12">
      <c r="A12" s="17" t="inlineStr">
        <is>
          <t>PR-2026-110</t>
        </is>
      </c>
      <c r="B12" s="18" t="inlineStr">
        <is>
          <t>30/08/2026</t>
        </is>
      </c>
      <c r="C12" s="17" t="inlineStr">
        <is>
          <t>ST-06</t>
        </is>
      </c>
      <c r="D12" s="17" t="inlineStr">
        <is>
          <t>WHAP-0315</t>
        </is>
      </c>
      <c r="E12" s="18">
        <f>IF($D12="","",IFERROR(VLOOKUP($D12,ARTICLES!$A$5:$S$2243,3,FALSE),"reference inconnue"))</f>
        <v/>
      </c>
      <c r="F12" s="17" t="n">
        <v>80</v>
      </c>
      <c r="G12" s="18">
        <f>IF($D12="","",IFERROR(VLOOKUP($D12,ARTICLES!$A$5:$S$2243,12,FALSE),0))</f>
        <v/>
      </c>
      <c r="H12" s="18">
        <f>IF(F12="","",G12-F12)</f>
        <v/>
      </c>
      <c r="I12" s="17" t="n">
        <v>1</v>
      </c>
      <c r="J12" s="17" t="inlineStr">
        <is>
          <t>Besoin planifie semaine suivante</t>
        </is>
      </c>
      <c r="K12" s="17" t="inlineStr">
        <is>
          <t>ST-012</t>
        </is>
      </c>
      <c r="L12" s="17" t="inlineStr">
        <is>
          <t>VALIDE</t>
        </is>
      </c>
      <c r="M12" s="17" t="inlineStr"/>
      <c r="N12" s="17" t="inlineStr"/>
      <c r="O12" s="17" t="inlineStr"/>
      <c r="P12" s="17" t="inlineStr">
        <is>
          <t>SYNCHRONISE</t>
        </is>
      </c>
      <c r="Q12" s="17" t="inlineStr"/>
      <c r="R12" s="17" t="inlineStr">
        <is>
          <t>PRODUCTION-HISTORIQUE-008</t>
        </is>
      </c>
      <c r="S12" s="17" t="inlineStr"/>
    </row>
    <row r="13">
      <c r="A13" s="17" t="inlineStr">
        <is>
          <t>PR-2026-109</t>
        </is>
      </c>
      <c r="B13" s="18" t="inlineStr">
        <is>
          <t>30/08/2026</t>
        </is>
      </c>
      <c r="C13" s="17" t="inlineStr">
        <is>
          <t>ST-07</t>
        </is>
      </c>
      <c r="D13" s="17" t="inlineStr">
        <is>
          <t>WHAP-0152</t>
        </is>
      </c>
      <c r="E13" s="18">
        <f>IF($D13="","",IFERROR(VLOOKUP($D13,ARTICLES!$A$5:$S$2243,3,FALSE),"reference inconnue"))</f>
        <v/>
      </c>
      <c r="F13" s="17" t="n">
        <v>10</v>
      </c>
      <c r="G13" s="18">
        <f>IF($D13="","",IFERROR(VLOOKUP($D13,ARTICLES!$A$5:$S$2243,12,FALSE),0))</f>
        <v/>
      </c>
      <c r="H13" s="18">
        <f>IF(F13="","",G13-F13)</f>
        <v/>
      </c>
      <c r="I13" s="17" t="n">
        <v>2</v>
      </c>
      <c r="J13" s="17" t="inlineStr"/>
      <c r="K13" s="17" t="inlineStr">
        <is>
          <t>ST-034</t>
        </is>
      </c>
      <c r="L13" s="17" t="inlineStr">
        <is>
          <t>VALIDE</t>
        </is>
      </c>
      <c r="M13" s="17" t="inlineStr"/>
      <c r="N13" s="17" t="inlineStr"/>
      <c r="O13" s="17" t="inlineStr"/>
      <c r="P13" s="17" t="inlineStr">
        <is>
          <t>SYNCHRONISE</t>
        </is>
      </c>
      <c r="Q13" s="17" t="inlineStr"/>
      <c r="R13" s="17" t="inlineStr">
        <is>
          <t>PRODUCTION-HISTORIQUE-009</t>
        </is>
      </c>
      <c r="S13" s="17" t="inlineStr"/>
    </row>
    <row r="14">
      <c r="A14" s="17" t="inlineStr">
        <is>
          <t>PR-2026-108</t>
        </is>
      </c>
      <c r="B14" s="18" t="inlineStr">
        <is>
          <t>30/08/2026</t>
        </is>
      </c>
      <c r="C14" s="17" t="inlineStr">
        <is>
          <t>ST-07</t>
        </is>
      </c>
      <c r="D14" s="17" t="inlineStr">
        <is>
          <t>WHAP-0536</t>
        </is>
      </c>
      <c r="E14" s="18">
        <f>IF($D14="","",IFERROR(VLOOKUP($D14,ARTICLES!$A$5:$S$2243,3,FALSE),"reference inconnue"))</f>
        <v/>
      </c>
      <c r="F14" s="17" t="n">
        <v>4</v>
      </c>
      <c r="G14" s="18">
        <f>IF($D14="","",IFERROR(VLOOKUP($D14,ARTICLES!$A$5:$S$2243,12,FALSE),0))</f>
        <v/>
      </c>
      <c r="H14" s="18">
        <f>IF(F14="","",G14-F14)</f>
        <v/>
      </c>
      <c r="I14" s="17" t="n">
        <v>2</v>
      </c>
      <c r="J14" s="17" t="inlineStr"/>
      <c r="K14" s="17" t="inlineStr">
        <is>
          <t>ST-034</t>
        </is>
      </c>
      <c r="L14" s="17" t="inlineStr">
        <is>
          <t>VALIDE</t>
        </is>
      </c>
      <c r="M14" s="17" t="inlineStr"/>
      <c r="N14" s="17" t="inlineStr"/>
      <c r="O14" s="17" t="inlineStr"/>
      <c r="P14" s="17" t="inlineStr">
        <is>
          <t>SYNCHRONISE</t>
        </is>
      </c>
      <c r="Q14" s="17" t="inlineStr"/>
      <c r="R14" s="17" t="inlineStr">
        <is>
          <t>PRODUCTION-HISTORIQUE-010</t>
        </is>
      </c>
      <c r="S14" s="17" t="inlineStr"/>
    </row>
    <row r="15">
      <c r="A15" s="17" t="inlineStr">
        <is>
          <t>PR-2026-107</t>
        </is>
      </c>
      <c r="B15" s="18" t="inlineStr">
        <is>
          <t>30/08/2026</t>
        </is>
      </c>
      <c r="C15" s="17" t="inlineStr">
        <is>
          <t>ST-03</t>
        </is>
      </c>
      <c r="D15" s="17" t="inlineStr">
        <is>
          <t>WHAP-0271</t>
        </is>
      </c>
      <c r="E15" s="18">
        <f>IF($D15="","",IFERROR(VLOOKUP($D15,ARTICLES!$A$5:$S$2243,3,FALSE),"reference inconnue"))</f>
        <v/>
      </c>
      <c r="F15" s="17" t="n">
        <v>6</v>
      </c>
      <c r="G15" s="18">
        <f>IF($D15="","",IFERROR(VLOOKUP($D15,ARTICLES!$A$5:$S$2243,12,FALSE),0))</f>
        <v/>
      </c>
      <c r="H15" s="18">
        <f>IF(F15="","",G15-F15)</f>
        <v/>
      </c>
      <c r="I15" s="17" t="n">
        <v>2</v>
      </c>
      <c r="J15" s="17" t="inlineStr"/>
      <c r="K15" s="17" t="inlineStr">
        <is>
          <t>ST-034</t>
        </is>
      </c>
      <c r="L15" s="17" t="inlineStr">
        <is>
          <t>VALIDE</t>
        </is>
      </c>
      <c r="M15" s="17" t="inlineStr"/>
      <c r="N15" s="17" t="inlineStr"/>
      <c r="O15" s="17" t="inlineStr"/>
      <c r="P15" s="17" t="inlineStr">
        <is>
          <t>SYNCHRONISE</t>
        </is>
      </c>
      <c r="Q15" s="17" t="inlineStr"/>
      <c r="R15" s="17" t="inlineStr">
        <is>
          <t>PRODUCTION-HISTORIQUE-011</t>
        </is>
      </c>
      <c r="S15" s="17" t="inlineStr"/>
    </row>
    <row r="16">
      <c r="A16" s="17" t="inlineStr">
        <is>
          <t>PR-2026-106</t>
        </is>
      </c>
      <c r="B16" s="18" t="inlineStr">
        <is>
          <t>29/08/2026</t>
        </is>
      </c>
      <c r="C16" s="17" t="inlineStr">
        <is>
          <t>ST-06</t>
        </is>
      </c>
      <c r="D16" s="17" t="inlineStr">
        <is>
          <t>WHAP-0057</t>
        </is>
      </c>
      <c r="E16" s="18">
        <f>IF($D16="","",IFERROR(VLOOKUP($D16,ARTICLES!$A$5:$S$2243,3,FALSE),"reference inconnue"))</f>
        <v/>
      </c>
      <c r="F16" s="17" t="n">
        <v>8</v>
      </c>
      <c r="G16" s="18">
        <f>IF($D16="","",IFERROR(VLOOKUP($D16,ARTICLES!$A$5:$S$2243,12,FALSE),0))</f>
        <v/>
      </c>
      <c r="H16" s="18">
        <f>IF(F16="","",G16-F16)</f>
        <v/>
      </c>
      <c r="I16" s="17" t="n">
        <v>1</v>
      </c>
      <c r="J16" s="17" t="inlineStr">
        <is>
          <t>Complement suite a rebut ligne</t>
        </is>
      </c>
      <c r="K16" s="17" t="inlineStr">
        <is>
          <t>ST-021</t>
        </is>
      </c>
      <c r="L16" s="17" t="inlineStr">
        <is>
          <t>VALIDE</t>
        </is>
      </c>
      <c r="M16" s="17" t="inlineStr"/>
      <c r="N16" s="17" t="inlineStr"/>
      <c r="O16" s="17" t="inlineStr"/>
      <c r="P16" s="17" t="inlineStr">
        <is>
          <t>SYNCHRONISE</t>
        </is>
      </c>
      <c r="Q16" s="17" t="inlineStr"/>
      <c r="R16" s="17" t="inlineStr">
        <is>
          <t>PRODUCTION-HISTORIQUE-012</t>
        </is>
      </c>
      <c r="S16" s="17" t="inlineStr"/>
    </row>
    <row r="17">
      <c r="A17" s="17" t="inlineStr">
        <is>
          <t>PR-2026-105</t>
        </is>
      </c>
      <c r="B17" s="18" t="inlineStr">
        <is>
          <t>29/08/2026</t>
        </is>
      </c>
      <c r="C17" s="17" t="inlineStr">
        <is>
          <t>ST-08</t>
        </is>
      </c>
      <c r="D17" s="17" t="inlineStr">
        <is>
          <t>LUB-001</t>
        </is>
      </c>
      <c r="E17" s="18">
        <f>IF($D17="","",IFERROR(VLOOKUP($D17,ARTICLES!$A$5:$S$2243,3,FALSE),"reference inconnue"))</f>
        <v/>
      </c>
      <c r="F17" s="17" t="n">
        <v>100</v>
      </c>
      <c r="G17" s="18">
        <f>IF($D17="","",IFERROR(VLOOKUP($D17,ARTICLES!$A$5:$S$2243,12,FALSE),0))</f>
        <v/>
      </c>
      <c r="H17" s="18">
        <f>IF(F17="","",G17-F17)</f>
        <v/>
      </c>
      <c r="I17" s="17" t="n">
        <v>2</v>
      </c>
      <c r="J17" s="17" t="inlineStr">
        <is>
          <t>Reappro poste avant changement d'equipe</t>
        </is>
      </c>
      <c r="K17" s="17" t="inlineStr">
        <is>
          <t>ST-021</t>
        </is>
      </c>
      <c r="L17" s="17" t="inlineStr">
        <is>
          <t>VALIDE</t>
        </is>
      </c>
      <c r="M17" s="17" t="inlineStr"/>
      <c r="N17" s="17" t="inlineStr"/>
      <c r="O17" s="17" t="inlineStr"/>
      <c r="P17" s="17" t="inlineStr">
        <is>
          <t>SYNCHRONISE</t>
        </is>
      </c>
      <c r="Q17" s="17" t="inlineStr"/>
      <c r="R17" s="17" t="inlineStr">
        <is>
          <t>PRODUCTION-HISTORIQUE-013</t>
        </is>
      </c>
      <c r="S17" s="17" t="inlineStr"/>
    </row>
    <row r="18">
      <c r="A18" s="17" t="inlineStr">
        <is>
          <t>PR-2026-104</t>
        </is>
      </c>
      <c r="B18" s="18" t="inlineStr">
        <is>
          <t>29/08/2026</t>
        </is>
      </c>
      <c r="C18" s="17" t="inlineStr">
        <is>
          <t>ST-04</t>
        </is>
      </c>
      <c r="D18" s="17" t="inlineStr">
        <is>
          <t>WHAP-0552</t>
        </is>
      </c>
      <c r="E18" s="18">
        <f>IF($D18="","",IFERROR(VLOOKUP($D18,ARTICLES!$A$5:$S$2243,3,FALSE),"reference inconnue"))</f>
        <v/>
      </c>
      <c r="F18" s="17" t="n">
        <v>2</v>
      </c>
      <c r="G18" s="18">
        <f>IF($D18="","",IFERROR(VLOOKUP($D18,ARTICLES!$A$5:$S$2243,12,FALSE),0))</f>
        <v/>
      </c>
      <c r="H18" s="18">
        <f>IF(F18="","",G18-F18)</f>
        <v/>
      </c>
      <c r="I18" s="17" t="n">
        <v>2</v>
      </c>
      <c r="J18" s="17" t="inlineStr">
        <is>
          <t>Reappro poste avant changement d'equipe</t>
        </is>
      </c>
      <c r="K18" s="17" t="inlineStr">
        <is>
          <t>ST-021</t>
        </is>
      </c>
      <c r="L18" s="17" t="inlineStr">
        <is>
          <t>VALIDE</t>
        </is>
      </c>
      <c r="M18" s="17" t="inlineStr"/>
      <c r="N18" s="17" t="inlineStr"/>
      <c r="O18" s="17" t="inlineStr"/>
      <c r="P18" s="17" t="inlineStr">
        <is>
          <t>SYNCHRONISE</t>
        </is>
      </c>
      <c r="Q18" s="17" t="inlineStr"/>
      <c r="R18" s="17" t="inlineStr">
        <is>
          <t>PRODUCTION-HISTORIQUE-014</t>
        </is>
      </c>
      <c r="S18" s="17" t="inlineStr"/>
    </row>
    <row r="19">
      <c r="A19" s="17" t="inlineStr">
        <is>
          <t>PR-2026-103</t>
        </is>
      </c>
      <c r="B19" s="18" t="inlineStr">
        <is>
          <t>29/08/2026</t>
        </is>
      </c>
      <c r="C19" s="17" t="inlineStr">
        <is>
          <t>ST-04</t>
        </is>
      </c>
      <c r="D19" s="17" t="inlineStr">
        <is>
          <t>TRT-002</t>
        </is>
      </c>
      <c r="E19" s="18">
        <f>IF($D19="","",IFERROR(VLOOKUP($D19,ARTICLES!$A$5:$S$2243,3,FALSE),"reference inconnue"))</f>
        <v/>
      </c>
      <c r="F19" s="17" t="n">
        <v>20</v>
      </c>
      <c r="G19" s="18">
        <f>IF($D19="","",IFERROR(VLOOKUP($D19,ARTICLES!$A$5:$S$2243,12,FALSE),0))</f>
        <v/>
      </c>
      <c r="H19" s="18">
        <f>IF(F19="","",G19-F19)</f>
        <v/>
      </c>
      <c r="I19" s="17" t="n">
        <v>2</v>
      </c>
      <c r="J19" s="17" t="inlineStr">
        <is>
          <t>Besoin pour le lancement de serie</t>
        </is>
      </c>
      <c r="K19" s="17" t="inlineStr">
        <is>
          <t>ST-012</t>
        </is>
      </c>
      <c r="L19" s="17" t="inlineStr">
        <is>
          <t>VALIDE</t>
        </is>
      </c>
      <c r="M19" s="17" t="inlineStr"/>
      <c r="N19" s="17" t="inlineStr"/>
      <c r="O19" s="17" t="inlineStr"/>
      <c r="P19" s="17" t="inlineStr">
        <is>
          <t>SYNCHRONISE</t>
        </is>
      </c>
      <c r="Q19" s="17" t="inlineStr"/>
      <c r="R19" s="17" t="inlineStr">
        <is>
          <t>PRODUCTION-HISTORIQUE-015</t>
        </is>
      </c>
      <c r="S19" s="17" t="inlineStr"/>
    </row>
    <row r="20">
      <c r="A20" s="17" t="inlineStr">
        <is>
          <t>PR-2026-102</t>
        </is>
      </c>
      <c r="B20" s="18" t="inlineStr">
        <is>
          <t>29/08/2026</t>
        </is>
      </c>
      <c r="C20" s="17" t="inlineStr">
        <is>
          <t>ST-07</t>
        </is>
      </c>
      <c r="D20" s="17" t="inlineStr">
        <is>
          <t>WHAP-0246</t>
        </is>
      </c>
      <c r="E20" s="18">
        <f>IF($D20="","",IFERROR(VLOOKUP($D20,ARTICLES!$A$5:$S$2243,3,FALSE),"reference inconnue"))</f>
        <v/>
      </c>
      <c r="F20" s="17" t="n">
        <v>120</v>
      </c>
      <c r="G20" s="18">
        <f>IF($D20="","",IFERROR(VLOOKUP($D20,ARTICLES!$A$5:$S$2243,12,FALSE),0))</f>
        <v/>
      </c>
      <c r="H20" s="18">
        <f>IF(F20="","",G20-F20)</f>
        <v/>
      </c>
      <c r="I20" s="17" t="n">
        <v>2</v>
      </c>
      <c r="J20" s="17" t="inlineStr"/>
      <c r="K20" s="17" t="inlineStr">
        <is>
          <t>ST-034</t>
        </is>
      </c>
      <c r="L20" s="17" t="inlineStr">
        <is>
          <t>VALIDE</t>
        </is>
      </c>
      <c r="M20" s="17" t="inlineStr"/>
      <c r="N20" s="17" t="inlineStr"/>
      <c r="O20" s="17" t="inlineStr"/>
      <c r="P20" s="17" t="inlineStr">
        <is>
          <t>SYNCHRONISE</t>
        </is>
      </c>
      <c r="Q20" s="17" t="inlineStr"/>
      <c r="R20" s="17" t="inlineStr">
        <is>
          <t>PRODUCTION-HISTORIQUE-016</t>
        </is>
      </c>
      <c r="S20" s="17" t="inlineStr"/>
    </row>
    <row r="21">
      <c r="A21" s="17" t="inlineStr">
        <is>
          <t>PR-2026-101</t>
        </is>
      </c>
      <c r="B21" s="18" t="inlineStr">
        <is>
          <t>29/08/2026</t>
        </is>
      </c>
      <c r="C21" s="17" t="inlineStr">
        <is>
          <t>ST-06</t>
        </is>
      </c>
      <c r="D21" s="17" t="inlineStr">
        <is>
          <t>WHAP-0152</t>
        </is>
      </c>
      <c r="E21" s="18">
        <f>IF($D21="","",IFERROR(VLOOKUP($D21,ARTICLES!$A$5:$S$2243,3,FALSE),"reference inconnue"))</f>
        <v/>
      </c>
      <c r="F21" s="17" t="n">
        <v>15</v>
      </c>
      <c r="G21" s="18">
        <f>IF($D21="","",IFERROR(VLOOKUP($D21,ARTICLES!$A$5:$S$2243,12,FALSE),0))</f>
        <v/>
      </c>
      <c r="H21" s="18">
        <f>IF(F21="","",G21-F21)</f>
        <v/>
      </c>
      <c r="I21" s="17" t="n">
        <v>2</v>
      </c>
      <c r="J21" s="17" t="inlineStr"/>
      <c r="K21" s="17" t="inlineStr">
        <is>
          <t>ST-021</t>
        </is>
      </c>
      <c r="L21" s="17" t="inlineStr">
        <is>
          <t>VALIDE</t>
        </is>
      </c>
      <c r="M21" s="17" t="inlineStr"/>
      <c r="N21" s="17" t="inlineStr"/>
      <c r="O21" s="17" t="inlineStr"/>
      <c r="P21" s="17" t="inlineStr">
        <is>
          <t>SYNCHRONISE</t>
        </is>
      </c>
      <c r="Q21" s="17" t="inlineStr"/>
      <c r="R21" s="17" t="inlineStr">
        <is>
          <t>PRODUCTION-HISTORIQUE-017</t>
        </is>
      </c>
      <c r="S21" s="17" t="inlineStr"/>
    </row>
    <row r="22">
      <c r="A22" s="17" t="inlineStr">
        <is>
          <t>PR-2026-100</t>
        </is>
      </c>
      <c r="B22" s="18" t="inlineStr">
        <is>
          <t>29/08/2026</t>
        </is>
      </c>
      <c r="C22" s="17" t="inlineStr">
        <is>
          <t>ST-02</t>
        </is>
      </c>
      <c r="D22" s="17" t="inlineStr">
        <is>
          <t>WHAP-0172</t>
        </is>
      </c>
      <c r="E22" s="18">
        <f>IF($D22="","",IFERROR(VLOOKUP($D22,ARTICLES!$A$5:$S$2243,3,FALSE),"reference inconnue"))</f>
        <v/>
      </c>
      <c r="F22" s="17" t="n">
        <v>4</v>
      </c>
      <c r="G22" s="18">
        <f>IF($D22="","",IFERROR(VLOOKUP($D22,ARTICLES!$A$5:$S$2243,12,FALSE),0))</f>
        <v/>
      </c>
      <c r="H22" s="18">
        <f>IF(F22="","",G22-F22)</f>
        <v/>
      </c>
      <c r="I22" s="17" t="n">
        <v>3</v>
      </c>
      <c r="J22" s="17" t="inlineStr">
        <is>
          <t>Preparation du chantier de nuit</t>
        </is>
      </c>
      <c r="K22" s="17" t="inlineStr">
        <is>
          <t>ST-012</t>
        </is>
      </c>
      <c r="L22" s="17" t="inlineStr">
        <is>
          <t>VALIDE</t>
        </is>
      </c>
      <c r="M22" s="17" t="inlineStr"/>
      <c r="N22" s="17" t="inlineStr"/>
      <c r="O22" s="17" t="inlineStr"/>
      <c r="P22" s="17" t="inlineStr">
        <is>
          <t>SYNCHRONISE</t>
        </is>
      </c>
      <c r="Q22" s="17" t="inlineStr"/>
      <c r="R22" s="17" t="inlineStr">
        <is>
          <t>PRODUCTION-HISTORIQUE-018</t>
        </is>
      </c>
      <c r="S22" s="17" t="inlineStr"/>
    </row>
    <row r="23">
      <c r="A23" s="17" t="inlineStr">
        <is>
          <t>PR-2026-099</t>
        </is>
      </c>
      <c r="B23" s="18" t="inlineStr">
        <is>
          <t>29/08/2026</t>
        </is>
      </c>
      <c r="C23" s="17" t="inlineStr">
        <is>
          <t>ST-04</t>
        </is>
      </c>
      <c r="D23" s="17" t="inlineStr">
        <is>
          <t>WHAP-0338</t>
        </is>
      </c>
      <c r="E23" s="18">
        <f>IF($D23="","",IFERROR(VLOOKUP($D23,ARTICLES!$A$5:$S$2243,3,FALSE),"reference inconnue"))</f>
        <v/>
      </c>
      <c r="F23" s="17" t="n">
        <v>150</v>
      </c>
      <c r="G23" s="18">
        <f>IF($D23="","",IFERROR(VLOOKUP($D23,ARTICLES!$A$5:$S$2243,12,FALSE),0))</f>
        <v/>
      </c>
      <c r="H23" s="18">
        <f>IF(F23="","",G23-F23)</f>
        <v/>
      </c>
      <c r="I23" s="17" t="n">
        <v>3</v>
      </c>
      <c r="J23" s="17" t="inlineStr">
        <is>
          <t>Besoin planifie semaine suivante</t>
        </is>
      </c>
      <c r="K23" s="17" t="inlineStr">
        <is>
          <t>ST-034</t>
        </is>
      </c>
      <c r="L23" s="17" t="inlineStr">
        <is>
          <t>VALIDE</t>
        </is>
      </c>
      <c r="M23" s="17" t="inlineStr"/>
      <c r="N23" s="17" t="inlineStr"/>
      <c r="O23" s="17" t="inlineStr"/>
      <c r="P23" s="17" t="inlineStr">
        <is>
          <t>SYNCHRONISE</t>
        </is>
      </c>
      <c r="Q23" s="17" t="inlineStr"/>
      <c r="R23" s="17" t="inlineStr">
        <is>
          <t>PRODUCTION-HISTORIQUE-019</t>
        </is>
      </c>
      <c r="S23" s="17" t="inlineStr"/>
    </row>
    <row r="24">
      <c r="A24" s="17" t="inlineStr">
        <is>
          <t>PR-2026-098</t>
        </is>
      </c>
      <c r="B24" s="18" t="inlineStr">
        <is>
          <t>28/08/2026</t>
        </is>
      </c>
      <c r="C24" s="17" t="inlineStr">
        <is>
          <t>ST-03</t>
        </is>
      </c>
      <c r="D24" s="17" t="inlineStr">
        <is>
          <t>WHAP-0471</t>
        </is>
      </c>
      <c r="E24" s="18">
        <f>IF($D24="","",IFERROR(VLOOKUP($D24,ARTICLES!$A$5:$S$2243,3,FALSE),"reference inconnue"))</f>
        <v/>
      </c>
      <c r="F24" s="17" t="n">
        <v>6</v>
      </c>
      <c r="G24" s="18">
        <f>IF($D24="","",IFERROR(VLOOKUP($D24,ARTICLES!$A$5:$S$2243,12,FALSE),0))</f>
        <v/>
      </c>
      <c r="H24" s="18">
        <f>IF(F24="","",G24-F24)</f>
        <v/>
      </c>
      <c r="I24" s="17" t="n">
        <v>1</v>
      </c>
      <c r="J24" s="17" t="inlineStr">
        <is>
          <t>Besoin planifie semaine suivante</t>
        </is>
      </c>
      <c r="K24" s="17" t="inlineStr">
        <is>
          <t>ST-021</t>
        </is>
      </c>
      <c r="L24" s="17" t="inlineStr">
        <is>
          <t>VALIDE</t>
        </is>
      </c>
      <c r="M24" s="17" t="inlineStr"/>
      <c r="N24" s="17" t="inlineStr"/>
      <c r="O24" s="17" t="inlineStr"/>
      <c r="P24" s="17" t="inlineStr">
        <is>
          <t>SYNCHRONISE</t>
        </is>
      </c>
      <c r="Q24" s="17" t="inlineStr"/>
      <c r="R24" s="17" t="inlineStr">
        <is>
          <t>PRODUCTION-HISTORIQUE-020</t>
        </is>
      </c>
      <c r="S24" s="17" t="inlineStr"/>
    </row>
    <row r="25">
      <c r="A25" s="17" t="inlineStr">
        <is>
          <t>PR-2026-096</t>
        </is>
      </c>
      <c r="B25" s="18" t="inlineStr">
        <is>
          <t>28/08/2026</t>
        </is>
      </c>
      <c r="C25" s="17" t="inlineStr">
        <is>
          <t>ST-02</t>
        </is>
      </c>
      <c r="D25" s="17" t="inlineStr">
        <is>
          <t>WHAP-0153</t>
        </is>
      </c>
      <c r="E25" s="18">
        <f>IF($D25="","",IFERROR(VLOOKUP($D25,ARTICLES!$A$5:$S$2243,3,FALSE),"reference inconnue"))</f>
        <v/>
      </c>
      <c r="F25" s="17" t="n">
        <v>6</v>
      </c>
      <c r="G25" s="18">
        <f>IF($D25="","",IFERROR(VLOOKUP($D25,ARTICLES!$A$5:$S$2243,12,FALSE),0))</f>
        <v/>
      </c>
      <c r="H25" s="18">
        <f>IF(F25="","",G25-F25)</f>
        <v/>
      </c>
      <c r="I25" s="17" t="n">
        <v>2</v>
      </c>
      <c r="J25" s="17" t="inlineStr">
        <is>
          <t>Complement suite a rebut ligne</t>
        </is>
      </c>
      <c r="K25" s="17" t="inlineStr">
        <is>
          <t>ST-034</t>
        </is>
      </c>
      <c r="L25" s="17" t="inlineStr">
        <is>
          <t>VALIDE</t>
        </is>
      </c>
      <c r="M25" s="17" t="inlineStr"/>
      <c r="N25" s="17" t="inlineStr"/>
      <c r="O25" s="17" t="inlineStr"/>
      <c r="P25" s="17" t="inlineStr">
        <is>
          <t>SYNCHRONISE</t>
        </is>
      </c>
      <c r="Q25" s="17" t="inlineStr"/>
      <c r="R25" s="17" t="inlineStr">
        <is>
          <t>PRODUCTION-HISTORIQUE-021</t>
        </is>
      </c>
      <c r="S25" s="17" t="inlineStr"/>
    </row>
    <row r="26">
      <c r="A26" s="17" t="inlineStr">
        <is>
          <t>PR-2026-095</t>
        </is>
      </c>
      <c r="B26" s="18" t="inlineStr">
        <is>
          <t>28/08/2026</t>
        </is>
      </c>
      <c r="C26" s="17" t="inlineStr">
        <is>
          <t>ST-03</t>
        </is>
      </c>
      <c r="D26" s="17" t="inlineStr">
        <is>
          <t>ACC-001</t>
        </is>
      </c>
      <c r="E26" s="18">
        <f>IF($D26="","",IFERROR(VLOOKUP($D26,ARTICLES!$A$5:$S$2243,3,FALSE),"reference inconnue"))</f>
        <v/>
      </c>
      <c r="F26" s="17" t="n">
        <v>60</v>
      </c>
      <c r="G26" s="18">
        <f>IF($D26="","",IFERROR(VLOOKUP($D26,ARTICLES!$A$5:$S$2243,12,FALSE),0))</f>
        <v/>
      </c>
      <c r="H26" s="18">
        <f>IF(F26="","",G26-F26)</f>
        <v/>
      </c>
      <c r="I26" s="17" t="n">
        <v>3</v>
      </c>
      <c r="J26" s="17" t="inlineStr"/>
      <c r="K26" s="17" t="inlineStr">
        <is>
          <t>ST-012</t>
        </is>
      </c>
      <c r="L26" s="17" t="inlineStr">
        <is>
          <t>VALIDE</t>
        </is>
      </c>
      <c r="M26" s="17" t="inlineStr"/>
      <c r="N26" s="17" t="inlineStr"/>
      <c r="O26" s="17" t="inlineStr"/>
      <c r="P26" s="17" t="inlineStr">
        <is>
          <t>SYNCHRONISE</t>
        </is>
      </c>
      <c r="Q26" s="17" t="inlineStr"/>
      <c r="R26" s="17" t="inlineStr">
        <is>
          <t>PRODUCTION-HISTORIQUE-022</t>
        </is>
      </c>
      <c r="S26" s="17" t="inlineStr"/>
    </row>
    <row r="27">
      <c r="A27" s="17" t="inlineStr">
        <is>
          <t>PR-2026-094</t>
        </is>
      </c>
      <c r="B27" s="18" t="inlineStr">
        <is>
          <t>28/08/2026</t>
        </is>
      </c>
      <c r="C27" s="17" t="inlineStr">
        <is>
          <t>ST-05</t>
        </is>
      </c>
      <c r="D27" s="17" t="inlineStr">
        <is>
          <t>WHAP-0470</t>
        </is>
      </c>
      <c r="E27" s="18">
        <f>IF($D27="","",IFERROR(VLOOKUP($D27,ARTICLES!$A$5:$S$2243,3,FALSE),"reference inconnue"))</f>
        <v/>
      </c>
      <c r="F27" s="17" t="n">
        <v>2</v>
      </c>
      <c r="G27" s="18">
        <f>IF($D27="","",IFERROR(VLOOKUP($D27,ARTICLES!$A$5:$S$2243,12,FALSE),0))</f>
        <v/>
      </c>
      <c r="H27" s="18">
        <f>IF(F27="","",G27-F27)</f>
        <v/>
      </c>
      <c r="I27" s="17" t="n">
        <v>2</v>
      </c>
      <c r="J27" s="17" t="inlineStr">
        <is>
          <t>Reappro poste avant changement d'equipe</t>
        </is>
      </c>
      <c r="K27" s="17" t="inlineStr">
        <is>
          <t>ST-034</t>
        </is>
      </c>
      <c r="L27" s="17" t="inlineStr">
        <is>
          <t>VALIDE</t>
        </is>
      </c>
      <c r="M27" s="17" t="inlineStr"/>
      <c r="N27" s="17" t="inlineStr"/>
      <c r="O27" s="17" t="inlineStr"/>
      <c r="P27" s="17" t="inlineStr">
        <is>
          <t>SYNCHRONISE</t>
        </is>
      </c>
      <c r="Q27" s="17" t="inlineStr"/>
      <c r="R27" s="17" t="inlineStr">
        <is>
          <t>PRODUCTION-HISTORIQUE-023</t>
        </is>
      </c>
      <c r="S27" s="17" t="inlineStr"/>
    </row>
    <row r="28">
      <c r="A28" s="17" t="inlineStr">
        <is>
          <t>PR-2026-093</t>
        </is>
      </c>
      <c r="B28" s="18" t="inlineStr">
        <is>
          <t>28/08/2026</t>
        </is>
      </c>
      <c r="C28" s="17" t="inlineStr">
        <is>
          <t>ST-05</t>
        </is>
      </c>
      <c r="D28" s="17" t="inlineStr">
        <is>
          <t>WHAP-0103</t>
        </is>
      </c>
      <c r="E28" s="18">
        <f>IF($D28="","",IFERROR(VLOOKUP($D28,ARTICLES!$A$5:$S$2243,3,FALSE),"reference inconnue"))</f>
        <v/>
      </c>
      <c r="F28" s="17" t="n">
        <v>15</v>
      </c>
      <c r="G28" s="18">
        <f>IF($D28="","",IFERROR(VLOOKUP($D28,ARTICLES!$A$5:$S$2243,12,FALSE),0))</f>
        <v/>
      </c>
      <c r="H28" s="18">
        <f>IF(F28="","",G28-F28)</f>
        <v/>
      </c>
      <c r="I28" s="17" t="n">
        <v>3</v>
      </c>
      <c r="J28" s="17" t="inlineStr">
        <is>
          <t>Besoin planifie semaine suivante</t>
        </is>
      </c>
      <c r="K28" s="17" t="inlineStr">
        <is>
          <t>ST-034</t>
        </is>
      </c>
      <c r="L28" s="17" t="inlineStr">
        <is>
          <t>VALIDE</t>
        </is>
      </c>
      <c r="M28" s="17" t="inlineStr"/>
      <c r="N28" s="17" t="inlineStr"/>
      <c r="O28" s="17" t="inlineStr"/>
      <c r="P28" s="17" t="inlineStr">
        <is>
          <t>SYNCHRONISE</t>
        </is>
      </c>
      <c r="Q28" s="17" t="inlineStr"/>
      <c r="R28" s="17" t="inlineStr">
        <is>
          <t>PRODUCTION-HISTORIQUE-024</t>
        </is>
      </c>
      <c r="S28" s="17" t="inlineStr"/>
    </row>
    <row r="29">
      <c r="A29" s="17" t="inlineStr">
        <is>
          <t>PR-2026-092</t>
        </is>
      </c>
      <c r="B29" s="18" t="inlineStr">
        <is>
          <t>28/08/2026</t>
        </is>
      </c>
      <c r="C29" s="17" t="inlineStr">
        <is>
          <t>ST-06</t>
        </is>
      </c>
      <c r="D29" s="17" t="inlineStr">
        <is>
          <t>SEC-001</t>
        </is>
      </c>
      <c r="E29" s="18">
        <f>IF($D29="","",IFERROR(VLOOKUP($D29,ARTICLES!$A$5:$S$2243,3,FALSE),"reference inconnue"))</f>
        <v/>
      </c>
      <c r="F29" s="17" t="n">
        <v>15</v>
      </c>
      <c r="G29" s="18">
        <f>IF($D29="","",IFERROR(VLOOKUP($D29,ARTICLES!$A$5:$S$2243,12,FALSE),0))</f>
        <v/>
      </c>
      <c r="H29" s="18">
        <f>IF(F29="","",G29-F29)</f>
        <v/>
      </c>
      <c r="I29" s="17" t="n">
        <v>3</v>
      </c>
      <c r="J29" s="17" t="inlineStr">
        <is>
          <t>Besoin pour le lancement de serie</t>
        </is>
      </c>
      <c r="K29" s="17" t="inlineStr">
        <is>
          <t>ST-034</t>
        </is>
      </c>
      <c r="L29" s="17" t="inlineStr">
        <is>
          <t>VALIDE</t>
        </is>
      </c>
      <c r="M29" s="17" t="inlineStr"/>
      <c r="N29" s="17" t="inlineStr"/>
      <c r="O29" s="17" t="inlineStr"/>
      <c r="P29" s="17" t="inlineStr">
        <is>
          <t>SYNCHRONISE</t>
        </is>
      </c>
      <c r="Q29" s="17" t="inlineStr"/>
      <c r="R29" s="17" t="inlineStr">
        <is>
          <t>PRODUCTION-HISTORIQUE-025</t>
        </is>
      </c>
      <c r="S29" s="17" t="inlineStr"/>
    </row>
    <row r="30">
      <c r="A30" s="17" t="inlineStr">
        <is>
          <t>PR-2026-091</t>
        </is>
      </c>
      <c r="B30" s="18" t="inlineStr">
        <is>
          <t>28/08/2026</t>
        </is>
      </c>
      <c r="C30" s="17" t="inlineStr">
        <is>
          <t>ST-04</t>
        </is>
      </c>
      <c r="D30" s="17" t="inlineStr">
        <is>
          <t>WHAP-0270</t>
        </is>
      </c>
      <c r="E30" s="18">
        <f>IF($D30="","",IFERROR(VLOOKUP($D30,ARTICLES!$A$5:$S$2243,3,FALSE),"reference inconnue"))</f>
        <v/>
      </c>
      <c r="F30" s="17" t="n">
        <v>4</v>
      </c>
      <c r="G30" s="18">
        <f>IF($D30="","",IFERROR(VLOOKUP($D30,ARTICLES!$A$5:$S$2243,12,FALSE),0))</f>
        <v/>
      </c>
      <c r="H30" s="18">
        <f>IF(F30="","",G30-F30)</f>
        <v/>
      </c>
      <c r="I30" s="17" t="n">
        <v>2</v>
      </c>
      <c r="J30" s="17" t="inlineStr">
        <is>
          <t>Besoin pour le lancement de serie</t>
        </is>
      </c>
      <c r="K30" s="17" t="inlineStr">
        <is>
          <t>ST-034</t>
        </is>
      </c>
      <c r="L30" s="17" t="inlineStr">
        <is>
          <t>VALIDE</t>
        </is>
      </c>
      <c r="M30" s="17" t="inlineStr"/>
      <c r="N30" s="17" t="inlineStr"/>
      <c r="O30" s="17" t="inlineStr"/>
      <c r="P30" s="17" t="inlineStr">
        <is>
          <t>SYNCHRONISE</t>
        </is>
      </c>
      <c r="Q30" s="17" t="inlineStr"/>
      <c r="R30" s="17" t="inlineStr">
        <is>
          <t>PRODUCTION-HISTORIQUE-026</t>
        </is>
      </c>
      <c r="S30" s="17" t="inlineStr"/>
    </row>
    <row r="31">
      <c r="A31" s="17" t="inlineStr">
        <is>
          <t>PR-2026-090</t>
        </is>
      </c>
      <c r="B31" s="18" t="inlineStr">
        <is>
          <t>27/08/2026</t>
        </is>
      </c>
      <c r="C31" s="17" t="inlineStr">
        <is>
          <t>ST-05</t>
        </is>
      </c>
      <c r="D31" s="17" t="inlineStr">
        <is>
          <t>EPI-001</t>
        </is>
      </c>
      <c r="E31" s="18">
        <f>IF($D31="","",IFERROR(VLOOKUP($D31,ARTICLES!$A$5:$S$2243,3,FALSE),"reference inconnue"))</f>
        <v/>
      </c>
      <c r="F31" s="17" t="n">
        <v>30</v>
      </c>
      <c r="G31" s="18">
        <f>IF($D31="","",IFERROR(VLOOKUP($D31,ARTICLES!$A$5:$S$2243,12,FALSE),0))</f>
        <v/>
      </c>
      <c r="H31" s="18">
        <f>IF(F31="","",G31-F31)</f>
        <v/>
      </c>
      <c r="I31" s="17" t="n">
        <v>3</v>
      </c>
      <c r="J31" s="17" t="inlineStr">
        <is>
          <t>Complement suite a rebut ligne</t>
        </is>
      </c>
      <c r="K31" s="17" t="inlineStr">
        <is>
          <t>ST-012</t>
        </is>
      </c>
      <c r="L31" s="17" t="inlineStr">
        <is>
          <t>VALIDE</t>
        </is>
      </c>
      <c r="M31" s="17" t="inlineStr"/>
      <c r="N31" s="17" t="inlineStr"/>
      <c r="O31" s="17" t="inlineStr"/>
      <c r="P31" s="17" t="inlineStr">
        <is>
          <t>SYNCHRONISE</t>
        </is>
      </c>
      <c r="Q31" s="17" t="inlineStr"/>
      <c r="R31" s="17" t="inlineStr">
        <is>
          <t>PRODUCTION-HISTORIQUE-027</t>
        </is>
      </c>
      <c r="S31" s="17" t="inlineStr"/>
    </row>
    <row r="32">
      <c r="A32" s="17" t="inlineStr">
        <is>
          <t>PR-2026-089</t>
        </is>
      </c>
      <c r="B32" s="18" t="inlineStr">
        <is>
          <t>27/08/2026</t>
        </is>
      </c>
      <c r="C32" s="17" t="inlineStr">
        <is>
          <t>ST-01</t>
        </is>
      </c>
      <c r="D32" s="17" t="inlineStr">
        <is>
          <t>WHAP-0151</t>
        </is>
      </c>
      <c r="E32" s="18">
        <f>IF($D32="","",IFERROR(VLOOKUP($D32,ARTICLES!$A$5:$S$2243,3,FALSE),"reference inconnue"))</f>
        <v/>
      </c>
      <c r="F32" s="17" t="n">
        <v>10</v>
      </c>
      <c r="G32" s="18">
        <f>IF($D32="","",IFERROR(VLOOKUP($D32,ARTICLES!$A$5:$S$2243,12,FALSE),0))</f>
        <v/>
      </c>
      <c r="H32" s="18">
        <f>IF(F32="","",G32-F32)</f>
        <v/>
      </c>
      <c r="I32" s="17" t="n">
        <v>1</v>
      </c>
      <c r="J32" s="17" t="inlineStr">
        <is>
          <t>Preparation du chantier de nuit</t>
        </is>
      </c>
      <c r="K32" s="17" t="inlineStr">
        <is>
          <t>ST-021</t>
        </is>
      </c>
      <c r="L32" s="17" t="inlineStr">
        <is>
          <t>VALIDE</t>
        </is>
      </c>
      <c r="M32" s="17" t="inlineStr"/>
      <c r="N32" s="17" t="inlineStr"/>
      <c r="O32" s="17" t="inlineStr"/>
      <c r="P32" s="17" t="inlineStr">
        <is>
          <t>SYNCHRONISE</t>
        </is>
      </c>
      <c r="Q32" s="17" t="inlineStr"/>
      <c r="R32" s="17" t="inlineStr">
        <is>
          <t>PRODUCTION-HISTORIQUE-028</t>
        </is>
      </c>
      <c r="S32" s="17" t="inlineStr"/>
    </row>
    <row r="33">
      <c r="A33" s="17" t="inlineStr">
        <is>
          <t>PR-2026-088</t>
        </is>
      </c>
      <c r="B33" s="18" t="inlineStr">
        <is>
          <t>27/08/2026</t>
        </is>
      </c>
      <c r="C33" s="17" t="inlineStr">
        <is>
          <t>ST-02</t>
        </is>
      </c>
      <c r="D33" s="17" t="inlineStr">
        <is>
          <t>WHAP-0551</t>
        </is>
      </c>
      <c r="E33" s="18">
        <f>IF($D33="","",IFERROR(VLOOKUP($D33,ARTICLES!$A$5:$S$2243,3,FALSE),"reference inconnue"))</f>
        <v/>
      </c>
      <c r="F33" s="17" t="n">
        <v>6</v>
      </c>
      <c r="G33" s="18">
        <f>IF($D33="","",IFERROR(VLOOKUP($D33,ARTICLES!$A$5:$S$2243,12,FALSE),0))</f>
        <v/>
      </c>
      <c r="H33" s="18">
        <f>IF(F33="","",G33-F33)</f>
        <v/>
      </c>
      <c r="I33" s="17" t="n">
        <v>3</v>
      </c>
      <c r="J33" s="17" t="inlineStr">
        <is>
          <t>Besoin pour le lancement de serie</t>
        </is>
      </c>
      <c r="K33" s="17" t="inlineStr">
        <is>
          <t>ST-034</t>
        </is>
      </c>
      <c r="L33" s="17" t="inlineStr">
        <is>
          <t>VALIDE</t>
        </is>
      </c>
      <c r="M33" s="17" t="inlineStr"/>
      <c r="N33" s="17" t="inlineStr"/>
      <c r="O33" s="17" t="inlineStr"/>
      <c r="P33" s="17" t="inlineStr">
        <is>
          <t>SYNCHRONISE</t>
        </is>
      </c>
      <c r="Q33" s="17" t="inlineStr"/>
      <c r="R33" s="17" t="inlineStr">
        <is>
          <t>PRODUCTION-HISTORIQUE-029</t>
        </is>
      </c>
      <c r="S33" s="17" t="inlineStr"/>
    </row>
    <row r="34">
      <c r="A34" s="17" t="inlineStr">
        <is>
          <t>PR-2026-087</t>
        </is>
      </c>
      <c r="B34" s="18" t="inlineStr">
        <is>
          <t>27/08/2026</t>
        </is>
      </c>
      <c r="C34" s="17" t="inlineStr">
        <is>
          <t>ST-05</t>
        </is>
      </c>
      <c r="D34" s="17" t="inlineStr">
        <is>
          <t>WHAP-0056</t>
        </is>
      </c>
      <c r="E34" s="18">
        <f>IF($D34="","",IFERROR(VLOOKUP($D34,ARTICLES!$A$5:$S$2243,3,FALSE),"reference inconnue"))</f>
        <v/>
      </c>
      <c r="F34" s="17" t="n">
        <v>6</v>
      </c>
      <c r="G34" s="18">
        <f>IF($D34="","",IFERROR(VLOOKUP($D34,ARTICLES!$A$5:$S$2243,12,FALSE),0))</f>
        <v/>
      </c>
      <c r="H34" s="18">
        <f>IF(F34="","",G34-F34)</f>
        <v/>
      </c>
      <c r="I34" s="17" t="n">
        <v>2</v>
      </c>
      <c r="J34" s="17" t="inlineStr">
        <is>
          <t>Complement suite a rebut ligne</t>
        </is>
      </c>
      <c r="K34" s="17" t="inlineStr">
        <is>
          <t>ST-012</t>
        </is>
      </c>
      <c r="L34" s="17" t="inlineStr">
        <is>
          <t>VALIDE</t>
        </is>
      </c>
      <c r="M34" s="17" t="inlineStr"/>
      <c r="N34" s="17" t="inlineStr"/>
      <c r="O34" s="17" t="inlineStr"/>
      <c r="P34" s="17" t="inlineStr">
        <is>
          <t>SYNCHRONISE</t>
        </is>
      </c>
      <c r="Q34" s="17" t="inlineStr"/>
      <c r="R34" s="17" t="inlineStr">
        <is>
          <t>PRODUCTION-HISTORIQUE-030</t>
        </is>
      </c>
      <c r="S34" s="17" t="inlineStr"/>
    </row>
    <row r="35">
      <c r="A35" s="17" t="inlineStr">
        <is>
          <t>PR-2026-086</t>
        </is>
      </c>
      <c r="B35" s="18" t="inlineStr">
        <is>
          <t>27/08/2026</t>
        </is>
      </c>
      <c r="C35" s="17" t="inlineStr">
        <is>
          <t>ST-08</t>
        </is>
      </c>
      <c r="D35" s="17" t="inlineStr">
        <is>
          <t>WHAP-0295</t>
        </is>
      </c>
      <c r="E35" s="18">
        <f>IF($D35="","",IFERROR(VLOOKUP($D35,ARTICLES!$A$5:$S$2243,3,FALSE),"reference inconnue"))</f>
        <v/>
      </c>
      <c r="F35" s="17" t="n">
        <v>60</v>
      </c>
      <c r="G35" s="18">
        <f>IF($D35="","",IFERROR(VLOOKUP($D35,ARTICLES!$A$5:$S$2243,12,FALSE),0))</f>
        <v/>
      </c>
      <c r="H35" s="18">
        <f>IF(F35="","",G35-F35)</f>
        <v/>
      </c>
      <c r="I35" s="17" t="n">
        <v>2</v>
      </c>
      <c r="J35" s="17" t="inlineStr"/>
      <c r="K35" s="17" t="inlineStr">
        <is>
          <t>ST-034</t>
        </is>
      </c>
      <c r="L35" s="17" t="inlineStr">
        <is>
          <t>VALIDE</t>
        </is>
      </c>
      <c r="M35" s="17" t="inlineStr"/>
      <c r="N35" s="17" t="inlineStr"/>
      <c r="O35" s="17" t="inlineStr"/>
      <c r="P35" s="17" t="inlineStr">
        <is>
          <t>SYNCHRONISE</t>
        </is>
      </c>
      <c r="Q35" s="17" t="inlineStr"/>
      <c r="R35" s="17" t="inlineStr">
        <is>
          <t>PRODUCTION-HISTORIQUE-031</t>
        </is>
      </c>
      <c r="S35" s="17" t="inlineStr"/>
    </row>
    <row r="36">
      <c r="A36" s="17" t="inlineStr">
        <is>
          <t>PR-2026-085</t>
        </is>
      </c>
      <c r="B36" s="18" t="inlineStr">
        <is>
          <t>27/08/2026</t>
        </is>
      </c>
      <c r="C36" s="17" t="inlineStr">
        <is>
          <t>ST-04</t>
        </is>
      </c>
      <c r="D36" s="17" t="inlineStr">
        <is>
          <t>WHAP-0366</t>
        </is>
      </c>
      <c r="E36" s="18">
        <f>IF($D36="","",IFERROR(VLOOKUP($D36,ARTICLES!$A$5:$S$2243,3,FALSE),"reference inconnue"))</f>
        <v/>
      </c>
      <c r="F36" s="17" t="n">
        <v>60</v>
      </c>
      <c r="G36" s="18">
        <f>IF($D36="","",IFERROR(VLOOKUP($D36,ARTICLES!$A$5:$S$2243,12,FALSE),0))</f>
        <v/>
      </c>
      <c r="H36" s="18">
        <f>IF(F36="","",G36-F36)</f>
        <v/>
      </c>
      <c r="I36" s="17" t="n">
        <v>1</v>
      </c>
      <c r="J36" s="17" t="inlineStr">
        <is>
          <t>Besoin pour le lancement de serie</t>
        </is>
      </c>
      <c r="K36" s="17" t="inlineStr">
        <is>
          <t>ST-012</t>
        </is>
      </c>
      <c r="L36" s="17" t="inlineStr">
        <is>
          <t>VALIDE</t>
        </is>
      </c>
      <c r="M36" s="17" t="inlineStr"/>
      <c r="N36" s="17" t="inlineStr"/>
      <c r="O36" s="17" t="inlineStr"/>
      <c r="P36" s="17" t="inlineStr">
        <is>
          <t>SYNCHRONISE</t>
        </is>
      </c>
      <c r="Q36" s="17" t="inlineStr"/>
      <c r="R36" s="17" t="inlineStr">
        <is>
          <t>PRODUCTION-HISTORIQUE-032</t>
        </is>
      </c>
      <c r="S36" s="17" t="inlineStr"/>
    </row>
    <row r="37">
      <c r="A37" s="17" t="inlineStr">
        <is>
          <t>PR-2026-084</t>
        </is>
      </c>
      <c r="B37" s="18" t="inlineStr">
        <is>
          <t>27/08/2026</t>
        </is>
      </c>
      <c r="C37" s="17" t="inlineStr">
        <is>
          <t>ST-05</t>
        </is>
      </c>
      <c r="D37" s="17" t="inlineStr">
        <is>
          <t>EPI-002</t>
        </is>
      </c>
      <c r="E37" s="18">
        <f>IF($D37="","",IFERROR(VLOOKUP($D37,ARTICLES!$A$5:$S$2243,3,FALSE),"reference inconnue"))</f>
        <v/>
      </c>
      <c r="F37" s="17" t="n">
        <v>20</v>
      </c>
      <c r="G37" s="18">
        <f>IF($D37="","",IFERROR(VLOOKUP($D37,ARTICLES!$A$5:$S$2243,12,FALSE),0))</f>
        <v/>
      </c>
      <c r="H37" s="18">
        <f>IF(F37="","",G37-F37)</f>
        <v/>
      </c>
      <c r="I37" s="17" t="n">
        <v>2</v>
      </c>
      <c r="J37" s="17" t="inlineStr">
        <is>
          <t>Preparation du chantier de nuit</t>
        </is>
      </c>
      <c r="K37" s="17" t="inlineStr">
        <is>
          <t>ST-034</t>
        </is>
      </c>
      <c r="L37" s="17" t="inlineStr">
        <is>
          <t>VALIDE</t>
        </is>
      </c>
      <c r="M37" s="17" t="inlineStr"/>
      <c r="N37" s="17" t="inlineStr"/>
      <c r="O37" s="17" t="inlineStr"/>
      <c r="P37" s="17" t="inlineStr">
        <is>
          <t>SYNCHRONISE</t>
        </is>
      </c>
      <c r="Q37" s="17" t="inlineStr"/>
      <c r="R37" s="17" t="inlineStr">
        <is>
          <t>PRODUCTION-HISTORIQUE-033</t>
        </is>
      </c>
      <c r="S37" s="17" t="inlineStr"/>
    </row>
    <row r="38">
      <c r="A38" s="17" t="inlineStr">
        <is>
          <t>PR-2026-083</t>
        </is>
      </c>
      <c r="B38" s="18" t="inlineStr">
        <is>
          <t>27/08/2026</t>
        </is>
      </c>
      <c r="C38" s="17" t="inlineStr">
        <is>
          <t>ST-02</t>
        </is>
      </c>
      <c r="D38" s="17" t="inlineStr">
        <is>
          <t>WHAP-0056</t>
        </is>
      </c>
      <c r="E38" s="18">
        <f>IF($D38="","",IFERROR(VLOOKUP($D38,ARTICLES!$A$5:$S$2243,3,FALSE),"reference inconnue"))</f>
        <v/>
      </c>
      <c r="F38" s="17" t="n">
        <v>8</v>
      </c>
      <c r="G38" s="18">
        <f>IF($D38="","",IFERROR(VLOOKUP($D38,ARTICLES!$A$5:$S$2243,12,FALSE),0))</f>
        <v/>
      </c>
      <c r="H38" s="18">
        <f>IF(F38="","",G38-F38)</f>
        <v/>
      </c>
      <c r="I38" s="17" t="n">
        <v>2</v>
      </c>
      <c r="J38" s="17" t="inlineStr"/>
      <c r="K38" s="17" t="inlineStr">
        <is>
          <t>ST-012</t>
        </is>
      </c>
      <c r="L38" s="17" t="inlineStr">
        <is>
          <t>VALIDE</t>
        </is>
      </c>
      <c r="M38" s="17" t="inlineStr"/>
      <c r="N38" s="17" t="inlineStr"/>
      <c r="O38" s="17" t="inlineStr"/>
      <c r="P38" s="17" t="inlineStr">
        <is>
          <t>SYNCHRONISE</t>
        </is>
      </c>
      <c r="Q38" s="17" t="inlineStr"/>
      <c r="R38" s="17" t="inlineStr">
        <is>
          <t>PRODUCTION-HISTORIQUE-034</t>
        </is>
      </c>
      <c r="S38" s="17" t="inlineStr"/>
    </row>
    <row r="39">
      <c r="A39" s="17" t="inlineStr">
        <is>
          <t>PR-2026-082</t>
        </is>
      </c>
      <c r="B39" s="18" t="inlineStr">
        <is>
          <t>26/08/2026</t>
        </is>
      </c>
      <c r="C39" s="17" t="inlineStr">
        <is>
          <t>ST-04</t>
        </is>
      </c>
      <c r="D39" s="17" t="inlineStr">
        <is>
          <t>WHAP-0395</t>
        </is>
      </c>
      <c r="E39" s="18">
        <f>IF($D39="","",IFERROR(VLOOKUP($D39,ARTICLES!$A$5:$S$2243,3,FALSE),"reference inconnue"))</f>
        <v/>
      </c>
      <c r="F39" s="17" t="n">
        <v>30</v>
      </c>
      <c r="G39" s="18">
        <f>IF($D39="","",IFERROR(VLOOKUP($D39,ARTICLES!$A$5:$S$2243,12,FALSE),0))</f>
        <v/>
      </c>
      <c r="H39" s="18">
        <f>IF(F39="","",G39-F39)</f>
        <v/>
      </c>
      <c r="I39" s="17" t="n">
        <v>2</v>
      </c>
      <c r="J39" s="17" t="inlineStr">
        <is>
          <t>Complement suite a rebut ligne</t>
        </is>
      </c>
      <c r="K39" s="17" t="inlineStr">
        <is>
          <t>ST-034</t>
        </is>
      </c>
      <c r="L39" s="17" t="inlineStr">
        <is>
          <t>VALIDE</t>
        </is>
      </c>
      <c r="M39" s="17" t="inlineStr"/>
      <c r="N39" s="17" t="inlineStr"/>
      <c r="O39" s="17" t="inlineStr"/>
      <c r="P39" s="17" t="inlineStr">
        <is>
          <t>SYNCHRONISE</t>
        </is>
      </c>
      <c r="Q39" s="17" t="inlineStr"/>
      <c r="R39" s="17" t="inlineStr">
        <is>
          <t>PRODUCTION-HISTORIQUE-035</t>
        </is>
      </c>
      <c r="S39" s="17" t="inlineStr"/>
    </row>
    <row r="40">
      <c r="A40" s="17" t="inlineStr">
        <is>
          <t>PR-2026-081</t>
        </is>
      </c>
      <c r="B40" s="18" t="inlineStr">
        <is>
          <t>26/08/2026</t>
        </is>
      </c>
      <c r="C40" s="17" t="inlineStr">
        <is>
          <t>ST-05</t>
        </is>
      </c>
      <c r="D40" s="17" t="inlineStr">
        <is>
          <t>WHAP-0366</t>
        </is>
      </c>
      <c r="E40" s="18">
        <f>IF($D40="","",IFERROR(VLOOKUP($D40,ARTICLES!$A$5:$S$2243,3,FALSE),"reference inconnue"))</f>
        <v/>
      </c>
      <c r="F40" s="17" t="n">
        <v>120</v>
      </c>
      <c r="G40" s="18">
        <f>IF($D40="","",IFERROR(VLOOKUP($D40,ARTICLES!$A$5:$S$2243,12,FALSE),0))</f>
        <v/>
      </c>
      <c r="H40" s="18">
        <f>IF(F40="","",G40-F40)</f>
        <v/>
      </c>
      <c r="I40" s="17" t="n">
        <v>3</v>
      </c>
      <c r="J40" s="17" t="inlineStr">
        <is>
          <t>Besoin planifie semaine suivante</t>
        </is>
      </c>
      <c r="K40" s="17" t="inlineStr">
        <is>
          <t>ST-012</t>
        </is>
      </c>
      <c r="L40" s="17" t="inlineStr">
        <is>
          <t>VALIDE</t>
        </is>
      </c>
      <c r="M40" s="17" t="inlineStr"/>
      <c r="N40" s="17" t="inlineStr"/>
      <c r="O40" s="17" t="inlineStr"/>
      <c r="P40" s="17" t="inlineStr">
        <is>
          <t>SYNCHRONISE</t>
        </is>
      </c>
      <c r="Q40" s="17" t="inlineStr"/>
      <c r="R40" s="17" t="inlineStr">
        <is>
          <t>PRODUCTION-HISTORIQUE-036</t>
        </is>
      </c>
      <c r="S40" s="17" t="inlineStr"/>
    </row>
    <row r="41">
      <c r="A41" s="17" t="inlineStr">
        <is>
          <t>PR-2026-080</t>
        </is>
      </c>
      <c r="B41" s="18" t="inlineStr">
        <is>
          <t>26/08/2026</t>
        </is>
      </c>
      <c r="C41" s="17" t="inlineStr">
        <is>
          <t>ST-03</t>
        </is>
      </c>
      <c r="D41" s="17" t="inlineStr">
        <is>
          <t>ADH-003</t>
        </is>
      </c>
      <c r="E41" s="18">
        <f>IF($D41="","",IFERROR(VLOOKUP($D41,ARTICLES!$A$5:$S$2243,3,FALSE),"reference inconnue"))</f>
        <v/>
      </c>
      <c r="F41" s="17" t="n">
        <v>150</v>
      </c>
      <c r="G41" s="18">
        <f>IF($D41="","",IFERROR(VLOOKUP($D41,ARTICLES!$A$5:$S$2243,12,FALSE),0))</f>
        <v/>
      </c>
      <c r="H41" s="18">
        <f>IF(F41="","",G41-F41)</f>
        <v/>
      </c>
      <c r="I41" s="17" t="n">
        <v>2</v>
      </c>
      <c r="J41" s="17" t="inlineStr"/>
      <c r="K41" s="17" t="inlineStr">
        <is>
          <t>ST-012</t>
        </is>
      </c>
      <c r="L41" s="17" t="inlineStr">
        <is>
          <t>VALIDE</t>
        </is>
      </c>
      <c r="M41" s="17" t="inlineStr"/>
      <c r="N41" s="17" t="inlineStr"/>
      <c r="O41" s="17" t="inlineStr"/>
      <c r="P41" s="17" t="inlineStr">
        <is>
          <t>SYNCHRONISE</t>
        </is>
      </c>
      <c r="Q41" s="17" t="inlineStr"/>
      <c r="R41" s="17" t="inlineStr">
        <is>
          <t>PRODUCTION-HISTORIQUE-037</t>
        </is>
      </c>
      <c r="S41" s="17" t="inlineStr"/>
    </row>
    <row r="42">
      <c r="A42" s="17" t="inlineStr">
        <is>
          <t>PR-2026-079</t>
        </is>
      </c>
      <c r="B42" s="18" t="inlineStr">
        <is>
          <t>26/08/2026</t>
        </is>
      </c>
      <c r="C42" s="17" t="inlineStr">
        <is>
          <t>ST-02</t>
        </is>
      </c>
      <c r="D42" s="17" t="inlineStr">
        <is>
          <t>WHAP-0224</t>
        </is>
      </c>
      <c r="E42" s="18">
        <f>IF($D42="","",IFERROR(VLOOKUP($D42,ARTICLES!$A$5:$S$2243,3,FALSE),"reference inconnue"))</f>
        <v/>
      </c>
      <c r="F42" s="17" t="n">
        <v>2</v>
      </c>
      <c r="G42" s="18">
        <f>IF($D42="","",IFERROR(VLOOKUP($D42,ARTICLES!$A$5:$S$2243,12,FALSE),0))</f>
        <v/>
      </c>
      <c r="H42" s="18">
        <f>IF(F42="","",G42-F42)</f>
        <v/>
      </c>
      <c r="I42" s="17" t="n">
        <v>2</v>
      </c>
      <c r="J42" s="17" t="inlineStr">
        <is>
          <t>Preparation du chantier de nuit</t>
        </is>
      </c>
      <c r="K42" s="17" t="inlineStr">
        <is>
          <t>ST-021</t>
        </is>
      </c>
      <c r="L42" s="17" t="inlineStr">
        <is>
          <t>VALIDE</t>
        </is>
      </c>
      <c r="M42" s="17" t="inlineStr"/>
      <c r="N42" s="17" t="inlineStr"/>
      <c r="O42" s="17" t="inlineStr"/>
      <c r="P42" s="17" t="inlineStr">
        <is>
          <t>SYNCHRONISE</t>
        </is>
      </c>
      <c r="Q42" s="17" t="inlineStr"/>
      <c r="R42" s="17" t="inlineStr">
        <is>
          <t>PRODUCTION-HISTORIQUE-038</t>
        </is>
      </c>
      <c r="S42" s="17" t="inlineStr"/>
    </row>
    <row r="43">
      <c r="A43" s="17" t="inlineStr">
        <is>
          <t>PR-2026-078</t>
        </is>
      </c>
      <c r="B43" s="18" t="inlineStr">
        <is>
          <t>26/08/2026</t>
        </is>
      </c>
      <c r="C43" s="17" t="inlineStr">
        <is>
          <t>ST-04</t>
        </is>
      </c>
      <c r="D43" s="17" t="inlineStr">
        <is>
          <t>WHAP-0497</t>
        </is>
      </c>
      <c r="E43" s="18">
        <f>IF($D43="","",IFERROR(VLOOKUP($D43,ARTICLES!$A$5:$S$2243,3,FALSE),"reference inconnue"))</f>
        <v/>
      </c>
      <c r="F43" s="17" t="n">
        <v>20</v>
      </c>
      <c r="G43" s="18">
        <f>IF($D43="","",IFERROR(VLOOKUP($D43,ARTICLES!$A$5:$S$2243,12,FALSE),0))</f>
        <v/>
      </c>
      <c r="H43" s="18">
        <f>IF(F43="","",G43-F43)</f>
        <v/>
      </c>
      <c r="I43" s="17" t="n">
        <v>1</v>
      </c>
      <c r="J43" s="17" t="inlineStr">
        <is>
          <t>Besoin planifie semaine suivante</t>
        </is>
      </c>
      <c r="K43" s="17" t="inlineStr">
        <is>
          <t>ST-021</t>
        </is>
      </c>
      <c r="L43" s="17" t="inlineStr">
        <is>
          <t>VALIDE</t>
        </is>
      </c>
      <c r="M43" s="17" t="inlineStr"/>
      <c r="N43" s="17" t="inlineStr"/>
      <c r="O43" s="17" t="inlineStr"/>
      <c r="P43" s="17" t="inlineStr">
        <is>
          <t>SYNCHRONISE</t>
        </is>
      </c>
      <c r="Q43" s="17" t="inlineStr"/>
      <c r="R43" s="17" t="inlineStr">
        <is>
          <t>PRODUCTION-HISTORIQUE-039</t>
        </is>
      </c>
      <c r="S43" s="17" t="inlineStr"/>
    </row>
    <row r="44">
      <c r="A44" s="17" t="inlineStr">
        <is>
          <t>PR-2026-077</t>
        </is>
      </c>
      <c r="B44" s="18" t="inlineStr">
        <is>
          <t>26/08/2026</t>
        </is>
      </c>
      <c r="C44" s="17" t="inlineStr">
        <is>
          <t>ST-01</t>
        </is>
      </c>
      <c r="D44" s="17" t="inlineStr">
        <is>
          <t>WHAP-0521</t>
        </is>
      </c>
      <c r="E44" s="18">
        <f>IF($D44="","",IFERROR(VLOOKUP($D44,ARTICLES!$A$5:$S$2243,3,FALSE),"reference inconnue"))</f>
        <v/>
      </c>
      <c r="F44" s="17" t="n">
        <v>6</v>
      </c>
      <c r="G44" s="18">
        <f>IF($D44="","",IFERROR(VLOOKUP($D44,ARTICLES!$A$5:$S$2243,12,FALSE),0))</f>
        <v/>
      </c>
      <c r="H44" s="18">
        <f>IF(F44="","",G44-F44)</f>
        <v/>
      </c>
      <c r="I44" s="17" t="n">
        <v>2</v>
      </c>
      <c r="J44" s="17" t="inlineStr">
        <is>
          <t>Reappro poste avant changement d'equipe</t>
        </is>
      </c>
      <c r="K44" s="17" t="inlineStr">
        <is>
          <t>ST-034</t>
        </is>
      </c>
      <c r="L44" s="17" t="inlineStr">
        <is>
          <t>VALIDE</t>
        </is>
      </c>
      <c r="M44" s="17" t="inlineStr"/>
      <c r="N44" s="17" t="inlineStr"/>
      <c r="O44" s="17" t="inlineStr"/>
      <c r="P44" s="17" t="inlineStr">
        <is>
          <t>SYNCHRONISE</t>
        </is>
      </c>
      <c r="Q44" s="17" t="inlineStr"/>
      <c r="R44" s="17" t="inlineStr">
        <is>
          <t>PRODUCTION-HISTORIQUE-040</t>
        </is>
      </c>
      <c r="S44" s="17" t="inlineStr"/>
    </row>
    <row r="45">
      <c r="A45" s="19" t="n"/>
      <c r="B45" s="18">
        <f>IF($A45="","",TEXT(TODAY(),"dd/mm/yyyy"))</f>
        <v/>
      </c>
      <c r="C45" s="19" t="n"/>
      <c r="D45" s="19" t="n"/>
      <c r="E45" s="18">
        <f>IF($D45="","",IFERROR(VLOOKUP($D45,ARTICLES!$A$5:$S$2243,3,FALSE),"reference inconnue"))</f>
        <v/>
      </c>
      <c r="F45" s="19" t="n"/>
      <c r="G45" s="18">
        <f>IF($D45="","",IFERROR(VLOOKUP($D45,ARTICLES!$A$5:$S$2243,12,FALSE),0))</f>
        <v/>
      </c>
      <c r="H45" s="18">
        <f>IF(F45="","",G45-F45)</f>
        <v/>
      </c>
      <c r="I45" s="19" t="n"/>
      <c r="J45" s="19" t="n"/>
      <c r="K45" s="19" t="n"/>
      <c r="L45" s="17" t="inlineStr">
        <is>
          <t>BROUILLON</t>
        </is>
      </c>
      <c r="M45" s="17" t="n"/>
      <c r="N45" s="17" t="n"/>
      <c r="O45" s="17" t="n"/>
      <c r="P45" s="17" t="n"/>
      <c r="Q45" s="17" t="n"/>
      <c r="R45" s="17" t="n"/>
      <c r="S45" s="17" t="n"/>
    </row>
    <row r="46">
      <c r="A46" s="19" t="n"/>
      <c r="B46" s="18">
        <f>IF($A46="","",TEXT(TODAY(),"dd/mm/yyyy"))</f>
        <v/>
      </c>
      <c r="C46" s="19" t="n"/>
      <c r="D46" s="19" t="n"/>
      <c r="E46" s="18">
        <f>IF($D46="","",IFERROR(VLOOKUP($D46,ARTICLES!$A$5:$S$2243,3,FALSE),"reference inconnue"))</f>
        <v/>
      </c>
      <c r="F46" s="19" t="n"/>
      <c r="G46" s="18">
        <f>IF($D46="","",IFERROR(VLOOKUP($D46,ARTICLES!$A$5:$S$2243,12,FALSE),0))</f>
        <v/>
      </c>
      <c r="H46" s="18">
        <f>IF(F46="","",G46-F46)</f>
        <v/>
      </c>
      <c r="I46" s="19" t="n"/>
      <c r="J46" s="19" t="n"/>
      <c r="K46" s="19" t="n"/>
      <c r="L46" s="17" t="inlineStr">
        <is>
          <t>BROUILLON</t>
        </is>
      </c>
      <c r="M46" s="17" t="n"/>
      <c r="N46" s="17" t="n"/>
      <c r="O46" s="17" t="n"/>
      <c r="P46" s="17" t="n"/>
      <c r="Q46" s="17" t="n"/>
      <c r="R46" s="17" t="n"/>
      <c r="S46" s="17" t="n"/>
    </row>
    <row r="47">
      <c r="A47" s="19" t="n"/>
      <c r="B47" s="18">
        <f>IF($A47="","",TEXT(TODAY(),"dd/mm/yyyy"))</f>
        <v/>
      </c>
      <c r="C47" s="19" t="n"/>
      <c r="D47" s="19" t="n"/>
      <c r="E47" s="18">
        <f>IF($D47="","",IFERROR(VLOOKUP($D47,ARTICLES!$A$5:$S$2243,3,FALSE),"reference inconnue"))</f>
        <v/>
      </c>
      <c r="F47" s="19" t="n"/>
      <c r="G47" s="18">
        <f>IF($D47="","",IFERROR(VLOOKUP($D47,ARTICLES!$A$5:$S$2243,12,FALSE),0))</f>
        <v/>
      </c>
      <c r="H47" s="18">
        <f>IF(F47="","",G47-F47)</f>
        <v/>
      </c>
      <c r="I47" s="19" t="n"/>
      <c r="J47" s="19" t="n"/>
      <c r="K47" s="19" t="n"/>
      <c r="L47" s="17" t="inlineStr">
        <is>
          <t>BROUILLON</t>
        </is>
      </c>
      <c r="M47" s="17" t="n"/>
      <c r="N47" s="17" t="n"/>
      <c r="O47" s="17" t="n"/>
      <c r="P47" s="17" t="n"/>
      <c r="Q47" s="17" t="n"/>
      <c r="R47" s="17" t="n"/>
      <c r="S47" s="17" t="n"/>
    </row>
    <row r="48">
      <c r="A48" s="19" t="n"/>
      <c r="B48" s="18">
        <f>IF($A48="","",TEXT(TODAY(),"dd/mm/yyyy"))</f>
        <v/>
      </c>
      <c r="C48" s="19" t="n"/>
      <c r="D48" s="19" t="n"/>
      <c r="E48" s="18">
        <f>IF($D48="","",IFERROR(VLOOKUP($D48,ARTICLES!$A$5:$S$2243,3,FALSE),"reference inconnue"))</f>
        <v/>
      </c>
      <c r="F48" s="19" t="n"/>
      <c r="G48" s="18">
        <f>IF($D48="","",IFERROR(VLOOKUP($D48,ARTICLES!$A$5:$S$2243,12,FALSE),0))</f>
        <v/>
      </c>
      <c r="H48" s="18">
        <f>IF(F48="","",G48-F48)</f>
        <v/>
      </c>
      <c r="I48" s="19" t="n"/>
      <c r="J48" s="19" t="n"/>
      <c r="K48" s="19" t="n"/>
      <c r="L48" s="17" t="inlineStr">
        <is>
          <t>BROUILLON</t>
        </is>
      </c>
      <c r="M48" s="17" t="n"/>
      <c r="N48" s="17" t="n"/>
      <c r="O48" s="17" t="n"/>
      <c r="P48" s="17" t="n"/>
      <c r="Q48" s="17" t="n"/>
      <c r="R48" s="17" t="n"/>
      <c r="S48" s="17" t="n"/>
    </row>
    <row r="49">
      <c r="A49" s="19" t="n"/>
      <c r="B49" s="18">
        <f>IF($A49="","",TEXT(TODAY(),"dd/mm/yyyy"))</f>
        <v/>
      </c>
      <c r="C49" s="19" t="n"/>
      <c r="D49" s="19" t="n"/>
      <c r="E49" s="18">
        <f>IF($D49="","",IFERROR(VLOOKUP($D49,ARTICLES!$A$5:$S$2243,3,FALSE),"reference inconnue"))</f>
        <v/>
      </c>
      <c r="F49" s="19" t="n"/>
      <c r="G49" s="18">
        <f>IF($D49="","",IFERROR(VLOOKUP($D49,ARTICLES!$A$5:$S$2243,12,FALSE),0))</f>
        <v/>
      </c>
      <c r="H49" s="18">
        <f>IF(F49="","",G49-F49)</f>
        <v/>
      </c>
      <c r="I49" s="19" t="n"/>
      <c r="J49" s="19" t="n"/>
      <c r="K49" s="19" t="n"/>
      <c r="L49" s="17" t="inlineStr">
        <is>
          <t>BROUILLON</t>
        </is>
      </c>
      <c r="M49" s="17" t="n"/>
      <c r="N49" s="17" t="n"/>
      <c r="O49" s="17" t="n"/>
      <c r="P49" s="17" t="n"/>
      <c r="Q49" s="17" t="n"/>
      <c r="R49" s="17" t="n"/>
      <c r="S49" s="17" t="n"/>
    </row>
    <row r="50">
      <c r="A50" s="19" t="n"/>
      <c r="B50" s="18">
        <f>IF($A50="","",TEXT(TODAY(),"dd/mm/yyyy"))</f>
        <v/>
      </c>
      <c r="C50" s="19" t="n"/>
      <c r="D50" s="19" t="n"/>
      <c r="E50" s="18">
        <f>IF($D50="","",IFERROR(VLOOKUP($D50,ARTICLES!$A$5:$S$2243,3,FALSE),"reference inconnue"))</f>
        <v/>
      </c>
      <c r="F50" s="19" t="n"/>
      <c r="G50" s="18">
        <f>IF($D50="","",IFERROR(VLOOKUP($D50,ARTICLES!$A$5:$S$2243,12,FALSE),0))</f>
        <v/>
      </c>
      <c r="H50" s="18">
        <f>IF(F50="","",G50-F50)</f>
        <v/>
      </c>
      <c r="I50" s="19" t="n"/>
      <c r="J50" s="19" t="n"/>
      <c r="K50" s="19" t="n"/>
      <c r="L50" s="17" t="inlineStr">
        <is>
          <t>BROUILLON</t>
        </is>
      </c>
      <c r="M50" s="17" t="n"/>
      <c r="N50" s="17" t="n"/>
      <c r="O50" s="17" t="n"/>
      <c r="P50" s="17" t="n"/>
      <c r="Q50" s="17" t="n"/>
      <c r="R50" s="17" t="n"/>
      <c r="S50" s="17" t="n"/>
    </row>
    <row r="51">
      <c r="A51" s="19" t="n"/>
      <c r="B51" s="18">
        <f>IF($A51="","",TEXT(TODAY(),"dd/mm/yyyy"))</f>
        <v/>
      </c>
      <c r="C51" s="19" t="n"/>
      <c r="D51" s="19" t="n"/>
      <c r="E51" s="18">
        <f>IF($D51="","",IFERROR(VLOOKUP($D51,ARTICLES!$A$5:$S$2243,3,FALSE),"reference inconnue"))</f>
        <v/>
      </c>
      <c r="F51" s="19" t="n"/>
      <c r="G51" s="18">
        <f>IF($D51="","",IFERROR(VLOOKUP($D51,ARTICLES!$A$5:$S$2243,12,FALSE),0))</f>
        <v/>
      </c>
      <c r="H51" s="18">
        <f>IF(F51="","",G51-F51)</f>
        <v/>
      </c>
      <c r="I51" s="19" t="n"/>
      <c r="J51" s="19" t="n"/>
      <c r="K51" s="19" t="n"/>
      <c r="L51" s="17" t="inlineStr">
        <is>
          <t>BROUILLON</t>
        </is>
      </c>
      <c r="M51" s="17" t="n"/>
      <c r="N51" s="17" t="n"/>
      <c r="O51" s="17" t="n"/>
      <c r="P51" s="17" t="n"/>
      <c r="Q51" s="17" t="n"/>
      <c r="R51" s="17" t="n"/>
      <c r="S51" s="17" t="n"/>
    </row>
    <row r="52">
      <c r="A52" s="19" t="n"/>
      <c r="B52" s="18">
        <f>IF($A52="","",TEXT(TODAY(),"dd/mm/yyyy"))</f>
        <v/>
      </c>
      <c r="C52" s="19" t="n"/>
      <c r="D52" s="19" t="n"/>
      <c r="E52" s="18">
        <f>IF($D52="","",IFERROR(VLOOKUP($D52,ARTICLES!$A$5:$S$2243,3,FALSE),"reference inconnue"))</f>
        <v/>
      </c>
      <c r="F52" s="19" t="n"/>
      <c r="G52" s="18">
        <f>IF($D52="","",IFERROR(VLOOKUP($D52,ARTICLES!$A$5:$S$2243,12,FALSE),0))</f>
        <v/>
      </c>
      <c r="H52" s="18">
        <f>IF(F52="","",G52-F52)</f>
        <v/>
      </c>
      <c r="I52" s="19" t="n"/>
      <c r="J52" s="19" t="n"/>
      <c r="K52" s="19" t="n"/>
      <c r="L52" s="17" t="inlineStr">
        <is>
          <t>BROUILLON</t>
        </is>
      </c>
      <c r="M52" s="17" t="n"/>
      <c r="N52" s="17" t="n"/>
      <c r="O52" s="17" t="n"/>
      <c r="P52" s="17" t="n"/>
      <c r="Q52" s="17" t="n"/>
      <c r="R52" s="17" t="n"/>
      <c r="S52" s="17" t="n"/>
    </row>
    <row r="53">
      <c r="A53" s="19" t="n"/>
      <c r="B53" s="18">
        <f>IF($A53="","",TEXT(TODAY(),"dd/mm/yyyy"))</f>
        <v/>
      </c>
      <c r="C53" s="19" t="n"/>
      <c r="D53" s="19" t="n"/>
      <c r="E53" s="18">
        <f>IF($D53="","",IFERROR(VLOOKUP($D53,ARTICLES!$A$5:$S$2243,3,FALSE),"reference inconnue"))</f>
        <v/>
      </c>
      <c r="F53" s="19" t="n"/>
      <c r="G53" s="18">
        <f>IF($D53="","",IFERROR(VLOOKUP($D53,ARTICLES!$A$5:$S$2243,12,FALSE),0))</f>
        <v/>
      </c>
      <c r="H53" s="18">
        <f>IF(F53="","",G53-F53)</f>
        <v/>
      </c>
      <c r="I53" s="19" t="n"/>
      <c r="J53" s="19" t="n"/>
      <c r="K53" s="19" t="n"/>
      <c r="L53" s="17" t="inlineStr">
        <is>
          <t>BROUILLON</t>
        </is>
      </c>
      <c r="M53" s="17" t="n"/>
      <c r="N53" s="17" t="n"/>
      <c r="O53" s="17" t="n"/>
      <c r="P53" s="17" t="n"/>
      <c r="Q53" s="17" t="n"/>
      <c r="R53" s="17" t="n"/>
      <c r="S53" s="17" t="n"/>
    </row>
    <row r="54">
      <c r="A54" s="19" t="n"/>
      <c r="B54" s="18">
        <f>IF($A54="","",TEXT(TODAY(),"dd/mm/yyyy"))</f>
        <v/>
      </c>
      <c r="C54" s="19" t="n"/>
      <c r="D54" s="19" t="n"/>
      <c r="E54" s="18">
        <f>IF($D54="","",IFERROR(VLOOKUP($D54,ARTICLES!$A$5:$S$2243,3,FALSE),"reference inconnue"))</f>
        <v/>
      </c>
      <c r="F54" s="19" t="n"/>
      <c r="G54" s="18">
        <f>IF($D54="","",IFERROR(VLOOKUP($D54,ARTICLES!$A$5:$S$2243,12,FALSE),0))</f>
        <v/>
      </c>
      <c r="H54" s="18">
        <f>IF(F54="","",G54-F54)</f>
        <v/>
      </c>
      <c r="I54" s="19" t="n"/>
      <c r="J54" s="19" t="n"/>
      <c r="K54" s="19" t="n"/>
      <c r="L54" s="17" t="inlineStr">
        <is>
          <t>BROUILLON</t>
        </is>
      </c>
      <c r="M54" s="17" t="n"/>
      <c r="N54" s="17" t="n"/>
      <c r="O54" s="17" t="n"/>
      <c r="P54" s="17" t="n"/>
      <c r="Q54" s="17" t="n"/>
      <c r="R54" s="17" t="n"/>
      <c r="S54" s="17" t="n"/>
    </row>
    <row r="55">
      <c r="A55" s="19" t="n"/>
      <c r="B55" s="18">
        <f>IF($A55="","",TEXT(TODAY(),"dd/mm/yyyy"))</f>
        <v/>
      </c>
      <c r="C55" s="19" t="n"/>
      <c r="D55" s="19" t="n"/>
      <c r="E55" s="18">
        <f>IF($D55="","",IFERROR(VLOOKUP($D55,ARTICLES!$A$5:$S$2243,3,FALSE),"reference inconnue"))</f>
        <v/>
      </c>
      <c r="F55" s="19" t="n"/>
      <c r="G55" s="18">
        <f>IF($D55="","",IFERROR(VLOOKUP($D55,ARTICLES!$A$5:$S$2243,12,FALSE),0))</f>
        <v/>
      </c>
      <c r="H55" s="18">
        <f>IF(F55="","",G55-F55)</f>
        <v/>
      </c>
      <c r="I55" s="19" t="n"/>
      <c r="J55" s="19" t="n"/>
      <c r="K55" s="19" t="n"/>
      <c r="L55" s="17" t="inlineStr">
        <is>
          <t>BROUILLON</t>
        </is>
      </c>
      <c r="M55" s="17" t="n"/>
      <c r="N55" s="17" t="n"/>
      <c r="O55" s="17" t="n"/>
      <c r="P55" s="17" t="n"/>
      <c r="Q55" s="17" t="n"/>
      <c r="R55" s="17" t="n"/>
      <c r="S55" s="17" t="n"/>
    </row>
    <row r="56">
      <c r="A56" s="19" t="n"/>
      <c r="B56" s="18">
        <f>IF($A56="","",TEXT(TODAY(),"dd/mm/yyyy"))</f>
        <v/>
      </c>
      <c r="C56" s="19" t="n"/>
      <c r="D56" s="19" t="n"/>
      <c r="E56" s="18">
        <f>IF($D56="","",IFERROR(VLOOKUP($D56,ARTICLES!$A$5:$S$2243,3,FALSE),"reference inconnue"))</f>
        <v/>
      </c>
      <c r="F56" s="19" t="n"/>
      <c r="G56" s="18">
        <f>IF($D56="","",IFERROR(VLOOKUP($D56,ARTICLES!$A$5:$S$2243,12,FALSE),0))</f>
        <v/>
      </c>
      <c r="H56" s="18">
        <f>IF(F56="","",G56-F56)</f>
        <v/>
      </c>
      <c r="I56" s="19" t="n"/>
      <c r="J56" s="19" t="n"/>
      <c r="K56" s="19" t="n"/>
      <c r="L56" s="17" t="inlineStr">
        <is>
          <t>BROUILLON</t>
        </is>
      </c>
      <c r="M56" s="17" t="n"/>
      <c r="N56" s="17" t="n"/>
      <c r="O56" s="17" t="n"/>
      <c r="P56" s="17" t="n"/>
      <c r="Q56" s="17" t="n"/>
      <c r="R56" s="17" t="n"/>
      <c r="S56" s="17" t="n"/>
    </row>
    <row r="57">
      <c r="A57" s="19" t="n"/>
      <c r="B57" s="18">
        <f>IF($A57="","",TEXT(TODAY(),"dd/mm/yyyy"))</f>
        <v/>
      </c>
      <c r="C57" s="19" t="n"/>
      <c r="D57" s="19" t="n"/>
      <c r="E57" s="18">
        <f>IF($D57="","",IFERROR(VLOOKUP($D57,ARTICLES!$A$5:$S$2243,3,FALSE),"reference inconnue"))</f>
        <v/>
      </c>
      <c r="F57" s="19" t="n"/>
      <c r="G57" s="18">
        <f>IF($D57="","",IFERROR(VLOOKUP($D57,ARTICLES!$A$5:$S$2243,12,FALSE),0))</f>
        <v/>
      </c>
      <c r="H57" s="18">
        <f>IF(F57="","",G57-F57)</f>
        <v/>
      </c>
      <c r="I57" s="19" t="n"/>
      <c r="J57" s="19" t="n"/>
      <c r="K57" s="19" t="n"/>
      <c r="L57" s="17" t="inlineStr">
        <is>
          <t>BROUILLON</t>
        </is>
      </c>
      <c r="M57" s="17" t="n"/>
      <c r="N57" s="17" t="n"/>
      <c r="O57" s="17" t="n"/>
      <c r="P57" s="17" t="n"/>
      <c r="Q57" s="17" t="n"/>
      <c r="R57" s="17" t="n"/>
      <c r="S57" s="17" t="n"/>
    </row>
    <row r="58">
      <c r="A58" s="19" t="n"/>
      <c r="B58" s="18">
        <f>IF($A58="","",TEXT(TODAY(),"dd/mm/yyyy"))</f>
        <v/>
      </c>
      <c r="C58" s="19" t="n"/>
      <c r="D58" s="19" t="n"/>
      <c r="E58" s="18">
        <f>IF($D58="","",IFERROR(VLOOKUP($D58,ARTICLES!$A$5:$S$2243,3,FALSE),"reference inconnue"))</f>
        <v/>
      </c>
      <c r="F58" s="19" t="n"/>
      <c r="G58" s="18">
        <f>IF($D58="","",IFERROR(VLOOKUP($D58,ARTICLES!$A$5:$S$2243,12,FALSE),0))</f>
        <v/>
      </c>
      <c r="H58" s="18">
        <f>IF(F58="","",G58-F58)</f>
        <v/>
      </c>
      <c r="I58" s="19" t="n"/>
      <c r="J58" s="19" t="n"/>
      <c r="K58" s="19" t="n"/>
      <c r="L58" s="17" t="inlineStr">
        <is>
          <t>BROUILLON</t>
        </is>
      </c>
      <c r="M58" s="17" t="n"/>
      <c r="N58" s="17" t="n"/>
      <c r="O58" s="17" t="n"/>
      <c r="P58" s="17" t="n"/>
      <c r="Q58" s="17" t="n"/>
      <c r="R58" s="17" t="n"/>
      <c r="S58" s="17" t="n"/>
    </row>
    <row r="59">
      <c r="A59" s="19" t="n"/>
      <c r="B59" s="18">
        <f>IF($A59="","",TEXT(TODAY(),"dd/mm/yyyy"))</f>
        <v/>
      </c>
      <c r="C59" s="19" t="n"/>
      <c r="D59" s="19" t="n"/>
      <c r="E59" s="18">
        <f>IF($D59="","",IFERROR(VLOOKUP($D59,ARTICLES!$A$5:$S$2243,3,FALSE),"reference inconnue"))</f>
        <v/>
      </c>
      <c r="F59" s="19" t="n"/>
      <c r="G59" s="18">
        <f>IF($D59="","",IFERROR(VLOOKUP($D59,ARTICLES!$A$5:$S$2243,12,FALSE),0))</f>
        <v/>
      </c>
      <c r="H59" s="18">
        <f>IF(F59="","",G59-F59)</f>
        <v/>
      </c>
      <c r="I59" s="19" t="n"/>
      <c r="J59" s="19" t="n"/>
      <c r="K59" s="19" t="n"/>
      <c r="L59" s="17" t="inlineStr">
        <is>
          <t>BROUILLON</t>
        </is>
      </c>
      <c r="M59" s="17" t="n"/>
      <c r="N59" s="17" t="n"/>
      <c r="O59" s="17" t="n"/>
      <c r="P59" s="17" t="n"/>
      <c r="Q59" s="17" t="n"/>
      <c r="R59" s="17" t="n"/>
      <c r="S59" s="17" t="n"/>
    </row>
    <row r="60">
      <c r="A60" s="19" t="n"/>
      <c r="B60" s="18">
        <f>IF($A60="","",TEXT(TODAY(),"dd/mm/yyyy"))</f>
        <v/>
      </c>
      <c r="C60" s="19" t="n"/>
      <c r="D60" s="19" t="n"/>
      <c r="E60" s="18">
        <f>IF($D60="","",IFERROR(VLOOKUP($D60,ARTICLES!$A$5:$S$2243,3,FALSE),"reference inconnue"))</f>
        <v/>
      </c>
      <c r="F60" s="19" t="n"/>
      <c r="G60" s="18">
        <f>IF($D60="","",IFERROR(VLOOKUP($D60,ARTICLES!$A$5:$S$2243,12,FALSE),0))</f>
        <v/>
      </c>
      <c r="H60" s="18">
        <f>IF(F60="","",G60-F60)</f>
        <v/>
      </c>
      <c r="I60" s="19" t="n"/>
      <c r="J60" s="19" t="n"/>
      <c r="K60" s="19" t="n"/>
      <c r="L60" s="17" t="inlineStr">
        <is>
          <t>BROUILLON</t>
        </is>
      </c>
      <c r="M60" s="17" t="n"/>
      <c r="N60" s="17" t="n"/>
      <c r="O60" s="17" t="n"/>
      <c r="P60" s="17" t="n"/>
      <c r="Q60" s="17" t="n"/>
      <c r="R60" s="17" t="n"/>
      <c r="S60" s="17" t="n"/>
    </row>
    <row r="61">
      <c r="A61" s="19" t="n"/>
      <c r="B61" s="18">
        <f>IF($A61="","",TEXT(TODAY(),"dd/mm/yyyy"))</f>
        <v/>
      </c>
      <c r="C61" s="19" t="n"/>
      <c r="D61" s="19" t="n"/>
      <c r="E61" s="18">
        <f>IF($D61="","",IFERROR(VLOOKUP($D61,ARTICLES!$A$5:$S$2243,3,FALSE),"reference inconnue"))</f>
        <v/>
      </c>
      <c r="F61" s="19" t="n"/>
      <c r="G61" s="18">
        <f>IF($D61="","",IFERROR(VLOOKUP($D61,ARTICLES!$A$5:$S$2243,12,FALSE),0))</f>
        <v/>
      </c>
      <c r="H61" s="18">
        <f>IF(F61="","",G61-F61)</f>
        <v/>
      </c>
      <c r="I61" s="19" t="n"/>
      <c r="J61" s="19" t="n"/>
      <c r="K61" s="19" t="n"/>
      <c r="L61" s="17" t="inlineStr">
        <is>
          <t>BROUILLON</t>
        </is>
      </c>
      <c r="M61" s="17" t="n"/>
      <c r="N61" s="17" t="n"/>
      <c r="O61" s="17" t="n"/>
      <c r="P61" s="17" t="n"/>
      <c r="Q61" s="17" t="n"/>
      <c r="R61" s="17" t="n"/>
      <c r="S61" s="17" t="n"/>
    </row>
    <row r="62">
      <c r="A62" s="19" t="n"/>
      <c r="B62" s="18">
        <f>IF($A62="","",TEXT(TODAY(),"dd/mm/yyyy"))</f>
        <v/>
      </c>
      <c r="C62" s="19" t="n"/>
      <c r="D62" s="19" t="n"/>
      <c r="E62" s="18">
        <f>IF($D62="","",IFERROR(VLOOKUP($D62,ARTICLES!$A$5:$S$2243,3,FALSE),"reference inconnue"))</f>
        <v/>
      </c>
      <c r="F62" s="19" t="n"/>
      <c r="G62" s="18">
        <f>IF($D62="","",IFERROR(VLOOKUP($D62,ARTICLES!$A$5:$S$2243,12,FALSE),0))</f>
        <v/>
      </c>
      <c r="H62" s="18">
        <f>IF(F62="","",G62-F62)</f>
        <v/>
      </c>
      <c r="I62" s="19" t="n"/>
      <c r="J62" s="19" t="n"/>
      <c r="K62" s="19" t="n"/>
      <c r="L62" s="17" t="inlineStr">
        <is>
          <t>BROUILLON</t>
        </is>
      </c>
      <c r="M62" s="17" t="n"/>
      <c r="N62" s="17" t="n"/>
      <c r="O62" s="17" t="n"/>
      <c r="P62" s="17" t="n"/>
      <c r="Q62" s="17" t="n"/>
      <c r="R62" s="17" t="n"/>
      <c r="S62" s="17" t="n"/>
    </row>
    <row r="63">
      <c r="A63" s="19" t="n"/>
      <c r="B63" s="18">
        <f>IF($A63="","",TEXT(TODAY(),"dd/mm/yyyy"))</f>
        <v/>
      </c>
      <c r="C63" s="19" t="n"/>
      <c r="D63" s="19" t="n"/>
      <c r="E63" s="18">
        <f>IF($D63="","",IFERROR(VLOOKUP($D63,ARTICLES!$A$5:$S$2243,3,FALSE),"reference inconnue"))</f>
        <v/>
      </c>
      <c r="F63" s="19" t="n"/>
      <c r="G63" s="18">
        <f>IF($D63="","",IFERROR(VLOOKUP($D63,ARTICLES!$A$5:$S$2243,12,FALSE),0))</f>
        <v/>
      </c>
      <c r="H63" s="18">
        <f>IF(F63="","",G63-F63)</f>
        <v/>
      </c>
      <c r="I63" s="19" t="n"/>
      <c r="J63" s="19" t="n"/>
      <c r="K63" s="19" t="n"/>
      <c r="L63" s="17" t="inlineStr">
        <is>
          <t>BROUILLON</t>
        </is>
      </c>
      <c r="M63" s="17" t="n"/>
      <c r="N63" s="17" t="n"/>
      <c r="O63" s="17" t="n"/>
      <c r="P63" s="17" t="n"/>
      <c r="Q63" s="17" t="n"/>
      <c r="R63" s="17" t="n"/>
      <c r="S63" s="17" t="n"/>
    </row>
    <row r="64">
      <c r="A64" s="19" t="n"/>
      <c r="B64" s="18">
        <f>IF($A64="","",TEXT(TODAY(),"dd/mm/yyyy"))</f>
        <v/>
      </c>
      <c r="C64" s="19" t="n"/>
      <c r="D64" s="19" t="n"/>
      <c r="E64" s="18">
        <f>IF($D64="","",IFERROR(VLOOKUP($D64,ARTICLES!$A$5:$S$2243,3,FALSE),"reference inconnue"))</f>
        <v/>
      </c>
      <c r="F64" s="19" t="n"/>
      <c r="G64" s="18">
        <f>IF($D64="","",IFERROR(VLOOKUP($D64,ARTICLES!$A$5:$S$2243,12,FALSE),0))</f>
        <v/>
      </c>
      <c r="H64" s="18">
        <f>IF(F64="","",G64-F64)</f>
        <v/>
      </c>
      <c r="I64" s="19" t="n"/>
      <c r="J64" s="19" t="n"/>
      <c r="K64" s="19" t="n"/>
      <c r="L64" s="17" t="inlineStr">
        <is>
          <t>BROUILLON</t>
        </is>
      </c>
      <c r="M64" s="17" t="n"/>
      <c r="N64" s="17" t="n"/>
      <c r="O64" s="17" t="n"/>
      <c r="P64" s="17" t="n"/>
      <c r="Q64" s="17" t="n"/>
      <c r="R64" s="17" t="n"/>
      <c r="S64" s="17" t="n"/>
    </row>
    <row r="65">
      <c r="A65" s="19" t="n"/>
      <c r="B65" s="18">
        <f>IF($A65="","",TEXT(TODAY(),"dd/mm/yyyy"))</f>
        <v/>
      </c>
      <c r="C65" s="19" t="n"/>
      <c r="D65" s="19" t="n"/>
      <c r="E65" s="18">
        <f>IF($D65="","",IFERROR(VLOOKUP($D65,ARTICLES!$A$5:$S$2243,3,FALSE),"reference inconnue"))</f>
        <v/>
      </c>
      <c r="F65" s="19" t="n"/>
      <c r="G65" s="18">
        <f>IF($D65="","",IFERROR(VLOOKUP($D65,ARTICLES!$A$5:$S$2243,12,FALSE),0))</f>
        <v/>
      </c>
      <c r="H65" s="18">
        <f>IF(F65="","",G65-F65)</f>
        <v/>
      </c>
      <c r="I65" s="19" t="n"/>
      <c r="J65" s="19" t="n"/>
      <c r="K65" s="19" t="n"/>
      <c r="L65" s="17" t="inlineStr">
        <is>
          <t>BROUILLON</t>
        </is>
      </c>
      <c r="M65" s="17" t="n"/>
      <c r="N65" s="17" t="n"/>
      <c r="O65" s="17" t="n"/>
      <c r="P65" s="17" t="n"/>
      <c r="Q65" s="17" t="n"/>
      <c r="R65" s="17" t="n"/>
      <c r="S65" s="17" t="n"/>
    </row>
    <row r="66">
      <c r="A66" s="19" t="n"/>
      <c r="B66" s="18">
        <f>IF($A66="","",TEXT(TODAY(),"dd/mm/yyyy"))</f>
        <v/>
      </c>
      <c r="C66" s="19" t="n"/>
      <c r="D66" s="19" t="n"/>
      <c r="E66" s="18">
        <f>IF($D66="","",IFERROR(VLOOKUP($D66,ARTICLES!$A$5:$S$2243,3,FALSE),"reference inconnue"))</f>
        <v/>
      </c>
      <c r="F66" s="19" t="n"/>
      <c r="G66" s="18">
        <f>IF($D66="","",IFERROR(VLOOKUP($D66,ARTICLES!$A$5:$S$2243,12,FALSE),0))</f>
        <v/>
      </c>
      <c r="H66" s="18">
        <f>IF(F66="","",G66-F66)</f>
        <v/>
      </c>
      <c r="I66" s="19" t="n"/>
      <c r="J66" s="19" t="n"/>
      <c r="K66" s="19" t="n"/>
      <c r="L66" s="17" t="inlineStr">
        <is>
          <t>BROUILLON</t>
        </is>
      </c>
      <c r="M66" s="17" t="n"/>
      <c r="N66" s="17" t="n"/>
      <c r="O66" s="17" t="n"/>
      <c r="P66" s="17" t="n"/>
      <c r="Q66" s="17" t="n"/>
      <c r="R66" s="17" t="n"/>
      <c r="S66" s="17" t="n"/>
    </row>
    <row r="67">
      <c r="A67" s="19" t="n"/>
      <c r="B67" s="18">
        <f>IF($A67="","",TEXT(TODAY(),"dd/mm/yyyy"))</f>
        <v/>
      </c>
      <c r="C67" s="19" t="n"/>
      <c r="D67" s="19" t="n"/>
      <c r="E67" s="18">
        <f>IF($D67="","",IFERROR(VLOOKUP($D67,ARTICLES!$A$5:$S$2243,3,FALSE),"reference inconnue"))</f>
        <v/>
      </c>
      <c r="F67" s="19" t="n"/>
      <c r="G67" s="18">
        <f>IF($D67="","",IFERROR(VLOOKUP($D67,ARTICLES!$A$5:$S$2243,12,FALSE),0))</f>
        <v/>
      </c>
      <c r="H67" s="18">
        <f>IF(F67="","",G67-F67)</f>
        <v/>
      </c>
      <c r="I67" s="19" t="n"/>
      <c r="J67" s="19" t="n"/>
      <c r="K67" s="19" t="n"/>
      <c r="L67" s="17" t="inlineStr">
        <is>
          <t>BROUILLON</t>
        </is>
      </c>
      <c r="M67" s="17" t="n"/>
      <c r="N67" s="17" t="n"/>
      <c r="O67" s="17" t="n"/>
      <c r="P67" s="17" t="n"/>
      <c r="Q67" s="17" t="n"/>
      <c r="R67" s="17" t="n"/>
      <c r="S67" s="17" t="n"/>
    </row>
    <row r="68">
      <c r="A68" s="19" t="n"/>
      <c r="B68" s="18">
        <f>IF($A68="","",TEXT(TODAY(),"dd/mm/yyyy"))</f>
        <v/>
      </c>
      <c r="C68" s="19" t="n"/>
      <c r="D68" s="19" t="n"/>
      <c r="E68" s="18">
        <f>IF($D68="","",IFERROR(VLOOKUP($D68,ARTICLES!$A$5:$S$2243,3,FALSE),"reference inconnue"))</f>
        <v/>
      </c>
      <c r="F68" s="19" t="n"/>
      <c r="G68" s="18">
        <f>IF($D68="","",IFERROR(VLOOKUP($D68,ARTICLES!$A$5:$S$2243,12,FALSE),0))</f>
        <v/>
      </c>
      <c r="H68" s="18">
        <f>IF(F68="","",G68-F68)</f>
        <v/>
      </c>
      <c r="I68" s="19" t="n"/>
      <c r="J68" s="19" t="n"/>
      <c r="K68" s="19" t="n"/>
      <c r="L68" s="17" t="inlineStr">
        <is>
          <t>BROUILLON</t>
        </is>
      </c>
      <c r="M68" s="17" t="n"/>
      <c r="N68" s="17" t="n"/>
      <c r="O68" s="17" t="n"/>
      <c r="P68" s="17" t="n"/>
      <c r="Q68" s="17" t="n"/>
      <c r="R68" s="17" t="n"/>
      <c r="S68" s="17" t="n"/>
    </row>
    <row r="69">
      <c r="A69" s="19" t="n"/>
      <c r="B69" s="18">
        <f>IF($A69="","",TEXT(TODAY(),"dd/mm/yyyy"))</f>
        <v/>
      </c>
      <c r="C69" s="19" t="n"/>
      <c r="D69" s="19" t="n"/>
      <c r="E69" s="18">
        <f>IF($D69="","",IFERROR(VLOOKUP($D69,ARTICLES!$A$5:$S$2243,3,FALSE),"reference inconnue"))</f>
        <v/>
      </c>
      <c r="F69" s="19" t="n"/>
      <c r="G69" s="18">
        <f>IF($D69="","",IFERROR(VLOOKUP($D69,ARTICLES!$A$5:$S$2243,12,FALSE),0))</f>
        <v/>
      </c>
      <c r="H69" s="18">
        <f>IF(F69="","",G69-F69)</f>
        <v/>
      </c>
      <c r="I69" s="19" t="n"/>
      <c r="J69" s="19" t="n"/>
      <c r="K69" s="19" t="n"/>
      <c r="L69" s="17" t="inlineStr">
        <is>
          <t>BROUILLON</t>
        </is>
      </c>
      <c r="M69" s="17" t="n"/>
      <c r="N69" s="17" t="n"/>
      <c r="O69" s="17" t="n"/>
      <c r="P69" s="17" t="n"/>
      <c r="Q69" s="17" t="n"/>
      <c r="R69" s="17" t="n"/>
      <c r="S69" s="17" t="n"/>
    </row>
    <row r="70">
      <c r="A70" s="19" t="n"/>
      <c r="B70" s="18">
        <f>IF($A70="","",TEXT(TODAY(),"dd/mm/yyyy"))</f>
        <v/>
      </c>
      <c r="C70" s="19" t="n"/>
      <c r="D70" s="19" t="n"/>
      <c r="E70" s="18">
        <f>IF($D70="","",IFERROR(VLOOKUP($D70,ARTICLES!$A$5:$S$2243,3,FALSE),"reference inconnue"))</f>
        <v/>
      </c>
      <c r="F70" s="19" t="n"/>
      <c r="G70" s="18">
        <f>IF($D70="","",IFERROR(VLOOKUP($D70,ARTICLES!$A$5:$S$2243,12,FALSE),0))</f>
        <v/>
      </c>
      <c r="H70" s="18">
        <f>IF(F70="","",G70-F70)</f>
        <v/>
      </c>
      <c r="I70" s="19" t="n"/>
      <c r="J70" s="19" t="n"/>
      <c r="K70" s="19" t="n"/>
      <c r="L70" s="17" t="inlineStr">
        <is>
          <t>BROUILLON</t>
        </is>
      </c>
      <c r="M70" s="17" t="n"/>
      <c r="N70" s="17" t="n"/>
      <c r="O70" s="17" t="n"/>
      <c r="P70" s="17" t="n"/>
      <c r="Q70" s="17" t="n"/>
      <c r="R70" s="17" t="n"/>
      <c r="S70" s="17" t="n"/>
    </row>
    <row r="71">
      <c r="A71" s="19" t="n"/>
      <c r="B71" s="18">
        <f>IF($A71="","",TEXT(TODAY(),"dd/mm/yyyy"))</f>
        <v/>
      </c>
      <c r="C71" s="19" t="n"/>
      <c r="D71" s="19" t="n"/>
      <c r="E71" s="18">
        <f>IF($D71="","",IFERROR(VLOOKUP($D71,ARTICLES!$A$5:$S$2243,3,FALSE),"reference inconnue"))</f>
        <v/>
      </c>
      <c r="F71" s="19" t="n"/>
      <c r="G71" s="18">
        <f>IF($D71="","",IFERROR(VLOOKUP($D71,ARTICLES!$A$5:$S$2243,12,FALSE),0))</f>
        <v/>
      </c>
      <c r="H71" s="18">
        <f>IF(F71="","",G71-F71)</f>
        <v/>
      </c>
      <c r="I71" s="19" t="n"/>
      <c r="J71" s="19" t="n"/>
      <c r="K71" s="19" t="n"/>
      <c r="L71" s="17" t="inlineStr">
        <is>
          <t>BROUILLON</t>
        </is>
      </c>
      <c r="M71" s="17" t="n"/>
      <c r="N71" s="17" t="n"/>
      <c r="O71" s="17" t="n"/>
      <c r="P71" s="17" t="n"/>
      <c r="Q71" s="17" t="n"/>
      <c r="R71" s="17" t="n"/>
      <c r="S71" s="17" t="n"/>
    </row>
    <row r="72">
      <c r="A72" s="19" t="n"/>
      <c r="B72" s="18">
        <f>IF($A72="","",TEXT(TODAY(),"dd/mm/yyyy"))</f>
        <v/>
      </c>
      <c r="C72" s="19" t="n"/>
      <c r="D72" s="19" t="n"/>
      <c r="E72" s="18">
        <f>IF($D72="","",IFERROR(VLOOKUP($D72,ARTICLES!$A$5:$S$2243,3,FALSE),"reference inconnue"))</f>
        <v/>
      </c>
      <c r="F72" s="19" t="n"/>
      <c r="G72" s="18">
        <f>IF($D72="","",IFERROR(VLOOKUP($D72,ARTICLES!$A$5:$S$2243,12,FALSE),0))</f>
        <v/>
      </c>
      <c r="H72" s="18">
        <f>IF(F72="","",G72-F72)</f>
        <v/>
      </c>
      <c r="I72" s="19" t="n"/>
      <c r="J72" s="19" t="n"/>
      <c r="K72" s="19" t="n"/>
      <c r="L72" s="17" t="inlineStr">
        <is>
          <t>BROUILLON</t>
        </is>
      </c>
      <c r="M72" s="17" t="n"/>
      <c r="N72" s="17" t="n"/>
      <c r="O72" s="17" t="n"/>
      <c r="P72" s="17" t="n"/>
      <c r="Q72" s="17" t="n"/>
      <c r="R72" s="17" t="n"/>
      <c r="S72" s="17" t="n"/>
    </row>
    <row r="73">
      <c r="A73" s="19" t="n"/>
      <c r="B73" s="18">
        <f>IF($A73="","",TEXT(TODAY(),"dd/mm/yyyy"))</f>
        <v/>
      </c>
      <c r="C73" s="19" t="n"/>
      <c r="D73" s="19" t="n"/>
      <c r="E73" s="18">
        <f>IF($D73="","",IFERROR(VLOOKUP($D73,ARTICLES!$A$5:$S$2243,3,FALSE),"reference inconnue"))</f>
        <v/>
      </c>
      <c r="F73" s="19" t="n"/>
      <c r="G73" s="18">
        <f>IF($D73="","",IFERROR(VLOOKUP($D73,ARTICLES!$A$5:$S$2243,12,FALSE),0))</f>
        <v/>
      </c>
      <c r="H73" s="18">
        <f>IF(F73="","",G73-F73)</f>
        <v/>
      </c>
      <c r="I73" s="19" t="n"/>
      <c r="J73" s="19" t="n"/>
      <c r="K73" s="19" t="n"/>
      <c r="L73" s="17" t="inlineStr">
        <is>
          <t>BROUILLON</t>
        </is>
      </c>
      <c r="M73" s="17" t="n"/>
      <c r="N73" s="17" t="n"/>
      <c r="O73" s="17" t="n"/>
      <c r="P73" s="17" t="n"/>
      <c r="Q73" s="17" t="n"/>
      <c r="R73" s="17" t="n"/>
      <c r="S73" s="17" t="n"/>
    </row>
    <row r="74">
      <c r="A74" s="19" t="n"/>
      <c r="B74" s="18">
        <f>IF($A74="","",TEXT(TODAY(),"dd/mm/yyyy"))</f>
        <v/>
      </c>
      <c r="C74" s="19" t="n"/>
      <c r="D74" s="19" t="n"/>
      <c r="E74" s="18">
        <f>IF($D74="","",IFERROR(VLOOKUP($D74,ARTICLES!$A$5:$S$2243,3,FALSE),"reference inconnue"))</f>
        <v/>
      </c>
      <c r="F74" s="19" t="n"/>
      <c r="G74" s="18">
        <f>IF($D74="","",IFERROR(VLOOKUP($D74,ARTICLES!$A$5:$S$2243,12,FALSE),0))</f>
        <v/>
      </c>
      <c r="H74" s="18">
        <f>IF(F74="","",G74-F74)</f>
        <v/>
      </c>
      <c r="I74" s="19" t="n"/>
      <c r="J74" s="19" t="n"/>
      <c r="K74" s="19" t="n"/>
      <c r="L74" s="17" t="inlineStr">
        <is>
          <t>BROUILLON</t>
        </is>
      </c>
      <c r="M74" s="17" t="n"/>
      <c r="N74" s="17" t="n"/>
      <c r="O74" s="17" t="n"/>
      <c r="P74" s="17" t="n"/>
      <c r="Q74" s="17" t="n"/>
      <c r="R74" s="17" t="n"/>
      <c r="S74" s="17" t="n"/>
    </row>
    <row r="75">
      <c r="A75" s="19" t="n"/>
      <c r="B75" s="18">
        <f>IF($A75="","",TEXT(TODAY(),"dd/mm/yyyy"))</f>
        <v/>
      </c>
      <c r="C75" s="19" t="n"/>
      <c r="D75" s="19" t="n"/>
      <c r="E75" s="18">
        <f>IF($D75="","",IFERROR(VLOOKUP($D75,ARTICLES!$A$5:$S$2243,3,FALSE),"reference inconnue"))</f>
        <v/>
      </c>
      <c r="F75" s="19" t="n"/>
      <c r="G75" s="18">
        <f>IF($D75="","",IFERROR(VLOOKUP($D75,ARTICLES!$A$5:$S$2243,12,FALSE),0))</f>
        <v/>
      </c>
      <c r="H75" s="18">
        <f>IF(F75="","",G75-F75)</f>
        <v/>
      </c>
      <c r="I75" s="19" t="n"/>
      <c r="J75" s="19" t="n"/>
      <c r="K75" s="19" t="n"/>
      <c r="L75" s="17" t="inlineStr">
        <is>
          <t>BROUILLON</t>
        </is>
      </c>
      <c r="M75" s="17" t="n"/>
      <c r="N75" s="17" t="n"/>
      <c r="O75" s="17" t="n"/>
      <c r="P75" s="17" t="n"/>
      <c r="Q75" s="17" t="n"/>
      <c r="R75" s="17" t="n"/>
      <c r="S75" s="17" t="n"/>
    </row>
    <row r="76">
      <c r="A76" s="19" t="n"/>
      <c r="B76" s="18">
        <f>IF($A76="","",TEXT(TODAY(),"dd/mm/yyyy"))</f>
        <v/>
      </c>
      <c r="C76" s="19" t="n"/>
      <c r="D76" s="19" t="n"/>
      <c r="E76" s="18">
        <f>IF($D76="","",IFERROR(VLOOKUP($D76,ARTICLES!$A$5:$S$2243,3,FALSE),"reference inconnue"))</f>
        <v/>
      </c>
      <c r="F76" s="19" t="n"/>
      <c r="G76" s="18">
        <f>IF($D76="","",IFERROR(VLOOKUP($D76,ARTICLES!$A$5:$S$2243,12,FALSE),0))</f>
        <v/>
      </c>
      <c r="H76" s="18">
        <f>IF(F76="","",G76-F76)</f>
        <v/>
      </c>
      <c r="I76" s="19" t="n"/>
      <c r="J76" s="19" t="n"/>
      <c r="K76" s="19" t="n"/>
      <c r="L76" s="17" t="inlineStr">
        <is>
          <t>BROUILLON</t>
        </is>
      </c>
      <c r="M76" s="17" t="n"/>
      <c r="N76" s="17" t="n"/>
      <c r="O76" s="17" t="n"/>
      <c r="P76" s="17" t="n"/>
      <c r="Q76" s="17" t="n"/>
      <c r="R76" s="17" t="n"/>
      <c r="S76" s="17" t="n"/>
    </row>
    <row r="77">
      <c r="A77" s="19" t="n"/>
      <c r="B77" s="18">
        <f>IF($A77="","",TEXT(TODAY(),"dd/mm/yyyy"))</f>
        <v/>
      </c>
      <c r="C77" s="19" t="n"/>
      <c r="D77" s="19" t="n"/>
      <c r="E77" s="18">
        <f>IF($D77="","",IFERROR(VLOOKUP($D77,ARTICLES!$A$5:$S$2243,3,FALSE),"reference inconnue"))</f>
        <v/>
      </c>
      <c r="F77" s="19" t="n"/>
      <c r="G77" s="18">
        <f>IF($D77="","",IFERROR(VLOOKUP($D77,ARTICLES!$A$5:$S$2243,12,FALSE),0))</f>
        <v/>
      </c>
      <c r="H77" s="18">
        <f>IF(F77="","",G77-F77)</f>
        <v/>
      </c>
      <c r="I77" s="19" t="n"/>
      <c r="J77" s="19" t="n"/>
      <c r="K77" s="19" t="n"/>
      <c r="L77" s="17" t="inlineStr">
        <is>
          <t>BROUILLON</t>
        </is>
      </c>
      <c r="M77" s="17" t="n"/>
      <c r="N77" s="17" t="n"/>
      <c r="O77" s="17" t="n"/>
      <c r="P77" s="17" t="n"/>
      <c r="Q77" s="17" t="n"/>
      <c r="R77" s="17" t="n"/>
      <c r="S77" s="17" t="n"/>
    </row>
    <row r="78">
      <c r="A78" s="19" t="n"/>
      <c r="B78" s="18">
        <f>IF($A78="","",TEXT(TODAY(),"dd/mm/yyyy"))</f>
        <v/>
      </c>
      <c r="C78" s="19" t="n"/>
      <c r="D78" s="19" t="n"/>
      <c r="E78" s="18">
        <f>IF($D78="","",IFERROR(VLOOKUP($D78,ARTICLES!$A$5:$S$2243,3,FALSE),"reference inconnue"))</f>
        <v/>
      </c>
      <c r="F78" s="19" t="n"/>
      <c r="G78" s="18">
        <f>IF($D78="","",IFERROR(VLOOKUP($D78,ARTICLES!$A$5:$S$2243,12,FALSE),0))</f>
        <v/>
      </c>
      <c r="H78" s="18">
        <f>IF(F78="","",G78-F78)</f>
        <v/>
      </c>
      <c r="I78" s="19" t="n"/>
      <c r="J78" s="19" t="n"/>
      <c r="K78" s="19" t="n"/>
      <c r="L78" s="17" t="inlineStr">
        <is>
          <t>BROUILLON</t>
        </is>
      </c>
      <c r="M78" s="17" t="n"/>
      <c r="N78" s="17" t="n"/>
      <c r="O78" s="17" t="n"/>
      <c r="P78" s="17" t="n"/>
      <c r="Q78" s="17" t="n"/>
      <c r="R78" s="17" t="n"/>
      <c r="S78" s="17" t="n"/>
    </row>
    <row r="79">
      <c r="A79" s="19" t="n"/>
      <c r="B79" s="18">
        <f>IF($A79="","",TEXT(TODAY(),"dd/mm/yyyy"))</f>
        <v/>
      </c>
      <c r="C79" s="19" t="n"/>
      <c r="D79" s="19" t="n"/>
      <c r="E79" s="18">
        <f>IF($D79="","",IFERROR(VLOOKUP($D79,ARTICLES!$A$5:$S$2243,3,FALSE),"reference inconnue"))</f>
        <v/>
      </c>
      <c r="F79" s="19" t="n"/>
      <c r="G79" s="18">
        <f>IF($D79="","",IFERROR(VLOOKUP($D79,ARTICLES!$A$5:$S$2243,12,FALSE),0))</f>
        <v/>
      </c>
      <c r="H79" s="18">
        <f>IF(F79="","",G79-F79)</f>
        <v/>
      </c>
      <c r="I79" s="19" t="n"/>
      <c r="J79" s="19" t="n"/>
      <c r="K79" s="19" t="n"/>
      <c r="L79" s="17" t="inlineStr">
        <is>
          <t>BROUILLON</t>
        </is>
      </c>
      <c r="M79" s="17" t="n"/>
      <c r="N79" s="17" t="n"/>
      <c r="O79" s="17" t="n"/>
      <c r="P79" s="17" t="n"/>
      <c r="Q79" s="17" t="n"/>
      <c r="R79" s="17" t="n"/>
      <c r="S79" s="17" t="n"/>
    </row>
    <row r="80">
      <c r="A80" s="19" t="n"/>
      <c r="B80" s="18">
        <f>IF($A80="","",TEXT(TODAY(),"dd/mm/yyyy"))</f>
        <v/>
      </c>
      <c r="C80" s="19" t="n"/>
      <c r="D80" s="19" t="n"/>
      <c r="E80" s="18">
        <f>IF($D80="","",IFERROR(VLOOKUP($D80,ARTICLES!$A$5:$S$2243,3,FALSE),"reference inconnue"))</f>
        <v/>
      </c>
      <c r="F80" s="19" t="n"/>
      <c r="G80" s="18">
        <f>IF($D80="","",IFERROR(VLOOKUP($D80,ARTICLES!$A$5:$S$2243,12,FALSE),0))</f>
        <v/>
      </c>
      <c r="H80" s="18">
        <f>IF(F80="","",G80-F80)</f>
        <v/>
      </c>
      <c r="I80" s="19" t="n"/>
      <c r="J80" s="19" t="n"/>
      <c r="K80" s="19" t="n"/>
      <c r="L80" s="17" t="inlineStr">
        <is>
          <t>BROUILLON</t>
        </is>
      </c>
      <c r="M80" s="17" t="n"/>
      <c r="N80" s="17" t="n"/>
      <c r="O80" s="17" t="n"/>
      <c r="P80" s="17" t="n"/>
      <c r="Q80" s="17" t="n"/>
      <c r="R80" s="17" t="n"/>
      <c r="S80" s="17" t="n"/>
    </row>
    <row r="81">
      <c r="A81" s="19" t="n"/>
      <c r="B81" s="18">
        <f>IF($A81="","",TEXT(TODAY(),"dd/mm/yyyy"))</f>
        <v/>
      </c>
      <c r="C81" s="19" t="n"/>
      <c r="D81" s="19" t="n"/>
      <c r="E81" s="18">
        <f>IF($D81="","",IFERROR(VLOOKUP($D81,ARTICLES!$A$5:$S$2243,3,FALSE),"reference inconnue"))</f>
        <v/>
      </c>
      <c r="F81" s="19" t="n"/>
      <c r="G81" s="18">
        <f>IF($D81="","",IFERROR(VLOOKUP($D81,ARTICLES!$A$5:$S$2243,12,FALSE),0))</f>
        <v/>
      </c>
      <c r="H81" s="18">
        <f>IF(F81="","",G81-F81)</f>
        <v/>
      </c>
      <c r="I81" s="19" t="n"/>
      <c r="J81" s="19" t="n"/>
      <c r="K81" s="19" t="n"/>
      <c r="L81" s="17" t="inlineStr">
        <is>
          <t>BROUILLON</t>
        </is>
      </c>
      <c r="M81" s="17" t="n"/>
      <c r="N81" s="17" t="n"/>
      <c r="O81" s="17" t="n"/>
      <c r="P81" s="17" t="n"/>
      <c r="Q81" s="17" t="n"/>
      <c r="R81" s="17" t="n"/>
      <c r="S81" s="17" t="n"/>
    </row>
    <row r="82">
      <c r="A82" s="19" t="n"/>
      <c r="B82" s="18">
        <f>IF($A82="","",TEXT(TODAY(),"dd/mm/yyyy"))</f>
        <v/>
      </c>
      <c r="C82" s="19" t="n"/>
      <c r="D82" s="19" t="n"/>
      <c r="E82" s="18">
        <f>IF($D82="","",IFERROR(VLOOKUP($D82,ARTICLES!$A$5:$S$2243,3,FALSE),"reference inconnue"))</f>
        <v/>
      </c>
      <c r="F82" s="19" t="n"/>
      <c r="G82" s="18">
        <f>IF($D82="","",IFERROR(VLOOKUP($D82,ARTICLES!$A$5:$S$2243,12,FALSE),0))</f>
        <v/>
      </c>
      <c r="H82" s="18">
        <f>IF(F82="","",G82-F82)</f>
        <v/>
      </c>
      <c r="I82" s="19" t="n"/>
      <c r="J82" s="19" t="n"/>
      <c r="K82" s="19" t="n"/>
      <c r="L82" s="17" t="inlineStr">
        <is>
          <t>BROUILLON</t>
        </is>
      </c>
      <c r="M82" s="17" t="n"/>
      <c r="N82" s="17" t="n"/>
      <c r="O82" s="17" t="n"/>
      <c r="P82" s="17" t="n"/>
      <c r="Q82" s="17" t="n"/>
      <c r="R82" s="17" t="n"/>
      <c r="S82" s="17" t="n"/>
    </row>
    <row r="83">
      <c r="A83" s="19" t="n"/>
      <c r="B83" s="18">
        <f>IF($A83="","",TEXT(TODAY(),"dd/mm/yyyy"))</f>
        <v/>
      </c>
      <c r="C83" s="19" t="n"/>
      <c r="D83" s="19" t="n"/>
      <c r="E83" s="18">
        <f>IF($D83="","",IFERROR(VLOOKUP($D83,ARTICLES!$A$5:$S$2243,3,FALSE),"reference inconnue"))</f>
        <v/>
      </c>
      <c r="F83" s="19" t="n"/>
      <c r="G83" s="18">
        <f>IF($D83="","",IFERROR(VLOOKUP($D83,ARTICLES!$A$5:$S$2243,12,FALSE),0))</f>
        <v/>
      </c>
      <c r="H83" s="18">
        <f>IF(F83="","",G83-F83)</f>
        <v/>
      </c>
      <c r="I83" s="19" t="n"/>
      <c r="J83" s="19" t="n"/>
      <c r="K83" s="19" t="n"/>
      <c r="L83" s="17" t="inlineStr">
        <is>
          <t>BROUILLON</t>
        </is>
      </c>
      <c r="M83" s="17" t="n"/>
      <c r="N83" s="17" t="n"/>
      <c r="O83" s="17" t="n"/>
      <c r="P83" s="17" t="n"/>
      <c r="Q83" s="17" t="n"/>
      <c r="R83" s="17" t="n"/>
      <c r="S83" s="17" t="n"/>
    </row>
    <row r="84">
      <c r="A84" s="19" t="n"/>
      <c r="B84" s="18">
        <f>IF($A84="","",TEXT(TODAY(),"dd/mm/yyyy"))</f>
        <v/>
      </c>
      <c r="C84" s="19" t="n"/>
      <c r="D84" s="19" t="n"/>
      <c r="E84" s="18">
        <f>IF($D84="","",IFERROR(VLOOKUP($D84,ARTICLES!$A$5:$S$2243,3,FALSE),"reference inconnue"))</f>
        <v/>
      </c>
      <c r="F84" s="19" t="n"/>
      <c r="G84" s="18">
        <f>IF($D84="","",IFERROR(VLOOKUP($D84,ARTICLES!$A$5:$S$2243,12,FALSE),0))</f>
        <v/>
      </c>
      <c r="H84" s="18">
        <f>IF(F84="","",G84-F84)</f>
        <v/>
      </c>
      <c r="I84" s="19" t="n"/>
      <c r="J84" s="19" t="n"/>
      <c r="K84" s="19" t="n"/>
      <c r="L84" s="17" t="inlineStr">
        <is>
          <t>BROUILLON</t>
        </is>
      </c>
      <c r="M84" s="17" t="n"/>
      <c r="N84" s="17" t="n"/>
      <c r="O84" s="17" t="n"/>
      <c r="P84" s="17" t="n"/>
      <c r="Q84" s="17" t="n"/>
      <c r="R84" s="17" t="n"/>
      <c r="S84" s="17" t="n"/>
    </row>
    <row r="85">
      <c r="A85" s="19" t="n"/>
      <c r="B85" s="18">
        <f>IF($A85="","",TEXT(TODAY(),"dd/mm/yyyy"))</f>
        <v/>
      </c>
      <c r="C85" s="19" t="n"/>
      <c r="D85" s="19" t="n"/>
      <c r="E85" s="18">
        <f>IF($D85="","",IFERROR(VLOOKUP($D85,ARTICLES!$A$5:$S$2243,3,FALSE),"reference inconnue"))</f>
        <v/>
      </c>
      <c r="F85" s="19" t="n"/>
      <c r="G85" s="18">
        <f>IF($D85="","",IFERROR(VLOOKUP($D85,ARTICLES!$A$5:$S$2243,12,FALSE),0))</f>
        <v/>
      </c>
      <c r="H85" s="18">
        <f>IF(F85="","",G85-F85)</f>
        <v/>
      </c>
      <c r="I85" s="19" t="n"/>
      <c r="J85" s="19" t="n"/>
      <c r="K85" s="19" t="n"/>
      <c r="L85" s="17" t="inlineStr">
        <is>
          <t>BROUILLON</t>
        </is>
      </c>
      <c r="M85" s="17" t="n"/>
      <c r="N85" s="17" t="n"/>
      <c r="O85" s="17" t="n"/>
      <c r="P85" s="17" t="n"/>
      <c r="Q85" s="17" t="n"/>
      <c r="R85" s="17" t="n"/>
      <c r="S85" s="17" t="n"/>
    </row>
    <row r="86">
      <c r="A86" s="19" t="n"/>
      <c r="B86" s="18">
        <f>IF($A86="","",TEXT(TODAY(),"dd/mm/yyyy"))</f>
        <v/>
      </c>
      <c r="C86" s="19" t="n"/>
      <c r="D86" s="19" t="n"/>
      <c r="E86" s="18">
        <f>IF($D86="","",IFERROR(VLOOKUP($D86,ARTICLES!$A$5:$S$2243,3,FALSE),"reference inconnue"))</f>
        <v/>
      </c>
      <c r="F86" s="19" t="n"/>
      <c r="G86" s="18">
        <f>IF($D86="","",IFERROR(VLOOKUP($D86,ARTICLES!$A$5:$S$2243,12,FALSE),0))</f>
        <v/>
      </c>
      <c r="H86" s="18">
        <f>IF(F86="","",G86-F86)</f>
        <v/>
      </c>
      <c r="I86" s="19" t="n"/>
      <c r="J86" s="19" t="n"/>
      <c r="K86" s="19" t="n"/>
      <c r="L86" s="17" t="inlineStr">
        <is>
          <t>BROUILLON</t>
        </is>
      </c>
      <c r="M86" s="17" t="n"/>
      <c r="N86" s="17" t="n"/>
      <c r="O86" s="17" t="n"/>
      <c r="P86" s="17" t="n"/>
      <c r="Q86" s="17" t="n"/>
      <c r="R86" s="17" t="n"/>
      <c r="S86" s="17" t="n"/>
    </row>
    <row r="87">
      <c r="A87" s="19" t="n"/>
      <c r="B87" s="18">
        <f>IF($A87="","",TEXT(TODAY(),"dd/mm/yyyy"))</f>
        <v/>
      </c>
      <c r="C87" s="19" t="n"/>
      <c r="D87" s="19" t="n"/>
      <c r="E87" s="18">
        <f>IF($D87="","",IFERROR(VLOOKUP($D87,ARTICLES!$A$5:$S$2243,3,FALSE),"reference inconnue"))</f>
        <v/>
      </c>
      <c r="F87" s="19" t="n"/>
      <c r="G87" s="18">
        <f>IF($D87="","",IFERROR(VLOOKUP($D87,ARTICLES!$A$5:$S$2243,12,FALSE),0))</f>
        <v/>
      </c>
      <c r="H87" s="18">
        <f>IF(F87="","",G87-F87)</f>
        <v/>
      </c>
      <c r="I87" s="19" t="n"/>
      <c r="J87" s="19" t="n"/>
      <c r="K87" s="19" t="n"/>
      <c r="L87" s="17" t="inlineStr">
        <is>
          <t>BROUILLON</t>
        </is>
      </c>
      <c r="M87" s="17" t="n"/>
      <c r="N87" s="17" t="n"/>
      <c r="O87" s="17" t="n"/>
      <c r="P87" s="17" t="n"/>
      <c r="Q87" s="17" t="n"/>
      <c r="R87" s="17" t="n"/>
      <c r="S87" s="17" t="n"/>
    </row>
    <row r="88">
      <c r="A88" s="19" t="n"/>
      <c r="B88" s="18">
        <f>IF($A88="","",TEXT(TODAY(),"dd/mm/yyyy"))</f>
        <v/>
      </c>
      <c r="C88" s="19" t="n"/>
      <c r="D88" s="19" t="n"/>
      <c r="E88" s="18">
        <f>IF($D88="","",IFERROR(VLOOKUP($D88,ARTICLES!$A$5:$S$2243,3,FALSE),"reference inconnue"))</f>
        <v/>
      </c>
      <c r="F88" s="19" t="n"/>
      <c r="G88" s="18">
        <f>IF($D88="","",IFERROR(VLOOKUP($D88,ARTICLES!$A$5:$S$2243,12,FALSE),0))</f>
        <v/>
      </c>
      <c r="H88" s="18">
        <f>IF(F88="","",G88-F88)</f>
        <v/>
      </c>
      <c r="I88" s="19" t="n"/>
      <c r="J88" s="19" t="n"/>
      <c r="K88" s="19" t="n"/>
      <c r="L88" s="17" t="inlineStr">
        <is>
          <t>BROUILLON</t>
        </is>
      </c>
      <c r="M88" s="17" t="n"/>
      <c r="N88" s="17" t="n"/>
      <c r="O88" s="17" t="n"/>
      <c r="P88" s="17" t="n"/>
      <c r="Q88" s="17" t="n"/>
      <c r="R88" s="17" t="n"/>
      <c r="S88" s="17" t="n"/>
    </row>
    <row r="89">
      <c r="A89" s="19" t="n"/>
      <c r="B89" s="18">
        <f>IF($A89="","",TEXT(TODAY(),"dd/mm/yyyy"))</f>
        <v/>
      </c>
      <c r="C89" s="19" t="n"/>
      <c r="D89" s="19" t="n"/>
      <c r="E89" s="18">
        <f>IF($D89="","",IFERROR(VLOOKUP($D89,ARTICLES!$A$5:$S$2243,3,FALSE),"reference inconnue"))</f>
        <v/>
      </c>
      <c r="F89" s="19" t="n"/>
      <c r="G89" s="18">
        <f>IF($D89="","",IFERROR(VLOOKUP($D89,ARTICLES!$A$5:$S$2243,12,FALSE),0))</f>
        <v/>
      </c>
      <c r="H89" s="18">
        <f>IF(F89="","",G89-F89)</f>
        <v/>
      </c>
      <c r="I89" s="19" t="n"/>
      <c r="J89" s="19" t="n"/>
      <c r="K89" s="19" t="n"/>
      <c r="L89" s="17" t="inlineStr">
        <is>
          <t>BROUILLON</t>
        </is>
      </c>
      <c r="M89" s="17" t="n"/>
      <c r="N89" s="17" t="n"/>
      <c r="O89" s="17" t="n"/>
      <c r="P89" s="17" t="n"/>
      <c r="Q89" s="17" t="n"/>
      <c r="R89" s="17" t="n"/>
      <c r="S89" s="17" t="n"/>
    </row>
    <row r="90">
      <c r="A90" s="19" t="n"/>
      <c r="B90" s="18">
        <f>IF($A90="","",TEXT(TODAY(),"dd/mm/yyyy"))</f>
        <v/>
      </c>
      <c r="C90" s="19" t="n"/>
      <c r="D90" s="19" t="n"/>
      <c r="E90" s="18">
        <f>IF($D90="","",IFERROR(VLOOKUP($D90,ARTICLES!$A$5:$S$2243,3,FALSE),"reference inconnue"))</f>
        <v/>
      </c>
      <c r="F90" s="19" t="n"/>
      <c r="G90" s="18">
        <f>IF($D90="","",IFERROR(VLOOKUP($D90,ARTICLES!$A$5:$S$2243,12,FALSE),0))</f>
        <v/>
      </c>
      <c r="H90" s="18">
        <f>IF(F90="","",G90-F90)</f>
        <v/>
      </c>
      <c r="I90" s="19" t="n"/>
      <c r="J90" s="19" t="n"/>
      <c r="K90" s="19" t="n"/>
      <c r="L90" s="17" t="inlineStr">
        <is>
          <t>BROUILLON</t>
        </is>
      </c>
      <c r="M90" s="17" t="n"/>
      <c r="N90" s="17" t="n"/>
      <c r="O90" s="17" t="n"/>
      <c r="P90" s="17" t="n"/>
      <c r="Q90" s="17" t="n"/>
      <c r="R90" s="17" t="n"/>
      <c r="S90" s="17" t="n"/>
    </row>
    <row r="91">
      <c r="A91" s="19" t="n"/>
      <c r="B91" s="18">
        <f>IF($A91="","",TEXT(TODAY(),"dd/mm/yyyy"))</f>
        <v/>
      </c>
      <c r="C91" s="19" t="n"/>
      <c r="D91" s="19" t="n"/>
      <c r="E91" s="18">
        <f>IF($D91="","",IFERROR(VLOOKUP($D91,ARTICLES!$A$5:$S$2243,3,FALSE),"reference inconnue"))</f>
        <v/>
      </c>
      <c r="F91" s="19" t="n"/>
      <c r="G91" s="18">
        <f>IF($D91="","",IFERROR(VLOOKUP($D91,ARTICLES!$A$5:$S$2243,12,FALSE),0))</f>
        <v/>
      </c>
      <c r="H91" s="18">
        <f>IF(F91="","",G91-F91)</f>
        <v/>
      </c>
      <c r="I91" s="19" t="n"/>
      <c r="J91" s="19" t="n"/>
      <c r="K91" s="19" t="n"/>
      <c r="L91" s="17" t="inlineStr">
        <is>
          <t>BROUILLON</t>
        </is>
      </c>
      <c r="M91" s="17" t="n"/>
      <c r="N91" s="17" t="n"/>
      <c r="O91" s="17" t="n"/>
      <c r="P91" s="17" t="n"/>
      <c r="Q91" s="17" t="n"/>
      <c r="R91" s="17" t="n"/>
      <c r="S91" s="17" t="n"/>
    </row>
    <row r="92">
      <c r="A92" s="19" t="n"/>
      <c r="B92" s="18">
        <f>IF($A92="","",TEXT(TODAY(),"dd/mm/yyyy"))</f>
        <v/>
      </c>
      <c r="C92" s="19" t="n"/>
      <c r="D92" s="19" t="n"/>
      <c r="E92" s="18">
        <f>IF($D92="","",IFERROR(VLOOKUP($D92,ARTICLES!$A$5:$S$2243,3,FALSE),"reference inconnue"))</f>
        <v/>
      </c>
      <c r="F92" s="19" t="n"/>
      <c r="G92" s="18">
        <f>IF($D92="","",IFERROR(VLOOKUP($D92,ARTICLES!$A$5:$S$2243,12,FALSE),0))</f>
        <v/>
      </c>
      <c r="H92" s="18">
        <f>IF(F92="","",G92-F92)</f>
        <v/>
      </c>
      <c r="I92" s="19" t="n"/>
      <c r="J92" s="19" t="n"/>
      <c r="K92" s="19" t="n"/>
      <c r="L92" s="17" t="inlineStr">
        <is>
          <t>BROUILLON</t>
        </is>
      </c>
      <c r="M92" s="17" t="n"/>
      <c r="N92" s="17" t="n"/>
      <c r="O92" s="17" t="n"/>
      <c r="P92" s="17" t="n"/>
      <c r="Q92" s="17" t="n"/>
      <c r="R92" s="17" t="n"/>
      <c r="S92" s="17" t="n"/>
    </row>
    <row r="93">
      <c r="A93" s="19" t="n"/>
      <c r="B93" s="18">
        <f>IF($A93="","",TEXT(TODAY(),"dd/mm/yyyy"))</f>
        <v/>
      </c>
      <c r="C93" s="19" t="n"/>
      <c r="D93" s="19" t="n"/>
      <c r="E93" s="18">
        <f>IF($D93="","",IFERROR(VLOOKUP($D93,ARTICLES!$A$5:$S$2243,3,FALSE),"reference inconnue"))</f>
        <v/>
      </c>
      <c r="F93" s="19" t="n"/>
      <c r="G93" s="18">
        <f>IF($D93="","",IFERROR(VLOOKUP($D93,ARTICLES!$A$5:$S$2243,12,FALSE),0))</f>
        <v/>
      </c>
      <c r="H93" s="18">
        <f>IF(F93="","",G93-F93)</f>
        <v/>
      </c>
      <c r="I93" s="19" t="n"/>
      <c r="J93" s="19" t="n"/>
      <c r="K93" s="19" t="n"/>
      <c r="L93" s="17" t="inlineStr">
        <is>
          <t>BROUILLON</t>
        </is>
      </c>
      <c r="M93" s="17" t="n"/>
      <c r="N93" s="17" t="n"/>
      <c r="O93" s="17" t="n"/>
      <c r="P93" s="17" t="n"/>
      <c r="Q93" s="17" t="n"/>
      <c r="R93" s="17" t="n"/>
      <c r="S93" s="17" t="n"/>
    </row>
    <row r="94">
      <c r="A94" s="19" t="n"/>
      <c r="B94" s="18">
        <f>IF($A94="","",TEXT(TODAY(),"dd/mm/yyyy"))</f>
        <v/>
      </c>
      <c r="C94" s="19" t="n"/>
      <c r="D94" s="19" t="n"/>
      <c r="E94" s="18">
        <f>IF($D94="","",IFERROR(VLOOKUP($D94,ARTICLES!$A$5:$S$2243,3,FALSE),"reference inconnue"))</f>
        <v/>
      </c>
      <c r="F94" s="19" t="n"/>
      <c r="G94" s="18">
        <f>IF($D94="","",IFERROR(VLOOKUP($D94,ARTICLES!$A$5:$S$2243,12,FALSE),0))</f>
        <v/>
      </c>
      <c r="H94" s="18">
        <f>IF(F94="","",G94-F94)</f>
        <v/>
      </c>
      <c r="I94" s="19" t="n"/>
      <c r="J94" s="19" t="n"/>
      <c r="K94" s="19" t="n"/>
      <c r="L94" s="17" t="inlineStr">
        <is>
          <t>BROUILLON</t>
        </is>
      </c>
      <c r="M94" s="17" t="n"/>
      <c r="N94" s="17" t="n"/>
      <c r="O94" s="17" t="n"/>
      <c r="P94" s="17" t="n"/>
      <c r="Q94" s="17" t="n"/>
      <c r="R94" s="17" t="n"/>
      <c r="S94" s="17" t="n"/>
    </row>
    <row r="95">
      <c r="A95" s="19" t="n"/>
      <c r="B95" s="18">
        <f>IF($A95="","",TEXT(TODAY(),"dd/mm/yyyy"))</f>
        <v/>
      </c>
      <c r="C95" s="19" t="n"/>
      <c r="D95" s="19" t="n"/>
      <c r="E95" s="18">
        <f>IF($D95="","",IFERROR(VLOOKUP($D95,ARTICLES!$A$5:$S$2243,3,FALSE),"reference inconnue"))</f>
        <v/>
      </c>
      <c r="F95" s="19" t="n"/>
      <c r="G95" s="18">
        <f>IF($D95="","",IFERROR(VLOOKUP($D95,ARTICLES!$A$5:$S$2243,12,FALSE),0))</f>
        <v/>
      </c>
      <c r="H95" s="18">
        <f>IF(F95="","",G95-F95)</f>
        <v/>
      </c>
      <c r="I95" s="19" t="n"/>
      <c r="J95" s="19" t="n"/>
      <c r="K95" s="19" t="n"/>
      <c r="L95" s="17" t="inlineStr">
        <is>
          <t>BROUILLON</t>
        </is>
      </c>
      <c r="M95" s="17" t="n"/>
      <c r="N95" s="17" t="n"/>
      <c r="O95" s="17" t="n"/>
      <c r="P95" s="17" t="n"/>
      <c r="Q95" s="17" t="n"/>
      <c r="R95" s="17" t="n"/>
      <c r="S95" s="17" t="n"/>
    </row>
    <row r="96">
      <c r="A96" s="19" t="n"/>
      <c r="B96" s="18">
        <f>IF($A96="","",TEXT(TODAY(),"dd/mm/yyyy"))</f>
        <v/>
      </c>
      <c r="C96" s="19" t="n"/>
      <c r="D96" s="19" t="n"/>
      <c r="E96" s="18">
        <f>IF($D96="","",IFERROR(VLOOKUP($D96,ARTICLES!$A$5:$S$2243,3,FALSE),"reference inconnue"))</f>
        <v/>
      </c>
      <c r="F96" s="19" t="n"/>
      <c r="G96" s="18">
        <f>IF($D96="","",IFERROR(VLOOKUP($D96,ARTICLES!$A$5:$S$2243,12,FALSE),0))</f>
        <v/>
      </c>
      <c r="H96" s="18">
        <f>IF(F96="","",G96-F96)</f>
        <v/>
      </c>
      <c r="I96" s="19" t="n"/>
      <c r="J96" s="19" t="n"/>
      <c r="K96" s="19" t="n"/>
      <c r="L96" s="17" t="inlineStr">
        <is>
          <t>BROUILLON</t>
        </is>
      </c>
      <c r="M96" s="17" t="n"/>
      <c r="N96" s="17" t="n"/>
      <c r="O96" s="17" t="n"/>
      <c r="P96" s="17" t="n"/>
      <c r="Q96" s="17" t="n"/>
      <c r="R96" s="17" t="n"/>
      <c r="S96" s="17" t="n"/>
    </row>
    <row r="97">
      <c r="A97" s="19" t="n"/>
      <c r="B97" s="18">
        <f>IF($A97="","",TEXT(TODAY(),"dd/mm/yyyy"))</f>
        <v/>
      </c>
      <c r="C97" s="19" t="n"/>
      <c r="D97" s="19" t="n"/>
      <c r="E97" s="18">
        <f>IF($D97="","",IFERROR(VLOOKUP($D97,ARTICLES!$A$5:$S$2243,3,FALSE),"reference inconnue"))</f>
        <v/>
      </c>
      <c r="F97" s="19" t="n"/>
      <c r="G97" s="18">
        <f>IF($D97="","",IFERROR(VLOOKUP($D97,ARTICLES!$A$5:$S$2243,12,FALSE),0))</f>
        <v/>
      </c>
      <c r="H97" s="18">
        <f>IF(F97="","",G97-F97)</f>
        <v/>
      </c>
      <c r="I97" s="19" t="n"/>
      <c r="J97" s="19" t="n"/>
      <c r="K97" s="19" t="n"/>
      <c r="L97" s="17" t="inlineStr">
        <is>
          <t>BROUILLON</t>
        </is>
      </c>
      <c r="M97" s="17" t="n"/>
      <c r="N97" s="17" t="n"/>
      <c r="O97" s="17" t="n"/>
      <c r="P97" s="17" t="n"/>
      <c r="Q97" s="17" t="n"/>
      <c r="R97" s="17" t="n"/>
      <c r="S97" s="17" t="n"/>
    </row>
    <row r="98">
      <c r="A98" s="19" t="n"/>
      <c r="B98" s="18">
        <f>IF($A98="","",TEXT(TODAY(),"dd/mm/yyyy"))</f>
        <v/>
      </c>
      <c r="C98" s="19" t="n"/>
      <c r="D98" s="19" t="n"/>
      <c r="E98" s="18">
        <f>IF($D98="","",IFERROR(VLOOKUP($D98,ARTICLES!$A$5:$S$2243,3,FALSE),"reference inconnue"))</f>
        <v/>
      </c>
      <c r="F98" s="19" t="n"/>
      <c r="G98" s="18">
        <f>IF($D98="","",IFERROR(VLOOKUP($D98,ARTICLES!$A$5:$S$2243,12,FALSE),0))</f>
        <v/>
      </c>
      <c r="H98" s="18">
        <f>IF(F98="","",G98-F98)</f>
        <v/>
      </c>
      <c r="I98" s="19" t="n"/>
      <c r="J98" s="19" t="n"/>
      <c r="K98" s="19" t="n"/>
      <c r="L98" s="17" t="inlineStr">
        <is>
          <t>BROUILLON</t>
        </is>
      </c>
      <c r="M98" s="17" t="n"/>
      <c r="N98" s="17" t="n"/>
      <c r="O98" s="17" t="n"/>
      <c r="P98" s="17" t="n"/>
      <c r="Q98" s="17" t="n"/>
      <c r="R98" s="17" t="n"/>
      <c r="S98" s="17" t="n"/>
    </row>
    <row r="99">
      <c r="A99" s="19" t="n"/>
      <c r="B99" s="18">
        <f>IF($A99="","",TEXT(TODAY(),"dd/mm/yyyy"))</f>
        <v/>
      </c>
      <c r="C99" s="19" t="n"/>
      <c r="D99" s="19" t="n"/>
      <c r="E99" s="18">
        <f>IF($D99="","",IFERROR(VLOOKUP($D99,ARTICLES!$A$5:$S$2243,3,FALSE),"reference inconnue"))</f>
        <v/>
      </c>
      <c r="F99" s="19" t="n"/>
      <c r="G99" s="18">
        <f>IF($D99="","",IFERROR(VLOOKUP($D99,ARTICLES!$A$5:$S$2243,12,FALSE),0))</f>
        <v/>
      </c>
      <c r="H99" s="18">
        <f>IF(F99="","",G99-F99)</f>
        <v/>
      </c>
      <c r="I99" s="19" t="n"/>
      <c r="J99" s="19" t="n"/>
      <c r="K99" s="19" t="n"/>
      <c r="L99" s="17" t="inlineStr">
        <is>
          <t>BROUILLON</t>
        </is>
      </c>
      <c r="M99" s="17" t="n"/>
      <c r="N99" s="17" t="n"/>
      <c r="O99" s="17" t="n"/>
      <c r="P99" s="17" t="n"/>
      <c r="Q99" s="17" t="n"/>
      <c r="R99" s="17" t="n"/>
      <c r="S99" s="17" t="n"/>
    </row>
    <row r="100">
      <c r="A100" s="19" t="n"/>
      <c r="B100" s="18">
        <f>IF($A100="","",TEXT(TODAY(),"dd/mm/yyyy"))</f>
        <v/>
      </c>
      <c r="C100" s="19" t="n"/>
      <c r="D100" s="19" t="n"/>
      <c r="E100" s="18">
        <f>IF($D100="","",IFERROR(VLOOKUP($D100,ARTICLES!$A$5:$S$2243,3,FALSE),"reference inconnue"))</f>
        <v/>
      </c>
      <c r="F100" s="19" t="n"/>
      <c r="G100" s="18">
        <f>IF($D100="","",IFERROR(VLOOKUP($D100,ARTICLES!$A$5:$S$2243,12,FALSE),0))</f>
        <v/>
      </c>
      <c r="H100" s="18">
        <f>IF(F100="","",G100-F100)</f>
        <v/>
      </c>
      <c r="I100" s="19" t="n"/>
      <c r="J100" s="19" t="n"/>
      <c r="K100" s="19" t="n"/>
      <c r="L100" s="17" t="inlineStr">
        <is>
          <t>BROUILLON</t>
        </is>
      </c>
      <c r="M100" s="17" t="n"/>
      <c r="N100" s="17" t="n"/>
      <c r="O100" s="17" t="n"/>
      <c r="P100" s="17" t="n"/>
      <c r="Q100" s="17" t="n"/>
      <c r="R100" s="17" t="n"/>
      <c r="S100" s="17" t="n"/>
    </row>
    <row r="101">
      <c r="A101" s="19" t="n"/>
      <c r="B101" s="18">
        <f>IF($A101="","",TEXT(TODAY(),"dd/mm/yyyy"))</f>
        <v/>
      </c>
      <c r="C101" s="19" t="n"/>
      <c r="D101" s="19" t="n"/>
      <c r="E101" s="18">
        <f>IF($D101="","",IFERROR(VLOOKUP($D101,ARTICLES!$A$5:$S$2243,3,FALSE),"reference inconnue"))</f>
        <v/>
      </c>
      <c r="F101" s="19" t="n"/>
      <c r="G101" s="18">
        <f>IF($D101="","",IFERROR(VLOOKUP($D101,ARTICLES!$A$5:$S$2243,12,FALSE),0))</f>
        <v/>
      </c>
      <c r="H101" s="18">
        <f>IF(F101="","",G101-F101)</f>
        <v/>
      </c>
      <c r="I101" s="19" t="n"/>
      <c r="J101" s="19" t="n"/>
      <c r="K101" s="19" t="n"/>
      <c r="L101" s="17" t="inlineStr">
        <is>
          <t>BROUILLON</t>
        </is>
      </c>
      <c r="M101" s="17" t="n"/>
      <c r="N101" s="17" t="n"/>
      <c r="O101" s="17" t="n"/>
      <c r="P101" s="17" t="n"/>
      <c r="Q101" s="17" t="n"/>
      <c r="R101" s="17" t="n"/>
      <c r="S101" s="17" t="n"/>
    </row>
    <row r="102">
      <c r="A102" s="19" t="n"/>
      <c r="B102" s="18">
        <f>IF($A102="","",TEXT(TODAY(),"dd/mm/yyyy"))</f>
        <v/>
      </c>
      <c r="C102" s="19" t="n"/>
      <c r="D102" s="19" t="n"/>
      <c r="E102" s="18">
        <f>IF($D102="","",IFERROR(VLOOKUP($D102,ARTICLES!$A$5:$S$2243,3,FALSE),"reference inconnue"))</f>
        <v/>
      </c>
      <c r="F102" s="19" t="n"/>
      <c r="G102" s="18">
        <f>IF($D102="","",IFERROR(VLOOKUP($D102,ARTICLES!$A$5:$S$2243,12,FALSE),0))</f>
        <v/>
      </c>
      <c r="H102" s="18">
        <f>IF(F102="","",G102-F102)</f>
        <v/>
      </c>
      <c r="I102" s="19" t="n"/>
      <c r="J102" s="19" t="n"/>
      <c r="K102" s="19" t="n"/>
      <c r="L102" s="17" t="inlineStr">
        <is>
          <t>BROUILLON</t>
        </is>
      </c>
      <c r="M102" s="17" t="n"/>
      <c r="N102" s="17" t="n"/>
      <c r="O102" s="17" t="n"/>
      <c r="P102" s="17" t="n"/>
      <c r="Q102" s="17" t="n"/>
      <c r="R102" s="17" t="n"/>
      <c r="S102" s="17" t="n"/>
    </row>
    <row r="103">
      <c r="A103" s="19" t="n"/>
      <c r="B103" s="18">
        <f>IF($A103="","",TEXT(TODAY(),"dd/mm/yyyy"))</f>
        <v/>
      </c>
      <c r="C103" s="19" t="n"/>
      <c r="D103" s="19" t="n"/>
      <c r="E103" s="18">
        <f>IF($D103="","",IFERROR(VLOOKUP($D103,ARTICLES!$A$5:$S$2243,3,FALSE),"reference inconnue"))</f>
        <v/>
      </c>
      <c r="F103" s="19" t="n"/>
      <c r="G103" s="18">
        <f>IF($D103="","",IFERROR(VLOOKUP($D103,ARTICLES!$A$5:$S$2243,12,FALSE),0))</f>
        <v/>
      </c>
      <c r="H103" s="18">
        <f>IF(F103="","",G103-F103)</f>
        <v/>
      </c>
      <c r="I103" s="19" t="n"/>
      <c r="J103" s="19" t="n"/>
      <c r="K103" s="19" t="n"/>
      <c r="L103" s="17" t="inlineStr">
        <is>
          <t>BROUILLON</t>
        </is>
      </c>
      <c r="M103" s="17" t="n"/>
      <c r="N103" s="17" t="n"/>
      <c r="O103" s="17" t="n"/>
      <c r="P103" s="17" t="n"/>
      <c r="Q103" s="17" t="n"/>
      <c r="R103" s="17" t="n"/>
      <c r="S103" s="17" t="n"/>
    </row>
    <row r="104">
      <c r="A104" s="19" t="n"/>
      <c r="B104" s="18">
        <f>IF($A104="","",TEXT(TODAY(),"dd/mm/yyyy"))</f>
        <v/>
      </c>
      <c r="C104" s="19" t="n"/>
      <c r="D104" s="19" t="n"/>
      <c r="E104" s="18">
        <f>IF($D104="","",IFERROR(VLOOKUP($D104,ARTICLES!$A$5:$S$2243,3,FALSE),"reference inconnue"))</f>
        <v/>
      </c>
      <c r="F104" s="19" t="n"/>
      <c r="G104" s="18">
        <f>IF($D104="","",IFERROR(VLOOKUP($D104,ARTICLES!$A$5:$S$2243,12,FALSE),0))</f>
        <v/>
      </c>
      <c r="H104" s="18">
        <f>IF(F104="","",G104-F104)</f>
        <v/>
      </c>
      <c r="I104" s="19" t="n"/>
      <c r="J104" s="19" t="n"/>
      <c r="K104" s="19" t="n"/>
      <c r="L104" s="17" t="inlineStr">
        <is>
          <t>BROUILLON</t>
        </is>
      </c>
      <c r="M104" s="17" t="n"/>
      <c r="N104" s="17" t="n"/>
      <c r="O104" s="17" t="n"/>
      <c r="P104" s="17" t="n"/>
      <c r="Q104" s="17" t="n"/>
      <c r="R104" s="17" t="n"/>
      <c r="S104" s="17" t="n"/>
    </row>
    <row r="105">
      <c r="A105" s="19" t="n"/>
      <c r="B105" s="18">
        <f>IF($A105="","",TEXT(TODAY(),"dd/mm/yyyy"))</f>
        <v/>
      </c>
      <c r="C105" s="19" t="n"/>
      <c r="D105" s="19" t="n"/>
      <c r="E105" s="18">
        <f>IF($D105="","",IFERROR(VLOOKUP($D105,ARTICLES!$A$5:$S$2243,3,FALSE),"reference inconnue"))</f>
        <v/>
      </c>
      <c r="F105" s="19" t="n"/>
      <c r="G105" s="18">
        <f>IF($D105="","",IFERROR(VLOOKUP($D105,ARTICLES!$A$5:$S$2243,12,FALSE),0))</f>
        <v/>
      </c>
      <c r="H105" s="18">
        <f>IF(F105="","",G105-F105)</f>
        <v/>
      </c>
      <c r="I105" s="19" t="n"/>
      <c r="J105" s="19" t="n"/>
      <c r="K105" s="19" t="n"/>
      <c r="L105" s="17" t="inlineStr">
        <is>
          <t>BROUILLON</t>
        </is>
      </c>
      <c r="M105" s="17" t="n"/>
      <c r="N105" s="17" t="n"/>
      <c r="O105" s="17" t="n"/>
      <c r="P105" s="17" t="n"/>
      <c r="Q105" s="17" t="n"/>
      <c r="R105" s="17" t="n"/>
      <c r="S105" s="17" t="n"/>
    </row>
    <row r="106">
      <c r="A106" s="19" t="n"/>
      <c r="B106" s="18">
        <f>IF($A106="","",TEXT(TODAY(),"dd/mm/yyyy"))</f>
        <v/>
      </c>
      <c r="C106" s="19" t="n"/>
      <c r="D106" s="19" t="n"/>
      <c r="E106" s="18">
        <f>IF($D106="","",IFERROR(VLOOKUP($D106,ARTICLES!$A$5:$S$2243,3,FALSE),"reference inconnue"))</f>
        <v/>
      </c>
      <c r="F106" s="19" t="n"/>
      <c r="G106" s="18">
        <f>IF($D106="","",IFERROR(VLOOKUP($D106,ARTICLES!$A$5:$S$2243,12,FALSE),0))</f>
        <v/>
      </c>
      <c r="H106" s="18">
        <f>IF(F106="","",G106-F106)</f>
        <v/>
      </c>
      <c r="I106" s="19" t="n"/>
      <c r="J106" s="19" t="n"/>
      <c r="K106" s="19" t="n"/>
      <c r="L106" s="17" t="inlineStr">
        <is>
          <t>BROUILLON</t>
        </is>
      </c>
      <c r="M106" s="17" t="n"/>
      <c r="N106" s="17" t="n"/>
      <c r="O106" s="17" t="n"/>
      <c r="P106" s="17" t="n"/>
      <c r="Q106" s="17" t="n"/>
      <c r="R106" s="17" t="n"/>
      <c r="S106" s="17" t="n"/>
    </row>
    <row r="107">
      <c r="A107" s="19" t="n"/>
      <c r="B107" s="18">
        <f>IF($A107="","",TEXT(TODAY(),"dd/mm/yyyy"))</f>
        <v/>
      </c>
      <c r="C107" s="19" t="n"/>
      <c r="D107" s="19" t="n"/>
      <c r="E107" s="18">
        <f>IF($D107="","",IFERROR(VLOOKUP($D107,ARTICLES!$A$5:$S$2243,3,FALSE),"reference inconnue"))</f>
        <v/>
      </c>
      <c r="F107" s="19" t="n"/>
      <c r="G107" s="18">
        <f>IF($D107="","",IFERROR(VLOOKUP($D107,ARTICLES!$A$5:$S$2243,12,FALSE),0))</f>
        <v/>
      </c>
      <c r="H107" s="18">
        <f>IF(F107="","",G107-F107)</f>
        <v/>
      </c>
      <c r="I107" s="19" t="n"/>
      <c r="J107" s="19" t="n"/>
      <c r="K107" s="19" t="n"/>
      <c r="L107" s="17" t="inlineStr">
        <is>
          <t>BROUILLON</t>
        </is>
      </c>
      <c r="M107" s="17" t="n"/>
      <c r="N107" s="17" t="n"/>
      <c r="O107" s="17" t="n"/>
      <c r="P107" s="17" t="n"/>
      <c r="Q107" s="17" t="n"/>
      <c r="R107" s="17" t="n"/>
      <c r="S107" s="17" t="n"/>
    </row>
    <row r="108">
      <c r="A108" s="19" t="n"/>
      <c r="B108" s="18">
        <f>IF($A108="","",TEXT(TODAY(),"dd/mm/yyyy"))</f>
        <v/>
      </c>
      <c r="C108" s="19" t="n"/>
      <c r="D108" s="19" t="n"/>
      <c r="E108" s="18">
        <f>IF($D108="","",IFERROR(VLOOKUP($D108,ARTICLES!$A$5:$S$2243,3,FALSE),"reference inconnue"))</f>
        <v/>
      </c>
      <c r="F108" s="19" t="n"/>
      <c r="G108" s="18">
        <f>IF($D108="","",IFERROR(VLOOKUP($D108,ARTICLES!$A$5:$S$2243,12,FALSE),0))</f>
        <v/>
      </c>
      <c r="H108" s="18">
        <f>IF(F108="","",G108-F108)</f>
        <v/>
      </c>
      <c r="I108" s="19" t="n"/>
      <c r="J108" s="19" t="n"/>
      <c r="K108" s="19" t="n"/>
      <c r="L108" s="17" t="inlineStr">
        <is>
          <t>BROUILLON</t>
        </is>
      </c>
      <c r="M108" s="17" t="n"/>
      <c r="N108" s="17" t="n"/>
      <c r="O108" s="17" t="n"/>
      <c r="P108" s="17" t="n"/>
      <c r="Q108" s="17" t="n"/>
      <c r="R108" s="17" t="n"/>
      <c r="S108" s="17" t="n"/>
    </row>
    <row r="109">
      <c r="A109" s="19" t="n"/>
      <c r="B109" s="18">
        <f>IF($A109="","",TEXT(TODAY(),"dd/mm/yyyy"))</f>
        <v/>
      </c>
      <c r="C109" s="19" t="n"/>
      <c r="D109" s="19" t="n"/>
      <c r="E109" s="18">
        <f>IF($D109="","",IFERROR(VLOOKUP($D109,ARTICLES!$A$5:$S$2243,3,FALSE),"reference inconnue"))</f>
        <v/>
      </c>
      <c r="F109" s="19" t="n"/>
      <c r="G109" s="18">
        <f>IF($D109="","",IFERROR(VLOOKUP($D109,ARTICLES!$A$5:$S$2243,12,FALSE),0))</f>
        <v/>
      </c>
      <c r="H109" s="18">
        <f>IF(F109="","",G109-F109)</f>
        <v/>
      </c>
      <c r="I109" s="19" t="n"/>
      <c r="J109" s="19" t="n"/>
      <c r="K109" s="19" t="n"/>
      <c r="L109" s="17" t="inlineStr">
        <is>
          <t>BROUILLON</t>
        </is>
      </c>
      <c r="M109" s="17" t="n"/>
      <c r="N109" s="17" t="n"/>
      <c r="O109" s="17" t="n"/>
      <c r="P109" s="17" t="n"/>
      <c r="Q109" s="17" t="n"/>
      <c r="R109" s="17" t="n"/>
      <c r="S109" s="17" t="n"/>
    </row>
    <row r="110">
      <c r="A110" s="19" t="n"/>
      <c r="B110" s="18">
        <f>IF($A110="","",TEXT(TODAY(),"dd/mm/yyyy"))</f>
        <v/>
      </c>
      <c r="C110" s="19" t="n"/>
      <c r="D110" s="19" t="n"/>
      <c r="E110" s="18">
        <f>IF($D110="","",IFERROR(VLOOKUP($D110,ARTICLES!$A$5:$S$2243,3,FALSE),"reference inconnue"))</f>
        <v/>
      </c>
      <c r="F110" s="19" t="n"/>
      <c r="G110" s="18">
        <f>IF($D110="","",IFERROR(VLOOKUP($D110,ARTICLES!$A$5:$S$2243,12,FALSE),0))</f>
        <v/>
      </c>
      <c r="H110" s="18">
        <f>IF(F110="","",G110-F110)</f>
        <v/>
      </c>
      <c r="I110" s="19" t="n"/>
      <c r="J110" s="19" t="n"/>
      <c r="K110" s="19" t="n"/>
      <c r="L110" s="17" t="inlineStr">
        <is>
          <t>BROUILLON</t>
        </is>
      </c>
      <c r="M110" s="17" t="n"/>
      <c r="N110" s="17" t="n"/>
      <c r="O110" s="17" t="n"/>
      <c r="P110" s="17" t="n"/>
      <c r="Q110" s="17" t="n"/>
      <c r="R110" s="17" t="n"/>
      <c r="S110" s="17" t="n"/>
    </row>
    <row r="111">
      <c r="A111" s="19" t="n"/>
      <c r="B111" s="18">
        <f>IF($A111="","",TEXT(TODAY(),"dd/mm/yyyy"))</f>
        <v/>
      </c>
      <c r="C111" s="19" t="n"/>
      <c r="D111" s="19" t="n"/>
      <c r="E111" s="18">
        <f>IF($D111="","",IFERROR(VLOOKUP($D111,ARTICLES!$A$5:$S$2243,3,FALSE),"reference inconnue"))</f>
        <v/>
      </c>
      <c r="F111" s="19" t="n"/>
      <c r="G111" s="18">
        <f>IF($D111="","",IFERROR(VLOOKUP($D111,ARTICLES!$A$5:$S$2243,12,FALSE),0))</f>
        <v/>
      </c>
      <c r="H111" s="18">
        <f>IF(F111="","",G111-F111)</f>
        <v/>
      </c>
      <c r="I111" s="19" t="n"/>
      <c r="J111" s="19" t="n"/>
      <c r="K111" s="19" t="n"/>
      <c r="L111" s="17" t="inlineStr">
        <is>
          <t>BROUILLON</t>
        </is>
      </c>
      <c r="M111" s="17" t="n"/>
      <c r="N111" s="17" t="n"/>
      <c r="O111" s="17" t="n"/>
      <c r="P111" s="17" t="n"/>
      <c r="Q111" s="17" t="n"/>
      <c r="R111" s="17" t="n"/>
      <c r="S111" s="17" t="n"/>
    </row>
    <row r="112">
      <c r="A112" s="19" t="n"/>
      <c r="B112" s="18">
        <f>IF($A112="","",TEXT(TODAY(),"dd/mm/yyyy"))</f>
        <v/>
      </c>
      <c r="C112" s="19" t="n"/>
      <c r="D112" s="19" t="n"/>
      <c r="E112" s="18">
        <f>IF($D112="","",IFERROR(VLOOKUP($D112,ARTICLES!$A$5:$S$2243,3,FALSE),"reference inconnue"))</f>
        <v/>
      </c>
      <c r="F112" s="19" t="n"/>
      <c r="G112" s="18">
        <f>IF($D112="","",IFERROR(VLOOKUP($D112,ARTICLES!$A$5:$S$2243,12,FALSE),0))</f>
        <v/>
      </c>
      <c r="H112" s="18">
        <f>IF(F112="","",G112-F112)</f>
        <v/>
      </c>
      <c r="I112" s="19" t="n"/>
      <c r="J112" s="19" t="n"/>
      <c r="K112" s="19" t="n"/>
      <c r="L112" s="17" t="inlineStr">
        <is>
          <t>BROUILLON</t>
        </is>
      </c>
      <c r="M112" s="17" t="n"/>
      <c r="N112" s="17" t="n"/>
      <c r="O112" s="17" t="n"/>
      <c r="P112" s="17" t="n"/>
      <c r="Q112" s="17" t="n"/>
      <c r="R112" s="17" t="n"/>
      <c r="S112" s="17" t="n"/>
    </row>
    <row r="113">
      <c r="A113" s="19" t="n"/>
      <c r="B113" s="18">
        <f>IF($A113="","",TEXT(TODAY(),"dd/mm/yyyy"))</f>
        <v/>
      </c>
      <c r="C113" s="19" t="n"/>
      <c r="D113" s="19" t="n"/>
      <c r="E113" s="18">
        <f>IF($D113="","",IFERROR(VLOOKUP($D113,ARTICLES!$A$5:$S$2243,3,FALSE),"reference inconnue"))</f>
        <v/>
      </c>
      <c r="F113" s="19" t="n"/>
      <c r="G113" s="18">
        <f>IF($D113="","",IFERROR(VLOOKUP($D113,ARTICLES!$A$5:$S$2243,12,FALSE),0))</f>
        <v/>
      </c>
      <c r="H113" s="18">
        <f>IF(F113="","",G113-F113)</f>
        <v/>
      </c>
      <c r="I113" s="19" t="n"/>
      <c r="J113" s="19" t="n"/>
      <c r="K113" s="19" t="n"/>
      <c r="L113" s="17" t="inlineStr">
        <is>
          <t>BROUILLON</t>
        </is>
      </c>
      <c r="M113" s="17" t="n"/>
      <c r="N113" s="17" t="n"/>
      <c r="O113" s="17" t="n"/>
      <c r="P113" s="17" t="n"/>
      <c r="Q113" s="17" t="n"/>
      <c r="R113" s="17" t="n"/>
      <c r="S113" s="17" t="n"/>
    </row>
    <row r="114">
      <c r="A114" s="19" t="n"/>
      <c r="B114" s="18">
        <f>IF($A114="","",TEXT(TODAY(),"dd/mm/yyyy"))</f>
        <v/>
      </c>
      <c r="C114" s="19" t="n"/>
      <c r="D114" s="19" t="n"/>
      <c r="E114" s="18">
        <f>IF($D114="","",IFERROR(VLOOKUP($D114,ARTICLES!$A$5:$S$2243,3,FALSE),"reference inconnue"))</f>
        <v/>
      </c>
      <c r="F114" s="19" t="n"/>
      <c r="G114" s="18">
        <f>IF($D114="","",IFERROR(VLOOKUP($D114,ARTICLES!$A$5:$S$2243,12,FALSE),0))</f>
        <v/>
      </c>
      <c r="H114" s="18">
        <f>IF(F114="","",G114-F114)</f>
        <v/>
      </c>
      <c r="I114" s="19" t="n"/>
      <c r="J114" s="19" t="n"/>
      <c r="K114" s="19" t="n"/>
      <c r="L114" s="17" t="inlineStr">
        <is>
          <t>BROUILLON</t>
        </is>
      </c>
      <c r="M114" s="17" t="n"/>
      <c r="N114" s="17" t="n"/>
      <c r="O114" s="17" t="n"/>
      <c r="P114" s="17" t="n"/>
      <c r="Q114" s="17" t="n"/>
      <c r="R114" s="17" t="n"/>
      <c r="S114" s="17" t="n"/>
    </row>
    <row r="115">
      <c r="A115" s="19" t="n"/>
      <c r="B115" s="18">
        <f>IF($A115="","",TEXT(TODAY(),"dd/mm/yyyy"))</f>
        <v/>
      </c>
      <c r="C115" s="19" t="n"/>
      <c r="D115" s="19" t="n"/>
      <c r="E115" s="18">
        <f>IF($D115="","",IFERROR(VLOOKUP($D115,ARTICLES!$A$5:$S$2243,3,FALSE),"reference inconnue"))</f>
        <v/>
      </c>
      <c r="F115" s="19" t="n"/>
      <c r="G115" s="18">
        <f>IF($D115="","",IFERROR(VLOOKUP($D115,ARTICLES!$A$5:$S$2243,12,FALSE),0))</f>
        <v/>
      </c>
      <c r="H115" s="18">
        <f>IF(F115="","",G115-F115)</f>
        <v/>
      </c>
      <c r="I115" s="19" t="n"/>
      <c r="J115" s="19" t="n"/>
      <c r="K115" s="19" t="n"/>
      <c r="L115" s="17" t="inlineStr">
        <is>
          <t>BROUILLON</t>
        </is>
      </c>
      <c r="M115" s="17" t="n"/>
      <c r="N115" s="17" t="n"/>
      <c r="O115" s="17" t="n"/>
      <c r="P115" s="17" t="n"/>
      <c r="Q115" s="17" t="n"/>
      <c r="R115" s="17" t="n"/>
      <c r="S115" s="17" t="n"/>
    </row>
    <row r="116">
      <c r="A116" s="19" t="n"/>
      <c r="B116" s="18">
        <f>IF($A116="","",TEXT(TODAY(),"dd/mm/yyyy"))</f>
        <v/>
      </c>
      <c r="C116" s="19" t="n"/>
      <c r="D116" s="19" t="n"/>
      <c r="E116" s="18">
        <f>IF($D116="","",IFERROR(VLOOKUP($D116,ARTICLES!$A$5:$S$2243,3,FALSE),"reference inconnue"))</f>
        <v/>
      </c>
      <c r="F116" s="19" t="n"/>
      <c r="G116" s="18">
        <f>IF($D116="","",IFERROR(VLOOKUP($D116,ARTICLES!$A$5:$S$2243,12,FALSE),0))</f>
        <v/>
      </c>
      <c r="H116" s="18">
        <f>IF(F116="","",G116-F116)</f>
        <v/>
      </c>
      <c r="I116" s="19" t="n"/>
      <c r="J116" s="19" t="n"/>
      <c r="K116" s="19" t="n"/>
      <c r="L116" s="17" t="inlineStr">
        <is>
          <t>BROUILLON</t>
        </is>
      </c>
      <c r="M116" s="17" t="n"/>
      <c r="N116" s="17" t="n"/>
      <c r="O116" s="17" t="n"/>
      <c r="P116" s="17" t="n"/>
      <c r="Q116" s="17" t="n"/>
      <c r="R116" s="17" t="n"/>
      <c r="S116" s="17" t="n"/>
    </row>
    <row r="117">
      <c r="A117" s="19" t="n"/>
      <c r="B117" s="18">
        <f>IF($A117="","",TEXT(TODAY(),"dd/mm/yyyy"))</f>
        <v/>
      </c>
      <c r="C117" s="19" t="n"/>
      <c r="D117" s="19" t="n"/>
      <c r="E117" s="18">
        <f>IF($D117="","",IFERROR(VLOOKUP($D117,ARTICLES!$A$5:$S$2243,3,FALSE),"reference inconnue"))</f>
        <v/>
      </c>
      <c r="F117" s="19" t="n"/>
      <c r="G117" s="18">
        <f>IF($D117="","",IFERROR(VLOOKUP($D117,ARTICLES!$A$5:$S$2243,12,FALSE),0))</f>
        <v/>
      </c>
      <c r="H117" s="18">
        <f>IF(F117="","",G117-F117)</f>
        <v/>
      </c>
      <c r="I117" s="19" t="n"/>
      <c r="J117" s="19" t="n"/>
      <c r="K117" s="19" t="n"/>
      <c r="L117" s="17" t="inlineStr">
        <is>
          <t>BROUILLON</t>
        </is>
      </c>
      <c r="M117" s="17" t="n"/>
      <c r="N117" s="17" t="n"/>
      <c r="O117" s="17" t="n"/>
      <c r="P117" s="17" t="n"/>
      <c r="Q117" s="17" t="n"/>
      <c r="R117" s="17" t="n"/>
      <c r="S117" s="17" t="n"/>
    </row>
    <row r="118">
      <c r="A118" s="19" t="n"/>
      <c r="B118" s="18">
        <f>IF($A118="","",TEXT(TODAY(),"dd/mm/yyyy"))</f>
        <v/>
      </c>
      <c r="C118" s="19" t="n"/>
      <c r="D118" s="19" t="n"/>
      <c r="E118" s="18">
        <f>IF($D118="","",IFERROR(VLOOKUP($D118,ARTICLES!$A$5:$S$2243,3,FALSE),"reference inconnue"))</f>
        <v/>
      </c>
      <c r="F118" s="19" t="n"/>
      <c r="G118" s="18">
        <f>IF($D118="","",IFERROR(VLOOKUP($D118,ARTICLES!$A$5:$S$2243,12,FALSE),0))</f>
        <v/>
      </c>
      <c r="H118" s="18">
        <f>IF(F118="","",G118-F118)</f>
        <v/>
      </c>
      <c r="I118" s="19" t="n"/>
      <c r="J118" s="19" t="n"/>
      <c r="K118" s="19" t="n"/>
      <c r="L118" s="17" t="inlineStr">
        <is>
          <t>BROUILLON</t>
        </is>
      </c>
      <c r="M118" s="17" t="n"/>
      <c r="N118" s="17" t="n"/>
      <c r="O118" s="17" t="n"/>
      <c r="P118" s="17" t="n"/>
      <c r="Q118" s="17" t="n"/>
      <c r="R118" s="17" t="n"/>
      <c r="S118" s="17" t="n"/>
    </row>
    <row r="119">
      <c r="A119" s="19" t="n"/>
      <c r="B119" s="18">
        <f>IF($A119="","",TEXT(TODAY(),"dd/mm/yyyy"))</f>
        <v/>
      </c>
      <c r="C119" s="19" t="n"/>
      <c r="D119" s="19" t="n"/>
      <c r="E119" s="18">
        <f>IF($D119="","",IFERROR(VLOOKUP($D119,ARTICLES!$A$5:$S$2243,3,FALSE),"reference inconnue"))</f>
        <v/>
      </c>
      <c r="F119" s="19" t="n"/>
      <c r="G119" s="18">
        <f>IF($D119="","",IFERROR(VLOOKUP($D119,ARTICLES!$A$5:$S$2243,12,FALSE),0))</f>
        <v/>
      </c>
      <c r="H119" s="18">
        <f>IF(F119="","",G119-F119)</f>
        <v/>
      </c>
      <c r="I119" s="19" t="n"/>
      <c r="J119" s="19" t="n"/>
      <c r="K119" s="19" t="n"/>
      <c r="L119" s="17" t="inlineStr">
        <is>
          <t>BROUILLON</t>
        </is>
      </c>
      <c r="M119" s="17" t="n"/>
      <c r="N119" s="17" t="n"/>
      <c r="O119" s="17" t="n"/>
      <c r="P119" s="17" t="n"/>
      <c r="Q119" s="17" t="n"/>
      <c r="R119" s="17" t="n"/>
      <c r="S119" s="17" t="n"/>
    </row>
    <row r="120">
      <c r="A120" s="19" t="n"/>
      <c r="B120" s="18">
        <f>IF($A120="","",TEXT(TODAY(),"dd/mm/yyyy"))</f>
        <v/>
      </c>
      <c r="C120" s="19" t="n"/>
      <c r="D120" s="19" t="n"/>
      <c r="E120" s="18">
        <f>IF($D120="","",IFERROR(VLOOKUP($D120,ARTICLES!$A$5:$S$2243,3,FALSE),"reference inconnue"))</f>
        <v/>
      </c>
      <c r="F120" s="19" t="n"/>
      <c r="G120" s="18">
        <f>IF($D120="","",IFERROR(VLOOKUP($D120,ARTICLES!$A$5:$S$2243,12,FALSE),0))</f>
        <v/>
      </c>
      <c r="H120" s="18">
        <f>IF(F120="","",G120-F120)</f>
        <v/>
      </c>
      <c r="I120" s="19" t="n"/>
      <c r="J120" s="19" t="n"/>
      <c r="K120" s="19" t="n"/>
      <c r="L120" s="17" t="inlineStr">
        <is>
          <t>BROUILLON</t>
        </is>
      </c>
      <c r="M120" s="17" t="n"/>
      <c r="N120" s="17" t="n"/>
      <c r="O120" s="17" t="n"/>
      <c r="P120" s="17" t="n"/>
      <c r="Q120" s="17" t="n"/>
      <c r="R120" s="17" t="n"/>
      <c r="S120" s="17" t="n"/>
    </row>
    <row r="121">
      <c r="A121" s="19" t="n"/>
      <c r="B121" s="18">
        <f>IF($A121="","",TEXT(TODAY(),"dd/mm/yyyy"))</f>
        <v/>
      </c>
      <c r="C121" s="19" t="n"/>
      <c r="D121" s="19" t="n"/>
      <c r="E121" s="18">
        <f>IF($D121="","",IFERROR(VLOOKUP($D121,ARTICLES!$A$5:$S$2243,3,FALSE),"reference inconnue"))</f>
        <v/>
      </c>
      <c r="F121" s="19" t="n"/>
      <c r="G121" s="18">
        <f>IF($D121="","",IFERROR(VLOOKUP($D121,ARTICLES!$A$5:$S$2243,12,FALSE),0))</f>
        <v/>
      </c>
      <c r="H121" s="18">
        <f>IF(F121="","",G121-F121)</f>
        <v/>
      </c>
      <c r="I121" s="19" t="n"/>
      <c r="J121" s="19" t="n"/>
      <c r="K121" s="19" t="n"/>
      <c r="L121" s="17" t="inlineStr">
        <is>
          <t>BROUILLON</t>
        </is>
      </c>
      <c r="M121" s="17" t="n"/>
      <c r="N121" s="17" t="n"/>
      <c r="O121" s="17" t="n"/>
      <c r="P121" s="17" t="n"/>
      <c r="Q121" s="17" t="n"/>
      <c r="R121" s="17" t="n"/>
      <c r="S121" s="17" t="n"/>
    </row>
    <row r="122">
      <c r="A122" s="19" t="n"/>
      <c r="B122" s="18">
        <f>IF($A122="","",TEXT(TODAY(),"dd/mm/yyyy"))</f>
        <v/>
      </c>
      <c r="C122" s="19" t="n"/>
      <c r="D122" s="19" t="n"/>
      <c r="E122" s="18">
        <f>IF($D122="","",IFERROR(VLOOKUP($D122,ARTICLES!$A$5:$S$2243,3,FALSE),"reference inconnue"))</f>
        <v/>
      </c>
      <c r="F122" s="19" t="n"/>
      <c r="G122" s="18">
        <f>IF($D122="","",IFERROR(VLOOKUP($D122,ARTICLES!$A$5:$S$2243,12,FALSE),0))</f>
        <v/>
      </c>
      <c r="H122" s="18">
        <f>IF(F122="","",G122-F122)</f>
        <v/>
      </c>
      <c r="I122" s="19" t="n"/>
      <c r="J122" s="19" t="n"/>
      <c r="K122" s="19" t="n"/>
      <c r="L122" s="17" t="inlineStr">
        <is>
          <t>BROUILLON</t>
        </is>
      </c>
      <c r="M122" s="17" t="n"/>
      <c r="N122" s="17" t="n"/>
      <c r="O122" s="17" t="n"/>
      <c r="P122" s="17" t="n"/>
      <c r="Q122" s="17" t="n"/>
      <c r="R122" s="17" t="n"/>
      <c r="S122" s="17" t="n"/>
    </row>
    <row r="123">
      <c r="A123" s="19" t="n"/>
      <c r="B123" s="18">
        <f>IF($A123="","",TEXT(TODAY(),"dd/mm/yyyy"))</f>
        <v/>
      </c>
      <c r="C123" s="19" t="n"/>
      <c r="D123" s="19" t="n"/>
      <c r="E123" s="18">
        <f>IF($D123="","",IFERROR(VLOOKUP($D123,ARTICLES!$A$5:$S$2243,3,FALSE),"reference inconnue"))</f>
        <v/>
      </c>
      <c r="F123" s="19" t="n"/>
      <c r="G123" s="18">
        <f>IF($D123="","",IFERROR(VLOOKUP($D123,ARTICLES!$A$5:$S$2243,12,FALSE),0))</f>
        <v/>
      </c>
      <c r="H123" s="18">
        <f>IF(F123="","",G123-F123)</f>
        <v/>
      </c>
      <c r="I123" s="19" t="n"/>
      <c r="J123" s="19" t="n"/>
      <c r="K123" s="19" t="n"/>
      <c r="L123" s="17" t="inlineStr">
        <is>
          <t>BROUILLON</t>
        </is>
      </c>
      <c r="M123" s="17" t="n"/>
      <c r="N123" s="17" t="n"/>
      <c r="O123" s="17" t="n"/>
      <c r="P123" s="17" t="n"/>
      <c r="Q123" s="17" t="n"/>
      <c r="R123" s="17" t="n"/>
      <c r="S123" s="17" t="n"/>
    </row>
    <row r="124">
      <c r="A124" s="19" t="n"/>
      <c r="B124" s="18">
        <f>IF($A124="","",TEXT(TODAY(),"dd/mm/yyyy"))</f>
        <v/>
      </c>
      <c r="C124" s="19" t="n"/>
      <c r="D124" s="19" t="n"/>
      <c r="E124" s="18">
        <f>IF($D124="","",IFERROR(VLOOKUP($D124,ARTICLES!$A$5:$S$2243,3,FALSE),"reference inconnue"))</f>
        <v/>
      </c>
      <c r="F124" s="19" t="n"/>
      <c r="G124" s="18">
        <f>IF($D124="","",IFERROR(VLOOKUP($D124,ARTICLES!$A$5:$S$2243,12,FALSE),0))</f>
        <v/>
      </c>
      <c r="H124" s="18">
        <f>IF(F124="","",G124-F124)</f>
        <v/>
      </c>
      <c r="I124" s="19" t="n"/>
      <c r="J124" s="19" t="n"/>
      <c r="K124" s="19" t="n"/>
      <c r="L124" s="17" t="inlineStr">
        <is>
          <t>BROUILLON</t>
        </is>
      </c>
      <c r="M124" s="17" t="n"/>
      <c r="N124" s="17" t="n"/>
      <c r="O124" s="17" t="n"/>
      <c r="P124" s="17" t="n"/>
      <c r="Q124" s="17" t="n"/>
      <c r="R124" s="17" t="n"/>
      <c r="S124" s="17" t="n"/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3">
    <mergeCell ref="A3:S3"/>
    <mergeCell ref="A2:S2"/>
    <mergeCell ref="A1:S1"/>
  </mergeCells>
  <conditionalFormatting sqref="L5:L124">
    <cfRule type="cellIs" priority="1" operator="equal" dxfId="3">
      <formula>"BROUILLON"</formula>
    </cfRule>
    <cfRule type="cellIs" priority="2" operator="equal" dxfId="1">
      <formula>"EN ATTENTE DE VALIDATION"</formula>
    </cfRule>
    <cfRule type="cellIs" priority="3" operator="equal" dxfId="0">
      <formula>"VALIDE"</formula>
    </cfRule>
    <cfRule type="cellIs" priority="4" operator="equal" dxfId="2">
      <formula>"REJETE"</formula>
    </cfRule>
  </conditionalFormatting>
  <dataValidations count="8">
    <dataValidation sqref="L5:L124" showDropDown="0" showInputMessage="0" showErrorMessage="0" allowBlank="1" type="list">
      <formula1>"BROUILLON,EN ATTENTE DE VALIDATION,VALIDE,REJETE"</formula1>
    </dataValidation>
    <dataValidation sqref="D5:D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e code de la piece (WHAP-...). La designation s'affiche toute seule a cote." type="list">
      <formula1>ARTICLES!$A$5:$A$2243</formula1>
    </dataValidation>
    <dataValidation sqref="C5:C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a station de montage qui demande la piece." type="list">
      <formula1>LISTES!$H$2:$H$9</formula1>
    </dataValidation>
    <dataValidation sqref="K5:K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votre matricule." type="list">
      <formula1>LISTES!$G$2:$G$25</formula1>
    </dataValidation>
    <dataValidation sqref="A5:A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a demande de production a servir." type="list">
      <formula1>LISTES!$A$2:$A$52</formula1>
    </dataValidation>
    <dataValidation sqref="I5:I124" showDropDown="0" showInputMessage="1" showErrorMessage="0" allowBlank="1" errorTitle="Valeur hors liste" error="Choisissez une valeur dans la liste. Elle vient de SLCC: une valeur saisie a la main ne serait pas reconnue." promptTitle="Choisissez dans la liste" prompt="1 est la plus urgente, 5 la moins urgente." type="list">
      <formula1>"1,2,3,4,5"</formula1>
    </dataValidation>
    <dataValidation sqref="F5:F124" showDropDown="0" showInputMessage="1" showErrorMessage="0" allowBlank="1" promptTitle="A saisir" prompt="Quantite demandee par la station."/>
    <dataValidation sqref="J5:J124" showDropDown="0" showInputMessage="1" showErrorMessage="0" allowBlank="1" promptTitle="A saisir" prompt="Facultatif."/>
  </dataValidations>
  <pageMargins left="0.75" right="0.75" top="1" bottom="1" header="0.5" footer="0.5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S124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4" customWidth="1" min="1" max="1"/>
    <col width="12" customWidth="1" min="2" max="2"/>
    <col hidden="1" width="10" customWidth="1" min="3" max="3"/>
    <col width="16" customWidth="1" min="4" max="4"/>
    <col width="16" customWidth="1" min="5" max="5"/>
    <col width="30" customWidth="1" min="6" max="6"/>
    <col width="18" customWidth="1" min="7" max="7"/>
    <col width="16" customWidth="1" min="8" max="8"/>
    <col width="14" customWidth="1" min="9" max="9"/>
    <col width="26" customWidth="1" min="10" max="10"/>
    <col width="20" customWidth="1" min="11" max="11"/>
    <col width="24" customWidth="1" min="12" max="12"/>
    <col width="20" customWidth="1" min="13" max="13"/>
    <col width="18" customWidth="1" min="14" max="14"/>
    <col width="30" customWidth="1" min="15" max="15"/>
    <col width="14" customWidth="1" min="16" max="16"/>
    <col hidden="1" outlineLevel="1" width="18" customWidth="1" min="17" max="19"/>
  </cols>
  <sheetData>
    <row r="1" ht="22" customHeight="1">
      <c r="A1" s="1" t="inlineStr">
        <is>
          <t>SORTIES</t>
        </is>
      </c>
    </row>
    <row r="2">
      <c r="A2" s="2" t="inlineStr">
        <is>
          <t>Sortie confirmee. C'est la seule operation qui diminue le stock.</t>
        </is>
      </c>
    </row>
    <row r="3" ht="15" customHeight="1">
      <c r="A3" s="13" t="inlineStr">
        <is>
          <t>SLCC - aucune synchronisation depuis l'ouverture du fichier</t>
        </is>
      </c>
    </row>
    <row r="4" ht="30" customHeight="1">
      <c r="A4" s="14" t="inlineStr">
        <is>
          <t>ID_SORTIE</t>
        </is>
      </c>
      <c r="B4" s="15" t="inlineStr">
        <is>
          <t>DATE</t>
        </is>
      </c>
      <c r="C4" s="14" t="inlineStr">
        <is>
          <t>HEURE</t>
        </is>
      </c>
      <c r="D4" s="6" t="inlineStr">
        <is>
          <t>ID_DEMANDE</t>
        </is>
      </c>
      <c r="E4" s="6" t="inlineStr">
        <is>
          <t>REFERENCE_PIECE</t>
        </is>
      </c>
      <c r="F4" s="14" t="inlineStr">
        <is>
          <t>DESIGNATION</t>
        </is>
      </c>
      <c r="G4" s="6" t="inlineStr">
        <is>
          <t>QUANTITE_PREPAREE</t>
        </is>
      </c>
      <c r="H4" s="6" t="inlineStr">
        <is>
          <t>QUANTITE_SORTIE</t>
        </is>
      </c>
      <c r="I4" s="6" t="inlineStr">
        <is>
          <t>EMPLACEMENT</t>
        </is>
      </c>
      <c r="J4" s="16" t="inlineStr">
        <is>
          <t>COMMENTAIRE</t>
        </is>
      </c>
      <c r="K4" s="6" t="inlineStr">
        <is>
          <t>MATRICULE_OPERATEUR</t>
        </is>
      </c>
      <c r="L4" s="14" t="inlineStr">
        <is>
          <t>STATUT</t>
        </is>
      </c>
      <c r="M4" s="14" t="inlineStr">
        <is>
          <t>MATRICULE_CHECKER</t>
        </is>
      </c>
      <c r="N4" s="14" t="inlineStr">
        <is>
          <t>DATE_VALIDATION</t>
        </is>
      </c>
      <c r="O4" s="14" t="inlineStr">
        <is>
          <t>MOTIF_REJET</t>
        </is>
      </c>
      <c r="P4" s="14" t="inlineStr">
        <is>
          <t>ETAT_SYNC</t>
        </is>
      </c>
      <c r="Q4" s="14" t="inlineStr">
        <is>
          <t>DATE_SOUMISSION</t>
        </is>
      </c>
      <c r="R4" s="14" t="inlineStr">
        <is>
          <t>ID_SYNC</t>
        </is>
      </c>
      <c r="S4" s="14" t="inlineStr">
        <is>
          <t>JETON_VALIDATION</t>
        </is>
      </c>
    </row>
    <row r="5">
      <c r="A5" s="17" t="inlineStr">
        <is>
          <t>MOV-2026-00216</t>
        </is>
      </c>
      <c r="B5" s="18" t="inlineStr">
        <is>
          <t>31/08/2026</t>
        </is>
      </c>
      <c r="C5" s="18" t="inlineStr">
        <is>
          <t>09:29</t>
        </is>
      </c>
      <c r="D5" s="17" t="inlineStr">
        <is>
          <t>PR-2026-117</t>
        </is>
      </c>
      <c r="E5" s="17" t="inlineStr">
        <is>
          <t>WHAP-0315</t>
        </is>
      </c>
      <c r="F5" s="18">
        <f>IF($E5="","",IFERROR(VLOOKUP($E5,ARTICLES!$A$5:$S$2243,3,FALSE),"reference inconnue"))</f>
        <v/>
      </c>
      <c r="G5" s="17" t="n">
        <v>30</v>
      </c>
      <c r="H5" s="17" t="n">
        <v>30</v>
      </c>
      <c r="I5" s="17" t="inlineStr">
        <is>
          <t>B-03-03</t>
        </is>
      </c>
      <c r="J5" s="17" t="inlineStr">
        <is>
          <t>Issued 30 x WHAP-0315 to ST-04 for PR-2026-117</t>
        </is>
      </c>
      <c r="K5" s="17" t="inlineStr">
        <is>
          <t>WH-008</t>
        </is>
      </c>
      <c r="L5" s="17" t="inlineStr">
        <is>
          <t>VALIDE</t>
        </is>
      </c>
      <c r="M5" s="17" t="inlineStr"/>
      <c r="N5" s="17" t="inlineStr"/>
      <c r="O5" s="17" t="inlineStr"/>
      <c r="P5" s="17" t="inlineStr">
        <is>
          <t>SYNCHRONISE</t>
        </is>
      </c>
      <c r="Q5" s="17" t="inlineStr"/>
      <c r="R5" s="17" t="inlineStr">
        <is>
          <t>SORTIES-HISTORIQUE-001</t>
        </is>
      </c>
      <c r="S5" s="17" t="inlineStr"/>
    </row>
    <row r="6">
      <c r="A6" s="17" t="inlineStr">
        <is>
          <t>MOV-2026-00215</t>
        </is>
      </c>
      <c r="B6" s="18" t="inlineStr">
        <is>
          <t>31/08/2026</t>
        </is>
      </c>
      <c r="C6" s="18" t="inlineStr">
        <is>
          <t>03:29</t>
        </is>
      </c>
      <c r="D6" s="17" t="inlineStr">
        <is>
          <t>PR-2026-115</t>
        </is>
      </c>
      <c r="E6" s="17" t="inlineStr">
        <is>
          <t>WHAP-0057</t>
        </is>
      </c>
      <c r="F6" s="18">
        <f>IF($E6="","",IFERROR(VLOOKUP($E6,ARTICLES!$A$5:$S$2243,3,FALSE),"reference inconnue"))</f>
        <v/>
      </c>
      <c r="G6" s="17" t="n">
        <v>2</v>
      </c>
      <c r="H6" s="17" t="n">
        <v>2</v>
      </c>
      <c r="I6" s="17" t="inlineStr">
        <is>
          <t>F-06-03</t>
        </is>
      </c>
      <c r="J6" s="17" t="inlineStr">
        <is>
          <t>Issued 2 x WHAP-0057 to ST-07 for PR-2026-115</t>
        </is>
      </c>
      <c r="K6" s="17" t="inlineStr">
        <is>
          <t>WH-008</t>
        </is>
      </c>
      <c r="L6" s="17" t="inlineStr">
        <is>
          <t>VALIDE</t>
        </is>
      </c>
      <c r="M6" s="17" t="inlineStr"/>
      <c r="N6" s="17" t="inlineStr"/>
      <c r="O6" s="17" t="inlineStr"/>
      <c r="P6" s="17" t="inlineStr">
        <is>
          <t>SYNCHRONISE</t>
        </is>
      </c>
      <c r="Q6" s="17" t="inlineStr"/>
      <c r="R6" s="17" t="inlineStr">
        <is>
          <t>SORTIES-HISTORIQUE-002</t>
        </is>
      </c>
      <c r="S6" s="17" t="inlineStr"/>
    </row>
    <row r="7">
      <c r="A7" s="17" t="inlineStr">
        <is>
          <t>MOV-2026-00214</t>
        </is>
      </c>
      <c r="B7" s="18" t="inlineStr">
        <is>
          <t>31/08/2026</t>
        </is>
      </c>
      <c r="C7" s="18" t="inlineStr">
        <is>
          <t>00:29</t>
        </is>
      </c>
      <c r="D7" s="17" t="inlineStr">
        <is>
          <t>PR-2026-114</t>
        </is>
      </c>
      <c r="E7" s="17" t="inlineStr">
        <is>
          <t>WHAP-0337</t>
        </is>
      </c>
      <c r="F7" s="18">
        <f>IF($E7="","",IFERROR(VLOOKUP($E7,ARTICLES!$A$5:$S$2243,3,FALSE),"reference inconnue"))</f>
        <v/>
      </c>
      <c r="G7" s="17" t="n">
        <v>80</v>
      </c>
      <c r="H7" s="17" t="n">
        <v>80</v>
      </c>
      <c r="I7" s="17" t="inlineStr">
        <is>
          <t>C-02-02</t>
        </is>
      </c>
      <c r="J7" s="17" t="inlineStr">
        <is>
          <t>Issued 80 x WHAP-0337 to ST-06 for PR-2026-114</t>
        </is>
      </c>
      <c r="K7" s="17" t="inlineStr">
        <is>
          <t>WH-019</t>
        </is>
      </c>
      <c r="L7" s="17" t="inlineStr">
        <is>
          <t>VALIDE</t>
        </is>
      </c>
      <c r="M7" s="17" t="inlineStr"/>
      <c r="N7" s="17" t="inlineStr"/>
      <c r="O7" s="17" t="inlineStr"/>
      <c r="P7" s="17" t="inlineStr">
        <is>
          <t>SYNCHRONISE</t>
        </is>
      </c>
      <c r="Q7" s="17" t="inlineStr"/>
      <c r="R7" s="17" t="inlineStr">
        <is>
          <t>SORTIES-HISTORIQUE-003</t>
        </is>
      </c>
      <c r="S7" s="17" t="inlineStr"/>
    </row>
    <row r="8">
      <c r="A8" s="17" t="inlineStr">
        <is>
          <t>MOV-2026-00213</t>
        </is>
      </c>
      <c r="B8" s="18" t="inlineStr">
        <is>
          <t>30/08/2026</t>
        </is>
      </c>
      <c r="C8" s="18" t="inlineStr">
        <is>
          <t>18:29</t>
        </is>
      </c>
      <c r="D8" s="17" t="inlineStr">
        <is>
          <t>PR-2026-112</t>
        </is>
      </c>
      <c r="E8" s="17" t="inlineStr">
        <is>
          <t>ACC-001</t>
        </is>
      </c>
      <c r="F8" s="18">
        <f>IF($E8="","",IFERROR(VLOOKUP($E8,ARTICLES!$A$5:$S$2243,3,FALSE),"reference inconnue"))</f>
        <v/>
      </c>
      <c r="G8" s="17" t="n">
        <v>150</v>
      </c>
      <c r="H8" s="17" t="n">
        <v>150</v>
      </c>
      <c r="I8" s="17" t="inlineStr">
        <is>
          <t>C-03-04</t>
        </is>
      </c>
      <c r="J8" s="17" t="inlineStr">
        <is>
          <t>Issued 150 x ACC-001 to ST-02 for PR-2026-112</t>
        </is>
      </c>
      <c r="K8" s="17" t="inlineStr">
        <is>
          <t>WH-024</t>
        </is>
      </c>
      <c r="L8" s="17" t="inlineStr">
        <is>
          <t>VALIDE</t>
        </is>
      </c>
      <c r="M8" s="17" t="inlineStr"/>
      <c r="N8" s="17" t="inlineStr"/>
      <c r="O8" s="17" t="inlineStr"/>
      <c r="P8" s="17" t="inlineStr">
        <is>
          <t>SYNCHRONISE</t>
        </is>
      </c>
      <c r="Q8" s="17" t="inlineStr"/>
      <c r="R8" s="17" t="inlineStr">
        <is>
          <t>SORTIES-HISTORIQUE-004</t>
        </is>
      </c>
      <c r="S8" s="17" t="inlineStr"/>
    </row>
    <row r="9">
      <c r="A9" s="17" t="inlineStr">
        <is>
          <t>MOV-2026-00212</t>
        </is>
      </c>
      <c r="B9" s="18" t="inlineStr">
        <is>
          <t>30/08/2026</t>
        </is>
      </c>
      <c r="C9" s="18" t="inlineStr">
        <is>
          <t>15:29</t>
        </is>
      </c>
      <c r="D9" s="17" t="inlineStr">
        <is>
          <t>PR-2026-111</t>
        </is>
      </c>
      <c r="E9" s="17" t="inlineStr">
        <is>
          <t>PNT-001</t>
        </is>
      </c>
      <c r="F9" s="18">
        <f>IF($E9="","",IFERROR(VLOOKUP($E9,ARTICLES!$A$5:$S$2243,3,FALSE),"reference inconnue"))</f>
        <v/>
      </c>
      <c r="G9" s="17" t="n">
        <v>100</v>
      </c>
      <c r="H9" s="17" t="n">
        <v>100</v>
      </c>
      <c r="I9" s="17" t="inlineStr">
        <is>
          <t>A-05-04</t>
        </is>
      </c>
      <c r="J9" s="17" t="inlineStr">
        <is>
          <t>Issued 100 x PNT-001 to ST-04 for PR-2026-111</t>
        </is>
      </c>
      <c r="K9" s="17" t="inlineStr">
        <is>
          <t>WH-012</t>
        </is>
      </c>
      <c r="L9" s="17" t="inlineStr">
        <is>
          <t>VALIDE</t>
        </is>
      </c>
      <c r="M9" s="17" t="inlineStr"/>
      <c r="N9" s="17" t="inlineStr"/>
      <c r="O9" s="17" t="inlineStr"/>
      <c r="P9" s="17" t="inlineStr">
        <is>
          <t>SYNCHRONISE</t>
        </is>
      </c>
      <c r="Q9" s="17" t="inlineStr"/>
      <c r="R9" s="17" t="inlineStr">
        <is>
          <t>SORTIES-HISTORIQUE-005</t>
        </is>
      </c>
      <c r="S9" s="17" t="inlineStr"/>
    </row>
    <row r="10">
      <c r="A10" s="17" t="inlineStr">
        <is>
          <t>MOV-2026-00209</t>
        </is>
      </c>
      <c r="B10" s="18" t="inlineStr">
        <is>
          <t>29/08/2026</t>
        </is>
      </c>
      <c r="C10" s="18" t="inlineStr">
        <is>
          <t>21:29</t>
        </is>
      </c>
      <c r="D10" s="17" t="inlineStr">
        <is>
          <t>PR-2026-105</t>
        </is>
      </c>
      <c r="E10" s="17" t="inlineStr">
        <is>
          <t>LUB-001</t>
        </is>
      </c>
      <c r="F10" s="18">
        <f>IF($E10="","",IFERROR(VLOOKUP($E10,ARTICLES!$A$5:$S$2243,3,FALSE),"reference inconnue"))</f>
        <v/>
      </c>
      <c r="G10" s="17" t="n">
        <v>100</v>
      </c>
      <c r="H10" s="17" t="n">
        <v>100</v>
      </c>
      <c r="I10" s="17" t="inlineStr">
        <is>
          <t>B-04-02</t>
        </is>
      </c>
      <c r="J10" s="17" t="inlineStr">
        <is>
          <t>Issued 100 x LUB-001 to ST-08 for PR-2026-105</t>
        </is>
      </c>
      <c r="K10" s="17" t="inlineStr">
        <is>
          <t>WH-008</t>
        </is>
      </c>
      <c r="L10" s="17" t="inlineStr">
        <is>
          <t>VALIDE</t>
        </is>
      </c>
      <c r="M10" s="17" t="inlineStr"/>
      <c r="N10" s="17" t="inlineStr"/>
      <c r="O10" s="17" t="inlineStr"/>
      <c r="P10" s="17" t="inlineStr">
        <is>
          <t>SYNCHRONISE</t>
        </is>
      </c>
      <c r="Q10" s="17" t="inlineStr"/>
      <c r="R10" s="17" t="inlineStr">
        <is>
          <t>SORTIES-HISTORIQUE-006</t>
        </is>
      </c>
      <c r="S10" s="17" t="inlineStr"/>
    </row>
    <row r="11">
      <c r="A11" s="17" t="inlineStr">
        <is>
          <t>MOV-2026-00208</t>
        </is>
      </c>
      <c r="B11" s="18" t="inlineStr">
        <is>
          <t>29/08/2026</t>
        </is>
      </c>
      <c r="C11" s="18" t="inlineStr">
        <is>
          <t>18:29</t>
        </is>
      </c>
      <c r="D11" s="17" t="inlineStr">
        <is>
          <t>PR-2026-104</t>
        </is>
      </c>
      <c r="E11" s="17" t="inlineStr">
        <is>
          <t>WHAP-0552</t>
        </is>
      </c>
      <c r="F11" s="18">
        <f>IF($E11="","",IFERROR(VLOOKUP($E11,ARTICLES!$A$5:$S$2243,3,FALSE),"reference inconnue"))</f>
        <v/>
      </c>
      <c r="G11" s="17" t="n">
        <v>2</v>
      </c>
      <c r="H11" s="17" t="n">
        <v>2</v>
      </c>
      <c r="I11" s="17" t="inlineStr">
        <is>
          <t>F-06-01</t>
        </is>
      </c>
      <c r="J11" s="17" t="inlineStr">
        <is>
          <t>Issued 2 x WHAP-0552 to ST-04 for PR-2026-104</t>
        </is>
      </c>
      <c r="K11" s="17" t="inlineStr">
        <is>
          <t>WH-019</t>
        </is>
      </c>
      <c r="L11" s="17" t="inlineStr">
        <is>
          <t>VALIDE</t>
        </is>
      </c>
      <c r="M11" s="17" t="inlineStr"/>
      <c r="N11" s="17" t="inlineStr"/>
      <c r="O11" s="17" t="inlineStr"/>
      <c r="P11" s="17" t="inlineStr">
        <is>
          <t>SYNCHRONISE</t>
        </is>
      </c>
      <c r="Q11" s="17" t="inlineStr"/>
      <c r="R11" s="17" t="inlineStr">
        <is>
          <t>SORTIES-HISTORIQUE-007</t>
        </is>
      </c>
      <c r="S11" s="17" t="inlineStr"/>
    </row>
    <row r="12">
      <c r="A12" s="17" t="inlineStr">
        <is>
          <t>MOV-2026-00207</t>
        </is>
      </c>
      <c r="B12" s="18" t="inlineStr">
        <is>
          <t>29/08/2026</t>
        </is>
      </c>
      <c r="C12" s="18" t="inlineStr">
        <is>
          <t>06:29</t>
        </is>
      </c>
      <c r="D12" s="17" t="inlineStr">
        <is>
          <t>PR-2026-100</t>
        </is>
      </c>
      <c r="E12" s="17" t="inlineStr">
        <is>
          <t>WHAP-0172</t>
        </is>
      </c>
      <c r="F12" s="18">
        <f>IF($E12="","",IFERROR(VLOOKUP($E12,ARTICLES!$A$5:$S$2243,3,FALSE),"reference inconnue"))</f>
        <v/>
      </c>
      <c r="G12" s="17" t="n">
        <v>4</v>
      </c>
      <c r="H12" s="17" t="n">
        <v>4</v>
      </c>
      <c r="I12" s="17" t="inlineStr">
        <is>
          <t>F-02-04</t>
        </is>
      </c>
      <c r="J12" s="17" t="inlineStr">
        <is>
          <t>Issued 4 x WHAP-0172 to ST-02 for PR-2026-100</t>
        </is>
      </c>
      <c r="K12" s="17" t="inlineStr">
        <is>
          <t>WH-019</t>
        </is>
      </c>
      <c r="L12" s="17" t="inlineStr">
        <is>
          <t>VALIDE</t>
        </is>
      </c>
      <c r="M12" s="17" t="inlineStr"/>
      <c r="N12" s="17" t="inlineStr"/>
      <c r="O12" s="17" t="inlineStr"/>
      <c r="P12" s="17" t="inlineStr">
        <is>
          <t>SYNCHRONISE</t>
        </is>
      </c>
      <c r="Q12" s="17" t="inlineStr"/>
      <c r="R12" s="17" t="inlineStr">
        <is>
          <t>SORTIES-HISTORIQUE-008</t>
        </is>
      </c>
      <c r="S12" s="17" t="inlineStr"/>
    </row>
    <row r="13">
      <c r="A13" s="17" t="inlineStr">
        <is>
          <t>MOV-2026-00206</t>
        </is>
      </c>
      <c r="B13" s="18" t="inlineStr">
        <is>
          <t>29/08/2026</t>
        </is>
      </c>
      <c r="C13" s="18" t="inlineStr">
        <is>
          <t>03:29</t>
        </is>
      </c>
      <c r="D13" s="17" t="inlineStr">
        <is>
          <t>PR-2026-099</t>
        </is>
      </c>
      <c r="E13" s="17" t="inlineStr">
        <is>
          <t>WHAP-0338</t>
        </is>
      </c>
      <c r="F13" s="18">
        <f>IF($E13="","",IFERROR(VLOOKUP($E13,ARTICLES!$A$5:$S$2243,3,FALSE),"reference inconnue"))</f>
        <v/>
      </c>
      <c r="G13" s="17" t="n">
        <v>150</v>
      </c>
      <c r="H13" s="17" t="n">
        <v>150</v>
      </c>
      <c r="I13" s="17" t="inlineStr">
        <is>
          <t>A-01-01</t>
        </is>
      </c>
      <c r="J13" s="17" t="inlineStr">
        <is>
          <t>Issued 150 x WHAP-0338 to ST-04 for PR-2026-099</t>
        </is>
      </c>
      <c r="K13" s="17" t="inlineStr">
        <is>
          <t>WH-012</t>
        </is>
      </c>
      <c r="L13" s="17" t="inlineStr">
        <is>
          <t>VALIDE</t>
        </is>
      </c>
      <c r="M13" s="17" t="inlineStr"/>
      <c r="N13" s="17" t="inlineStr"/>
      <c r="O13" s="17" t="inlineStr"/>
      <c r="P13" s="17" t="inlineStr">
        <is>
          <t>SYNCHRONISE</t>
        </is>
      </c>
      <c r="Q13" s="17" t="inlineStr"/>
      <c r="R13" s="17" t="inlineStr">
        <is>
          <t>SORTIES-HISTORIQUE-009</t>
        </is>
      </c>
      <c r="S13" s="17" t="inlineStr"/>
    </row>
    <row r="14">
      <c r="A14" s="17" t="inlineStr">
        <is>
          <t>MOV-2026-00205</t>
        </is>
      </c>
      <c r="B14" s="18" t="inlineStr">
        <is>
          <t>28/08/2026</t>
        </is>
      </c>
      <c r="C14" s="18" t="inlineStr">
        <is>
          <t>12:29</t>
        </is>
      </c>
      <c r="D14" s="17" t="inlineStr">
        <is>
          <t>PR-2026-094</t>
        </is>
      </c>
      <c r="E14" s="17" t="inlineStr">
        <is>
          <t>WHAP-0470</t>
        </is>
      </c>
      <c r="F14" s="18">
        <f>IF($E14="","",IFERROR(VLOOKUP($E14,ARTICLES!$A$5:$S$2243,3,FALSE),"reference inconnue"))</f>
        <v/>
      </c>
      <c r="G14" s="17" t="n">
        <v>2</v>
      </c>
      <c r="H14" s="17" t="n">
        <v>2</v>
      </c>
      <c r="I14" s="17" t="inlineStr">
        <is>
          <t>D-04-04</t>
        </is>
      </c>
      <c r="J14" s="17" t="inlineStr">
        <is>
          <t>Issued 2 x WHAP-0470 to ST-05 for PR-2026-094</t>
        </is>
      </c>
      <c r="K14" s="17" t="inlineStr">
        <is>
          <t>WH-024</t>
        </is>
      </c>
      <c r="L14" s="17" t="inlineStr">
        <is>
          <t>VALIDE</t>
        </is>
      </c>
      <c r="M14" s="17" t="inlineStr"/>
      <c r="N14" s="17" t="inlineStr"/>
      <c r="O14" s="17" t="inlineStr"/>
      <c r="P14" s="17" t="inlineStr">
        <is>
          <t>SYNCHRONISE</t>
        </is>
      </c>
      <c r="Q14" s="17" t="inlineStr"/>
      <c r="R14" s="17" t="inlineStr">
        <is>
          <t>SORTIES-HISTORIQUE-010</t>
        </is>
      </c>
      <c r="S14" s="17" t="inlineStr"/>
    </row>
    <row r="15">
      <c r="A15" s="17" t="inlineStr">
        <is>
          <t>MOV-2026-00204</t>
        </is>
      </c>
      <c r="B15" s="18" t="inlineStr">
        <is>
          <t>28/08/2026</t>
        </is>
      </c>
      <c r="C15" s="18" t="inlineStr">
        <is>
          <t>06:29</t>
        </is>
      </c>
      <c r="D15" s="17" t="inlineStr">
        <is>
          <t>PR-2026-092</t>
        </is>
      </c>
      <c r="E15" s="17" t="inlineStr">
        <is>
          <t>SEC-001</t>
        </is>
      </c>
      <c r="F15" s="18">
        <f>IF($E15="","",IFERROR(VLOOKUP($E15,ARTICLES!$A$5:$S$2243,3,FALSE),"reference inconnue"))</f>
        <v/>
      </c>
      <c r="G15" s="17" t="n">
        <v>15</v>
      </c>
      <c r="H15" s="17" t="n">
        <v>15</v>
      </c>
      <c r="I15" s="17" t="inlineStr">
        <is>
          <t>F-04-01</t>
        </is>
      </c>
      <c r="J15" s="17" t="inlineStr">
        <is>
          <t>Issued 15 x SEC-001 to ST-06 for PR-2026-092</t>
        </is>
      </c>
      <c r="K15" s="17" t="inlineStr">
        <is>
          <t>WH-019</t>
        </is>
      </c>
      <c r="L15" s="17" t="inlineStr">
        <is>
          <t>VALIDE</t>
        </is>
      </c>
      <c r="M15" s="17" t="inlineStr"/>
      <c r="N15" s="17" t="inlineStr"/>
      <c r="O15" s="17" t="inlineStr"/>
      <c r="P15" s="17" t="inlineStr">
        <is>
          <t>SYNCHRONISE</t>
        </is>
      </c>
      <c r="Q15" s="17" t="inlineStr"/>
      <c r="R15" s="17" t="inlineStr">
        <is>
          <t>SORTIES-HISTORIQUE-011</t>
        </is>
      </c>
      <c r="S15" s="17" t="inlineStr"/>
    </row>
    <row r="16">
      <c r="A16" s="17" t="inlineStr">
        <is>
          <t>MOV-2026-00203</t>
        </is>
      </c>
      <c r="B16" s="18" t="inlineStr">
        <is>
          <t>28/08/2026</t>
        </is>
      </c>
      <c r="C16" s="18" t="inlineStr">
        <is>
          <t>00:29</t>
        </is>
      </c>
      <c r="D16" s="17" t="inlineStr">
        <is>
          <t>PR-2026-090</t>
        </is>
      </c>
      <c r="E16" s="17" t="inlineStr">
        <is>
          <t>EPI-001</t>
        </is>
      </c>
      <c r="F16" s="18">
        <f>IF($E16="","",IFERROR(VLOOKUP($E16,ARTICLES!$A$5:$S$2243,3,FALSE),"reference inconnue"))</f>
        <v/>
      </c>
      <c r="G16" s="17" t="n">
        <v>30</v>
      </c>
      <c r="H16" s="17" t="n">
        <v>30</v>
      </c>
      <c r="I16" s="17" t="inlineStr">
        <is>
          <t>E-05-01</t>
        </is>
      </c>
      <c r="J16" s="17" t="inlineStr">
        <is>
          <t>Issued 30 x EPI-001 to ST-05 for PR-2026-090</t>
        </is>
      </c>
      <c r="K16" s="17" t="inlineStr">
        <is>
          <t>WH-012</t>
        </is>
      </c>
      <c r="L16" s="17" t="inlineStr">
        <is>
          <t>VALIDE</t>
        </is>
      </c>
      <c r="M16" s="17" t="inlineStr"/>
      <c r="N16" s="17" t="inlineStr"/>
      <c r="O16" s="17" t="inlineStr"/>
      <c r="P16" s="17" t="inlineStr">
        <is>
          <t>SYNCHRONISE</t>
        </is>
      </c>
      <c r="Q16" s="17" t="inlineStr"/>
      <c r="R16" s="17" t="inlineStr">
        <is>
          <t>SORTIES-HISTORIQUE-012</t>
        </is>
      </c>
      <c r="S16" s="17" t="inlineStr"/>
    </row>
    <row r="17">
      <c r="A17" s="17" t="inlineStr">
        <is>
          <t>MOV-2026-00202</t>
        </is>
      </c>
      <c r="B17" s="18" t="inlineStr">
        <is>
          <t>27/08/2026</t>
        </is>
      </c>
      <c r="C17" s="18" t="inlineStr">
        <is>
          <t>15:29</t>
        </is>
      </c>
      <c r="D17" s="17" t="inlineStr">
        <is>
          <t>PR-2026-087</t>
        </is>
      </c>
      <c r="E17" s="17" t="inlineStr">
        <is>
          <t>WHAP-0056</t>
        </is>
      </c>
      <c r="F17" s="18">
        <f>IF($E17="","",IFERROR(VLOOKUP($E17,ARTICLES!$A$5:$S$2243,3,FALSE),"reference inconnue"))</f>
        <v/>
      </c>
      <c r="G17" s="17" t="n">
        <v>6</v>
      </c>
      <c r="H17" s="17" t="n">
        <v>6</v>
      </c>
      <c r="I17" s="17" t="inlineStr">
        <is>
          <t>A-02-01</t>
        </is>
      </c>
      <c r="J17" s="17" t="inlineStr">
        <is>
          <t>Issued 6 x WHAP-0056 to ST-05 for PR-2026-087</t>
        </is>
      </c>
      <c r="K17" s="17" t="inlineStr">
        <is>
          <t>WH-012</t>
        </is>
      </c>
      <c r="L17" s="17" t="inlineStr">
        <is>
          <t>VALIDE</t>
        </is>
      </c>
      <c r="M17" s="17" t="inlineStr"/>
      <c r="N17" s="17" t="inlineStr"/>
      <c r="O17" s="17" t="inlineStr"/>
      <c r="P17" s="17" t="inlineStr">
        <is>
          <t>SYNCHRONISE</t>
        </is>
      </c>
      <c r="Q17" s="17" t="inlineStr"/>
      <c r="R17" s="17" t="inlineStr">
        <is>
          <t>SORTIES-HISTORIQUE-013</t>
        </is>
      </c>
      <c r="S17" s="17" t="inlineStr"/>
    </row>
    <row r="18">
      <c r="A18" s="17" t="inlineStr">
        <is>
          <t>MOV-2026-00201</t>
        </is>
      </c>
      <c r="B18" s="18" t="inlineStr">
        <is>
          <t>27/08/2026</t>
        </is>
      </c>
      <c r="C18" s="18" t="inlineStr">
        <is>
          <t>09:29</t>
        </is>
      </c>
      <c r="D18" s="17" t="inlineStr">
        <is>
          <t>PR-2026-085</t>
        </is>
      </c>
      <c r="E18" s="17" t="inlineStr">
        <is>
          <t>WHAP-0366</t>
        </is>
      </c>
      <c r="F18" s="18">
        <f>IF($E18="","",IFERROR(VLOOKUP($E18,ARTICLES!$A$5:$S$2243,3,FALSE),"reference inconnue"))</f>
        <v/>
      </c>
      <c r="G18" s="17" t="n">
        <v>60</v>
      </c>
      <c r="H18" s="17" t="n">
        <v>60</v>
      </c>
      <c r="I18" s="17" t="inlineStr">
        <is>
          <t>B-02-04</t>
        </is>
      </c>
      <c r="J18" s="17" t="inlineStr">
        <is>
          <t>Issued 60 x WHAP-0366 to ST-04 for PR-2026-085</t>
        </is>
      </c>
      <c r="K18" s="17" t="inlineStr">
        <is>
          <t>WH-024</t>
        </is>
      </c>
      <c r="L18" s="17" t="inlineStr">
        <is>
          <t>VALIDE</t>
        </is>
      </c>
      <c r="M18" s="17" t="inlineStr"/>
      <c r="N18" s="17" t="inlineStr"/>
      <c r="O18" s="17" t="inlineStr"/>
      <c r="P18" s="17" t="inlineStr">
        <is>
          <t>SYNCHRONISE</t>
        </is>
      </c>
      <c r="Q18" s="17" t="inlineStr"/>
      <c r="R18" s="17" t="inlineStr">
        <is>
          <t>SORTIES-HISTORIQUE-014</t>
        </is>
      </c>
      <c r="S18" s="17" t="inlineStr"/>
    </row>
    <row r="19">
      <c r="A19" s="17" t="inlineStr">
        <is>
          <t>MOV-2026-00200</t>
        </is>
      </c>
      <c r="B19" s="18" t="inlineStr">
        <is>
          <t>27/08/2026</t>
        </is>
      </c>
      <c r="C19" s="18" t="inlineStr">
        <is>
          <t>06:29</t>
        </is>
      </c>
      <c r="D19" s="17" t="inlineStr">
        <is>
          <t>PR-2026-084</t>
        </is>
      </c>
      <c r="E19" s="17" t="inlineStr">
        <is>
          <t>EPI-002</t>
        </is>
      </c>
      <c r="F19" s="18">
        <f>IF($E19="","",IFERROR(VLOOKUP($E19,ARTICLES!$A$5:$S$2243,3,FALSE),"reference inconnue"))</f>
        <v/>
      </c>
      <c r="G19" s="17" t="n">
        <v>20</v>
      </c>
      <c r="H19" s="17" t="n">
        <v>20</v>
      </c>
      <c r="I19" s="17" t="inlineStr">
        <is>
          <t>E-01-04</t>
        </is>
      </c>
      <c r="J19" s="17" t="inlineStr">
        <is>
          <t>Issued 20 x EPI-002 to ST-05 for PR-2026-084</t>
        </is>
      </c>
      <c r="K19" s="17" t="inlineStr">
        <is>
          <t>WH-024</t>
        </is>
      </c>
      <c r="L19" s="17" t="inlineStr">
        <is>
          <t>VALIDE</t>
        </is>
      </c>
      <c r="M19" s="17" t="inlineStr"/>
      <c r="N19" s="17" t="inlineStr"/>
      <c r="O19" s="17" t="inlineStr"/>
      <c r="P19" s="17" t="inlineStr">
        <is>
          <t>SYNCHRONISE</t>
        </is>
      </c>
      <c r="Q19" s="17" t="inlineStr"/>
      <c r="R19" s="17" t="inlineStr">
        <is>
          <t>SORTIES-HISTORIQUE-015</t>
        </is>
      </c>
      <c r="S19" s="17" t="inlineStr"/>
    </row>
    <row r="20">
      <c r="A20" s="17" t="inlineStr">
        <is>
          <t>MOV-2026-00198</t>
        </is>
      </c>
      <c r="B20" s="18" t="inlineStr">
        <is>
          <t>27/08/2026</t>
        </is>
      </c>
      <c r="C20" s="18" t="inlineStr">
        <is>
          <t>00:29</t>
        </is>
      </c>
      <c r="D20" s="17" t="inlineStr">
        <is>
          <t>PR-2026-082</t>
        </is>
      </c>
      <c r="E20" s="17" t="inlineStr">
        <is>
          <t>WHAP-0395</t>
        </is>
      </c>
      <c r="F20" s="18">
        <f>IF($E20="","",IFERROR(VLOOKUP($E20,ARTICLES!$A$5:$S$2243,3,FALSE),"reference inconnue"))</f>
        <v/>
      </c>
      <c r="G20" s="17" t="n">
        <v>30</v>
      </c>
      <c r="H20" s="17" t="n">
        <v>30</v>
      </c>
      <c r="I20" s="17" t="inlineStr">
        <is>
          <t>A-01-04</t>
        </is>
      </c>
      <c r="J20" s="17" t="inlineStr">
        <is>
          <t>Issued 30 x WHAP-0395 to ST-04 for PR-2026-082</t>
        </is>
      </c>
      <c r="K20" s="17" t="inlineStr">
        <is>
          <t>WH-024</t>
        </is>
      </c>
      <c r="L20" s="17" t="inlineStr">
        <is>
          <t>VALIDE</t>
        </is>
      </c>
      <c r="M20" s="17" t="inlineStr"/>
      <c r="N20" s="17" t="inlineStr"/>
      <c r="O20" s="17" t="inlineStr"/>
      <c r="P20" s="17" t="inlineStr">
        <is>
          <t>SYNCHRONISE</t>
        </is>
      </c>
      <c r="Q20" s="17" t="inlineStr"/>
      <c r="R20" s="17" t="inlineStr">
        <is>
          <t>SORTIES-HISTORIQUE-016</t>
        </is>
      </c>
      <c r="S20" s="17" t="inlineStr"/>
    </row>
    <row r="21">
      <c r="A21" s="17" t="inlineStr">
        <is>
          <t>MOV-2026-00197</t>
        </is>
      </c>
      <c r="B21" s="18" t="inlineStr">
        <is>
          <t>26/08/2026</t>
        </is>
      </c>
      <c r="C21" s="18" t="inlineStr">
        <is>
          <t>18:29</t>
        </is>
      </c>
      <c r="D21" s="17" t="inlineStr">
        <is>
          <t>PR-2026-080</t>
        </is>
      </c>
      <c r="E21" s="17" t="inlineStr">
        <is>
          <t>ADH-003</t>
        </is>
      </c>
      <c r="F21" s="18">
        <f>IF($E21="","",IFERROR(VLOOKUP($E21,ARTICLES!$A$5:$S$2243,3,FALSE),"reference inconnue"))</f>
        <v/>
      </c>
      <c r="G21" s="17" t="n">
        <v>150</v>
      </c>
      <c r="H21" s="17" t="n">
        <v>150</v>
      </c>
      <c r="I21" s="17" t="inlineStr">
        <is>
          <t>E-01-03</t>
        </is>
      </c>
      <c r="J21" s="17" t="inlineStr">
        <is>
          <t>Issued 150 x ADH-003 to ST-03 for PR-2026-080</t>
        </is>
      </c>
      <c r="K21" s="17" t="inlineStr">
        <is>
          <t>WH-024</t>
        </is>
      </c>
      <c r="L21" s="17" t="inlineStr">
        <is>
          <t>VALIDE</t>
        </is>
      </c>
      <c r="M21" s="17" t="inlineStr"/>
      <c r="N21" s="17" t="inlineStr"/>
      <c r="O21" s="17" t="inlineStr"/>
      <c r="P21" s="17" t="inlineStr">
        <is>
          <t>SYNCHRONISE</t>
        </is>
      </c>
      <c r="Q21" s="17" t="inlineStr"/>
      <c r="R21" s="17" t="inlineStr">
        <is>
          <t>SORTIES-HISTORIQUE-017</t>
        </is>
      </c>
      <c r="S21" s="17" t="inlineStr"/>
    </row>
    <row r="22">
      <c r="A22" s="17" t="inlineStr">
        <is>
          <t>MOV-2026-00196</t>
        </is>
      </c>
      <c r="B22" s="18" t="inlineStr">
        <is>
          <t>26/08/2026</t>
        </is>
      </c>
      <c r="C22" s="18" t="inlineStr">
        <is>
          <t>00:29</t>
        </is>
      </c>
      <c r="D22" s="17" t="inlineStr">
        <is>
          <t>PR-2026-074</t>
        </is>
      </c>
      <c r="E22" s="17" t="inlineStr">
        <is>
          <t>EMB-001</t>
        </is>
      </c>
      <c r="F22" s="18">
        <f>IF($E22="","",IFERROR(VLOOKUP($E22,ARTICLES!$A$5:$S$2243,3,FALSE),"reference inconnue"))</f>
        <v/>
      </c>
      <c r="G22" s="17" t="n">
        <v>100</v>
      </c>
      <c r="H22" s="17" t="n">
        <v>100</v>
      </c>
      <c r="I22" s="17" t="inlineStr">
        <is>
          <t>C-04-03</t>
        </is>
      </c>
      <c r="J22" s="17" t="inlineStr">
        <is>
          <t>Issued 100 x EMB-001 to ST-03 for PR-2026-074</t>
        </is>
      </c>
      <c r="K22" s="17" t="inlineStr">
        <is>
          <t>WH-019</t>
        </is>
      </c>
      <c r="L22" s="17" t="inlineStr">
        <is>
          <t>VALIDE</t>
        </is>
      </c>
      <c r="M22" s="17" t="inlineStr"/>
      <c r="N22" s="17" t="inlineStr"/>
      <c r="O22" s="17" t="inlineStr"/>
      <c r="P22" s="17" t="inlineStr">
        <is>
          <t>SYNCHRONISE</t>
        </is>
      </c>
      <c r="Q22" s="17" t="inlineStr"/>
      <c r="R22" s="17" t="inlineStr">
        <is>
          <t>SORTIES-HISTORIQUE-018</t>
        </is>
      </c>
      <c r="S22" s="17" t="inlineStr"/>
    </row>
    <row r="23">
      <c r="A23" s="17" t="inlineStr">
        <is>
          <t>MOV-2026-00193</t>
        </is>
      </c>
      <c r="B23" s="18" t="inlineStr">
        <is>
          <t>25/08/2026</t>
        </is>
      </c>
      <c r="C23" s="18" t="inlineStr">
        <is>
          <t>03:29</t>
        </is>
      </c>
      <c r="D23" s="17" t="inlineStr">
        <is>
          <t>PR-2026-067</t>
        </is>
      </c>
      <c r="E23" s="17" t="inlineStr">
        <is>
          <t>SEC-002</t>
        </is>
      </c>
      <c r="F23" s="18">
        <f>IF($E23="","",IFERROR(VLOOKUP($E23,ARTICLES!$A$5:$S$2243,3,FALSE),"reference inconnue"))</f>
        <v/>
      </c>
      <c r="G23" s="17" t="n">
        <v>8</v>
      </c>
      <c r="H23" s="17" t="n">
        <v>8</v>
      </c>
      <c r="I23" s="17" t="inlineStr">
        <is>
          <t>D-03-02</t>
        </is>
      </c>
      <c r="J23" s="17" t="inlineStr">
        <is>
          <t>Issued 8 x SEC-002 to ST-03 for PR-2026-067</t>
        </is>
      </c>
      <c r="K23" s="17" t="inlineStr">
        <is>
          <t>WH-019</t>
        </is>
      </c>
      <c r="L23" s="17" t="inlineStr">
        <is>
          <t>VALIDE</t>
        </is>
      </c>
      <c r="M23" s="17" t="inlineStr"/>
      <c r="N23" s="17" t="inlineStr"/>
      <c r="O23" s="17" t="inlineStr"/>
      <c r="P23" s="17" t="inlineStr">
        <is>
          <t>SYNCHRONISE</t>
        </is>
      </c>
      <c r="Q23" s="17" t="inlineStr"/>
      <c r="R23" s="17" t="inlineStr">
        <is>
          <t>SORTIES-HISTORIQUE-019</t>
        </is>
      </c>
      <c r="S23" s="17" t="inlineStr"/>
    </row>
    <row r="24">
      <c r="A24" s="17" t="inlineStr">
        <is>
          <t>MOV-2026-00190</t>
        </is>
      </c>
      <c r="B24" s="18" t="inlineStr">
        <is>
          <t>24/08/2026</t>
        </is>
      </c>
      <c r="C24" s="18" t="inlineStr">
        <is>
          <t>12:29</t>
        </is>
      </c>
      <c r="D24" s="17" t="inlineStr">
        <is>
          <t>PR-2026-062</t>
        </is>
      </c>
      <c r="E24" s="17" t="inlineStr">
        <is>
          <t>WHAP-0629</t>
        </is>
      </c>
      <c r="F24" s="18">
        <f>IF($E24="","",IFERROR(VLOOKUP($E24,ARTICLES!$A$5:$S$2243,3,FALSE),"reference inconnue"))</f>
        <v/>
      </c>
      <c r="G24" s="17" t="n">
        <v>60</v>
      </c>
      <c r="H24" s="17" t="n">
        <v>60</v>
      </c>
      <c r="I24" s="17" t="inlineStr">
        <is>
          <t>C-05-04</t>
        </is>
      </c>
      <c r="J24" s="17" t="inlineStr">
        <is>
          <t>Issued 60 x WHAP-0629 to ST-05 for PR-2026-062</t>
        </is>
      </c>
      <c r="K24" s="17" t="inlineStr">
        <is>
          <t>WH-012</t>
        </is>
      </c>
      <c r="L24" s="17" t="inlineStr">
        <is>
          <t>VALIDE</t>
        </is>
      </c>
      <c r="M24" s="17" t="inlineStr"/>
      <c r="N24" s="17" t="inlineStr"/>
      <c r="O24" s="17" t="inlineStr"/>
      <c r="P24" s="17" t="inlineStr">
        <is>
          <t>SYNCHRONISE</t>
        </is>
      </c>
      <c r="Q24" s="17" t="inlineStr"/>
      <c r="R24" s="17" t="inlineStr">
        <is>
          <t>SORTIES-HISTORIQUE-020</t>
        </is>
      </c>
      <c r="S24" s="17" t="inlineStr"/>
    </row>
    <row r="25">
      <c r="A25" s="17" t="inlineStr">
        <is>
          <t>MOV-2026-00188</t>
        </is>
      </c>
      <c r="B25" s="18" t="inlineStr">
        <is>
          <t>23/08/2026</t>
        </is>
      </c>
      <c r="C25" s="18" t="inlineStr">
        <is>
          <t>18:29</t>
        </is>
      </c>
      <c r="D25" s="17" t="inlineStr">
        <is>
          <t>PR-2026-056</t>
        </is>
      </c>
      <c r="E25" s="17" t="inlineStr">
        <is>
          <t>WHAP-0592</t>
        </is>
      </c>
      <c r="F25" s="18">
        <f>IF($E25="","",IFERROR(VLOOKUP($E25,ARTICLES!$A$5:$S$2243,3,FALSE),"reference inconnue"))</f>
        <v/>
      </c>
      <c r="G25" s="17" t="n">
        <v>10</v>
      </c>
      <c r="H25" s="17" t="n">
        <v>10</v>
      </c>
      <c r="I25" s="17" t="inlineStr">
        <is>
          <t>D-04-04</t>
        </is>
      </c>
      <c r="J25" s="17" t="inlineStr">
        <is>
          <t>Issued 10 x WHAP-0592 to ST-02 for PR-2026-056</t>
        </is>
      </c>
      <c r="K25" s="17" t="inlineStr">
        <is>
          <t>WH-019</t>
        </is>
      </c>
      <c r="L25" s="17" t="inlineStr">
        <is>
          <t>VALIDE</t>
        </is>
      </c>
      <c r="M25" s="17" t="inlineStr"/>
      <c r="N25" s="17" t="inlineStr"/>
      <c r="O25" s="17" t="inlineStr"/>
      <c r="P25" s="17" t="inlineStr">
        <is>
          <t>SYNCHRONISE</t>
        </is>
      </c>
      <c r="Q25" s="17" t="inlineStr"/>
      <c r="R25" s="17" t="inlineStr">
        <is>
          <t>SORTIES-HISTORIQUE-021</t>
        </is>
      </c>
      <c r="S25" s="17" t="inlineStr"/>
    </row>
    <row r="26">
      <c r="A26" s="17" t="inlineStr">
        <is>
          <t>MOV-2026-00187</t>
        </is>
      </c>
      <c r="B26" s="18" t="inlineStr">
        <is>
          <t>23/08/2026</t>
        </is>
      </c>
      <c r="C26" s="18" t="inlineStr">
        <is>
          <t>12:29</t>
        </is>
      </c>
      <c r="D26" s="17" t="inlineStr">
        <is>
          <t>PR-2026-054</t>
        </is>
      </c>
      <c r="E26" s="17" t="inlineStr">
        <is>
          <t>WHAP-0497</t>
        </is>
      </c>
      <c r="F26" s="18">
        <f>IF($E26="","",IFERROR(VLOOKUP($E26,ARTICLES!$A$5:$S$2243,3,FALSE),"reference inconnue"))</f>
        <v/>
      </c>
      <c r="G26" s="17" t="n">
        <v>40</v>
      </c>
      <c r="H26" s="17" t="n">
        <v>40</v>
      </c>
      <c r="I26" s="17" t="inlineStr">
        <is>
          <t>C-06-04</t>
        </is>
      </c>
      <c r="J26" s="17" t="inlineStr">
        <is>
          <t>Issued 40 x WHAP-0497 to ST-05 for PR-2026-054</t>
        </is>
      </c>
      <c r="K26" s="17" t="inlineStr">
        <is>
          <t>WH-024</t>
        </is>
      </c>
      <c r="L26" s="17" t="inlineStr">
        <is>
          <t>VALIDE</t>
        </is>
      </c>
      <c r="M26" s="17" t="inlineStr"/>
      <c r="N26" s="17" t="inlineStr"/>
      <c r="O26" s="17" t="inlineStr"/>
      <c r="P26" s="17" t="inlineStr">
        <is>
          <t>SYNCHRONISE</t>
        </is>
      </c>
      <c r="Q26" s="17" t="inlineStr"/>
      <c r="R26" s="17" t="inlineStr">
        <is>
          <t>SORTIES-HISTORIQUE-022</t>
        </is>
      </c>
      <c r="S26" s="17" t="inlineStr"/>
    </row>
    <row r="27">
      <c r="A27" s="17" t="inlineStr">
        <is>
          <t>MOV-2026-00185</t>
        </is>
      </c>
      <c r="B27" s="18" t="inlineStr">
        <is>
          <t>23/08/2026</t>
        </is>
      </c>
      <c r="C27" s="18" t="inlineStr">
        <is>
          <t>06:29</t>
        </is>
      </c>
      <c r="D27" s="17" t="inlineStr">
        <is>
          <t>PR-2026-052</t>
        </is>
      </c>
      <c r="E27" s="17" t="inlineStr">
        <is>
          <t>WHAP-0246</t>
        </is>
      </c>
      <c r="F27" s="18">
        <f>IF($E27="","",IFERROR(VLOOKUP($E27,ARTICLES!$A$5:$S$2243,3,FALSE),"reference inconnue"))</f>
        <v/>
      </c>
      <c r="G27" s="17" t="n">
        <v>40</v>
      </c>
      <c r="H27" s="17" t="n">
        <v>40</v>
      </c>
      <c r="I27" s="17" t="inlineStr">
        <is>
          <t>F-06-03</t>
        </is>
      </c>
      <c r="J27" s="17" t="inlineStr">
        <is>
          <t>Issued 40 x WHAP-0246 to ST-04 for PR-2026-052</t>
        </is>
      </c>
      <c r="K27" s="17" t="inlineStr">
        <is>
          <t>WH-019</t>
        </is>
      </c>
      <c r="L27" s="17" t="inlineStr">
        <is>
          <t>VALIDE</t>
        </is>
      </c>
      <c r="M27" s="17" t="inlineStr"/>
      <c r="N27" s="17" t="inlineStr"/>
      <c r="O27" s="17" t="inlineStr"/>
      <c r="P27" s="17" t="inlineStr">
        <is>
          <t>SYNCHRONISE</t>
        </is>
      </c>
      <c r="Q27" s="17" t="inlineStr"/>
      <c r="R27" s="17" t="inlineStr">
        <is>
          <t>SORTIES-HISTORIQUE-023</t>
        </is>
      </c>
      <c r="S27" s="17" t="inlineStr"/>
    </row>
    <row r="28">
      <c r="A28" s="17" t="inlineStr">
        <is>
          <t>MOV-2026-00184</t>
        </is>
      </c>
      <c r="B28" s="18" t="inlineStr">
        <is>
          <t>23/08/2026</t>
        </is>
      </c>
      <c r="C28" s="18" t="inlineStr">
        <is>
          <t>03:29</t>
        </is>
      </c>
      <c r="D28" s="17" t="inlineStr">
        <is>
          <t>PR-2026-051</t>
        </is>
      </c>
      <c r="E28" s="17" t="inlineStr">
        <is>
          <t>WHAP-0245</t>
        </is>
      </c>
      <c r="F28" s="18">
        <f>IF($E28="","",IFERROR(VLOOKUP($E28,ARTICLES!$A$5:$S$2243,3,FALSE),"reference inconnue"))</f>
        <v/>
      </c>
      <c r="G28" s="17" t="n">
        <v>60</v>
      </c>
      <c r="H28" s="17" t="n">
        <v>60</v>
      </c>
      <c r="I28" s="17" t="inlineStr">
        <is>
          <t>C-06-01</t>
        </is>
      </c>
      <c r="J28" s="17" t="inlineStr">
        <is>
          <t>Issued 60 x WHAP-0245 to ST-07 for PR-2026-051</t>
        </is>
      </c>
      <c r="K28" s="17" t="inlineStr">
        <is>
          <t>WH-008</t>
        </is>
      </c>
      <c r="L28" s="17" t="inlineStr">
        <is>
          <t>VALIDE</t>
        </is>
      </c>
      <c r="M28" s="17" t="inlineStr"/>
      <c r="N28" s="17" t="inlineStr"/>
      <c r="O28" s="17" t="inlineStr"/>
      <c r="P28" s="17" t="inlineStr">
        <is>
          <t>SYNCHRONISE</t>
        </is>
      </c>
      <c r="Q28" s="17" t="inlineStr"/>
      <c r="R28" s="17" t="inlineStr">
        <is>
          <t>SORTIES-HISTORIQUE-024</t>
        </is>
      </c>
      <c r="S28" s="17" t="inlineStr"/>
    </row>
    <row r="29">
      <c r="A29" s="17" t="inlineStr">
        <is>
          <t>MOV-2026-00182</t>
        </is>
      </c>
      <c r="B29" s="18" t="inlineStr">
        <is>
          <t>22/08/2026</t>
        </is>
      </c>
      <c r="C29" s="18" t="inlineStr">
        <is>
          <t>03:29</t>
        </is>
      </c>
      <c r="D29" s="17" t="inlineStr">
        <is>
          <t>PR-2026-043</t>
        </is>
      </c>
      <c r="E29" s="17" t="inlineStr">
        <is>
          <t>WHAP-0446</t>
        </is>
      </c>
      <c r="F29" s="18">
        <f>IF($E29="","",IFERROR(VLOOKUP($E29,ARTICLES!$A$5:$S$2243,3,FALSE),"reference inconnue"))</f>
        <v/>
      </c>
      <c r="G29" s="17" t="n">
        <v>8</v>
      </c>
      <c r="H29" s="17" t="n">
        <v>8</v>
      </c>
      <c r="I29" s="17" t="inlineStr">
        <is>
          <t>C-02-04</t>
        </is>
      </c>
      <c r="J29" s="17" t="inlineStr">
        <is>
          <t>Issued 8 x WHAP-0446 to ST-05 for PR-2026-043</t>
        </is>
      </c>
      <c r="K29" s="17" t="inlineStr">
        <is>
          <t>WH-019</t>
        </is>
      </c>
      <c r="L29" s="17" t="inlineStr">
        <is>
          <t>VALIDE</t>
        </is>
      </c>
      <c r="M29" s="17" t="inlineStr"/>
      <c r="N29" s="17" t="inlineStr"/>
      <c r="O29" s="17" t="inlineStr"/>
      <c r="P29" s="17" t="inlineStr">
        <is>
          <t>SYNCHRONISE</t>
        </is>
      </c>
      <c r="Q29" s="17" t="inlineStr"/>
      <c r="R29" s="17" t="inlineStr">
        <is>
          <t>SORTIES-HISTORIQUE-025</t>
        </is>
      </c>
      <c r="S29" s="17" t="inlineStr"/>
    </row>
    <row r="30">
      <c r="A30" s="17" t="inlineStr">
        <is>
          <t>MOV-2026-00181</t>
        </is>
      </c>
      <c r="B30" s="18" t="inlineStr">
        <is>
          <t>21/08/2026</t>
        </is>
      </c>
      <c r="C30" s="18" t="inlineStr">
        <is>
          <t>21:29</t>
        </is>
      </c>
      <c r="D30" s="17" t="inlineStr">
        <is>
          <t>PR-2026-041</t>
        </is>
      </c>
      <c r="E30" s="17" t="inlineStr">
        <is>
          <t>WHAP-0226</t>
        </is>
      </c>
      <c r="F30" s="18">
        <f>IF($E30="","",IFERROR(VLOOKUP($E30,ARTICLES!$A$5:$S$2243,3,FALSE),"reference inconnue"))</f>
        <v/>
      </c>
      <c r="G30" s="17" t="n">
        <v>2</v>
      </c>
      <c r="H30" s="17" t="n">
        <v>2</v>
      </c>
      <c r="I30" s="17" t="inlineStr">
        <is>
          <t>D-02-02</t>
        </is>
      </c>
      <c r="J30" s="17" t="inlineStr">
        <is>
          <t>Issued 2 x WHAP-0226 to ST-04 for PR-2026-041</t>
        </is>
      </c>
      <c r="K30" s="17" t="inlineStr">
        <is>
          <t>WH-008</t>
        </is>
      </c>
      <c r="L30" s="17" t="inlineStr">
        <is>
          <t>VALIDE</t>
        </is>
      </c>
      <c r="M30" s="17" t="inlineStr"/>
      <c r="N30" s="17" t="inlineStr"/>
      <c r="O30" s="17" t="inlineStr"/>
      <c r="P30" s="17" t="inlineStr">
        <is>
          <t>SYNCHRONISE</t>
        </is>
      </c>
      <c r="Q30" s="17" t="inlineStr"/>
      <c r="R30" s="17" t="inlineStr">
        <is>
          <t>SORTIES-HISTORIQUE-026</t>
        </is>
      </c>
      <c r="S30" s="17" t="inlineStr"/>
    </row>
    <row r="31">
      <c r="A31" s="17" t="inlineStr">
        <is>
          <t>MOV-2026-00180</t>
        </is>
      </c>
      <c r="B31" s="18" t="inlineStr">
        <is>
          <t>21/08/2026</t>
        </is>
      </c>
      <c r="C31" s="18" t="inlineStr">
        <is>
          <t>18:29</t>
        </is>
      </c>
      <c r="D31" s="17" t="inlineStr">
        <is>
          <t>PR-2026-040</t>
        </is>
      </c>
      <c r="E31" s="17" t="inlineStr">
        <is>
          <t>WHAP-0365</t>
        </is>
      </c>
      <c r="F31" s="18">
        <f>IF($E31="","",IFERROR(VLOOKUP($E31,ARTICLES!$A$5:$S$2243,3,FALSE),"reference inconnue"))</f>
        <v/>
      </c>
      <c r="G31" s="17" t="n">
        <v>120</v>
      </c>
      <c r="H31" s="17" t="n">
        <v>120</v>
      </c>
      <c r="I31" s="17" t="inlineStr">
        <is>
          <t>C-01-04</t>
        </is>
      </c>
      <c r="J31" s="17" t="inlineStr">
        <is>
          <t>Issued 120 x WHAP-0365 to ST-02 for PR-2026-040</t>
        </is>
      </c>
      <c r="K31" s="17" t="inlineStr">
        <is>
          <t>WH-008</t>
        </is>
      </c>
      <c r="L31" s="17" t="inlineStr">
        <is>
          <t>VALIDE</t>
        </is>
      </c>
      <c r="M31" s="17" t="inlineStr"/>
      <c r="N31" s="17" t="inlineStr"/>
      <c r="O31" s="17" t="inlineStr"/>
      <c r="P31" s="17" t="inlineStr">
        <is>
          <t>SYNCHRONISE</t>
        </is>
      </c>
      <c r="Q31" s="17" t="inlineStr"/>
      <c r="R31" s="17" t="inlineStr">
        <is>
          <t>SORTIES-HISTORIQUE-027</t>
        </is>
      </c>
      <c r="S31" s="17" t="inlineStr"/>
    </row>
    <row r="32">
      <c r="A32" s="17" t="inlineStr">
        <is>
          <t>MOV-2026-00177</t>
        </is>
      </c>
      <c r="B32" s="18" t="inlineStr">
        <is>
          <t>21/08/2026</t>
        </is>
      </c>
      <c r="C32" s="18" t="inlineStr">
        <is>
          <t>00:29</t>
        </is>
      </c>
      <c r="D32" s="17" t="inlineStr">
        <is>
          <t>PR-2026-034</t>
        </is>
      </c>
      <c r="E32" s="17" t="inlineStr">
        <is>
          <t>WHAP-0574</t>
        </is>
      </c>
      <c r="F32" s="18">
        <f>IF($E32="","",IFERROR(VLOOKUP($E32,ARTICLES!$A$5:$S$2243,3,FALSE),"reference inconnue"))</f>
        <v/>
      </c>
      <c r="G32" s="17" t="n">
        <v>6</v>
      </c>
      <c r="H32" s="17" t="n">
        <v>6</v>
      </c>
      <c r="I32" s="17" t="inlineStr">
        <is>
          <t>F-04-03</t>
        </is>
      </c>
      <c r="J32" s="17" t="inlineStr">
        <is>
          <t>Issued 6 x WHAP-0574 to ST-05 for PR-2026-034</t>
        </is>
      </c>
      <c r="K32" s="17" t="inlineStr">
        <is>
          <t>WH-008</t>
        </is>
      </c>
      <c r="L32" s="17" t="inlineStr">
        <is>
          <t>VALIDE</t>
        </is>
      </c>
      <c r="M32" s="17" t="inlineStr"/>
      <c r="N32" s="17" t="inlineStr"/>
      <c r="O32" s="17" t="inlineStr"/>
      <c r="P32" s="17" t="inlineStr">
        <is>
          <t>SYNCHRONISE</t>
        </is>
      </c>
      <c r="Q32" s="17" t="inlineStr"/>
      <c r="R32" s="17" t="inlineStr">
        <is>
          <t>SORTIES-HISTORIQUE-028</t>
        </is>
      </c>
      <c r="S32" s="17" t="inlineStr"/>
    </row>
    <row r="33">
      <c r="A33" s="17" t="inlineStr">
        <is>
          <t>MOV-2026-00175</t>
        </is>
      </c>
      <c r="B33" s="18" t="inlineStr">
        <is>
          <t>20/08/2026</t>
        </is>
      </c>
      <c r="C33" s="18" t="inlineStr">
        <is>
          <t>18:29</t>
        </is>
      </c>
      <c r="D33" s="17" t="inlineStr">
        <is>
          <t>PR-2026-032</t>
        </is>
      </c>
      <c r="E33" s="17" t="inlineStr">
        <is>
          <t>ACC-002</t>
        </is>
      </c>
      <c r="F33" s="18">
        <f>IF($E33="","",IFERROR(VLOOKUP($E33,ARTICLES!$A$5:$S$2243,3,FALSE),"reference inconnue"))</f>
        <v/>
      </c>
      <c r="G33" s="17" t="n">
        <v>100</v>
      </c>
      <c r="H33" s="17" t="n">
        <v>100</v>
      </c>
      <c r="I33" s="17" t="inlineStr">
        <is>
          <t>D-04-01</t>
        </is>
      </c>
      <c r="J33" s="17" t="inlineStr">
        <is>
          <t>Issued 100 x ACC-002 to ST-06 for PR-2026-032</t>
        </is>
      </c>
      <c r="K33" s="17" t="inlineStr">
        <is>
          <t>WH-019</t>
        </is>
      </c>
      <c r="L33" s="17" t="inlineStr">
        <is>
          <t>VALIDE</t>
        </is>
      </c>
      <c r="M33" s="17" t="inlineStr"/>
      <c r="N33" s="17" t="inlineStr"/>
      <c r="O33" s="17" t="inlineStr"/>
      <c r="P33" s="17" t="inlineStr">
        <is>
          <t>SYNCHRONISE</t>
        </is>
      </c>
      <c r="Q33" s="17" t="inlineStr"/>
      <c r="R33" s="17" t="inlineStr">
        <is>
          <t>SORTIES-HISTORIQUE-029</t>
        </is>
      </c>
      <c r="S33" s="17" t="inlineStr"/>
    </row>
    <row r="34">
      <c r="A34" s="17" t="inlineStr">
        <is>
          <t>MOV-2026-00171</t>
        </is>
      </c>
      <c r="B34" s="18" t="inlineStr">
        <is>
          <t>20/08/2026</t>
        </is>
      </c>
      <c r="C34" s="18" t="inlineStr">
        <is>
          <t>00:29</t>
        </is>
      </c>
      <c r="D34" s="17" t="inlineStr">
        <is>
          <t>PR-2026-026</t>
        </is>
      </c>
      <c r="E34" s="17" t="inlineStr">
        <is>
          <t>WHAP-0199</t>
        </is>
      </c>
      <c r="F34" s="18">
        <f>IF($E34="","",IFERROR(VLOOKUP($E34,ARTICLES!$A$5:$S$2243,3,FALSE),"reference inconnue"))</f>
        <v/>
      </c>
      <c r="G34" s="17" t="n">
        <v>12</v>
      </c>
      <c r="H34" s="17" t="n">
        <v>12</v>
      </c>
      <c r="I34" s="17" t="inlineStr">
        <is>
          <t>A-02-04</t>
        </is>
      </c>
      <c r="J34" s="17" t="inlineStr">
        <is>
          <t>Issued 12 x WHAP-0199 to ST-03 for PR-2026-026</t>
        </is>
      </c>
      <c r="K34" s="17" t="inlineStr">
        <is>
          <t>WH-024</t>
        </is>
      </c>
      <c r="L34" s="17" t="inlineStr">
        <is>
          <t>VALIDE</t>
        </is>
      </c>
      <c r="M34" s="17" t="inlineStr"/>
      <c r="N34" s="17" t="inlineStr"/>
      <c r="O34" s="17" t="inlineStr"/>
      <c r="P34" s="17" t="inlineStr">
        <is>
          <t>SYNCHRONISE</t>
        </is>
      </c>
      <c r="Q34" s="17" t="inlineStr"/>
      <c r="R34" s="17" t="inlineStr">
        <is>
          <t>SORTIES-HISTORIQUE-030</t>
        </is>
      </c>
      <c r="S34" s="17" t="inlineStr"/>
    </row>
    <row r="35">
      <c r="A35" s="17" t="inlineStr">
        <is>
          <t>MOV-2026-00170</t>
        </is>
      </c>
      <c r="B35" s="18" t="inlineStr">
        <is>
          <t>19/08/2026</t>
        </is>
      </c>
      <c r="C35" s="18" t="inlineStr">
        <is>
          <t>21:29</t>
        </is>
      </c>
      <c r="D35" s="17" t="inlineStr">
        <is>
          <t>PR-2026-025</t>
        </is>
      </c>
      <c r="E35" s="17" t="inlineStr">
        <is>
          <t>WHAP-0002</t>
        </is>
      </c>
      <c r="F35" s="18">
        <f>IF($E35="","",IFERROR(VLOOKUP($E35,ARTICLES!$A$5:$S$2243,3,FALSE),"reference inconnue"))</f>
        <v/>
      </c>
      <c r="G35" s="17" t="n">
        <v>8</v>
      </c>
      <c r="H35" s="17" t="n">
        <v>8</v>
      </c>
      <c r="I35" s="17" t="inlineStr">
        <is>
          <t>A-02-03</t>
        </is>
      </c>
      <c r="J35" s="17" t="inlineStr">
        <is>
          <t>Issued 8 x WHAP-0002 to ST-07 for PR-2026-025</t>
        </is>
      </c>
      <c r="K35" s="17" t="inlineStr">
        <is>
          <t>WH-012</t>
        </is>
      </c>
      <c r="L35" s="17" t="inlineStr">
        <is>
          <t>VALIDE</t>
        </is>
      </c>
      <c r="M35" s="17" t="inlineStr"/>
      <c r="N35" s="17" t="inlineStr"/>
      <c r="O35" s="17" t="inlineStr"/>
      <c r="P35" s="17" t="inlineStr">
        <is>
          <t>SYNCHRONISE</t>
        </is>
      </c>
      <c r="Q35" s="17" t="inlineStr"/>
      <c r="R35" s="17" t="inlineStr">
        <is>
          <t>SORTIES-HISTORIQUE-031</t>
        </is>
      </c>
      <c r="S35" s="17" t="inlineStr"/>
    </row>
    <row r="36">
      <c r="A36" s="17" t="inlineStr">
        <is>
          <t>MOV-2026-00169</t>
        </is>
      </c>
      <c r="B36" s="18" t="inlineStr">
        <is>
          <t>19/08/2026</t>
        </is>
      </c>
      <c r="C36" s="18" t="inlineStr">
        <is>
          <t>15:29</t>
        </is>
      </c>
      <c r="D36" s="17" t="inlineStr">
        <is>
          <t>PR-2026-023</t>
        </is>
      </c>
      <c r="E36" s="17" t="inlineStr">
        <is>
          <t>WHAP-0200</t>
        </is>
      </c>
      <c r="F36" s="18">
        <f>IF($E36="","",IFERROR(VLOOKUP($E36,ARTICLES!$A$5:$S$2243,3,FALSE),"reference inconnue"))</f>
        <v/>
      </c>
      <c r="G36" s="17" t="n">
        <v>4</v>
      </c>
      <c r="H36" s="17" t="n">
        <v>4</v>
      </c>
      <c r="I36" s="17" t="inlineStr">
        <is>
          <t>B-06-01</t>
        </is>
      </c>
      <c r="J36" s="17" t="inlineStr">
        <is>
          <t>Issued 4 x WHAP-0200 to ST-03 for PR-2026-023</t>
        </is>
      </c>
      <c r="K36" s="17" t="inlineStr">
        <is>
          <t>WH-024</t>
        </is>
      </c>
      <c r="L36" s="17" t="inlineStr">
        <is>
          <t>VALIDE</t>
        </is>
      </c>
      <c r="M36" s="17" t="inlineStr"/>
      <c r="N36" s="17" t="inlineStr"/>
      <c r="O36" s="17" t="inlineStr"/>
      <c r="P36" s="17" t="inlineStr">
        <is>
          <t>SYNCHRONISE</t>
        </is>
      </c>
      <c r="Q36" s="17" t="inlineStr"/>
      <c r="R36" s="17" t="inlineStr">
        <is>
          <t>SORTIES-HISTORIQUE-032</t>
        </is>
      </c>
      <c r="S36" s="17" t="inlineStr"/>
    </row>
    <row r="37">
      <c r="A37" s="17" t="inlineStr">
        <is>
          <t>MOV-2026-00168</t>
        </is>
      </c>
      <c r="B37" s="18" t="inlineStr">
        <is>
          <t>19/08/2026</t>
        </is>
      </c>
      <c r="C37" s="18" t="inlineStr">
        <is>
          <t>12:29</t>
        </is>
      </c>
      <c r="D37" s="17" t="inlineStr">
        <is>
          <t>PR-2026-022</t>
        </is>
      </c>
      <c r="E37" s="17" t="inlineStr">
        <is>
          <t>WHAP-0575</t>
        </is>
      </c>
      <c r="F37" s="18">
        <f>IF($E37="","",IFERROR(VLOOKUP($E37,ARTICLES!$A$5:$S$2243,3,FALSE),"reference inconnue"))</f>
        <v/>
      </c>
      <c r="G37" s="17" t="n">
        <v>6</v>
      </c>
      <c r="H37" s="17" t="n">
        <v>6</v>
      </c>
      <c r="I37" s="17" t="inlineStr">
        <is>
          <t>B-04-03</t>
        </is>
      </c>
      <c r="J37" s="17" t="inlineStr">
        <is>
          <t>Issued 6 x WHAP-0575 to ST-06 for PR-2026-022</t>
        </is>
      </c>
      <c r="K37" s="17" t="inlineStr">
        <is>
          <t>WH-019</t>
        </is>
      </c>
      <c r="L37" s="17" t="inlineStr">
        <is>
          <t>VALIDE</t>
        </is>
      </c>
      <c r="M37" s="17" t="inlineStr"/>
      <c r="N37" s="17" t="inlineStr"/>
      <c r="O37" s="17" t="inlineStr"/>
      <c r="P37" s="17" t="inlineStr">
        <is>
          <t>SYNCHRONISE</t>
        </is>
      </c>
      <c r="Q37" s="17" t="inlineStr"/>
      <c r="R37" s="17" t="inlineStr">
        <is>
          <t>SORTIES-HISTORIQUE-033</t>
        </is>
      </c>
      <c r="S37" s="17" t="inlineStr"/>
    </row>
    <row r="38">
      <c r="A38" s="17" t="inlineStr">
        <is>
          <t>MOV-2026-00167</t>
        </is>
      </c>
      <c r="B38" s="18" t="inlineStr">
        <is>
          <t>19/08/2026</t>
        </is>
      </c>
      <c r="C38" s="18" t="inlineStr">
        <is>
          <t>09:29</t>
        </is>
      </c>
      <c r="D38" s="17" t="inlineStr">
        <is>
          <t>PR-2026-021</t>
        </is>
      </c>
      <c r="E38" s="17" t="inlineStr">
        <is>
          <t>WHAP-0153</t>
        </is>
      </c>
      <c r="F38" s="18">
        <f>IF($E38="","",IFERROR(VLOOKUP($E38,ARTICLES!$A$5:$S$2243,3,FALSE),"reference inconnue"))</f>
        <v/>
      </c>
      <c r="G38" s="17" t="n">
        <v>10</v>
      </c>
      <c r="H38" s="17" t="n">
        <v>10</v>
      </c>
      <c r="I38" s="17" t="inlineStr">
        <is>
          <t>F-02-01</t>
        </is>
      </c>
      <c r="J38" s="17" t="inlineStr">
        <is>
          <t>Issued 10 x WHAP-0153 to ST-01 for PR-2026-021</t>
        </is>
      </c>
      <c r="K38" s="17" t="inlineStr">
        <is>
          <t>WH-012</t>
        </is>
      </c>
      <c r="L38" s="17" t="inlineStr">
        <is>
          <t>VALIDE</t>
        </is>
      </c>
      <c r="M38" s="17" t="inlineStr"/>
      <c r="N38" s="17" t="inlineStr"/>
      <c r="O38" s="17" t="inlineStr"/>
      <c r="P38" s="17" t="inlineStr">
        <is>
          <t>SYNCHRONISE</t>
        </is>
      </c>
      <c r="Q38" s="17" t="inlineStr"/>
      <c r="R38" s="17" t="inlineStr">
        <is>
          <t>SORTIES-HISTORIQUE-034</t>
        </is>
      </c>
      <c r="S38" s="17" t="inlineStr"/>
    </row>
    <row r="39">
      <c r="A39" s="17" t="inlineStr">
        <is>
          <t>MOV-2026-00166</t>
        </is>
      </c>
      <c r="B39" s="18" t="inlineStr">
        <is>
          <t>19/08/2026</t>
        </is>
      </c>
      <c r="C39" s="18" t="inlineStr">
        <is>
          <t>00:29</t>
        </is>
      </c>
      <c r="D39" s="17" t="inlineStr">
        <is>
          <t>PR-2026-018</t>
        </is>
      </c>
      <c r="E39" s="17" t="inlineStr">
        <is>
          <t>WHAP-0447</t>
        </is>
      </c>
      <c r="F39" s="18">
        <f>IF($E39="","",IFERROR(VLOOKUP($E39,ARTICLES!$A$5:$S$2243,3,FALSE),"reference inconnue"))</f>
        <v/>
      </c>
      <c r="G39" s="17" t="n">
        <v>15</v>
      </c>
      <c r="H39" s="17" t="n">
        <v>15</v>
      </c>
      <c r="I39" s="17" t="inlineStr">
        <is>
          <t>F-01-01</t>
        </is>
      </c>
      <c r="J39" s="17" t="inlineStr">
        <is>
          <t>Issued 15 x WHAP-0447 to ST-05 for PR-2026-018</t>
        </is>
      </c>
      <c r="K39" s="17" t="inlineStr">
        <is>
          <t>WH-012</t>
        </is>
      </c>
      <c r="L39" s="17" t="inlineStr">
        <is>
          <t>VALIDE</t>
        </is>
      </c>
      <c r="M39" s="17" t="inlineStr"/>
      <c r="N39" s="17" t="inlineStr"/>
      <c r="O39" s="17" t="inlineStr"/>
      <c r="P39" s="17" t="inlineStr">
        <is>
          <t>SYNCHRONISE</t>
        </is>
      </c>
      <c r="Q39" s="17" t="inlineStr"/>
      <c r="R39" s="17" t="inlineStr">
        <is>
          <t>SORTIES-HISTORIQUE-035</t>
        </is>
      </c>
      <c r="S39" s="17" t="inlineStr"/>
    </row>
    <row r="40">
      <c r="A40" s="17" t="inlineStr">
        <is>
          <t>MOV-2026-00162</t>
        </is>
      </c>
      <c r="B40" s="18" t="inlineStr">
        <is>
          <t>18/08/2026</t>
        </is>
      </c>
      <c r="C40" s="18" t="inlineStr">
        <is>
          <t>03:29</t>
        </is>
      </c>
      <c r="D40" s="17" t="inlineStr">
        <is>
          <t>PR-2026-011</t>
        </is>
      </c>
      <c r="E40" s="17" t="inlineStr">
        <is>
          <t>WHAP-0152</t>
        </is>
      </c>
      <c r="F40" s="18">
        <f>IF($E40="","",IFERROR(VLOOKUP($E40,ARTICLES!$A$5:$S$2243,3,FALSE),"reference inconnue"))</f>
        <v/>
      </c>
      <c r="G40" s="17" t="n">
        <v>4</v>
      </c>
      <c r="H40" s="17" t="n">
        <v>4</v>
      </c>
      <c r="I40" s="17" t="inlineStr">
        <is>
          <t>D-05-04</t>
        </is>
      </c>
      <c r="J40" s="17" t="inlineStr">
        <is>
          <t>Issued 4 x WHAP-0152 to ST-04 for PR-2026-011</t>
        </is>
      </c>
      <c r="K40" s="17" t="inlineStr">
        <is>
          <t>WH-012</t>
        </is>
      </c>
      <c r="L40" s="17" t="inlineStr">
        <is>
          <t>VALIDE</t>
        </is>
      </c>
      <c r="M40" s="17" t="inlineStr"/>
      <c r="N40" s="17" t="inlineStr"/>
      <c r="O40" s="17" t="inlineStr"/>
      <c r="P40" s="17" t="inlineStr">
        <is>
          <t>SYNCHRONISE</t>
        </is>
      </c>
      <c r="Q40" s="17" t="inlineStr"/>
      <c r="R40" s="17" t="inlineStr">
        <is>
          <t>SORTIES-HISTORIQUE-036</t>
        </is>
      </c>
      <c r="S40" s="17" t="inlineStr"/>
    </row>
    <row r="41">
      <c r="A41" s="17" t="inlineStr">
        <is>
          <t>MOV-2026-00012</t>
        </is>
      </c>
      <c r="B41" s="18" t="inlineStr">
        <is>
          <t>17/08/2026</t>
        </is>
      </c>
      <c r="C41" s="18" t="inlineStr">
        <is>
          <t>06:29</t>
        </is>
      </c>
      <c r="D41" s="17" t="inlineStr">
        <is>
          <t>PR-2026-004</t>
        </is>
      </c>
      <c r="E41" s="17" t="inlineStr">
        <is>
          <t>WHAP-0082</t>
        </is>
      </c>
      <c r="F41" s="18">
        <f>IF($E41="","",IFERROR(VLOOKUP($E41,ARTICLES!$A$5:$S$2243,3,FALSE),"reference inconnue"))</f>
        <v/>
      </c>
      <c r="G41" s="17" t="n">
        <v>200</v>
      </c>
      <c r="H41" s="17" t="n">
        <v>200</v>
      </c>
      <c r="I41" s="17" t="inlineStr">
        <is>
          <t>B-05-03</t>
        </is>
      </c>
      <c r="J41" s="17" t="inlineStr">
        <is>
          <t>Issued 200 x WHAP-0082 to ST-02 for PR-2026-004</t>
        </is>
      </c>
      <c r="K41" s="17" t="inlineStr">
        <is>
          <t>WH-008</t>
        </is>
      </c>
      <c r="L41" s="17" t="inlineStr">
        <is>
          <t>VALIDE</t>
        </is>
      </c>
      <c r="M41" s="17" t="inlineStr"/>
      <c r="N41" s="17" t="inlineStr"/>
      <c r="O41" s="17" t="inlineStr"/>
      <c r="P41" s="17" t="inlineStr">
        <is>
          <t>SYNCHRONISE</t>
        </is>
      </c>
      <c r="Q41" s="17" t="inlineStr"/>
      <c r="R41" s="17" t="inlineStr">
        <is>
          <t>SORTIES-HISTORIQUE-037</t>
        </is>
      </c>
      <c r="S41" s="17" t="inlineStr"/>
    </row>
    <row r="42">
      <c r="A42" s="17" t="inlineStr">
        <is>
          <t>MOV-2026-00011</t>
        </is>
      </c>
      <c r="B42" s="18" t="inlineStr">
        <is>
          <t>17/08/2026</t>
        </is>
      </c>
      <c r="C42" s="18" t="inlineStr">
        <is>
          <t>03:29</t>
        </is>
      </c>
      <c r="D42" s="17" t="inlineStr">
        <is>
          <t>PR-2026-003</t>
        </is>
      </c>
      <c r="E42" s="17" t="inlineStr">
        <is>
          <t>WHAP-0001</t>
        </is>
      </c>
      <c r="F42" s="18">
        <f>IF($E42="","",IFERROR(VLOOKUP($E42,ARTICLES!$A$5:$S$2243,3,FALSE),"reference inconnue"))</f>
        <v/>
      </c>
      <c r="G42" s="17" t="n">
        <v>25</v>
      </c>
      <c r="H42" s="17" t="n">
        <v>25</v>
      </c>
      <c r="I42" s="17" t="inlineStr">
        <is>
          <t>C-03-04</t>
        </is>
      </c>
      <c r="J42" s="17" t="inlineStr">
        <is>
          <t>Issued 25 x WHAP-0001 to ST-03 for PR-2026-003</t>
        </is>
      </c>
      <c r="K42" s="17" t="inlineStr">
        <is>
          <t>WH-008</t>
        </is>
      </c>
      <c r="L42" s="17" t="inlineStr">
        <is>
          <t>VALIDE</t>
        </is>
      </c>
      <c r="M42" s="17" t="inlineStr"/>
      <c r="N42" s="17" t="inlineStr"/>
      <c r="O42" s="17" t="inlineStr"/>
      <c r="P42" s="17" t="inlineStr">
        <is>
          <t>SYNCHRONISE</t>
        </is>
      </c>
      <c r="Q42" s="17" t="inlineStr"/>
      <c r="R42" s="17" t="inlineStr">
        <is>
          <t>SORTIES-HISTORIQUE-038</t>
        </is>
      </c>
      <c r="S42" s="17" t="inlineStr"/>
    </row>
    <row r="43">
      <c r="A43" s="17" t="inlineStr">
        <is>
          <t>MOV-2026-00010</t>
        </is>
      </c>
      <c r="B43" s="18" t="inlineStr">
        <is>
          <t>17/08/2026</t>
        </is>
      </c>
      <c r="C43" s="18" t="inlineStr">
        <is>
          <t>00:29</t>
        </is>
      </c>
      <c r="D43" s="17" t="inlineStr">
        <is>
          <t>PR-2026-002</t>
        </is>
      </c>
      <c r="E43" s="17" t="inlineStr">
        <is>
          <t>WHAP-0083</t>
        </is>
      </c>
      <c r="F43" s="18">
        <f>IF($E43="","",IFERROR(VLOOKUP($E43,ARTICLES!$A$5:$S$2243,3,FALSE),"reference inconnue"))</f>
        <v/>
      </c>
      <c r="G43" s="17" t="n">
        <v>180</v>
      </c>
      <c r="H43" s="17" t="n">
        <v>180</v>
      </c>
      <c r="I43" s="17" t="inlineStr">
        <is>
          <t>C-01-04</t>
        </is>
      </c>
      <c r="J43" s="17" t="inlineStr">
        <is>
          <t>Issued 180 x WHAP-0083 to ST-01 for PR-2026-002</t>
        </is>
      </c>
      <c r="K43" s="17" t="inlineStr">
        <is>
          <t>WH-008</t>
        </is>
      </c>
      <c r="L43" s="17" t="inlineStr">
        <is>
          <t>VALIDE</t>
        </is>
      </c>
      <c r="M43" s="17" t="inlineStr"/>
      <c r="N43" s="17" t="inlineStr"/>
      <c r="O43" s="17" t="inlineStr"/>
      <c r="P43" s="17" t="inlineStr">
        <is>
          <t>SYNCHRONISE</t>
        </is>
      </c>
      <c r="Q43" s="17" t="inlineStr"/>
      <c r="R43" s="17" t="inlineStr">
        <is>
          <t>SORTIES-HISTORIQUE-039</t>
        </is>
      </c>
      <c r="S43" s="17" t="inlineStr"/>
    </row>
    <row r="44">
      <c r="A44" s="17" t="inlineStr">
        <is>
          <t>MOV-2026-00009</t>
        </is>
      </c>
      <c r="B44" s="18" t="inlineStr">
        <is>
          <t>16/08/2026</t>
        </is>
      </c>
      <c r="C44" s="18" t="inlineStr">
        <is>
          <t>21:29</t>
        </is>
      </c>
      <c r="D44" s="17" t="inlineStr">
        <is>
          <t>PR-2026-001</t>
        </is>
      </c>
      <c r="E44" s="17" t="inlineStr">
        <is>
          <t>WHAP-0081</t>
        </is>
      </c>
      <c r="F44" s="18">
        <f>IF($E44="","",IFERROR(VLOOKUP($E44,ARTICLES!$A$5:$S$2243,3,FALSE),"reference inconnue"))</f>
        <v/>
      </c>
      <c r="G44" s="17" t="n">
        <v>60</v>
      </c>
      <c r="H44" s="17" t="n">
        <v>60</v>
      </c>
      <c r="I44" s="17" t="inlineStr">
        <is>
          <t>B-05-04</t>
        </is>
      </c>
      <c r="J44" s="17" t="inlineStr">
        <is>
          <t>Issued 60 x WHAP-0081 to ST-02 for PR-2026-001</t>
        </is>
      </c>
      <c r="K44" s="17" t="inlineStr">
        <is>
          <t>WH-008</t>
        </is>
      </c>
      <c r="L44" s="17" t="inlineStr">
        <is>
          <t>VALIDE</t>
        </is>
      </c>
      <c r="M44" s="17" t="inlineStr"/>
      <c r="N44" s="17" t="inlineStr"/>
      <c r="O44" s="17" t="inlineStr"/>
      <c r="P44" s="17" t="inlineStr">
        <is>
          <t>SYNCHRONISE</t>
        </is>
      </c>
      <c r="Q44" s="17" t="inlineStr"/>
      <c r="R44" s="17" t="inlineStr">
        <is>
          <t>SORTIES-HISTORIQUE-040</t>
        </is>
      </c>
      <c r="S44" s="17" t="inlineStr"/>
    </row>
    <row r="45">
      <c r="A45" s="17" t="inlineStr"/>
      <c r="B45" s="18">
        <f>IF($D45="","",TEXT(TODAY(),"dd/mm/yyyy"))</f>
        <v/>
      </c>
      <c r="C45" s="18">
        <f>IF($D45="","",TEXT(NOW(),"hh:mm"))</f>
        <v/>
      </c>
      <c r="D45" s="17" t="inlineStr">
        <is>
          <t>PR-2026-116</t>
        </is>
      </c>
      <c r="E45" s="17" t="inlineStr">
        <is>
          <t>WHAP-0199</t>
        </is>
      </c>
      <c r="F45" s="18">
        <f>IF($E45="","",IFERROR(VLOOKUP($E45,ARTICLES!$A$5:$S$2243,3,FALSE),"reference inconnue"))</f>
        <v/>
      </c>
      <c r="G45" s="17" t="n">
        <v>2</v>
      </c>
      <c r="H45" s="17" t="inlineStr"/>
      <c r="I45" s="17" t="inlineStr"/>
      <c r="J45" s="17" t="inlineStr"/>
      <c r="K45" s="17" t="inlineStr"/>
      <c r="L45" s="17" t="inlineStr">
        <is>
          <t>BROUILLON</t>
        </is>
      </c>
      <c r="M45" s="17" t="inlineStr"/>
      <c r="N45" s="17" t="inlineStr"/>
      <c r="O45" s="17" t="inlineStr"/>
      <c r="P45" s="17" t="inlineStr"/>
      <c r="Q45" s="17" t="inlineStr"/>
      <c r="R45" s="17" t="inlineStr"/>
      <c r="S45" s="17" t="inlineStr"/>
    </row>
    <row r="46">
      <c r="A46" s="17" t="inlineStr"/>
      <c r="B46" s="18">
        <f>IF($D46="","",TEXT(TODAY(),"dd/mm/yyyy"))</f>
        <v/>
      </c>
      <c r="C46" s="18">
        <f>IF($D46="","",TEXT(NOW(),"hh:mm"))</f>
        <v/>
      </c>
      <c r="D46" s="17" t="inlineStr">
        <is>
          <t>PR-2026-113</t>
        </is>
      </c>
      <c r="E46" s="17" t="inlineStr">
        <is>
          <t>WHAP-0521</t>
        </is>
      </c>
      <c r="F46" s="18">
        <f>IF($E46="","",IFERROR(VLOOKUP($E46,ARTICLES!$A$5:$S$2243,3,FALSE),"reference inconnue"))</f>
        <v/>
      </c>
      <c r="G46" s="17" t="n">
        <v>15</v>
      </c>
      <c r="H46" s="17" t="inlineStr"/>
      <c r="I46" s="17" t="inlineStr"/>
      <c r="J46" s="17" t="inlineStr"/>
      <c r="K46" s="17" t="inlineStr"/>
      <c r="L46" s="17" t="inlineStr">
        <is>
          <t>BROUILLON</t>
        </is>
      </c>
      <c r="M46" s="17" t="inlineStr"/>
      <c r="N46" s="17" t="inlineStr"/>
      <c r="O46" s="17" t="inlineStr"/>
      <c r="P46" s="17" t="inlineStr"/>
      <c r="Q46" s="17" t="inlineStr"/>
      <c r="R46" s="17" t="inlineStr"/>
      <c r="S46" s="17" t="inlineStr"/>
    </row>
    <row r="47">
      <c r="A47" s="17" t="inlineStr"/>
      <c r="B47" s="18">
        <f>IF($D47="","",TEXT(TODAY(),"dd/mm/yyyy"))</f>
        <v/>
      </c>
      <c r="C47" s="18">
        <f>IF($D47="","",TEXT(NOW(),"hh:mm"))</f>
        <v/>
      </c>
      <c r="D47" s="17" t="inlineStr">
        <is>
          <t>PR-2026-109</t>
        </is>
      </c>
      <c r="E47" s="17" t="inlineStr">
        <is>
          <t>WHAP-0152</t>
        </is>
      </c>
      <c r="F47" s="18">
        <f>IF($E47="","",IFERROR(VLOOKUP($E47,ARTICLES!$A$5:$S$2243,3,FALSE),"reference inconnue"))</f>
        <v/>
      </c>
      <c r="G47" s="17" t="n">
        <v>10</v>
      </c>
      <c r="H47" s="17" t="inlineStr"/>
      <c r="I47" s="17" t="inlineStr"/>
      <c r="J47" s="17" t="inlineStr"/>
      <c r="K47" s="17" t="inlineStr"/>
      <c r="L47" s="17" t="inlineStr">
        <is>
          <t>BROUILLON</t>
        </is>
      </c>
      <c r="M47" s="17" t="inlineStr"/>
      <c r="N47" s="17" t="inlineStr"/>
      <c r="O47" s="17" t="inlineStr"/>
      <c r="P47" s="17" t="inlineStr"/>
      <c r="Q47" s="17" t="inlineStr"/>
      <c r="R47" s="17" t="inlineStr"/>
      <c r="S47" s="17" t="inlineStr"/>
    </row>
    <row r="48">
      <c r="A48" s="17" t="inlineStr"/>
      <c r="B48" s="18">
        <f>IF($D48="","",TEXT(TODAY(),"dd/mm/yyyy"))</f>
        <v/>
      </c>
      <c r="C48" s="18">
        <f>IF($D48="","",TEXT(NOW(),"hh:mm"))</f>
        <v/>
      </c>
      <c r="D48" s="17" t="inlineStr">
        <is>
          <t>PR-2026-108</t>
        </is>
      </c>
      <c r="E48" s="17" t="inlineStr">
        <is>
          <t>WHAP-0536</t>
        </is>
      </c>
      <c r="F48" s="18">
        <f>IF($E48="","",IFERROR(VLOOKUP($E48,ARTICLES!$A$5:$S$2243,3,FALSE),"reference inconnue"))</f>
        <v/>
      </c>
      <c r="G48" s="17" t="n">
        <v>4</v>
      </c>
      <c r="H48" s="17" t="inlineStr"/>
      <c r="I48" s="17" t="inlineStr"/>
      <c r="J48" s="17" t="inlineStr"/>
      <c r="K48" s="17" t="inlineStr"/>
      <c r="L48" s="17" t="inlineStr">
        <is>
          <t>BROUILLON</t>
        </is>
      </c>
      <c r="M48" s="17" t="inlineStr"/>
      <c r="N48" s="17" t="inlineStr"/>
      <c r="O48" s="17" t="inlineStr"/>
      <c r="P48" s="17" t="inlineStr"/>
      <c r="Q48" s="17" t="inlineStr"/>
      <c r="R48" s="17" t="inlineStr"/>
      <c r="S48" s="17" t="inlineStr"/>
    </row>
    <row r="49">
      <c r="A49" s="17" t="inlineStr"/>
      <c r="B49" s="18">
        <f>IF($D49="","",TEXT(TODAY(),"dd/mm/yyyy"))</f>
        <v/>
      </c>
      <c r="C49" s="18">
        <f>IF($D49="","",TEXT(NOW(),"hh:mm"))</f>
        <v/>
      </c>
      <c r="D49" s="17" t="inlineStr">
        <is>
          <t>PR-2026-107</t>
        </is>
      </c>
      <c r="E49" s="17" t="inlineStr">
        <is>
          <t>WHAP-0271</t>
        </is>
      </c>
      <c r="F49" s="18">
        <f>IF($E49="","",IFERROR(VLOOKUP($E49,ARTICLES!$A$5:$S$2243,3,FALSE),"reference inconnue"))</f>
        <v/>
      </c>
      <c r="G49" s="17" t="n">
        <v>6</v>
      </c>
      <c r="H49" s="17" t="inlineStr"/>
      <c r="I49" s="17" t="inlineStr"/>
      <c r="J49" s="17" t="inlineStr"/>
      <c r="K49" s="17" t="inlineStr"/>
      <c r="L49" s="17" t="inlineStr">
        <is>
          <t>BROUILLON</t>
        </is>
      </c>
      <c r="M49" s="17" t="inlineStr"/>
      <c r="N49" s="17" t="inlineStr"/>
      <c r="O49" s="17" t="inlineStr"/>
      <c r="P49" s="17" t="inlineStr"/>
      <c r="Q49" s="17" t="inlineStr"/>
      <c r="R49" s="17" t="inlineStr"/>
      <c r="S49" s="17" t="inlineStr"/>
    </row>
    <row r="50">
      <c r="A50" s="17" t="inlineStr"/>
      <c r="B50" s="18">
        <f>IF($D50="","",TEXT(TODAY(),"dd/mm/yyyy"))</f>
        <v/>
      </c>
      <c r="C50" s="18">
        <f>IF($D50="","",TEXT(NOW(),"hh:mm"))</f>
        <v/>
      </c>
      <c r="D50" s="17" t="inlineStr">
        <is>
          <t>PR-2026-103</t>
        </is>
      </c>
      <c r="E50" s="17" t="inlineStr">
        <is>
          <t>TRT-002</t>
        </is>
      </c>
      <c r="F50" s="18">
        <f>IF($E50="","",IFERROR(VLOOKUP($E50,ARTICLES!$A$5:$S$2243,3,FALSE),"reference inconnue"))</f>
        <v/>
      </c>
      <c r="G50" s="17" t="n">
        <v>20</v>
      </c>
      <c r="H50" s="17" t="inlineStr"/>
      <c r="I50" s="17" t="inlineStr"/>
      <c r="J50" s="17" t="inlineStr"/>
      <c r="K50" s="17" t="inlineStr"/>
      <c r="L50" s="17" t="inlineStr">
        <is>
          <t>BROUILLON</t>
        </is>
      </c>
      <c r="M50" s="17" t="inlineStr"/>
      <c r="N50" s="17" t="inlineStr"/>
      <c r="O50" s="17" t="inlineStr"/>
      <c r="P50" s="17" t="inlineStr"/>
      <c r="Q50" s="17" t="inlineStr"/>
      <c r="R50" s="17" t="inlineStr"/>
      <c r="S50" s="17" t="inlineStr"/>
    </row>
    <row r="51">
      <c r="A51" s="17" t="inlineStr"/>
      <c r="B51" s="18">
        <f>IF($D51="","",TEXT(TODAY(),"dd/mm/yyyy"))</f>
        <v/>
      </c>
      <c r="C51" s="18">
        <f>IF($D51="","",TEXT(NOW(),"hh:mm"))</f>
        <v/>
      </c>
      <c r="D51" s="17" t="inlineStr">
        <is>
          <t>PR-2026-095</t>
        </is>
      </c>
      <c r="E51" s="17" t="inlineStr">
        <is>
          <t>ACC-001</t>
        </is>
      </c>
      <c r="F51" s="18">
        <f>IF($E51="","",IFERROR(VLOOKUP($E51,ARTICLES!$A$5:$S$2243,3,FALSE),"reference inconnue"))</f>
        <v/>
      </c>
      <c r="G51" s="17" t="n">
        <v>60</v>
      </c>
      <c r="H51" s="17" t="inlineStr"/>
      <c r="I51" s="17" t="inlineStr"/>
      <c r="J51" s="17" t="inlineStr"/>
      <c r="K51" s="17" t="inlineStr"/>
      <c r="L51" s="17" t="inlineStr">
        <is>
          <t>BROUILLON</t>
        </is>
      </c>
      <c r="M51" s="17" t="inlineStr"/>
      <c r="N51" s="17" t="inlineStr"/>
      <c r="O51" s="17" t="inlineStr"/>
      <c r="P51" s="17" t="inlineStr"/>
      <c r="Q51" s="17" t="inlineStr"/>
      <c r="R51" s="17" t="inlineStr"/>
      <c r="S51" s="17" t="inlineStr"/>
    </row>
    <row r="52">
      <c r="A52" s="17" t="inlineStr"/>
      <c r="B52" s="18">
        <f>IF($D52="","",TEXT(TODAY(),"dd/mm/yyyy"))</f>
        <v/>
      </c>
      <c r="C52" s="18">
        <f>IF($D52="","",TEXT(NOW(),"hh:mm"))</f>
        <v/>
      </c>
      <c r="D52" s="17" t="inlineStr">
        <is>
          <t>PR-2026-093</t>
        </is>
      </c>
      <c r="E52" s="17" t="inlineStr">
        <is>
          <t>WHAP-0103</t>
        </is>
      </c>
      <c r="F52" s="18">
        <f>IF($E52="","",IFERROR(VLOOKUP($E52,ARTICLES!$A$5:$S$2243,3,FALSE),"reference inconnue"))</f>
        <v/>
      </c>
      <c r="G52" s="17" t="n">
        <v>15</v>
      </c>
      <c r="H52" s="17" t="inlineStr"/>
      <c r="I52" s="17" t="inlineStr"/>
      <c r="J52" s="17" t="inlineStr"/>
      <c r="K52" s="17" t="inlineStr"/>
      <c r="L52" s="17" t="inlineStr">
        <is>
          <t>BROUILLON</t>
        </is>
      </c>
      <c r="M52" s="17" t="inlineStr"/>
      <c r="N52" s="17" t="inlineStr"/>
      <c r="O52" s="17" t="inlineStr"/>
      <c r="P52" s="17" t="inlineStr"/>
      <c r="Q52" s="17" t="inlineStr"/>
      <c r="R52" s="17" t="inlineStr"/>
      <c r="S52" s="17" t="inlineStr"/>
    </row>
    <row r="53">
      <c r="A53" s="17" t="inlineStr"/>
      <c r="B53" s="18">
        <f>IF($D53="","",TEXT(TODAY(),"dd/mm/yyyy"))</f>
        <v/>
      </c>
      <c r="C53" s="18">
        <f>IF($D53="","",TEXT(NOW(),"hh:mm"))</f>
        <v/>
      </c>
      <c r="D53" s="17" t="inlineStr">
        <is>
          <t>PR-2026-089</t>
        </is>
      </c>
      <c r="E53" s="17" t="inlineStr">
        <is>
          <t>WHAP-0151</t>
        </is>
      </c>
      <c r="F53" s="18">
        <f>IF($E53="","",IFERROR(VLOOKUP($E53,ARTICLES!$A$5:$S$2243,3,FALSE),"reference inconnue"))</f>
        <v/>
      </c>
      <c r="G53" s="17" t="n">
        <v>10</v>
      </c>
      <c r="H53" s="17" t="inlineStr"/>
      <c r="I53" s="17" t="inlineStr"/>
      <c r="J53" s="17" t="inlineStr"/>
      <c r="K53" s="17" t="inlineStr"/>
      <c r="L53" s="17" t="inlineStr">
        <is>
          <t>BROUILLON</t>
        </is>
      </c>
      <c r="M53" s="17" t="inlineStr"/>
      <c r="N53" s="17" t="inlineStr"/>
      <c r="O53" s="17" t="inlineStr"/>
      <c r="P53" s="17" t="inlineStr"/>
      <c r="Q53" s="17" t="inlineStr"/>
      <c r="R53" s="17" t="inlineStr"/>
      <c r="S53" s="17" t="inlineStr"/>
    </row>
    <row r="54">
      <c r="A54" s="17" t="inlineStr"/>
      <c r="B54" s="18">
        <f>IF($D54="","",TEXT(TODAY(),"dd/mm/yyyy"))</f>
        <v/>
      </c>
      <c r="C54" s="18">
        <f>IF($D54="","",TEXT(NOW(),"hh:mm"))</f>
        <v/>
      </c>
      <c r="D54" s="17" t="inlineStr">
        <is>
          <t>PR-2026-086</t>
        </is>
      </c>
      <c r="E54" s="17" t="inlineStr">
        <is>
          <t>WHAP-0295</t>
        </is>
      </c>
      <c r="F54" s="18">
        <f>IF($E54="","",IFERROR(VLOOKUP($E54,ARTICLES!$A$5:$S$2243,3,FALSE),"reference inconnue"))</f>
        <v/>
      </c>
      <c r="G54" s="17" t="n">
        <v>60</v>
      </c>
      <c r="H54" s="17" t="inlineStr"/>
      <c r="I54" s="17" t="inlineStr"/>
      <c r="J54" s="17" t="inlineStr"/>
      <c r="K54" s="17" t="inlineStr"/>
      <c r="L54" s="17" t="inlineStr">
        <is>
          <t>BROUILLON</t>
        </is>
      </c>
      <c r="M54" s="17" t="inlineStr"/>
      <c r="N54" s="17" t="inlineStr"/>
      <c r="O54" s="17" t="inlineStr"/>
      <c r="P54" s="17" t="inlineStr"/>
      <c r="Q54" s="17" t="inlineStr"/>
      <c r="R54" s="17" t="inlineStr"/>
      <c r="S54" s="17" t="inlineStr"/>
    </row>
    <row r="55">
      <c r="A55" s="17" t="n"/>
      <c r="B55" s="18">
        <f>IF($D55="","",TEXT(TODAY(),"dd/mm/yyyy"))</f>
        <v/>
      </c>
      <c r="C55" s="18">
        <f>IF($D55="","",TEXT(NOW(),"hh:mm"))</f>
        <v/>
      </c>
      <c r="D55" s="19" t="n"/>
      <c r="E55" s="19" t="n"/>
      <c r="F55" s="18">
        <f>IF($E55="","",IFERROR(VLOOKUP($E55,ARTICLES!$A$5:$S$2243,3,FALSE),"reference inconnue"))</f>
        <v/>
      </c>
      <c r="G55" s="19" t="n"/>
      <c r="H55" s="19" t="n"/>
      <c r="I55" s="19" t="n"/>
      <c r="J55" s="19" t="n"/>
      <c r="K55" s="19" t="n"/>
      <c r="L55" s="17" t="inlineStr">
        <is>
          <t>BROUILLON</t>
        </is>
      </c>
      <c r="M55" s="17" t="n"/>
      <c r="N55" s="17" t="n"/>
      <c r="O55" s="17" t="n"/>
      <c r="P55" s="17" t="n"/>
      <c r="Q55" s="17" t="n"/>
      <c r="R55" s="17" t="n"/>
      <c r="S55" s="17" t="n"/>
    </row>
    <row r="56">
      <c r="A56" s="17" t="n"/>
      <c r="B56" s="18">
        <f>IF($D56="","",TEXT(TODAY(),"dd/mm/yyyy"))</f>
        <v/>
      </c>
      <c r="C56" s="18">
        <f>IF($D56="","",TEXT(NOW(),"hh:mm"))</f>
        <v/>
      </c>
      <c r="D56" s="19" t="n"/>
      <c r="E56" s="19" t="n"/>
      <c r="F56" s="18">
        <f>IF($E56="","",IFERROR(VLOOKUP($E56,ARTICLES!$A$5:$S$2243,3,FALSE),"reference inconnue"))</f>
        <v/>
      </c>
      <c r="G56" s="19" t="n"/>
      <c r="H56" s="19" t="n"/>
      <c r="I56" s="19" t="n"/>
      <c r="J56" s="19" t="n"/>
      <c r="K56" s="19" t="n"/>
      <c r="L56" s="17" t="inlineStr">
        <is>
          <t>BROUILLON</t>
        </is>
      </c>
      <c r="M56" s="17" t="n"/>
      <c r="N56" s="17" t="n"/>
      <c r="O56" s="17" t="n"/>
      <c r="P56" s="17" t="n"/>
      <c r="Q56" s="17" t="n"/>
      <c r="R56" s="17" t="n"/>
      <c r="S56" s="17" t="n"/>
    </row>
    <row r="57">
      <c r="A57" s="17" t="n"/>
      <c r="B57" s="18">
        <f>IF($D57="","",TEXT(TODAY(),"dd/mm/yyyy"))</f>
        <v/>
      </c>
      <c r="C57" s="18">
        <f>IF($D57="","",TEXT(NOW(),"hh:mm"))</f>
        <v/>
      </c>
      <c r="D57" s="19" t="n"/>
      <c r="E57" s="19" t="n"/>
      <c r="F57" s="18">
        <f>IF($E57="","",IFERROR(VLOOKUP($E57,ARTICLES!$A$5:$S$2243,3,FALSE),"reference inconnue"))</f>
        <v/>
      </c>
      <c r="G57" s="19" t="n"/>
      <c r="H57" s="19" t="n"/>
      <c r="I57" s="19" t="n"/>
      <c r="J57" s="19" t="n"/>
      <c r="K57" s="19" t="n"/>
      <c r="L57" s="17" t="inlineStr">
        <is>
          <t>BROUILLON</t>
        </is>
      </c>
      <c r="M57" s="17" t="n"/>
      <c r="N57" s="17" t="n"/>
      <c r="O57" s="17" t="n"/>
      <c r="P57" s="17" t="n"/>
      <c r="Q57" s="17" t="n"/>
      <c r="R57" s="17" t="n"/>
      <c r="S57" s="17" t="n"/>
    </row>
    <row r="58">
      <c r="A58" s="17" t="n"/>
      <c r="B58" s="18">
        <f>IF($D58="","",TEXT(TODAY(),"dd/mm/yyyy"))</f>
        <v/>
      </c>
      <c r="C58" s="18">
        <f>IF($D58="","",TEXT(NOW(),"hh:mm"))</f>
        <v/>
      </c>
      <c r="D58" s="19" t="n"/>
      <c r="E58" s="19" t="n"/>
      <c r="F58" s="18">
        <f>IF($E58="","",IFERROR(VLOOKUP($E58,ARTICLES!$A$5:$S$2243,3,FALSE),"reference inconnue"))</f>
        <v/>
      </c>
      <c r="G58" s="19" t="n"/>
      <c r="H58" s="19" t="n"/>
      <c r="I58" s="19" t="n"/>
      <c r="J58" s="19" t="n"/>
      <c r="K58" s="19" t="n"/>
      <c r="L58" s="17" t="inlineStr">
        <is>
          <t>BROUILLON</t>
        </is>
      </c>
      <c r="M58" s="17" t="n"/>
      <c r="N58" s="17" t="n"/>
      <c r="O58" s="17" t="n"/>
      <c r="P58" s="17" t="n"/>
      <c r="Q58" s="17" t="n"/>
      <c r="R58" s="17" t="n"/>
      <c r="S58" s="17" t="n"/>
    </row>
    <row r="59">
      <c r="A59" s="17" t="n"/>
      <c r="B59" s="18">
        <f>IF($D59="","",TEXT(TODAY(),"dd/mm/yyyy"))</f>
        <v/>
      </c>
      <c r="C59" s="18">
        <f>IF($D59="","",TEXT(NOW(),"hh:mm"))</f>
        <v/>
      </c>
      <c r="D59" s="19" t="n"/>
      <c r="E59" s="19" t="n"/>
      <c r="F59" s="18">
        <f>IF($E59="","",IFERROR(VLOOKUP($E59,ARTICLES!$A$5:$S$2243,3,FALSE),"reference inconnue"))</f>
        <v/>
      </c>
      <c r="G59" s="19" t="n"/>
      <c r="H59" s="19" t="n"/>
      <c r="I59" s="19" t="n"/>
      <c r="J59" s="19" t="n"/>
      <c r="K59" s="19" t="n"/>
      <c r="L59" s="17" t="inlineStr">
        <is>
          <t>BROUILLON</t>
        </is>
      </c>
      <c r="M59" s="17" t="n"/>
      <c r="N59" s="17" t="n"/>
      <c r="O59" s="17" t="n"/>
      <c r="P59" s="17" t="n"/>
      <c r="Q59" s="17" t="n"/>
      <c r="R59" s="17" t="n"/>
      <c r="S59" s="17" t="n"/>
    </row>
    <row r="60">
      <c r="A60" s="17" t="n"/>
      <c r="B60" s="18">
        <f>IF($D60="","",TEXT(TODAY(),"dd/mm/yyyy"))</f>
        <v/>
      </c>
      <c r="C60" s="18">
        <f>IF($D60="","",TEXT(NOW(),"hh:mm"))</f>
        <v/>
      </c>
      <c r="D60" s="19" t="n"/>
      <c r="E60" s="19" t="n"/>
      <c r="F60" s="18">
        <f>IF($E60="","",IFERROR(VLOOKUP($E60,ARTICLES!$A$5:$S$2243,3,FALSE),"reference inconnue"))</f>
        <v/>
      </c>
      <c r="G60" s="19" t="n"/>
      <c r="H60" s="19" t="n"/>
      <c r="I60" s="19" t="n"/>
      <c r="J60" s="19" t="n"/>
      <c r="K60" s="19" t="n"/>
      <c r="L60" s="17" t="inlineStr">
        <is>
          <t>BROUILLON</t>
        </is>
      </c>
      <c r="M60" s="17" t="n"/>
      <c r="N60" s="17" t="n"/>
      <c r="O60" s="17" t="n"/>
      <c r="P60" s="17" t="n"/>
      <c r="Q60" s="17" t="n"/>
      <c r="R60" s="17" t="n"/>
      <c r="S60" s="17" t="n"/>
    </row>
    <row r="61">
      <c r="A61" s="17" t="n"/>
      <c r="B61" s="18">
        <f>IF($D61="","",TEXT(TODAY(),"dd/mm/yyyy"))</f>
        <v/>
      </c>
      <c r="C61" s="18">
        <f>IF($D61="","",TEXT(NOW(),"hh:mm"))</f>
        <v/>
      </c>
      <c r="D61" s="19" t="n"/>
      <c r="E61" s="19" t="n"/>
      <c r="F61" s="18">
        <f>IF($E61="","",IFERROR(VLOOKUP($E61,ARTICLES!$A$5:$S$2243,3,FALSE),"reference inconnue"))</f>
        <v/>
      </c>
      <c r="G61" s="19" t="n"/>
      <c r="H61" s="19" t="n"/>
      <c r="I61" s="19" t="n"/>
      <c r="J61" s="19" t="n"/>
      <c r="K61" s="19" t="n"/>
      <c r="L61" s="17" t="inlineStr">
        <is>
          <t>BROUILLON</t>
        </is>
      </c>
      <c r="M61" s="17" t="n"/>
      <c r="N61" s="17" t="n"/>
      <c r="O61" s="17" t="n"/>
      <c r="P61" s="17" t="n"/>
      <c r="Q61" s="17" t="n"/>
      <c r="R61" s="17" t="n"/>
      <c r="S61" s="17" t="n"/>
    </row>
    <row r="62">
      <c r="A62" s="17" t="n"/>
      <c r="B62" s="18">
        <f>IF($D62="","",TEXT(TODAY(),"dd/mm/yyyy"))</f>
        <v/>
      </c>
      <c r="C62" s="18">
        <f>IF($D62="","",TEXT(NOW(),"hh:mm"))</f>
        <v/>
      </c>
      <c r="D62" s="19" t="n"/>
      <c r="E62" s="19" t="n"/>
      <c r="F62" s="18">
        <f>IF($E62="","",IFERROR(VLOOKUP($E62,ARTICLES!$A$5:$S$2243,3,FALSE),"reference inconnue"))</f>
        <v/>
      </c>
      <c r="G62" s="19" t="n"/>
      <c r="H62" s="19" t="n"/>
      <c r="I62" s="19" t="n"/>
      <c r="J62" s="19" t="n"/>
      <c r="K62" s="19" t="n"/>
      <c r="L62" s="17" t="inlineStr">
        <is>
          <t>BROUILLON</t>
        </is>
      </c>
      <c r="M62" s="17" t="n"/>
      <c r="N62" s="17" t="n"/>
      <c r="O62" s="17" t="n"/>
      <c r="P62" s="17" t="n"/>
      <c r="Q62" s="17" t="n"/>
      <c r="R62" s="17" t="n"/>
      <c r="S62" s="17" t="n"/>
    </row>
    <row r="63">
      <c r="A63" s="17" t="n"/>
      <c r="B63" s="18">
        <f>IF($D63="","",TEXT(TODAY(),"dd/mm/yyyy"))</f>
        <v/>
      </c>
      <c r="C63" s="18">
        <f>IF($D63="","",TEXT(NOW(),"hh:mm"))</f>
        <v/>
      </c>
      <c r="D63" s="19" t="n"/>
      <c r="E63" s="19" t="n"/>
      <c r="F63" s="18">
        <f>IF($E63="","",IFERROR(VLOOKUP($E63,ARTICLES!$A$5:$S$2243,3,FALSE),"reference inconnue"))</f>
        <v/>
      </c>
      <c r="G63" s="19" t="n"/>
      <c r="H63" s="19" t="n"/>
      <c r="I63" s="19" t="n"/>
      <c r="J63" s="19" t="n"/>
      <c r="K63" s="19" t="n"/>
      <c r="L63" s="17" t="inlineStr">
        <is>
          <t>BROUILLON</t>
        </is>
      </c>
      <c r="M63" s="17" t="n"/>
      <c r="N63" s="17" t="n"/>
      <c r="O63" s="17" t="n"/>
      <c r="P63" s="17" t="n"/>
      <c r="Q63" s="17" t="n"/>
      <c r="R63" s="17" t="n"/>
      <c r="S63" s="17" t="n"/>
    </row>
    <row r="64">
      <c r="A64" s="17" t="n"/>
      <c r="B64" s="18">
        <f>IF($D64="","",TEXT(TODAY(),"dd/mm/yyyy"))</f>
        <v/>
      </c>
      <c r="C64" s="18">
        <f>IF($D64="","",TEXT(NOW(),"hh:mm"))</f>
        <v/>
      </c>
      <c r="D64" s="19" t="n"/>
      <c r="E64" s="19" t="n"/>
      <c r="F64" s="18">
        <f>IF($E64="","",IFERROR(VLOOKUP($E64,ARTICLES!$A$5:$S$2243,3,FALSE),"reference inconnue"))</f>
        <v/>
      </c>
      <c r="G64" s="19" t="n"/>
      <c r="H64" s="19" t="n"/>
      <c r="I64" s="19" t="n"/>
      <c r="J64" s="19" t="n"/>
      <c r="K64" s="19" t="n"/>
      <c r="L64" s="17" t="inlineStr">
        <is>
          <t>BROUILLON</t>
        </is>
      </c>
      <c r="M64" s="17" t="n"/>
      <c r="N64" s="17" t="n"/>
      <c r="O64" s="17" t="n"/>
      <c r="P64" s="17" t="n"/>
      <c r="Q64" s="17" t="n"/>
      <c r="R64" s="17" t="n"/>
      <c r="S64" s="17" t="n"/>
    </row>
    <row r="65">
      <c r="A65" s="17" t="n"/>
      <c r="B65" s="18">
        <f>IF($D65="","",TEXT(TODAY(),"dd/mm/yyyy"))</f>
        <v/>
      </c>
      <c r="C65" s="18">
        <f>IF($D65="","",TEXT(NOW(),"hh:mm"))</f>
        <v/>
      </c>
      <c r="D65" s="19" t="n"/>
      <c r="E65" s="19" t="n"/>
      <c r="F65" s="18">
        <f>IF($E65="","",IFERROR(VLOOKUP($E65,ARTICLES!$A$5:$S$2243,3,FALSE),"reference inconnue"))</f>
        <v/>
      </c>
      <c r="G65" s="19" t="n"/>
      <c r="H65" s="19" t="n"/>
      <c r="I65" s="19" t="n"/>
      <c r="J65" s="19" t="n"/>
      <c r="K65" s="19" t="n"/>
      <c r="L65" s="17" t="inlineStr">
        <is>
          <t>BROUILLON</t>
        </is>
      </c>
      <c r="M65" s="17" t="n"/>
      <c r="N65" s="17" t="n"/>
      <c r="O65" s="17" t="n"/>
      <c r="P65" s="17" t="n"/>
      <c r="Q65" s="17" t="n"/>
      <c r="R65" s="17" t="n"/>
      <c r="S65" s="17" t="n"/>
    </row>
    <row r="66">
      <c r="A66" s="17" t="n"/>
      <c r="B66" s="18">
        <f>IF($D66="","",TEXT(TODAY(),"dd/mm/yyyy"))</f>
        <v/>
      </c>
      <c r="C66" s="18">
        <f>IF($D66="","",TEXT(NOW(),"hh:mm"))</f>
        <v/>
      </c>
      <c r="D66" s="19" t="n"/>
      <c r="E66" s="19" t="n"/>
      <c r="F66" s="18">
        <f>IF($E66="","",IFERROR(VLOOKUP($E66,ARTICLES!$A$5:$S$2243,3,FALSE),"reference inconnue"))</f>
        <v/>
      </c>
      <c r="G66" s="19" t="n"/>
      <c r="H66" s="19" t="n"/>
      <c r="I66" s="19" t="n"/>
      <c r="J66" s="19" t="n"/>
      <c r="K66" s="19" t="n"/>
      <c r="L66" s="17" t="inlineStr">
        <is>
          <t>BROUILLON</t>
        </is>
      </c>
      <c r="M66" s="17" t="n"/>
      <c r="N66" s="17" t="n"/>
      <c r="O66" s="17" t="n"/>
      <c r="P66" s="17" t="n"/>
      <c r="Q66" s="17" t="n"/>
      <c r="R66" s="17" t="n"/>
      <c r="S66" s="17" t="n"/>
    </row>
    <row r="67">
      <c r="A67" s="17" t="n"/>
      <c r="B67" s="18">
        <f>IF($D67="","",TEXT(TODAY(),"dd/mm/yyyy"))</f>
        <v/>
      </c>
      <c r="C67" s="18">
        <f>IF($D67="","",TEXT(NOW(),"hh:mm"))</f>
        <v/>
      </c>
      <c r="D67" s="19" t="n"/>
      <c r="E67" s="19" t="n"/>
      <c r="F67" s="18">
        <f>IF($E67="","",IFERROR(VLOOKUP($E67,ARTICLES!$A$5:$S$2243,3,FALSE),"reference inconnue"))</f>
        <v/>
      </c>
      <c r="G67" s="19" t="n"/>
      <c r="H67" s="19" t="n"/>
      <c r="I67" s="19" t="n"/>
      <c r="J67" s="19" t="n"/>
      <c r="K67" s="19" t="n"/>
      <c r="L67" s="17" t="inlineStr">
        <is>
          <t>BROUILLON</t>
        </is>
      </c>
      <c r="M67" s="17" t="n"/>
      <c r="N67" s="17" t="n"/>
      <c r="O67" s="17" t="n"/>
      <c r="P67" s="17" t="n"/>
      <c r="Q67" s="17" t="n"/>
      <c r="R67" s="17" t="n"/>
      <c r="S67" s="17" t="n"/>
    </row>
    <row r="68">
      <c r="A68" s="17" t="n"/>
      <c r="B68" s="18">
        <f>IF($D68="","",TEXT(TODAY(),"dd/mm/yyyy"))</f>
        <v/>
      </c>
      <c r="C68" s="18">
        <f>IF($D68="","",TEXT(NOW(),"hh:mm"))</f>
        <v/>
      </c>
      <c r="D68" s="19" t="n"/>
      <c r="E68" s="19" t="n"/>
      <c r="F68" s="18">
        <f>IF($E68="","",IFERROR(VLOOKUP($E68,ARTICLES!$A$5:$S$2243,3,FALSE),"reference inconnue"))</f>
        <v/>
      </c>
      <c r="G68" s="19" t="n"/>
      <c r="H68" s="19" t="n"/>
      <c r="I68" s="19" t="n"/>
      <c r="J68" s="19" t="n"/>
      <c r="K68" s="19" t="n"/>
      <c r="L68" s="17" t="inlineStr">
        <is>
          <t>BROUILLON</t>
        </is>
      </c>
      <c r="M68" s="17" t="n"/>
      <c r="N68" s="17" t="n"/>
      <c r="O68" s="17" t="n"/>
      <c r="P68" s="17" t="n"/>
      <c r="Q68" s="17" t="n"/>
      <c r="R68" s="17" t="n"/>
      <c r="S68" s="17" t="n"/>
    </row>
    <row r="69">
      <c r="A69" s="17" t="n"/>
      <c r="B69" s="18">
        <f>IF($D69="","",TEXT(TODAY(),"dd/mm/yyyy"))</f>
        <v/>
      </c>
      <c r="C69" s="18">
        <f>IF($D69="","",TEXT(NOW(),"hh:mm"))</f>
        <v/>
      </c>
      <c r="D69" s="19" t="n"/>
      <c r="E69" s="19" t="n"/>
      <c r="F69" s="18">
        <f>IF($E69="","",IFERROR(VLOOKUP($E69,ARTICLES!$A$5:$S$2243,3,FALSE),"reference inconnue"))</f>
        <v/>
      </c>
      <c r="G69" s="19" t="n"/>
      <c r="H69" s="19" t="n"/>
      <c r="I69" s="19" t="n"/>
      <c r="J69" s="19" t="n"/>
      <c r="K69" s="19" t="n"/>
      <c r="L69" s="17" t="inlineStr">
        <is>
          <t>BROUILLON</t>
        </is>
      </c>
      <c r="M69" s="17" t="n"/>
      <c r="N69" s="17" t="n"/>
      <c r="O69" s="17" t="n"/>
      <c r="P69" s="17" t="n"/>
      <c r="Q69" s="17" t="n"/>
      <c r="R69" s="17" t="n"/>
      <c r="S69" s="17" t="n"/>
    </row>
    <row r="70">
      <c r="A70" s="17" t="n"/>
      <c r="B70" s="18">
        <f>IF($D70="","",TEXT(TODAY(),"dd/mm/yyyy"))</f>
        <v/>
      </c>
      <c r="C70" s="18">
        <f>IF($D70="","",TEXT(NOW(),"hh:mm"))</f>
        <v/>
      </c>
      <c r="D70" s="19" t="n"/>
      <c r="E70" s="19" t="n"/>
      <c r="F70" s="18">
        <f>IF($E70="","",IFERROR(VLOOKUP($E70,ARTICLES!$A$5:$S$2243,3,FALSE),"reference inconnue"))</f>
        <v/>
      </c>
      <c r="G70" s="19" t="n"/>
      <c r="H70" s="19" t="n"/>
      <c r="I70" s="19" t="n"/>
      <c r="J70" s="19" t="n"/>
      <c r="K70" s="19" t="n"/>
      <c r="L70" s="17" t="inlineStr">
        <is>
          <t>BROUILLON</t>
        </is>
      </c>
      <c r="M70" s="17" t="n"/>
      <c r="N70" s="17" t="n"/>
      <c r="O70" s="17" t="n"/>
      <c r="P70" s="17" t="n"/>
      <c r="Q70" s="17" t="n"/>
      <c r="R70" s="17" t="n"/>
      <c r="S70" s="17" t="n"/>
    </row>
    <row r="71">
      <c r="A71" s="17" t="n"/>
      <c r="B71" s="18">
        <f>IF($D71="","",TEXT(TODAY(),"dd/mm/yyyy"))</f>
        <v/>
      </c>
      <c r="C71" s="18">
        <f>IF($D71="","",TEXT(NOW(),"hh:mm"))</f>
        <v/>
      </c>
      <c r="D71" s="19" t="n"/>
      <c r="E71" s="19" t="n"/>
      <c r="F71" s="18">
        <f>IF($E71="","",IFERROR(VLOOKUP($E71,ARTICLES!$A$5:$S$2243,3,FALSE),"reference inconnue"))</f>
        <v/>
      </c>
      <c r="G71" s="19" t="n"/>
      <c r="H71" s="19" t="n"/>
      <c r="I71" s="19" t="n"/>
      <c r="J71" s="19" t="n"/>
      <c r="K71" s="19" t="n"/>
      <c r="L71" s="17" t="inlineStr">
        <is>
          <t>BROUILLON</t>
        </is>
      </c>
      <c r="M71" s="17" t="n"/>
      <c r="N71" s="17" t="n"/>
      <c r="O71" s="17" t="n"/>
      <c r="P71" s="17" t="n"/>
      <c r="Q71" s="17" t="n"/>
      <c r="R71" s="17" t="n"/>
      <c r="S71" s="17" t="n"/>
    </row>
    <row r="72">
      <c r="A72" s="17" t="n"/>
      <c r="B72" s="18">
        <f>IF($D72="","",TEXT(TODAY(),"dd/mm/yyyy"))</f>
        <v/>
      </c>
      <c r="C72" s="18">
        <f>IF($D72="","",TEXT(NOW(),"hh:mm"))</f>
        <v/>
      </c>
      <c r="D72" s="19" t="n"/>
      <c r="E72" s="19" t="n"/>
      <c r="F72" s="18">
        <f>IF($E72="","",IFERROR(VLOOKUP($E72,ARTICLES!$A$5:$S$2243,3,FALSE),"reference inconnue"))</f>
        <v/>
      </c>
      <c r="G72" s="19" t="n"/>
      <c r="H72" s="19" t="n"/>
      <c r="I72" s="19" t="n"/>
      <c r="J72" s="19" t="n"/>
      <c r="K72" s="19" t="n"/>
      <c r="L72" s="17" t="inlineStr">
        <is>
          <t>BROUILLON</t>
        </is>
      </c>
      <c r="M72" s="17" t="n"/>
      <c r="N72" s="17" t="n"/>
      <c r="O72" s="17" t="n"/>
      <c r="P72" s="17" t="n"/>
      <c r="Q72" s="17" t="n"/>
      <c r="R72" s="17" t="n"/>
      <c r="S72" s="17" t="n"/>
    </row>
    <row r="73">
      <c r="A73" s="17" t="n"/>
      <c r="B73" s="18">
        <f>IF($D73="","",TEXT(TODAY(),"dd/mm/yyyy"))</f>
        <v/>
      </c>
      <c r="C73" s="18">
        <f>IF($D73="","",TEXT(NOW(),"hh:mm"))</f>
        <v/>
      </c>
      <c r="D73" s="19" t="n"/>
      <c r="E73" s="19" t="n"/>
      <c r="F73" s="18">
        <f>IF($E73="","",IFERROR(VLOOKUP($E73,ARTICLES!$A$5:$S$2243,3,FALSE),"reference inconnue"))</f>
        <v/>
      </c>
      <c r="G73" s="19" t="n"/>
      <c r="H73" s="19" t="n"/>
      <c r="I73" s="19" t="n"/>
      <c r="J73" s="19" t="n"/>
      <c r="K73" s="19" t="n"/>
      <c r="L73" s="17" t="inlineStr">
        <is>
          <t>BROUILLON</t>
        </is>
      </c>
      <c r="M73" s="17" t="n"/>
      <c r="N73" s="17" t="n"/>
      <c r="O73" s="17" t="n"/>
      <c r="P73" s="17" t="n"/>
      <c r="Q73" s="17" t="n"/>
      <c r="R73" s="17" t="n"/>
      <c r="S73" s="17" t="n"/>
    </row>
    <row r="74">
      <c r="A74" s="17" t="n"/>
      <c r="B74" s="18">
        <f>IF($D74="","",TEXT(TODAY(),"dd/mm/yyyy"))</f>
        <v/>
      </c>
      <c r="C74" s="18">
        <f>IF($D74="","",TEXT(NOW(),"hh:mm"))</f>
        <v/>
      </c>
      <c r="D74" s="19" t="n"/>
      <c r="E74" s="19" t="n"/>
      <c r="F74" s="18">
        <f>IF($E74="","",IFERROR(VLOOKUP($E74,ARTICLES!$A$5:$S$2243,3,FALSE),"reference inconnue"))</f>
        <v/>
      </c>
      <c r="G74" s="19" t="n"/>
      <c r="H74" s="19" t="n"/>
      <c r="I74" s="19" t="n"/>
      <c r="J74" s="19" t="n"/>
      <c r="K74" s="19" t="n"/>
      <c r="L74" s="17" t="inlineStr">
        <is>
          <t>BROUILLON</t>
        </is>
      </c>
      <c r="M74" s="17" t="n"/>
      <c r="N74" s="17" t="n"/>
      <c r="O74" s="17" t="n"/>
      <c r="P74" s="17" t="n"/>
      <c r="Q74" s="17" t="n"/>
      <c r="R74" s="17" t="n"/>
      <c r="S74" s="17" t="n"/>
    </row>
    <row r="75">
      <c r="A75" s="17" t="n"/>
      <c r="B75" s="18">
        <f>IF($D75="","",TEXT(TODAY(),"dd/mm/yyyy"))</f>
        <v/>
      </c>
      <c r="C75" s="18">
        <f>IF($D75="","",TEXT(NOW(),"hh:mm"))</f>
        <v/>
      </c>
      <c r="D75" s="19" t="n"/>
      <c r="E75" s="19" t="n"/>
      <c r="F75" s="18">
        <f>IF($E75="","",IFERROR(VLOOKUP($E75,ARTICLES!$A$5:$S$2243,3,FALSE),"reference inconnue"))</f>
        <v/>
      </c>
      <c r="G75" s="19" t="n"/>
      <c r="H75" s="19" t="n"/>
      <c r="I75" s="19" t="n"/>
      <c r="J75" s="19" t="n"/>
      <c r="K75" s="19" t="n"/>
      <c r="L75" s="17" t="inlineStr">
        <is>
          <t>BROUILLON</t>
        </is>
      </c>
      <c r="M75" s="17" t="n"/>
      <c r="N75" s="17" t="n"/>
      <c r="O75" s="17" t="n"/>
      <c r="P75" s="17" t="n"/>
      <c r="Q75" s="17" t="n"/>
      <c r="R75" s="17" t="n"/>
      <c r="S75" s="17" t="n"/>
    </row>
    <row r="76">
      <c r="A76" s="17" t="n"/>
      <c r="B76" s="18">
        <f>IF($D76="","",TEXT(TODAY(),"dd/mm/yyyy"))</f>
        <v/>
      </c>
      <c r="C76" s="18">
        <f>IF($D76="","",TEXT(NOW(),"hh:mm"))</f>
        <v/>
      </c>
      <c r="D76" s="19" t="n"/>
      <c r="E76" s="19" t="n"/>
      <c r="F76" s="18">
        <f>IF($E76="","",IFERROR(VLOOKUP($E76,ARTICLES!$A$5:$S$2243,3,FALSE),"reference inconnue"))</f>
        <v/>
      </c>
      <c r="G76" s="19" t="n"/>
      <c r="H76" s="19" t="n"/>
      <c r="I76" s="19" t="n"/>
      <c r="J76" s="19" t="n"/>
      <c r="K76" s="19" t="n"/>
      <c r="L76" s="17" t="inlineStr">
        <is>
          <t>BROUILLON</t>
        </is>
      </c>
      <c r="M76" s="17" t="n"/>
      <c r="N76" s="17" t="n"/>
      <c r="O76" s="17" t="n"/>
      <c r="P76" s="17" t="n"/>
      <c r="Q76" s="17" t="n"/>
      <c r="R76" s="17" t="n"/>
      <c r="S76" s="17" t="n"/>
    </row>
    <row r="77">
      <c r="A77" s="17" t="n"/>
      <c r="B77" s="18">
        <f>IF($D77="","",TEXT(TODAY(),"dd/mm/yyyy"))</f>
        <v/>
      </c>
      <c r="C77" s="18">
        <f>IF($D77="","",TEXT(NOW(),"hh:mm"))</f>
        <v/>
      </c>
      <c r="D77" s="19" t="n"/>
      <c r="E77" s="19" t="n"/>
      <c r="F77" s="18">
        <f>IF($E77="","",IFERROR(VLOOKUP($E77,ARTICLES!$A$5:$S$2243,3,FALSE),"reference inconnue"))</f>
        <v/>
      </c>
      <c r="G77" s="19" t="n"/>
      <c r="H77" s="19" t="n"/>
      <c r="I77" s="19" t="n"/>
      <c r="J77" s="19" t="n"/>
      <c r="K77" s="19" t="n"/>
      <c r="L77" s="17" t="inlineStr">
        <is>
          <t>BROUILLON</t>
        </is>
      </c>
      <c r="M77" s="17" t="n"/>
      <c r="N77" s="17" t="n"/>
      <c r="O77" s="17" t="n"/>
      <c r="P77" s="17" t="n"/>
      <c r="Q77" s="17" t="n"/>
      <c r="R77" s="17" t="n"/>
      <c r="S77" s="17" t="n"/>
    </row>
    <row r="78">
      <c r="A78" s="17" t="n"/>
      <c r="B78" s="18">
        <f>IF($D78="","",TEXT(TODAY(),"dd/mm/yyyy"))</f>
        <v/>
      </c>
      <c r="C78" s="18">
        <f>IF($D78="","",TEXT(NOW(),"hh:mm"))</f>
        <v/>
      </c>
      <c r="D78" s="19" t="n"/>
      <c r="E78" s="19" t="n"/>
      <c r="F78" s="18">
        <f>IF($E78="","",IFERROR(VLOOKUP($E78,ARTICLES!$A$5:$S$2243,3,FALSE),"reference inconnue"))</f>
        <v/>
      </c>
      <c r="G78" s="19" t="n"/>
      <c r="H78" s="19" t="n"/>
      <c r="I78" s="19" t="n"/>
      <c r="J78" s="19" t="n"/>
      <c r="K78" s="19" t="n"/>
      <c r="L78" s="17" t="inlineStr">
        <is>
          <t>BROUILLON</t>
        </is>
      </c>
      <c r="M78" s="17" t="n"/>
      <c r="N78" s="17" t="n"/>
      <c r="O78" s="17" t="n"/>
      <c r="P78" s="17" t="n"/>
      <c r="Q78" s="17" t="n"/>
      <c r="R78" s="17" t="n"/>
      <c r="S78" s="17" t="n"/>
    </row>
    <row r="79">
      <c r="A79" s="17" t="n"/>
      <c r="B79" s="18">
        <f>IF($D79="","",TEXT(TODAY(),"dd/mm/yyyy"))</f>
        <v/>
      </c>
      <c r="C79" s="18">
        <f>IF($D79="","",TEXT(NOW(),"hh:mm"))</f>
        <v/>
      </c>
      <c r="D79" s="19" t="n"/>
      <c r="E79" s="19" t="n"/>
      <c r="F79" s="18">
        <f>IF($E79="","",IFERROR(VLOOKUP($E79,ARTICLES!$A$5:$S$2243,3,FALSE),"reference inconnue"))</f>
        <v/>
      </c>
      <c r="G79" s="19" t="n"/>
      <c r="H79" s="19" t="n"/>
      <c r="I79" s="19" t="n"/>
      <c r="J79" s="19" t="n"/>
      <c r="K79" s="19" t="n"/>
      <c r="L79" s="17" t="inlineStr">
        <is>
          <t>BROUILLON</t>
        </is>
      </c>
      <c r="M79" s="17" t="n"/>
      <c r="N79" s="17" t="n"/>
      <c r="O79" s="17" t="n"/>
      <c r="P79" s="17" t="n"/>
      <c r="Q79" s="17" t="n"/>
      <c r="R79" s="17" t="n"/>
      <c r="S79" s="17" t="n"/>
    </row>
    <row r="80">
      <c r="A80" s="17" t="n"/>
      <c r="B80" s="18">
        <f>IF($D80="","",TEXT(TODAY(),"dd/mm/yyyy"))</f>
        <v/>
      </c>
      <c r="C80" s="18">
        <f>IF($D80="","",TEXT(NOW(),"hh:mm"))</f>
        <v/>
      </c>
      <c r="D80" s="19" t="n"/>
      <c r="E80" s="19" t="n"/>
      <c r="F80" s="18">
        <f>IF($E80="","",IFERROR(VLOOKUP($E80,ARTICLES!$A$5:$S$2243,3,FALSE),"reference inconnue"))</f>
        <v/>
      </c>
      <c r="G80" s="19" t="n"/>
      <c r="H80" s="19" t="n"/>
      <c r="I80" s="19" t="n"/>
      <c r="J80" s="19" t="n"/>
      <c r="K80" s="19" t="n"/>
      <c r="L80" s="17" t="inlineStr">
        <is>
          <t>BROUILLON</t>
        </is>
      </c>
      <c r="M80" s="17" t="n"/>
      <c r="N80" s="17" t="n"/>
      <c r="O80" s="17" t="n"/>
      <c r="P80" s="17" t="n"/>
      <c r="Q80" s="17" t="n"/>
      <c r="R80" s="17" t="n"/>
      <c r="S80" s="17" t="n"/>
    </row>
    <row r="81">
      <c r="A81" s="17" t="n"/>
      <c r="B81" s="18">
        <f>IF($D81="","",TEXT(TODAY(),"dd/mm/yyyy"))</f>
        <v/>
      </c>
      <c r="C81" s="18">
        <f>IF($D81="","",TEXT(NOW(),"hh:mm"))</f>
        <v/>
      </c>
      <c r="D81" s="19" t="n"/>
      <c r="E81" s="19" t="n"/>
      <c r="F81" s="18">
        <f>IF($E81="","",IFERROR(VLOOKUP($E81,ARTICLES!$A$5:$S$2243,3,FALSE),"reference inconnue"))</f>
        <v/>
      </c>
      <c r="G81" s="19" t="n"/>
      <c r="H81" s="19" t="n"/>
      <c r="I81" s="19" t="n"/>
      <c r="J81" s="19" t="n"/>
      <c r="K81" s="19" t="n"/>
      <c r="L81" s="17" t="inlineStr">
        <is>
          <t>BROUILLON</t>
        </is>
      </c>
      <c r="M81" s="17" t="n"/>
      <c r="N81" s="17" t="n"/>
      <c r="O81" s="17" t="n"/>
      <c r="P81" s="17" t="n"/>
      <c r="Q81" s="17" t="n"/>
      <c r="R81" s="17" t="n"/>
      <c r="S81" s="17" t="n"/>
    </row>
    <row r="82">
      <c r="A82" s="17" t="n"/>
      <c r="B82" s="18">
        <f>IF($D82="","",TEXT(TODAY(),"dd/mm/yyyy"))</f>
        <v/>
      </c>
      <c r="C82" s="18">
        <f>IF($D82="","",TEXT(NOW(),"hh:mm"))</f>
        <v/>
      </c>
      <c r="D82" s="19" t="n"/>
      <c r="E82" s="19" t="n"/>
      <c r="F82" s="18">
        <f>IF($E82="","",IFERROR(VLOOKUP($E82,ARTICLES!$A$5:$S$2243,3,FALSE),"reference inconnue"))</f>
        <v/>
      </c>
      <c r="G82" s="19" t="n"/>
      <c r="H82" s="19" t="n"/>
      <c r="I82" s="19" t="n"/>
      <c r="J82" s="19" t="n"/>
      <c r="K82" s="19" t="n"/>
      <c r="L82" s="17" t="inlineStr">
        <is>
          <t>BROUILLON</t>
        </is>
      </c>
      <c r="M82" s="17" t="n"/>
      <c r="N82" s="17" t="n"/>
      <c r="O82" s="17" t="n"/>
      <c r="P82" s="17" t="n"/>
      <c r="Q82" s="17" t="n"/>
      <c r="R82" s="17" t="n"/>
      <c r="S82" s="17" t="n"/>
    </row>
    <row r="83">
      <c r="A83" s="17" t="n"/>
      <c r="B83" s="18">
        <f>IF($D83="","",TEXT(TODAY(),"dd/mm/yyyy"))</f>
        <v/>
      </c>
      <c r="C83" s="18">
        <f>IF($D83="","",TEXT(NOW(),"hh:mm"))</f>
        <v/>
      </c>
      <c r="D83" s="19" t="n"/>
      <c r="E83" s="19" t="n"/>
      <c r="F83" s="18">
        <f>IF($E83="","",IFERROR(VLOOKUP($E83,ARTICLES!$A$5:$S$2243,3,FALSE),"reference inconnue"))</f>
        <v/>
      </c>
      <c r="G83" s="19" t="n"/>
      <c r="H83" s="19" t="n"/>
      <c r="I83" s="19" t="n"/>
      <c r="J83" s="19" t="n"/>
      <c r="K83" s="19" t="n"/>
      <c r="L83" s="17" t="inlineStr">
        <is>
          <t>BROUILLON</t>
        </is>
      </c>
      <c r="M83" s="17" t="n"/>
      <c r="N83" s="17" t="n"/>
      <c r="O83" s="17" t="n"/>
      <c r="P83" s="17" t="n"/>
      <c r="Q83" s="17" t="n"/>
      <c r="R83" s="17" t="n"/>
      <c r="S83" s="17" t="n"/>
    </row>
    <row r="84">
      <c r="A84" s="17" t="n"/>
      <c r="B84" s="18">
        <f>IF($D84="","",TEXT(TODAY(),"dd/mm/yyyy"))</f>
        <v/>
      </c>
      <c r="C84" s="18">
        <f>IF($D84="","",TEXT(NOW(),"hh:mm"))</f>
        <v/>
      </c>
      <c r="D84" s="19" t="n"/>
      <c r="E84" s="19" t="n"/>
      <c r="F84" s="18">
        <f>IF($E84="","",IFERROR(VLOOKUP($E84,ARTICLES!$A$5:$S$2243,3,FALSE),"reference inconnue"))</f>
        <v/>
      </c>
      <c r="G84" s="19" t="n"/>
      <c r="H84" s="19" t="n"/>
      <c r="I84" s="19" t="n"/>
      <c r="J84" s="19" t="n"/>
      <c r="K84" s="19" t="n"/>
      <c r="L84" s="17" t="inlineStr">
        <is>
          <t>BROUILLON</t>
        </is>
      </c>
      <c r="M84" s="17" t="n"/>
      <c r="N84" s="17" t="n"/>
      <c r="O84" s="17" t="n"/>
      <c r="P84" s="17" t="n"/>
      <c r="Q84" s="17" t="n"/>
      <c r="R84" s="17" t="n"/>
      <c r="S84" s="17" t="n"/>
    </row>
    <row r="85">
      <c r="A85" s="17" t="n"/>
      <c r="B85" s="18">
        <f>IF($D85="","",TEXT(TODAY(),"dd/mm/yyyy"))</f>
        <v/>
      </c>
      <c r="C85" s="18">
        <f>IF($D85="","",TEXT(NOW(),"hh:mm"))</f>
        <v/>
      </c>
      <c r="D85" s="19" t="n"/>
      <c r="E85" s="19" t="n"/>
      <c r="F85" s="18">
        <f>IF($E85="","",IFERROR(VLOOKUP($E85,ARTICLES!$A$5:$S$2243,3,FALSE),"reference inconnue"))</f>
        <v/>
      </c>
      <c r="G85" s="19" t="n"/>
      <c r="H85" s="19" t="n"/>
      <c r="I85" s="19" t="n"/>
      <c r="J85" s="19" t="n"/>
      <c r="K85" s="19" t="n"/>
      <c r="L85" s="17" t="inlineStr">
        <is>
          <t>BROUILLON</t>
        </is>
      </c>
      <c r="M85" s="17" t="n"/>
      <c r="N85" s="17" t="n"/>
      <c r="O85" s="17" t="n"/>
      <c r="P85" s="17" t="n"/>
      <c r="Q85" s="17" t="n"/>
      <c r="R85" s="17" t="n"/>
      <c r="S85" s="17" t="n"/>
    </row>
    <row r="86">
      <c r="A86" s="17" t="n"/>
      <c r="B86" s="18">
        <f>IF($D86="","",TEXT(TODAY(),"dd/mm/yyyy"))</f>
        <v/>
      </c>
      <c r="C86" s="18">
        <f>IF($D86="","",TEXT(NOW(),"hh:mm"))</f>
        <v/>
      </c>
      <c r="D86" s="19" t="n"/>
      <c r="E86" s="19" t="n"/>
      <c r="F86" s="18">
        <f>IF($E86="","",IFERROR(VLOOKUP($E86,ARTICLES!$A$5:$S$2243,3,FALSE),"reference inconnue"))</f>
        <v/>
      </c>
      <c r="G86" s="19" t="n"/>
      <c r="H86" s="19" t="n"/>
      <c r="I86" s="19" t="n"/>
      <c r="J86" s="19" t="n"/>
      <c r="K86" s="19" t="n"/>
      <c r="L86" s="17" t="inlineStr">
        <is>
          <t>BROUILLON</t>
        </is>
      </c>
      <c r="M86" s="17" t="n"/>
      <c r="N86" s="17" t="n"/>
      <c r="O86" s="17" t="n"/>
      <c r="P86" s="17" t="n"/>
      <c r="Q86" s="17" t="n"/>
      <c r="R86" s="17" t="n"/>
      <c r="S86" s="17" t="n"/>
    </row>
    <row r="87">
      <c r="A87" s="17" t="n"/>
      <c r="B87" s="18">
        <f>IF($D87="","",TEXT(TODAY(),"dd/mm/yyyy"))</f>
        <v/>
      </c>
      <c r="C87" s="18">
        <f>IF($D87="","",TEXT(NOW(),"hh:mm"))</f>
        <v/>
      </c>
      <c r="D87" s="19" t="n"/>
      <c r="E87" s="19" t="n"/>
      <c r="F87" s="18">
        <f>IF($E87="","",IFERROR(VLOOKUP($E87,ARTICLES!$A$5:$S$2243,3,FALSE),"reference inconnue"))</f>
        <v/>
      </c>
      <c r="G87" s="19" t="n"/>
      <c r="H87" s="19" t="n"/>
      <c r="I87" s="19" t="n"/>
      <c r="J87" s="19" t="n"/>
      <c r="K87" s="19" t="n"/>
      <c r="L87" s="17" t="inlineStr">
        <is>
          <t>BROUILLON</t>
        </is>
      </c>
      <c r="M87" s="17" t="n"/>
      <c r="N87" s="17" t="n"/>
      <c r="O87" s="17" t="n"/>
      <c r="P87" s="17" t="n"/>
      <c r="Q87" s="17" t="n"/>
      <c r="R87" s="17" t="n"/>
      <c r="S87" s="17" t="n"/>
    </row>
    <row r="88">
      <c r="A88" s="17" t="n"/>
      <c r="B88" s="18">
        <f>IF($D88="","",TEXT(TODAY(),"dd/mm/yyyy"))</f>
        <v/>
      </c>
      <c r="C88" s="18">
        <f>IF($D88="","",TEXT(NOW(),"hh:mm"))</f>
        <v/>
      </c>
      <c r="D88" s="19" t="n"/>
      <c r="E88" s="19" t="n"/>
      <c r="F88" s="18">
        <f>IF($E88="","",IFERROR(VLOOKUP($E88,ARTICLES!$A$5:$S$2243,3,FALSE),"reference inconnue"))</f>
        <v/>
      </c>
      <c r="G88" s="19" t="n"/>
      <c r="H88" s="19" t="n"/>
      <c r="I88" s="19" t="n"/>
      <c r="J88" s="19" t="n"/>
      <c r="K88" s="19" t="n"/>
      <c r="L88" s="17" t="inlineStr">
        <is>
          <t>BROUILLON</t>
        </is>
      </c>
      <c r="M88" s="17" t="n"/>
      <c r="N88" s="17" t="n"/>
      <c r="O88" s="17" t="n"/>
      <c r="P88" s="17" t="n"/>
      <c r="Q88" s="17" t="n"/>
      <c r="R88" s="17" t="n"/>
      <c r="S88" s="17" t="n"/>
    </row>
    <row r="89">
      <c r="A89" s="17" t="n"/>
      <c r="B89" s="18">
        <f>IF($D89="","",TEXT(TODAY(),"dd/mm/yyyy"))</f>
        <v/>
      </c>
      <c r="C89" s="18">
        <f>IF($D89="","",TEXT(NOW(),"hh:mm"))</f>
        <v/>
      </c>
      <c r="D89" s="19" t="n"/>
      <c r="E89" s="19" t="n"/>
      <c r="F89" s="18">
        <f>IF($E89="","",IFERROR(VLOOKUP($E89,ARTICLES!$A$5:$S$2243,3,FALSE),"reference inconnue"))</f>
        <v/>
      </c>
      <c r="G89" s="19" t="n"/>
      <c r="H89" s="19" t="n"/>
      <c r="I89" s="19" t="n"/>
      <c r="J89" s="19" t="n"/>
      <c r="K89" s="19" t="n"/>
      <c r="L89" s="17" t="inlineStr">
        <is>
          <t>BROUILLON</t>
        </is>
      </c>
      <c r="M89" s="17" t="n"/>
      <c r="N89" s="17" t="n"/>
      <c r="O89" s="17" t="n"/>
      <c r="P89" s="17" t="n"/>
      <c r="Q89" s="17" t="n"/>
      <c r="R89" s="17" t="n"/>
      <c r="S89" s="17" t="n"/>
    </row>
    <row r="90">
      <c r="A90" s="17" t="n"/>
      <c r="B90" s="18">
        <f>IF($D90="","",TEXT(TODAY(),"dd/mm/yyyy"))</f>
        <v/>
      </c>
      <c r="C90" s="18">
        <f>IF($D90="","",TEXT(NOW(),"hh:mm"))</f>
        <v/>
      </c>
      <c r="D90" s="19" t="n"/>
      <c r="E90" s="19" t="n"/>
      <c r="F90" s="18">
        <f>IF($E90="","",IFERROR(VLOOKUP($E90,ARTICLES!$A$5:$S$2243,3,FALSE),"reference inconnue"))</f>
        <v/>
      </c>
      <c r="G90" s="19" t="n"/>
      <c r="H90" s="19" t="n"/>
      <c r="I90" s="19" t="n"/>
      <c r="J90" s="19" t="n"/>
      <c r="K90" s="19" t="n"/>
      <c r="L90" s="17" t="inlineStr">
        <is>
          <t>BROUILLON</t>
        </is>
      </c>
      <c r="M90" s="17" t="n"/>
      <c r="N90" s="17" t="n"/>
      <c r="O90" s="17" t="n"/>
      <c r="P90" s="17" t="n"/>
      <c r="Q90" s="17" t="n"/>
      <c r="R90" s="17" t="n"/>
      <c r="S90" s="17" t="n"/>
    </row>
    <row r="91">
      <c r="A91" s="17" t="n"/>
      <c r="B91" s="18">
        <f>IF($D91="","",TEXT(TODAY(),"dd/mm/yyyy"))</f>
        <v/>
      </c>
      <c r="C91" s="18">
        <f>IF($D91="","",TEXT(NOW(),"hh:mm"))</f>
        <v/>
      </c>
      <c r="D91" s="19" t="n"/>
      <c r="E91" s="19" t="n"/>
      <c r="F91" s="18">
        <f>IF($E91="","",IFERROR(VLOOKUP($E91,ARTICLES!$A$5:$S$2243,3,FALSE),"reference inconnue"))</f>
        <v/>
      </c>
      <c r="G91" s="19" t="n"/>
      <c r="H91" s="19" t="n"/>
      <c r="I91" s="19" t="n"/>
      <c r="J91" s="19" t="n"/>
      <c r="K91" s="19" t="n"/>
      <c r="L91" s="17" t="inlineStr">
        <is>
          <t>BROUILLON</t>
        </is>
      </c>
      <c r="M91" s="17" t="n"/>
      <c r="N91" s="17" t="n"/>
      <c r="O91" s="17" t="n"/>
      <c r="P91" s="17" t="n"/>
      <c r="Q91" s="17" t="n"/>
      <c r="R91" s="17" t="n"/>
      <c r="S91" s="17" t="n"/>
    </row>
    <row r="92">
      <c r="A92" s="17" t="n"/>
      <c r="B92" s="18">
        <f>IF($D92="","",TEXT(TODAY(),"dd/mm/yyyy"))</f>
        <v/>
      </c>
      <c r="C92" s="18">
        <f>IF($D92="","",TEXT(NOW(),"hh:mm"))</f>
        <v/>
      </c>
      <c r="D92" s="19" t="n"/>
      <c r="E92" s="19" t="n"/>
      <c r="F92" s="18">
        <f>IF($E92="","",IFERROR(VLOOKUP($E92,ARTICLES!$A$5:$S$2243,3,FALSE),"reference inconnue"))</f>
        <v/>
      </c>
      <c r="G92" s="19" t="n"/>
      <c r="H92" s="19" t="n"/>
      <c r="I92" s="19" t="n"/>
      <c r="J92" s="19" t="n"/>
      <c r="K92" s="19" t="n"/>
      <c r="L92" s="17" t="inlineStr">
        <is>
          <t>BROUILLON</t>
        </is>
      </c>
      <c r="M92" s="17" t="n"/>
      <c r="N92" s="17" t="n"/>
      <c r="O92" s="17" t="n"/>
      <c r="P92" s="17" t="n"/>
      <c r="Q92" s="17" t="n"/>
      <c r="R92" s="17" t="n"/>
      <c r="S92" s="17" t="n"/>
    </row>
    <row r="93">
      <c r="A93" s="17" t="n"/>
      <c r="B93" s="18">
        <f>IF($D93="","",TEXT(TODAY(),"dd/mm/yyyy"))</f>
        <v/>
      </c>
      <c r="C93" s="18">
        <f>IF($D93="","",TEXT(NOW(),"hh:mm"))</f>
        <v/>
      </c>
      <c r="D93" s="19" t="n"/>
      <c r="E93" s="19" t="n"/>
      <c r="F93" s="18">
        <f>IF($E93="","",IFERROR(VLOOKUP($E93,ARTICLES!$A$5:$S$2243,3,FALSE),"reference inconnue"))</f>
        <v/>
      </c>
      <c r="G93" s="19" t="n"/>
      <c r="H93" s="19" t="n"/>
      <c r="I93" s="19" t="n"/>
      <c r="J93" s="19" t="n"/>
      <c r="K93" s="19" t="n"/>
      <c r="L93" s="17" t="inlineStr">
        <is>
          <t>BROUILLON</t>
        </is>
      </c>
      <c r="M93" s="17" t="n"/>
      <c r="N93" s="17" t="n"/>
      <c r="O93" s="17" t="n"/>
      <c r="P93" s="17" t="n"/>
      <c r="Q93" s="17" t="n"/>
      <c r="R93" s="17" t="n"/>
      <c r="S93" s="17" t="n"/>
    </row>
    <row r="94">
      <c r="A94" s="17" t="n"/>
      <c r="B94" s="18">
        <f>IF($D94="","",TEXT(TODAY(),"dd/mm/yyyy"))</f>
        <v/>
      </c>
      <c r="C94" s="18">
        <f>IF($D94="","",TEXT(NOW(),"hh:mm"))</f>
        <v/>
      </c>
      <c r="D94" s="19" t="n"/>
      <c r="E94" s="19" t="n"/>
      <c r="F94" s="18">
        <f>IF($E94="","",IFERROR(VLOOKUP($E94,ARTICLES!$A$5:$S$2243,3,FALSE),"reference inconnue"))</f>
        <v/>
      </c>
      <c r="G94" s="19" t="n"/>
      <c r="H94" s="19" t="n"/>
      <c r="I94" s="19" t="n"/>
      <c r="J94" s="19" t="n"/>
      <c r="K94" s="19" t="n"/>
      <c r="L94" s="17" t="inlineStr">
        <is>
          <t>BROUILLON</t>
        </is>
      </c>
      <c r="M94" s="17" t="n"/>
      <c r="N94" s="17" t="n"/>
      <c r="O94" s="17" t="n"/>
      <c r="P94" s="17" t="n"/>
      <c r="Q94" s="17" t="n"/>
      <c r="R94" s="17" t="n"/>
      <c r="S94" s="17" t="n"/>
    </row>
    <row r="95">
      <c r="A95" s="17" t="n"/>
      <c r="B95" s="18">
        <f>IF($D95="","",TEXT(TODAY(),"dd/mm/yyyy"))</f>
        <v/>
      </c>
      <c r="C95" s="18">
        <f>IF($D95="","",TEXT(NOW(),"hh:mm"))</f>
        <v/>
      </c>
      <c r="D95" s="19" t="n"/>
      <c r="E95" s="19" t="n"/>
      <c r="F95" s="18">
        <f>IF($E95="","",IFERROR(VLOOKUP($E95,ARTICLES!$A$5:$S$2243,3,FALSE),"reference inconnue"))</f>
        <v/>
      </c>
      <c r="G95" s="19" t="n"/>
      <c r="H95" s="19" t="n"/>
      <c r="I95" s="19" t="n"/>
      <c r="J95" s="19" t="n"/>
      <c r="K95" s="19" t="n"/>
      <c r="L95" s="17" t="inlineStr">
        <is>
          <t>BROUILLON</t>
        </is>
      </c>
      <c r="M95" s="17" t="n"/>
      <c r="N95" s="17" t="n"/>
      <c r="O95" s="17" t="n"/>
      <c r="P95" s="17" t="n"/>
      <c r="Q95" s="17" t="n"/>
      <c r="R95" s="17" t="n"/>
      <c r="S95" s="17" t="n"/>
    </row>
    <row r="96">
      <c r="A96" s="17" t="n"/>
      <c r="B96" s="18">
        <f>IF($D96="","",TEXT(TODAY(),"dd/mm/yyyy"))</f>
        <v/>
      </c>
      <c r="C96" s="18">
        <f>IF($D96="","",TEXT(NOW(),"hh:mm"))</f>
        <v/>
      </c>
      <c r="D96" s="19" t="n"/>
      <c r="E96" s="19" t="n"/>
      <c r="F96" s="18">
        <f>IF($E96="","",IFERROR(VLOOKUP($E96,ARTICLES!$A$5:$S$2243,3,FALSE),"reference inconnue"))</f>
        <v/>
      </c>
      <c r="G96" s="19" t="n"/>
      <c r="H96" s="19" t="n"/>
      <c r="I96" s="19" t="n"/>
      <c r="J96" s="19" t="n"/>
      <c r="K96" s="19" t="n"/>
      <c r="L96" s="17" t="inlineStr">
        <is>
          <t>BROUILLON</t>
        </is>
      </c>
      <c r="M96" s="17" t="n"/>
      <c r="N96" s="17" t="n"/>
      <c r="O96" s="17" t="n"/>
      <c r="P96" s="17" t="n"/>
      <c r="Q96" s="17" t="n"/>
      <c r="R96" s="17" t="n"/>
      <c r="S96" s="17" t="n"/>
    </row>
    <row r="97">
      <c r="A97" s="17" t="n"/>
      <c r="B97" s="18">
        <f>IF($D97="","",TEXT(TODAY(),"dd/mm/yyyy"))</f>
        <v/>
      </c>
      <c r="C97" s="18">
        <f>IF($D97="","",TEXT(NOW(),"hh:mm"))</f>
        <v/>
      </c>
      <c r="D97" s="19" t="n"/>
      <c r="E97" s="19" t="n"/>
      <c r="F97" s="18">
        <f>IF($E97="","",IFERROR(VLOOKUP($E97,ARTICLES!$A$5:$S$2243,3,FALSE),"reference inconnue"))</f>
        <v/>
      </c>
      <c r="G97" s="19" t="n"/>
      <c r="H97" s="19" t="n"/>
      <c r="I97" s="19" t="n"/>
      <c r="J97" s="19" t="n"/>
      <c r="K97" s="19" t="n"/>
      <c r="L97" s="17" t="inlineStr">
        <is>
          <t>BROUILLON</t>
        </is>
      </c>
      <c r="M97" s="17" t="n"/>
      <c r="N97" s="17" t="n"/>
      <c r="O97" s="17" t="n"/>
      <c r="P97" s="17" t="n"/>
      <c r="Q97" s="17" t="n"/>
      <c r="R97" s="17" t="n"/>
      <c r="S97" s="17" t="n"/>
    </row>
    <row r="98">
      <c r="A98" s="17" t="n"/>
      <c r="B98" s="18">
        <f>IF($D98="","",TEXT(TODAY(),"dd/mm/yyyy"))</f>
        <v/>
      </c>
      <c r="C98" s="18">
        <f>IF($D98="","",TEXT(NOW(),"hh:mm"))</f>
        <v/>
      </c>
      <c r="D98" s="19" t="n"/>
      <c r="E98" s="19" t="n"/>
      <c r="F98" s="18">
        <f>IF($E98="","",IFERROR(VLOOKUP($E98,ARTICLES!$A$5:$S$2243,3,FALSE),"reference inconnue"))</f>
        <v/>
      </c>
      <c r="G98" s="19" t="n"/>
      <c r="H98" s="19" t="n"/>
      <c r="I98" s="19" t="n"/>
      <c r="J98" s="19" t="n"/>
      <c r="K98" s="19" t="n"/>
      <c r="L98" s="17" t="inlineStr">
        <is>
          <t>BROUILLON</t>
        </is>
      </c>
      <c r="M98" s="17" t="n"/>
      <c r="N98" s="17" t="n"/>
      <c r="O98" s="17" t="n"/>
      <c r="P98" s="17" t="n"/>
      <c r="Q98" s="17" t="n"/>
      <c r="R98" s="17" t="n"/>
      <c r="S98" s="17" t="n"/>
    </row>
    <row r="99">
      <c r="A99" s="17" t="n"/>
      <c r="B99" s="18">
        <f>IF($D99="","",TEXT(TODAY(),"dd/mm/yyyy"))</f>
        <v/>
      </c>
      <c r="C99" s="18">
        <f>IF($D99="","",TEXT(NOW(),"hh:mm"))</f>
        <v/>
      </c>
      <c r="D99" s="19" t="n"/>
      <c r="E99" s="19" t="n"/>
      <c r="F99" s="18">
        <f>IF($E99="","",IFERROR(VLOOKUP($E99,ARTICLES!$A$5:$S$2243,3,FALSE),"reference inconnue"))</f>
        <v/>
      </c>
      <c r="G99" s="19" t="n"/>
      <c r="H99" s="19" t="n"/>
      <c r="I99" s="19" t="n"/>
      <c r="J99" s="19" t="n"/>
      <c r="K99" s="19" t="n"/>
      <c r="L99" s="17" t="inlineStr">
        <is>
          <t>BROUILLON</t>
        </is>
      </c>
      <c r="M99" s="17" t="n"/>
      <c r="N99" s="17" t="n"/>
      <c r="O99" s="17" t="n"/>
      <c r="P99" s="17" t="n"/>
      <c r="Q99" s="17" t="n"/>
      <c r="R99" s="17" t="n"/>
      <c r="S99" s="17" t="n"/>
    </row>
    <row r="100">
      <c r="A100" s="17" t="n"/>
      <c r="B100" s="18">
        <f>IF($D100="","",TEXT(TODAY(),"dd/mm/yyyy"))</f>
        <v/>
      </c>
      <c r="C100" s="18">
        <f>IF($D100="","",TEXT(NOW(),"hh:mm"))</f>
        <v/>
      </c>
      <c r="D100" s="19" t="n"/>
      <c r="E100" s="19" t="n"/>
      <c r="F100" s="18">
        <f>IF($E100="","",IFERROR(VLOOKUP($E100,ARTICLES!$A$5:$S$2243,3,FALSE),"reference inconnue"))</f>
        <v/>
      </c>
      <c r="G100" s="19" t="n"/>
      <c r="H100" s="19" t="n"/>
      <c r="I100" s="19" t="n"/>
      <c r="J100" s="19" t="n"/>
      <c r="K100" s="19" t="n"/>
      <c r="L100" s="17" t="inlineStr">
        <is>
          <t>BROUILLON</t>
        </is>
      </c>
      <c r="M100" s="17" t="n"/>
      <c r="N100" s="17" t="n"/>
      <c r="O100" s="17" t="n"/>
      <c r="P100" s="17" t="n"/>
      <c r="Q100" s="17" t="n"/>
      <c r="R100" s="17" t="n"/>
      <c r="S100" s="17" t="n"/>
    </row>
    <row r="101">
      <c r="A101" s="17" t="n"/>
      <c r="B101" s="18">
        <f>IF($D101="","",TEXT(TODAY(),"dd/mm/yyyy"))</f>
        <v/>
      </c>
      <c r="C101" s="18">
        <f>IF($D101="","",TEXT(NOW(),"hh:mm"))</f>
        <v/>
      </c>
      <c r="D101" s="19" t="n"/>
      <c r="E101" s="19" t="n"/>
      <c r="F101" s="18">
        <f>IF($E101="","",IFERROR(VLOOKUP($E101,ARTICLES!$A$5:$S$2243,3,FALSE),"reference inconnue"))</f>
        <v/>
      </c>
      <c r="G101" s="19" t="n"/>
      <c r="H101" s="19" t="n"/>
      <c r="I101" s="19" t="n"/>
      <c r="J101" s="19" t="n"/>
      <c r="K101" s="19" t="n"/>
      <c r="L101" s="17" t="inlineStr">
        <is>
          <t>BROUILLON</t>
        </is>
      </c>
      <c r="M101" s="17" t="n"/>
      <c r="N101" s="17" t="n"/>
      <c r="O101" s="17" t="n"/>
      <c r="P101" s="17" t="n"/>
      <c r="Q101" s="17" t="n"/>
      <c r="R101" s="17" t="n"/>
      <c r="S101" s="17" t="n"/>
    </row>
    <row r="102">
      <c r="A102" s="17" t="n"/>
      <c r="B102" s="18">
        <f>IF($D102="","",TEXT(TODAY(),"dd/mm/yyyy"))</f>
        <v/>
      </c>
      <c r="C102" s="18">
        <f>IF($D102="","",TEXT(NOW(),"hh:mm"))</f>
        <v/>
      </c>
      <c r="D102" s="19" t="n"/>
      <c r="E102" s="19" t="n"/>
      <c r="F102" s="18">
        <f>IF($E102="","",IFERROR(VLOOKUP($E102,ARTICLES!$A$5:$S$2243,3,FALSE),"reference inconnue"))</f>
        <v/>
      </c>
      <c r="G102" s="19" t="n"/>
      <c r="H102" s="19" t="n"/>
      <c r="I102" s="19" t="n"/>
      <c r="J102" s="19" t="n"/>
      <c r="K102" s="19" t="n"/>
      <c r="L102" s="17" t="inlineStr">
        <is>
          <t>BROUILLON</t>
        </is>
      </c>
      <c r="M102" s="17" t="n"/>
      <c r="N102" s="17" t="n"/>
      <c r="O102" s="17" t="n"/>
      <c r="P102" s="17" t="n"/>
      <c r="Q102" s="17" t="n"/>
      <c r="R102" s="17" t="n"/>
      <c r="S102" s="17" t="n"/>
    </row>
    <row r="103">
      <c r="A103" s="17" t="n"/>
      <c r="B103" s="18">
        <f>IF($D103="","",TEXT(TODAY(),"dd/mm/yyyy"))</f>
        <v/>
      </c>
      <c r="C103" s="18">
        <f>IF($D103="","",TEXT(NOW(),"hh:mm"))</f>
        <v/>
      </c>
      <c r="D103" s="19" t="n"/>
      <c r="E103" s="19" t="n"/>
      <c r="F103" s="18">
        <f>IF($E103="","",IFERROR(VLOOKUP($E103,ARTICLES!$A$5:$S$2243,3,FALSE),"reference inconnue"))</f>
        <v/>
      </c>
      <c r="G103" s="19" t="n"/>
      <c r="H103" s="19" t="n"/>
      <c r="I103" s="19" t="n"/>
      <c r="J103" s="19" t="n"/>
      <c r="K103" s="19" t="n"/>
      <c r="L103" s="17" t="inlineStr">
        <is>
          <t>BROUILLON</t>
        </is>
      </c>
      <c r="M103" s="17" t="n"/>
      <c r="N103" s="17" t="n"/>
      <c r="O103" s="17" t="n"/>
      <c r="P103" s="17" t="n"/>
      <c r="Q103" s="17" t="n"/>
      <c r="R103" s="17" t="n"/>
      <c r="S103" s="17" t="n"/>
    </row>
    <row r="104">
      <c r="A104" s="17" t="n"/>
      <c r="B104" s="18">
        <f>IF($D104="","",TEXT(TODAY(),"dd/mm/yyyy"))</f>
        <v/>
      </c>
      <c r="C104" s="18">
        <f>IF($D104="","",TEXT(NOW(),"hh:mm"))</f>
        <v/>
      </c>
      <c r="D104" s="19" t="n"/>
      <c r="E104" s="19" t="n"/>
      <c r="F104" s="18">
        <f>IF($E104="","",IFERROR(VLOOKUP($E104,ARTICLES!$A$5:$S$2243,3,FALSE),"reference inconnue"))</f>
        <v/>
      </c>
      <c r="G104" s="19" t="n"/>
      <c r="H104" s="19" t="n"/>
      <c r="I104" s="19" t="n"/>
      <c r="J104" s="19" t="n"/>
      <c r="K104" s="19" t="n"/>
      <c r="L104" s="17" t="inlineStr">
        <is>
          <t>BROUILLON</t>
        </is>
      </c>
      <c r="M104" s="17" t="n"/>
      <c r="N104" s="17" t="n"/>
      <c r="O104" s="17" t="n"/>
      <c r="P104" s="17" t="n"/>
      <c r="Q104" s="17" t="n"/>
      <c r="R104" s="17" t="n"/>
      <c r="S104" s="17" t="n"/>
    </row>
    <row r="105">
      <c r="A105" s="17" t="n"/>
      <c r="B105" s="18">
        <f>IF($D105="","",TEXT(TODAY(),"dd/mm/yyyy"))</f>
        <v/>
      </c>
      <c r="C105" s="18">
        <f>IF($D105="","",TEXT(NOW(),"hh:mm"))</f>
        <v/>
      </c>
      <c r="D105" s="19" t="n"/>
      <c r="E105" s="19" t="n"/>
      <c r="F105" s="18">
        <f>IF($E105="","",IFERROR(VLOOKUP($E105,ARTICLES!$A$5:$S$2243,3,FALSE),"reference inconnue"))</f>
        <v/>
      </c>
      <c r="G105" s="19" t="n"/>
      <c r="H105" s="19" t="n"/>
      <c r="I105" s="19" t="n"/>
      <c r="J105" s="19" t="n"/>
      <c r="K105" s="19" t="n"/>
      <c r="L105" s="17" t="inlineStr">
        <is>
          <t>BROUILLON</t>
        </is>
      </c>
      <c r="M105" s="17" t="n"/>
      <c r="N105" s="17" t="n"/>
      <c r="O105" s="17" t="n"/>
      <c r="P105" s="17" t="n"/>
      <c r="Q105" s="17" t="n"/>
      <c r="R105" s="17" t="n"/>
      <c r="S105" s="17" t="n"/>
    </row>
    <row r="106">
      <c r="A106" s="17" t="n"/>
      <c r="B106" s="18">
        <f>IF($D106="","",TEXT(TODAY(),"dd/mm/yyyy"))</f>
        <v/>
      </c>
      <c r="C106" s="18">
        <f>IF($D106="","",TEXT(NOW(),"hh:mm"))</f>
        <v/>
      </c>
      <c r="D106" s="19" t="n"/>
      <c r="E106" s="19" t="n"/>
      <c r="F106" s="18">
        <f>IF($E106="","",IFERROR(VLOOKUP($E106,ARTICLES!$A$5:$S$2243,3,FALSE),"reference inconnue"))</f>
        <v/>
      </c>
      <c r="G106" s="19" t="n"/>
      <c r="H106" s="19" t="n"/>
      <c r="I106" s="19" t="n"/>
      <c r="J106" s="19" t="n"/>
      <c r="K106" s="19" t="n"/>
      <c r="L106" s="17" t="inlineStr">
        <is>
          <t>BROUILLON</t>
        </is>
      </c>
      <c r="M106" s="17" t="n"/>
      <c r="N106" s="17" t="n"/>
      <c r="O106" s="17" t="n"/>
      <c r="P106" s="17" t="n"/>
      <c r="Q106" s="17" t="n"/>
      <c r="R106" s="17" t="n"/>
      <c r="S106" s="17" t="n"/>
    </row>
    <row r="107">
      <c r="A107" s="17" t="n"/>
      <c r="B107" s="18">
        <f>IF($D107="","",TEXT(TODAY(),"dd/mm/yyyy"))</f>
        <v/>
      </c>
      <c r="C107" s="18">
        <f>IF($D107="","",TEXT(NOW(),"hh:mm"))</f>
        <v/>
      </c>
      <c r="D107" s="19" t="n"/>
      <c r="E107" s="19" t="n"/>
      <c r="F107" s="18">
        <f>IF($E107="","",IFERROR(VLOOKUP($E107,ARTICLES!$A$5:$S$2243,3,FALSE),"reference inconnue"))</f>
        <v/>
      </c>
      <c r="G107" s="19" t="n"/>
      <c r="H107" s="19" t="n"/>
      <c r="I107" s="19" t="n"/>
      <c r="J107" s="19" t="n"/>
      <c r="K107" s="19" t="n"/>
      <c r="L107" s="17" t="inlineStr">
        <is>
          <t>BROUILLON</t>
        </is>
      </c>
      <c r="M107" s="17" t="n"/>
      <c r="N107" s="17" t="n"/>
      <c r="O107" s="17" t="n"/>
      <c r="P107" s="17" t="n"/>
      <c r="Q107" s="17" t="n"/>
      <c r="R107" s="17" t="n"/>
      <c r="S107" s="17" t="n"/>
    </row>
    <row r="108">
      <c r="A108" s="17" t="n"/>
      <c r="B108" s="18">
        <f>IF($D108="","",TEXT(TODAY(),"dd/mm/yyyy"))</f>
        <v/>
      </c>
      <c r="C108" s="18">
        <f>IF($D108="","",TEXT(NOW(),"hh:mm"))</f>
        <v/>
      </c>
      <c r="D108" s="19" t="n"/>
      <c r="E108" s="19" t="n"/>
      <c r="F108" s="18">
        <f>IF($E108="","",IFERROR(VLOOKUP($E108,ARTICLES!$A$5:$S$2243,3,FALSE),"reference inconnue"))</f>
        <v/>
      </c>
      <c r="G108" s="19" t="n"/>
      <c r="H108" s="19" t="n"/>
      <c r="I108" s="19" t="n"/>
      <c r="J108" s="19" t="n"/>
      <c r="K108" s="19" t="n"/>
      <c r="L108" s="17" t="inlineStr">
        <is>
          <t>BROUILLON</t>
        </is>
      </c>
      <c r="M108" s="17" t="n"/>
      <c r="N108" s="17" t="n"/>
      <c r="O108" s="17" t="n"/>
      <c r="P108" s="17" t="n"/>
      <c r="Q108" s="17" t="n"/>
      <c r="R108" s="17" t="n"/>
      <c r="S108" s="17" t="n"/>
    </row>
    <row r="109">
      <c r="A109" s="17" t="n"/>
      <c r="B109" s="18">
        <f>IF($D109="","",TEXT(TODAY(),"dd/mm/yyyy"))</f>
        <v/>
      </c>
      <c r="C109" s="18">
        <f>IF($D109="","",TEXT(NOW(),"hh:mm"))</f>
        <v/>
      </c>
      <c r="D109" s="19" t="n"/>
      <c r="E109" s="19" t="n"/>
      <c r="F109" s="18">
        <f>IF($E109="","",IFERROR(VLOOKUP($E109,ARTICLES!$A$5:$S$2243,3,FALSE),"reference inconnue"))</f>
        <v/>
      </c>
      <c r="G109" s="19" t="n"/>
      <c r="H109" s="19" t="n"/>
      <c r="I109" s="19" t="n"/>
      <c r="J109" s="19" t="n"/>
      <c r="K109" s="19" t="n"/>
      <c r="L109" s="17" t="inlineStr">
        <is>
          <t>BROUILLON</t>
        </is>
      </c>
      <c r="M109" s="17" t="n"/>
      <c r="N109" s="17" t="n"/>
      <c r="O109" s="17" t="n"/>
      <c r="P109" s="17" t="n"/>
      <c r="Q109" s="17" t="n"/>
      <c r="R109" s="17" t="n"/>
      <c r="S109" s="17" t="n"/>
    </row>
    <row r="110">
      <c r="A110" s="17" t="n"/>
      <c r="B110" s="18">
        <f>IF($D110="","",TEXT(TODAY(),"dd/mm/yyyy"))</f>
        <v/>
      </c>
      <c r="C110" s="18">
        <f>IF($D110="","",TEXT(NOW(),"hh:mm"))</f>
        <v/>
      </c>
      <c r="D110" s="19" t="n"/>
      <c r="E110" s="19" t="n"/>
      <c r="F110" s="18">
        <f>IF($E110="","",IFERROR(VLOOKUP($E110,ARTICLES!$A$5:$S$2243,3,FALSE),"reference inconnue"))</f>
        <v/>
      </c>
      <c r="G110" s="19" t="n"/>
      <c r="H110" s="19" t="n"/>
      <c r="I110" s="19" t="n"/>
      <c r="J110" s="19" t="n"/>
      <c r="K110" s="19" t="n"/>
      <c r="L110" s="17" t="inlineStr">
        <is>
          <t>BROUILLON</t>
        </is>
      </c>
      <c r="M110" s="17" t="n"/>
      <c r="N110" s="17" t="n"/>
      <c r="O110" s="17" t="n"/>
      <c r="P110" s="17" t="n"/>
      <c r="Q110" s="17" t="n"/>
      <c r="R110" s="17" t="n"/>
      <c r="S110" s="17" t="n"/>
    </row>
    <row r="111">
      <c r="A111" s="17" t="n"/>
      <c r="B111" s="18">
        <f>IF($D111="","",TEXT(TODAY(),"dd/mm/yyyy"))</f>
        <v/>
      </c>
      <c r="C111" s="18">
        <f>IF($D111="","",TEXT(NOW(),"hh:mm"))</f>
        <v/>
      </c>
      <c r="D111" s="19" t="n"/>
      <c r="E111" s="19" t="n"/>
      <c r="F111" s="18">
        <f>IF($E111="","",IFERROR(VLOOKUP($E111,ARTICLES!$A$5:$S$2243,3,FALSE),"reference inconnue"))</f>
        <v/>
      </c>
      <c r="G111" s="19" t="n"/>
      <c r="H111" s="19" t="n"/>
      <c r="I111" s="19" t="n"/>
      <c r="J111" s="19" t="n"/>
      <c r="K111" s="19" t="n"/>
      <c r="L111" s="17" t="inlineStr">
        <is>
          <t>BROUILLON</t>
        </is>
      </c>
      <c r="M111" s="17" t="n"/>
      <c r="N111" s="17" t="n"/>
      <c r="O111" s="17" t="n"/>
      <c r="P111" s="17" t="n"/>
      <c r="Q111" s="17" t="n"/>
      <c r="R111" s="17" t="n"/>
      <c r="S111" s="17" t="n"/>
    </row>
    <row r="112">
      <c r="A112" s="17" t="n"/>
      <c r="B112" s="18">
        <f>IF($D112="","",TEXT(TODAY(),"dd/mm/yyyy"))</f>
        <v/>
      </c>
      <c r="C112" s="18">
        <f>IF($D112="","",TEXT(NOW(),"hh:mm"))</f>
        <v/>
      </c>
      <c r="D112" s="19" t="n"/>
      <c r="E112" s="19" t="n"/>
      <c r="F112" s="18">
        <f>IF($E112="","",IFERROR(VLOOKUP($E112,ARTICLES!$A$5:$S$2243,3,FALSE),"reference inconnue"))</f>
        <v/>
      </c>
      <c r="G112" s="19" t="n"/>
      <c r="H112" s="19" t="n"/>
      <c r="I112" s="19" t="n"/>
      <c r="J112" s="19" t="n"/>
      <c r="K112" s="19" t="n"/>
      <c r="L112" s="17" t="inlineStr">
        <is>
          <t>BROUILLON</t>
        </is>
      </c>
      <c r="M112" s="17" t="n"/>
      <c r="N112" s="17" t="n"/>
      <c r="O112" s="17" t="n"/>
      <c r="P112" s="17" t="n"/>
      <c r="Q112" s="17" t="n"/>
      <c r="R112" s="17" t="n"/>
      <c r="S112" s="17" t="n"/>
    </row>
    <row r="113">
      <c r="A113" s="17" t="n"/>
      <c r="B113" s="18">
        <f>IF($D113="","",TEXT(TODAY(),"dd/mm/yyyy"))</f>
        <v/>
      </c>
      <c r="C113" s="18">
        <f>IF($D113="","",TEXT(NOW(),"hh:mm"))</f>
        <v/>
      </c>
      <c r="D113" s="19" t="n"/>
      <c r="E113" s="19" t="n"/>
      <c r="F113" s="18">
        <f>IF($E113="","",IFERROR(VLOOKUP($E113,ARTICLES!$A$5:$S$2243,3,FALSE),"reference inconnue"))</f>
        <v/>
      </c>
      <c r="G113" s="19" t="n"/>
      <c r="H113" s="19" t="n"/>
      <c r="I113" s="19" t="n"/>
      <c r="J113" s="19" t="n"/>
      <c r="K113" s="19" t="n"/>
      <c r="L113" s="17" t="inlineStr">
        <is>
          <t>BROUILLON</t>
        </is>
      </c>
      <c r="M113" s="17" t="n"/>
      <c r="N113" s="17" t="n"/>
      <c r="O113" s="17" t="n"/>
      <c r="P113" s="17" t="n"/>
      <c r="Q113" s="17" t="n"/>
      <c r="R113" s="17" t="n"/>
      <c r="S113" s="17" t="n"/>
    </row>
    <row r="114">
      <c r="A114" s="17" t="n"/>
      <c r="B114" s="18">
        <f>IF($D114="","",TEXT(TODAY(),"dd/mm/yyyy"))</f>
        <v/>
      </c>
      <c r="C114" s="18">
        <f>IF($D114="","",TEXT(NOW(),"hh:mm"))</f>
        <v/>
      </c>
      <c r="D114" s="19" t="n"/>
      <c r="E114" s="19" t="n"/>
      <c r="F114" s="18">
        <f>IF($E114="","",IFERROR(VLOOKUP($E114,ARTICLES!$A$5:$S$2243,3,FALSE),"reference inconnue"))</f>
        <v/>
      </c>
      <c r="G114" s="19" t="n"/>
      <c r="H114" s="19" t="n"/>
      <c r="I114" s="19" t="n"/>
      <c r="J114" s="19" t="n"/>
      <c r="K114" s="19" t="n"/>
      <c r="L114" s="17" t="inlineStr">
        <is>
          <t>BROUILLON</t>
        </is>
      </c>
      <c r="M114" s="17" t="n"/>
      <c r="N114" s="17" t="n"/>
      <c r="O114" s="17" t="n"/>
      <c r="P114" s="17" t="n"/>
      <c r="Q114" s="17" t="n"/>
      <c r="R114" s="17" t="n"/>
      <c r="S114" s="17" t="n"/>
    </row>
    <row r="115">
      <c r="A115" s="17" t="n"/>
      <c r="B115" s="18">
        <f>IF($D115="","",TEXT(TODAY(),"dd/mm/yyyy"))</f>
        <v/>
      </c>
      <c r="C115" s="18">
        <f>IF($D115="","",TEXT(NOW(),"hh:mm"))</f>
        <v/>
      </c>
      <c r="D115" s="19" t="n"/>
      <c r="E115" s="19" t="n"/>
      <c r="F115" s="18">
        <f>IF($E115="","",IFERROR(VLOOKUP($E115,ARTICLES!$A$5:$S$2243,3,FALSE),"reference inconnue"))</f>
        <v/>
      </c>
      <c r="G115" s="19" t="n"/>
      <c r="H115" s="19" t="n"/>
      <c r="I115" s="19" t="n"/>
      <c r="J115" s="19" t="n"/>
      <c r="K115" s="19" t="n"/>
      <c r="L115" s="17" t="inlineStr">
        <is>
          <t>BROUILLON</t>
        </is>
      </c>
      <c r="M115" s="17" t="n"/>
      <c r="N115" s="17" t="n"/>
      <c r="O115" s="17" t="n"/>
      <c r="P115" s="17" t="n"/>
      <c r="Q115" s="17" t="n"/>
      <c r="R115" s="17" t="n"/>
      <c r="S115" s="17" t="n"/>
    </row>
    <row r="116">
      <c r="A116" s="17" t="n"/>
      <c r="B116" s="18">
        <f>IF($D116="","",TEXT(TODAY(),"dd/mm/yyyy"))</f>
        <v/>
      </c>
      <c r="C116" s="18">
        <f>IF($D116="","",TEXT(NOW(),"hh:mm"))</f>
        <v/>
      </c>
      <c r="D116" s="19" t="n"/>
      <c r="E116" s="19" t="n"/>
      <c r="F116" s="18">
        <f>IF($E116="","",IFERROR(VLOOKUP($E116,ARTICLES!$A$5:$S$2243,3,FALSE),"reference inconnue"))</f>
        <v/>
      </c>
      <c r="G116" s="19" t="n"/>
      <c r="H116" s="19" t="n"/>
      <c r="I116" s="19" t="n"/>
      <c r="J116" s="19" t="n"/>
      <c r="K116" s="19" t="n"/>
      <c r="L116" s="17" t="inlineStr">
        <is>
          <t>BROUILLON</t>
        </is>
      </c>
      <c r="M116" s="17" t="n"/>
      <c r="N116" s="17" t="n"/>
      <c r="O116" s="17" t="n"/>
      <c r="P116" s="17" t="n"/>
      <c r="Q116" s="17" t="n"/>
      <c r="R116" s="17" t="n"/>
      <c r="S116" s="17" t="n"/>
    </row>
    <row r="117">
      <c r="A117" s="17" t="n"/>
      <c r="B117" s="18">
        <f>IF($D117="","",TEXT(TODAY(),"dd/mm/yyyy"))</f>
        <v/>
      </c>
      <c r="C117" s="18">
        <f>IF($D117="","",TEXT(NOW(),"hh:mm"))</f>
        <v/>
      </c>
      <c r="D117" s="19" t="n"/>
      <c r="E117" s="19" t="n"/>
      <c r="F117" s="18">
        <f>IF($E117="","",IFERROR(VLOOKUP($E117,ARTICLES!$A$5:$S$2243,3,FALSE),"reference inconnue"))</f>
        <v/>
      </c>
      <c r="G117" s="19" t="n"/>
      <c r="H117" s="19" t="n"/>
      <c r="I117" s="19" t="n"/>
      <c r="J117" s="19" t="n"/>
      <c r="K117" s="19" t="n"/>
      <c r="L117" s="17" t="inlineStr">
        <is>
          <t>BROUILLON</t>
        </is>
      </c>
      <c r="M117" s="17" t="n"/>
      <c r="N117" s="17" t="n"/>
      <c r="O117" s="17" t="n"/>
      <c r="P117" s="17" t="n"/>
      <c r="Q117" s="17" t="n"/>
      <c r="R117" s="17" t="n"/>
      <c r="S117" s="17" t="n"/>
    </row>
    <row r="118">
      <c r="A118" s="17" t="n"/>
      <c r="B118" s="18">
        <f>IF($D118="","",TEXT(TODAY(),"dd/mm/yyyy"))</f>
        <v/>
      </c>
      <c r="C118" s="18">
        <f>IF($D118="","",TEXT(NOW(),"hh:mm"))</f>
        <v/>
      </c>
      <c r="D118" s="19" t="n"/>
      <c r="E118" s="19" t="n"/>
      <c r="F118" s="18">
        <f>IF($E118="","",IFERROR(VLOOKUP($E118,ARTICLES!$A$5:$S$2243,3,FALSE),"reference inconnue"))</f>
        <v/>
      </c>
      <c r="G118" s="19" t="n"/>
      <c r="H118" s="19" t="n"/>
      <c r="I118" s="19" t="n"/>
      <c r="J118" s="19" t="n"/>
      <c r="K118" s="19" t="n"/>
      <c r="L118" s="17" t="inlineStr">
        <is>
          <t>BROUILLON</t>
        </is>
      </c>
      <c r="M118" s="17" t="n"/>
      <c r="N118" s="17" t="n"/>
      <c r="O118" s="17" t="n"/>
      <c r="P118" s="17" t="n"/>
      <c r="Q118" s="17" t="n"/>
      <c r="R118" s="17" t="n"/>
      <c r="S118" s="17" t="n"/>
    </row>
    <row r="119">
      <c r="A119" s="17" t="n"/>
      <c r="B119" s="18">
        <f>IF($D119="","",TEXT(TODAY(),"dd/mm/yyyy"))</f>
        <v/>
      </c>
      <c r="C119" s="18">
        <f>IF($D119="","",TEXT(NOW(),"hh:mm"))</f>
        <v/>
      </c>
      <c r="D119" s="19" t="n"/>
      <c r="E119" s="19" t="n"/>
      <c r="F119" s="18">
        <f>IF($E119="","",IFERROR(VLOOKUP($E119,ARTICLES!$A$5:$S$2243,3,FALSE),"reference inconnue"))</f>
        <v/>
      </c>
      <c r="G119" s="19" t="n"/>
      <c r="H119" s="19" t="n"/>
      <c r="I119" s="19" t="n"/>
      <c r="J119" s="19" t="n"/>
      <c r="K119" s="19" t="n"/>
      <c r="L119" s="17" t="inlineStr">
        <is>
          <t>BROUILLON</t>
        </is>
      </c>
      <c r="M119" s="17" t="n"/>
      <c r="N119" s="17" t="n"/>
      <c r="O119" s="17" t="n"/>
      <c r="P119" s="17" t="n"/>
      <c r="Q119" s="17" t="n"/>
      <c r="R119" s="17" t="n"/>
      <c r="S119" s="17" t="n"/>
    </row>
    <row r="120">
      <c r="A120" s="17" t="n"/>
      <c r="B120" s="18">
        <f>IF($D120="","",TEXT(TODAY(),"dd/mm/yyyy"))</f>
        <v/>
      </c>
      <c r="C120" s="18">
        <f>IF($D120="","",TEXT(NOW(),"hh:mm"))</f>
        <v/>
      </c>
      <c r="D120" s="19" t="n"/>
      <c r="E120" s="19" t="n"/>
      <c r="F120" s="18">
        <f>IF($E120="","",IFERROR(VLOOKUP($E120,ARTICLES!$A$5:$S$2243,3,FALSE),"reference inconnue"))</f>
        <v/>
      </c>
      <c r="G120" s="19" t="n"/>
      <c r="H120" s="19" t="n"/>
      <c r="I120" s="19" t="n"/>
      <c r="J120" s="19" t="n"/>
      <c r="K120" s="19" t="n"/>
      <c r="L120" s="17" t="inlineStr">
        <is>
          <t>BROUILLON</t>
        </is>
      </c>
      <c r="M120" s="17" t="n"/>
      <c r="N120" s="17" t="n"/>
      <c r="O120" s="17" t="n"/>
      <c r="P120" s="17" t="n"/>
      <c r="Q120" s="17" t="n"/>
      <c r="R120" s="17" t="n"/>
      <c r="S120" s="17" t="n"/>
    </row>
    <row r="121">
      <c r="A121" s="17" t="n"/>
      <c r="B121" s="18">
        <f>IF($D121="","",TEXT(TODAY(),"dd/mm/yyyy"))</f>
        <v/>
      </c>
      <c r="C121" s="18">
        <f>IF($D121="","",TEXT(NOW(),"hh:mm"))</f>
        <v/>
      </c>
      <c r="D121" s="19" t="n"/>
      <c r="E121" s="19" t="n"/>
      <c r="F121" s="18">
        <f>IF($E121="","",IFERROR(VLOOKUP($E121,ARTICLES!$A$5:$S$2243,3,FALSE),"reference inconnue"))</f>
        <v/>
      </c>
      <c r="G121" s="19" t="n"/>
      <c r="H121" s="19" t="n"/>
      <c r="I121" s="19" t="n"/>
      <c r="J121" s="19" t="n"/>
      <c r="K121" s="19" t="n"/>
      <c r="L121" s="17" t="inlineStr">
        <is>
          <t>BROUILLON</t>
        </is>
      </c>
      <c r="M121" s="17" t="n"/>
      <c r="N121" s="17" t="n"/>
      <c r="O121" s="17" t="n"/>
      <c r="P121" s="17" t="n"/>
      <c r="Q121" s="17" t="n"/>
      <c r="R121" s="17" t="n"/>
      <c r="S121" s="17" t="n"/>
    </row>
    <row r="122">
      <c r="A122" s="17" t="n"/>
      <c r="B122" s="18">
        <f>IF($D122="","",TEXT(TODAY(),"dd/mm/yyyy"))</f>
        <v/>
      </c>
      <c r="C122" s="18">
        <f>IF($D122="","",TEXT(NOW(),"hh:mm"))</f>
        <v/>
      </c>
      <c r="D122" s="19" t="n"/>
      <c r="E122" s="19" t="n"/>
      <c r="F122" s="18">
        <f>IF($E122="","",IFERROR(VLOOKUP($E122,ARTICLES!$A$5:$S$2243,3,FALSE),"reference inconnue"))</f>
        <v/>
      </c>
      <c r="G122" s="19" t="n"/>
      <c r="H122" s="19" t="n"/>
      <c r="I122" s="19" t="n"/>
      <c r="J122" s="19" t="n"/>
      <c r="K122" s="19" t="n"/>
      <c r="L122" s="17" t="inlineStr">
        <is>
          <t>BROUILLON</t>
        </is>
      </c>
      <c r="M122" s="17" t="n"/>
      <c r="N122" s="17" t="n"/>
      <c r="O122" s="17" t="n"/>
      <c r="P122" s="17" t="n"/>
      <c r="Q122" s="17" t="n"/>
      <c r="R122" s="17" t="n"/>
      <c r="S122" s="17" t="n"/>
    </row>
    <row r="123">
      <c r="A123" s="17" t="n"/>
      <c r="B123" s="18">
        <f>IF($D123="","",TEXT(TODAY(),"dd/mm/yyyy"))</f>
        <v/>
      </c>
      <c r="C123" s="18">
        <f>IF($D123="","",TEXT(NOW(),"hh:mm"))</f>
        <v/>
      </c>
      <c r="D123" s="19" t="n"/>
      <c r="E123" s="19" t="n"/>
      <c r="F123" s="18">
        <f>IF($E123="","",IFERROR(VLOOKUP($E123,ARTICLES!$A$5:$S$2243,3,FALSE),"reference inconnue"))</f>
        <v/>
      </c>
      <c r="G123" s="19" t="n"/>
      <c r="H123" s="19" t="n"/>
      <c r="I123" s="19" t="n"/>
      <c r="J123" s="19" t="n"/>
      <c r="K123" s="19" t="n"/>
      <c r="L123" s="17" t="inlineStr">
        <is>
          <t>BROUILLON</t>
        </is>
      </c>
      <c r="M123" s="17" t="n"/>
      <c r="N123" s="17" t="n"/>
      <c r="O123" s="17" t="n"/>
      <c r="P123" s="17" t="n"/>
      <c r="Q123" s="17" t="n"/>
      <c r="R123" s="17" t="n"/>
      <c r="S123" s="17" t="n"/>
    </row>
    <row r="124">
      <c r="A124" s="17" t="n"/>
      <c r="B124" s="18">
        <f>IF($D124="","",TEXT(TODAY(),"dd/mm/yyyy"))</f>
        <v/>
      </c>
      <c r="C124" s="18">
        <f>IF($D124="","",TEXT(NOW(),"hh:mm"))</f>
        <v/>
      </c>
      <c r="D124" s="19" t="n"/>
      <c r="E124" s="19" t="n"/>
      <c r="F124" s="18">
        <f>IF($E124="","",IFERROR(VLOOKUP($E124,ARTICLES!$A$5:$S$2243,3,FALSE),"reference inconnue"))</f>
        <v/>
      </c>
      <c r="G124" s="19" t="n"/>
      <c r="H124" s="19" t="n"/>
      <c r="I124" s="19" t="n"/>
      <c r="J124" s="19" t="n"/>
      <c r="K124" s="19" t="n"/>
      <c r="L124" s="17" t="inlineStr">
        <is>
          <t>BROUILLON</t>
        </is>
      </c>
      <c r="M124" s="17" t="n"/>
      <c r="N124" s="17" t="n"/>
      <c r="O124" s="17" t="n"/>
      <c r="P124" s="17" t="n"/>
      <c r="Q124" s="17" t="n"/>
      <c r="R124" s="17" t="n"/>
      <c r="S124" s="17" t="n"/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3">
    <mergeCell ref="A3:S3"/>
    <mergeCell ref="A2:S2"/>
    <mergeCell ref="A1:S1"/>
  </mergeCells>
  <conditionalFormatting sqref="L5:L124">
    <cfRule type="cellIs" priority="1" operator="equal" dxfId="3">
      <formula>"BROUILLON"</formula>
    </cfRule>
    <cfRule type="cellIs" priority="2" operator="equal" dxfId="1">
      <formula>"EN ATTENTE DE VALIDATION"</formula>
    </cfRule>
    <cfRule type="cellIs" priority="3" operator="equal" dxfId="0">
      <formula>"VALIDE"</formula>
    </cfRule>
    <cfRule type="cellIs" priority="4" operator="equal" dxfId="2">
      <formula>"REJETE"</formula>
    </cfRule>
  </conditionalFormatting>
  <dataValidations count="8">
    <dataValidation sqref="L5:L124" showDropDown="0" showInputMessage="0" showErrorMessage="0" allowBlank="1" type="list">
      <formula1>"BROUILLON,EN ATTENTE DE VALIDATION,VALIDE,REJETE"</formula1>
    </dataValidation>
    <dataValidation sqref="E5:E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e code de la piece (WHAP-...). La designation s'affiche toute seule a cote." type="list">
      <formula1>ARTICLES!$A$5:$A$2243</formula1>
    </dataValidation>
    <dataValidation sqref="I5:I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'adresse de stockage. La feuille EMPLACEMENTS indique celles qui sont saturees." type="list">
      <formula1>EMPLACEMENTS!$A$5:$A$148</formula1>
    </dataValidation>
    <dataValidation sqref="K5:K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votre matricule." type="list">
      <formula1>LISTES!$G$2:$G$25</formula1>
    </dataValidation>
    <dataValidation sqref="D5:D12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a demande de production a servir." type="list">
      <formula1>LISTES!$A$2:$A$52</formula1>
    </dataValidation>
    <dataValidation sqref="G5:G124" showDropDown="0" showInputMessage="1" showErrorMessage="0" allowBlank="1" promptTitle="A saisir" prompt="Quantite preparee au magasin."/>
    <dataValidation sqref="H5:H124" showDropDown="0" showInputMessage="1" showErrorMessage="0" allowBlank="1" promptTitle="A saisir" prompt="Quantite reellement sortie du stock."/>
    <dataValidation sqref="J5:J124" showDropDown="0" showInputMessage="1" showErrorMessage="0" allowBlank="1" promptTitle="A saisir" prompt="Facultatif."/>
  </dataValidations>
  <pageMargins left="0.75" right="0.75" top="1" bottom="1" header="0.5" footer="0.5"/>
</worksheet>
</file>

<file path=xl/worksheets/sheet13.xml><?xml version="1.0" encoding="utf-8"?>
<worksheet xmlns="http://schemas.openxmlformats.org/spreadsheetml/2006/main">
  <sheetPr>
    <outlinePr summaryBelow="1" summaryRight="1"/>
    <pageSetUpPr/>
  </sheetPr>
  <dimension ref="A1:J148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4" customWidth="1" min="1" max="1"/>
    <col width="8" customWidth="1" min="2" max="2"/>
    <col width="8" customWidth="1" min="3" max="3"/>
    <col width="8" customWidth="1" min="4" max="4"/>
    <col width="16" customWidth="1" min="5" max="5"/>
    <col width="12" customWidth="1" min="6" max="6"/>
    <col width="12" customWidth="1" min="7" max="7"/>
    <col width="12" customWidth="1" min="8" max="8"/>
    <col width="12" customWidth="1" min="9" max="9"/>
    <col width="14" customWidth="1" min="10" max="10"/>
  </cols>
  <sheetData>
    <row r="1" ht="22" customHeight="1">
      <c r="A1" s="1" t="inlineStr">
        <is>
          <t>EMPLACEMENTS</t>
        </is>
      </c>
    </row>
    <row r="2">
      <c r="A2" s="2" t="inlineStr">
        <is>
          <t>Une reference peut occuper plusieurs adresses et un lot peut etre eclate. Si une adresse est saturee, choisissez une adresse DISPONIBLE.</t>
        </is>
      </c>
    </row>
    <row r="3" ht="6" customHeight="1"/>
    <row r="4" ht="28" customHeight="1">
      <c r="A4" s="6" t="inlineStr">
        <is>
          <t>EMPLACEMENT</t>
        </is>
      </c>
      <c r="B4" s="6" t="inlineStr">
        <is>
          <t>ZONE</t>
        </is>
      </c>
      <c r="C4" s="6" t="inlineStr">
        <is>
          <t>ALLEE</t>
        </is>
      </c>
      <c r="D4" s="6" t="inlineStr">
        <is>
          <t>NIVEAU</t>
        </is>
      </c>
      <c r="E4" s="6" t="inlineStr">
        <is>
          <t>TYPE_STOCKAGE</t>
        </is>
      </c>
      <c r="F4" s="6" t="inlineStr">
        <is>
          <t>CAPACITE</t>
        </is>
      </c>
      <c r="G4" s="6" t="inlineStr">
        <is>
          <t>OCCUPATION</t>
        </is>
      </c>
      <c r="H4" s="6" t="inlineStr">
        <is>
          <t>DISPONIBLE</t>
        </is>
      </c>
      <c r="I4" s="6" t="inlineStr">
        <is>
          <t>REFERENCES</t>
        </is>
      </c>
      <c r="J4" s="6" t="inlineStr">
        <is>
          <t>STATUT</t>
        </is>
      </c>
    </row>
    <row r="5">
      <c r="A5" s="7" t="inlineStr">
        <is>
          <t>A-01-01</t>
        </is>
      </c>
      <c r="B5" s="7" t="inlineStr">
        <is>
          <t>A</t>
        </is>
      </c>
      <c r="C5" s="9" t="n">
        <v>1</v>
      </c>
      <c r="D5" s="9" t="n">
        <v>1</v>
      </c>
      <c r="E5" s="7" t="inlineStr">
        <is>
          <t>Casier</t>
        </is>
      </c>
      <c r="F5" s="9" t="n">
        <v>2000</v>
      </c>
      <c r="G5" s="9" t="n">
        <v>1367</v>
      </c>
      <c r="H5" s="9" t="n">
        <v>633</v>
      </c>
      <c r="I5" s="9" t="n">
        <v>19</v>
      </c>
      <c r="J5" s="7" t="inlineStr">
        <is>
          <t>DISPONIBLE</t>
        </is>
      </c>
    </row>
    <row r="6">
      <c r="A6" s="8" t="inlineStr">
        <is>
          <t>A-01-02</t>
        </is>
      </c>
      <c r="B6" s="8" t="inlineStr">
        <is>
          <t>A</t>
        </is>
      </c>
      <c r="C6" s="10" t="n">
        <v>1</v>
      </c>
      <c r="D6" s="10" t="n">
        <v>2</v>
      </c>
      <c r="E6" s="8" t="inlineStr">
        <is>
          <t>Casier</t>
        </is>
      </c>
      <c r="F6" s="10" t="n">
        <v>2500</v>
      </c>
      <c r="G6" s="10" t="n">
        <v>1793</v>
      </c>
      <c r="H6" s="10" t="n">
        <v>707</v>
      </c>
      <c r="I6" s="10" t="n">
        <v>26</v>
      </c>
      <c r="J6" s="8" t="inlineStr">
        <is>
          <t>DISPONIBLE</t>
        </is>
      </c>
    </row>
    <row r="7">
      <c r="A7" s="7" t="inlineStr">
        <is>
          <t>A-01-03</t>
        </is>
      </c>
      <c r="B7" s="7" t="inlineStr">
        <is>
          <t>A</t>
        </is>
      </c>
      <c r="C7" s="9" t="n">
        <v>1</v>
      </c>
      <c r="D7" s="9" t="n">
        <v>3</v>
      </c>
      <c r="E7" s="7" t="inlineStr">
        <is>
          <t>Casier</t>
        </is>
      </c>
      <c r="F7" s="9" t="n">
        <v>3000</v>
      </c>
      <c r="G7" s="9" t="n">
        <v>2063</v>
      </c>
      <c r="H7" s="9" t="n">
        <v>937</v>
      </c>
      <c r="I7" s="9" t="n">
        <v>20</v>
      </c>
      <c r="J7" s="7" t="inlineStr">
        <is>
          <t>DISPONIBLE</t>
        </is>
      </c>
    </row>
    <row r="8">
      <c r="A8" s="8" t="inlineStr">
        <is>
          <t>A-01-04</t>
        </is>
      </c>
      <c r="B8" s="8" t="inlineStr">
        <is>
          <t>A</t>
        </is>
      </c>
      <c r="C8" s="10" t="n">
        <v>1</v>
      </c>
      <c r="D8" s="10" t="n">
        <v>4</v>
      </c>
      <c r="E8" s="8" t="inlineStr">
        <is>
          <t>Casier</t>
        </is>
      </c>
      <c r="F8" s="10" t="n">
        <v>3500</v>
      </c>
      <c r="G8" s="10" t="n">
        <v>2517</v>
      </c>
      <c r="H8" s="10" t="n">
        <v>983</v>
      </c>
      <c r="I8" s="10" t="n">
        <v>23</v>
      </c>
      <c r="J8" s="8" t="inlineStr">
        <is>
          <t>DISPONIBLE</t>
        </is>
      </c>
    </row>
    <row r="9">
      <c r="A9" s="7" t="inlineStr">
        <is>
          <t>A-02-01</t>
        </is>
      </c>
      <c r="B9" s="7" t="inlineStr">
        <is>
          <t>A</t>
        </is>
      </c>
      <c r="C9" s="9" t="n">
        <v>2</v>
      </c>
      <c r="D9" s="9" t="n">
        <v>1</v>
      </c>
      <c r="E9" s="7" t="inlineStr">
        <is>
          <t>Casier</t>
        </is>
      </c>
      <c r="F9" s="9" t="n">
        <v>2000</v>
      </c>
      <c r="G9" s="9" t="n">
        <v>1402</v>
      </c>
      <c r="H9" s="9" t="n">
        <v>598</v>
      </c>
      <c r="I9" s="9" t="n">
        <v>16</v>
      </c>
      <c r="J9" s="7" t="inlineStr">
        <is>
          <t>DISPONIBLE</t>
        </is>
      </c>
    </row>
    <row r="10">
      <c r="A10" s="8" t="inlineStr">
        <is>
          <t>A-02-02</t>
        </is>
      </c>
      <c r="B10" s="8" t="inlineStr">
        <is>
          <t>A</t>
        </is>
      </c>
      <c r="C10" s="10" t="n">
        <v>2</v>
      </c>
      <c r="D10" s="10" t="n">
        <v>2</v>
      </c>
      <c r="E10" s="8" t="inlineStr">
        <is>
          <t>Casier</t>
        </is>
      </c>
      <c r="F10" s="10" t="n">
        <v>2000</v>
      </c>
      <c r="G10" s="10" t="n">
        <v>630</v>
      </c>
      <c r="H10" s="10" t="n">
        <v>1370</v>
      </c>
      <c r="I10" s="10" t="n">
        <v>13</v>
      </c>
      <c r="J10" s="8" t="inlineStr">
        <is>
          <t>DISPONIBLE</t>
        </is>
      </c>
    </row>
    <row r="11">
      <c r="A11" s="7" t="inlineStr">
        <is>
          <t>A-02-03</t>
        </is>
      </c>
      <c r="B11" s="7" t="inlineStr">
        <is>
          <t>A</t>
        </is>
      </c>
      <c r="C11" s="9" t="n">
        <v>2</v>
      </c>
      <c r="D11" s="9" t="n">
        <v>3</v>
      </c>
      <c r="E11" s="7" t="inlineStr">
        <is>
          <t>Casier</t>
        </is>
      </c>
      <c r="F11" s="9" t="n">
        <v>2500</v>
      </c>
      <c r="G11" s="9" t="n">
        <v>1552</v>
      </c>
      <c r="H11" s="9" t="n">
        <v>948</v>
      </c>
      <c r="I11" s="9" t="n">
        <v>18</v>
      </c>
      <c r="J11" s="7" t="inlineStr">
        <is>
          <t>DISPONIBLE</t>
        </is>
      </c>
    </row>
    <row r="12">
      <c r="A12" s="8" t="inlineStr">
        <is>
          <t>A-02-04</t>
        </is>
      </c>
      <c r="B12" s="8" t="inlineStr">
        <is>
          <t>A</t>
        </is>
      </c>
      <c r="C12" s="10" t="n">
        <v>2</v>
      </c>
      <c r="D12" s="10" t="n">
        <v>4</v>
      </c>
      <c r="E12" s="8" t="inlineStr">
        <is>
          <t>Casier</t>
        </is>
      </c>
      <c r="F12" s="10" t="n">
        <v>2500</v>
      </c>
      <c r="G12" s="10" t="n">
        <v>1618</v>
      </c>
      <c r="H12" s="10" t="n">
        <v>882</v>
      </c>
      <c r="I12" s="10" t="n">
        <v>11</v>
      </c>
      <c r="J12" s="8" t="inlineStr">
        <is>
          <t>DISPONIBLE</t>
        </is>
      </c>
    </row>
    <row r="13">
      <c r="A13" s="7" t="inlineStr">
        <is>
          <t>A-03-01</t>
        </is>
      </c>
      <c r="B13" s="7" t="inlineStr">
        <is>
          <t>A</t>
        </is>
      </c>
      <c r="C13" s="9" t="n">
        <v>3</v>
      </c>
      <c r="D13" s="9" t="n">
        <v>1</v>
      </c>
      <c r="E13" s="7" t="inlineStr">
        <is>
          <t>Casier</t>
        </is>
      </c>
      <c r="F13" s="9" t="n">
        <v>2000</v>
      </c>
      <c r="G13" s="9" t="n">
        <v>1055</v>
      </c>
      <c r="H13" s="9" t="n">
        <v>945</v>
      </c>
      <c r="I13" s="9" t="n">
        <v>8</v>
      </c>
      <c r="J13" s="7" t="inlineStr">
        <is>
          <t>DISPONIBLE</t>
        </is>
      </c>
    </row>
    <row r="14">
      <c r="A14" s="8" t="inlineStr">
        <is>
          <t>A-03-02</t>
        </is>
      </c>
      <c r="B14" s="8" t="inlineStr">
        <is>
          <t>A</t>
        </is>
      </c>
      <c r="C14" s="10" t="n">
        <v>3</v>
      </c>
      <c r="D14" s="10" t="n">
        <v>2</v>
      </c>
      <c r="E14" s="8" t="inlineStr">
        <is>
          <t>Casier</t>
        </is>
      </c>
      <c r="F14" s="10" t="n">
        <v>2000</v>
      </c>
      <c r="G14" s="10" t="n">
        <v>553</v>
      </c>
      <c r="H14" s="10" t="n">
        <v>1447</v>
      </c>
      <c r="I14" s="10" t="n">
        <v>10</v>
      </c>
      <c r="J14" s="8" t="inlineStr">
        <is>
          <t>DISPONIBLE</t>
        </is>
      </c>
    </row>
    <row r="15">
      <c r="A15" s="7" t="inlineStr">
        <is>
          <t>A-03-03</t>
        </is>
      </c>
      <c r="B15" s="7" t="inlineStr">
        <is>
          <t>A</t>
        </is>
      </c>
      <c r="C15" s="9" t="n">
        <v>3</v>
      </c>
      <c r="D15" s="9" t="n">
        <v>3</v>
      </c>
      <c r="E15" s="7" t="inlineStr">
        <is>
          <t>Casier</t>
        </is>
      </c>
      <c r="F15" s="9" t="n">
        <v>2500</v>
      </c>
      <c r="G15" s="9" t="n">
        <v>1950</v>
      </c>
      <c r="H15" s="9" t="n">
        <v>550</v>
      </c>
      <c r="I15" s="9" t="n">
        <v>23</v>
      </c>
      <c r="J15" s="7" t="inlineStr">
        <is>
          <t>TENDU</t>
        </is>
      </c>
    </row>
    <row r="16">
      <c r="A16" s="8" t="inlineStr">
        <is>
          <t>A-03-04</t>
        </is>
      </c>
      <c r="B16" s="8" t="inlineStr">
        <is>
          <t>A</t>
        </is>
      </c>
      <c r="C16" s="10" t="n">
        <v>3</v>
      </c>
      <c r="D16" s="10" t="n">
        <v>4</v>
      </c>
      <c r="E16" s="8" t="inlineStr">
        <is>
          <t>Casier</t>
        </is>
      </c>
      <c r="F16" s="10" t="n">
        <v>2000</v>
      </c>
      <c r="G16" s="10" t="n">
        <v>533</v>
      </c>
      <c r="H16" s="10" t="n">
        <v>1467</v>
      </c>
      <c r="I16" s="10" t="n">
        <v>10</v>
      </c>
      <c r="J16" s="8" t="inlineStr">
        <is>
          <t>DISPONIBLE</t>
        </is>
      </c>
    </row>
    <row r="17">
      <c r="A17" s="7" t="inlineStr">
        <is>
          <t>A-04-01</t>
        </is>
      </c>
      <c r="B17" s="7" t="inlineStr">
        <is>
          <t>A</t>
        </is>
      </c>
      <c r="C17" s="9" t="n">
        <v>4</v>
      </c>
      <c r="D17" s="9" t="n">
        <v>1</v>
      </c>
      <c r="E17" s="7" t="inlineStr">
        <is>
          <t>Casier</t>
        </is>
      </c>
      <c r="F17" s="9" t="n">
        <v>2000</v>
      </c>
      <c r="G17" s="9" t="n">
        <v>1142</v>
      </c>
      <c r="H17" s="9" t="n">
        <v>858</v>
      </c>
      <c r="I17" s="9" t="n">
        <v>16</v>
      </c>
      <c r="J17" s="7" t="inlineStr">
        <is>
          <t>DISPONIBLE</t>
        </is>
      </c>
    </row>
    <row r="18">
      <c r="A18" s="8" t="inlineStr">
        <is>
          <t>A-04-02</t>
        </is>
      </c>
      <c r="B18" s="8" t="inlineStr">
        <is>
          <t>A</t>
        </is>
      </c>
      <c r="C18" s="10" t="n">
        <v>4</v>
      </c>
      <c r="D18" s="10" t="n">
        <v>2</v>
      </c>
      <c r="E18" s="8" t="inlineStr">
        <is>
          <t>Casier</t>
        </is>
      </c>
      <c r="F18" s="10" t="n">
        <v>2500</v>
      </c>
      <c r="G18" s="10" t="n">
        <v>1695</v>
      </c>
      <c r="H18" s="10" t="n">
        <v>805</v>
      </c>
      <c r="I18" s="10" t="n">
        <v>17</v>
      </c>
      <c r="J18" s="8" t="inlineStr">
        <is>
          <t>DISPONIBLE</t>
        </is>
      </c>
    </row>
    <row r="19">
      <c r="A19" s="7" t="inlineStr">
        <is>
          <t>A-04-03</t>
        </is>
      </c>
      <c r="B19" s="7" t="inlineStr">
        <is>
          <t>A</t>
        </is>
      </c>
      <c r="C19" s="9" t="n">
        <v>4</v>
      </c>
      <c r="D19" s="9" t="n">
        <v>3</v>
      </c>
      <c r="E19" s="7" t="inlineStr">
        <is>
          <t>Casier</t>
        </is>
      </c>
      <c r="F19" s="9" t="n">
        <v>2000</v>
      </c>
      <c r="G19" s="9" t="n">
        <v>1073</v>
      </c>
      <c r="H19" s="9" t="n">
        <v>927</v>
      </c>
      <c r="I19" s="9" t="n">
        <v>13</v>
      </c>
      <c r="J19" s="7" t="inlineStr">
        <is>
          <t>DISPONIBLE</t>
        </is>
      </c>
    </row>
    <row r="20">
      <c r="A20" s="8" t="inlineStr">
        <is>
          <t>A-04-04</t>
        </is>
      </c>
      <c r="B20" s="8" t="inlineStr">
        <is>
          <t>A</t>
        </is>
      </c>
      <c r="C20" s="10" t="n">
        <v>4</v>
      </c>
      <c r="D20" s="10" t="n">
        <v>4</v>
      </c>
      <c r="E20" s="8" t="inlineStr">
        <is>
          <t>Casier</t>
        </is>
      </c>
      <c r="F20" s="10" t="n">
        <v>2000</v>
      </c>
      <c r="G20" s="10" t="n">
        <v>1337</v>
      </c>
      <c r="H20" s="10" t="n">
        <v>663</v>
      </c>
      <c r="I20" s="10" t="n">
        <v>13</v>
      </c>
      <c r="J20" s="8" t="inlineStr">
        <is>
          <t>DISPONIBLE</t>
        </is>
      </c>
    </row>
    <row r="21">
      <c r="A21" s="7" t="inlineStr">
        <is>
          <t>A-05-01</t>
        </is>
      </c>
      <c r="B21" s="7" t="inlineStr">
        <is>
          <t>A</t>
        </is>
      </c>
      <c r="C21" s="9" t="n">
        <v>5</v>
      </c>
      <c r="D21" s="9" t="n">
        <v>1</v>
      </c>
      <c r="E21" s="7" t="inlineStr">
        <is>
          <t>Casier</t>
        </is>
      </c>
      <c r="F21" s="9" t="n">
        <v>2000</v>
      </c>
      <c r="G21" s="9" t="n">
        <v>1073</v>
      </c>
      <c r="H21" s="9" t="n">
        <v>927</v>
      </c>
      <c r="I21" s="9" t="n">
        <v>12</v>
      </c>
      <c r="J21" s="7" t="inlineStr">
        <is>
          <t>DISPONIBLE</t>
        </is>
      </c>
    </row>
    <row r="22">
      <c r="A22" s="8" t="inlineStr">
        <is>
          <t>A-05-02</t>
        </is>
      </c>
      <c r="B22" s="8" t="inlineStr">
        <is>
          <t>A</t>
        </is>
      </c>
      <c r="C22" s="10" t="n">
        <v>5</v>
      </c>
      <c r="D22" s="10" t="n">
        <v>2</v>
      </c>
      <c r="E22" s="8" t="inlineStr">
        <is>
          <t>Casier</t>
        </is>
      </c>
      <c r="F22" s="10" t="n">
        <v>2000</v>
      </c>
      <c r="G22" s="10" t="n">
        <v>625</v>
      </c>
      <c r="H22" s="10" t="n">
        <v>1375</v>
      </c>
      <c r="I22" s="10" t="n">
        <v>8</v>
      </c>
      <c r="J22" s="8" t="inlineStr">
        <is>
          <t>DISPONIBLE</t>
        </is>
      </c>
    </row>
    <row r="23">
      <c r="A23" s="7" t="inlineStr">
        <is>
          <t>A-05-03</t>
        </is>
      </c>
      <c r="B23" s="7" t="inlineStr">
        <is>
          <t>A</t>
        </is>
      </c>
      <c r="C23" s="9" t="n">
        <v>5</v>
      </c>
      <c r="D23" s="9" t="n">
        <v>3</v>
      </c>
      <c r="E23" s="7" t="inlineStr">
        <is>
          <t>Casier</t>
        </is>
      </c>
      <c r="F23" s="9" t="n">
        <v>2500</v>
      </c>
      <c r="G23" s="9" t="n">
        <v>1771</v>
      </c>
      <c r="H23" s="9" t="n">
        <v>729</v>
      </c>
      <c r="I23" s="9" t="n">
        <v>17</v>
      </c>
      <c r="J23" s="7" t="inlineStr">
        <is>
          <t>DISPONIBLE</t>
        </is>
      </c>
    </row>
    <row r="24">
      <c r="A24" s="8" t="inlineStr">
        <is>
          <t>A-05-04</t>
        </is>
      </c>
      <c r="B24" s="8" t="inlineStr">
        <is>
          <t>A</t>
        </is>
      </c>
      <c r="C24" s="10" t="n">
        <v>5</v>
      </c>
      <c r="D24" s="10" t="n">
        <v>4</v>
      </c>
      <c r="E24" s="8" t="inlineStr">
        <is>
          <t>Casier</t>
        </is>
      </c>
      <c r="F24" s="10" t="n">
        <v>2000</v>
      </c>
      <c r="G24" s="10" t="n">
        <v>600</v>
      </c>
      <c r="H24" s="10" t="n">
        <v>1400</v>
      </c>
      <c r="I24" s="10" t="n">
        <v>12</v>
      </c>
      <c r="J24" s="8" t="inlineStr">
        <is>
          <t>DISPONIBLE</t>
        </is>
      </c>
    </row>
    <row r="25">
      <c r="A25" s="7" t="inlineStr">
        <is>
          <t>A-06-01</t>
        </is>
      </c>
      <c r="B25" s="7" t="inlineStr">
        <is>
          <t>A</t>
        </is>
      </c>
      <c r="C25" s="9" t="n">
        <v>6</v>
      </c>
      <c r="D25" s="9" t="n">
        <v>1</v>
      </c>
      <c r="E25" s="7" t="inlineStr">
        <is>
          <t>Casier</t>
        </is>
      </c>
      <c r="F25" s="9" t="n">
        <v>2000</v>
      </c>
      <c r="G25" s="9" t="n">
        <v>1070</v>
      </c>
      <c r="H25" s="9" t="n">
        <v>930</v>
      </c>
      <c r="I25" s="9" t="n">
        <v>10</v>
      </c>
      <c r="J25" s="7" t="inlineStr">
        <is>
          <t>DISPONIBLE</t>
        </is>
      </c>
    </row>
    <row r="26">
      <c r="A26" s="8" t="inlineStr">
        <is>
          <t>A-06-02</t>
        </is>
      </c>
      <c r="B26" s="8" t="inlineStr">
        <is>
          <t>A</t>
        </is>
      </c>
      <c r="C26" s="10" t="n">
        <v>6</v>
      </c>
      <c r="D26" s="10" t="n">
        <v>2</v>
      </c>
      <c r="E26" s="8" t="inlineStr">
        <is>
          <t>Casier</t>
        </is>
      </c>
      <c r="F26" s="10" t="n">
        <v>2000</v>
      </c>
      <c r="G26" s="10" t="n">
        <v>800</v>
      </c>
      <c r="H26" s="10" t="n">
        <v>1200</v>
      </c>
      <c r="I26" s="10" t="n">
        <v>8</v>
      </c>
      <c r="J26" s="8" t="inlineStr">
        <is>
          <t>DISPONIBLE</t>
        </is>
      </c>
    </row>
    <row r="27">
      <c r="A27" s="7" t="inlineStr">
        <is>
          <t>A-06-03</t>
        </is>
      </c>
      <c r="B27" s="7" t="inlineStr">
        <is>
          <t>A</t>
        </is>
      </c>
      <c r="C27" s="9" t="n">
        <v>6</v>
      </c>
      <c r="D27" s="9" t="n">
        <v>3</v>
      </c>
      <c r="E27" s="7" t="inlineStr">
        <is>
          <t>Casier</t>
        </is>
      </c>
      <c r="F27" s="9" t="n">
        <v>2500</v>
      </c>
      <c r="G27" s="9" t="n">
        <v>1763</v>
      </c>
      <c r="H27" s="9" t="n">
        <v>737</v>
      </c>
      <c r="I27" s="9" t="n">
        <v>15</v>
      </c>
      <c r="J27" s="7" t="inlineStr">
        <is>
          <t>DISPONIBLE</t>
        </is>
      </c>
    </row>
    <row r="28">
      <c r="A28" s="8" t="inlineStr">
        <is>
          <t>A-06-04</t>
        </is>
      </c>
      <c r="B28" s="8" t="inlineStr">
        <is>
          <t>A</t>
        </is>
      </c>
      <c r="C28" s="10" t="n">
        <v>6</v>
      </c>
      <c r="D28" s="10" t="n">
        <v>4</v>
      </c>
      <c r="E28" s="8" t="inlineStr">
        <is>
          <t>Casier</t>
        </is>
      </c>
      <c r="F28" s="10" t="n">
        <v>2000</v>
      </c>
      <c r="G28" s="10" t="n">
        <v>953</v>
      </c>
      <c r="H28" s="10" t="n">
        <v>1047</v>
      </c>
      <c r="I28" s="10" t="n">
        <v>13</v>
      </c>
      <c r="J28" s="8" t="inlineStr">
        <is>
          <t>DISPONIBLE</t>
        </is>
      </c>
    </row>
    <row r="29">
      <c r="A29" s="7" t="inlineStr">
        <is>
          <t>B-01-01</t>
        </is>
      </c>
      <c r="B29" s="7" t="inlineStr">
        <is>
          <t>B</t>
        </is>
      </c>
      <c r="C29" s="9" t="n">
        <v>1</v>
      </c>
      <c r="D29" s="9" t="n">
        <v>1</v>
      </c>
      <c r="E29" s="7" t="inlineStr">
        <is>
          <t>Casier</t>
        </is>
      </c>
      <c r="F29" s="9" t="n">
        <v>2000</v>
      </c>
      <c r="G29" s="9" t="n">
        <v>1307</v>
      </c>
      <c r="H29" s="9" t="n">
        <v>693</v>
      </c>
      <c r="I29" s="9" t="n">
        <v>14</v>
      </c>
      <c r="J29" s="7" t="inlineStr">
        <is>
          <t>DISPONIBLE</t>
        </is>
      </c>
    </row>
    <row r="30">
      <c r="A30" s="8" t="inlineStr">
        <is>
          <t>B-01-02</t>
        </is>
      </c>
      <c r="B30" s="8" t="inlineStr">
        <is>
          <t>B</t>
        </is>
      </c>
      <c r="C30" s="10" t="n">
        <v>1</v>
      </c>
      <c r="D30" s="10" t="n">
        <v>2</v>
      </c>
      <c r="E30" s="8" t="inlineStr">
        <is>
          <t>Casier</t>
        </is>
      </c>
      <c r="F30" s="10" t="n">
        <v>2500</v>
      </c>
      <c r="G30" s="10" t="n">
        <v>1582</v>
      </c>
      <c r="H30" s="10" t="n">
        <v>918</v>
      </c>
      <c r="I30" s="10" t="n">
        <v>12</v>
      </c>
      <c r="J30" s="8" t="inlineStr">
        <is>
          <t>DISPONIBLE</t>
        </is>
      </c>
    </row>
    <row r="31">
      <c r="A31" s="7" t="inlineStr">
        <is>
          <t>B-01-03</t>
        </is>
      </c>
      <c r="B31" s="7" t="inlineStr">
        <is>
          <t>B</t>
        </is>
      </c>
      <c r="C31" s="9" t="n">
        <v>1</v>
      </c>
      <c r="D31" s="9" t="n">
        <v>3</v>
      </c>
      <c r="E31" s="7" t="inlineStr">
        <is>
          <t>Casier</t>
        </is>
      </c>
      <c r="F31" s="9" t="n">
        <v>3000</v>
      </c>
      <c r="G31" s="9" t="n">
        <v>2290</v>
      </c>
      <c r="H31" s="9" t="n">
        <v>710</v>
      </c>
      <c r="I31" s="9" t="n">
        <v>19</v>
      </c>
      <c r="J31" s="7" t="inlineStr">
        <is>
          <t>TENDU</t>
        </is>
      </c>
    </row>
    <row r="32">
      <c r="A32" s="8" t="inlineStr">
        <is>
          <t>B-01-04</t>
        </is>
      </c>
      <c r="B32" s="8" t="inlineStr">
        <is>
          <t>B</t>
        </is>
      </c>
      <c r="C32" s="10" t="n">
        <v>1</v>
      </c>
      <c r="D32" s="10" t="n">
        <v>4</v>
      </c>
      <c r="E32" s="8" t="inlineStr">
        <is>
          <t>Casier</t>
        </is>
      </c>
      <c r="F32" s="10" t="n">
        <v>2500</v>
      </c>
      <c r="G32" s="10" t="n">
        <v>1620</v>
      </c>
      <c r="H32" s="10" t="n">
        <v>880</v>
      </c>
      <c r="I32" s="10" t="n">
        <v>12</v>
      </c>
      <c r="J32" s="8" t="inlineStr">
        <is>
          <t>DISPONIBLE</t>
        </is>
      </c>
    </row>
    <row r="33">
      <c r="A33" s="7" t="inlineStr">
        <is>
          <t>B-02-01</t>
        </is>
      </c>
      <c r="B33" s="7" t="inlineStr">
        <is>
          <t>B</t>
        </is>
      </c>
      <c r="C33" s="9" t="n">
        <v>2</v>
      </c>
      <c r="D33" s="9" t="n">
        <v>1</v>
      </c>
      <c r="E33" s="7" t="inlineStr">
        <is>
          <t>Casier</t>
        </is>
      </c>
      <c r="F33" s="9" t="n">
        <v>4500</v>
      </c>
      <c r="G33" s="9" t="n">
        <v>3837</v>
      </c>
      <c r="H33" s="9" t="n">
        <v>663</v>
      </c>
      <c r="I33" s="9" t="n">
        <v>31</v>
      </c>
      <c r="J33" s="7" t="inlineStr">
        <is>
          <t>TENDU</t>
        </is>
      </c>
    </row>
    <row r="34">
      <c r="A34" s="8" t="inlineStr">
        <is>
          <t>B-02-02</t>
        </is>
      </c>
      <c r="B34" s="8" t="inlineStr">
        <is>
          <t>B</t>
        </is>
      </c>
      <c r="C34" s="10" t="n">
        <v>2</v>
      </c>
      <c r="D34" s="10" t="n">
        <v>2</v>
      </c>
      <c r="E34" s="8" t="inlineStr">
        <is>
          <t>Casier</t>
        </is>
      </c>
      <c r="F34" s="10" t="n">
        <v>3500</v>
      </c>
      <c r="G34" s="10" t="n">
        <v>2823</v>
      </c>
      <c r="H34" s="10" t="n">
        <v>677</v>
      </c>
      <c r="I34" s="10" t="n">
        <v>31</v>
      </c>
      <c r="J34" s="8" t="inlineStr">
        <is>
          <t>TENDU</t>
        </is>
      </c>
    </row>
    <row r="35">
      <c r="A35" s="7" t="inlineStr">
        <is>
          <t>B-02-03</t>
        </is>
      </c>
      <c r="B35" s="7" t="inlineStr">
        <is>
          <t>B</t>
        </is>
      </c>
      <c r="C35" s="9" t="n">
        <v>2</v>
      </c>
      <c r="D35" s="9" t="n">
        <v>3</v>
      </c>
      <c r="E35" s="7" t="inlineStr">
        <is>
          <t>Casier</t>
        </is>
      </c>
      <c r="F35" s="9" t="n">
        <v>4000</v>
      </c>
      <c r="G35" s="9" t="n">
        <v>3304</v>
      </c>
      <c r="H35" s="9" t="n">
        <v>696</v>
      </c>
      <c r="I35" s="9" t="n">
        <v>25</v>
      </c>
      <c r="J35" s="7" t="inlineStr">
        <is>
          <t>TENDU</t>
        </is>
      </c>
    </row>
    <row r="36">
      <c r="A36" s="8" t="inlineStr">
        <is>
          <t>B-02-04</t>
        </is>
      </c>
      <c r="B36" s="8" t="inlineStr">
        <is>
          <t>B</t>
        </is>
      </c>
      <c r="C36" s="10" t="n">
        <v>2</v>
      </c>
      <c r="D36" s="10" t="n">
        <v>4</v>
      </c>
      <c r="E36" s="8" t="inlineStr">
        <is>
          <t>Casier</t>
        </is>
      </c>
      <c r="F36" s="10" t="n">
        <v>2500</v>
      </c>
      <c r="G36" s="10" t="n">
        <v>1736</v>
      </c>
      <c r="H36" s="10" t="n">
        <v>764</v>
      </c>
      <c r="I36" s="10" t="n">
        <v>19</v>
      </c>
      <c r="J36" s="8" t="inlineStr">
        <is>
          <t>DISPONIBLE</t>
        </is>
      </c>
    </row>
    <row r="37">
      <c r="A37" s="7" t="inlineStr">
        <is>
          <t>B-03-01</t>
        </is>
      </c>
      <c r="B37" s="7" t="inlineStr">
        <is>
          <t>B</t>
        </is>
      </c>
      <c r="C37" s="9" t="n">
        <v>3</v>
      </c>
      <c r="D37" s="9" t="n">
        <v>1</v>
      </c>
      <c r="E37" s="7" t="inlineStr">
        <is>
          <t>Casier</t>
        </is>
      </c>
      <c r="F37" s="9" t="n">
        <v>3000</v>
      </c>
      <c r="G37" s="9" t="n">
        <v>2271</v>
      </c>
      <c r="H37" s="9" t="n">
        <v>729</v>
      </c>
      <c r="I37" s="9" t="n">
        <v>20</v>
      </c>
      <c r="J37" s="7" t="inlineStr">
        <is>
          <t>TENDU</t>
        </is>
      </c>
    </row>
    <row r="38">
      <c r="A38" s="8" t="inlineStr">
        <is>
          <t>B-03-02</t>
        </is>
      </c>
      <c r="B38" s="8" t="inlineStr">
        <is>
          <t>B</t>
        </is>
      </c>
      <c r="C38" s="10" t="n">
        <v>3</v>
      </c>
      <c r="D38" s="10" t="n">
        <v>2</v>
      </c>
      <c r="E38" s="8" t="inlineStr">
        <is>
          <t>Casier</t>
        </is>
      </c>
      <c r="F38" s="10" t="n">
        <v>2500</v>
      </c>
      <c r="G38" s="10" t="n">
        <v>1797</v>
      </c>
      <c r="H38" s="10" t="n">
        <v>703</v>
      </c>
      <c r="I38" s="10" t="n">
        <v>12</v>
      </c>
      <c r="J38" s="8" t="inlineStr">
        <is>
          <t>DISPONIBLE</t>
        </is>
      </c>
    </row>
    <row r="39">
      <c r="A39" s="7" t="inlineStr">
        <is>
          <t>B-03-03</t>
        </is>
      </c>
      <c r="B39" s="7" t="inlineStr">
        <is>
          <t>B</t>
        </is>
      </c>
      <c r="C39" s="9" t="n">
        <v>3</v>
      </c>
      <c r="D39" s="9" t="n">
        <v>3</v>
      </c>
      <c r="E39" s="7" t="inlineStr">
        <is>
          <t>Casier</t>
        </is>
      </c>
      <c r="F39" s="9" t="n">
        <v>2500</v>
      </c>
      <c r="G39" s="9" t="n">
        <v>1952</v>
      </c>
      <c r="H39" s="9" t="n">
        <v>548</v>
      </c>
      <c r="I39" s="9" t="n">
        <v>15</v>
      </c>
      <c r="J39" s="7" t="inlineStr">
        <is>
          <t>TENDU</t>
        </is>
      </c>
    </row>
    <row r="40">
      <c r="A40" s="8" t="inlineStr">
        <is>
          <t>B-03-04</t>
        </is>
      </c>
      <c r="B40" s="8" t="inlineStr">
        <is>
          <t>B</t>
        </is>
      </c>
      <c r="C40" s="10" t="n">
        <v>3</v>
      </c>
      <c r="D40" s="10" t="n">
        <v>4</v>
      </c>
      <c r="E40" s="8" t="inlineStr">
        <is>
          <t>Casier</t>
        </is>
      </c>
      <c r="F40" s="10" t="n">
        <v>2500</v>
      </c>
      <c r="G40" s="10" t="n">
        <v>1550</v>
      </c>
      <c r="H40" s="10" t="n">
        <v>950</v>
      </c>
      <c r="I40" s="10" t="n">
        <v>13</v>
      </c>
      <c r="J40" s="8" t="inlineStr">
        <is>
          <t>DISPONIBLE</t>
        </is>
      </c>
    </row>
    <row r="41">
      <c r="A41" s="7" t="inlineStr">
        <is>
          <t>B-04-01</t>
        </is>
      </c>
      <c r="B41" s="7" t="inlineStr">
        <is>
          <t>B</t>
        </is>
      </c>
      <c r="C41" s="9" t="n">
        <v>4</v>
      </c>
      <c r="D41" s="9" t="n">
        <v>1</v>
      </c>
      <c r="E41" s="7" t="inlineStr">
        <is>
          <t>Casier</t>
        </is>
      </c>
      <c r="F41" s="9" t="n">
        <v>2000</v>
      </c>
      <c r="G41" s="9" t="n">
        <v>940</v>
      </c>
      <c r="H41" s="9" t="n">
        <v>1060</v>
      </c>
      <c r="I41" s="9" t="n">
        <v>9</v>
      </c>
      <c r="J41" s="7" t="inlineStr">
        <is>
          <t>DISPONIBLE</t>
        </is>
      </c>
    </row>
    <row r="42">
      <c r="A42" s="8" t="inlineStr">
        <is>
          <t>B-04-02</t>
        </is>
      </c>
      <c r="B42" s="8" t="inlineStr">
        <is>
          <t>B</t>
        </is>
      </c>
      <c r="C42" s="10" t="n">
        <v>4</v>
      </c>
      <c r="D42" s="10" t="n">
        <v>2</v>
      </c>
      <c r="E42" s="8" t="inlineStr">
        <is>
          <t>Casier</t>
        </is>
      </c>
      <c r="F42" s="10" t="n">
        <v>2500</v>
      </c>
      <c r="G42" s="10" t="n">
        <v>1896</v>
      </c>
      <c r="H42" s="10" t="n">
        <v>604</v>
      </c>
      <c r="I42" s="10" t="n">
        <v>14</v>
      </c>
      <c r="J42" s="8" t="inlineStr">
        <is>
          <t>TENDU</t>
        </is>
      </c>
    </row>
    <row r="43">
      <c r="A43" s="7" t="inlineStr">
        <is>
          <t>B-04-03</t>
        </is>
      </c>
      <c r="B43" s="7" t="inlineStr">
        <is>
          <t>B</t>
        </is>
      </c>
      <c r="C43" s="9" t="n">
        <v>4</v>
      </c>
      <c r="D43" s="9" t="n">
        <v>3</v>
      </c>
      <c r="E43" s="7" t="inlineStr">
        <is>
          <t>Casier</t>
        </is>
      </c>
      <c r="F43" s="9" t="n">
        <v>3000</v>
      </c>
      <c r="G43" s="9" t="n">
        <v>2203</v>
      </c>
      <c r="H43" s="9" t="n">
        <v>797</v>
      </c>
      <c r="I43" s="9" t="n">
        <v>20</v>
      </c>
      <c r="J43" s="7" t="inlineStr">
        <is>
          <t>DISPONIBLE</t>
        </is>
      </c>
    </row>
    <row r="44">
      <c r="A44" s="8" t="inlineStr">
        <is>
          <t>B-04-04</t>
        </is>
      </c>
      <c r="B44" s="8" t="inlineStr">
        <is>
          <t>B</t>
        </is>
      </c>
      <c r="C44" s="10" t="n">
        <v>4</v>
      </c>
      <c r="D44" s="10" t="n">
        <v>4</v>
      </c>
      <c r="E44" s="8" t="inlineStr">
        <is>
          <t>Casier</t>
        </is>
      </c>
      <c r="F44" s="10" t="n">
        <v>2500</v>
      </c>
      <c r="G44" s="10" t="n">
        <v>1591</v>
      </c>
      <c r="H44" s="10" t="n">
        <v>909</v>
      </c>
      <c r="I44" s="10" t="n">
        <v>15</v>
      </c>
      <c r="J44" s="8" t="inlineStr">
        <is>
          <t>DISPONIBLE</t>
        </is>
      </c>
    </row>
    <row r="45">
      <c r="A45" s="7" t="inlineStr">
        <is>
          <t>B-05-01</t>
        </is>
      </c>
      <c r="B45" s="7" t="inlineStr">
        <is>
          <t>B</t>
        </is>
      </c>
      <c r="C45" s="9" t="n">
        <v>5</v>
      </c>
      <c r="D45" s="9" t="n">
        <v>1</v>
      </c>
      <c r="E45" s="7" t="inlineStr">
        <is>
          <t>Casier</t>
        </is>
      </c>
      <c r="F45" s="9" t="n">
        <v>2000</v>
      </c>
      <c r="G45" s="9" t="n">
        <v>478</v>
      </c>
      <c r="H45" s="9" t="n">
        <v>1522</v>
      </c>
      <c r="I45" s="9" t="n">
        <v>4</v>
      </c>
      <c r="J45" s="7" t="inlineStr">
        <is>
          <t>DISPONIBLE</t>
        </is>
      </c>
    </row>
    <row r="46">
      <c r="A46" s="8" t="inlineStr">
        <is>
          <t>B-05-02</t>
        </is>
      </c>
      <c r="B46" s="8" t="inlineStr">
        <is>
          <t>B</t>
        </is>
      </c>
      <c r="C46" s="10" t="n">
        <v>5</v>
      </c>
      <c r="D46" s="10" t="n">
        <v>2</v>
      </c>
      <c r="E46" s="8" t="inlineStr">
        <is>
          <t>Casier</t>
        </is>
      </c>
      <c r="F46" s="10" t="n">
        <v>2000</v>
      </c>
      <c r="G46" s="10" t="n">
        <v>1244</v>
      </c>
      <c r="H46" s="10" t="n">
        <v>756</v>
      </c>
      <c r="I46" s="10" t="n">
        <v>7</v>
      </c>
      <c r="J46" s="8" t="inlineStr">
        <is>
          <t>DISPONIBLE</t>
        </is>
      </c>
    </row>
    <row r="47">
      <c r="A47" s="7" t="inlineStr">
        <is>
          <t>B-05-03</t>
        </is>
      </c>
      <c r="B47" s="7" t="inlineStr">
        <is>
          <t>B</t>
        </is>
      </c>
      <c r="C47" s="9" t="n">
        <v>5</v>
      </c>
      <c r="D47" s="9" t="n">
        <v>3</v>
      </c>
      <c r="E47" s="7" t="inlineStr">
        <is>
          <t>Casier</t>
        </is>
      </c>
      <c r="F47" s="9" t="n">
        <v>3000</v>
      </c>
      <c r="G47" s="9" t="n">
        <v>2256</v>
      </c>
      <c r="H47" s="9" t="n">
        <v>744</v>
      </c>
      <c r="I47" s="9" t="n">
        <v>24</v>
      </c>
      <c r="J47" s="7" t="inlineStr">
        <is>
          <t>TENDU</t>
        </is>
      </c>
    </row>
    <row r="48">
      <c r="A48" s="8" t="inlineStr">
        <is>
          <t>B-05-04</t>
        </is>
      </c>
      <c r="B48" s="8" t="inlineStr">
        <is>
          <t>B</t>
        </is>
      </c>
      <c r="C48" s="10" t="n">
        <v>5</v>
      </c>
      <c r="D48" s="10" t="n">
        <v>4</v>
      </c>
      <c r="E48" s="8" t="inlineStr">
        <is>
          <t>Casier</t>
        </is>
      </c>
      <c r="F48" s="10" t="n">
        <v>2000</v>
      </c>
      <c r="G48" s="10" t="n">
        <v>698</v>
      </c>
      <c r="H48" s="10" t="n">
        <v>1302</v>
      </c>
      <c r="I48" s="10" t="n">
        <v>8</v>
      </c>
      <c r="J48" s="8" t="inlineStr">
        <is>
          <t>DISPONIBLE</t>
        </is>
      </c>
    </row>
    <row r="49">
      <c r="A49" s="7" t="inlineStr">
        <is>
          <t>B-06-01</t>
        </is>
      </c>
      <c r="B49" s="7" t="inlineStr">
        <is>
          <t>B</t>
        </is>
      </c>
      <c r="C49" s="9" t="n">
        <v>6</v>
      </c>
      <c r="D49" s="9" t="n">
        <v>1</v>
      </c>
      <c r="E49" s="7" t="inlineStr">
        <is>
          <t>Casier</t>
        </is>
      </c>
      <c r="F49" s="9" t="n">
        <v>2500</v>
      </c>
      <c r="G49" s="9" t="n">
        <v>1607</v>
      </c>
      <c r="H49" s="9" t="n">
        <v>893</v>
      </c>
      <c r="I49" s="9" t="n">
        <v>13</v>
      </c>
      <c r="J49" s="7" t="inlineStr">
        <is>
          <t>DISPONIBLE</t>
        </is>
      </c>
    </row>
    <row r="50">
      <c r="A50" s="8" t="inlineStr">
        <is>
          <t>B-06-02</t>
        </is>
      </c>
      <c r="B50" s="8" t="inlineStr">
        <is>
          <t>B</t>
        </is>
      </c>
      <c r="C50" s="10" t="n">
        <v>6</v>
      </c>
      <c r="D50" s="10" t="n">
        <v>2</v>
      </c>
      <c r="E50" s="8" t="inlineStr">
        <is>
          <t>Casier</t>
        </is>
      </c>
      <c r="F50" s="10" t="n">
        <v>2000</v>
      </c>
      <c r="G50" s="10" t="n">
        <v>1165</v>
      </c>
      <c r="H50" s="10" t="n">
        <v>835</v>
      </c>
      <c r="I50" s="10" t="n">
        <v>14</v>
      </c>
      <c r="J50" s="8" t="inlineStr">
        <is>
          <t>DISPONIBLE</t>
        </is>
      </c>
    </row>
    <row r="51">
      <c r="A51" s="7" t="inlineStr">
        <is>
          <t>B-06-03</t>
        </is>
      </c>
      <c r="B51" s="7" t="inlineStr">
        <is>
          <t>B</t>
        </is>
      </c>
      <c r="C51" s="9" t="n">
        <v>6</v>
      </c>
      <c r="D51" s="9" t="n">
        <v>3</v>
      </c>
      <c r="E51" s="7" t="inlineStr">
        <is>
          <t>Casier</t>
        </is>
      </c>
      <c r="F51" s="9" t="n">
        <v>2000</v>
      </c>
      <c r="G51" s="9" t="n">
        <v>1396</v>
      </c>
      <c r="H51" s="9" t="n">
        <v>604</v>
      </c>
      <c r="I51" s="9" t="n">
        <v>12</v>
      </c>
      <c r="J51" s="7" t="inlineStr">
        <is>
          <t>DISPONIBLE</t>
        </is>
      </c>
    </row>
    <row r="52">
      <c r="A52" s="8" t="inlineStr">
        <is>
          <t>B-06-04</t>
        </is>
      </c>
      <c r="B52" s="8" t="inlineStr">
        <is>
          <t>B</t>
        </is>
      </c>
      <c r="C52" s="10" t="n">
        <v>6</v>
      </c>
      <c r="D52" s="10" t="n">
        <v>4</v>
      </c>
      <c r="E52" s="8" t="inlineStr">
        <is>
          <t>Casier</t>
        </is>
      </c>
      <c r="F52" s="10" t="n">
        <v>2500</v>
      </c>
      <c r="G52" s="10" t="n">
        <v>1930</v>
      </c>
      <c r="H52" s="10" t="n">
        <v>570</v>
      </c>
      <c r="I52" s="10" t="n">
        <v>19</v>
      </c>
      <c r="J52" s="8" t="inlineStr">
        <is>
          <t>TENDU</t>
        </is>
      </c>
    </row>
    <row r="53">
      <c r="A53" s="7" t="inlineStr">
        <is>
          <t>C-01-01</t>
        </is>
      </c>
      <c r="B53" s="7" t="inlineStr">
        <is>
          <t>C</t>
        </is>
      </c>
      <c r="C53" s="9" t="n">
        <v>1</v>
      </c>
      <c r="D53" s="9" t="n">
        <v>1</v>
      </c>
      <c r="E53" s="7" t="inlineStr">
        <is>
          <t>Rack palette</t>
        </is>
      </c>
      <c r="F53" s="9" t="n">
        <v>3000</v>
      </c>
      <c r="G53" s="9" t="n">
        <v>2081</v>
      </c>
      <c r="H53" s="9" t="n">
        <v>919</v>
      </c>
      <c r="I53" s="9" t="n">
        <v>17</v>
      </c>
      <c r="J53" s="7" t="inlineStr">
        <is>
          <t>DISPONIBLE</t>
        </is>
      </c>
    </row>
    <row r="54">
      <c r="A54" s="8" t="inlineStr">
        <is>
          <t>C-01-02</t>
        </is>
      </c>
      <c r="B54" s="8" t="inlineStr">
        <is>
          <t>C</t>
        </is>
      </c>
      <c r="C54" s="10" t="n">
        <v>1</v>
      </c>
      <c r="D54" s="10" t="n">
        <v>2</v>
      </c>
      <c r="E54" s="8" t="inlineStr">
        <is>
          <t>Rack palette</t>
        </is>
      </c>
      <c r="F54" s="10" t="n">
        <v>2500</v>
      </c>
      <c r="G54" s="10" t="n">
        <v>1526</v>
      </c>
      <c r="H54" s="10" t="n">
        <v>974</v>
      </c>
      <c r="I54" s="10" t="n">
        <v>15</v>
      </c>
      <c r="J54" s="8" t="inlineStr">
        <is>
          <t>DISPONIBLE</t>
        </is>
      </c>
    </row>
    <row r="55">
      <c r="A55" s="7" t="inlineStr">
        <is>
          <t>C-01-03</t>
        </is>
      </c>
      <c r="B55" s="7" t="inlineStr">
        <is>
          <t>C</t>
        </is>
      </c>
      <c r="C55" s="9" t="n">
        <v>1</v>
      </c>
      <c r="D55" s="9" t="n">
        <v>3</v>
      </c>
      <c r="E55" s="7" t="inlineStr">
        <is>
          <t>Rack palette</t>
        </is>
      </c>
      <c r="F55" s="9" t="n">
        <v>2500</v>
      </c>
      <c r="G55" s="9" t="n">
        <v>1932</v>
      </c>
      <c r="H55" s="9" t="n">
        <v>568</v>
      </c>
      <c r="I55" s="9" t="n">
        <v>11</v>
      </c>
      <c r="J55" s="7" t="inlineStr">
        <is>
          <t>TENDU</t>
        </is>
      </c>
    </row>
    <row r="56">
      <c r="A56" s="8" t="inlineStr">
        <is>
          <t>C-01-04</t>
        </is>
      </c>
      <c r="B56" s="8" t="inlineStr">
        <is>
          <t>C</t>
        </is>
      </c>
      <c r="C56" s="10" t="n">
        <v>1</v>
      </c>
      <c r="D56" s="10" t="n">
        <v>4</v>
      </c>
      <c r="E56" s="8" t="inlineStr">
        <is>
          <t>Rack palette</t>
        </is>
      </c>
      <c r="F56" s="10" t="n">
        <v>2000</v>
      </c>
      <c r="G56" s="10" t="n">
        <v>1256</v>
      </c>
      <c r="H56" s="10" t="n">
        <v>744</v>
      </c>
      <c r="I56" s="10" t="n">
        <v>10</v>
      </c>
      <c r="J56" s="8" t="inlineStr">
        <is>
          <t>DISPONIBLE</t>
        </is>
      </c>
    </row>
    <row r="57">
      <c r="A57" s="7" t="inlineStr">
        <is>
          <t>C-02-01</t>
        </is>
      </c>
      <c r="B57" s="7" t="inlineStr">
        <is>
          <t>C</t>
        </is>
      </c>
      <c r="C57" s="9" t="n">
        <v>2</v>
      </c>
      <c r="D57" s="9" t="n">
        <v>1</v>
      </c>
      <c r="E57" s="7" t="inlineStr">
        <is>
          <t>Rack palette</t>
        </is>
      </c>
      <c r="F57" s="9" t="n">
        <v>2500</v>
      </c>
      <c r="G57" s="9" t="n">
        <v>1844</v>
      </c>
      <c r="H57" s="9" t="n">
        <v>656</v>
      </c>
      <c r="I57" s="9" t="n">
        <v>14</v>
      </c>
      <c r="J57" s="7" t="inlineStr">
        <is>
          <t>DISPONIBLE</t>
        </is>
      </c>
    </row>
    <row r="58">
      <c r="A58" s="8" t="inlineStr">
        <is>
          <t>C-02-02</t>
        </is>
      </c>
      <c r="B58" s="8" t="inlineStr">
        <is>
          <t>C</t>
        </is>
      </c>
      <c r="C58" s="10" t="n">
        <v>2</v>
      </c>
      <c r="D58" s="10" t="n">
        <v>2</v>
      </c>
      <c r="E58" s="8" t="inlineStr">
        <is>
          <t>Rack palette</t>
        </is>
      </c>
      <c r="F58" s="10" t="n">
        <v>2500</v>
      </c>
      <c r="G58" s="10" t="n">
        <v>1621</v>
      </c>
      <c r="H58" s="10" t="n">
        <v>879</v>
      </c>
      <c r="I58" s="10" t="n">
        <v>13</v>
      </c>
      <c r="J58" s="8" t="inlineStr">
        <is>
          <t>DISPONIBLE</t>
        </is>
      </c>
    </row>
    <row r="59">
      <c r="A59" s="7" t="inlineStr">
        <is>
          <t>C-02-03</t>
        </is>
      </c>
      <c r="B59" s="7" t="inlineStr">
        <is>
          <t>C</t>
        </is>
      </c>
      <c r="C59" s="9" t="n">
        <v>2</v>
      </c>
      <c r="D59" s="9" t="n">
        <v>3</v>
      </c>
      <c r="E59" s="7" t="inlineStr">
        <is>
          <t>Rack palette</t>
        </is>
      </c>
      <c r="F59" s="9" t="n">
        <v>3500</v>
      </c>
      <c r="G59" s="9" t="n">
        <v>2651</v>
      </c>
      <c r="H59" s="9" t="n">
        <v>849</v>
      </c>
      <c r="I59" s="9" t="n">
        <v>17</v>
      </c>
      <c r="J59" s="7" t="inlineStr">
        <is>
          <t>TENDU</t>
        </is>
      </c>
    </row>
    <row r="60">
      <c r="A60" s="8" t="inlineStr">
        <is>
          <t>C-02-04</t>
        </is>
      </c>
      <c r="B60" s="8" t="inlineStr">
        <is>
          <t>C</t>
        </is>
      </c>
      <c r="C60" s="10" t="n">
        <v>2</v>
      </c>
      <c r="D60" s="10" t="n">
        <v>4</v>
      </c>
      <c r="E60" s="8" t="inlineStr">
        <is>
          <t>Rack palette</t>
        </is>
      </c>
      <c r="F60" s="10" t="n">
        <v>2000</v>
      </c>
      <c r="G60" s="10" t="n">
        <v>1390</v>
      </c>
      <c r="H60" s="10" t="n">
        <v>610</v>
      </c>
      <c r="I60" s="10" t="n">
        <v>12</v>
      </c>
      <c r="J60" s="8" t="inlineStr">
        <is>
          <t>DISPONIBLE</t>
        </is>
      </c>
    </row>
    <row r="61">
      <c r="A61" s="7" t="inlineStr">
        <is>
          <t>C-03-01</t>
        </is>
      </c>
      <c r="B61" s="7" t="inlineStr">
        <is>
          <t>C</t>
        </is>
      </c>
      <c r="C61" s="9" t="n">
        <v>3</v>
      </c>
      <c r="D61" s="9" t="n">
        <v>1</v>
      </c>
      <c r="E61" s="7" t="inlineStr">
        <is>
          <t>Rack palette</t>
        </is>
      </c>
      <c r="F61" s="9" t="n">
        <v>3500</v>
      </c>
      <c r="G61" s="9" t="n">
        <v>2905</v>
      </c>
      <c r="H61" s="9" t="n">
        <v>595</v>
      </c>
      <c r="I61" s="9" t="n">
        <v>29</v>
      </c>
      <c r="J61" s="7" t="inlineStr">
        <is>
          <t>TENDU</t>
        </is>
      </c>
    </row>
    <row r="62">
      <c r="A62" s="8" t="inlineStr">
        <is>
          <t>C-03-02</t>
        </is>
      </c>
      <c r="B62" s="8" t="inlineStr">
        <is>
          <t>C</t>
        </is>
      </c>
      <c r="C62" s="10" t="n">
        <v>3</v>
      </c>
      <c r="D62" s="10" t="n">
        <v>2</v>
      </c>
      <c r="E62" s="8" t="inlineStr">
        <is>
          <t>Rack palette</t>
        </is>
      </c>
      <c r="F62" s="10" t="n">
        <v>4000</v>
      </c>
      <c r="G62" s="10" t="n">
        <v>3051</v>
      </c>
      <c r="H62" s="10" t="n">
        <v>949</v>
      </c>
      <c r="I62" s="10" t="n">
        <v>25</v>
      </c>
      <c r="J62" s="8" t="inlineStr">
        <is>
          <t>TENDU</t>
        </is>
      </c>
    </row>
    <row r="63">
      <c r="A63" s="7" t="inlineStr">
        <is>
          <t>C-03-03</t>
        </is>
      </c>
      <c r="B63" s="7" t="inlineStr">
        <is>
          <t>C</t>
        </is>
      </c>
      <c r="C63" s="9" t="n">
        <v>3</v>
      </c>
      <c r="D63" s="9" t="n">
        <v>3</v>
      </c>
      <c r="E63" s="7" t="inlineStr">
        <is>
          <t>Rack palette</t>
        </is>
      </c>
      <c r="F63" s="9" t="n">
        <v>4000</v>
      </c>
      <c r="G63" s="9" t="n">
        <v>3158</v>
      </c>
      <c r="H63" s="9" t="n">
        <v>842</v>
      </c>
      <c r="I63" s="9" t="n">
        <v>23</v>
      </c>
      <c r="J63" s="7" t="inlineStr">
        <is>
          <t>TENDU</t>
        </is>
      </c>
    </row>
    <row r="64">
      <c r="A64" s="8" t="inlineStr">
        <is>
          <t>C-03-04</t>
        </is>
      </c>
      <c r="B64" s="8" t="inlineStr">
        <is>
          <t>C</t>
        </is>
      </c>
      <c r="C64" s="10" t="n">
        <v>3</v>
      </c>
      <c r="D64" s="10" t="n">
        <v>4</v>
      </c>
      <c r="E64" s="8" t="inlineStr">
        <is>
          <t>Rack palette</t>
        </is>
      </c>
      <c r="F64" s="10" t="n">
        <v>4000</v>
      </c>
      <c r="G64" s="10" t="n">
        <v>3267</v>
      </c>
      <c r="H64" s="10" t="n">
        <v>733</v>
      </c>
      <c r="I64" s="10" t="n">
        <v>34</v>
      </c>
      <c r="J64" s="8" t="inlineStr">
        <is>
          <t>TENDU</t>
        </is>
      </c>
    </row>
    <row r="65">
      <c r="A65" s="7" t="inlineStr">
        <is>
          <t>C-04-01</t>
        </is>
      </c>
      <c r="B65" s="7" t="inlineStr">
        <is>
          <t>C</t>
        </is>
      </c>
      <c r="C65" s="9" t="n">
        <v>4</v>
      </c>
      <c r="D65" s="9" t="n">
        <v>1</v>
      </c>
      <c r="E65" s="7" t="inlineStr">
        <is>
          <t>Rack palette</t>
        </is>
      </c>
      <c r="F65" s="9" t="n">
        <v>2000</v>
      </c>
      <c r="G65" s="9" t="n">
        <v>1238</v>
      </c>
      <c r="H65" s="9" t="n">
        <v>762</v>
      </c>
      <c r="I65" s="9" t="n">
        <v>16</v>
      </c>
      <c r="J65" s="7" t="inlineStr">
        <is>
          <t>DISPONIBLE</t>
        </is>
      </c>
    </row>
    <row r="66">
      <c r="A66" s="8" t="inlineStr">
        <is>
          <t>C-04-02</t>
        </is>
      </c>
      <c r="B66" s="8" t="inlineStr">
        <is>
          <t>C</t>
        </is>
      </c>
      <c r="C66" s="10" t="n">
        <v>4</v>
      </c>
      <c r="D66" s="10" t="n">
        <v>2</v>
      </c>
      <c r="E66" s="8" t="inlineStr">
        <is>
          <t>Rack palette</t>
        </is>
      </c>
      <c r="F66" s="10" t="n">
        <v>3000</v>
      </c>
      <c r="G66" s="10" t="n">
        <v>2013</v>
      </c>
      <c r="H66" s="10" t="n">
        <v>987</v>
      </c>
      <c r="I66" s="10" t="n">
        <v>18</v>
      </c>
      <c r="J66" s="8" t="inlineStr">
        <is>
          <t>DISPONIBLE</t>
        </is>
      </c>
    </row>
    <row r="67">
      <c r="A67" s="7" t="inlineStr">
        <is>
          <t>C-04-03</t>
        </is>
      </c>
      <c r="B67" s="7" t="inlineStr">
        <is>
          <t>C</t>
        </is>
      </c>
      <c r="C67" s="9" t="n">
        <v>4</v>
      </c>
      <c r="D67" s="9" t="n">
        <v>3</v>
      </c>
      <c r="E67" s="7" t="inlineStr">
        <is>
          <t>Rack palette</t>
        </is>
      </c>
      <c r="F67" s="9" t="n">
        <v>2500</v>
      </c>
      <c r="G67" s="9" t="n">
        <v>1959</v>
      </c>
      <c r="H67" s="9" t="n">
        <v>541</v>
      </c>
      <c r="I67" s="9" t="n">
        <v>14</v>
      </c>
      <c r="J67" s="7" t="inlineStr">
        <is>
          <t>TENDU</t>
        </is>
      </c>
    </row>
    <row r="68">
      <c r="A68" s="8" t="inlineStr">
        <is>
          <t>C-04-04</t>
        </is>
      </c>
      <c r="B68" s="8" t="inlineStr">
        <is>
          <t>C</t>
        </is>
      </c>
      <c r="C68" s="10" t="n">
        <v>4</v>
      </c>
      <c r="D68" s="10" t="n">
        <v>4</v>
      </c>
      <c r="E68" s="8" t="inlineStr">
        <is>
          <t>Rack palette</t>
        </is>
      </c>
      <c r="F68" s="10" t="n">
        <v>2500</v>
      </c>
      <c r="G68" s="10" t="n">
        <v>1551</v>
      </c>
      <c r="H68" s="10" t="n">
        <v>949</v>
      </c>
      <c r="I68" s="10" t="n">
        <v>16</v>
      </c>
      <c r="J68" s="8" t="inlineStr">
        <is>
          <t>DISPONIBLE</t>
        </is>
      </c>
    </row>
    <row r="69">
      <c r="A69" s="7" t="inlineStr">
        <is>
          <t>C-05-01</t>
        </is>
      </c>
      <c r="B69" s="7" t="inlineStr">
        <is>
          <t>C</t>
        </is>
      </c>
      <c r="C69" s="9" t="n">
        <v>5</v>
      </c>
      <c r="D69" s="9" t="n">
        <v>1</v>
      </c>
      <c r="E69" s="7" t="inlineStr">
        <is>
          <t>Rack palette</t>
        </is>
      </c>
      <c r="F69" s="9" t="n">
        <v>2500</v>
      </c>
      <c r="G69" s="9" t="n">
        <v>1856</v>
      </c>
      <c r="H69" s="9" t="n">
        <v>644</v>
      </c>
      <c r="I69" s="9" t="n">
        <v>15</v>
      </c>
      <c r="J69" s="7" t="inlineStr">
        <is>
          <t>DISPONIBLE</t>
        </is>
      </c>
    </row>
    <row r="70">
      <c r="A70" s="8" t="inlineStr">
        <is>
          <t>C-05-02</t>
        </is>
      </c>
      <c r="B70" s="8" t="inlineStr">
        <is>
          <t>C</t>
        </is>
      </c>
      <c r="C70" s="10" t="n">
        <v>5</v>
      </c>
      <c r="D70" s="10" t="n">
        <v>2</v>
      </c>
      <c r="E70" s="8" t="inlineStr">
        <is>
          <t>Rack palette</t>
        </is>
      </c>
      <c r="F70" s="10" t="n">
        <v>3000</v>
      </c>
      <c r="G70" s="10" t="n">
        <v>2066</v>
      </c>
      <c r="H70" s="10" t="n">
        <v>934</v>
      </c>
      <c r="I70" s="10" t="n">
        <v>18</v>
      </c>
      <c r="J70" s="8" t="inlineStr">
        <is>
          <t>DISPONIBLE</t>
        </is>
      </c>
    </row>
    <row r="71">
      <c r="A71" s="7" t="inlineStr">
        <is>
          <t>C-05-03</t>
        </is>
      </c>
      <c r="B71" s="7" t="inlineStr">
        <is>
          <t>C</t>
        </is>
      </c>
      <c r="C71" s="9" t="n">
        <v>5</v>
      </c>
      <c r="D71" s="9" t="n">
        <v>3</v>
      </c>
      <c r="E71" s="7" t="inlineStr">
        <is>
          <t>Rack palette</t>
        </is>
      </c>
      <c r="F71" s="9" t="n">
        <v>2500</v>
      </c>
      <c r="G71" s="9" t="n">
        <v>1537</v>
      </c>
      <c r="H71" s="9" t="n">
        <v>963</v>
      </c>
      <c r="I71" s="9" t="n">
        <v>17</v>
      </c>
      <c r="J71" s="7" t="inlineStr">
        <is>
          <t>DISPONIBLE</t>
        </is>
      </c>
    </row>
    <row r="72">
      <c r="A72" s="8" t="inlineStr">
        <is>
          <t>C-05-04</t>
        </is>
      </c>
      <c r="B72" s="8" t="inlineStr">
        <is>
          <t>C</t>
        </is>
      </c>
      <c r="C72" s="10" t="n">
        <v>5</v>
      </c>
      <c r="D72" s="10" t="n">
        <v>4</v>
      </c>
      <c r="E72" s="8" t="inlineStr">
        <is>
          <t>Rack palette</t>
        </is>
      </c>
      <c r="F72" s="10" t="n">
        <v>2500</v>
      </c>
      <c r="G72" s="10" t="n">
        <v>1939</v>
      </c>
      <c r="H72" s="10" t="n">
        <v>561</v>
      </c>
      <c r="I72" s="10" t="n">
        <v>15</v>
      </c>
      <c r="J72" s="8" t="inlineStr">
        <is>
          <t>TENDU</t>
        </is>
      </c>
    </row>
    <row r="73">
      <c r="A73" s="7" t="inlineStr">
        <is>
          <t>C-06-01</t>
        </is>
      </c>
      <c r="B73" s="7" t="inlineStr">
        <is>
          <t>C</t>
        </is>
      </c>
      <c r="C73" s="9" t="n">
        <v>6</v>
      </c>
      <c r="D73" s="9" t="n">
        <v>1</v>
      </c>
      <c r="E73" s="7" t="inlineStr">
        <is>
          <t>Rack palette</t>
        </is>
      </c>
      <c r="F73" s="9" t="n">
        <v>2000</v>
      </c>
      <c r="G73" s="9" t="n">
        <v>733</v>
      </c>
      <c r="H73" s="9" t="n">
        <v>1267</v>
      </c>
      <c r="I73" s="9" t="n">
        <v>8</v>
      </c>
      <c r="J73" s="7" t="inlineStr">
        <is>
          <t>DISPONIBLE</t>
        </is>
      </c>
    </row>
    <row r="74">
      <c r="A74" s="8" t="inlineStr">
        <is>
          <t>C-06-02</t>
        </is>
      </c>
      <c r="B74" s="8" t="inlineStr">
        <is>
          <t>C</t>
        </is>
      </c>
      <c r="C74" s="10" t="n">
        <v>6</v>
      </c>
      <c r="D74" s="10" t="n">
        <v>2</v>
      </c>
      <c r="E74" s="8" t="inlineStr">
        <is>
          <t>Rack palette</t>
        </is>
      </c>
      <c r="F74" s="10" t="n">
        <v>2500</v>
      </c>
      <c r="G74" s="10" t="n">
        <v>1968</v>
      </c>
      <c r="H74" s="10" t="n">
        <v>532</v>
      </c>
      <c r="I74" s="10" t="n">
        <v>19</v>
      </c>
      <c r="J74" s="8" t="inlineStr">
        <is>
          <t>TENDU</t>
        </is>
      </c>
    </row>
    <row r="75">
      <c r="A75" s="7" t="inlineStr">
        <is>
          <t>C-06-03</t>
        </is>
      </c>
      <c r="B75" s="7" t="inlineStr">
        <is>
          <t>C</t>
        </is>
      </c>
      <c r="C75" s="9" t="n">
        <v>6</v>
      </c>
      <c r="D75" s="9" t="n">
        <v>3</v>
      </c>
      <c r="E75" s="7" t="inlineStr">
        <is>
          <t>Rack palette</t>
        </is>
      </c>
      <c r="F75" s="9" t="n">
        <v>3000</v>
      </c>
      <c r="G75" s="9" t="n">
        <v>2233</v>
      </c>
      <c r="H75" s="9" t="n">
        <v>767</v>
      </c>
      <c r="I75" s="9" t="n">
        <v>23</v>
      </c>
      <c r="J75" s="7" t="inlineStr">
        <is>
          <t>DISPONIBLE</t>
        </is>
      </c>
    </row>
    <row r="76">
      <c r="A76" s="8" t="inlineStr">
        <is>
          <t>C-06-04</t>
        </is>
      </c>
      <c r="B76" s="8" t="inlineStr">
        <is>
          <t>C</t>
        </is>
      </c>
      <c r="C76" s="10" t="n">
        <v>6</v>
      </c>
      <c r="D76" s="10" t="n">
        <v>4</v>
      </c>
      <c r="E76" s="8" t="inlineStr">
        <is>
          <t>Rack palette</t>
        </is>
      </c>
      <c r="F76" s="10" t="n">
        <v>2500</v>
      </c>
      <c r="G76" s="10" t="n">
        <v>1794</v>
      </c>
      <c r="H76" s="10" t="n">
        <v>706</v>
      </c>
      <c r="I76" s="10" t="n">
        <v>15</v>
      </c>
      <c r="J76" s="8" t="inlineStr">
        <is>
          <t>DISPONIBLE</t>
        </is>
      </c>
    </row>
    <row r="77">
      <c r="A77" s="7" t="inlineStr">
        <is>
          <t>D-01-01</t>
        </is>
      </c>
      <c r="B77" s="7" t="inlineStr">
        <is>
          <t>D</t>
        </is>
      </c>
      <c r="C77" s="9" t="n">
        <v>1</v>
      </c>
      <c r="D77" s="9" t="n">
        <v>1</v>
      </c>
      <c r="E77" s="7" t="inlineStr">
        <is>
          <t>Casier</t>
        </is>
      </c>
      <c r="F77" s="9" t="n">
        <v>2000</v>
      </c>
      <c r="G77" s="9" t="n">
        <v>1081</v>
      </c>
      <c r="H77" s="9" t="n">
        <v>919</v>
      </c>
      <c r="I77" s="9" t="n">
        <v>8</v>
      </c>
      <c r="J77" s="7" t="inlineStr">
        <is>
          <t>DISPONIBLE</t>
        </is>
      </c>
    </row>
    <row r="78">
      <c r="A78" s="8" t="inlineStr">
        <is>
          <t>D-01-02</t>
        </is>
      </c>
      <c r="B78" s="8" t="inlineStr">
        <is>
          <t>D</t>
        </is>
      </c>
      <c r="C78" s="10" t="n">
        <v>1</v>
      </c>
      <c r="D78" s="10" t="n">
        <v>2</v>
      </c>
      <c r="E78" s="8" t="inlineStr">
        <is>
          <t>Casier</t>
        </is>
      </c>
      <c r="F78" s="10" t="n">
        <v>2000</v>
      </c>
      <c r="G78" s="10" t="n">
        <v>742</v>
      </c>
      <c r="H78" s="10" t="n">
        <v>1258</v>
      </c>
      <c r="I78" s="10" t="n">
        <v>15</v>
      </c>
      <c r="J78" s="8" t="inlineStr">
        <is>
          <t>DISPONIBLE</t>
        </is>
      </c>
    </row>
    <row r="79">
      <c r="A79" s="7" t="inlineStr">
        <is>
          <t>D-01-03</t>
        </is>
      </c>
      <c r="B79" s="7" t="inlineStr">
        <is>
          <t>D</t>
        </is>
      </c>
      <c r="C79" s="9" t="n">
        <v>1</v>
      </c>
      <c r="D79" s="9" t="n">
        <v>3</v>
      </c>
      <c r="E79" s="7" t="inlineStr">
        <is>
          <t>Casier</t>
        </is>
      </c>
      <c r="F79" s="9" t="n">
        <v>2000</v>
      </c>
      <c r="G79" s="9" t="n">
        <v>956</v>
      </c>
      <c r="H79" s="9" t="n">
        <v>1044</v>
      </c>
      <c r="I79" s="9" t="n">
        <v>12</v>
      </c>
      <c r="J79" s="7" t="inlineStr">
        <is>
          <t>DISPONIBLE</t>
        </is>
      </c>
    </row>
    <row r="80">
      <c r="A80" s="8" t="inlineStr">
        <is>
          <t>D-01-04</t>
        </is>
      </c>
      <c r="B80" s="8" t="inlineStr">
        <is>
          <t>D</t>
        </is>
      </c>
      <c r="C80" s="10" t="n">
        <v>1</v>
      </c>
      <c r="D80" s="10" t="n">
        <v>4</v>
      </c>
      <c r="E80" s="8" t="inlineStr">
        <is>
          <t>Casier</t>
        </is>
      </c>
      <c r="F80" s="10" t="n">
        <v>2000</v>
      </c>
      <c r="G80" s="10" t="n">
        <v>979</v>
      </c>
      <c r="H80" s="10" t="n">
        <v>1021</v>
      </c>
      <c r="I80" s="10" t="n">
        <v>9</v>
      </c>
      <c r="J80" s="8" t="inlineStr">
        <is>
          <t>DISPONIBLE</t>
        </is>
      </c>
    </row>
    <row r="81">
      <c r="A81" s="7" t="inlineStr">
        <is>
          <t>D-02-01</t>
        </is>
      </c>
      <c r="B81" s="7" t="inlineStr">
        <is>
          <t>D</t>
        </is>
      </c>
      <c r="C81" s="9" t="n">
        <v>2</v>
      </c>
      <c r="D81" s="9" t="n">
        <v>1</v>
      </c>
      <c r="E81" s="7" t="inlineStr">
        <is>
          <t>Casier</t>
        </is>
      </c>
      <c r="F81" s="9" t="n">
        <v>2000</v>
      </c>
      <c r="G81" s="9" t="n">
        <v>1407</v>
      </c>
      <c r="H81" s="9" t="n">
        <v>593</v>
      </c>
      <c r="I81" s="9" t="n">
        <v>15</v>
      </c>
      <c r="J81" s="7" t="inlineStr">
        <is>
          <t>DISPONIBLE</t>
        </is>
      </c>
    </row>
    <row r="82">
      <c r="A82" s="8" t="inlineStr">
        <is>
          <t>D-02-02</t>
        </is>
      </c>
      <c r="B82" s="8" t="inlineStr">
        <is>
          <t>D</t>
        </is>
      </c>
      <c r="C82" s="10" t="n">
        <v>2</v>
      </c>
      <c r="D82" s="10" t="n">
        <v>2</v>
      </c>
      <c r="E82" s="8" t="inlineStr">
        <is>
          <t>Casier</t>
        </is>
      </c>
      <c r="F82" s="10" t="n">
        <v>2500</v>
      </c>
      <c r="G82" s="10" t="n">
        <v>1938</v>
      </c>
      <c r="H82" s="10" t="n">
        <v>562</v>
      </c>
      <c r="I82" s="10" t="n">
        <v>16</v>
      </c>
      <c r="J82" s="8" t="inlineStr">
        <is>
          <t>TENDU</t>
        </is>
      </c>
    </row>
    <row r="83">
      <c r="A83" s="7" t="inlineStr">
        <is>
          <t>D-02-03</t>
        </is>
      </c>
      <c r="B83" s="7" t="inlineStr">
        <is>
          <t>D</t>
        </is>
      </c>
      <c r="C83" s="9" t="n">
        <v>2</v>
      </c>
      <c r="D83" s="9" t="n">
        <v>3</v>
      </c>
      <c r="E83" s="7" t="inlineStr">
        <is>
          <t>Casier</t>
        </is>
      </c>
      <c r="F83" s="9" t="n">
        <v>2000</v>
      </c>
      <c r="G83" s="9" t="n">
        <v>489</v>
      </c>
      <c r="H83" s="9" t="n">
        <v>1511</v>
      </c>
      <c r="I83" s="9" t="n">
        <v>8</v>
      </c>
      <c r="J83" s="7" t="inlineStr">
        <is>
          <t>DISPONIBLE</t>
        </is>
      </c>
    </row>
    <row r="84">
      <c r="A84" s="8" t="inlineStr">
        <is>
          <t>D-02-04</t>
        </is>
      </c>
      <c r="B84" s="8" t="inlineStr">
        <is>
          <t>D</t>
        </is>
      </c>
      <c r="C84" s="10" t="n">
        <v>2</v>
      </c>
      <c r="D84" s="10" t="n">
        <v>4</v>
      </c>
      <c r="E84" s="8" t="inlineStr">
        <is>
          <t>Casier</t>
        </is>
      </c>
      <c r="F84" s="10" t="n">
        <v>2000</v>
      </c>
      <c r="G84" s="10" t="n">
        <v>415</v>
      </c>
      <c r="H84" s="10" t="n">
        <v>1585</v>
      </c>
      <c r="I84" s="10" t="n">
        <v>9</v>
      </c>
      <c r="J84" s="8" t="inlineStr">
        <is>
          <t>DISPONIBLE</t>
        </is>
      </c>
    </row>
    <row r="85">
      <c r="A85" s="7" t="inlineStr">
        <is>
          <t>D-03-01</t>
        </is>
      </c>
      <c r="B85" s="7" t="inlineStr">
        <is>
          <t>D</t>
        </is>
      </c>
      <c r="C85" s="9" t="n">
        <v>3</v>
      </c>
      <c r="D85" s="9" t="n">
        <v>1</v>
      </c>
      <c r="E85" s="7" t="inlineStr">
        <is>
          <t>Casier</t>
        </is>
      </c>
      <c r="F85" s="9" t="n">
        <v>2000</v>
      </c>
      <c r="G85" s="9" t="n">
        <v>1243</v>
      </c>
      <c r="H85" s="9" t="n">
        <v>757</v>
      </c>
      <c r="I85" s="9" t="n">
        <v>13</v>
      </c>
      <c r="J85" s="7" t="inlineStr">
        <is>
          <t>DISPONIBLE</t>
        </is>
      </c>
    </row>
    <row r="86">
      <c r="A86" s="8" t="inlineStr">
        <is>
          <t>D-03-02</t>
        </is>
      </c>
      <c r="B86" s="8" t="inlineStr">
        <is>
          <t>D</t>
        </is>
      </c>
      <c r="C86" s="10" t="n">
        <v>3</v>
      </c>
      <c r="D86" s="10" t="n">
        <v>2</v>
      </c>
      <c r="E86" s="8" t="inlineStr">
        <is>
          <t>Casier</t>
        </is>
      </c>
      <c r="F86" s="10" t="n">
        <v>3000</v>
      </c>
      <c r="G86" s="10" t="n">
        <v>2222</v>
      </c>
      <c r="H86" s="10" t="n">
        <v>778</v>
      </c>
      <c r="I86" s="10" t="n">
        <v>20</v>
      </c>
      <c r="J86" s="8" t="inlineStr">
        <is>
          <t>DISPONIBLE</t>
        </is>
      </c>
    </row>
    <row r="87">
      <c r="A87" s="7" t="inlineStr">
        <is>
          <t>D-03-03</t>
        </is>
      </c>
      <c r="B87" s="7" t="inlineStr">
        <is>
          <t>D</t>
        </is>
      </c>
      <c r="C87" s="9" t="n">
        <v>3</v>
      </c>
      <c r="D87" s="9" t="n">
        <v>3</v>
      </c>
      <c r="E87" s="7" t="inlineStr">
        <is>
          <t>Casier</t>
        </is>
      </c>
      <c r="F87" s="9" t="n">
        <v>2000</v>
      </c>
      <c r="G87" s="9" t="n">
        <v>697</v>
      </c>
      <c r="H87" s="9" t="n">
        <v>1303</v>
      </c>
      <c r="I87" s="9" t="n">
        <v>9</v>
      </c>
      <c r="J87" s="7" t="inlineStr">
        <is>
          <t>DISPONIBLE</t>
        </is>
      </c>
    </row>
    <row r="88">
      <c r="A88" s="8" t="inlineStr">
        <is>
          <t>D-03-04</t>
        </is>
      </c>
      <c r="B88" s="8" t="inlineStr">
        <is>
          <t>D</t>
        </is>
      </c>
      <c r="C88" s="10" t="n">
        <v>3</v>
      </c>
      <c r="D88" s="10" t="n">
        <v>4</v>
      </c>
      <c r="E88" s="8" t="inlineStr">
        <is>
          <t>Casier</t>
        </is>
      </c>
      <c r="F88" s="10" t="n">
        <v>3000</v>
      </c>
      <c r="G88" s="10" t="n">
        <v>2188</v>
      </c>
      <c r="H88" s="10" t="n">
        <v>812</v>
      </c>
      <c r="I88" s="10" t="n">
        <v>21</v>
      </c>
      <c r="J88" s="8" t="inlineStr">
        <is>
          <t>DISPONIBLE</t>
        </is>
      </c>
    </row>
    <row r="89">
      <c r="A89" s="7" t="inlineStr">
        <is>
          <t>D-04-01</t>
        </is>
      </c>
      <c r="B89" s="7" t="inlineStr">
        <is>
          <t>D</t>
        </is>
      </c>
      <c r="C89" s="9" t="n">
        <v>4</v>
      </c>
      <c r="D89" s="9" t="n">
        <v>1</v>
      </c>
      <c r="E89" s="7" t="inlineStr">
        <is>
          <t>Casier</t>
        </is>
      </c>
      <c r="F89" s="9" t="n">
        <v>3000</v>
      </c>
      <c r="G89" s="9" t="n">
        <v>2142</v>
      </c>
      <c r="H89" s="9" t="n">
        <v>858</v>
      </c>
      <c r="I89" s="9" t="n">
        <v>27</v>
      </c>
      <c r="J89" s="7" t="inlineStr">
        <is>
          <t>DISPONIBLE</t>
        </is>
      </c>
    </row>
    <row r="90">
      <c r="A90" s="8" t="inlineStr">
        <is>
          <t>D-04-02</t>
        </is>
      </c>
      <c r="B90" s="8" t="inlineStr">
        <is>
          <t>D</t>
        </is>
      </c>
      <c r="C90" s="10" t="n">
        <v>4</v>
      </c>
      <c r="D90" s="10" t="n">
        <v>2</v>
      </c>
      <c r="E90" s="8" t="inlineStr">
        <is>
          <t>Casier</t>
        </is>
      </c>
      <c r="F90" s="10" t="n">
        <v>2500</v>
      </c>
      <c r="G90" s="10" t="n">
        <v>1862</v>
      </c>
      <c r="H90" s="10" t="n">
        <v>638</v>
      </c>
      <c r="I90" s="10" t="n">
        <v>20</v>
      </c>
      <c r="J90" s="8" t="inlineStr">
        <is>
          <t>DISPONIBLE</t>
        </is>
      </c>
    </row>
    <row r="91">
      <c r="A91" s="7" t="inlineStr">
        <is>
          <t>D-04-03</t>
        </is>
      </c>
      <c r="B91" s="7" t="inlineStr">
        <is>
          <t>D</t>
        </is>
      </c>
      <c r="C91" s="9" t="n">
        <v>4</v>
      </c>
      <c r="D91" s="9" t="n">
        <v>3</v>
      </c>
      <c r="E91" s="7" t="inlineStr">
        <is>
          <t>Casier</t>
        </is>
      </c>
      <c r="F91" s="9" t="n">
        <v>2000</v>
      </c>
      <c r="G91" s="9" t="n">
        <v>1053</v>
      </c>
      <c r="H91" s="9" t="n">
        <v>947</v>
      </c>
      <c r="I91" s="9" t="n">
        <v>20</v>
      </c>
      <c r="J91" s="7" t="inlineStr">
        <is>
          <t>DISPONIBLE</t>
        </is>
      </c>
    </row>
    <row r="92">
      <c r="A92" s="8" t="inlineStr">
        <is>
          <t>D-04-04</t>
        </is>
      </c>
      <c r="B92" s="8" t="inlineStr">
        <is>
          <t>D</t>
        </is>
      </c>
      <c r="C92" s="10" t="n">
        <v>4</v>
      </c>
      <c r="D92" s="10" t="n">
        <v>4</v>
      </c>
      <c r="E92" s="8" t="inlineStr">
        <is>
          <t>Casier</t>
        </is>
      </c>
      <c r="F92" s="10" t="n">
        <v>2000</v>
      </c>
      <c r="G92" s="10" t="n">
        <v>1215</v>
      </c>
      <c r="H92" s="10" t="n">
        <v>785</v>
      </c>
      <c r="I92" s="10" t="n">
        <v>18</v>
      </c>
      <c r="J92" s="8" t="inlineStr">
        <is>
          <t>DISPONIBLE</t>
        </is>
      </c>
    </row>
    <row r="93">
      <c r="A93" s="7" t="inlineStr">
        <is>
          <t>D-05-01</t>
        </is>
      </c>
      <c r="B93" s="7" t="inlineStr">
        <is>
          <t>D</t>
        </is>
      </c>
      <c r="C93" s="9" t="n">
        <v>5</v>
      </c>
      <c r="D93" s="9" t="n">
        <v>1</v>
      </c>
      <c r="E93" s="7" t="inlineStr">
        <is>
          <t>Casier</t>
        </is>
      </c>
      <c r="F93" s="9" t="n">
        <v>2000</v>
      </c>
      <c r="G93" s="9" t="n">
        <v>1337</v>
      </c>
      <c r="H93" s="9" t="n">
        <v>663</v>
      </c>
      <c r="I93" s="9" t="n">
        <v>14</v>
      </c>
      <c r="J93" s="7" t="inlineStr">
        <is>
          <t>DISPONIBLE</t>
        </is>
      </c>
    </row>
    <row r="94">
      <c r="A94" s="8" t="inlineStr">
        <is>
          <t>D-05-02</t>
        </is>
      </c>
      <c r="B94" s="8" t="inlineStr">
        <is>
          <t>D</t>
        </is>
      </c>
      <c r="C94" s="10" t="n">
        <v>5</v>
      </c>
      <c r="D94" s="10" t="n">
        <v>2</v>
      </c>
      <c r="E94" s="8" t="inlineStr">
        <is>
          <t>Casier</t>
        </is>
      </c>
      <c r="F94" s="10" t="n">
        <v>2000</v>
      </c>
      <c r="G94" s="10" t="n">
        <v>1046</v>
      </c>
      <c r="H94" s="10" t="n">
        <v>954</v>
      </c>
      <c r="I94" s="10" t="n">
        <v>15</v>
      </c>
      <c r="J94" s="8" t="inlineStr">
        <is>
          <t>DISPONIBLE</t>
        </is>
      </c>
    </row>
    <row r="95">
      <c r="A95" s="7" t="inlineStr">
        <is>
          <t>D-05-03</t>
        </is>
      </c>
      <c r="B95" s="7" t="inlineStr">
        <is>
          <t>D</t>
        </is>
      </c>
      <c r="C95" s="9" t="n">
        <v>5</v>
      </c>
      <c r="D95" s="9" t="n">
        <v>3</v>
      </c>
      <c r="E95" s="7" t="inlineStr">
        <is>
          <t>Casier</t>
        </is>
      </c>
      <c r="F95" s="9" t="n">
        <v>2000</v>
      </c>
      <c r="G95" s="9" t="n">
        <v>1367</v>
      </c>
      <c r="H95" s="9" t="n">
        <v>633</v>
      </c>
      <c r="I95" s="9" t="n">
        <v>15</v>
      </c>
      <c r="J95" s="7" t="inlineStr">
        <is>
          <t>DISPONIBLE</t>
        </is>
      </c>
    </row>
    <row r="96">
      <c r="A96" s="8" t="inlineStr">
        <is>
          <t>D-05-04</t>
        </is>
      </c>
      <c r="B96" s="8" t="inlineStr">
        <is>
          <t>D</t>
        </is>
      </c>
      <c r="C96" s="10" t="n">
        <v>5</v>
      </c>
      <c r="D96" s="10" t="n">
        <v>4</v>
      </c>
      <c r="E96" s="8" t="inlineStr">
        <is>
          <t>Casier</t>
        </is>
      </c>
      <c r="F96" s="10" t="n">
        <v>2000</v>
      </c>
      <c r="G96" s="10" t="n">
        <v>878</v>
      </c>
      <c r="H96" s="10" t="n">
        <v>1122</v>
      </c>
      <c r="I96" s="10" t="n">
        <v>13</v>
      </c>
      <c r="J96" s="8" t="inlineStr">
        <is>
          <t>DISPONIBLE</t>
        </is>
      </c>
    </row>
    <row r="97">
      <c r="A97" s="7" t="inlineStr">
        <is>
          <t>D-06-01</t>
        </is>
      </c>
      <c r="B97" s="7" t="inlineStr">
        <is>
          <t>D</t>
        </is>
      </c>
      <c r="C97" s="9" t="n">
        <v>6</v>
      </c>
      <c r="D97" s="9" t="n">
        <v>1</v>
      </c>
      <c r="E97" s="7" t="inlineStr">
        <is>
          <t>Casier</t>
        </is>
      </c>
      <c r="F97" s="9" t="n">
        <v>2000</v>
      </c>
      <c r="G97" s="9" t="n">
        <v>1058</v>
      </c>
      <c r="H97" s="9" t="n">
        <v>942</v>
      </c>
      <c r="I97" s="9" t="n">
        <v>10</v>
      </c>
      <c r="J97" s="7" t="inlineStr">
        <is>
          <t>DISPONIBLE</t>
        </is>
      </c>
    </row>
    <row r="98">
      <c r="A98" s="8" t="inlineStr">
        <is>
          <t>D-06-02</t>
        </is>
      </c>
      <c r="B98" s="8" t="inlineStr">
        <is>
          <t>D</t>
        </is>
      </c>
      <c r="C98" s="10" t="n">
        <v>6</v>
      </c>
      <c r="D98" s="10" t="n">
        <v>2</v>
      </c>
      <c r="E98" s="8" t="inlineStr">
        <is>
          <t>Casier</t>
        </is>
      </c>
      <c r="F98" s="10" t="n">
        <v>2000</v>
      </c>
      <c r="G98" s="10" t="n">
        <v>1068</v>
      </c>
      <c r="H98" s="10" t="n">
        <v>932</v>
      </c>
      <c r="I98" s="10" t="n">
        <v>12</v>
      </c>
      <c r="J98" s="8" t="inlineStr">
        <is>
          <t>DISPONIBLE</t>
        </is>
      </c>
    </row>
    <row r="99">
      <c r="A99" s="7" t="inlineStr">
        <is>
          <t>D-06-03</t>
        </is>
      </c>
      <c r="B99" s="7" t="inlineStr">
        <is>
          <t>D</t>
        </is>
      </c>
      <c r="C99" s="9" t="n">
        <v>6</v>
      </c>
      <c r="D99" s="9" t="n">
        <v>3</v>
      </c>
      <c r="E99" s="7" t="inlineStr">
        <is>
          <t>Casier</t>
        </is>
      </c>
      <c r="F99" s="9" t="n">
        <v>3000</v>
      </c>
      <c r="G99" s="9" t="n">
        <v>2321</v>
      </c>
      <c r="H99" s="9" t="n">
        <v>679</v>
      </c>
      <c r="I99" s="9" t="n">
        <v>23</v>
      </c>
      <c r="J99" s="7" t="inlineStr">
        <is>
          <t>TENDU</t>
        </is>
      </c>
    </row>
    <row r="100">
      <c r="A100" s="8" t="inlineStr">
        <is>
          <t>D-06-04</t>
        </is>
      </c>
      <c r="B100" s="8" t="inlineStr">
        <is>
          <t>D</t>
        </is>
      </c>
      <c r="C100" s="10" t="n">
        <v>6</v>
      </c>
      <c r="D100" s="10" t="n">
        <v>4</v>
      </c>
      <c r="E100" s="8" t="inlineStr">
        <is>
          <t>Casier</t>
        </is>
      </c>
      <c r="F100" s="10" t="n">
        <v>2500</v>
      </c>
      <c r="G100" s="10" t="n">
        <v>1560</v>
      </c>
      <c r="H100" s="10" t="n">
        <v>940</v>
      </c>
      <c r="I100" s="10" t="n">
        <v>17</v>
      </c>
      <c r="J100" s="8" t="inlineStr">
        <is>
          <t>DISPONIBLE</t>
        </is>
      </c>
    </row>
    <row r="101">
      <c r="A101" s="7" t="inlineStr">
        <is>
          <t>E-01-01</t>
        </is>
      </c>
      <c r="B101" s="7" t="inlineStr">
        <is>
          <t>E</t>
        </is>
      </c>
      <c r="C101" s="9" t="n">
        <v>1</v>
      </c>
      <c r="D101" s="9" t="n">
        <v>1</v>
      </c>
      <c r="E101" s="7" t="inlineStr">
        <is>
          <t>Rack palette</t>
        </is>
      </c>
      <c r="F101" s="9" t="n">
        <v>3000</v>
      </c>
      <c r="G101" s="9" t="n">
        <v>2355</v>
      </c>
      <c r="H101" s="9" t="n">
        <v>645</v>
      </c>
      <c r="I101" s="9" t="n">
        <v>15</v>
      </c>
      <c r="J101" s="7" t="inlineStr">
        <is>
          <t>TENDU</t>
        </is>
      </c>
    </row>
    <row r="102">
      <c r="A102" s="8" t="inlineStr">
        <is>
          <t>E-01-02</t>
        </is>
      </c>
      <c r="B102" s="8" t="inlineStr">
        <is>
          <t>E</t>
        </is>
      </c>
      <c r="C102" s="10" t="n">
        <v>1</v>
      </c>
      <c r="D102" s="10" t="n">
        <v>2</v>
      </c>
      <c r="E102" s="8" t="inlineStr">
        <is>
          <t>Rack palette</t>
        </is>
      </c>
      <c r="F102" s="10" t="n">
        <v>2500</v>
      </c>
      <c r="G102" s="10" t="n">
        <v>1643</v>
      </c>
      <c r="H102" s="10" t="n">
        <v>857</v>
      </c>
      <c r="I102" s="10" t="n">
        <v>16</v>
      </c>
      <c r="J102" s="8" t="inlineStr">
        <is>
          <t>DISPONIBLE</t>
        </is>
      </c>
    </row>
    <row r="103">
      <c r="A103" s="7" t="inlineStr">
        <is>
          <t>E-01-03</t>
        </is>
      </c>
      <c r="B103" s="7" t="inlineStr">
        <is>
          <t>E</t>
        </is>
      </c>
      <c r="C103" s="9" t="n">
        <v>1</v>
      </c>
      <c r="D103" s="9" t="n">
        <v>3</v>
      </c>
      <c r="E103" s="7" t="inlineStr">
        <is>
          <t>Rack palette</t>
        </is>
      </c>
      <c r="F103" s="9" t="n">
        <v>2500</v>
      </c>
      <c r="G103" s="9" t="n">
        <v>1731</v>
      </c>
      <c r="H103" s="9" t="n">
        <v>769</v>
      </c>
      <c r="I103" s="9" t="n">
        <v>15</v>
      </c>
      <c r="J103" s="7" t="inlineStr">
        <is>
          <t>DISPONIBLE</t>
        </is>
      </c>
    </row>
    <row r="104">
      <c r="A104" s="8" t="inlineStr">
        <is>
          <t>E-01-04</t>
        </is>
      </c>
      <c r="B104" s="8" t="inlineStr">
        <is>
          <t>E</t>
        </is>
      </c>
      <c r="C104" s="10" t="n">
        <v>1</v>
      </c>
      <c r="D104" s="10" t="n">
        <v>4</v>
      </c>
      <c r="E104" s="8" t="inlineStr">
        <is>
          <t>Rack palette</t>
        </is>
      </c>
      <c r="F104" s="10" t="n">
        <v>2000</v>
      </c>
      <c r="G104" s="10" t="n">
        <v>1254</v>
      </c>
      <c r="H104" s="10" t="n">
        <v>746</v>
      </c>
      <c r="I104" s="10" t="n">
        <v>12</v>
      </c>
      <c r="J104" s="8" t="inlineStr">
        <is>
          <t>DISPONIBLE</t>
        </is>
      </c>
    </row>
    <row r="105">
      <c r="A105" s="7" t="inlineStr">
        <is>
          <t>E-02-01</t>
        </is>
      </c>
      <c r="B105" s="7" t="inlineStr">
        <is>
          <t>E</t>
        </is>
      </c>
      <c r="C105" s="9" t="n">
        <v>2</v>
      </c>
      <c r="D105" s="9" t="n">
        <v>1</v>
      </c>
      <c r="E105" s="7" t="inlineStr">
        <is>
          <t>Rack palette</t>
        </is>
      </c>
      <c r="F105" s="9" t="n">
        <v>2000</v>
      </c>
      <c r="G105" s="9" t="n">
        <v>1056</v>
      </c>
      <c r="H105" s="9" t="n">
        <v>944</v>
      </c>
      <c r="I105" s="9" t="n">
        <v>13</v>
      </c>
      <c r="J105" s="7" t="inlineStr">
        <is>
          <t>DISPONIBLE</t>
        </is>
      </c>
    </row>
    <row r="106">
      <c r="A106" s="8" t="inlineStr">
        <is>
          <t>E-02-02</t>
        </is>
      </c>
      <c r="B106" s="8" t="inlineStr">
        <is>
          <t>E</t>
        </is>
      </c>
      <c r="C106" s="10" t="n">
        <v>2</v>
      </c>
      <c r="D106" s="10" t="n">
        <v>2</v>
      </c>
      <c r="E106" s="8" t="inlineStr">
        <is>
          <t>Rack palette</t>
        </is>
      </c>
      <c r="F106" s="10" t="n">
        <v>3000</v>
      </c>
      <c r="G106" s="10" t="n">
        <v>2153</v>
      </c>
      <c r="H106" s="10" t="n">
        <v>847</v>
      </c>
      <c r="I106" s="10" t="n">
        <v>17</v>
      </c>
      <c r="J106" s="8" t="inlineStr">
        <is>
          <t>DISPONIBLE</t>
        </is>
      </c>
    </row>
    <row r="107">
      <c r="A107" s="7" t="inlineStr">
        <is>
          <t>E-02-03</t>
        </is>
      </c>
      <c r="B107" s="7" t="inlineStr">
        <is>
          <t>E</t>
        </is>
      </c>
      <c r="C107" s="9" t="n">
        <v>2</v>
      </c>
      <c r="D107" s="9" t="n">
        <v>3</v>
      </c>
      <c r="E107" s="7" t="inlineStr">
        <is>
          <t>Rack palette</t>
        </is>
      </c>
      <c r="F107" s="9" t="n">
        <v>3500</v>
      </c>
      <c r="G107" s="9" t="n">
        <v>2699</v>
      </c>
      <c r="H107" s="9" t="n">
        <v>801</v>
      </c>
      <c r="I107" s="9" t="n">
        <v>15</v>
      </c>
      <c r="J107" s="7" t="inlineStr">
        <is>
          <t>TENDU</t>
        </is>
      </c>
    </row>
    <row r="108">
      <c r="A108" s="8" t="inlineStr">
        <is>
          <t>E-02-04</t>
        </is>
      </c>
      <c r="B108" s="8" t="inlineStr">
        <is>
          <t>E</t>
        </is>
      </c>
      <c r="C108" s="10" t="n">
        <v>2</v>
      </c>
      <c r="D108" s="10" t="n">
        <v>4</v>
      </c>
      <c r="E108" s="8" t="inlineStr">
        <is>
          <t>Rack palette</t>
        </is>
      </c>
      <c r="F108" s="10" t="n">
        <v>2500</v>
      </c>
      <c r="G108" s="10" t="n">
        <v>1697</v>
      </c>
      <c r="H108" s="10" t="n">
        <v>803</v>
      </c>
      <c r="I108" s="10" t="n">
        <v>14</v>
      </c>
      <c r="J108" s="8" t="inlineStr">
        <is>
          <t>DISPONIBLE</t>
        </is>
      </c>
    </row>
    <row r="109">
      <c r="A109" s="7" t="inlineStr">
        <is>
          <t>E-03-01</t>
        </is>
      </c>
      <c r="B109" s="7" t="inlineStr">
        <is>
          <t>E</t>
        </is>
      </c>
      <c r="C109" s="9" t="n">
        <v>3</v>
      </c>
      <c r="D109" s="9" t="n">
        <v>1</v>
      </c>
      <c r="E109" s="7" t="inlineStr">
        <is>
          <t>Rack palette</t>
        </is>
      </c>
      <c r="F109" s="9" t="n">
        <v>2000</v>
      </c>
      <c r="G109" s="9" t="n">
        <v>1487</v>
      </c>
      <c r="H109" s="9" t="n">
        <v>513</v>
      </c>
      <c r="I109" s="9" t="n">
        <v>8</v>
      </c>
      <c r="J109" s="7" t="inlineStr">
        <is>
          <t>DISPONIBLE</t>
        </is>
      </c>
    </row>
    <row r="110">
      <c r="A110" s="8" t="inlineStr">
        <is>
          <t>E-03-02</t>
        </is>
      </c>
      <c r="B110" s="8" t="inlineStr">
        <is>
          <t>E</t>
        </is>
      </c>
      <c r="C110" s="10" t="n">
        <v>3</v>
      </c>
      <c r="D110" s="10" t="n">
        <v>2</v>
      </c>
      <c r="E110" s="8" t="inlineStr">
        <is>
          <t>Rack palette</t>
        </is>
      </c>
      <c r="F110" s="10" t="n">
        <v>2500</v>
      </c>
      <c r="G110" s="10" t="n">
        <v>1684</v>
      </c>
      <c r="H110" s="10" t="n">
        <v>816</v>
      </c>
      <c r="I110" s="10" t="n">
        <v>14</v>
      </c>
      <c r="J110" s="8" t="inlineStr">
        <is>
          <t>DISPONIBLE</t>
        </is>
      </c>
    </row>
    <row r="111">
      <c r="A111" s="7" t="inlineStr">
        <is>
          <t>E-03-03</t>
        </is>
      </c>
      <c r="B111" s="7" t="inlineStr">
        <is>
          <t>E</t>
        </is>
      </c>
      <c r="C111" s="9" t="n">
        <v>3</v>
      </c>
      <c r="D111" s="9" t="n">
        <v>3</v>
      </c>
      <c r="E111" s="7" t="inlineStr">
        <is>
          <t>Rack palette</t>
        </is>
      </c>
      <c r="F111" s="9" t="n">
        <v>2500</v>
      </c>
      <c r="G111" s="9" t="n">
        <v>1743</v>
      </c>
      <c r="H111" s="9" t="n">
        <v>757</v>
      </c>
      <c r="I111" s="9" t="n">
        <v>15</v>
      </c>
      <c r="J111" s="7" t="inlineStr">
        <is>
          <t>DISPONIBLE</t>
        </is>
      </c>
    </row>
    <row r="112">
      <c r="A112" s="8" t="inlineStr">
        <is>
          <t>E-03-04</t>
        </is>
      </c>
      <c r="B112" s="8" t="inlineStr">
        <is>
          <t>E</t>
        </is>
      </c>
      <c r="C112" s="10" t="n">
        <v>3</v>
      </c>
      <c r="D112" s="10" t="n">
        <v>4</v>
      </c>
      <c r="E112" s="8" t="inlineStr">
        <is>
          <t>Rack palette</t>
        </is>
      </c>
      <c r="F112" s="10" t="n">
        <v>2000</v>
      </c>
      <c r="G112" s="10" t="n">
        <v>1384</v>
      </c>
      <c r="H112" s="10" t="n">
        <v>616</v>
      </c>
      <c r="I112" s="10" t="n">
        <v>9</v>
      </c>
      <c r="J112" s="8" t="inlineStr">
        <is>
          <t>DISPONIBLE</t>
        </is>
      </c>
    </row>
    <row r="113">
      <c r="A113" s="7" t="inlineStr">
        <is>
          <t>E-04-01</t>
        </is>
      </c>
      <c r="B113" s="7" t="inlineStr">
        <is>
          <t>E</t>
        </is>
      </c>
      <c r="C113" s="9" t="n">
        <v>4</v>
      </c>
      <c r="D113" s="9" t="n">
        <v>1</v>
      </c>
      <c r="E113" s="7" t="inlineStr">
        <is>
          <t>Rack palette</t>
        </is>
      </c>
      <c r="F113" s="9" t="n">
        <v>2000</v>
      </c>
      <c r="G113" s="9" t="n">
        <v>855</v>
      </c>
      <c r="H113" s="9" t="n">
        <v>1145</v>
      </c>
      <c r="I113" s="9" t="n">
        <v>10</v>
      </c>
      <c r="J113" s="7" t="inlineStr">
        <is>
          <t>DISPONIBLE</t>
        </is>
      </c>
    </row>
    <row r="114">
      <c r="A114" s="8" t="inlineStr">
        <is>
          <t>E-04-02</t>
        </is>
      </c>
      <c r="B114" s="8" t="inlineStr">
        <is>
          <t>E</t>
        </is>
      </c>
      <c r="C114" s="10" t="n">
        <v>4</v>
      </c>
      <c r="D114" s="10" t="n">
        <v>2</v>
      </c>
      <c r="E114" s="8" t="inlineStr">
        <is>
          <t>Rack palette</t>
        </is>
      </c>
      <c r="F114" s="10" t="n">
        <v>2500</v>
      </c>
      <c r="G114" s="10" t="n">
        <v>1670</v>
      </c>
      <c r="H114" s="10" t="n">
        <v>830</v>
      </c>
      <c r="I114" s="10" t="n">
        <v>13</v>
      </c>
      <c r="J114" s="8" t="inlineStr">
        <is>
          <t>DISPONIBLE</t>
        </is>
      </c>
    </row>
    <row r="115">
      <c r="A115" s="7" t="inlineStr">
        <is>
          <t>E-04-03</t>
        </is>
      </c>
      <c r="B115" s="7" t="inlineStr">
        <is>
          <t>E</t>
        </is>
      </c>
      <c r="C115" s="9" t="n">
        <v>4</v>
      </c>
      <c r="D115" s="9" t="n">
        <v>3</v>
      </c>
      <c r="E115" s="7" t="inlineStr">
        <is>
          <t>Rack palette</t>
        </is>
      </c>
      <c r="F115" s="9" t="n">
        <v>2500</v>
      </c>
      <c r="G115" s="9" t="n">
        <v>1765</v>
      </c>
      <c r="H115" s="9" t="n">
        <v>735</v>
      </c>
      <c r="I115" s="9" t="n">
        <v>13</v>
      </c>
      <c r="J115" s="7" t="inlineStr">
        <is>
          <t>DISPONIBLE</t>
        </is>
      </c>
    </row>
    <row r="116">
      <c r="A116" s="8" t="inlineStr">
        <is>
          <t>E-04-04</t>
        </is>
      </c>
      <c r="B116" s="8" t="inlineStr">
        <is>
          <t>E</t>
        </is>
      </c>
      <c r="C116" s="10" t="n">
        <v>4</v>
      </c>
      <c r="D116" s="10" t="n">
        <v>4</v>
      </c>
      <c r="E116" s="8" t="inlineStr">
        <is>
          <t>Rack palette</t>
        </is>
      </c>
      <c r="F116" s="10" t="n">
        <v>2500</v>
      </c>
      <c r="G116" s="10" t="n">
        <v>1760</v>
      </c>
      <c r="H116" s="10" t="n">
        <v>740</v>
      </c>
      <c r="I116" s="10" t="n">
        <v>12</v>
      </c>
      <c r="J116" s="8" t="inlineStr">
        <is>
          <t>DISPONIBLE</t>
        </is>
      </c>
    </row>
    <row r="117">
      <c r="A117" s="7" t="inlineStr">
        <is>
          <t>E-05-01</t>
        </is>
      </c>
      <c r="B117" s="7" t="inlineStr">
        <is>
          <t>E</t>
        </is>
      </c>
      <c r="C117" s="9" t="n">
        <v>5</v>
      </c>
      <c r="D117" s="9" t="n">
        <v>1</v>
      </c>
      <c r="E117" s="7" t="inlineStr">
        <is>
          <t>Rack palette</t>
        </is>
      </c>
      <c r="F117" s="9" t="n">
        <v>3500</v>
      </c>
      <c r="G117" s="9" t="n">
        <v>2597</v>
      </c>
      <c r="H117" s="9" t="n">
        <v>903</v>
      </c>
      <c r="I117" s="9" t="n">
        <v>26</v>
      </c>
      <c r="J117" s="7" t="inlineStr">
        <is>
          <t>DISPONIBLE</t>
        </is>
      </c>
    </row>
    <row r="118">
      <c r="A118" s="8" t="inlineStr">
        <is>
          <t>E-05-02</t>
        </is>
      </c>
      <c r="B118" s="8" t="inlineStr">
        <is>
          <t>E</t>
        </is>
      </c>
      <c r="C118" s="10" t="n">
        <v>5</v>
      </c>
      <c r="D118" s="10" t="n">
        <v>2</v>
      </c>
      <c r="E118" s="8" t="inlineStr">
        <is>
          <t>Rack palette</t>
        </is>
      </c>
      <c r="F118" s="10" t="n">
        <v>5000</v>
      </c>
      <c r="G118" s="10" t="n">
        <v>4407</v>
      </c>
      <c r="H118" s="10" t="n">
        <v>593</v>
      </c>
      <c r="I118" s="10" t="n">
        <v>32</v>
      </c>
      <c r="J118" s="8" t="inlineStr">
        <is>
          <t>TENDU</t>
        </is>
      </c>
    </row>
    <row r="119">
      <c r="A119" s="7" t="inlineStr">
        <is>
          <t>E-05-03</t>
        </is>
      </c>
      <c r="B119" s="7" t="inlineStr">
        <is>
          <t>E</t>
        </is>
      </c>
      <c r="C119" s="9" t="n">
        <v>5</v>
      </c>
      <c r="D119" s="9" t="n">
        <v>3</v>
      </c>
      <c r="E119" s="7" t="inlineStr">
        <is>
          <t>Rack palette</t>
        </is>
      </c>
      <c r="F119" s="9" t="n">
        <v>4000</v>
      </c>
      <c r="G119" s="9" t="n">
        <v>3397</v>
      </c>
      <c r="H119" s="9" t="n">
        <v>603</v>
      </c>
      <c r="I119" s="9" t="n">
        <v>27</v>
      </c>
      <c r="J119" s="7" t="inlineStr">
        <is>
          <t>TENDU</t>
        </is>
      </c>
    </row>
    <row r="120">
      <c r="A120" s="8" t="inlineStr">
        <is>
          <t>E-05-04</t>
        </is>
      </c>
      <c r="B120" s="8" t="inlineStr">
        <is>
          <t>E</t>
        </is>
      </c>
      <c r="C120" s="10" t="n">
        <v>5</v>
      </c>
      <c r="D120" s="10" t="n">
        <v>4</v>
      </c>
      <c r="E120" s="8" t="inlineStr">
        <is>
          <t>Rack palette</t>
        </is>
      </c>
      <c r="F120" s="10" t="n">
        <v>3500</v>
      </c>
      <c r="G120" s="10" t="n">
        <v>2579</v>
      </c>
      <c r="H120" s="10" t="n">
        <v>921</v>
      </c>
      <c r="I120" s="10" t="n">
        <v>20</v>
      </c>
      <c r="J120" s="8" t="inlineStr">
        <is>
          <t>DISPONIBLE</t>
        </is>
      </c>
    </row>
    <row r="121">
      <c r="A121" s="7" t="inlineStr">
        <is>
          <t>E-06-01</t>
        </is>
      </c>
      <c r="B121" s="7" t="inlineStr">
        <is>
          <t>E</t>
        </is>
      </c>
      <c r="C121" s="9" t="n">
        <v>6</v>
      </c>
      <c r="D121" s="9" t="n">
        <v>1</v>
      </c>
      <c r="E121" s="7" t="inlineStr">
        <is>
          <t>Rack palette</t>
        </is>
      </c>
      <c r="F121" s="9" t="n">
        <v>2000</v>
      </c>
      <c r="G121" s="9" t="n">
        <v>831</v>
      </c>
      <c r="H121" s="9" t="n">
        <v>1169</v>
      </c>
      <c r="I121" s="9" t="n">
        <v>9</v>
      </c>
      <c r="J121" s="7" t="inlineStr">
        <is>
          <t>DISPONIBLE</t>
        </is>
      </c>
    </row>
    <row r="122">
      <c r="A122" s="8" t="inlineStr">
        <is>
          <t>E-06-02</t>
        </is>
      </c>
      <c r="B122" s="8" t="inlineStr">
        <is>
          <t>E</t>
        </is>
      </c>
      <c r="C122" s="10" t="n">
        <v>6</v>
      </c>
      <c r="D122" s="10" t="n">
        <v>2</v>
      </c>
      <c r="E122" s="8" t="inlineStr">
        <is>
          <t>Rack palette</t>
        </is>
      </c>
      <c r="F122" s="10" t="n">
        <v>2000</v>
      </c>
      <c r="G122" s="10" t="n">
        <v>1182</v>
      </c>
      <c r="H122" s="10" t="n">
        <v>818</v>
      </c>
      <c r="I122" s="10" t="n">
        <v>12</v>
      </c>
      <c r="J122" s="8" t="inlineStr">
        <is>
          <t>DISPONIBLE</t>
        </is>
      </c>
    </row>
    <row r="123">
      <c r="A123" s="7" t="inlineStr">
        <is>
          <t>E-06-03</t>
        </is>
      </c>
      <c r="B123" s="7" t="inlineStr">
        <is>
          <t>E</t>
        </is>
      </c>
      <c r="C123" s="9" t="n">
        <v>6</v>
      </c>
      <c r="D123" s="9" t="n">
        <v>3</v>
      </c>
      <c r="E123" s="7" t="inlineStr">
        <is>
          <t>Rack palette</t>
        </is>
      </c>
      <c r="F123" s="9" t="n">
        <v>2000</v>
      </c>
      <c r="G123" s="9" t="n">
        <v>980</v>
      </c>
      <c r="H123" s="9" t="n">
        <v>1020</v>
      </c>
      <c r="I123" s="9" t="n">
        <v>8</v>
      </c>
      <c r="J123" s="7" t="inlineStr">
        <is>
          <t>DISPONIBLE</t>
        </is>
      </c>
    </row>
    <row r="124">
      <c r="A124" s="8" t="inlineStr">
        <is>
          <t>E-06-04</t>
        </is>
      </c>
      <c r="B124" s="8" t="inlineStr">
        <is>
          <t>E</t>
        </is>
      </c>
      <c r="C124" s="10" t="n">
        <v>6</v>
      </c>
      <c r="D124" s="10" t="n">
        <v>4</v>
      </c>
      <c r="E124" s="8" t="inlineStr">
        <is>
          <t>Rack palette</t>
        </is>
      </c>
      <c r="F124" s="10" t="n">
        <v>2500</v>
      </c>
      <c r="G124" s="10" t="n">
        <v>1579</v>
      </c>
      <c r="H124" s="10" t="n">
        <v>921</v>
      </c>
      <c r="I124" s="10" t="n">
        <v>14</v>
      </c>
      <c r="J124" s="8" t="inlineStr">
        <is>
          <t>DISPONIBLE</t>
        </is>
      </c>
    </row>
    <row r="125">
      <c r="A125" s="7" t="inlineStr">
        <is>
          <t>F-01-01</t>
        </is>
      </c>
      <c r="B125" s="7" t="inlineStr">
        <is>
          <t>F</t>
        </is>
      </c>
      <c r="C125" s="9" t="n">
        <v>1</v>
      </c>
      <c r="D125" s="9" t="n">
        <v>1</v>
      </c>
      <c r="E125" s="7" t="inlineStr">
        <is>
          <t>Rack palette</t>
        </is>
      </c>
      <c r="F125" s="9" t="n">
        <v>2500</v>
      </c>
      <c r="G125" s="9" t="n">
        <v>1571</v>
      </c>
      <c r="H125" s="9" t="n">
        <v>929</v>
      </c>
      <c r="I125" s="9" t="n">
        <v>12</v>
      </c>
      <c r="J125" s="7" t="inlineStr">
        <is>
          <t>DISPONIBLE</t>
        </is>
      </c>
    </row>
    <row r="126">
      <c r="A126" s="8" t="inlineStr">
        <is>
          <t>F-01-02</t>
        </is>
      </c>
      <c r="B126" s="8" t="inlineStr">
        <is>
          <t>F</t>
        </is>
      </c>
      <c r="C126" s="10" t="n">
        <v>1</v>
      </c>
      <c r="D126" s="10" t="n">
        <v>2</v>
      </c>
      <c r="E126" s="8" t="inlineStr">
        <is>
          <t>Rack palette</t>
        </is>
      </c>
      <c r="F126" s="10" t="n">
        <v>2000</v>
      </c>
      <c r="G126" s="10" t="n">
        <v>1188</v>
      </c>
      <c r="H126" s="10" t="n">
        <v>812</v>
      </c>
      <c r="I126" s="10" t="n">
        <v>11</v>
      </c>
      <c r="J126" s="8" t="inlineStr">
        <is>
          <t>DISPONIBLE</t>
        </is>
      </c>
    </row>
    <row r="127">
      <c r="A127" s="7" t="inlineStr">
        <is>
          <t>F-01-03</t>
        </is>
      </c>
      <c r="B127" s="7" t="inlineStr">
        <is>
          <t>F</t>
        </is>
      </c>
      <c r="C127" s="9" t="n">
        <v>1</v>
      </c>
      <c r="D127" s="9" t="n">
        <v>3</v>
      </c>
      <c r="E127" s="7" t="inlineStr">
        <is>
          <t>Rack palette</t>
        </is>
      </c>
      <c r="F127" s="9" t="n">
        <v>2500</v>
      </c>
      <c r="G127" s="9" t="n">
        <v>1530</v>
      </c>
      <c r="H127" s="9" t="n">
        <v>970</v>
      </c>
      <c r="I127" s="9" t="n">
        <v>13</v>
      </c>
      <c r="J127" s="7" t="inlineStr">
        <is>
          <t>DISPONIBLE</t>
        </is>
      </c>
    </row>
    <row r="128">
      <c r="A128" s="8" t="inlineStr">
        <is>
          <t>F-01-04</t>
        </is>
      </c>
      <c r="B128" s="8" t="inlineStr">
        <is>
          <t>F</t>
        </is>
      </c>
      <c r="C128" s="10" t="n">
        <v>1</v>
      </c>
      <c r="D128" s="10" t="n">
        <v>4</v>
      </c>
      <c r="E128" s="8" t="inlineStr">
        <is>
          <t>Rack palette</t>
        </is>
      </c>
      <c r="F128" s="10" t="n">
        <v>2500</v>
      </c>
      <c r="G128" s="10" t="n">
        <v>1529</v>
      </c>
      <c r="H128" s="10" t="n">
        <v>971</v>
      </c>
      <c r="I128" s="10" t="n">
        <v>11</v>
      </c>
      <c r="J128" s="8" t="inlineStr">
        <is>
          <t>DISPONIBLE</t>
        </is>
      </c>
    </row>
    <row r="129">
      <c r="A129" s="7" t="inlineStr">
        <is>
          <t>F-02-01</t>
        </is>
      </c>
      <c r="B129" s="7" t="inlineStr">
        <is>
          <t>F</t>
        </is>
      </c>
      <c r="C129" s="9" t="n">
        <v>2</v>
      </c>
      <c r="D129" s="9" t="n">
        <v>1</v>
      </c>
      <c r="E129" s="7" t="inlineStr">
        <is>
          <t>Rack palette</t>
        </is>
      </c>
      <c r="F129" s="9" t="n">
        <v>4000</v>
      </c>
      <c r="G129" s="9" t="n">
        <v>3434</v>
      </c>
      <c r="H129" s="9" t="n">
        <v>566</v>
      </c>
      <c r="I129" s="9" t="n">
        <v>22</v>
      </c>
      <c r="J129" s="7" t="inlineStr">
        <is>
          <t>TENDU</t>
        </is>
      </c>
    </row>
    <row r="130">
      <c r="A130" s="8" t="inlineStr">
        <is>
          <t>F-02-02</t>
        </is>
      </c>
      <c r="B130" s="8" t="inlineStr">
        <is>
          <t>F</t>
        </is>
      </c>
      <c r="C130" s="10" t="n">
        <v>2</v>
      </c>
      <c r="D130" s="10" t="n">
        <v>2</v>
      </c>
      <c r="E130" s="8" t="inlineStr">
        <is>
          <t>Rack palette</t>
        </is>
      </c>
      <c r="F130" s="10" t="n">
        <v>2500</v>
      </c>
      <c r="G130" s="10" t="n">
        <v>1893</v>
      </c>
      <c r="H130" s="10" t="n">
        <v>607</v>
      </c>
      <c r="I130" s="10" t="n">
        <v>13</v>
      </c>
      <c r="J130" s="8" t="inlineStr">
        <is>
          <t>TENDU</t>
        </is>
      </c>
    </row>
    <row r="131">
      <c r="A131" s="7" t="inlineStr">
        <is>
          <t>F-02-03</t>
        </is>
      </c>
      <c r="B131" s="7" t="inlineStr">
        <is>
          <t>F</t>
        </is>
      </c>
      <c r="C131" s="9" t="n">
        <v>2</v>
      </c>
      <c r="D131" s="9" t="n">
        <v>3</v>
      </c>
      <c r="E131" s="7" t="inlineStr">
        <is>
          <t>Rack palette</t>
        </is>
      </c>
      <c r="F131" s="9" t="n">
        <v>3000</v>
      </c>
      <c r="G131" s="9" t="n">
        <v>2220</v>
      </c>
      <c r="H131" s="9" t="n">
        <v>780</v>
      </c>
      <c r="I131" s="9" t="n">
        <v>19</v>
      </c>
      <c r="J131" s="7" t="inlineStr">
        <is>
          <t>DISPONIBLE</t>
        </is>
      </c>
    </row>
    <row r="132">
      <c r="A132" s="8" t="inlineStr">
        <is>
          <t>F-02-04</t>
        </is>
      </c>
      <c r="B132" s="8" t="inlineStr">
        <is>
          <t>F</t>
        </is>
      </c>
      <c r="C132" s="10" t="n">
        <v>2</v>
      </c>
      <c r="D132" s="10" t="n">
        <v>4</v>
      </c>
      <c r="E132" s="8" t="inlineStr">
        <is>
          <t>Rack palette</t>
        </is>
      </c>
      <c r="F132" s="10" t="n">
        <v>3500</v>
      </c>
      <c r="G132" s="10" t="n">
        <v>2633</v>
      </c>
      <c r="H132" s="10" t="n">
        <v>867</v>
      </c>
      <c r="I132" s="10" t="n">
        <v>13</v>
      </c>
      <c r="J132" s="8" t="inlineStr">
        <is>
          <t>TENDU</t>
        </is>
      </c>
    </row>
    <row r="133">
      <c r="A133" s="7" t="inlineStr">
        <is>
          <t>F-03-01</t>
        </is>
      </c>
      <c r="B133" s="7" t="inlineStr">
        <is>
          <t>F</t>
        </is>
      </c>
      <c r="C133" s="9" t="n">
        <v>3</v>
      </c>
      <c r="D133" s="9" t="n">
        <v>1</v>
      </c>
      <c r="E133" s="7" t="inlineStr">
        <is>
          <t>Rack palette</t>
        </is>
      </c>
      <c r="F133" s="9" t="n">
        <v>2500</v>
      </c>
      <c r="G133" s="9" t="n">
        <v>1831</v>
      </c>
      <c r="H133" s="9" t="n">
        <v>669</v>
      </c>
      <c r="I133" s="9" t="n">
        <v>11</v>
      </c>
      <c r="J133" s="7" t="inlineStr">
        <is>
          <t>DISPONIBLE</t>
        </is>
      </c>
    </row>
    <row r="134">
      <c r="A134" s="8" t="inlineStr">
        <is>
          <t>F-03-02</t>
        </is>
      </c>
      <c r="B134" s="8" t="inlineStr">
        <is>
          <t>F</t>
        </is>
      </c>
      <c r="C134" s="10" t="n">
        <v>3</v>
      </c>
      <c r="D134" s="10" t="n">
        <v>2</v>
      </c>
      <c r="E134" s="8" t="inlineStr">
        <is>
          <t>Rack palette</t>
        </is>
      </c>
      <c r="F134" s="10" t="n">
        <v>3000</v>
      </c>
      <c r="G134" s="10" t="n">
        <v>2099</v>
      </c>
      <c r="H134" s="10" t="n">
        <v>901</v>
      </c>
      <c r="I134" s="10" t="n">
        <v>14</v>
      </c>
      <c r="J134" s="8" t="inlineStr">
        <is>
          <t>DISPONIBLE</t>
        </is>
      </c>
    </row>
    <row r="135">
      <c r="A135" s="7" t="inlineStr">
        <is>
          <t>F-03-03</t>
        </is>
      </c>
      <c r="B135" s="7" t="inlineStr">
        <is>
          <t>F</t>
        </is>
      </c>
      <c r="C135" s="9" t="n">
        <v>3</v>
      </c>
      <c r="D135" s="9" t="n">
        <v>3</v>
      </c>
      <c r="E135" s="7" t="inlineStr">
        <is>
          <t>Rack palette</t>
        </is>
      </c>
      <c r="F135" s="9" t="n">
        <v>2000</v>
      </c>
      <c r="G135" s="9" t="n">
        <v>705</v>
      </c>
      <c r="H135" s="9" t="n">
        <v>1295</v>
      </c>
      <c r="I135" s="9" t="n">
        <v>6</v>
      </c>
      <c r="J135" s="7" t="inlineStr">
        <is>
          <t>DISPONIBLE</t>
        </is>
      </c>
    </row>
    <row r="136">
      <c r="A136" s="8" t="inlineStr">
        <is>
          <t>F-03-04</t>
        </is>
      </c>
      <c r="B136" s="8" t="inlineStr">
        <is>
          <t>F</t>
        </is>
      </c>
      <c r="C136" s="10" t="n">
        <v>3</v>
      </c>
      <c r="D136" s="10" t="n">
        <v>4</v>
      </c>
      <c r="E136" s="8" t="inlineStr">
        <is>
          <t>Rack palette</t>
        </is>
      </c>
      <c r="F136" s="10" t="n">
        <v>2000</v>
      </c>
      <c r="G136" s="10" t="n">
        <v>1109</v>
      </c>
      <c r="H136" s="10" t="n">
        <v>891</v>
      </c>
      <c r="I136" s="10" t="n">
        <v>9</v>
      </c>
      <c r="J136" s="8" t="inlineStr">
        <is>
          <t>DISPONIBLE</t>
        </is>
      </c>
    </row>
    <row r="137">
      <c r="A137" s="7" t="inlineStr">
        <is>
          <t>F-04-01</t>
        </is>
      </c>
      <c r="B137" s="7" t="inlineStr">
        <is>
          <t>F</t>
        </is>
      </c>
      <c r="C137" s="9" t="n">
        <v>4</v>
      </c>
      <c r="D137" s="9" t="n">
        <v>1</v>
      </c>
      <c r="E137" s="7" t="inlineStr">
        <is>
          <t>Rack palette</t>
        </is>
      </c>
      <c r="F137" s="9" t="n">
        <v>2000</v>
      </c>
      <c r="G137" s="9" t="n">
        <v>1063</v>
      </c>
      <c r="H137" s="9" t="n">
        <v>937</v>
      </c>
      <c r="I137" s="9" t="n">
        <v>10</v>
      </c>
      <c r="J137" s="7" t="inlineStr">
        <is>
          <t>DISPONIBLE</t>
        </is>
      </c>
    </row>
    <row r="138">
      <c r="A138" s="8" t="inlineStr">
        <is>
          <t>F-04-02</t>
        </is>
      </c>
      <c r="B138" s="8" t="inlineStr">
        <is>
          <t>F</t>
        </is>
      </c>
      <c r="C138" s="10" t="n">
        <v>4</v>
      </c>
      <c r="D138" s="10" t="n">
        <v>2</v>
      </c>
      <c r="E138" s="8" t="inlineStr">
        <is>
          <t>Rack palette</t>
        </is>
      </c>
      <c r="F138" s="10" t="n">
        <v>2500</v>
      </c>
      <c r="G138" s="10" t="n">
        <v>1900</v>
      </c>
      <c r="H138" s="10" t="n">
        <v>600</v>
      </c>
      <c r="I138" s="10" t="n">
        <v>18</v>
      </c>
      <c r="J138" s="8" t="inlineStr">
        <is>
          <t>TENDU</t>
        </is>
      </c>
    </row>
    <row r="139">
      <c r="A139" s="7" t="inlineStr">
        <is>
          <t>F-04-03</t>
        </is>
      </c>
      <c r="B139" s="7" t="inlineStr">
        <is>
          <t>F</t>
        </is>
      </c>
      <c r="C139" s="9" t="n">
        <v>4</v>
      </c>
      <c r="D139" s="9" t="n">
        <v>3</v>
      </c>
      <c r="E139" s="7" t="inlineStr">
        <is>
          <t>Rack palette</t>
        </is>
      </c>
      <c r="F139" s="9" t="n">
        <v>2000</v>
      </c>
      <c r="G139" s="9" t="n">
        <v>1125</v>
      </c>
      <c r="H139" s="9" t="n">
        <v>875</v>
      </c>
      <c r="I139" s="9" t="n">
        <v>10</v>
      </c>
      <c r="J139" s="7" t="inlineStr">
        <is>
          <t>DISPONIBLE</t>
        </is>
      </c>
    </row>
    <row r="140">
      <c r="A140" s="8" t="inlineStr">
        <is>
          <t>F-04-04</t>
        </is>
      </c>
      <c r="B140" s="8" t="inlineStr">
        <is>
          <t>F</t>
        </is>
      </c>
      <c r="C140" s="10" t="n">
        <v>4</v>
      </c>
      <c r="D140" s="10" t="n">
        <v>4</v>
      </c>
      <c r="E140" s="8" t="inlineStr">
        <is>
          <t>Rack palette</t>
        </is>
      </c>
      <c r="F140" s="10" t="n">
        <v>2500</v>
      </c>
      <c r="G140" s="10" t="n">
        <v>1622</v>
      </c>
      <c r="H140" s="10" t="n">
        <v>878</v>
      </c>
      <c r="I140" s="10" t="n">
        <v>17</v>
      </c>
      <c r="J140" s="8" t="inlineStr">
        <is>
          <t>DISPONIBLE</t>
        </is>
      </c>
    </row>
    <row r="141">
      <c r="A141" s="7" t="inlineStr">
        <is>
          <t>F-05-01</t>
        </is>
      </c>
      <c r="B141" s="7" t="inlineStr">
        <is>
          <t>F</t>
        </is>
      </c>
      <c r="C141" s="9" t="n">
        <v>5</v>
      </c>
      <c r="D141" s="9" t="n">
        <v>1</v>
      </c>
      <c r="E141" s="7" t="inlineStr">
        <is>
          <t>Rack palette</t>
        </is>
      </c>
      <c r="F141" s="9" t="n">
        <v>2500</v>
      </c>
      <c r="G141" s="9" t="n">
        <v>1851</v>
      </c>
      <c r="H141" s="9" t="n">
        <v>649</v>
      </c>
      <c r="I141" s="9" t="n">
        <v>17</v>
      </c>
      <c r="J141" s="7" t="inlineStr">
        <is>
          <t>DISPONIBLE</t>
        </is>
      </c>
    </row>
    <row r="142">
      <c r="A142" s="8" t="inlineStr">
        <is>
          <t>F-05-02</t>
        </is>
      </c>
      <c r="B142" s="8" t="inlineStr">
        <is>
          <t>F</t>
        </is>
      </c>
      <c r="C142" s="10" t="n">
        <v>5</v>
      </c>
      <c r="D142" s="10" t="n">
        <v>2</v>
      </c>
      <c r="E142" s="8" t="inlineStr">
        <is>
          <t>Rack palette</t>
        </is>
      </c>
      <c r="F142" s="10" t="n">
        <v>2500</v>
      </c>
      <c r="G142" s="10" t="n">
        <v>1795</v>
      </c>
      <c r="H142" s="10" t="n">
        <v>705</v>
      </c>
      <c r="I142" s="10" t="n">
        <v>15</v>
      </c>
      <c r="J142" s="8" t="inlineStr">
        <is>
          <t>DISPONIBLE</t>
        </is>
      </c>
    </row>
    <row r="143">
      <c r="A143" s="7" t="inlineStr">
        <is>
          <t>F-05-03</t>
        </is>
      </c>
      <c r="B143" s="7" t="inlineStr">
        <is>
          <t>F</t>
        </is>
      </c>
      <c r="C143" s="9" t="n">
        <v>5</v>
      </c>
      <c r="D143" s="9" t="n">
        <v>3</v>
      </c>
      <c r="E143" s="7" t="inlineStr">
        <is>
          <t>Rack palette</t>
        </is>
      </c>
      <c r="F143" s="9" t="n">
        <v>2000</v>
      </c>
      <c r="G143" s="9" t="n">
        <v>1348</v>
      </c>
      <c r="H143" s="9" t="n">
        <v>652</v>
      </c>
      <c r="I143" s="9" t="n">
        <v>10</v>
      </c>
      <c r="J143" s="7" t="inlineStr">
        <is>
          <t>DISPONIBLE</t>
        </is>
      </c>
    </row>
    <row r="144">
      <c r="A144" s="8" t="inlineStr">
        <is>
          <t>F-05-04</t>
        </is>
      </c>
      <c r="B144" s="8" t="inlineStr">
        <is>
          <t>F</t>
        </is>
      </c>
      <c r="C144" s="10" t="n">
        <v>5</v>
      </c>
      <c r="D144" s="10" t="n">
        <v>4</v>
      </c>
      <c r="E144" s="8" t="inlineStr">
        <is>
          <t>Rack palette</t>
        </is>
      </c>
      <c r="F144" s="10" t="n">
        <v>2000</v>
      </c>
      <c r="G144" s="10" t="n">
        <v>720</v>
      </c>
      <c r="H144" s="10" t="n">
        <v>1280</v>
      </c>
      <c r="I144" s="10" t="n">
        <v>10</v>
      </c>
      <c r="J144" s="8" t="inlineStr">
        <is>
          <t>DISPONIBLE</t>
        </is>
      </c>
    </row>
    <row r="145">
      <c r="A145" s="7" t="inlineStr">
        <is>
          <t>F-06-01</t>
        </is>
      </c>
      <c r="B145" s="7" t="inlineStr">
        <is>
          <t>F</t>
        </is>
      </c>
      <c r="C145" s="9" t="n">
        <v>6</v>
      </c>
      <c r="D145" s="9" t="n">
        <v>1</v>
      </c>
      <c r="E145" s="7" t="inlineStr">
        <is>
          <t>Rack palette</t>
        </is>
      </c>
      <c r="F145" s="9" t="n">
        <v>5000</v>
      </c>
      <c r="G145" s="9" t="n">
        <v>4292</v>
      </c>
      <c r="H145" s="9" t="n">
        <v>708</v>
      </c>
      <c r="I145" s="9" t="n">
        <v>34</v>
      </c>
      <c r="J145" s="7" t="inlineStr">
        <is>
          <t>TENDU</t>
        </is>
      </c>
    </row>
    <row r="146">
      <c r="A146" s="8" t="inlineStr">
        <is>
          <t>F-06-02</t>
        </is>
      </c>
      <c r="B146" s="8" t="inlineStr">
        <is>
          <t>F</t>
        </is>
      </c>
      <c r="C146" s="10" t="n">
        <v>6</v>
      </c>
      <c r="D146" s="10" t="n">
        <v>2</v>
      </c>
      <c r="E146" s="8" t="inlineStr">
        <is>
          <t>Rack palette</t>
        </is>
      </c>
      <c r="F146" s="10" t="n">
        <v>3000</v>
      </c>
      <c r="G146" s="10" t="n">
        <v>2037</v>
      </c>
      <c r="H146" s="10" t="n">
        <v>963</v>
      </c>
      <c r="I146" s="10" t="n">
        <v>25</v>
      </c>
      <c r="J146" s="8" t="inlineStr">
        <is>
          <t>DISPONIBLE</t>
        </is>
      </c>
    </row>
    <row r="147">
      <c r="A147" s="7" t="inlineStr">
        <is>
          <t>F-06-03</t>
        </is>
      </c>
      <c r="B147" s="7" t="inlineStr">
        <is>
          <t>F</t>
        </is>
      </c>
      <c r="C147" s="9" t="n">
        <v>6</v>
      </c>
      <c r="D147" s="9" t="n">
        <v>3</v>
      </c>
      <c r="E147" s="7" t="inlineStr">
        <is>
          <t>Rack palette</t>
        </is>
      </c>
      <c r="F147" s="9" t="n">
        <v>4000</v>
      </c>
      <c r="G147" s="9" t="n">
        <v>3371</v>
      </c>
      <c r="H147" s="9" t="n">
        <v>629</v>
      </c>
      <c r="I147" s="9" t="n">
        <v>27</v>
      </c>
      <c r="J147" s="7" t="inlineStr">
        <is>
          <t>TENDU</t>
        </is>
      </c>
    </row>
    <row r="148">
      <c r="A148" s="8" t="inlineStr">
        <is>
          <t>F-06-04</t>
        </is>
      </c>
      <c r="B148" s="8" t="inlineStr">
        <is>
          <t>F</t>
        </is>
      </c>
      <c r="C148" s="10" t="n">
        <v>6</v>
      </c>
      <c r="D148" s="10" t="n">
        <v>4</v>
      </c>
      <c r="E148" s="8" t="inlineStr">
        <is>
          <t>Rack palette</t>
        </is>
      </c>
      <c r="F148" s="10" t="n">
        <v>4000</v>
      </c>
      <c r="G148" s="10" t="n">
        <v>3235</v>
      </c>
      <c r="H148" s="10" t="n">
        <v>765</v>
      </c>
      <c r="I148" s="10" t="n">
        <v>27</v>
      </c>
      <c r="J148" s="8" t="inlineStr">
        <is>
          <t>TENDU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autoFilter ref="A4:J148"/>
  <mergeCells count="2">
    <mergeCell ref="A1:J1"/>
    <mergeCell ref="A2:J2"/>
  </mergeCells>
  <pageMargins left="0.75" right="0.75" top="1" bottom="1" header="0.5" footer="0.5"/>
</worksheet>
</file>

<file path=xl/worksheets/sheet14.xml><?xml version="1.0" encoding="utf-8"?>
<worksheet xmlns="http://schemas.openxmlformats.org/spreadsheetml/2006/main">
  <sheetPr>
    <outlinePr summaryBelow="1" summaryRight="1"/>
    <pageSetUpPr/>
  </sheetPr>
  <dimension ref="A1:K5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8" customWidth="1" min="1" max="1"/>
    <col width="22" customWidth="1" min="2" max="2"/>
    <col width="20" customWidth="1" min="3" max="3"/>
    <col width="20" customWidth="1" min="4" max="4"/>
    <col width="12" customWidth="1" min="5" max="5"/>
    <col width="10" customWidth="1" min="6" max="6"/>
    <col width="24" customWidth="1" min="7" max="7"/>
    <col width="24" customWidth="1" min="8" max="8"/>
    <col width="34" customWidth="1" min="9" max="9"/>
    <col width="18" customWidth="1" min="10" max="10"/>
    <col width="18" customWidth="1" min="11" max="11"/>
  </cols>
  <sheetData>
    <row r="1" ht="22" customHeight="1">
      <c r="A1" s="1" t="inlineStr">
        <is>
          <t>HISTORIQUE</t>
        </is>
      </c>
    </row>
    <row r="2">
      <c r="A2" s="2" t="inlineStr">
        <is>
          <t>Journal des actions, ecrit par les macros et jamais efface automatiquement.</t>
        </is>
      </c>
    </row>
    <row r="3" ht="6" customHeight="1"/>
    <row r="4" ht="28" customHeight="1">
      <c r="A4" s="6" t="inlineStr">
        <is>
          <t>ID_ENREGISTREMENT</t>
        </is>
      </c>
      <c r="B4" s="6" t="inlineStr">
        <is>
          <t>ACTION</t>
        </is>
      </c>
      <c r="C4" s="6" t="inlineStr">
        <is>
          <t>MATRICULE_OPERATEUR</t>
        </is>
      </c>
      <c r="D4" s="6" t="inlineStr">
        <is>
          <t>MATRICULE_CHECKER</t>
        </is>
      </c>
      <c r="E4" s="6" t="inlineStr">
        <is>
          <t>DATE</t>
        </is>
      </c>
      <c r="F4" s="6" t="inlineStr">
        <is>
          <t>HEURE</t>
        </is>
      </c>
      <c r="G4" s="6" t="inlineStr">
        <is>
          <t>STATUT_AVANT</t>
        </is>
      </c>
      <c r="H4" s="6" t="inlineStr">
        <is>
          <t>STATUT_APRES</t>
        </is>
      </c>
      <c r="I4" s="6" t="inlineStr">
        <is>
          <t>MOTIF</t>
        </is>
      </c>
      <c r="J4" s="6" t="inlineStr">
        <is>
          <t>FEUILLE_SOURCE</t>
        </is>
      </c>
      <c r="K4" s="6" t="inlineStr">
        <is>
          <t>SESSION_WINDOWS</t>
        </is>
      </c>
    </row>
    <row r="5"/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2">
    <mergeCell ref="A2:K2"/>
    <mergeCell ref="A1:K1"/>
  </mergeCells>
  <pageMargins left="0.75" right="0.75" top="1" bottom="1" header="0.5" footer="0.5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H52"/>
  <sheetViews>
    <sheetView workbookViewId="0">
      <selection activeCell="A1" sqref="A1"/>
    </sheetView>
  </sheetViews>
  <sheetFormatPr baseColWidth="8" defaultRowHeight="15"/>
  <sheetData>
    <row r="1">
      <c r="A1" s="20" t="inlineStr">
        <is>
          <t>DEMANDES</t>
        </is>
      </c>
      <c r="B1" s="20" t="inlineStr">
        <is>
          <t>FOURNISSEURS</t>
        </is>
      </c>
      <c r="C1" s="20" t="inlineStr">
        <is>
          <t>LOTS_INSPECTION</t>
        </is>
      </c>
      <c r="D1" s="20" t="inlineStr">
        <is>
          <t>LOTS_QUALITE</t>
        </is>
      </c>
      <c r="E1" s="20" t="inlineStr">
        <is>
          <t>LOTS_RED_CAGE</t>
        </is>
      </c>
      <c r="F1" s="20" t="inlineStr">
        <is>
          <t>LOTS_WAREHOUSE</t>
        </is>
      </c>
      <c r="G1" s="20" t="inlineStr">
        <is>
          <t>MATRICULES</t>
        </is>
      </c>
      <c r="H1" s="20" t="inlineStr">
        <is>
          <t>STATIONS</t>
        </is>
      </c>
    </row>
    <row r="2">
      <c r="A2" t="inlineStr">
        <is>
          <t>PR-2026-005</t>
        </is>
      </c>
      <c r="B2" t="inlineStr">
        <is>
          <t>BOS</t>
        </is>
      </c>
      <c r="C2" t="inlineStr">
        <is>
          <t>LOT-2026-009</t>
        </is>
      </c>
      <c r="D2" t="inlineStr">
        <is>
          <t>LOT-2026-010</t>
        </is>
      </c>
      <c r="E2" t="inlineStr">
        <is>
          <t>LOT-2026-013</t>
        </is>
      </c>
      <c r="F2" t="inlineStr">
        <is>
          <t>LOT-2026-012</t>
        </is>
      </c>
      <c r="G2" t="inlineStr">
        <is>
          <t>LM-001</t>
        </is>
      </c>
      <c r="H2" t="inlineStr">
        <is>
          <t>ST-01</t>
        </is>
      </c>
    </row>
    <row r="3">
      <c r="A3" t="inlineStr">
        <is>
          <t>PR-2026-006</t>
        </is>
      </c>
      <c r="B3" t="inlineStr">
        <is>
          <t>CTL</t>
        </is>
      </c>
      <c r="C3" t="inlineStr">
        <is>
          <t>LOT-2026-010</t>
        </is>
      </c>
      <c r="D3" t="inlineStr">
        <is>
          <t>LOT-2026-011</t>
        </is>
      </c>
      <c r="E3" t="inlineStr">
        <is>
          <t>LOT-2026-014</t>
        </is>
      </c>
      <c r="F3" t="inlineStr">
        <is>
          <t>LOT-2026-026</t>
        </is>
      </c>
      <c r="G3" t="inlineStr">
        <is>
          <t>LM-002</t>
        </is>
      </c>
      <c r="H3" t="inlineStr">
        <is>
          <t>ST-02</t>
        </is>
      </c>
    </row>
    <row r="4">
      <c r="A4" t="inlineStr">
        <is>
          <t>PR-2026-007</t>
        </is>
      </c>
      <c r="B4" t="inlineStr">
        <is>
          <t>DEL</t>
        </is>
      </c>
      <c r="C4" t="inlineStr">
        <is>
          <t>LOT-2026-017</t>
        </is>
      </c>
      <c r="D4" t="inlineStr">
        <is>
          <t>LOT-2026-027</t>
        </is>
      </c>
      <c r="E4" t="inlineStr">
        <is>
          <t>LOT-2026-019</t>
        </is>
      </c>
      <c r="F4" t="inlineStr">
        <is>
          <t>LOT-2026-050</t>
        </is>
      </c>
      <c r="G4" t="inlineStr">
        <is>
          <t>OP-1042</t>
        </is>
      </c>
      <c r="H4" t="inlineStr">
        <is>
          <t>ST-03</t>
        </is>
      </c>
    </row>
    <row r="5">
      <c r="A5" t="inlineStr">
        <is>
          <t>PR-2026-008</t>
        </is>
      </c>
      <c r="B5" t="inlineStr">
        <is>
          <t>FAU</t>
        </is>
      </c>
      <c r="C5" t="inlineStr">
        <is>
          <t>LOT-2026-023</t>
        </is>
      </c>
      <c r="D5" t="inlineStr">
        <is>
          <t>LOT-2026-028</t>
        </is>
      </c>
      <c r="E5" t="inlineStr">
        <is>
          <t>LOT-2026-021</t>
        </is>
      </c>
      <c r="F5" t="inlineStr">
        <is>
          <t>LOT-2026-054</t>
        </is>
      </c>
      <c r="G5" t="inlineStr">
        <is>
          <t>OP-1051</t>
        </is>
      </c>
      <c r="H5" t="inlineStr">
        <is>
          <t>ST-04</t>
        </is>
      </c>
    </row>
    <row r="6">
      <c r="A6" t="inlineStr">
        <is>
          <t>PR-2026-009</t>
        </is>
      </c>
      <c r="B6" t="inlineStr">
        <is>
          <t>HEL</t>
        </is>
      </c>
      <c r="C6" t="inlineStr">
        <is>
          <t>LOT-2026-025</t>
        </is>
      </c>
      <c r="D6" t="inlineStr">
        <is>
          <t>LOT-2026-033</t>
        </is>
      </c>
      <c r="E6" t="inlineStr">
        <is>
          <t>LOT-2026-029</t>
        </is>
      </c>
      <c r="F6" t="inlineStr">
        <is>
          <t>LOT-2026-098</t>
        </is>
      </c>
      <c r="G6" t="inlineStr">
        <is>
          <t>OP-1063</t>
        </is>
      </c>
      <c r="H6" t="inlineStr">
        <is>
          <t>ST-05</t>
        </is>
      </c>
    </row>
    <row r="7">
      <c r="A7" t="inlineStr">
        <is>
          <t>PR-2026-012</t>
        </is>
      </c>
      <c r="B7" t="inlineStr">
        <is>
          <t>MAG</t>
        </is>
      </c>
      <c r="C7" t="inlineStr">
        <is>
          <t>LOT-2026-027</t>
        </is>
      </c>
      <c r="D7" t="inlineStr">
        <is>
          <t>LOT-2026-037</t>
        </is>
      </c>
      <c r="E7" t="inlineStr">
        <is>
          <t>LOT-2026-035</t>
        </is>
      </c>
      <c r="F7" t="inlineStr">
        <is>
          <t>LOT-2026-181</t>
        </is>
      </c>
      <c r="G7" t="inlineStr">
        <is>
          <t>OP-1078</t>
        </is>
      </c>
      <c r="H7" t="inlineStr">
        <is>
          <t>ST-06</t>
        </is>
      </c>
    </row>
    <row r="8">
      <c r="A8" t="inlineStr">
        <is>
          <t>PR-2026-016</t>
        </is>
      </c>
      <c r="B8" t="inlineStr">
        <is>
          <t>SKF</t>
        </is>
      </c>
      <c r="C8" t="inlineStr">
        <is>
          <t>LOT-2026-031</t>
        </is>
      </c>
      <c r="D8" t="inlineStr">
        <is>
          <t>LOT-2026-041</t>
        </is>
      </c>
      <c r="E8" t="inlineStr">
        <is>
          <t>LOT-2026-073</t>
        </is>
      </c>
      <c r="F8" t="inlineStr">
        <is>
          <t>LOT-2026-212</t>
        </is>
      </c>
      <c r="G8" t="inlineStr">
        <is>
          <t>PM-001</t>
        </is>
      </c>
      <c r="H8" t="inlineStr">
        <is>
          <t>ST-07</t>
        </is>
      </c>
    </row>
    <row r="9">
      <c r="A9" t="inlineStr">
        <is>
          <t>PR-2026-017</t>
        </is>
      </c>
      <c r="B9" t="inlineStr">
        <is>
          <t>SUM</t>
        </is>
      </c>
      <c r="C9" t="inlineStr">
        <is>
          <t>LOT-2026-044</t>
        </is>
      </c>
      <c r="D9" t="inlineStr">
        <is>
          <t>LOT-2026-064</t>
        </is>
      </c>
      <c r="E9" t="inlineStr">
        <is>
          <t>LOT-2026-074</t>
        </is>
      </c>
      <c r="F9" t="inlineStr">
        <is>
          <t>LOT-2026-241</t>
        </is>
      </c>
      <c r="G9" t="inlineStr">
        <is>
          <t>PM-002</t>
        </is>
      </c>
      <c r="H9" t="inlineStr">
        <is>
          <t>ST-08</t>
        </is>
      </c>
    </row>
    <row r="10">
      <c r="A10" t="inlineStr">
        <is>
          <t>PR-2026-019</t>
        </is>
      </c>
      <c r="B10" t="inlineStr">
        <is>
          <t>VAL</t>
        </is>
      </c>
      <c r="C10" t="inlineStr">
        <is>
          <t>LOT-2026-048</t>
        </is>
      </c>
      <c r="D10" t="inlineStr">
        <is>
          <t>LOT-2026-083</t>
        </is>
      </c>
      <c r="E10" t="inlineStr">
        <is>
          <t>LOT-2026-078</t>
        </is>
      </c>
      <c r="F10" t="inlineStr">
        <is>
          <t>LOT-2026-252</t>
        </is>
      </c>
      <c r="G10" t="inlineStr">
        <is>
          <t>QL-1045</t>
        </is>
      </c>
    </row>
    <row r="11">
      <c r="A11" t="inlineStr">
        <is>
          <t>PR-2026-020</t>
        </is>
      </c>
      <c r="B11" t="inlineStr">
        <is>
          <t>YZK</t>
        </is>
      </c>
      <c r="C11" t="inlineStr">
        <is>
          <t>LOT-2026-049</t>
        </is>
      </c>
      <c r="D11" t="inlineStr">
        <is>
          <t>LOT-2026-119</t>
        </is>
      </c>
      <c r="E11" t="inlineStr">
        <is>
          <t>LOT-2026-081</t>
        </is>
      </c>
      <c r="G11" t="inlineStr">
        <is>
          <t>QL-1046</t>
        </is>
      </c>
    </row>
    <row r="12">
      <c r="A12" t="inlineStr">
        <is>
          <t>PR-2026-024</t>
        </is>
      </c>
      <c r="C12" t="inlineStr">
        <is>
          <t>LOT-2026-052</t>
        </is>
      </c>
      <c r="D12" t="inlineStr">
        <is>
          <t>LOT-2026-128</t>
        </is>
      </c>
      <c r="E12" t="inlineStr">
        <is>
          <t>LOT-2026-087</t>
        </is>
      </c>
      <c r="G12" t="inlineStr">
        <is>
          <t>QL-1052</t>
        </is>
      </c>
    </row>
    <row r="13">
      <c r="A13" t="inlineStr">
        <is>
          <t>PR-2026-030</t>
        </is>
      </c>
      <c r="C13" t="inlineStr">
        <is>
          <t>LOT-2026-062</t>
        </is>
      </c>
      <c r="D13" t="inlineStr">
        <is>
          <t>LOT-2026-130</t>
        </is>
      </c>
      <c r="E13" t="inlineStr">
        <is>
          <t>LOT-2026-088</t>
        </is>
      </c>
      <c r="G13" t="inlineStr">
        <is>
          <t>QL-1058</t>
        </is>
      </c>
    </row>
    <row r="14">
      <c r="A14" t="inlineStr">
        <is>
          <t>PR-2026-031</t>
        </is>
      </c>
      <c r="C14" t="inlineStr">
        <is>
          <t>LOT-2026-083</t>
        </is>
      </c>
      <c r="D14" t="inlineStr">
        <is>
          <t>LOT-2026-139</t>
        </is>
      </c>
      <c r="E14" t="inlineStr">
        <is>
          <t>LOT-2026-091</t>
        </is>
      </c>
      <c r="G14" t="inlineStr">
        <is>
          <t>QL-1064</t>
        </is>
      </c>
    </row>
    <row r="15">
      <c r="A15" t="inlineStr">
        <is>
          <t>PR-2026-037</t>
        </is>
      </c>
      <c r="C15" t="inlineStr">
        <is>
          <t>LOT-2026-092</t>
        </is>
      </c>
      <c r="D15" t="inlineStr">
        <is>
          <t>LOT-2026-177</t>
        </is>
      </c>
      <c r="E15" t="inlineStr">
        <is>
          <t>LOT-2026-094</t>
        </is>
      </c>
      <c r="G15" t="inlineStr">
        <is>
          <t>QM-002</t>
        </is>
      </c>
    </row>
    <row r="16">
      <c r="A16" t="inlineStr">
        <is>
          <t>PR-2026-038</t>
        </is>
      </c>
      <c r="C16" t="inlineStr">
        <is>
          <t>LOT-2026-095</t>
        </is>
      </c>
      <c r="D16" t="inlineStr">
        <is>
          <t>LOT-2026-183</t>
        </is>
      </c>
      <c r="E16" t="inlineStr">
        <is>
          <t>LOT-2026-105</t>
        </is>
      </c>
      <c r="G16" t="inlineStr">
        <is>
          <t>QM-003</t>
        </is>
      </c>
    </row>
    <row r="17">
      <c r="A17" t="inlineStr">
        <is>
          <t>PR-2026-039</t>
        </is>
      </c>
      <c r="C17" t="inlineStr">
        <is>
          <t>LOT-2026-110</t>
        </is>
      </c>
      <c r="D17" t="inlineStr">
        <is>
          <t>LOT-2026-184</t>
        </is>
      </c>
      <c r="E17" t="inlineStr">
        <is>
          <t>LOT-2026-109</t>
        </is>
      </c>
      <c r="G17" t="inlineStr">
        <is>
          <t>RM-004</t>
        </is>
      </c>
    </row>
    <row r="18">
      <c r="A18" t="inlineStr">
        <is>
          <t>PR-2026-042</t>
        </is>
      </c>
      <c r="C18" t="inlineStr">
        <is>
          <t>LOT-2026-125</t>
        </is>
      </c>
      <c r="D18" t="inlineStr">
        <is>
          <t>LOT-2026-185</t>
        </is>
      </c>
      <c r="E18" t="inlineStr">
        <is>
          <t>LOT-2026-138</t>
        </is>
      </c>
      <c r="G18" t="inlineStr">
        <is>
          <t>ST-012</t>
        </is>
      </c>
    </row>
    <row r="19">
      <c r="A19" t="inlineStr">
        <is>
          <t>PR-2026-044</t>
        </is>
      </c>
      <c r="C19" t="inlineStr">
        <is>
          <t>LOT-2026-128</t>
        </is>
      </c>
      <c r="D19" t="inlineStr">
        <is>
          <t>LOT-2026-222</t>
        </is>
      </c>
      <c r="E19" t="inlineStr">
        <is>
          <t>LOT-2026-151</t>
        </is>
      </c>
      <c r="G19" t="inlineStr">
        <is>
          <t>ST-021</t>
        </is>
      </c>
    </row>
    <row r="20">
      <c r="A20" t="inlineStr">
        <is>
          <t>PR-2026-046</t>
        </is>
      </c>
      <c r="C20" t="inlineStr">
        <is>
          <t>LOT-2026-164</t>
        </is>
      </c>
      <c r="D20" t="inlineStr">
        <is>
          <t>LOT-2026-231</t>
        </is>
      </c>
      <c r="E20" t="inlineStr">
        <is>
          <t>LOT-2026-152</t>
        </is>
      </c>
      <c r="G20" t="inlineStr">
        <is>
          <t>ST-034</t>
        </is>
      </c>
    </row>
    <row r="21">
      <c r="A21" t="inlineStr">
        <is>
          <t>PR-2026-047</t>
        </is>
      </c>
      <c r="C21" t="inlineStr">
        <is>
          <t>LOT-2026-176</t>
        </is>
      </c>
      <c r="D21" t="inlineStr">
        <is>
          <t>LOT-2026-245</t>
        </is>
      </c>
      <c r="E21" t="inlineStr">
        <is>
          <t>LOT-2026-170</t>
        </is>
      </c>
      <c r="G21" t="inlineStr">
        <is>
          <t>WH-008</t>
        </is>
      </c>
    </row>
    <row r="22">
      <c r="A22" t="inlineStr">
        <is>
          <t>PR-2026-048</t>
        </is>
      </c>
      <c r="C22" t="inlineStr">
        <is>
          <t>LOT-2026-177</t>
        </is>
      </c>
      <c r="D22" t="inlineStr">
        <is>
          <t>LOT-2026-253</t>
        </is>
      </c>
      <c r="E22" t="inlineStr">
        <is>
          <t>LOT-2026-186</t>
        </is>
      </c>
      <c r="G22" t="inlineStr">
        <is>
          <t>WH-012</t>
        </is>
      </c>
    </row>
    <row r="23">
      <c r="A23" t="inlineStr">
        <is>
          <t>PR-2026-050</t>
        </is>
      </c>
      <c r="C23" t="inlineStr">
        <is>
          <t>LOT-2026-183</t>
        </is>
      </c>
      <c r="E23" t="inlineStr">
        <is>
          <t>LOT-2026-193</t>
        </is>
      </c>
      <c r="G23" t="inlineStr">
        <is>
          <t>WH-019</t>
        </is>
      </c>
    </row>
    <row r="24">
      <c r="A24" t="inlineStr">
        <is>
          <t>PR-2026-057</t>
        </is>
      </c>
      <c r="C24" t="inlineStr">
        <is>
          <t>LOT-2026-184</t>
        </is>
      </c>
      <c r="E24" t="inlineStr">
        <is>
          <t>LOT-2026-198</t>
        </is>
      </c>
      <c r="G24" t="inlineStr">
        <is>
          <t>WH-024</t>
        </is>
      </c>
    </row>
    <row r="25">
      <c r="A25" t="inlineStr">
        <is>
          <t>PR-2026-058</t>
        </is>
      </c>
      <c r="C25" t="inlineStr">
        <is>
          <t>LOT-2026-196</t>
        </is>
      </c>
      <c r="E25" t="inlineStr">
        <is>
          <t>LOT-2026-204</t>
        </is>
      </c>
      <c r="G25" t="inlineStr">
        <is>
          <t>WH-M01</t>
        </is>
      </c>
    </row>
    <row r="26">
      <c r="A26" t="inlineStr">
        <is>
          <t>PR-2026-059</t>
        </is>
      </c>
      <c r="C26" t="inlineStr">
        <is>
          <t>LOT-2026-202</t>
        </is>
      </c>
      <c r="E26" t="inlineStr">
        <is>
          <t>LOT-2026-210</t>
        </is>
      </c>
    </row>
    <row r="27">
      <c r="A27" t="inlineStr">
        <is>
          <t>PR-2026-060</t>
        </is>
      </c>
      <c r="C27" t="inlineStr">
        <is>
          <t>LOT-2026-220</t>
        </is>
      </c>
      <c r="E27" t="inlineStr">
        <is>
          <t>LOT-2026-214</t>
        </is>
      </c>
    </row>
    <row r="28">
      <c r="A28" t="inlineStr">
        <is>
          <t>PR-2026-064</t>
        </is>
      </c>
      <c r="C28" t="inlineStr">
        <is>
          <t>LOT-2026-226</t>
        </is>
      </c>
      <c r="E28" t="inlineStr">
        <is>
          <t>LOT-2026-224</t>
        </is>
      </c>
    </row>
    <row r="29">
      <c r="A29" t="inlineStr">
        <is>
          <t>PR-2026-068</t>
        </is>
      </c>
      <c r="C29" t="inlineStr">
        <is>
          <t>LOT-2026-231</t>
        </is>
      </c>
      <c r="E29" t="inlineStr">
        <is>
          <t>LOT-2026-234</t>
        </is>
      </c>
    </row>
    <row r="30">
      <c r="A30" t="inlineStr">
        <is>
          <t>PR-2026-069</t>
        </is>
      </c>
      <c r="C30" t="inlineStr">
        <is>
          <t>LOT-2026-236</t>
        </is>
      </c>
    </row>
    <row r="31">
      <c r="A31" t="inlineStr">
        <is>
          <t>PR-2026-070</t>
        </is>
      </c>
      <c r="C31" t="inlineStr">
        <is>
          <t>LOT-2026-242</t>
        </is>
      </c>
    </row>
    <row r="32">
      <c r="A32" t="inlineStr">
        <is>
          <t>PR-2026-073</t>
        </is>
      </c>
      <c r="C32" t="inlineStr">
        <is>
          <t>LOT-2026-244</t>
        </is>
      </c>
    </row>
    <row r="33">
      <c r="A33" t="inlineStr">
        <is>
          <t>PR-2026-075</t>
        </is>
      </c>
      <c r="C33" t="inlineStr">
        <is>
          <t>LOT-2026-249</t>
        </is>
      </c>
    </row>
    <row r="34">
      <c r="A34" t="inlineStr">
        <is>
          <t>PR-2026-076</t>
        </is>
      </c>
    </row>
    <row r="35">
      <c r="A35" t="inlineStr">
        <is>
          <t>PR-2026-077</t>
        </is>
      </c>
    </row>
    <row r="36">
      <c r="A36" t="inlineStr">
        <is>
          <t>PR-2026-078</t>
        </is>
      </c>
    </row>
    <row r="37">
      <c r="A37" t="inlineStr">
        <is>
          <t>PR-2026-079</t>
        </is>
      </c>
    </row>
    <row r="38">
      <c r="A38" t="inlineStr">
        <is>
          <t>PR-2026-081</t>
        </is>
      </c>
    </row>
    <row r="39">
      <c r="A39" t="inlineStr">
        <is>
          <t>PR-2026-086</t>
        </is>
      </c>
    </row>
    <row r="40">
      <c r="A40" t="inlineStr">
        <is>
          <t>PR-2026-088</t>
        </is>
      </c>
    </row>
    <row r="41">
      <c r="A41" t="inlineStr">
        <is>
          <t>PR-2026-089</t>
        </is>
      </c>
    </row>
    <row r="42">
      <c r="A42" t="inlineStr">
        <is>
          <t>PR-2026-093</t>
        </is>
      </c>
    </row>
    <row r="43">
      <c r="A43" t="inlineStr">
        <is>
          <t>PR-2026-095</t>
        </is>
      </c>
    </row>
    <row r="44">
      <c r="A44" t="inlineStr">
        <is>
          <t>PR-2026-097</t>
        </is>
      </c>
    </row>
    <row r="45">
      <c r="A45" t="inlineStr">
        <is>
          <t>PR-2026-098</t>
        </is>
      </c>
    </row>
    <row r="46">
      <c r="A46" t="inlineStr">
        <is>
          <t>PR-2026-101</t>
        </is>
      </c>
    </row>
    <row r="47">
      <c r="A47" t="inlineStr">
        <is>
          <t>PR-2026-103</t>
        </is>
      </c>
    </row>
    <row r="48">
      <c r="A48" t="inlineStr">
        <is>
          <t>PR-2026-107</t>
        </is>
      </c>
    </row>
    <row r="49">
      <c r="A49" t="inlineStr">
        <is>
          <t>PR-2026-108</t>
        </is>
      </c>
    </row>
    <row r="50">
      <c r="A50" t="inlineStr">
        <is>
          <t>PR-2026-109</t>
        </is>
      </c>
    </row>
    <row r="51">
      <c r="A51" t="inlineStr">
        <is>
          <t>PR-2026-113</t>
        </is>
      </c>
    </row>
    <row r="52">
      <c r="A52" t="inlineStr">
        <is>
          <t>PR-2026-116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 password="8CD8"/>
  <pageMargins left="0.75" right="0.75" top="1" bottom="1" header="0.5" footer="0.5"/>
</worksheet>
</file>

<file path=xl/worksheets/sheet16.xml><?xml version="1.0" encoding="utf-8"?>
<worksheet xmlns="http://schemas.openxmlformats.org/spreadsheetml/2006/main">
  <sheetPr>
    <outlinePr summaryBelow="1" summaryRight="1"/>
    <pageSetUpPr/>
  </sheetPr>
  <dimension ref="A1:B13"/>
  <sheetViews>
    <sheetView workbookViewId="0">
      <selection activeCell="A1" sqref="A1"/>
    </sheetView>
  </sheetViews>
  <sheetFormatPr baseColWidth="8" defaultRowHeight="15"/>
  <cols>
    <col width="16" customWidth="1" min="1" max="1"/>
    <col width="70" customWidth="1" min="2" max="2"/>
  </cols>
  <sheetData>
    <row r="1">
      <c r="A1" s="21" t="inlineStr">
        <is>
          <t>CONFIGURATION - NE PAS MODIFIER</t>
        </is>
      </c>
    </row>
    <row r="2">
      <c r="A2" s="22" t="inlineStr">
        <is>
          <t>SEL</t>
        </is>
      </c>
      <c r="B2" t="inlineStr">
        <is>
          <t>SLCC-2026-OPS</t>
        </is>
      </c>
    </row>
    <row r="3">
      <c r="A3" s="22" t="inlineStr">
        <is>
          <t>API_SLCC</t>
        </is>
      </c>
      <c r="B3" t="inlineStr">
        <is>
          <t>http://127.0.0.1:8001/api</t>
        </is>
      </c>
    </row>
    <row r="4">
      <c r="A4" s="23" t="inlineStr">
        <is>
          <t>MATRICULE</t>
        </is>
      </c>
      <c r="B4" s="23" t="inlineStr">
        <is>
          <t>EMPREINTE_CODE</t>
        </is>
      </c>
    </row>
    <row r="5">
      <c r="A5" s="24" t="inlineStr">
        <is>
          <t>LM-001</t>
        </is>
      </c>
      <c r="B5" s="25" t="inlineStr">
        <is>
          <t>df7ae4aeccdc58e69b340514fd8c1e09396a64efc9c4c45ff9f72b72f4795387</t>
        </is>
      </c>
    </row>
    <row r="6">
      <c r="A6" s="24" t="inlineStr">
        <is>
          <t>LM-002</t>
        </is>
      </c>
      <c r="B6" s="25" t="inlineStr">
        <is>
          <t>ef6c0af87e09369c5bb3abfbb714b4f5469b810cd13541d032e0f3ff9dd64915</t>
        </is>
      </c>
    </row>
    <row r="7">
      <c r="A7" s="24" t="inlineStr">
        <is>
          <t>PM-001</t>
        </is>
      </c>
      <c r="B7" s="25" t="inlineStr">
        <is>
          <t>93d91d3c0d08b4673d345c6f59e122532fa087c4e30c994a08e223cdb1483d38</t>
        </is>
      </c>
    </row>
    <row r="8">
      <c r="A8" s="24" t="inlineStr">
        <is>
          <t>PM-002</t>
        </is>
      </c>
      <c r="B8" s="25" t="inlineStr">
        <is>
          <t>057255b07c81296ed04e291fbfc425606d8087cfa58ed45135d51b92a6923ab9</t>
        </is>
      </c>
    </row>
    <row r="9">
      <c r="A9" s="24" t="inlineStr">
        <is>
          <t>QM-002</t>
        </is>
      </c>
      <c r="B9" s="25" t="inlineStr">
        <is>
          <t>1ed00b24673df078fe2aed58139a9470906293e01059406d9425e323dbc05663</t>
        </is>
      </c>
    </row>
    <row r="10">
      <c r="A10" s="24" t="inlineStr">
        <is>
          <t>QM-003</t>
        </is>
      </c>
      <c r="B10" s="25" t="inlineStr">
        <is>
          <t>90297c2a7e52e82ef303bff0614fc38dcfc5546f2928cebff598f0b79662d62a</t>
        </is>
      </c>
    </row>
    <row r="11">
      <c r="A11" s="24" t="inlineStr">
        <is>
          <t>RM-004</t>
        </is>
      </c>
      <c r="B11" s="25" t="inlineStr">
        <is>
          <t>48524a8362328a4828a14f82c5f760ba3387b8a794d3ee6f6beb163623ae177f</t>
        </is>
      </c>
    </row>
    <row r="12">
      <c r="A12" s="24" t="inlineStr">
        <is>
          <t>RM-005</t>
        </is>
      </c>
      <c r="B12" s="25" t="inlineStr">
        <is>
          <t>cf248a18d65e62945314df5bc74b26992aa9733cfead1a4a5f384e012e4c74a8</t>
        </is>
      </c>
    </row>
    <row r="13">
      <c r="A13" s="24" t="inlineStr">
        <is>
          <t>WH-M01</t>
        </is>
      </c>
      <c r="B13" s="25" t="inlineStr">
        <is>
          <t>f733186051fc015c648acadacbb94356b6378e4b62f682112c943ae97bb89b44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 password="A519"/>
  <pageMargins left="0.75" right="0.75" top="1" bottom="1" header="0.5" footer="0.5"/>
</worksheet>
</file>

<file path=customUI/customUI14.xml><?xml version="1.0" encoding="utf-8"?>
<customUI xmlns="http://schemas.microsoft.com/office/2009/07/customui">
  <ribbon>
    <tabs>
      <tab id="tabSLCC" label="SLCC" insertBeforeMso="TabHome">
        <group id="grpMaker" label="Operateur">
          <button id="btnFinish" label="Terminer ma tache" size="large" imageMso="AcceptTask" onAction="TerminerMaTache"/>
          <button id="btnFix" label="Corriger une ligne rejetee" size="large" imageMso="EditTask" onAction="CorrigerEtResoumettre"/>
        </group>
        <group id="grpChecker" label="Responsable">
          <button id="btnApprove" label="Valider" size="large" imageMso="AcceptInvitation" onAction="Valider"/>
          <button id="btnReject" label="Rejeter" size="large" imageMso="DeclineInvitation" onAction="Rejeter"/>
        </group>
        <group id="grpSync" label="SLCC">
          <button id="btnRefresh" label="Verifier la connexion SLCC" size="large" imageMso="RefreshAll" onAction="VerifierConnexionSLCC"/>
          <button id="btnSync" label="Enregistrer &amp; synchroniser" size="large" imageMso="ServerPublish" onAction="EnregistrerEtSynchroniser"/>
        </group>
      </tab>
    </tabs>
  </ribbon>
</customUI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2026-08-31T09:59:42Z</dcterms:created>
  <dcterms:modified xsi:type="dcterms:W3CDTF">2026-08-31T09:59:52Z</dcterms:modified>
</cp:coreProperties>
</file>